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4.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sheets/sheet5.xml" ContentType="application/vnd.openxmlformats-officedocument.spreadsheetml.worksheet+xml"/>
  <Override PartName="/xl/comments/comment5.xml" ContentType="application/vnd.openxmlformats-officedocument.spreadsheetml.comments+xml"/>
  <Override PartName="/xl/tables/table5.xml" ContentType="application/vnd.openxmlformats-officedocument.spreadsheetml.table+xml"/>
  <Override PartName="/xl/worksheets/sheet6.xml" ContentType="application/vnd.openxmlformats-officedocument.spreadsheetml.worksheet+xml"/>
  <Override PartName="/xl/comments/comment6.xml" ContentType="application/vnd.openxmlformats-officedocument.spreadsheetml.comments+xml"/>
  <Override PartName="/xl/tables/table6.xml" ContentType="application/vnd.openxmlformats-officedocument.spreadsheetml.table+xml"/>
  <Override PartName="/xl/worksheets/sheet7.xml" ContentType="application/vnd.openxmlformats-officedocument.spreadsheetml.worksheet+xml"/>
  <Override PartName="/xl/comments/comment7.xml" ContentType="application/vnd.openxmlformats-officedocument.spreadsheetml.comments+xml"/>
  <Override PartName="/xl/tables/table7.xml" ContentType="application/vnd.openxmlformats-officedocument.spreadsheetml.table+xml"/>
  <Override PartName="/xl/worksheets/sheet8.xml" ContentType="application/vnd.openxmlformats-officedocument.spreadsheetml.worksheet+xml"/>
  <Override PartName="/xl/comments/comment8.xml" ContentType="application/vnd.openxmlformats-officedocument.spreadsheetml.comments+xml"/>
  <Override PartName="/xl/tables/table8.xml" ContentType="application/vnd.openxmlformats-officedocument.spreadsheetml.table+xml"/>
  <Override PartName="/xl/worksheets/sheet9.xml" ContentType="application/vnd.openxmlformats-officedocument.spreadsheetml.worksheet+xml"/>
  <Override PartName="/xl/comments/comment9.xml" ContentType="application/vnd.openxmlformats-officedocument.spreadsheetml.comments+xml"/>
  <Override PartName="/xl/tables/table9.xml" ContentType="application/vnd.openxmlformats-officedocument.spreadsheetml.table+xml"/>
  <Override PartName="/xl/worksheets/sheet10.xml" ContentType="application/vnd.openxmlformats-officedocument.spreadsheetml.worksheet+xml"/>
  <Override PartName="/xl/comments/comment10.xml" ContentType="application/vnd.openxmlformats-officedocument.spreadsheetml.comments+xml"/>
  <Override PartName="/xl/tables/table10.xml" ContentType="application/vnd.openxmlformats-officedocument.spreadsheetml.table+xml"/>
  <Override PartName="/xl/worksheets/sheet11.xml" ContentType="application/vnd.openxmlformats-officedocument.spreadsheetml.worksheet+xml"/>
  <Override PartName="/xl/comments/comment11.xml" ContentType="application/vnd.openxmlformats-officedocument.spreadsheetml.comments+xml"/>
  <Override PartName="/xl/tables/table11.xml" ContentType="application/vnd.openxmlformats-officedocument.spreadsheetml.table+xml"/>
  <Override PartName="/xl/worksheets/sheet12.xml" ContentType="application/vnd.openxmlformats-officedocument.spreadsheetml.worksheet+xml"/>
  <Override PartName="/xl/comments/comment12.xml" ContentType="application/vnd.openxmlformats-officedocument.spreadsheetml.comments+xml"/>
  <Override PartName="/xl/tables/table12.xml" ContentType="application/vnd.openxmlformats-officedocument.spreadsheetml.table+xml"/>
  <Override PartName="/xl/worksheets/sheet13.xml" ContentType="application/vnd.openxmlformats-officedocument.spreadsheetml.worksheet+xml"/>
  <Override PartName="/xl/comments/comment13.xml" ContentType="application/vnd.openxmlformats-officedocument.spreadsheetml.comments+xml"/>
  <Override PartName="/xl/tables/table13.xml" ContentType="application/vnd.openxmlformats-officedocument.spreadsheetml.table+xml"/>
  <Override PartName="/xl/worksheets/sheet14.xml" ContentType="application/vnd.openxmlformats-officedocument.spreadsheetml.worksheet+xml"/>
  <Override PartName="/xl/comments/comment14.xml" ContentType="application/vnd.openxmlformats-officedocument.spreadsheetml.comments+xml"/>
  <Override PartName="/xl/tables/table14.xml" ContentType="application/vnd.openxmlformats-officedocument.spreadsheetml.table+xml"/>
  <Override PartName="/xl/worksheets/sheet15.xml" ContentType="application/vnd.openxmlformats-officedocument.spreadsheetml.worksheet+xml"/>
  <Override PartName="/xl/comments/comment15.xml" ContentType="application/vnd.openxmlformats-officedocument.spreadsheetml.comments+xml"/>
  <Override PartName="/xl/tables/table15.xml" ContentType="application/vnd.openxmlformats-officedocument.spreadsheetml.table+xml"/>
  <Override PartName="/xl/worksheets/sheet16.xml" ContentType="application/vnd.openxmlformats-officedocument.spreadsheetml.worksheet+xml"/>
  <Override PartName="/xl/comments/comment16.xml" ContentType="application/vnd.openxmlformats-officedocument.spreadsheetml.comments+xml"/>
  <Override PartName="/xl/tables/table16.xml" ContentType="application/vnd.openxmlformats-officedocument.spreadsheetml.table+xml"/>
  <Override PartName="/xl/worksheets/sheet17.xml" ContentType="application/vnd.openxmlformats-officedocument.spreadsheetml.worksheet+xml"/>
  <Override PartName="/xl/comments/comment17.xml" ContentType="application/vnd.openxmlformats-officedocument.spreadsheetml.comments+xml"/>
  <Override PartName="/xl/tables/table17.xml" ContentType="application/vnd.openxmlformats-officedocument.spreadsheetml.table+xml"/>
  <Override PartName="/xl/worksheets/sheet18.xml" ContentType="application/vnd.openxmlformats-officedocument.spreadsheetml.worksheet+xml"/>
  <Override PartName="/xl/comments/comment18.xml" ContentType="application/vnd.openxmlformats-officedocument.spreadsheetml.comments+xml"/>
  <Override PartName="/xl/tables/table18.xml" ContentType="application/vnd.openxmlformats-officedocument.spreadsheetml.table+xml"/>
  <Override PartName="/xl/worksheets/sheet19.xml" ContentType="application/vnd.openxmlformats-officedocument.spreadsheetml.worksheet+xml"/>
  <Override PartName="/xl/comments/comment19.xml" ContentType="application/vnd.openxmlformats-officedocument.spreadsheetml.comments+xml"/>
  <Override PartName="/xl/tables/table19.xml" ContentType="application/vnd.openxmlformats-officedocument.spreadsheetml.table+xml"/>
  <Override PartName="/xl/worksheets/sheet20.xml" ContentType="application/vnd.openxmlformats-officedocument.spreadsheetml.worksheet+xml"/>
  <Override PartName="/xl/comments/comment20.xml" ContentType="application/vnd.openxmlformats-officedocument.spreadsheetml.comments+xml"/>
  <Override PartName="/xl/tables/table20.xml" ContentType="application/vnd.openxmlformats-officedocument.spreadsheetml.table+xml"/>
  <Override PartName="/xl/worksheets/sheet21.xml" ContentType="application/vnd.openxmlformats-officedocument.spreadsheetml.worksheet+xml"/>
  <Override PartName="/xl/comments/comment21.xml" ContentType="application/vnd.openxmlformats-officedocument.spreadsheetml.comments+xml"/>
  <Override PartName="/xl/tables/table21.xml" ContentType="application/vnd.openxmlformats-officedocument.spreadsheetml.table+xml"/>
  <Override PartName="/xl/worksheets/sheet22.xml" ContentType="application/vnd.openxmlformats-officedocument.spreadsheetml.worksheet+xml"/>
  <Override PartName="/xl/comments/comment22.xml" ContentType="application/vnd.openxmlformats-officedocument.spreadsheetml.comments+xml"/>
  <Override PartName="/xl/tables/table22.xml" ContentType="application/vnd.openxmlformats-officedocument.spreadsheetml.table+xml"/>
  <Override PartName="/xl/worksheets/sheet23.xml" ContentType="application/vnd.openxmlformats-officedocument.spreadsheetml.worksheet+xml"/>
  <Override PartName="/xl/comments/comment23.xml" ContentType="application/vnd.openxmlformats-officedocument.spreadsheetml.comments+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01" sheetId="2" state="visible" r:id="rId2"/>
    <sheet name="02" sheetId="3" state="visible" r:id="rId3"/>
    <sheet name="03" sheetId="4" state="visible" r:id="rId4"/>
    <sheet name="04" sheetId="5" state="visible" r:id="rId5"/>
    <sheet name="05" sheetId="6" state="visible" r:id="rId6"/>
    <sheet name="06" sheetId="7" state="visible" r:id="rId7"/>
    <sheet name="07" sheetId="8" state="visible" r:id="rId8"/>
    <sheet name="08" sheetId="9" state="visible" r:id="rId9"/>
    <sheet name="09" sheetId="10" state="visible" r:id="rId10"/>
    <sheet name="10" sheetId="11" state="visible" r:id="rId11"/>
    <sheet name="11" sheetId="12" state="visible" r:id="rId12"/>
    <sheet name="12" sheetId="13" state="visible" r:id="rId13"/>
    <sheet name="13" sheetId="14" state="visible" r:id="rId14"/>
    <sheet name="14" sheetId="15" state="visible" r:id="rId15"/>
    <sheet name="15" sheetId="16" state="visible" r:id="rId16"/>
    <sheet name="16" sheetId="17" state="visible" r:id="rId17"/>
    <sheet name="17" sheetId="18" state="visible" r:id="rId18"/>
    <sheet name="18" sheetId="19" state="visible" r:id="rId19"/>
    <sheet name="19" sheetId="20" state="visible" r:id="rId20"/>
    <sheet name="20" sheetId="21" state="visible" r:id="rId21"/>
    <sheet name="21" sheetId="22" state="visible" r:id="rId22"/>
    <sheet name="22" sheetId="23" state="visible" r:id="rId23"/>
    <sheet name="23" sheetId="24" state="visible" r:id="rId2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font>
      <name val="Calibri"/>
      <family val="2"/>
      <color theme="10"/>
      <sz val="12"/>
      <scheme val="minor"/>
    </font>
  </fonts>
  <fills count="2">
    <fill>
      <patternFill/>
    </fill>
    <fill>
      <patternFill patternType="gray125"/>
    </fill>
  </fills>
  <borders count="2">
    <border>
      <left/>
      <right/>
      <top/>
      <bottom/>
      <diagonal/>
    </border>
    <border/>
  </borders>
  <cellStyleXfs count="3">
    <xf numFmtId="0" fontId="0" fillId="0" borderId="0"/>
    <xf numFmtId="0" fontId="1" fillId="0" borderId="1" applyAlignment="1">
      <alignment shrinkToFit="1"/>
    </xf>
    <xf numFmtId="0" fontId="2" fillId="0" borderId="0"/>
  </cellStyleXfs>
  <cellXfs count="7">
    <xf numFmtId="0" fontId="0" fillId="0" borderId="0" pivotButton="0" quotePrefix="0" xfId="0"/>
    <xf numFmtId="0" fontId="0" fillId="0" borderId="0" applyAlignment="1" pivotButton="0" quotePrefix="0" xfId="0">
      <alignment vertical="top"/>
    </xf>
    <xf numFmtId="0" fontId="2" fillId="0" borderId="0" pivotButton="0" quotePrefix="0" xfId="2"/>
    <xf numFmtId="0" fontId="0" fillId="0" borderId="0" applyAlignment="1" pivotButton="0" quotePrefix="0" xfId="0">
      <alignment vertical="top" wrapText="1"/>
    </xf>
    <xf numFmtId="164" fontId="0" fillId="0" borderId="0" pivotButton="0" quotePrefix="0" xfId="0"/>
    <xf numFmtId="0" fontId="1" fillId="0" borderId="1" applyAlignment="1" pivotButton="0" quotePrefix="0" xfId="1">
      <alignment shrinkToFit="1"/>
    </xf>
    <xf numFmtId="165" fontId="0" fillId="0" borderId="0" pivotButton="0" quotePrefix="0" xfId="0"/>
  </cellXfs>
  <cellStyles count="3">
    <cellStyle name="Normal" xfId="0" builtinId="0" hidden="0"/>
    <cellStyle name="uuid" xfId="1" hidden="0"/>
    <cellStyle name="Hyperlink" xfId="2"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Share Dinkum</author>
  </authors>
  <commentList>
    <comment ref="A1" authorId="0" shapeId="0">
      <text>
        <t>Number of the sheet that holds the table. Click the link to go to it.</t>
      </text>
    </comment>
    <comment ref="B1" authorId="0" shapeId="0">
      <text>
        <t>Name of the Excel table, which is also the name of the model it loads into.</t>
      </text>
    </comment>
    <comment ref="C1" authorId="0" shapeId="0">
      <text>
        <t>What the table holds.</t>
      </text>
    </comment>
    <comment ref="D1" authorId="0" shapeId="0">
      <text>
        <t>Rows in the table when the file was written. An empty template table counts its one blank row.</t>
      </text>
    </comment>
    <comment ref="E1" authorId="0" shapeId="0">
      <text>
        <t>Click to go to the sheet.</t>
      </text>
    </comment>
  </commentList>
</comments>
</file>

<file path=xl/comments/comment2.xml><?xml version="1.0" encoding="utf-8"?>
<comments xmlns="http://schemas.openxmlformats.org/spreadsheetml/2006/main">
  <authors>
    <author>Share Dinkum</author>
  </authors>
  <commentList>
    <comment ref="A1" authorId="0" shapeId="0">
      <text>
        <t>When the user last signed in.</t>
      </text>
    </comment>
    <comment ref="B1" authorId="0" shapeId="0">
      <text>
        <t>Designates that this user has all permissions without explicitly assigning them.</t>
      </text>
    </comment>
    <comment ref="C1" authorId="0" shapeId="0">
      <text>
        <t>Required. 150 characters or fewer. Letters, digits and @/./+/-/_ only.</t>
      </text>
    </comment>
    <comment ref="D1" authorId="0" shapeId="0">
      <text>
        <t>First name.</t>
      </text>
    </comment>
    <comment ref="E1" authorId="0" shapeId="0">
      <text>
        <t>Last name.</t>
      </text>
    </comment>
    <comment ref="F1" authorId="0" shapeId="0">
      <text>
        <t>Email address.</t>
      </text>
    </comment>
    <comment ref="G1" authorId="0" shapeId="0">
      <text>
        <t>Designates whether the user can log into this admin site.</t>
      </text>
    </comment>
    <comment ref="H1" authorId="0" shapeId="0">
      <text>
        <t>Designates whether this user should be treated as active. Unselect this instead of deleting accounts.</t>
      </text>
    </comment>
    <comment ref="I1" authorId="0" shapeId="0">
      <text>
        <t>When the user was created.</t>
      </text>
    </comment>
    <comment ref="J1" authorId="0" shapeId="0">
      <text>
        <t>Unique identifier of the user.</t>
      </text>
    </comment>
    <comment ref="K1" authorId="0" shapeId="0">
      <text>
        <t>The portfolio shown first after signing in. The id of the record.</t>
      </text>
    </comment>
  </commentList>
</comments>
</file>

<file path=xl/comments/comment3.xml><?xml version="1.0" encoding="utf-8"?>
<comments xmlns="http://schemas.openxmlformats.org/spreadsheetml/2006/main">
  <authors>
    <author>Share Dinkum</author>
  </authors>
  <commentList>
    <comment ref="A1" authorId="0" shapeId="0">
      <text>
        <t>Unique identifier of this fiscal year pattern.</t>
      </text>
    </comment>
    <comment ref="B1" authorId="0" shapeId="0">
      <text>
        <t>Name of the fiscal year pattern, such as Australian Tax Year.</t>
      </text>
    </comment>
    <comment ref="C1" authorId="0" shapeId="0">
      <text>
        <t>Month the fiscal year starts, 1 to 12. July (7) for the Australian tax year.</t>
      </text>
    </comment>
    <comment ref="D1" authorId="0" shapeId="0">
      <text>
        <t>Day of the month the fiscal year starts. 1 for the Australian tax year.</t>
      </text>
    </comment>
  </commentList>
</comments>
</file>

<file path=xl/comments/comment4.xml><?xml version="1.0" encoding="utf-8"?>
<comments xmlns="http://schemas.openxmlformats.org/spreadsheetml/2006/main">
  <authors>
    <author>Share Dinkum</author>
  </authors>
  <commentList>
    <comment ref="A1" authorId="0" shapeId="0">
      <text>
        <t>Unique identifier of this fiscal year.</t>
      </text>
    </comment>
    <comment ref="B1" authorId="0" shapeId="0">
      <text>
        <t>The fiscal year pattern this year belongs to. The id of the record.</t>
      </text>
    </comment>
    <comment ref="C1" authorId="0" shapeId="0">
      <text>
        <t>Calendar year the fiscal year starts in. FY2023/24 starts in 2023.</t>
      </text>
    </comment>
    <comment ref="D1" authorId="0" shapeId="0">
      <text>
        <t>Display name, such as FY2023/24. Set by the app; do not edit.</t>
      </text>
    </comment>
  </commentList>
</comments>
</file>

<file path=xl/comments/comment5.xml><?xml version="1.0" encoding="utf-8"?>
<comments xmlns="http://schemas.openxmlformats.org/spreadsheetml/2006/main">
  <authors>
    <author>Share Dinkum</author>
  </authors>
  <commentList>
    <comment ref="A1" authorId="0" shapeId="0">
      <text>
        <t>Unique identifier of the portfolio.</t>
      </text>
    </comment>
    <comment ref="B1" authorId="0" shapeId="0">
      <text>
        <t>Name of the portfolio, as shown in the app. Unique for each owner.</t>
      </text>
    </comment>
    <comment ref="C1" authorId="0" shapeId="0">
      <text>
        <t>When the portfolio was created.</t>
      </text>
    </comment>
    <comment ref="D1" authorId="0" shapeId="0">
      <text>
        <t>When the portfolio was last changed.</t>
      </text>
    </comment>
    <comment ref="E1" authorId="0" shapeId="0">
      <text>
        <t>Base currency, such as AUD. Foreign holdings and income are converted to it.</t>
      </text>
    </comment>
    <comment ref="F1" authorId="0" shapeId="0">
      <text>
        <t>The user who owns the portfolio. The id of the record.</t>
      </text>
    </comment>
    <comment ref="G1" authorId="0" shapeId="0">
      <text>
        <t>The fiscal year pattern reports use. The Australian Tax Year runs July to June. The id of the record.</t>
      </text>
    </comment>
    <comment ref="H1" authorId="0" shapeId="0">
      <text>
        <t>Whether the app downloads price and exchange rate history for this portfolio.</t>
      </text>
    </comment>
    <comment ref="I1" authorId="0" shapeId="0">
      <text>
        <t>Who owns this portfolio for tax purposes.</t>
      </text>
    </comment>
    <comment ref="J1" authorId="0" shapeId="0">
      <text>
        <t>When the tax settings were confirmed. Once set, the dashboard stops warning that they are undeclared.</t>
      </text>
    </comment>
    <comment ref="K1" authorId="0" shapeId="0">
      <text>
        <t>Model the 2027 capital gains changes for disposals from 1 July 2027. Nothing before that date changes.</t>
      </text>
    </comment>
    <comment ref="L1" authorId="0" shapeId="0">
      <text>
        <t>Currency of calculated_portfolio_value_converted, as a code such as AUD or USD. Set by the app; do not edit.</t>
      </text>
    </comment>
    <comment ref="M1" authorId="0" shapeId="0">
      <text>
        <t>Value of everything currently held, in the portfolio currency. Set by the app; do not edit.</t>
      </text>
    </comment>
  </commentList>
</comments>
</file>

<file path=xl/comments/comment6.xml><?xml version="1.0" encoding="utf-8"?>
<comments xmlns="http://schemas.openxmlformats.org/spreadsheetml/2006/main">
  <authors>
    <author>Share Dinkum</author>
  </authors>
  <commentList>
    <comment ref="A1" authorId="0" shapeId="0">
      <text>
        <t>Unique identifier. Exports carry it so a file can be restored; leave it out of an import template.</t>
      </text>
    </comment>
    <comment ref="B1" authorId="0" shapeId="0">
      <text>
        <t>Your own reference for this row, such as B001. Rows in other tables refer to it, and loading the file again matches on it, so keep it unique within the table.</t>
      </text>
    </comment>
    <comment ref="C1" authorId="0" shapeId="0">
      <text>
        <t>Short description of the record.</t>
      </text>
    </comment>
    <comment ref="D1" authorId="0" shapeId="0">
      <text>
        <t>The portfolio this record belongs to. The id of the record.</t>
      </text>
    </comment>
    <comment ref="E1" authorId="0" shapeId="0">
      <text>
        <t>When the record was created.</t>
      </text>
    </comment>
    <comment ref="F1" authorId="0" shapeId="0">
      <text>
        <t>When the record was last changed.</t>
      </text>
    </comment>
    <comment ref="G1" authorId="0" shapeId="0">
      <text>
        <t>False once the record has been replaced or deactivated, such as a parcel split by a sale. Inactive records are kept for the history.</t>
      </text>
    </comment>
    <comment ref="H1" authorId="0" shapeId="0">
      <text>
        <t>What happened, in words.</t>
      </text>
    </comment>
    <comment ref="I1" authorId="0" shapeId="0">
      <text>
        <t>The kind of record the event is about.</t>
      </text>
    </comment>
    <comment ref="J1" authorId="0" shapeId="0">
      <text>
        <t>Identifier of the record the event is about.</t>
      </text>
    </comment>
  </commentList>
</comments>
</file>

<file path=xl/comments/comment7.xml><?xml version="1.0" encoding="utf-8"?>
<comments xmlns="http://schemas.openxmlformats.org/spreadsheetml/2006/main">
  <authors>
    <author>Share Dinkum</author>
  </authors>
  <commentList>
    <comment ref="A1" authorId="0" shapeId="0">
      <text>
        <t>Unique identifier of the rate.</t>
      </text>
    </comment>
    <comment ref="B1" authorId="0" shapeId="0">
      <text>
        <t>The portfolio the rate is stored for. The id of the record.</t>
      </text>
    </comment>
    <comment ref="C1" authorId="0" shapeId="0">
      <text>
        <t>When the rate was last changed.</t>
      </text>
    </comment>
    <comment ref="D1" authorId="0" shapeId="0">
      <text>
        <t>Currency converted into, such as AUD.</t>
      </text>
    </comment>
    <comment ref="E1" authorId="0" shapeId="0">
      <text>
        <t>Currency converted from, such as USD.</t>
      </text>
    </comment>
    <comment ref="F1" authorId="0" shapeId="0">
      <text>
        <t>Amount of the "to" currency for one unit of the "from" currency.</t>
      </text>
    </comment>
  </commentList>
</comments>
</file>

<file path=xl/comments/comment8.xml><?xml version="1.0" encoding="utf-8"?>
<comments xmlns="http://schemas.openxmlformats.org/spreadsheetml/2006/main">
  <authors>
    <author>Share Dinkum</author>
  </authors>
  <commentList>
    <comment ref="A1" authorId="0" shapeId="0">
      <text>
        <t>Unique identifier of the rate.</t>
      </text>
    </comment>
    <comment ref="B1" authorId="0" shapeId="0">
      <text>
        <t>The portfolio the rate is stored for. The id of the record.</t>
      </text>
    </comment>
    <comment ref="C1" authorId="0" shapeId="0">
      <text>
        <t>When the rate was last changed.</t>
      </text>
    </comment>
    <comment ref="D1" authorId="0" shapeId="0">
      <text>
        <t>Currency converted into, such as AUD.</t>
      </text>
    </comment>
    <comment ref="E1" authorId="0" shapeId="0">
      <text>
        <t>Currency converted from, such as USD.</t>
      </text>
    </comment>
    <comment ref="F1" authorId="0" shapeId="0">
      <text>
        <t>Amount of the "to" currency for one unit of the "from" currency.</t>
      </text>
    </comment>
    <comment ref="G1" authorId="0" shapeId="0">
      <text>
        <t>Day the rate applies to.</t>
      </text>
    </comment>
    <comment ref="H1" authorId="0" shapeId="0">
      <text>
        <t>True when the rate came from a continuous run of daily history. Set by the app; do not edit.</t>
      </text>
    </comment>
    <comment ref="I1" authorId="0" shapeId="0">
      <text>
        <t>True when no quote existed for the day and the last earlier rate was used instead. Set by the app; do not edit.</t>
      </text>
    </comment>
  </commentList>
</comments>
</file>

<file path=xl/comments/comment9.xml><?xml version="1.0" encoding="utf-8"?>
<comments xmlns="http://schemas.openxmlformats.org/spreadsheetml/2006/main">
  <authors>
    <author>Share Dinkum</author>
  </authors>
  <commentList>
    <comment ref="A1" authorId="0" shapeId="0">
      <text>
        <t>Unique identifier. Exports carry it so a file can be restored; leave it out of an import template.</t>
      </text>
    </comment>
    <comment ref="B1" authorId="0" shapeId="0">
      <text>
        <t>Your own reference for this row, such as B001. Rows in other tables refer to it, and loading the file again matches on it, so keep it unique within the table.</t>
      </text>
    </comment>
    <comment ref="C1" authorId="0" shapeId="0">
      <text>
        <t>Short description of the record.</t>
      </text>
    </comment>
    <comment ref="D1" authorId="0" shapeId="0">
      <text>
        <t>The portfolio this record belongs to. The id of the record.</t>
      </text>
    </comment>
    <comment ref="E1" authorId="0" shapeId="0">
      <text>
        <t>When the record was created.</t>
      </text>
    </comment>
    <comment ref="F1" authorId="0" shapeId="0">
      <text>
        <t>When the record was last changed.</t>
      </text>
    </comment>
    <comment ref="G1" authorId="0" shapeId="0">
      <text>
        <t>False once the record has been replaced or deactivated, such as a parcel split by a sale. Inactive records are kept for the history.</t>
      </text>
    </comment>
    <comment ref="H1" authorId="0" shapeId="0">
      <text>
        <t>Free text notes about the record.</t>
      </text>
    </comment>
    <comment ref="I1" authorId="0" shapeId="0">
      <text>
        <t>Short code of the market, such as ASX or NASDAQ.</t>
      </text>
    </comment>
    <comment ref="J1" authorId="0" shapeId="0">
      <text>
        <t>Suffix the price provider adds to this market's tickers, such as .AX. Blank if none.</t>
      </text>
    </comment>
    <comment ref="K1" authorId="0" shapeId="0">
      <text>
        <t>ISO country code, e.g. AU. Decides whether instruments here are treated as Australian listed for capital gains reporting.</t>
      </text>
    </comment>
    <comment ref="L1" authorId="0" shapeId="0">
      <text>
        <t>Uncheck for unlisted holdings. Unlisted assets fall into the "other" categories on the CGT schedule regardless of country.</t>
      </text>
    </comment>
  </commentList>
</comments>
</file>

<file path=xl/comments/comment10.xml><?xml version="1.0" encoding="utf-8"?>
<comments xmlns="http://schemas.openxmlformats.org/spreadsheetml/2006/main">
  <authors>
    <author>Share Dinkum</author>
  </authors>
  <commentList>
    <comment ref="A1" authorId="0" shapeId="0">
      <text>
        <t>Unique identifier. Exports carry it so a file can be restored; leave it out of an import template.</t>
      </text>
    </comment>
    <comment ref="B1" authorId="0" shapeId="0">
      <text>
        <t>Your own reference for this row, such as B001. Rows in other tables refer to it, and loading the file again matches on it, so keep it unique within the table.</t>
      </text>
    </comment>
    <comment ref="C1" authorId="0" shapeId="0">
      <text>
        <t>The portfolio this record belongs to. The id of the record.</t>
      </text>
    </comment>
    <comment ref="D1" authorId="0" shapeId="0">
      <text>
        <t>When the record was created.</t>
      </text>
    </comment>
    <comment ref="E1" authorId="0" shapeId="0">
      <text>
        <t>When the record was last changed.</t>
      </text>
    </comment>
    <comment ref="F1" authorId="0" shapeId="0">
      <text>
        <t>False once the record has been replaced or deactivated, such as a parcel split by a sale. Inactive records are kept for the history.</t>
      </text>
    </comment>
    <comment ref="G1" authorId="0" shapeId="0">
      <text>
        <t>Free text notes about the record.</t>
      </text>
    </comment>
    <comment ref="H1" authorId="0" shapeId="0">
      <text>
        <t>Ticker code without the market suffix, such as BHP or VGS. Unique within a portfolio.</t>
      </text>
    </comment>
    <comment ref="I1" authorId="0" shapeId="0">
      <text>
        <t>Full name of the security.</t>
      </text>
    </comment>
    <comment ref="J1" authorId="0" shapeId="0">
      <text>
        <t>Currency the instrument trades in, such as AUD or USD.</t>
      </text>
    </comment>
    <comment ref="K1" authorId="0" shapeId="0">
      <text>
        <t>The market the instrument is listed on. Enter its code as listed in the Market table. The id of the record.</t>
      </text>
    </comment>
    <comment ref="L1" authorId="0" shapeId="0">
      <text>
        <t>Latest price per unit, refreshed from market data. Set by the app; do not edit.</t>
      </text>
    </comment>
    <comment ref="M1" authorId="0" shapeId="0">
      <text>
        <t>Shown on the product disclosure statement or annual tax statement.</t>
      </text>
    </comment>
    <comment ref="N1" authorId="0" shapeId="0">
      <text>
        <t>Where the instrument's legal form came from. Only "entered by the user" counts as confirmed. Set by the app; do not edit.</t>
      </text>
    </comment>
    <comment ref="O1" authorId="0" shapeId="0">
      <text>
        <t>Leave empty. Only set this if the category worked out from the legal form and the market is wrong for this holding.</t>
      </text>
    </comment>
    <comment ref="P1" authorId="0" shapeId="0">
      <text>
        <t>Leave empty. Only set this if the instrument is taxable Australian property in its own right -- real property, or a non-portfolio interest in a land rich entity. Setting it to "no" is not the same as leaving it empty: it overrides the departure deeming for every parcel, including ones you held when you ceased Australian residency.</t>
      </text>
    </comment>
    <comment ref="Q1" authorId="0" shapeId="0">
      <text>
        <t>Units currently held, across all unsold parcels. Set by the app; do not edit.</t>
      </text>
    </comment>
    <comment ref="R1" authorId="0" shapeId="0">
      <text>
        <t>Currency of calculated_value_held, as a code such as AUD or USD. Set by the app; do not edit.</t>
      </text>
    </comment>
    <comment ref="S1" authorId="0" shapeId="0">
      <text>
        <t>Value of the units currently held, in the instrument's currency. Set by the app; do not edit.</t>
      </text>
    </comment>
    <comment ref="T1" authorId="0" shapeId="0">
      <text>
        <t>Currency of calculated_value_held_converted, as a code such as AUD or USD. Set by the app; do not edit.</t>
      </text>
    </comment>
    <comment ref="U1" authorId="0" shapeId="0">
      <text>
        <t>Value of the units currently held, in the portfolio currency. Set by the app; do not edit.</t>
      </text>
    </comment>
  </commentList>
</comments>
</file>

<file path=xl/comments/comment11.xml><?xml version="1.0" encoding="utf-8"?>
<comments xmlns="http://schemas.openxmlformats.org/spreadsheetml/2006/main">
  <authors>
    <author>Share Dinkum</author>
  </authors>
  <commentList>
    <comment ref="A1" authorId="0" shapeId="0">
      <text>
        <t>Unique identifier. Exports carry it so a file can be restored; leave it out of an import template.</t>
      </text>
    </comment>
    <comment ref="B1" authorId="0" shapeId="0">
      <text>
        <t>Your own reference for this row, such as B001. Rows in other tables refer to it, and loading the file again matches on it, so keep it unique within the table.</t>
      </text>
    </comment>
    <comment ref="C1" authorId="0" shapeId="0">
      <text>
        <t>The portfolio this record belongs to. The id of the record.</t>
      </text>
    </comment>
    <comment ref="D1" authorId="0" shapeId="0">
      <text>
        <t>When the record was created.</t>
      </text>
    </comment>
    <comment ref="E1" authorId="0" shapeId="0">
      <text>
        <t>When the record was last changed.</t>
      </text>
    </comment>
    <comment ref="F1" authorId="0" shapeId="0">
      <text>
        <t>False once the record has been replaced or deactivated, such as a parcel split by a sale. Inactive records are kept for the history.</t>
      </text>
    </comment>
    <comment ref="G1" authorId="0" shapeId="0">
      <text>
        <t>Free text notes about the record.</t>
      </text>
    </comment>
    <comment ref="H1" authorId="0" shapeId="0">
      <text>
        <t>Summary of the trade. Set by the app; do not edit.</t>
      </text>
    </comment>
    <comment ref="I1" authorId="0" shapeId="0">
      <text>
        <t>The instrument traded. Enter its name as listed in the Instrument table.</t>
      </text>
    </comment>
    <comment ref="J1" authorId="0" shapeId="0">
      <text>
        <t>Date of the trade.</t>
      </text>
    </comment>
    <comment ref="K1" authorId="0" shapeId="0">
      <text>
        <t>Number of units traded. Must be positive.</t>
      </text>
    </comment>
    <comment ref="L1" authorId="0" shapeId="0">
      <text>
        <t>Currency of unit_price, as a code such as AUD or USD.</t>
      </text>
    </comment>
    <comment ref="M1" authorId="0" shapeId="0">
      <text>
        <t>Price per unit, in the currency named beside it.</t>
      </text>
    </comment>
    <comment ref="N1" authorId="0" shapeId="0">
      <text>
        <t>Currency of total_brokerage, as a code such as AUD or USD.</t>
      </text>
    </comment>
    <comment ref="O1" authorId="0" shapeId="0">
      <text>
        <t>Brokerage and fees for the whole trade, not per unit.</t>
      </text>
    </comment>
    <comment ref="P1" authorId="0" shapeId="0">
      <text>
        <t>Path to a supporting document, such as a contract note. The file is copied into the app; a path that does not exist is ignored.</t>
      </text>
    </comment>
    <comment ref="Q1" authorId="0" shapeId="0">
      <text>
        <t>Fiscal year the trade date falls in. Set by the app; do not edit.</t>
      </text>
    </comment>
    <comment ref="R1" authorId="0" shapeId="0">
      <text>
        <t>Currency of calculated_total_brokerage_converted, as a code such as AUD or USD. Set by the app; do not edit.</t>
      </text>
    </comment>
    <comment ref="S1" authorId="0" shapeId="0">
      <text>
        <t>Total brokerage in the portfolio currency. Set by the app; do not edit.</t>
      </text>
    </comment>
    <comment ref="T1" authorId="0" shapeId="0">
      <text>
        <t>Currency of calculated_unit_brokerage_converted, as a code such as AUD or USD. Set by the app; do not edit.</t>
      </text>
    </comment>
    <comment ref="U1" authorId="0" shapeId="0">
      <text>
        <t>Brokerage per unit in the portfolio currency. Set by the app; do not edit.</t>
      </text>
    </comment>
    <comment ref="V1" authorId="0" shapeId="0">
      <text>
        <t>Currency of calculated_unit_price_converted, as a code such as AUD or USD. Set by the app; do not edit.</t>
      </text>
    </comment>
    <comment ref="W1" authorId="0" shapeId="0">
      <text>
        <t>Price per unit in the portfolio currency. Set by the app; do not edit.</t>
      </text>
    </comment>
    <comment ref="X1" authorId="0" shapeId="0">
      <text>
        <t>Whether the app has already created the parcel for this buy. Set by the app; do not edit.</t>
      </text>
    </comment>
    <comment ref="Y1" authorId="0" shapeId="0">
      <text>
        <t>The parcels created from this buy, as text. Set by the app; do not edit.</t>
      </text>
    </comment>
    <comment ref="Z1" authorId="0" shapeId="0">
      <text>
        <t>Rate to the portfolio currency on the trade date. Looked up for foreign currency trades. The id of the record.</t>
      </text>
    </comment>
  </commentList>
</comments>
</file>

<file path=xl/comments/comment12.xml><?xml version="1.0" encoding="utf-8"?>
<comments xmlns="http://schemas.openxmlformats.org/spreadsheetml/2006/main">
  <authors>
    <author>Share Dinkum</author>
  </authors>
  <commentList>
    <comment ref="A1" authorId="0" shapeId="0">
      <text>
        <t>Unique identifier. Exports carry it so a file can be restored; leave it out of an import template.</t>
      </text>
    </comment>
    <comment ref="B1" authorId="0" shapeId="0">
      <text>
        <t>Your own reference for this row, such as B001. Rows in other tables refer to it, and loading the file again matches on it, so keep it unique within the table.</t>
      </text>
    </comment>
    <comment ref="C1" authorId="0" shapeId="0">
      <text>
        <t>The portfolio this record belongs to. The id of the record.</t>
      </text>
    </comment>
    <comment ref="D1" authorId="0" shapeId="0">
      <text>
        <t>When the record was created.</t>
      </text>
    </comment>
    <comment ref="E1" authorId="0" shapeId="0">
      <text>
        <t>When the record was last changed.</t>
      </text>
    </comment>
    <comment ref="F1" authorId="0" shapeId="0">
      <text>
        <t>False once the record has been replaced or deactivated, such as a parcel split by a sale. Inactive records are kept for the history.</t>
      </text>
    </comment>
    <comment ref="G1" authorId="0" shapeId="0">
      <text>
        <t>Free text notes about the record.</t>
      </text>
    </comment>
    <comment ref="H1" authorId="0" shapeId="0">
      <text>
        <t>Summary of the trade. Set by the app; do not edit.</t>
      </text>
    </comment>
    <comment ref="I1" authorId="0" shapeId="0">
      <text>
        <t>The instrument traded. Enter its name as listed in the Instrument table.</t>
      </text>
    </comment>
    <comment ref="J1" authorId="0" shapeId="0">
      <text>
        <t>Date of the trade.</t>
      </text>
    </comment>
    <comment ref="K1" authorId="0" shapeId="0">
      <text>
        <t>Number of units traded. Must be positive.</t>
      </text>
    </comment>
    <comment ref="L1" authorId="0" shapeId="0">
      <text>
        <t>Currency of unit_price, as a code such as AUD or USD.</t>
      </text>
    </comment>
    <comment ref="M1" authorId="0" shapeId="0">
      <text>
        <t>Price per unit, in the currency named beside it.</t>
      </text>
    </comment>
    <comment ref="N1" authorId="0" shapeId="0">
      <text>
        <t>Currency of total_brokerage, as a code such as AUD or USD.</t>
      </text>
    </comment>
    <comment ref="O1" authorId="0" shapeId="0">
      <text>
        <t>Brokerage and fees for the whole trade, not per unit.</t>
      </text>
    </comment>
    <comment ref="P1" authorId="0" shapeId="0">
      <text>
        <t>Path to a supporting document, such as a contract note. The file is copied into the app; a path that does not exist is ignored.</t>
      </text>
    </comment>
    <comment ref="Q1" authorId="0" shapeId="0">
      <text>
        <t>Fiscal year the trade date falls in. Set by the app; do not edit.</t>
      </text>
    </comment>
    <comment ref="R1" authorId="0" shapeId="0">
      <text>
        <t>Currency of calculated_total_brokerage_converted, as a code such as AUD or USD. Set by the app; do not edit.</t>
      </text>
    </comment>
    <comment ref="S1" authorId="0" shapeId="0">
      <text>
        <t>Total brokerage in the portfolio currency. Set by the app; do not edit.</t>
      </text>
    </comment>
    <comment ref="T1" authorId="0" shapeId="0">
      <text>
        <t>Currency of calculated_unit_brokerage_converted, as a code such as AUD or USD. Set by the app; do not edit.</t>
      </text>
    </comment>
    <comment ref="U1" authorId="0" shapeId="0">
      <text>
        <t>Brokerage per unit in the portfolio currency. Set by the app; do not edit.</t>
      </text>
    </comment>
    <comment ref="V1" authorId="0" shapeId="0">
      <text>
        <t>Currency of calculated_unit_price_converted, as a code such as AUD or USD. Set by the app; do not edit.</t>
      </text>
    </comment>
    <comment ref="W1" authorId="0" shapeId="0">
      <text>
        <t>Price per unit in the portfolio currency. Set by the app; do not edit.</t>
      </text>
    </comment>
    <comment ref="X1" authorId="0" shapeId="0">
      <text>
        <t>Whether the app has already allocated this sale to parcels. Set by the app; do not edit.</t>
      </text>
    </comment>
    <comment ref="Y1" authorId="0" shapeId="0">
      <text>
        <t>How the sale picks the parcels it consumes. MANUAL means you give the allocations yourself.</t>
      </text>
    </comment>
    <comment ref="Z1" authorId="0" shapeId="0">
      <text>
        <t>Currency of calculated_proceeds, as a code such as AUD or USD. Set by the app; do not edit.</t>
      </text>
    </comment>
    <comment ref="AA1" authorId="0" shapeId="0">
      <text>
        <t>Quantity times unit price less brokerage, in the portfolio currency. Set by the app; do not edit.</t>
      </text>
    </comment>
    <comment ref="AB1" authorId="0" shapeId="0">
      <text>
        <t>Currency of calculated_unit_proceeds, as a code such as AUD or USD. Set by the app; do not edit.</t>
      </text>
    </comment>
    <comment ref="AC1" authorId="0" shapeId="0">
      <text>
        <t>Proceeds per unit, in the portfolio currency. Set by the app; do not edit.</t>
      </text>
    </comment>
    <comment ref="AD1" authorId="0" shapeId="0">
      <text>
        <t>Units sold that no parcel has been allocated to yet. Set by the app; do not edit.</t>
      </text>
    </comment>
    <comment ref="AE1" authorId="0" shapeId="0">
      <text>
        <t>Rate to the portfolio currency on the trade date. Looked up for foreign currency trades. The id of the record.</t>
      </text>
    </comment>
  </commentList>
</comments>
</file>

<file path=xl/comments/comment13.xml><?xml version="1.0" encoding="utf-8"?>
<comments xmlns="http://schemas.openxmlformats.org/spreadsheetml/2006/main">
  <authors>
    <author>Share Dinkum</author>
  </authors>
  <commentList>
    <comment ref="A1" authorId="0" shapeId="0">
      <text>
        <t>Unique identifier. Exports carry it so a file can be restored; leave it out of an import template.</t>
      </text>
    </comment>
    <comment ref="B1" authorId="0" shapeId="0">
      <text>
        <t>Your own reference for this row, such as B001. Rows in other tables refer to it, and loading the file again matches on it, so keep it unique within the table.</t>
      </text>
    </comment>
    <comment ref="C1" authorId="0" shapeId="0">
      <text>
        <t>The portfolio this record belongs to. The id of the record.</t>
      </text>
    </comment>
    <comment ref="D1" authorId="0" shapeId="0">
      <text>
        <t>When the record was created.</t>
      </text>
    </comment>
    <comment ref="E1" authorId="0" shapeId="0">
      <text>
        <t>When the record was last changed.</t>
      </text>
    </comment>
    <comment ref="F1" authorId="0" shapeId="0">
      <text>
        <t>False once the record has been replaced or deactivated, such as a parcel split by a sale. Inactive records are kept for the history.</t>
      </text>
    </comment>
    <comment ref="G1" authorId="0" shapeId="0">
      <text>
        <t>Free text notes about the record.</t>
      </text>
    </comment>
    <comment ref="H1" authorId="0" shapeId="0">
      <text>
        <t>Summary of the parcel. Set by the app; do not edit.</t>
      </text>
    </comment>
    <comment ref="I1" authorId="0" shapeId="0">
      <text>
        <t>The buy this parcel came from. The id of the record.</t>
      </text>
    </comment>
    <comment ref="J1" authorId="0" shapeId="0">
      <text>
        <t>Units in the parcel, in the units in force today.</t>
      </text>
    </comment>
    <comment ref="K1" authorId="0" shapeId="0">
      <text>
        <t>Product of every share split applied since the buy. Prices on the buy are divided by it.</t>
      </text>
    </comment>
    <comment ref="L1" authorId="0" shapeId="0">
      <text>
        <t>Date the parcel came into existence.</t>
      </text>
    </comment>
    <comment ref="M1" authorId="0" shapeId="0">
      <text>
        <t>Date the parcel was replaced by split parcels. Blank while it is current.</t>
      </text>
    </comment>
    <comment ref="N1" authorId="0" shapeId="0">
      <text>
        <t>Date the parcel was sold. Blank while held.</t>
      </text>
    </comment>
    <comment ref="O1" authorId="0" shapeId="0">
      <text>
        <t>Name of the instrument bought. Set by the app; do not edit.</t>
      </text>
    </comment>
    <comment ref="P1" authorId="0" shapeId="0">
      <text>
        <t>Units not yet sold. Set by the app; do not edit.</t>
      </text>
    </comment>
    <comment ref="Q1" authorId="0" shapeId="0">
      <text>
        <t>True once every unit has been sold. Set by the app; do not edit.</t>
      </text>
    </comment>
    <comment ref="R1" authorId="0" shapeId="0">
      <text>
        <t>Currency of calculated_adjusted_unit_brokerage, as a code such as AUD or USD. Set by the app; do not edit.</t>
      </text>
    </comment>
    <comment ref="S1" authorId="0" shapeId="0">
      <text>
        <t>Buy brokerage per unit after splits, in the portfolio currency. Set by the app; do not edit.</t>
      </text>
    </comment>
    <comment ref="T1" authorId="0" shapeId="0">
      <text>
        <t>Currency of calculated_total_cost_base, as a code such as AUD or USD. Set by the app; do not edit.</t>
      </text>
    </comment>
    <comment ref="U1" authorId="0" shapeId="0">
      <text>
        <t>Price, brokerage and cost base adjustments for the whole parcel, in the portfolio currency. Set by the app; do not edit.</t>
      </text>
    </comment>
    <comment ref="V1" authorId="0" shapeId="0">
      <text>
        <t>Currency of calculated_unit_cost_base, as a code such as AUD or USD. Set by the app; do not edit.</t>
      </text>
    </comment>
    <comment ref="W1" authorId="0" shapeId="0">
      <text>
        <t>Total cost base divided by the units in the parcel. Set by the app; do not edit.</t>
      </text>
    </comment>
    <comment ref="X1" authorId="0" shapeId="0">
      <text>
        <t>The parcel this one was split from, by a sale or a share split. Blank for the first. The id of the record.</t>
      </text>
    </comment>
  </commentList>
</comments>
</file>

<file path=xl/comments/comment14.xml><?xml version="1.0" encoding="utf-8"?>
<comments xmlns="http://schemas.openxmlformats.org/spreadsheetml/2006/main">
  <authors>
    <author>Share Dinkum</author>
  </authors>
  <commentList>
    <comment ref="A1" authorId="0" shapeId="0">
      <text>
        <t>Unique identifier. Exports carry it so a file can be restored; leave it out of an import template.</t>
      </text>
    </comment>
    <comment ref="B1" authorId="0" shapeId="0">
      <text>
        <t>Your own reference for this row, such as B001. Rows in other tables refer to it, and loading the file again matches on it, so keep it unique within the table.</t>
      </text>
    </comment>
    <comment ref="C1" authorId="0" shapeId="0">
      <text>
        <t>The portfolio this record belongs to. The id of the record.</t>
      </text>
    </comment>
    <comment ref="D1" authorId="0" shapeId="0">
      <text>
        <t>When the record was created.</t>
      </text>
    </comment>
    <comment ref="E1" authorId="0" shapeId="0">
      <text>
        <t>When the record was last changed.</t>
      </text>
    </comment>
    <comment ref="F1" authorId="0" shapeId="0">
      <text>
        <t>False once the record has been replaced or deactivated, such as a parcel split by a sale. Inactive records are kept for the history.</t>
      </text>
    </comment>
    <comment ref="G1" authorId="0" shapeId="0">
      <text>
        <t>Free text notes about the record.</t>
      </text>
    </comment>
    <comment ref="H1" authorId="0" shapeId="0">
      <text>
        <t>Summary of the allocation. Set by the app; do not edit.</t>
      </text>
    </comment>
    <comment ref="I1" authorId="0" shapeId="0">
      <text>
        <t>Whether the app has already split the parcel for this allocation. Set by the app; do not edit.</t>
      </text>
    </comment>
    <comment ref="J1" authorId="0" shapeId="0">
      <text>
        <t>The parcel the units are taken from. The id of the record.</t>
      </text>
    </comment>
    <comment ref="K1" authorId="0" shapeId="0">
      <text>
        <t>The sale the units are allocated to. The id of the record.</t>
      </text>
    </comment>
    <comment ref="L1" authorId="0" shapeId="0">
      <text>
        <t>Units taken from the parcel by the sale.</t>
      </text>
    </comment>
    <comment ref="M1" authorId="0" shapeId="0">
      <text>
        <t>Date of the sale. Set by the app; do not edit.</t>
      </text>
    </comment>
    <comment ref="N1" authorId="0" shapeId="0">
      <text>
        <t>Fiscal year of the sale. Set by the app; do not edit.</t>
      </text>
    </comment>
    <comment ref="O1" authorId="0" shapeId="0">
      <text>
        <t>Days from the buy to the sale. Set by the app; do not edit.</t>
      </text>
    </comment>
    <comment ref="P1" authorId="0" shapeId="0">
      <text>
        <t>Currency of calculated_total_capital_gain, as a code such as AUD or USD. Set by the app; do not edit.</t>
      </text>
    </comment>
    <comment ref="Q1" authorId="0" shapeId="0">
      <text>
        <t>Share of the sale proceeds less the parcel's cost base, in the portfolio currency. Before any CGT discount. Set by the app; do not edit.</t>
      </text>
    </comment>
  </commentList>
</comments>
</file>

<file path=xl/comments/comment15.xml><?xml version="1.0" encoding="utf-8"?>
<comments xmlns="http://schemas.openxmlformats.org/spreadsheetml/2006/main">
  <authors>
    <author>Share Dinkum</author>
  </authors>
  <commentList>
    <comment ref="A1" authorId="0" shapeId="0">
      <text>
        <t>Unique identifier. Exports carry it so a file can be restored; leave it out of an import template.</t>
      </text>
    </comment>
    <comment ref="B1" authorId="0" shapeId="0">
      <text>
        <t>Your own reference for this row, such as B001. Rows in other tables refer to it, and loading the file again matches on it, so keep it unique within the table.</t>
      </text>
    </comment>
    <comment ref="C1" authorId="0" shapeId="0">
      <text>
        <t>Short description of the record.</t>
      </text>
    </comment>
    <comment ref="D1" authorId="0" shapeId="0">
      <text>
        <t>The portfolio this record belongs to. The id of the record.</t>
      </text>
    </comment>
    <comment ref="E1" authorId="0" shapeId="0">
      <text>
        <t>When the record was created.</t>
      </text>
    </comment>
    <comment ref="F1" authorId="0" shapeId="0">
      <text>
        <t>When the record was last changed.</t>
      </text>
    </comment>
    <comment ref="G1" authorId="0" shapeId="0">
      <text>
        <t>False once the record has been replaced or deactivated, such as a parcel split by a sale. Inactive records are kept for the history.</t>
      </text>
    </comment>
    <comment ref="H1" authorId="0" shapeId="0">
      <text>
        <t>Free text notes about the record.</t>
      </text>
    </comment>
    <comment ref="I1" authorId="0" shapeId="0">
      <text>
        <t>The instrument that split. Enter its name as listed in the Instrument table.</t>
      </text>
    </comment>
    <comment ref="J1" authorId="0" shapeId="0">
      <text>
        <t>Units before the split, in the ratio. For a 1-for-4 split, 1.</t>
      </text>
    </comment>
    <comment ref="K1" authorId="0" shapeId="0">
      <text>
        <t>Units after the split, in the ratio. For a 1-for-4 split, 4.</t>
      </text>
    </comment>
    <comment ref="L1" authorId="0" shapeId="0">
      <text>
        <t>The ex-date. Trades on it are already in post-split units, so only parcels bought before it are split.</t>
      </text>
    </comment>
    <comment ref="M1" authorId="0" shapeId="0">
      <text>
        <t>Path to a supporting document. The file is copied into the app.</t>
      </text>
    </comment>
    <comment ref="N1" authorId="0" shapeId="0">
      <text>
        <t>Whether the app has already applied this split to parcels. Set by the app; do not edit.</t>
      </text>
    </comment>
    <comment ref="O1" authorId="0" shapeId="0">
      <text>
        <t>Units after divided by units before. Set by the app; do not edit.</t>
      </text>
    </comment>
    <comment ref="P1" authorId="0" shapeId="0">
      <text>
        <t>The parcels the split was applied to, as text. Set by the app; do not edit.</t>
      </text>
    </comment>
  </commentList>
</comments>
</file>

<file path=xl/comments/comment16.xml><?xml version="1.0" encoding="utf-8"?>
<comments xmlns="http://schemas.openxmlformats.org/spreadsheetml/2006/main">
  <authors>
    <author>Share Dinkum</author>
  </authors>
  <commentList>
    <comment ref="A1" authorId="0" shapeId="0">
      <text>
        <t>Unique identifier. Exports carry it so a file can be restored; leave it out of an import template.</t>
      </text>
    </comment>
    <comment ref="B1" authorId="0" shapeId="0">
      <text>
        <t>Your own reference for this row, such as B001. Rows in other tables refer to it, and loading the file again matches on it, so keep it unique within the table.</t>
      </text>
    </comment>
    <comment ref="C1" authorId="0" shapeId="0">
      <text>
        <t>Short description of the record.</t>
      </text>
    </comment>
    <comment ref="D1" authorId="0" shapeId="0">
      <text>
        <t>The portfolio this record belongs to. The id of the record.</t>
      </text>
    </comment>
    <comment ref="E1" authorId="0" shapeId="0">
      <text>
        <t>When the record was created.</t>
      </text>
    </comment>
    <comment ref="F1" authorId="0" shapeId="0">
      <text>
        <t>When the record was last changed.</t>
      </text>
    </comment>
    <comment ref="G1" authorId="0" shapeId="0">
      <text>
        <t>False once the record has been replaced or deactivated, such as a parcel split by a sale. Inactive records are kept for the history.</t>
      </text>
    </comment>
    <comment ref="H1" authorId="0" shapeId="0">
      <text>
        <t>Free text notes about the record.</t>
      </text>
    </comment>
    <comment ref="I1" authorId="0" shapeId="0">
      <text>
        <t>Currency of cost_base_increase, as a code such as AUD or USD.</t>
      </text>
    </comment>
    <comment ref="J1" authorId="0" shapeId="0">
      <text>
        <t>Change to the total cost base for the year, from the annual tax statement. Negative for a decrease.</t>
      </text>
    </comment>
    <comment ref="K1" authorId="0" shapeId="0">
      <text>
        <t>The instrument adjusted. Enter its name as listed in the Instrument table.</t>
      </text>
    </comment>
    <comment ref="L1" authorId="0" shapeId="0">
      <text>
        <t>The last day of the financial year the statement covers.</t>
      </text>
    </comment>
    <comment ref="M1" authorId="0" shapeId="0">
      <text>
        <t>Path to the annual tax statement. The file is copied into the app.</t>
      </text>
    </comment>
    <comment ref="N1" authorId="0" shapeId="0">
      <text>
        <t>Whether the app has already spread this over parcels. Set by the app; do not edit.</t>
      </text>
    </comment>
    <comment ref="O1" authorId="0" shapeId="0">
      <text>
        <t>Fiscal year the adjustment is for. Set by the app; do not edit.</t>
      </text>
    </comment>
    <comment ref="P1" authorId="0" shapeId="0">
      <text>
        <t>Currency of calculated_cost_base_increase_converted, as a code such as AUD or USD. Set by the app; do not edit.</t>
      </text>
    </comment>
    <comment ref="Q1" authorId="0" shapeId="0">
      <text>
        <t>The adjustment in the portfolio currency. Set by the app; do not edit.</t>
      </text>
    </comment>
    <comment ref="R1" authorId="0" shapeId="0">
      <text>
        <t>How the adjustment is spread across parcels. QTY_HELD weights by units and days held.</t>
      </text>
    </comment>
  </commentList>
</comments>
</file>

<file path=xl/comments/comment17.xml><?xml version="1.0" encoding="utf-8"?>
<comments xmlns="http://schemas.openxmlformats.org/spreadsheetml/2006/main">
  <authors>
    <author>Share Dinkum</author>
  </authors>
  <commentList>
    <comment ref="A1" authorId="0" shapeId="0">
      <text>
        <t>Unique identifier. Exports carry it so a file can be restored; leave it out of an import template.</t>
      </text>
    </comment>
    <comment ref="B1" authorId="0" shapeId="0">
      <text>
        <t>Your own reference for this row, such as B001. Rows in other tables refer to it, and loading the file again matches on it, so keep it unique within the table.</t>
      </text>
    </comment>
    <comment ref="C1" authorId="0" shapeId="0">
      <text>
        <t>Short description of the record.</t>
      </text>
    </comment>
    <comment ref="D1" authorId="0" shapeId="0">
      <text>
        <t>The portfolio this record belongs to. The id of the record.</t>
      </text>
    </comment>
    <comment ref="E1" authorId="0" shapeId="0">
      <text>
        <t>When the record was created.</t>
      </text>
    </comment>
    <comment ref="F1" authorId="0" shapeId="0">
      <text>
        <t>When the record was last changed.</t>
      </text>
    </comment>
    <comment ref="G1" authorId="0" shapeId="0">
      <text>
        <t>False once the record has been replaced or deactivated, such as a parcel split by a sale. Inactive records are kept for the history.</t>
      </text>
    </comment>
    <comment ref="H1" authorId="0" shapeId="0">
      <text>
        <t>Free text notes about the record.</t>
      </text>
    </comment>
    <comment ref="I1" authorId="0" shapeId="0">
      <text>
        <t>Currency of cost_base_increase, as a code such as AUD or USD.</t>
      </text>
    </comment>
    <comment ref="J1" authorId="0" shapeId="0">
      <text>
        <t>The part of the adjustment given to this parcel. Set by the app; do not edit.</t>
      </text>
    </comment>
    <comment ref="K1" authorId="0" shapeId="0">
      <text>
        <t>The parcel the adjustment part was given to. The id of the record.</t>
      </text>
    </comment>
    <comment ref="L1" authorId="0" shapeId="0">
      <text>
        <t>The adjustment this part came from. The id of the record.</t>
      </text>
    </comment>
    <comment ref="M1" authorId="0" shapeId="0">
      <text>
        <t>Date this allocation took effect. Set by the app; do not edit.</t>
      </text>
    </comment>
    <comment ref="N1" authorId="0" shapeId="0">
      <text>
        <t>Date this allocation stopped applying. Blank while it does. Set by the app; do not edit.</t>
      </text>
    </comment>
  </commentList>
</comments>
</file>

<file path=xl/comments/comment18.xml><?xml version="1.0" encoding="utf-8"?>
<comments xmlns="http://schemas.openxmlformats.org/spreadsheetml/2006/main">
  <authors>
    <author>Share Dinkum</author>
  </authors>
  <commentList>
    <comment ref="A1" authorId="0" shapeId="0">
      <text>
        <t>Unique identifier. Exports carry it so a file can be restored; leave it out of an import template.</t>
      </text>
    </comment>
    <comment ref="B1" authorId="0" shapeId="0">
      <text>
        <t>Your own reference for this row, such as B001. Rows in other tables refer to it, and loading the file again matches on it, so keep it unique within the table.</t>
      </text>
    </comment>
    <comment ref="C1" authorId="0" shapeId="0">
      <text>
        <t>The portfolio this record belongs to. The id of the record.</t>
      </text>
    </comment>
    <comment ref="D1" authorId="0" shapeId="0">
      <text>
        <t>When the record was created.</t>
      </text>
    </comment>
    <comment ref="E1" authorId="0" shapeId="0">
      <text>
        <t>When the record was last changed.</t>
      </text>
    </comment>
    <comment ref="F1" authorId="0" shapeId="0">
      <text>
        <t>False once the record has been replaced or deactivated, such as a parcel split by a sale. Inactive records are kept for the history.</t>
      </text>
    </comment>
    <comment ref="G1" authorId="0" shapeId="0">
      <text>
        <t>Free text notes about the record.</t>
      </text>
    </comment>
    <comment ref="H1" authorId="0" shapeId="0">
      <text>
        <t>Summary of the payment. Set by the app; do not edit.</t>
      </text>
    </comment>
    <comment ref="I1" authorId="0" shapeId="0">
      <text>
        <t>The instrument that paid. Enter its name as listed in the Instrument table.</t>
      </text>
    </comment>
    <comment ref="J1" authorId="0" shapeId="0">
      <text>
        <t>Date the payment was received.</t>
      </text>
    </comment>
    <comment ref="K1" authorId="0" shapeId="0">
      <text>
        <t>Units you were paid on. Normally the units held the day before the ex-date.</t>
      </text>
    </comment>
    <comment ref="L1" authorId="0" shapeId="0">
      <text>
        <t>Path to the payment advice or statement. The file is copied into the app.</t>
      </text>
    </comment>
    <comment ref="M1" authorId="0" shapeId="0">
      <text>
        <t>Fiscal year the payment date falls in. Set by the app; do not edit.</t>
      </text>
    </comment>
    <comment ref="N1" authorId="0" shapeId="0">
      <text>
        <t>LOCAL for an Australian company, FOREIGN for an overseas one.</t>
      </text>
    </comment>
    <comment ref="O1" authorId="0" shapeId="0">
      <text>
        <t>Currency of unfranked_amount_per_share, as a code such as AUD or USD.</t>
      </text>
    </comment>
    <comment ref="P1" authorId="0" shapeId="0">
      <text>
        <t>Unfranked part of the dividend, per share.</t>
      </text>
    </comment>
    <comment ref="Q1" authorId="0" shapeId="0">
      <text>
        <t>Currency of franked_amount_per_share, as a code such as AUD or USD.</t>
      </text>
    </comment>
    <comment ref="R1" authorId="0" shapeId="0">
      <text>
        <t>Franked part of the dividend, per share. Franking credits are worked out from it.</t>
      </text>
    </comment>
    <comment ref="S1" authorId="0" shapeId="0">
      <text>
        <t>Currency of local_withholding_tax, as a code such as AUD or USD.</t>
      </text>
    </comment>
    <comment ref="T1" authorId="0" shapeId="0">
      <text>
        <t>Tax withheld in the country of the payer, for the whole payment.</t>
      </text>
    </comment>
    <comment ref="U1" authorId="0" shapeId="0">
      <text>
        <t>Currency of foreign_tax_credit, as a code such as AUD or USD.</t>
      </text>
    </comment>
    <comment ref="V1" authorId="0" shapeId="0">
      <text>
        <t>Foreign tax paid that can be claimed as a credit, for the whole payment.</t>
      </text>
    </comment>
    <comment ref="W1" authorId="0" shapeId="0">
      <text>
        <t>Currency of lic_capital_gain, as a code such as AUD or USD.</t>
      </text>
    </comment>
    <comment ref="X1" authorId="0" shapeId="0">
      <text>
        <t>Capital gain component of a listed investment company dividend, for the whole payment.</t>
      </text>
    </comment>
    <comment ref="Y1" authorId="0" shapeId="0">
      <text>
        <t>Enter a percentage value (e.g., 25.00 for 25%)</t>
      </text>
    </comment>
    <comment ref="Z1" authorId="0" shapeId="0">
      <text>
        <t>Currency of calculated_total_unfranked_amount, as a code such as AUD or USD. Set by the app; do not edit.</t>
      </text>
    </comment>
    <comment ref="AA1" authorId="0" shapeId="0">
      <text>
        <t>Unfranked amount per share times units. Set by the app; do not edit.</t>
      </text>
    </comment>
    <comment ref="AB1" authorId="0" shapeId="0">
      <text>
        <t>Currency of calculated_total_franked_amount, as a code such as AUD or USD. Set by the app; do not edit.</t>
      </text>
    </comment>
    <comment ref="AC1" authorId="0" shapeId="0">
      <text>
        <t>Franked amount per share times units. Set by the app; do not edit.</t>
      </text>
    </comment>
    <comment ref="AD1" authorId="0" shapeId="0">
      <text>
        <t>Currency of calculated_total_franking_credits, as a code such as AUD or USD. Set by the app; do not edit.</t>
      </text>
    </comment>
    <comment ref="AE1" authorId="0" shapeId="0">
      <text>
        <t>Franking credits on the franked amount, at the company tax rate. Set by the app; do not edit.</t>
      </text>
    </comment>
    <comment ref="AF1" authorId="0" shapeId="0">
      <text>
        <t>Currency of calculated_total_dividend, as a code such as AUD or USD. Set by the app; do not edit.</t>
      </text>
    </comment>
    <comment ref="AG1" authorId="0" shapeId="0">
      <text>
        <t>Unfranked plus franked amount for the whole payment. Set by the app; do not edit.</t>
      </text>
    </comment>
    <comment ref="AH1" authorId="0" shapeId="0">
      <text>
        <t>Currency of calculated_total_dividend_converted, as a code such as AUD or USD. Set by the app; do not edit.</t>
      </text>
    </comment>
    <comment ref="AI1" authorId="0" shapeId="0">
      <text>
        <t>Total dividend in the portfolio currency. Set by the app; do not edit.</t>
      </text>
    </comment>
    <comment ref="AJ1" authorId="0" shapeId="0">
      <text>
        <t>Rate to the portfolio currency on the payment date. Looked up for foreign currency payments. The id of the record.</t>
      </text>
    </comment>
  </commentList>
</comments>
</file>

<file path=xl/comments/comment19.xml><?xml version="1.0" encoding="utf-8"?>
<comments xmlns="http://schemas.openxmlformats.org/spreadsheetml/2006/main">
  <authors>
    <author>Share Dinkum</author>
  </authors>
  <commentList>
    <comment ref="A1" authorId="0" shapeId="0">
      <text>
        <t>Unique identifier. Exports carry it so a file can be restored; leave it out of an import template.</t>
      </text>
    </comment>
    <comment ref="B1" authorId="0" shapeId="0">
      <text>
        <t>Your own reference for this row, such as B001. Rows in other tables refer to it, and loading the file again matches on it, so keep it unique within the table.</t>
      </text>
    </comment>
    <comment ref="C1" authorId="0" shapeId="0">
      <text>
        <t>The portfolio this record belongs to. The id of the record.</t>
      </text>
    </comment>
    <comment ref="D1" authorId="0" shapeId="0">
      <text>
        <t>When the record was created.</t>
      </text>
    </comment>
    <comment ref="E1" authorId="0" shapeId="0">
      <text>
        <t>When the record was last changed.</t>
      </text>
    </comment>
    <comment ref="F1" authorId="0" shapeId="0">
      <text>
        <t>False once the record has been replaced or deactivated, such as a parcel split by a sale. Inactive records are kept for the history.</t>
      </text>
    </comment>
    <comment ref="G1" authorId="0" shapeId="0">
      <text>
        <t>Free text notes about the record.</t>
      </text>
    </comment>
    <comment ref="H1" authorId="0" shapeId="0">
      <text>
        <t>Summary of the payment. Set by the app; do not edit.</t>
      </text>
    </comment>
    <comment ref="I1" authorId="0" shapeId="0">
      <text>
        <t>The instrument that paid. Enter its name as listed in the Instrument table.</t>
      </text>
    </comment>
    <comment ref="J1" authorId="0" shapeId="0">
      <text>
        <t>Date the payment was received.</t>
      </text>
    </comment>
    <comment ref="K1" authorId="0" shapeId="0">
      <text>
        <t>Units you were paid on. Normally the units held the day before the ex-date.</t>
      </text>
    </comment>
    <comment ref="L1" authorId="0" shapeId="0">
      <text>
        <t>Path to the payment advice or statement. The file is copied into the app.</t>
      </text>
    </comment>
    <comment ref="M1" authorId="0" shapeId="0">
      <text>
        <t>Fiscal year the payment date falls in. Set by the app; do not edit.</t>
      </text>
    </comment>
    <comment ref="N1" authorId="0" shapeId="0">
      <text>
        <t>Currency of distribution_amount_per_share, as a code such as AUD or USD.</t>
      </text>
    </comment>
    <comment ref="O1" authorId="0" shapeId="0">
      <text>
        <t>Cash distribution per unit, in the currency named beside it.</t>
      </text>
    </comment>
    <comment ref="P1" authorId="0" shapeId="0">
      <text>
        <t>Currency of total_withholding_tax, as a code such as AUD or USD.</t>
      </text>
    </comment>
    <comment ref="Q1" authorId="0" shapeId="0">
      <text>
        <t>Tax withheld from the payment, for the whole payment.</t>
      </text>
    </comment>
    <comment ref="R1" authorId="0" shapeId="0">
      <text>
        <t>Currency of calculated_total_distribution, as a code such as AUD or USD. Set by the app; do not edit.</t>
      </text>
    </comment>
    <comment ref="S1" authorId="0" shapeId="0">
      <text>
        <t>Distribution per unit times units. Set by the app; do not edit.</t>
      </text>
    </comment>
    <comment ref="T1" authorId="0" shapeId="0">
      <text>
        <t>Currency of calculated_total_distribution_converted, as a code such as AUD or USD. Set by the app; do not edit.</t>
      </text>
    </comment>
    <comment ref="U1" authorId="0" shapeId="0">
      <text>
        <t>Total distribution in the portfolio currency. Set by the app; do not edit.</t>
      </text>
    </comment>
  </commentList>
</comments>
</file>

<file path=xl/comments/comment20.xml><?xml version="1.0" encoding="utf-8"?>
<comments xmlns="http://schemas.openxmlformats.org/spreadsheetml/2006/main">
  <authors>
    <author>Share Dinkum</author>
  </authors>
  <commentList>
    <comment ref="A1" authorId="0" shapeId="0">
      <text>
        <t>Unique identifier. Exports carry it so a file can be restored; leave it out of an import template.</t>
      </text>
    </comment>
    <comment ref="B1" authorId="0" shapeId="0">
      <text>
        <t>Your own reference for this row, such as B001. Rows in other tables refer to it, and loading the file again matches on it, so keep it unique within the table.</t>
      </text>
    </comment>
    <comment ref="C1" authorId="0" shapeId="0">
      <text>
        <t>Short description of the record.</t>
      </text>
    </comment>
    <comment ref="D1" authorId="0" shapeId="0">
      <text>
        <t>When the record was created.</t>
      </text>
    </comment>
    <comment ref="E1" authorId="0" shapeId="0">
      <text>
        <t>When the record was last changed.</t>
      </text>
    </comment>
    <comment ref="F1" authorId="0" shapeId="0">
      <text>
        <t>False once the record has been replaced or deactivated, such as a parcel split by a sale. Inactive records are kept for the history.</t>
      </text>
    </comment>
    <comment ref="G1" authorId="0" shapeId="0">
      <text>
        <t>Free text notes about the record.</t>
      </text>
    </comment>
    <comment ref="H1" authorId="0" shapeId="0">
      <text>
        <t>The exported Excel file. Set by the app; do not edit.</t>
      </text>
    </comment>
    <comment ref="I1" authorId="0" shapeId="0">
      <text>
        <t>The portfolio exported. The id of the record.</t>
      </text>
    </comment>
    <comment ref="J1" authorId="0" shapeId="0">
      <text>
        <t>Include price history in the export?</t>
      </text>
    </comment>
  </commentList>
</comments>
</file>

<file path=xl/comments/comment21.xml><?xml version="1.0" encoding="utf-8"?>
<comments xmlns="http://schemas.openxmlformats.org/spreadsheetml/2006/main">
  <authors>
    <author>Share Dinkum</author>
  </authors>
  <commentList>
    <comment ref="A1" authorId="0" shapeId="0">
      <text>
        <t>Unique identifier. Exports carry it so a file can be restored; leave it out of an import template.</t>
      </text>
    </comment>
    <comment ref="B1" authorId="0" shapeId="0">
      <text>
        <t>Your own reference for this row, such as B001. Rows in other tables refer to it, and loading the file again matches on it, so keep it unique within the table.</t>
      </text>
    </comment>
    <comment ref="C1" authorId="0" shapeId="0">
      <text>
        <t>Short description of the record.</t>
      </text>
    </comment>
    <comment ref="D1" authorId="0" shapeId="0">
      <text>
        <t>The portfolio this record belongs to. The id of the record.</t>
      </text>
    </comment>
    <comment ref="E1" authorId="0" shapeId="0">
      <text>
        <t>When the record was created.</t>
      </text>
    </comment>
    <comment ref="F1" authorId="0" shapeId="0">
      <text>
        <t>When the record was last changed.</t>
      </text>
    </comment>
    <comment ref="G1" authorId="0" shapeId="0">
      <text>
        <t>False once the record has been replaced or deactivated, such as a parcel split by a sale. Inactive records are kept for the history.</t>
      </text>
    </comment>
    <comment ref="H1" authorId="0" shapeId="0">
      <text>
        <t>Free text notes about the record.</t>
      </text>
    </comment>
    <comment ref="I1" authorId="0" shapeId="0">
      <text>
        <t>Tax residency status for the period.</t>
      </text>
    </comment>
    <comment ref="J1" authorId="0" shapeId="0">
      <text>
        <t>First day of this period.</t>
      </text>
    </comment>
    <comment ref="K1" authorId="0" shapeId="0">
      <text>
        <t>Last day of this period. Leave blank if ongoing.</t>
      </text>
    </comment>
    <comment ref="L1" authorId="0" shapeId="0">
      <text>
        <t>Where this period begins a departure from Australia: did you choose under s104-165(2) to disregard the deemed disposal on ceasing residency? If so, the assets you held then stay within the Australian CGT net until you sell them.</t>
      </text>
    </comment>
  </commentList>
</comments>
</file>

<file path=xl/comments/comment22.xml><?xml version="1.0" encoding="utf-8"?>
<comments xmlns="http://schemas.openxmlformats.org/spreadsheetml/2006/main">
  <authors>
    <author>Share Dinkum</author>
  </authors>
  <commentList>
    <comment ref="A1" authorId="0" shapeId="0">
      <text>
        <t>Unique identifier. Exports carry it so a file can be restored; leave it out of an import template.</t>
      </text>
    </comment>
    <comment ref="B1" authorId="0" shapeId="0">
      <text>
        <t>Your own reference for this row, such as B001. Rows in other tables refer to it, and loading the file again matches on it, so keep it unique within the table.</t>
      </text>
    </comment>
    <comment ref="C1" authorId="0" shapeId="0">
      <text>
        <t>Short description of the record.</t>
      </text>
    </comment>
    <comment ref="D1" authorId="0" shapeId="0">
      <text>
        <t>The portfolio this record belongs to. The id of the record.</t>
      </text>
    </comment>
    <comment ref="E1" authorId="0" shapeId="0">
      <text>
        <t>When the record was created.</t>
      </text>
    </comment>
    <comment ref="F1" authorId="0" shapeId="0">
      <text>
        <t>When the record was last changed.</t>
      </text>
    </comment>
    <comment ref="G1" authorId="0" shapeId="0">
      <text>
        <t>False once the record has been replaced or deactivated, such as a parcel split by a sale. Inactive records are kept for the history.</t>
      </text>
    </comment>
    <comment ref="H1" authorId="0" shapeId="0">
      <text>
        <t>Free text notes about the record.</t>
      </text>
    </comment>
    <comment ref="I1" authorId="0" shapeId="0">
      <text>
        <t>The fund the statement is from. Enter its name as listed in the Instrument table.</t>
      </text>
    </comment>
    <comment ref="J1" authorId="0" shapeId="0">
      <text>
        <t>The last day of the financial year the statement covers.</t>
      </text>
    </comment>
    <comment ref="K1" authorId="0" shapeId="0">
      <text>
        <t>Path to the annual statement. The file is copied into the app.</t>
      </text>
    </comment>
    <comment ref="L1" authorId="0" shapeId="0">
      <text>
        <t>The cost base adjustment entered from this same statement. Optional; used to check the two agree. The id of the record.</t>
      </text>
    </comment>
    <comment ref="M1" authorId="0" shapeId="0">
      <text>
        <t>Tick only if you were a foreign resident when paid and the fund withheld managed investment trust (MIT) withholding tax on the taxable Australian property part of its capital gain. That tax is final, so the gain is left out of the capital gains schedule (s840-815). Leave unticked otherwise: a resident, or a fund that did not withhold, still reports the gain.</t>
      </text>
    </comment>
    <comment ref="N1" authorId="0" shapeId="0">
      <text>
        <t>Fiscal year the statement covers. Set by the app; do not edit.</t>
      </text>
    </comment>
  </commentList>
</comments>
</file>

<file path=xl/comments/comment23.xml><?xml version="1.0" encoding="utf-8"?>
<comments xmlns="http://schemas.openxmlformats.org/spreadsheetml/2006/main">
  <authors>
    <author>Share Dinkum</author>
  </authors>
  <commentList>
    <comment ref="A1" authorId="0" shapeId="0">
      <text>
        <t>Unique identifier. Exports carry it so a file can be restored; leave it out of an import template.</t>
      </text>
    </comment>
    <comment ref="B1" authorId="0" shapeId="0">
      <text>
        <t>Your own reference for this row, such as B001. Rows in other tables refer to it, and loading the file again matches on it, so keep it unique within the table.</t>
      </text>
    </comment>
    <comment ref="C1" authorId="0" shapeId="0">
      <text>
        <t>Short description of the record.</t>
      </text>
    </comment>
    <comment ref="D1" authorId="0" shapeId="0">
      <text>
        <t>The portfolio this record belongs to. The id of the record.</t>
      </text>
    </comment>
    <comment ref="E1" authorId="0" shapeId="0">
      <text>
        <t>When the record was created.</t>
      </text>
    </comment>
    <comment ref="F1" authorId="0" shapeId="0">
      <text>
        <t>When the record was last changed.</t>
      </text>
    </comment>
    <comment ref="G1" authorId="0" shapeId="0">
      <text>
        <t>False once the record has been replaced or deactivated, such as a parcel split by a sale. Inactive records are kept for the history.</t>
      </text>
    </comment>
    <comment ref="H1" authorId="0" shapeId="0">
      <text>
        <t>Free text notes about the record.</t>
      </text>
    </comment>
    <comment ref="I1" authorId="0" shapeId="0">
      <text>
        <t>The annual statement this line is from. The id of the record.</t>
      </text>
    </comment>
    <comment ref="J1" authorId="0" shapeId="0">
      <text>
        <t>Which line of the statement this is.</t>
      </text>
    </comment>
    <comment ref="K1" authorId="0" shapeId="0">
      <text>
        <t>Currency of amount, as a code such as AUD or USD.</t>
      </text>
    </comment>
    <comment ref="L1" authorId="0" shapeId="0">
      <text>
        <t>The amount shown on that line of the statement.</t>
      </text>
    </comment>
  </commentList>
</comments>
</file>

<file path=xl/tables/table1.xml><?xml version="1.0" encoding="utf-8"?>
<table xmlns="http://schemas.openxmlformats.org/spreadsheetml/2006/main" id="1" name="table_info" displayName="table_info" ref="A1:E24" headerRowCount="1">
  <autoFilter ref="A1:E24"/>
  <tableColumns count="5">
    <tableColumn id="1" name="sheet_name"/>
    <tableColumn id="2" name="table_name"/>
    <tableColumn id="3" name="description"/>
    <tableColumn id="4" name="num_records"/>
    <tableColumn id="5" name="link"/>
  </tableColumns>
  <tableStyleInfo name="TableStyleMedium9" showFirstColumn="0" showLastColumn="0" showRowStripes="1" showColumnStripes="0"/>
</table>
</file>

<file path=xl/tables/table2.xml><?xml version="1.0" encoding="utf-8"?>
<table xmlns="http://schemas.openxmlformats.org/spreadsheetml/2006/main" id="2" name="AppUser" displayName="AppUser" ref="A1:K2" headerRowCount="1">
  <autoFilter ref="A1:K2"/>
  <tableColumns count="11">
    <tableColumn id="1" name="last_login"/>
    <tableColumn id="2" name="is_superuser"/>
    <tableColumn id="3" name="username"/>
    <tableColumn id="4" name="first_name"/>
    <tableColumn id="5" name="last_name"/>
    <tableColumn id="6" name="email"/>
    <tableColumn id="7" name="is_staff"/>
    <tableColumn id="8" name="is_active"/>
    <tableColumn id="9" name="date_joined"/>
    <tableColumn id="10" name="id"/>
    <tableColumn id="11" name="default_account_id"/>
  </tableColumns>
  <tableStyleInfo name="TableStyleMedium9" showFirstColumn="0" showLastColumn="0" showRowStripes="1" showColumnStripes="0"/>
</table>
</file>

<file path=xl/tables/table3.xml><?xml version="1.0" encoding="utf-8"?>
<table xmlns="http://schemas.openxmlformats.org/spreadsheetml/2006/main" id="3" name="FiscalYearType" displayName="FiscalYearType" ref="A1:D2" headerRowCount="1">
  <autoFilter ref="A1:D2"/>
  <tableColumns count="4">
    <tableColumn id="1" name="id"/>
    <tableColumn id="2" name="description"/>
    <tableColumn id="3" name="start_month"/>
    <tableColumn id="4" name="start_day"/>
  </tableColumns>
  <tableStyleInfo name="TableStyleMedium9" showFirstColumn="0" showLastColumn="0" showRowStripes="1" showColumnStripes="0"/>
</table>
</file>

<file path=xl/tables/table4.xml><?xml version="1.0" encoding="utf-8"?>
<table xmlns="http://schemas.openxmlformats.org/spreadsheetml/2006/main" id="4" name="FiscalYear" displayName="FiscalYear" ref="A1:D12" headerRowCount="1">
  <autoFilter ref="A1:D12"/>
  <tableColumns count="4">
    <tableColumn id="1" name="id"/>
    <tableColumn id="2" name="fiscal_year_type_id"/>
    <tableColumn id="3" name="start_year"/>
    <tableColumn id="4" name="name"/>
  </tableColumns>
  <tableStyleInfo name="TableStyleMedium9" showFirstColumn="0" showLastColumn="0" showRowStripes="1" showColumnStripes="0"/>
</table>
</file>

<file path=xl/tables/table5.xml><?xml version="1.0" encoding="utf-8"?>
<table xmlns="http://schemas.openxmlformats.org/spreadsheetml/2006/main" id="5" name="Account" displayName="Account" ref="A1:M2" headerRowCount="1">
  <autoFilter ref="A1:M2"/>
  <tableColumns count="13">
    <tableColumn id="1" name="id"/>
    <tableColumn id="2" name="description"/>
    <tableColumn id="3" name="created_at"/>
    <tableColumn id="4" name="updated_at"/>
    <tableColumn id="5" name="currency"/>
    <tableColumn id="6" name="owner_id"/>
    <tableColumn id="7" name="fiscal_year_type_id"/>
    <tableColumn id="8" name="update_price_history"/>
    <tableColumn id="9" name="taxpayer_type"/>
    <tableColumn id="10" name="tax_settings_reviewed_at"/>
    <tableColumn id="11" name="model_2027_regime"/>
    <tableColumn id="12" name="calculated_portfolio_value_converted_currency"/>
    <tableColumn id="13" name="calculated_portfolio_value_converted"/>
  </tableColumns>
  <tableStyleInfo name="TableStyleMedium9" showFirstColumn="0" showLastColumn="0" showRowStripes="1" showColumnStripes="0"/>
</table>
</file>

<file path=xl/tables/table6.xml><?xml version="1.0" encoding="utf-8"?>
<table xmlns="http://schemas.openxmlformats.org/spreadsheetml/2006/main" id="6" name="LogEntry" displayName="LogEntry" ref="A1:J1523" headerRowCount="1">
  <autoFilter ref="A1:J1523"/>
  <tableColumns count="10">
    <tableColumn id="1" name="id"/>
    <tableColumn id="2" name="legacy_id"/>
    <tableColumn id="3" name="description"/>
    <tableColumn id="4" name="account_id"/>
    <tableColumn id="5" name="created_at"/>
    <tableColumn id="6" name="updated_at"/>
    <tableColumn id="7" name="is_active"/>
    <tableColumn id="8" name="event"/>
    <tableColumn id="9" name="content_type__name"/>
    <tableColumn id="10" name="object_id"/>
  </tableColumns>
  <tableStyleInfo name="TableStyleMedium9" showFirstColumn="0" showLastColumn="0" showRowStripes="1" showColumnStripes="0"/>
</table>
</file>

<file path=xl/tables/table7.xml><?xml version="1.0" encoding="utf-8"?>
<table xmlns="http://schemas.openxmlformats.org/spreadsheetml/2006/main" id="7" name="CurrentExchangeRate" displayName="CurrentExchangeRate" ref="A1:F2" headerRowCount="1">
  <autoFilter ref="A1:F2"/>
  <tableColumns count="6">
    <tableColumn id="1" name="id"/>
    <tableColumn id="2" name="account_id"/>
    <tableColumn id="3" name="updated_at"/>
    <tableColumn id="4" name="convert_to"/>
    <tableColumn id="5" name="convert_from"/>
    <tableColumn id="6" name="exchange_rate_multiplier"/>
  </tableColumns>
  <tableStyleInfo name="TableStyleMedium9" showFirstColumn="0" showLastColumn="0" showRowStripes="1" showColumnStripes="0"/>
</table>
</file>

<file path=xl/tables/table8.xml><?xml version="1.0" encoding="utf-8"?>
<table xmlns="http://schemas.openxmlformats.org/spreadsheetml/2006/main" id="8" name="ExchangeRate" displayName="ExchangeRate" ref="A1:I165" headerRowCount="1">
  <autoFilter ref="A1:I165"/>
  <tableColumns count="9">
    <tableColumn id="1" name="id"/>
    <tableColumn id="2" name="account_id"/>
    <tableColumn id="3" name="updated_at"/>
    <tableColumn id="4" name="convert_to"/>
    <tableColumn id="5" name="convert_from"/>
    <tableColumn id="6" name="exchange_rate_multiplier"/>
    <tableColumn id="7" name="date"/>
    <tableColumn id="8" name="is_continuous_history"/>
    <tableColumn id="9" name="is_placeholder"/>
  </tableColumns>
  <tableStyleInfo name="TableStyleMedium9" showFirstColumn="0" showLastColumn="0" showRowStripes="1" showColumnStripes="0"/>
</table>
</file>

<file path=xl/tables/table9.xml><?xml version="1.0" encoding="utf-8"?>
<table xmlns="http://schemas.openxmlformats.org/spreadsheetml/2006/main" id="9" name="Market" displayName="Market" ref="A1:L12" headerRowCount="1">
  <autoFilter ref="A1:L12"/>
  <tableColumns count="12">
    <tableColumn id="1" name="id"/>
    <tableColumn id="2" name="legacy_id"/>
    <tableColumn id="3" name="description"/>
    <tableColumn id="4" name="account_id"/>
    <tableColumn id="5" name="created_at"/>
    <tableColumn id="6" name="updated_at"/>
    <tableColumn id="7" name="is_active"/>
    <tableColumn id="8" name="notes"/>
    <tableColumn id="9" name="code"/>
    <tableColumn id="10" name="suffix"/>
    <tableColumn id="11" name="country"/>
    <tableColumn id="12" name="is_exchange_listed"/>
  </tableColumns>
  <tableStyleInfo name="TableStyleMedium9" showFirstColumn="0" showLastColumn="0" showRowStripes="1" showColumnStripes="0"/>
</table>
</file>

<file path=xl/tables/table10.xml><?xml version="1.0" encoding="utf-8"?>
<table xmlns="http://schemas.openxmlformats.org/spreadsheetml/2006/main" id="10" name="Instrument" displayName="Instrument" ref="A1:U2353" headerRowCount="1">
  <autoFilter ref="A1:U2353"/>
  <tableColumns count="21">
    <tableColumn id="1" name="id"/>
    <tableColumn id="2" name="legacy_id"/>
    <tableColumn id="3" name="account_id"/>
    <tableColumn id="4" name="created_at"/>
    <tableColumn id="5" name="updated_at"/>
    <tableColumn id="6" name="is_active"/>
    <tableColumn id="7" name="notes"/>
    <tableColumn id="8" name="name"/>
    <tableColumn id="9" name="description"/>
    <tableColumn id="10" name="currency"/>
    <tableColumn id="11" name="market_id"/>
    <tableColumn id="12" name="current_unit_price"/>
    <tableColumn id="13" name="legal_form"/>
    <tableColumn id="14" name="legal_form_source"/>
    <tableColumn id="15" name="cgt_asset_category_override"/>
    <tableColumn id="16" name="is_taxable_australian_property_override"/>
    <tableColumn id="17" name="calculated_quantity_held"/>
    <tableColumn id="18" name="calculated_value_held_currency"/>
    <tableColumn id="19" name="calculated_value_held"/>
    <tableColumn id="20" name="calculated_value_held_converted_currency"/>
    <tableColumn id="21" name="calculated_value_held_converted"/>
  </tableColumns>
  <tableStyleInfo name="TableStyleMedium9" showFirstColumn="0" showLastColumn="0" showRowStripes="1" showColumnStripes="0"/>
</table>
</file>

<file path=xl/tables/table11.xml><?xml version="1.0" encoding="utf-8"?>
<table xmlns="http://schemas.openxmlformats.org/spreadsheetml/2006/main" id="11" name="Buy" displayName="Buy" ref="A1:Z348" headerRowCount="1">
  <autoFilter ref="A1:Z348"/>
  <tableColumns count="26">
    <tableColumn id="1" name="id"/>
    <tableColumn id="2" name="legacy_id"/>
    <tableColumn id="3" name="account_id"/>
    <tableColumn id="4" name="created_at"/>
    <tableColumn id="5" name="updated_at"/>
    <tableColumn id="6" name="is_active"/>
    <tableColumn id="7" name="notes"/>
    <tableColumn id="8" name="description"/>
    <tableColumn id="9" name="instrument__name"/>
    <tableColumn id="10" name="date"/>
    <tableColumn id="11" name="quantity"/>
    <tableColumn id="12" name="unit_price_currency"/>
    <tableColumn id="13" name="unit_price"/>
    <tableColumn id="14" name="total_brokerage_currency"/>
    <tableColumn id="15" name="total_brokerage"/>
    <tableColumn id="16" name="file"/>
    <tableColumn id="17" name="calculated_fiscal_year__name"/>
    <tableColumn id="18" name="calculated_total_brokerage_converted_currency"/>
    <tableColumn id="19" name="calculated_total_brokerage_converted"/>
    <tableColumn id="20" name="calculated_unit_brokerage_converted_currency"/>
    <tableColumn id="21" name="calculated_unit_brokerage_converted"/>
    <tableColumn id="22" name="calculated_unit_price_converted_currency"/>
    <tableColumn id="23" name="calculated_unit_price_converted"/>
    <tableColumn id="24" name="_creation_handled"/>
    <tableColumn id="25" name="calculated_related_parcels"/>
    <tableColumn id="26" name="exchange_rate_id"/>
  </tableColumns>
  <tableStyleInfo name="TableStyleMedium9" showFirstColumn="0" showLastColumn="0" showRowStripes="1" showColumnStripes="0"/>
</table>
</file>

<file path=xl/tables/table12.xml><?xml version="1.0" encoding="utf-8"?>
<table xmlns="http://schemas.openxmlformats.org/spreadsheetml/2006/main" id="12" name="Sell" displayName="Sell" ref="A1:AE6" headerRowCount="1">
  <autoFilter ref="A1:AE6"/>
  <tableColumns count="31">
    <tableColumn id="1" name="id"/>
    <tableColumn id="2" name="legacy_id"/>
    <tableColumn id="3" name="account_id"/>
    <tableColumn id="4" name="created_at"/>
    <tableColumn id="5" name="updated_at"/>
    <tableColumn id="6" name="is_active"/>
    <tableColumn id="7" name="notes"/>
    <tableColumn id="8" name="description"/>
    <tableColumn id="9" name="instrument__name"/>
    <tableColumn id="10" name="date"/>
    <tableColumn id="11" name="quantity"/>
    <tableColumn id="12" name="unit_price_currency"/>
    <tableColumn id="13" name="unit_price"/>
    <tableColumn id="14" name="total_brokerage_currency"/>
    <tableColumn id="15" name="total_brokerage"/>
    <tableColumn id="16" name="file"/>
    <tableColumn id="17" name="calculated_fiscal_year__name"/>
    <tableColumn id="18" name="calculated_total_brokerage_converted_currency"/>
    <tableColumn id="19" name="calculated_total_brokerage_converted"/>
    <tableColumn id="20" name="calculated_unit_brokerage_converted_currency"/>
    <tableColumn id="21" name="calculated_unit_brokerage_converted"/>
    <tableColumn id="22" name="calculated_unit_price_converted_currency"/>
    <tableColumn id="23" name="calculated_unit_price_converted"/>
    <tableColumn id="24" name="_creation_handled"/>
    <tableColumn id="25" name="strategy"/>
    <tableColumn id="26" name="calculated_proceeds_currency"/>
    <tableColumn id="27" name="calculated_proceeds"/>
    <tableColumn id="28" name="calculated_unit_proceeds_currency"/>
    <tableColumn id="29" name="calculated_unit_proceeds"/>
    <tableColumn id="30" name="calculated_unallocated_quantity"/>
    <tableColumn id="31" name="exchange_rate_id"/>
  </tableColumns>
  <tableStyleInfo name="TableStyleMedium9" showFirstColumn="0" showLastColumn="0" showRowStripes="1" showColumnStripes="0"/>
</table>
</file>

<file path=xl/tables/table13.xml><?xml version="1.0" encoding="utf-8"?>
<table xmlns="http://schemas.openxmlformats.org/spreadsheetml/2006/main" id="13" name="Parcel" displayName="Parcel" ref="A1:X375" headerRowCount="1">
  <autoFilter ref="A1:X375"/>
  <tableColumns count="24">
    <tableColumn id="1" name="id"/>
    <tableColumn id="2" name="legacy_id"/>
    <tableColumn id="3" name="account_id"/>
    <tableColumn id="4" name="created_at"/>
    <tableColumn id="5" name="updated_at"/>
    <tableColumn id="6" name="is_active"/>
    <tableColumn id="7" name="notes"/>
    <tableColumn id="8" name="description"/>
    <tableColumn id="9" name="buy_id"/>
    <tableColumn id="10" name="parcel_quantity"/>
    <tableColumn id="11" name="cumulative_split_multiplier"/>
    <tableColumn id="12" name="activation_date"/>
    <tableColumn id="13" name="deactivation_date"/>
    <tableColumn id="14" name="sale_date"/>
    <tableColumn id="15" name="calculated_instrument_name"/>
    <tableColumn id="16" name="calculated_remaining_quantity"/>
    <tableColumn id="17" name="calculated_is_sold"/>
    <tableColumn id="18" name="calculated_adjusted_unit_brokerage_currency"/>
    <tableColumn id="19" name="calculated_adjusted_unit_brokerage"/>
    <tableColumn id="20" name="calculated_total_cost_base_currency"/>
    <tableColumn id="21" name="calculated_total_cost_base"/>
    <tableColumn id="22" name="calculated_unit_cost_base_currency"/>
    <tableColumn id="23" name="calculated_unit_cost_base"/>
    <tableColumn id="24" name="parent_parcel_id"/>
  </tableColumns>
  <tableStyleInfo name="TableStyleMedium9" showFirstColumn="0" showLastColumn="0" showRowStripes="1" showColumnStripes="0"/>
</table>
</file>

<file path=xl/tables/table14.xml><?xml version="1.0" encoding="utf-8"?>
<table xmlns="http://schemas.openxmlformats.org/spreadsheetml/2006/main" id="14" name="SellAllocation" displayName="SellAllocation" ref="A1:Q43" headerRowCount="1">
  <autoFilter ref="A1:Q43"/>
  <tableColumns count="17">
    <tableColumn id="1" name="id"/>
    <tableColumn id="2" name="legacy_id"/>
    <tableColumn id="3" name="account_id"/>
    <tableColumn id="4" name="created_at"/>
    <tableColumn id="5" name="updated_at"/>
    <tableColumn id="6" name="is_active"/>
    <tableColumn id="7" name="notes"/>
    <tableColumn id="8" name="description"/>
    <tableColumn id="9" name="_creation_handled"/>
    <tableColumn id="10" name="parcel_id"/>
    <tableColumn id="11" name="sell_id"/>
    <tableColumn id="12" name="quantity"/>
    <tableColumn id="13" name="calculated_sale_date"/>
    <tableColumn id="14" name="calculated_fiscal_year__name"/>
    <tableColumn id="15" name="calculated_days_held"/>
    <tableColumn id="16" name="calculated_total_capital_gain_currency"/>
    <tableColumn id="17" name="calculated_total_capital_gain"/>
  </tableColumns>
  <tableStyleInfo name="TableStyleMedium9" showFirstColumn="0" showLastColumn="0" showRowStripes="1" showColumnStripes="0"/>
</table>
</file>

<file path=xl/tables/table15.xml><?xml version="1.0" encoding="utf-8"?>
<table xmlns="http://schemas.openxmlformats.org/spreadsheetml/2006/main" id="15" name="ShareSplit" displayName="ShareSplit" ref="A1:P3" headerRowCount="1">
  <autoFilter ref="A1:P3"/>
  <tableColumns count="16">
    <tableColumn id="1" name="id"/>
    <tableColumn id="2" name="legacy_id"/>
    <tableColumn id="3" name="description"/>
    <tableColumn id="4" name="account_id"/>
    <tableColumn id="5" name="created_at"/>
    <tableColumn id="6" name="updated_at"/>
    <tableColumn id="7" name="is_active"/>
    <tableColumn id="8" name="notes"/>
    <tableColumn id="9" name="instrument__name"/>
    <tableColumn id="10" name="quantity_before"/>
    <tableColumn id="11" name="quantity_after"/>
    <tableColumn id="12" name="date"/>
    <tableColumn id="13" name="file"/>
    <tableColumn id="14" name="_creation_handled"/>
    <tableColumn id="15" name="calculated_split_multiplier"/>
    <tableColumn id="16" name="calculated_affected_parcels"/>
  </tableColumns>
  <tableStyleInfo name="TableStyleMedium9" showFirstColumn="0" showLastColumn="0" showRowStripes="1" showColumnStripes="0"/>
</table>
</file>

<file path=xl/tables/table16.xml><?xml version="1.0" encoding="utf-8"?>
<table xmlns="http://schemas.openxmlformats.org/spreadsheetml/2006/main" id="16" name="CostBaseAdjustment" displayName="CostBaseAdjustment" ref="A1:R22" headerRowCount="1">
  <autoFilter ref="A1:R22"/>
  <tableColumns count="18">
    <tableColumn id="1" name="id"/>
    <tableColumn id="2" name="legacy_id"/>
    <tableColumn id="3" name="description"/>
    <tableColumn id="4" name="account_id"/>
    <tableColumn id="5" name="created_at"/>
    <tableColumn id="6" name="updated_at"/>
    <tableColumn id="7" name="is_active"/>
    <tableColumn id="8" name="notes"/>
    <tableColumn id="9" name="cost_base_increase_currency"/>
    <tableColumn id="10" name="cost_base_increase"/>
    <tableColumn id="11" name="instrument__name"/>
    <tableColumn id="12" name="financial_year_end_date"/>
    <tableColumn id="13" name="file"/>
    <tableColumn id="14" name="_creation_handled"/>
    <tableColumn id="15" name="calculated_fiscal_year__name"/>
    <tableColumn id="16" name="calculated_cost_base_increase_converted_currency"/>
    <tableColumn id="17" name="calculated_cost_base_increase_converted"/>
    <tableColumn id="18" name="allocation_method"/>
  </tableColumns>
  <tableStyleInfo name="TableStyleMedium9" showFirstColumn="0" showLastColumn="0" showRowStripes="1" showColumnStripes="0"/>
</table>
</file>

<file path=xl/tables/table17.xml><?xml version="1.0" encoding="utf-8"?>
<table xmlns="http://schemas.openxmlformats.org/spreadsheetml/2006/main" id="17" name="CostBaseAdjustmentAllocation" displayName="CostBaseAdjustmentAllocation" ref="A1:N1123" headerRowCount="1">
  <autoFilter ref="A1:N1123"/>
  <tableColumns count="14">
    <tableColumn id="1" name="id"/>
    <tableColumn id="2" name="legacy_id"/>
    <tableColumn id="3" name="description"/>
    <tableColumn id="4" name="account_id"/>
    <tableColumn id="5" name="created_at"/>
    <tableColumn id="6" name="updated_at"/>
    <tableColumn id="7" name="is_active"/>
    <tableColumn id="8" name="notes"/>
    <tableColumn id="9" name="cost_base_increase_currency"/>
    <tableColumn id="10" name="cost_base_increase"/>
    <tableColumn id="11" name="parcel_id"/>
    <tableColumn id="12" name="cost_base_adjustment_id"/>
    <tableColumn id="13" name="activation_date"/>
    <tableColumn id="14" name="deactivation_date"/>
  </tableColumns>
  <tableStyleInfo name="TableStyleMedium9" showFirstColumn="0" showLastColumn="0" showRowStripes="1" showColumnStripes="0"/>
</table>
</file>

<file path=xl/tables/table18.xml><?xml version="1.0" encoding="utf-8"?>
<table xmlns="http://schemas.openxmlformats.org/spreadsheetml/2006/main" id="18" name="Dividend" displayName="Dividend" ref="A1:AJ127" headerRowCount="1">
  <autoFilter ref="A1:AJ127"/>
  <tableColumns count="36">
    <tableColumn id="1" name="id"/>
    <tableColumn id="2" name="legacy_id"/>
    <tableColumn id="3" name="account_id"/>
    <tableColumn id="4" name="created_at"/>
    <tableColumn id="5" name="updated_at"/>
    <tableColumn id="6" name="is_active"/>
    <tableColumn id="7" name="notes"/>
    <tableColumn id="8" name="description"/>
    <tableColumn id="9" name="instrument__name"/>
    <tableColumn id="10" name="date"/>
    <tableColumn id="11" name="quantity"/>
    <tableColumn id="12" name="file"/>
    <tableColumn id="13" name="calculated_fiscal_year__name"/>
    <tableColumn id="14" name="dividend_type"/>
    <tableColumn id="15" name="unfranked_amount_per_share_currency"/>
    <tableColumn id="16" name="unfranked_amount_per_share"/>
    <tableColumn id="17" name="franked_amount_per_share_currency"/>
    <tableColumn id="18" name="franked_amount_per_share"/>
    <tableColumn id="19" name="local_withholding_tax_currency"/>
    <tableColumn id="20" name="local_withholding_tax"/>
    <tableColumn id="21" name="foreign_tax_credit_currency"/>
    <tableColumn id="22" name="foreign_tax_credit"/>
    <tableColumn id="23" name="lic_capital_gain_currency"/>
    <tableColumn id="24" name="lic_capital_gain"/>
    <tableColumn id="25" name="corporate_tax_rate_percentage"/>
    <tableColumn id="26" name="calculated_total_unfranked_amount_currency"/>
    <tableColumn id="27" name="calculated_total_unfranked_amount"/>
    <tableColumn id="28" name="calculated_total_franked_amount_currency"/>
    <tableColumn id="29" name="calculated_total_franked_amount"/>
    <tableColumn id="30" name="calculated_total_franking_credits_currency"/>
    <tableColumn id="31" name="calculated_total_franking_credits"/>
    <tableColumn id="32" name="calculated_total_dividend_currency"/>
    <tableColumn id="33" name="calculated_total_dividend"/>
    <tableColumn id="34" name="calculated_total_dividend_converted_currency"/>
    <tableColumn id="35" name="calculated_total_dividend_converted"/>
    <tableColumn id="36" name="exchange_rate_id"/>
  </tableColumns>
  <tableStyleInfo name="TableStyleMedium9" showFirstColumn="0" showLastColumn="0" showRowStripes="1" showColumnStripes="0"/>
</table>
</file>

<file path=xl/tables/table19.xml><?xml version="1.0" encoding="utf-8"?>
<table xmlns="http://schemas.openxmlformats.org/spreadsheetml/2006/main" id="19" name="Distribution" displayName="Distribution" ref="A1:U86" headerRowCount="1">
  <autoFilter ref="A1:U86"/>
  <tableColumns count="21">
    <tableColumn id="1" name="id"/>
    <tableColumn id="2" name="legacy_id"/>
    <tableColumn id="3" name="account_id"/>
    <tableColumn id="4" name="created_at"/>
    <tableColumn id="5" name="updated_at"/>
    <tableColumn id="6" name="is_active"/>
    <tableColumn id="7" name="notes"/>
    <tableColumn id="8" name="description"/>
    <tableColumn id="9" name="instrument__name"/>
    <tableColumn id="10" name="date"/>
    <tableColumn id="11" name="quantity"/>
    <tableColumn id="12" name="file"/>
    <tableColumn id="13" name="calculated_fiscal_year__name"/>
    <tableColumn id="14" name="distribution_amount_per_share_currency"/>
    <tableColumn id="15" name="distribution_amount_per_share"/>
    <tableColumn id="16" name="total_withholding_tax_currency"/>
    <tableColumn id="17" name="total_withholding_tax"/>
    <tableColumn id="18" name="calculated_total_distribution_currency"/>
    <tableColumn id="19" name="calculated_total_distribution"/>
    <tableColumn id="20" name="calculated_total_distribution_converted_currency"/>
    <tableColumn id="21" name="calculated_total_distribution_converted"/>
  </tableColumns>
  <tableStyleInfo name="TableStyleMedium9" showFirstColumn="0" showLastColumn="0" showRowStripes="1" showColumnStripes="0"/>
</table>
</file>

<file path=xl/tables/table20.xml><?xml version="1.0" encoding="utf-8"?>
<table xmlns="http://schemas.openxmlformats.org/spreadsheetml/2006/main" id="20" name="DataExport" displayName="DataExport" ref="A1:J2" headerRowCount="1">
  <autoFilter ref="A1:J2"/>
  <tableColumns count="10">
    <tableColumn id="1" name="id"/>
    <tableColumn id="2" name="legacy_id"/>
    <tableColumn id="3" name="description"/>
    <tableColumn id="4" name="created_at"/>
    <tableColumn id="5" name="updated_at"/>
    <tableColumn id="6" name="is_active"/>
    <tableColumn id="7" name="notes"/>
    <tableColumn id="8" name="file"/>
    <tableColumn id="9" name="account_id"/>
    <tableColumn id="10" name="include_price_history"/>
  </tableColumns>
  <tableStyleInfo name="TableStyleMedium9" showFirstColumn="0" showLastColumn="0" showRowStripes="1" showColumnStripes="0"/>
</table>
</file>

<file path=xl/tables/table21.xml><?xml version="1.0" encoding="utf-8"?>
<table xmlns="http://schemas.openxmlformats.org/spreadsheetml/2006/main" id="21" name="ResidencyPeriod" displayName="ResidencyPeriod" ref="A1:L2" headerRowCount="1">
  <autoFilter ref="A1:L2"/>
  <tableColumns count="12">
    <tableColumn id="1" name="id"/>
    <tableColumn id="2" name="legacy_id"/>
    <tableColumn id="3" name="description"/>
    <tableColumn id="4" name="account_id"/>
    <tableColumn id="5" name="created_at"/>
    <tableColumn id="6" name="updated_at"/>
    <tableColumn id="7" name="is_active"/>
    <tableColumn id="8" name="notes"/>
    <tableColumn id="9" name="status"/>
    <tableColumn id="10" name="start_date"/>
    <tableColumn id="11" name="end_date"/>
    <tableColumn id="12" name="i1_election_made"/>
  </tableColumns>
  <tableStyleInfo name="TableStyleMedium9" showFirstColumn="0" showLastColumn="0" showRowStripes="1" showColumnStripes="0"/>
</table>
</file>

<file path=xl/tables/table22.xml><?xml version="1.0" encoding="utf-8"?>
<table xmlns="http://schemas.openxmlformats.org/spreadsheetml/2006/main" id="22" name="AttributionStatement" displayName="AttributionStatement" ref="A1:N23" headerRowCount="1">
  <autoFilter ref="A1:N23"/>
  <tableColumns count="14">
    <tableColumn id="1" name="id"/>
    <tableColumn id="2" name="legacy_id"/>
    <tableColumn id="3" name="description"/>
    <tableColumn id="4" name="account_id"/>
    <tableColumn id="5" name="created_at"/>
    <tableColumn id="6" name="updated_at"/>
    <tableColumn id="7" name="is_active"/>
    <tableColumn id="8" name="notes"/>
    <tableColumn id="9" name="instrument__name"/>
    <tableColumn id="10" name="financial_year_end_date"/>
    <tableColumn id="11" name="file"/>
    <tableColumn id="12" name="cost_base_adjustment_id"/>
    <tableColumn id="13" name="gain_subject_to_mit_withholding"/>
    <tableColumn id="14" name="calculated_fiscal_year__name"/>
  </tableColumns>
  <tableStyleInfo name="TableStyleMedium9" showFirstColumn="0" showLastColumn="0" showRowStripes="1" showColumnStripes="0"/>
</table>
</file>

<file path=xl/tables/table23.xml><?xml version="1.0" encoding="utf-8"?>
<table xmlns="http://schemas.openxmlformats.org/spreadsheetml/2006/main" id="23" name="AttributionComponent" displayName="AttributionComponent" ref="A1:L231" headerRowCount="1">
  <autoFilter ref="A1:L231"/>
  <tableColumns count="12">
    <tableColumn id="1" name="id"/>
    <tableColumn id="2" name="legacy_id"/>
    <tableColumn id="3" name="description"/>
    <tableColumn id="4" name="account_id"/>
    <tableColumn id="5" name="created_at"/>
    <tableColumn id="6" name="updated_at"/>
    <tableColumn id="7" name="is_active"/>
    <tableColumn id="8" name="notes"/>
    <tableColumn id="9" name="statement_id"/>
    <tableColumn id="10" name="component"/>
    <tableColumn id="11" name="amount_currency"/>
    <tableColumn id="12" name="amount"/>
  </tableColumns>
  <tableStyleInfo name="TableStyleMedium9" showFirstColumn="0" showLastColumn="0" showRowStripes="1" showColumnStripes="0"/>
</table>
</file>

<file path=xl/tables/table24.xml><?xml version="1.0" encoding="utf-8"?>
<table xmlns="http://schemas.openxmlformats.org/spreadsheetml/2006/main" id="24" name="RealisedCapitalGains" displayName="RealisedCapitalGains" ref="A1:M43" headerRowCount="1">
  <autoFilter ref="A1:M43"/>
  <tableColumns count="13">
    <tableColumn id="1" name="sell_date"/>
    <tableColumn id="2" name="instrument"/>
    <tableColumn id="3" name="quantity_sold"/>
    <tableColumn id="4" name="buy_id"/>
    <tableColumn id="5" name="parcel_id"/>
    <tableColumn id="6" name="sell_id"/>
    <tableColumn id="7" name="sell_allocation_id"/>
    <tableColumn id="8" name="buy_date"/>
    <tableColumn id="9" name="days_held"/>
    <tableColumn id="10" name="proceeds"/>
    <tableColumn id="11" name="cost_base"/>
    <tableColumn id="12" name="capital_gain"/>
    <tableColumn id="13" name="fiscal_yea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table" Target="/xl/tables/table3.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table" Target="/xl/tables/table4.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table" Target="/xl/tables/table5.xm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table" Target="/xl/tables/table6.xml" Id="rId1"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7.xml.rels><Relationships xmlns="http://schemas.openxmlformats.org/package/2006/relationships"><Relationship Type="http://schemas.openxmlformats.org/officeDocument/2006/relationships/table" Target="/xl/tables/table7.xml" Id="rId1"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xml.rels><Relationships xmlns="http://schemas.openxmlformats.org/package/2006/relationships"><Relationship Type="http://schemas.openxmlformats.org/officeDocument/2006/relationships/table" Target="/xl/tables/table8.xml" Id="rId1"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9.xml.rels><Relationships xmlns="http://schemas.openxmlformats.org/package/2006/relationships"><Relationship Type="http://schemas.openxmlformats.org/officeDocument/2006/relationships/table" Target="/xl/tables/table9.xml" Id="rId1"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0.xml.rels><Relationships xmlns="http://schemas.openxmlformats.org/package/2006/relationships"><Relationship Type="http://schemas.openxmlformats.org/officeDocument/2006/relationships/table" Target="/xl/tables/table10.xml" Id="rId1"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1.xml.rels><Relationships xmlns="http://schemas.openxmlformats.org/package/2006/relationships"><Relationship Type="http://schemas.openxmlformats.org/officeDocument/2006/relationships/table" Target="/xl/tables/table11.xml" Id="rId1" /><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2.xml.rels><Relationships xmlns="http://schemas.openxmlformats.org/package/2006/relationships"><Relationship Type="http://schemas.openxmlformats.org/officeDocument/2006/relationships/table" Target="/xl/tables/table12.xml" Id="rId1" /><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3.xml.rels><Relationships xmlns="http://schemas.openxmlformats.org/package/2006/relationships"><Relationship Type="http://schemas.openxmlformats.org/officeDocument/2006/relationships/table" Target="/xl/tables/table13.xml" Id="rId1" /><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4.xml.rels><Relationships xmlns="http://schemas.openxmlformats.org/package/2006/relationships"><Relationship Type="http://schemas.openxmlformats.org/officeDocument/2006/relationships/table" Target="/xl/tables/table14.xml" Id="rId1" /><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5.xml.rels><Relationships xmlns="http://schemas.openxmlformats.org/package/2006/relationships"><Relationship Type="http://schemas.openxmlformats.org/officeDocument/2006/relationships/table" Target="/xl/tables/table15.xml" Id="rId1" /><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6.xml.rels><Relationships xmlns="http://schemas.openxmlformats.org/package/2006/relationships"><Relationship Type="http://schemas.openxmlformats.org/officeDocument/2006/relationships/table" Target="/xl/tables/table16.xml" Id="rId1" /><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7.xml.rels><Relationships xmlns="http://schemas.openxmlformats.org/package/2006/relationships"><Relationship Type="http://schemas.openxmlformats.org/officeDocument/2006/relationships/table" Target="/xl/tables/table17.xml" Id="rId1" /><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18.xml.rels><Relationships xmlns="http://schemas.openxmlformats.org/package/2006/relationships"><Relationship Type="http://schemas.openxmlformats.org/officeDocument/2006/relationships/table" Target="/xl/tables/table18.xml" Id="rId1" /><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19.xml.rels><Relationships xmlns="http://schemas.openxmlformats.org/package/2006/relationships"><Relationship Type="http://schemas.openxmlformats.org/officeDocument/2006/relationships/table" Target="/xl/tables/table19.xml" Id="rId1" /><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0.xml.rels><Relationships xmlns="http://schemas.openxmlformats.org/package/2006/relationships"><Relationship Type="http://schemas.openxmlformats.org/officeDocument/2006/relationships/table" Target="/xl/tables/table20.xml" Id="rId1" /><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1.xml.rels><Relationships xmlns="http://schemas.openxmlformats.org/package/2006/relationships"><Relationship Type="http://schemas.openxmlformats.org/officeDocument/2006/relationships/table" Target="/xl/tables/table21.xml" Id="rId1" /><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2.xml.rels><Relationships xmlns="http://schemas.openxmlformats.org/package/2006/relationships"><Relationship Type="http://schemas.openxmlformats.org/officeDocument/2006/relationships/table" Target="/xl/tables/table22.xml" Id="rId1" /><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3.xml.rels><Relationships xmlns="http://schemas.openxmlformats.org/package/2006/relationships"><Relationship Type="http://schemas.openxmlformats.org/officeDocument/2006/relationships/table" Target="/xl/tables/table23.xml" Id="rId1" /><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4.xml.rels><Relationships xmlns="http://schemas.openxmlformats.org/package/2006/relationships"><Relationship Type="http://schemas.openxmlformats.org/officeDocument/2006/relationships/table" Target="/xl/tables/table24.xml" Id="rId1" /></Relationships>
</file>

<file path=xl/worksheets/sheet1.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12.2" customWidth="1" min="1" max="1"/>
    <col width="30.2" customWidth="1" min="2" max="2"/>
    <col width="82.2" customWidth="1" min="3" max="3"/>
    <col width="13.2" customWidth="1" min="4" max="4"/>
    <col width="30.2" customWidth="1" min="5" max="5"/>
  </cols>
  <sheetData>
    <row r="1" ht="32" customHeight="1">
      <c r="A1" s="1" t="inlineStr">
        <is>
          <t>sheet_name</t>
        </is>
      </c>
      <c r="B1" s="1" t="inlineStr">
        <is>
          <t>table_name</t>
        </is>
      </c>
      <c r="C1" s="1" t="inlineStr">
        <is>
          <t>description</t>
        </is>
      </c>
      <c r="D1" s="1" t="inlineStr">
        <is>
          <t>num_records</t>
        </is>
      </c>
      <c r="E1" s="1" t="inlineStr">
        <is>
          <t>link</t>
        </is>
      </c>
    </row>
    <row r="2">
      <c r="A2" t="inlineStr">
        <is>
          <t>01</t>
        </is>
      </c>
      <c r="B2" t="inlineStr">
        <is>
          <t>AppUser</t>
        </is>
      </c>
      <c r="C2" t="inlineStr">
        <is>
          <t>User accounts registered in the application.</t>
        </is>
      </c>
      <c r="D2" t="n">
        <v>1</v>
      </c>
      <c r="E2" s="2">
        <f>HYPERLINK("#'01'!A1", "01")</f>
        <v/>
      </c>
    </row>
    <row r="3">
      <c r="A3" t="inlineStr">
        <is>
          <t>02</t>
        </is>
      </c>
      <c r="B3" t="inlineStr">
        <is>
          <t>FiscalYearType</t>
        </is>
      </c>
      <c r="C3" t="inlineStr">
        <is>
          <t>A system table used to define configuration for the financial year.</t>
        </is>
      </c>
      <c r="D3" t="n">
        <v>1</v>
      </c>
      <c r="E3" s="2">
        <f>HYPERLINK("#'02'!A1", "02")</f>
        <v/>
      </c>
    </row>
    <row r="4">
      <c r="A4" t="inlineStr">
        <is>
          <t>03</t>
        </is>
      </c>
      <c r="B4" t="inlineStr">
        <is>
          <t>FiscalYear</t>
        </is>
      </c>
      <c r="C4" t="inlineStr">
        <is>
          <t>A particular fiscal year</t>
        </is>
      </c>
      <c r="D4" t="n">
        <v>11</v>
      </c>
      <c r="E4" s="2">
        <f>HYPERLINK("#'03'!A1", "03")</f>
        <v/>
      </c>
    </row>
    <row r="5">
      <c r="A5" t="inlineStr">
        <is>
          <t>04</t>
        </is>
      </c>
      <c r="B5" t="inlineStr">
        <is>
          <t>Account</t>
        </is>
      </c>
      <c r="C5" t="inlineStr">
        <is>
          <t>Represents a particular portfolio.</t>
        </is>
      </c>
      <c r="D5" t="n">
        <v>1</v>
      </c>
      <c r="E5" s="2">
        <f>HYPERLINK("#'04'!A1", "04")</f>
        <v/>
      </c>
    </row>
    <row r="6">
      <c r="A6" t="inlineStr">
        <is>
          <t>05</t>
        </is>
      </c>
      <c r="B6" t="inlineStr">
        <is>
          <t>LogEntry</t>
        </is>
      </c>
      <c r="C6" t="inlineStr">
        <is>
          <t>Log entries. Key events are recorded here.</t>
        </is>
      </c>
      <c r="D6" t="n">
        <v>1522</v>
      </c>
      <c r="E6" s="2">
        <f>HYPERLINK("#'05'!A1", "05")</f>
        <v/>
      </c>
    </row>
    <row r="7">
      <c r="A7" t="inlineStr">
        <is>
          <t>06</t>
        </is>
      </c>
      <c r="B7" t="inlineStr">
        <is>
          <t>CurrentExchangeRate</t>
        </is>
      </c>
      <c r="C7" t="inlineStr">
        <is>
          <t>Exchange rates between pairs of currencies, latest date only.</t>
        </is>
      </c>
      <c r="D7" t="n">
        <v>1</v>
      </c>
      <c r="E7" s="2">
        <f>HYPERLINK("#'06'!A1", "06")</f>
        <v/>
      </c>
    </row>
    <row r="8">
      <c r="A8" t="inlineStr">
        <is>
          <t>07</t>
        </is>
      </c>
      <c r="B8" t="inlineStr">
        <is>
          <t>ExchangeRate</t>
        </is>
      </c>
      <c r="C8" t="inlineStr">
        <is>
          <t>Exchange rates between pairs of currencies at particular dates.</t>
        </is>
      </c>
      <c r="D8" t="n">
        <v>164</v>
      </c>
      <c r="E8" s="2">
        <f>HYPERLINK("#'07'!A1", "07")</f>
        <v/>
      </c>
    </row>
    <row r="9">
      <c r="A9" t="inlineStr">
        <is>
          <t>08</t>
        </is>
      </c>
      <c r="B9" t="inlineStr">
        <is>
          <t>Market</t>
        </is>
      </c>
      <c r="C9" t="inlineStr">
        <is>
          <t>Share markets, such as ASX, NASDAQ, LSE, etc</t>
        </is>
      </c>
      <c r="D9" t="n">
        <v>11</v>
      </c>
      <c r="E9" s="2">
        <f>HYPERLINK("#'08'!A1", "08")</f>
        <v/>
      </c>
    </row>
    <row r="10">
      <c r="A10" t="inlineStr">
        <is>
          <t>09</t>
        </is>
      </c>
      <c r="B10" t="inlineStr">
        <is>
          <t>Instrument</t>
        </is>
      </c>
      <c r="C10" t="inlineStr">
        <is>
          <t>Share codes, eg BHP, VGS, VAS, etc</t>
        </is>
      </c>
      <c r="D10" t="n">
        <v>2352</v>
      </c>
      <c r="E10" s="2">
        <f>HYPERLINK("#'09'!A1", "09")</f>
        <v/>
      </c>
    </row>
    <row r="11">
      <c r="A11" t="inlineStr">
        <is>
          <t>10</t>
        </is>
      </c>
      <c r="B11" t="inlineStr">
        <is>
          <t>Buy</t>
        </is>
      </c>
      <c r="C11" t="inlineStr">
        <is>
          <t>Purchases of share parcels.</t>
        </is>
      </c>
      <c r="D11" t="n">
        <v>347</v>
      </c>
      <c r="E11" s="2">
        <f>HYPERLINK("#'10'!A1", "10")</f>
        <v/>
      </c>
    </row>
    <row r="12">
      <c r="A12" t="inlineStr">
        <is>
          <t>11</t>
        </is>
      </c>
      <c r="B12" t="inlineStr">
        <is>
          <t>Sell</t>
        </is>
      </c>
      <c r="C12" t="inlineStr">
        <is>
          <t>Sales of shares.</t>
        </is>
      </c>
      <c r="D12" t="n">
        <v>5</v>
      </c>
      <c r="E12" s="2">
        <f>HYPERLINK("#'11'!A1", "11")</f>
        <v/>
      </c>
    </row>
    <row r="13">
      <c r="A13" t="inlineStr">
        <is>
          <t>12</t>
        </is>
      </c>
      <c r="B13" t="inlineStr">
        <is>
          <t>Parcel</t>
        </is>
      </c>
      <c r="C13" s="3" t="inlineStr">
        <is>
          <t>Collections of shares with the same unit properties. Can be split into other parcels.</t>
        </is>
      </c>
      <c r="D13" t="n">
        <v>374</v>
      </c>
      <c r="E13" s="2">
        <f>HYPERLINK("#'12'!A1", "12")</f>
        <v/>
      </c>
    </row>
    <row r="14">
      <c r="A14" t="inlineStr">
        <is>
          <t>13</t>
        </is>
      </c>
      <c r="B14" t="inlineStr">
        <is>
          <t>SellAllocation</t>
        </is>
      </c>
      <c r="C14" t="inlineStr">
        <is>
          <t>Allocations of sell events to specific parcels.</t>
        </is>
      </c>
      <c r="D14" t="n">
        <v>42</v>
      </c>
      <c r="E14" s="2">
        <f>HYPERLINK("#'13'!A1", "13")</f>
        <v/>
      </c>
    </row>
    <row r="15">
      <c r="A15" t="inlineStr">
        <is>
          <t>14</t>
        </is>
      </c>
      <c r="B15" t="inlineStr">
        <is>
          <t>ShareSplit</t>
        </is>
      </c>
      <c r="C15" s="3" t="inlineStr">
        <is>
          <t>Events which transform parcels into new parcels with different cost base and quantity.</t>
        </is>
      </c>
      <c r="D15" t="n">
        <v>2</v>
      </c>
      <c r="E15" s="2">
        <f>HYPERLINK("#'14'!A1", "14")</f>
        <v/>
      </c>
    </row>
    <row r="16">
      <c r="A16" t="inlineStr">
        <is>
          <t>15</t>
        </is>
      </c>
      <c r="B16" t="inlineStr">
        <is>
          <t>CostBaseAdjustment</t>
        </is>
      </c>
      <c r="C16" t="inlineStr">
        <is>
          <t>Cost base adjustments applied to instruments, i.e. AMIT cost base adjustments.</t>
        </is>
      </c>
      <c r="D16" t="n">
        <v>21</v>
      </c>
      <c r="E16" s="2">
        <f>HYPERLINK("#'15'!A1", "15")</f>
        <v/>
      </c>
    </row>
    <row r="17">
      <c r="A17" t="inlineStr">
        <is>
          <t>16</t>
        </is>
      </c>
      <c r="B17" t="inlineStr">
        <is>
          <t>CostBaseAdjustmentAllocation</t>
        </is>
      </c>
      <c r="C17" t="inlineStr">
        <is>
          <t>Allocations of cost base adjustments to specific parcels.</t>
        </is>
      </c>
      <c r="D17" t="n">
        <v>1122</v>
      </c>
      <c r="E17" s="2">
        <f>HYPERLINK("#'16'!A1", "16")</f>
        <v/>
      </c>
    </row>
    <row r="18">
      <c r="A18" t="inlineStr">
        <is>
          <t>17</t>
        </is>
      </c>
      <c r="B18" t="inlineStr">
        <is>
          <t>Dividend</t>
        </is>
      </c>
      <c r="C18" t="inlineStr">
        <is>
          <t>Dividends, including local dividends and foreign dividends.</t>
        </is>
      </c>
      <c r="D18" t="n">
        <v>126</v>
      </c>
      <c r="E18" s="2">
        <f>HYPERLINK("#'17'!A1", "17")</f>
        <v/>
      </c>
    </row>
    <row r="19">
      <c r="A19" t="inlineStr">
        <is>
          <t>18</t>
        </is>
      </c>
      <c r="B19" t="inlineStr">
        <is>
          <t>Distribution</t>
        </is>
      </c>
      <c r="C19" t="inlineStr">
        <is>
          <t>Distributions, such as the income received from ETFs</t>
        </is>
      </c>
      <c r="D19" t="n">
        <v>85</v>
      </c>
      <c r="E19" s="2">
        <f>HYPERLINK("#'18'!A1", "18")</f>
        <v/>
      </c>
    </row>
    <row r="20">
      <c r="A20" t="inlineStr">
        <is>
          <t>19</t>
        </is>
      </c>
      <c r="B20" t="inlineStr">
        <is>
          <t>DataExport</t>
        </is>
      </c>
      <c r="C20" t="inlineStr">
        <is>
          <t>Data export events, referencing the associated output file.</t>
        </is>
      </c>
      <c r="D20" t="n">
        <v>1</v>
      </c>
      <c r="E20" s="2">
        <f>HYPERLINK("#'19'!A1", "19")</f>
        <v/>
      </c>
    </row>
    <row r="21">
      <c r="A21" t="inlineStr">
        <is>
          <t>20</t>
        </is>
      </c>
      <c r="B21" t="inlineStr">
        <is>
          <t>ResidencyPeriod</t>
        </is>
      </c>
      <c r="C21" t="inlineStr">
        <is>
          <t>Periods of Australian tax residency, used to apportion the CGT discount.</t>
        </is>
      </c>
      <c r="D21" t="n">
        <v>1</v>
      </c>
      <c r="E21" s="2">
        <f>HYPERLINK("#'20'!A1", "20")</f>
        <v/>
      </c>
    </row>
    <row r="22">
      <c r="A22" t="inlineStr">
        <is>
          <t>21</t>
        </is>
      </c>
      <c r="B22" t="inlineStr">
        <is>
          <t>AttributionStatement</t>
        </is>
      </c>
      <c r="C22" t="inlineStr">
        <is>
          <t>Annual tax statements from managed investment trusts (AMMA statements).</t>
        </is>
      </c>
      <c r="D22" t="n">
        <v>22</v>
      </c>
      <c r="E22" s="2">
        <f>HYPERLINK("#'21'!A1", "21")</f>
        <v/>
      </c>
    </row>
    <row r="23">
      <c r="A23" t="inlineStr">
        <is>
          <t>22</t>
        </is>
      </c>
      <c r="B23" t="inlineStr">
        <is>
          <t>AttributionComponent</t>
        </is>
      </c>
      <c r="C23" t="inlineStr">
        <is>
          <t>Individual components of a managed investment trust annual statement.</t>
        </is>
      </c>
      <c r="D23" t="n">
        <v>230</v>
      </c>
      <c r="E23" s="2">
        <f>HYPERLINK("#'22'!A1", "22")</f>
        <v/>
      </c>
    </row>
    <row r="24">
      <c r="A24" t="inlineStr">
        <is>
          <t>23</t>
        </is>
      </c>
      <c r="B24" t="inlineStr">
        <is>
          <t>RealisedCapitalGains</t>
        </is>
      </c>
      <c r="C24" t="inlineStr">
        <is>
          <t>Report of realised capital gains per sale allocation.</t>
        </is>
      </c>
      <c r="D24" t="n">
        <v>42</v>
      </c>
      <c r="E24" s="2">
        <f>HYPERLINK("#'23'!A1", "23")</f>
        <v/>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2.2" customWidth="1" min="1" max="1"/>
    <col width="14.2" customWidth="1" min="2" max="2"/>
    <col width="10.2" customWidth="1" min="3" max="3"/>
    <col width="12.2" customWidth="1" min="4" max="4"/>
    <col width="11.2" customWidth="1" min="5" max="5"/>
    <col width="7.2" customWidth="1" min="6" max="6"/>
    <col width="10.2" customWidth="1" min="7" max="7"/>
    <col width="11.2" customWidth="1" min="8" max="8"/>
    <col width="28.2" customWidth="1" min="9" max="9"/>
    <col width="38.2" customWidth="1" min="10" max="10"/>
    <col width="38.2" customWidth="1" min="11" max="11"/>
  </cols>
  <sheetData>
    <row r="1" ht="32" customHeight="1">
      <c r="A1" s="1" t="inlineStr">
        <is>
          <t>last_login</t>
        </is>
      </c>
      <c r="B1" s="1" t="inlineStr">
        <is>
          <t>is_superuser</t>
        </is>
      </c>
      <c r="C1" s="1" t="inlineStr">
        <is>
          <t>username</t>
        </is>
      </c>
      <c r="D1" s="1" t="inlineStr">
        <is>
          <t>first_name</t>
        </is>
      </c>
      <c r="E1" s="1" t="inlineStr">
        <is>
          <t>last_name</t>
        </is>
      </c>
      <c r="F1" s="1" t="inlineStr">
        <is>
          <t>email</t>
        </is>
      </c>
      <c r="G1" s="1" t="inlineStr">
        <is>
          <t>is_staff</t>
        </is>
      </c>
      <c r="H1" s="1" t="inlineStr">
        <is>
          <t>is_active</t>
        </is>
      </c>
      <c r="I1" s="1" t="inlineStr">
        <is>
          <t>date_joined</t>
        </is>
      </c>
      <c r="J1" s="1" t="inlineStr">
        <is>
          <t>id</t>
        </is>
      </c>
      <c r="K1" s="1" t="inlineStr">
        <is>
          <t>default_account_id</t>
        </is>
      </c>
    </row>
    <row r="2">
      <c r="B2" t="b">
        <v>0</v>
      </c>
      <c r="C2" t="inlineStr">
        <is>
          <t>fixture</t>
        </is>
      </c>
      <c r="D2" t="inlineStr"/>
      <c r="E2" t="inlineStr"/>
      <c r="F2" t="inlineStr"/>
      <c r="G2" t="b">
        <v>0</v>
      </c>
      <c r="H2" t="b">
        <v>1</v>
      </c>
      <c r="I2" s="4" t="n">
        <v>46304.6239979817</v>
      </c>
      <c r="J2" s="5" t="inlineStr">
        <is>
          <t>01a1212c-4b51-7377-8cf4-44c71ccf1ed5</t>
        </is>
      </c>
      <c r="K2" s="5" t="inlineStr">
        <is>
          <t>01a1212c-4b57-70cf-80fd-c2192cb3bf81</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38.2" customWidth="1" min="1" max="1"/>
    <col width="21.2" customWidth="1" min="2" max="2"/>
    <col width="13.2" customWidth="1" min="3" max="3"/>
    <col width="11.2" customWidth="1" min="4" max="4"/>
  </cols>
  <sheetData>
    <row r="1" ht="32" customHeight="1">
      <c r="A1" s="1" t="inlineStr">
        <is>
          <t>id</t>
        </is>
      </c>
      <c r="B1" s="1" t="inlineStr">
        <is>
          <t>description</t>
        </is>
      </c>
      <c r="C1" s="1" t="inlineStr">
        <is>
          <t>start_month</t>
        </is>
      </c>
      <c r="D1" s="1" t="inlineStr">
        <is>
          <t>start_day</t>
        </is>
      </c>
    </row>
    <row r="2">
      <c r="A2" s="5" t="inlineStr">
        <is>
          <t>01a1212c-4b54-7394-b07f-cfa851d66e43</t>
        </is>
      </c>
      <c r="B2" t="inlineStr">
        <is>
          <t>Australian Tax Year</t>
        </is>
      </c>
      <c r="C2" t="n">
        <v>7</v>
      </c>
      <c r="D2" t="n">
        <v>1</v>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8.2" customWidth="1" min="1" max="1"/>
    <col width="38.2" customWidth="1" min="2" max="2"/>
    <col width="12.2" customWidth="1" min="3" max="3"/>
    <col width="11.2" customWidth="1" min="4" max="4"/>
  </cols>
  <sheetData>
    <row r="1" ht="32" customHeight="1">
      <c r="A1" s="1" t="inlineStr">
        <is>
          <t>id</t>
        </is>
      </c>
      <c r="B1" s="1" t="inlineStr">
        <is>
          <t>fiscal_year_type_id</t>
        </is>
      </c>
      <c r="C1" s="1" t="inlineStr">
        <is>
          <t>start_year</t>
        </is>
      </c>
      <c r="D1" s="1" t="inlineStr">
        <is>
          <t>name</t>
        </is>
      </c>
    </row>
    <row r="2">
      <c r="A2" s="5" t="inlineStr">
        <is>
          <t>01a1212c-6888-7735-9d87-a3b00886fd67</t>
        </is>
      </c>
      <c r="B2" s="5" t="inlineStr">
        <is>
          <t>01a1212c-4b54-7394-b07f-cfa851d66e43</t>
        </is>
      </c>
      <c r="C2" t="n">
        <v>2016</v>
      </c>
      <c r="D2" t="inlineStr">
        <is>
          <t>FY2016/17</t>
        </is>
      </c>
    </row>
    <row r="3">
      <c r="A3" s="5" t="inlineStr">
        <is>
          <t>01a1212c-6ab6-75a0-94d3-f3da8504bc0c</t>
        </is>
      </c>
      <c r="B3" s="5" t="inlineStr">
        <is>
          <t>01a1212c-4b54-7394-b07f-cfa851d66e43</t>
        </is>
      </c>
      <c r="C3" t="n">
        <v>2017</v>
      </c>
      <c r="D3" t="inlineStr">
        <is>
          <t>FY2017/18</t>
        </is>
      </c>
    </row>
    <row r="4">
      <c r="A4" s="5" t="inlineStr">
        <is>
          <t>01a1212c-6d55-747d-a3d3-a5cf3cc8b103</t>
        </is>
      </c>
      <c r="B4" s="5" t="inlineStr">
        <is>
          <t>01a1212c-4b54-7394-b07f-cfa851d66e43</t>
        </is>
      </c>
      <c r="C4" t="n">
        <v>2018</v>
      </c>
      <c r="D4" t="inlineStr">
        <is>
          <t>FY2018/19</t>
        </is>
      </c>
    </row>
    <row r="5">
      <c r="A5" s="5" t="inlineStr">
        <is>
          <t>01a1212c-706f-7448-936c-d5bc2a985581</t>
        </is>
      </c>
      <c r="B5" s="5" t="inlineStr">
        <is>
          <t>01a1212c-4b54-7394-b07f-cfa851d66e43</t>
        </is>
      </c>
      <c r="C5" t="n">
        <v>2019</v>
      </c>
      <c r="D5" t="inlineStr">
        <is>
          <t>FY2019/20</t>
        </is>
      </c>
    </row>
    <row r="6">
      <c r="A6" s="5" t="inlineStr">
        <is>
          <t>01a1212c-7389-74e8-ad9e-4c4397f55917</t>
        </is>
      </c>
      <c r="B6" s="5" t="inlineStr">
        <is>
          <t>01a1212c-4b54-7394-b07f-cfa851d66e43</t>
        </is>
      </c>
      <c r="C6" t="n">
        <v>2020</v>
      </c>
      <c r="D6" t="inlineStr">
        <is>
          <t>FY2020/21</t>
        </is>
      </c>
    </row>
    <row r="7">
      <c r="A7" s="5" t="inlineStr">
        <is>
          <t>01a1212c-764d-779d-8202-9208e2d03ff7</t>
        </is>
      </c>
      <c r="B7" s="5" t="inlineStr">
        <is>
          <t>01a1212c-4b54-7394-b07f-cfa851d66e43</t>
        </is>
      </c>
      <c r="C7" t="n">
        <v>2021</v>
      </c>
      <c r="D7" t="inlineStr">
        <is>
          <t>FY2021/22</t>
        </is>
      </c>
    </row>
    <row r="8">
      <c r="A8" s="5" t="inlineStr">
        <is>
          <t>01a1212c-7976-74e6-87fb-989e6ec0980c</t>
        </is>
      </c>
      <c r="B8" s="5" t="inlineStr">
        <is>
          <t>01a1212c-4b54-7394-b07f-cfa851d66e43</t>
        </is>
      </c>
      <c r="C8" t="n">
        <v>2022</v>
      </c>
      <c r="D8" t="inlineStr">
        <is>
          <t>FY2022/23</t>
        </is>
      </c>
    </row>
    <row r="9">
      <c r="A9" s="5" t="inlineStr">
        <is>
          <t>01a1212c-7c5c-70e0-81e9-67835556c258</t>
        </is>
      </c>
      <c r="B9" s="5" t="inlineStr">
        <is>
          <t>01a1212c-4b54-7394-b07f-cfa851d66e43</t>
        </is>
      </c>
      <c r="C9" t="n">
        <v>2023</v>
      </c>
      <c r="D9" t="inlineStr">
        <is>
          <t>FY2023/24</t>
        </is>
      </c>
    </row>
    <row r="10">
      <c r="A10" s="5" t="inlineStr">
        <is>
          <t>01a1212c-7fad-7558-b1db-b91937291471</t>
        </is>
      </c>
      <c r="B10" s="5" t="inlineStr">
        <is>
          <t>01a1212c-4b54-7394-b07f-cfa851d66e43</t>
        </is>
      </c>
      <c r="C10" t="n">
        <v>2024</v>
      </c>
      <c r="D10" t="inlineStr">
        <is>
          <t>FY2024/25</t>
        </is>
      </c>
    </row>
    <row r="11">
      <c r="A11" s="5" t="inlineStr">
        <is>
          <t>01a1212c-8261-7381-96d7-ce500f994aa7</t>
        </is>
      </c>
      <c r="B11" s="5" t="inlineStr">
        <is>
          <t>01a1212c-4b54-7394-b07f-cfa851d66e43</t>
        </is>
      </c>
      <c r="C11" t="n">
        <v>2025</v>
      </c>
      <c r="D11" t="inlineStr">
        <is>
          <t>FY2025/26</t>
        </is>
      </c>
    </row>
    <row r="12">
      <c r="A12" s="5" t="inlineStr">
        <is>
          <t>01a1212c-8575-7176-b9f0-d976c6b20bac</t>
        </is>
      </c>
      <c r="B12" s="5" t="inlineStr">
        <is>
          <t>01a1212c-4b54-7394-b07f-cfa851d66e43</t>
        </is>
      </c>
      <c r="C12" t="n">
        <v>2026</v>
      </c>
      <c r="D12" t="inlineStr">
        <is>
          <t>FY2026/27</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38.2" customWidth="1" min="1" max="1"/>
    <col width="19.2" customWidth="1" min="2" max="2"/>
    <col width="28.2" customWidth="1" min="3" max="3"/>
    <col width="28.2" customWidth="1" min="4" max="4"/>
    <col width="10.2" customWidth="1" min="5" max="5"/>
    <col width="38.2" customWidth="1" min="6" max="6"/>
    <col width="38.2" customWidth="1" min="7" max="7"/>
    <col width="22.2" customWidth="1" min="8" max="8"/>
    <col width="15.2" customWidth="1" min="9" max="9"/>
    <col width="26.2" customWidth="1" min="10" max="10"/>
    <col width="19.2" customWidth="1" min="11" max="11"/>
    <col width="47.2" customWidth="1" min="12" max="12"/>
    <col width="38.2" customWidth="1" min="13" max="13"/>
  </cols>
  <sheetData>
    <row r="1" ht="32" customHeight="1">
      <c r="A1" s="1" t="inlineStr">
        <is>
          <t>id</t>
        </is>
      </c>
      <c r="B1" s="1" t="inlineStr">
        <is>
          <t>description</t>
        </is>
      </c>
      <c r="C1" s="1" t="inlineStr">
        <is>
          <t>created_at</t>
        </is>
      </c>
      <c r="D1" s="1" t="inlineStr">
        <is>
          <t>updated_at</t>
        </is>
      </c>
      <c r="E1" s="1" t="inlineStr">
        <is>
          <t>currency</t>
        </is>
      </c>
      <c r="F1" s="1" t="inlineStr">
        <is>
          <t>owner_id</t>
        </is>
      </c>
      <c r="G1" s="1" t="inlineStr">
        <is>
          <t>fiscal_year_type_id</t>
        </is>
      </c>
      <c r="H1" s="1" t="inlineStr">
        <is>
          <t>update_price_history</t>
        </is>
      </c>
      <c r="I1" s="1" t="inlineStr">
        <is>
          <t>taxpayer_type</t>
        </is>
      </c>
      <c r="J1" s="1" t="inlineStr">
        <is>
          <t>tax_settings_reviewed_at</t>
        </is>
      </c>
      <c r="K1" s="1" t="inlineStr">
        <is>
          <t>model_2027_regime</t>
        </is>
      </c>
      <c r="L1" s="1" t="inlineStr">
        <is>
          <t>calculated_portfolio_value_converted_currency</t>
        </is>
      </c>
      <c r="M1" s="1" t="inlineStr">
        <is>
          <t>calculated_portfolio_value_converted</t>
        </is>
      </c>
    </row>
    <row r="2">
      <c r="A2" s="5" t="inlineStr">
        <is>
          <t>01a1212c-4b57-70cf-80fd-c2192cb3bf81</t>
        </is>
      </c>
      <c r="B2" t="inlineStr">
        <is>
          <t>Fixture Portfolio</t>
        </is>
      </c>
      <c r="C2" s="4" t="n">
        <v>46304.62399804615</v>
      </c>
      <c r="D2" s="4" t="n">
        <v>46304.62399804625</v>
      </c>
      <c r="E2" t="inlineStr">
        <is>
          <t>AUD</t>
        </is>
      </c>
      <c r="F2" s="5" t="inlineStr">
        <is>
          <t>01a1212c-4b51-7377-8cf4-44c71ccf1ed5</t>
        </is>
      </c>
      <c r="G2" s="5" t="inlineStr">
        <is>
          <t>01a1212c-4b54-7394-b07f-cfa851d66e43</t>
        </is>
      </c>
      <c r="H2" t="b">
        <v>0</v>
      </c>
      <c r="I2" t="inlineStr">
        <is>
          <t>UNDECLARED</t>
        </is>
      </c>
      <c r="K2" t="b">
        <v>0</v>
      </c>
      <c r="L2" t="inlineStr">
        <is>
          <t>AUD</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1523"/>
  <sheetViews>
    <sheetView workbookViewId="0">
      <pane ySplit="1" topLeftCell="A2" activePane="bottomLeft" state="frozen"/>
      <selection pane="bottomLeft" activeCell="A1" sqref="A1"/>
    </sheetView>
  </sheetViews>
  <sheetFormatPr baseColWidth="8" defaultRowHeight="15"/>
  <cols>
    <col width="38.2" customWidth="1" min="1" max="1"/>
    <col width="11.2" customWidth="1" min="2" max="2"/>
    <col width="13.2" customWidth="1" min="3" max="3"/>
    <col width="38.2" customWidth="1" min="4" max="4"/>
    <col width="28.2" customWidth="1" min="5" max="5"/>
    <col width="28.2" customWidth="1" min="6" max="6"/>
    <col width="11.2" customWidth="1" min="7" max="7"/>
    <col width="82.2" customWidth="1" min="8" max="8"/>
    <col width="33.2" customWidth="1" min="9" max="9"/>
    <col width="38.2" customWidth="1" min="10" max="10"/>
  </cols>
  <sheetData>
    <row r="1" ht="32" customHeight="1">
      <c r="A1" s="1" t="inlineStr">
        <is>
          <t>id</t>
        </is>
      </c>
      <c r="B1" s="1" t="inlineStr">
        <is>
          <t>legacy_id</t>
        </is>
      </c>
      <c r="C1" s="1" t="inlineStr">
        <is>
          <t>description</t>
        </is>
      </c>
      <c r="D1" s="1" t="inlineStr">
        <is>
          <t>account_id</t>
        </is>
      </c>
      <c r="E1" s="1" t="inlineStr">
        <is>
          <t>created_at</t>
        </is>
      </c>
      <c r="F1" s="1" t="inlineStr">
        <is>
          <t>updated_at</t>
        </is>
      </c>
      <c r="G1" s="1" t="inlineStr">
        <is>
          <t>is_active</t>
        </is>
      </c>
      <c r="H1" s="1" t="inlineStr">
        <is>
          <t>event</t>
        </is>
      </c>
      <c r="I1" s="1" t="inlineStr">
        <is>
          <t>content_type__name</t>
        </is>
      </c>
      <c r="J1" s="1" t="inlineStr">
        <is>
          <t>object_id</t>
        </is>
      </c>
    </row>
    <row r="2">
      <c r="A2" s="5" t="inlineStr">
        <is>
          <t>01a1212c-6882-7249-8c47-fa07480a22b0</t>
        </is>
      </c>
      <c r="D2" s="5" t="inlineStr">
        <is>
          <t>01a1212c-4b57-70cf-80fd-c2192cb3bf81</t>
        </is>
      </c>
      <c r="E2" s="4" t="n">
        <v>46304.62408447666</v>
      </c>
      <c r="F2" s="4" t="n">
        <v>46304.62408447676</v>
      </c>
      <c r="G2" t="b">
        <v>1</v>
      </c>
      <c r="H2" s="3" t="inlineStr">
        <is>
          <t>This parcel was created from trade 2016-10-03 | Buy | VAS | 14.0000 unit @ A$70.75 / unit</t>
        </is>
      </c>
      <c r="I2" t="inlineStr">
        <is>
          <t>parcel</t>
        </is>
      </c>
      <c r="J2" s="5" t="inlineStr">
        <is>
          <t>01a1212c-687d-7722-9e5b-4cd037c726f7</t>
        </is>
      </c>
    </row>
    <row r="3">
      <c r="A3" s="5" t="inlineStr">
        <is>
          <t>01a1212c-689a-74cb-8ddc-f67bb637a6d9</t>
        </is>
      </c>
      <c r="D3" s="5" t="inlineStr">
        <is>
          <t>01a1212c-4b57-70cf-80fd-c2192cb3bf81</t>
        </is>
      </c>
      <c r="E3" s="4" t="n">
        <v>46304.62408474916</v>
      </c>
      <c r="F3" s="4" t="n">
        <v>46304.62408474924</v>
      </c>
      <c r="G3" t="b">
        <v>1</v>
      </c>
      <c r="H3" s="3" t="inlineStr">
        <is>
          <t>This parcel was created from trade 2016-10-03 | Buy | VGS | 22.0000 unit @ A$55.95 / unit</t>
        </is>
      </c>
      <c r="I3" t="inlineStr">
        <is>
          <t>parcel</t>
        </is>
      </c>
      <c r="J3" s="5" t="inlineStr">
        <is>
          <t>01a1212c-6896-70d6-844d-33deb9ce2d14</t>
        </is>
      </c>
    </row>
    <row r="4">
      <c r="A4" s="5" t="inlineStr">
        <is>
          <t>01a1212c-68b0-770f-941d-709eaa564d14</t>
        </is>
      </c>
      <c r="D4" s="5" t="inlineStr">
        <is>
          <t>01a1212c-4b57-70cf-80fd-c2192cb3bf81</t>
        </is>
      </c>
      <c r="E4" s="4" t="n">
        <v>46304.6240850112</v>
      </c>
      <c r="F4" s="4" t="n">
        <v>46304.62408501132</v>
      </c>
      <c r="G4" t="b">
        <v>1</v>
      </c>
      <c r="H4" s="3" t="inlineStr">
        <is>
          <t>This parcel was created from trade 2016-11-02 | Buy | VAS | 24.0000 unit @ A$66.45 / unit</t>
        </is>
      </c>
      <c r="I4" t="inlineStr">
        <is>
          <t>parcel</t>
        </is>
      </c>
      <c r="J4" s="5" t="inlineStr">
        <is>
          <t>01a1212c-68ac-7533-acb8-393d5f7dde20</t>
        </is>
      </c>
    </row>
    <row r="5">
      <c r="A5" s="5" t="inlineStr">
        <is>
          <t>01a1212c-68c7-72d6-aefb-507229cf94a5</t>
        </is>
      </c>
      <c r="D5" s="5" t="inlineStr">
        <is>
          <t>01a1212c-4b57-70cf-80fd-c2192cb3bf81</t>
        </is>
      </c>
      <c r="E5" s="4" t="n">
        <v>46304.62408527353</v>
      </c>
      <c r="F5" s="4" t="n">
        <v>46304.62408527361</v>
      </c>
      <c r="G5" t="b">
        <v>1</v>
      </c>
      <c r="H5" s="3" t="inlineStr">
        <is>
          <t>This parcel was created from trade 2016-11-02 | Buy | VGS | 37.0000 unit @ A$54.19 / unit</t>
        </is>
      </c>
      <c r="I5" t="inlineStr">
        <is>
          <t>parcel</t>
        </is>
      </c>
      <c r="J5" s="5" t="inlineStr">
        <is>
          <t>01a1212c-68c3-7400-8c25-aa53cd5ab679</t>
        </is>
      </c>
    </row>
    <row r="6">
      <c r="A6" s="5" t="inlineStr">
        <is>
          <t>01a1212c-68de-71a2-b72e-c4eee3276ead</t>
        </is>
      </c>
      <c r="D6" s="5" t="inlineStr">
        <is>
          <t>01a1212c-4b57-70cf-80fd-c2192cb3bf81</t>
        </is>
      </c>
      <c r="E6" s="4" t="n">
        <v>46304.62408553543</v>
      </c>
      <c r="F6" s="4" t="n">
        <v>46304.62408553551</v>
      </c>
      <c r="G6" t="b">
        <v>1</v>
      </c>
      <c r="H6" s="3" t="inlineStr">
        <is>
          <t>This parcel was created from trade 2016-12-06 | Buy | VAS | 18.0000 unit @ A$69.38 / unit</t>
        </is>
      </c>
      <c r="I6" t="inlineStr">
        <is>
          <t>parcel</t>
        </is>
      </c>
      <c r="J6" s="5" t="inlineStr">
        <is>
          <t>01a1212c-68da-77ea-a20b-34434b4e9654</t>
        </is>
      </c>
    </row>
    <row r="7">
      <c r="A7" s="5" t="inlineStr">
        <is>
          <t>01a1212c-68f4-713c-ac74-2d279850ab81</t>
        </is>
      </c>
      <c r="D7" s="5" t="inlineStr">
        <is>
          <t>01a1212c-4b57-70cf-80fd-c2192cb3bf81</t>
        </is>
      </c>
      <c r="E7" s="4" t="n">
        <v>46304.62408579121</v>
      </c>
      <c r="F7" s="4" t="n">
        <v>46304.6240857913</v>
      </c>
      <c r="G7" t="b">
        <v>1</v>
      </c>
      <c r="H7" s="3" t="inlineStr">
        <is>
          <t>This parcel was created from trade 2016-12-06 | Buy | VGS | 27.0000 unit @ A$57.06 / unit</t>
        </is>
      </c>
      <c r="I7" t="inlineStr">
        <is>
          <t>parcel</t>
        </is>
      </c>
      <c r="J7" s="5" t="inlineStr">
        <is>
          <t>01a1212c-68f0-738d-8d20-79a1c973b960</t>
        </is>
      </c>
    </row>
    <row r="8">
      <c r="A8" s="5" t="inlineStr">
        <is>
          <t>01a1212c-690a-77ad-9a8b-38efde1de0eb</t>
        </is>
      </c>
      <c r="D8" s="5" t="inlineStr">
        <is>
          <t>01a1212c-4b57-70cf-80fd-c2192cb3bf81</t>
        </is>
      </c>
      <c r="E8" s="4" t="n">
        <v>46304.62408604666</v>
      </c>
      <c r="F8" s="4" t="n">
        <v>46304.62408604674</v>
      </c>
      <c r="G8" t="b">
        <v>1</v>
      </c>
      <c r="H8" s="3" t="inlineStr">
        <is>
          <t>This parcel was created from trade 2016-12-12 | Buy | TLS | 195.0000 unit @ A$4.95 / unit</t>
        </is>
      </c>
      <c r="I8" t="inlineStr">
        <is>
          <t>parcel</t>
        </is>
      </c>
      <c r="J8" s="5" t="inlineStr">
        <is>
          <t>01a1212c-6906-7630-a5f2-751e7e213be3</t>
        </is>
      </c>
    </row>
    <row r="9">
      <c r="A9" s="5" t="inlineStr">
        <is>
          <t>01a1212c-691e-74e4-a201-80b5f3a012e3</t>
        </is>
      </c>
      <c r="D9" s="5" t="inlineStr">
        <is>
          <t>01a1212c-4b57-70cf-80fd-c2192cb3bf81</t>
        </is>
      </c>
      <c r="E9" s="4" t="n">
        <v>46304.62408627703</v>
      </c>
      <c r="F9" s="4" t="n">
        <v>46304.62408627711</v>
      </c>
      <c r="G9" t="b">
        <v>1</v>
      </c>
      <c r="H9" s="3" t="inlineStr">
        <is>
          <t>This parcel was created from trade 2017-01-06 | Buy | VAS | 21.0000 unit @ A$72.68 / unit</t>
        </is>
      </c>
      <c r="I9" t="inlineStr">
        <is>
          <t>parcel</t>
        </is>
      </c>
      <c r="J9" s="5" t="inlineStr">
        <is>
          <t>01a1212c-691a-70d4-a1c4-6f72b59d4cde</t>
        </is>
      </c>
    </row>
    <row r="10">
      <c r="A10" s="5" t="inlineStr">
        <is>
          <t>01a1212c-6932-7133-a397-ae1925fe7675</t>
        </is>
      </c>
      <c r="D10" s="5" t="inlineStr">
        <is>
          <t>01a1212c-4b57-70cf-80fd-c2192cb3bf81</t>
        </is>
      </c>
      <c r="E10" s="4" t="n">
        <v>46304.62408651526</v>
      </c>
      <c r="F10" s="4" t="n">
        <v>46304.62408651534</v>
      </c>
      <c r="G10" t="b">
        <v>1</v>
      </c>
      <c r="H10" s="3" t="inlineStr">
        <is>
          <t>This parcel was created from trade 2017-01-06 | Buy | VGS | 32.0000 unit @ A$59.89 / unit</t>
        </is>
      </c>
      <c r="I10" t="inlineStr">
        <is>
          <t>parcel</t>
        </is>
      </c>
      <c r="J10" s="5" t="inlineStr">
        <is>
          <t>01a1212c-692f-76c3-8991-b28be5dbbe78</t>
        </is>
      </c>
    </row>
    <row r="11">
      <c r="A11" s="5" t="inlineStr">
        <is>
          <t>01a1212c-6948-73dd-8408-931f3ef58830</t>
        </is>
      </c>
      <c r="D11" s="5" t="inlineStr">
        <is>
          <t>01a1212c-4b57-70cf-80fd-c2192cb3bf81</t>
        </is>
      </c>
      <c r="E11" s="4" t="n">
        <v>46304.62408676808</v>
      </c>
      <c r="F11" s="4" t="n">
        <v>46304.62408676816</v>
      </c>
      <c r="G11" t="b">
        <v>1</v>
      </c>
      <c r="H11" s="3" t="inlineStr">
        <is>
          <t>This parcel was created from trade 2017-01-20 | Buy | AMZN | 1.0000 unit @ $808.33 / unit</t>
        </is>
      </c>
      <c r="I11" t="inlineStr">
        <is>
          <t>parcel</t>
        </is>
      </c>
      <c r="J11" s="5" t="inlineStr">
        <is>
          <t>01a1212c-6945-7758-a2bb-6ef14801d9ae</t>
        </is>
      </c>
    </row>
    <row r="12">
      <c r="A12" s="5" t="inlineStr">
        <is>
          <t>01a1212c-695d-7572-ae31-06c59d765d6c</t>
        </is>
      </c>
      <c r="D12" s="5" t="inlineStr">
        <is>
          <t>01a1212c-4b57-70cf-80fd-c2192cb3bf81</t>
        </is>
      </c>
      <c r="E12" s="4" t="n">
        <v>46304.62408701295</v>
      </c>
      <c r="F12" s="4" t="n">
        <v>46304.62408701304</v>
      </c>
      <c r="G12" t="b">
        <v>1</v>
      </c>
      <c r="H12" s="3" t="inlineStr">
        <is>
          <t>This parcel was created from trade 2017-02-06 | Buy | VAS | 20.0000 unit @ A$70.93 / unit</t>
        </is>
      </c>
      <c r="I12" t="inlineStr">
        <is>
          <t>parcel</t>
        </is>
      </c>
      <c r="J12" s="5" t="inlineStr">
        <is>
          <t>01a1212c-695a-74e1-944f-cf3c745c8111</t>
        </is>
      </c>
    </row>
    <row r="13">
      <c r="A13" s="5" t="inlineStr">
        <is>
          <t>01a1212c-6971-72f8-b25c-905f415afdcb</t>
        </is>
      </c>
      <c r="D13" s="5" t="inlineStr">
        <is>
          <t>01a1212c-4b57-70cf-80fd-c2192cb3bf81</t>
        </is>
      </c>
      <c r="E13" s="4" t="n">
        <v>46304.62408724441</v>
      </c>
      <c r="F13" s="4" t="n">
        <v>46304.62408724448</v>
      </c>
      <c r="G13" t="b">
        <v>1</v>
      </c>
      <c r="H13" s="3" t="inlineStr">
        <is>
          <t>This parcel was created from trade 2017-02-06 | Buy | VGS | 30.0000 unit @ A$57.95 / unit</t>
        </is>
      </c>
      <c r="I13" t="inlineStr">
        <is>
          <t>parcel</t>
        </is>
      </c>
      <c r="J13" s="5" t="inlineStr">
        <is>
          <t>01a1212c-696e-7146-9e01-741d10f2bed2</t>
        </is>
      </c>
    </row>
    <row r="14">
      <c r="A14" s="5" t="inlineStr">
        <is>
          <t>01a1212c-6986-7060-bbaa-d26c1ff3064f</t>
        </is>
      </c>
      <c r="D14" s="5" t="inlineStr">
        <is>
          <t>01a1212c-4b57-70cf-80fd-c2192cb3bf81</t>
        </is>
      </c>
      <c r="E14" s="4" t="n">
        <v>46304.62408747934</v>
      </c>
      <c r="F14" s="4" t="n">
        <v>46304.62408747947</v>
      </c>
      <c r="G14" t="b">
        <v>1</v>
      </c>
      <c r="H14" s="3" t="inlineStr">
        <is>
          <t>This parcel was created from trade 2017-03-03 | Buy | VAS | 8.0000 unit @ A$72.94 / unit</t>
        </is>
      </c>
      <c r="I14" t="inlineStr">
        <is>
          <t>parcel</t>
        </is>
      </c>
      <c r="J14" s="5" t="inlineStr">
        <is>
          <t>01a1212c-6982-7355-ba70-8f6993dd73bd</t>
        </is>
      </c>
    </row>
    <row r="15">
      <c r="A15" s="5" t="inlineStr">
        <is>
          <t>01a1212c-699c-76a2-ab77-94aafd5ee20a</t>
        </is>
      </c>
      <c r="D15" s="5" t="inlineStr">
        <is>
          <t>01a1212c-4b57-70cf-80fd-c2192cb3bf81</t>
        </is>
      </c>
      <c r="E15" s="4" t="n">
        <v>46304.62408773725</v>
      </c>
      <c r="F15" s="4" t="n">
        <v>46304.62408773733</v>
      </c>
      <c r="G15" t="b">
        <v>1</v>
      </c>
      <c r="H15" s="3" t="inlineStr">
        <is>
          <t>This parcel was created from trade 2017-03-03 | Buy | VGS | 12.0000 unit @ A$60.00 / unit</t>
        </is>
      </c>
      <c r="I15" t="inlineStr">
        <is>
          <t>parcel</t>
        </is>
      </c>
      <c r="J15" s="5" t="inlineStr">
        <is>
          <t>01a1212c-6998-74b0-bc81-af5dbb051f7a</t>
        </is>
      </c>
    </row>
    <row r="16">
      <c r="A16" s="5" t="inlineStr">
        <is>
          <t>01a1212c-69b2-768c-9620-75a4c5f86348</t>
        </is>
      </c>
      <c r="D16" s="5" t="inlineStr">
        <is>
          <t>01a1212c-4b57-70cf-80fd-c2192cb3bf81</t>
        </is>
      </c>
      <c r="E16" s="4" t="n">
        <v>46304.62408799823</v>
      </c>
      <c r="F16" s="4" t="n">
        <v>46304.62408799833</v>
      </c>
      <c r="G16" t="b">
        <v>1</v>
      </c>
      <c r="H16" s="3" t="inlineStr">
        <is>
          <t>This parcel was created from trade 2017-03-06 | Buy | AAPL | 4.0000 unit @ $139.34 / unit</t>
        </is>
      </c>
      <c r="I16" t="inlineStr">
        <is>
          <t>parcel</t>
        </is>
      </c>
      <c r="J16" s="5" t="inlineStr">
        <is>
          <t>01a1212c-69af-71ca-bedb-c45e7e2a2285</t>
        </is>
      </c>
    </row>
    <row r="17">
      <c r="A17" s="5" t="inlineStr">
        <is>
          <t>01a1212c-69c8-747d-9f16-932c1d633bf6</t>
        </is>
      </c>
      <c r="D17" s="5" t="inlineStr">
        <is>
          <t>01a1212c-4b57-70cf-80fd-c2192cb3bf81</t>
        </is>
      </c>
      <c r="E17" s="4" t="n">
        <v>46304.62408824443</v>
      </c>
      <c r="F17" s="4" t="n">
        <v>46304.62408824451</v>
      </c>
      <c r="G17" t="b">
        <v>1</v>
      </c>
      <c r="H17" s="3" t="inlineStr">
        <is>
          <t>This parcel was created from trade 2017-03-17 | Buy | CBA | 10.0000 unit @ A$84.77 / unit</t>
        </is>
      </c>
      <c r="I17" t="inlineStr">
        <is>
          <t>parcel</t>
        </is>
      </c>
      <c r="J17" s="5" t="inlineStr">
        <is>
          <t>01a1212c-69c5-74f0-804a-e7532619258f</t>
        </is>
      </c>
    </row>
    <row r="18">
      <c r="A18" s="5" t="inlineStr">
        <is>
          <t>01a1212c-69db-701d-9203-f2d82b1f1589</t>
        </is>
      </c>
      <c r="D18" s="5" t="inlineStr">
        <is>
          <t>01a1212c-4b57-70cf-80fd-c2192cb3bf81</t>
        </is>
      </c>
      <c r="E18" s="4" t="n">
        <v>46304.62408847283</v>
      </c>
      <c r="F18" s="4" t="n">
        <v>46304.6240884729</v>
      </c>
      <c r="G18" t="b">
        <v>1</v>
      </c>
      <c r="H18" s="3" t="inlineStr">
        <is>
          <t>This parcel was created from trade 2017-04-04 | Buy | VAS | 19.0000 unit @ A$74.31 / unit</t>
        </is>
      </c>
      <c r="I18" t="inlineStr">
        <is>
          <t>parcel</t>
        </is>
      </c>
      <c r="J18" s="5" t="inlineStr">
        <is>
          <t>01a1212c-69d8-7623-b5ab-9b8cc7866ed9</t>
        </is>
      </c>
    </row>
    <row r="19">
      <c r="A19" s="5" t="inlineStr">
        <is>
          <t>01a1212c-69f0-766d-9e1d-483d69edcaf1</t>
        </is>
      </c>
      <c r="D19" s="5" t="inlineStr">
        <is>
          <t>01a1212c-4b57-70cf-80fd-c2192cb3bf81</t>
        </is>
      </c>
      <c r="E19" s="4" t="n">
        <v>46304.6240887116</v>
      </c>
      <c r="F19" s="4" t="n">
        <v>46304.62408871168</v>
      </c>
      <c r="G19" t="b">
        <v>1</v>
      </c>
      <c r="H19" s="3" t="inlineStr">
        <is>
          <t>This parcel was created from trade 2017-04-04 | Buy | VGS | 30.0000 unit @ A$59.99 / unit</t>
        </is>
      </c>
      <c r="I19" t="inlineStr">
        <is>
          <t>parcel</t>
        </is>
      </c>
      <c r="J19" s="5" t="inlineStr">
        <is>
          <t>01a1212c-69ed-703d-98c7-86793a7bce47</t>
        </is>
      </c>
    </row>
    <row r="20">
      <c r="A20" s="5" t="inlineStr">
        <is>
          <t>01a1212c-6a06-709f-a847-506c799dad98</t>
        </is>
      </c>
      <c r="D20" s="5" t="inlineStr">
        <is>
          <t>01a1212c-4b57-70cf-80fd-c2192cb3bf81</t>
        </is>
      </c>
      <c r="E20" s="4" t="n">
        <v>46304.62408897064</v>
      </c>
      <c r="F20" s="4" t="n">
        <v>46304.62408897072</v>
      </c>
      <c r="G20" t="b">
        <v>1</v>
      </c>
      <c r="H20" s="3" t="inlineStr">
        <is>
          <t>This parcel was created from trade 2017-05-04 | Buy | MSFT | 14.0000 unit @ $68.81 / unit</t>
        </is>
      </c>
      <c r="I20" t="inlineStr">
        <is>
          <t>parcel</t>
        </is>
      </c>
      <c r="J20" s="5" t="inlineStr">
        <is>
          <t>01a1212c-6a03-718c-a95c-f74d2e171a34</t>
        </is>
      </c>
    </row>
    <row r="21">
      <c r="A21" s="5" t="inlineStr">
        <is>
          <t>01a1212c-6a1c-7075-b6c3-96e6d2d5ac98</t>
        </is>
      </c>
      <c r="D21" s="5" t="inlineStr">
        <is>
          <t>01a1212c-4b57-70cf-80fd-c2192cb3bf81</t>
        </is>
      </c>
      <c r="E21" s="4" t="n">
        <v>46304.6240892208</v>
      </c>
      <c r="F21" s="4" t="n">
        <v>46304.62408922087</v>
      </c>
      <c r="G21" t="b">
        <v>1</v>
      </c>
      <c r="H21" s="3" t="inlineStr">
        <is>
          <t>This parcel was created from trade 2017-05-05 | Buy | VAS | 17.0000 unit @ A$74.29 / unit</t>
        </is>
      </c>
      <c r="I21" t="inlineStr">
        <is>
          <t>parcel</t>
        </is>
      </c>
      <c r="J21" s="5" t="inlineStr">
        <is>
          <t>01a1212c-6a18-70d0-a47b-125a1b405792</t>
        </is>
      </c>
    </row>
    <row r="22">
      <c r="A22" s="5" t="inlineStr">
        <is>
          <t>01a1212c-6a32-77fc-a21e-aef82f5bdd14</t>
        </is>
      </c>
      <c r="D22" s="5" t="inlineStr">
        <is>
          <t>01a1212c-4b57-70cf-80fd-c2192cb3bf81</t>
        </is>
      </c>
      <c r="E22" s="4" t="n">
        <v>46304.62408947396</v>
      </c>
      <c r="F22" s="4" t="n">
        <v>46304.62408947408</v>
      </c>
      <c r="G22" t="b">
        <v>1</v>
      </c>
      <c r="H22" s="3" t="inlineStr">
        <is>
          <t>This parcel was created from trade 2017-05-05 | Buy | VGS | 25.0000 unit @ A$63.02 / unit</t>
        </is>
      </c>
      <c r="I22" t="inlineStr">
        <is>
          <t>parcel</t>
        </is>
      </c>
      <c r="J22" s="5" t="inlineStr">
        <is>
          <t>01a1212c-6a2e-75f8-b19d-5dc788e0d375</t>
        </is>
      </c>
    </row>
    <row r="23">
      <c r="A23" s="5" t="inlineStr">
        <is>
          <t>01a1212c-6a48-7196-8fd7-43a91e50e0a3</t>
        </is>
      </c>
      <c r="D23" s="5" t="inlineStr">
        <is>
          <t>01a1212c-4b57-70cf-80fd-c2192cb3bf81</t>
        </is>
      </c>
      <c r="E23" s="4" t="n">
        <v>46304.62408972553</v>
      </c>
      <c r="F23" s="4" t="n">
        <v>46304.62408972561</v>
      </c>
      <c r="G23" t="b">
        <v>1</v>
      </c>
      <c r="H23" s="3" t="inlineStr">
        <is>
          <t>This parcel was created from trade 2017-05-15 | Buy | TLS | 299.0000 unit @ A$4.40 / unit</t>
        </is>
      </c>
      <c r="I23" t="inlineStr">
        <is>
          <t>parcel</t>
        </is>
      </c>
      <c r="J23" s="5" t="inlineStr">
        <is>
          <t>01a1212c-6a44-73c6-91b4-550ecb04beb8</t>
        </is>
      </c>
    </row>
    <row r="24">
      <c r="A24" s="5" t="inlineStr">
        <is>
          <t>01a1212c-6a5c-75d1-9a1d-304775831846</t>
        </is>
      </c>
      <c r="D24" s="5" t="inlineStr">
        <is>
          <t>01a1212c-4b57-70cf-80fd-c2192cb3bf81</t>
        </is>
      </c>
      <c r="E24" s="4" t="n">
        <v>46304.62408996595</v>
      </c>
      <c r="F24" s="4" t="n">
        <v>46304.62408996602</v>
      </c>
      <c r="G24" t="b">
        <v>1</v>
      </c>
      <c r="H24" s="3" t="inlineStr">
        <is>
          <t>This parcel was created from trade 2017-05-22 | Buy | AAPL | 6.0000 unit @ $153.99 / unit</t>
        </is>
      </c>
      <c r="I24" t="inlineStr">
        <is>
          <t>parcel</t>
        </is>
      </c>
      <c r="J24" s="5" t="inlineStr">
        <is>
          <t>01a1212c-6a59-75ca-b91e-09b95d96c758</t>
        </is>
      </c>
    </row>
    <row r="25">
      <c r="A25" s="5" t="inlineStr">
        <is>
          <t>01a1212c-6a72-75e1-9556-9a0d02dffcf4</t>
        </is>
      </c>
      <c r="D25" s="5" t="inlineStr">
        <is>
          <t>01a1212c-4b57-70cf-80fd-c2192cb3bf81</t>
        </is>
      </c>
      <c r="E25" s="4" t="n">
        <v>46304.62409020952</v>
      </c>
      <c r="F25" s="4" t="n">
        <v>46304.6240902096</v>
      </c>
      <c r="G25" t="b">
        <v>1</v>
      </c>
      <c r="H25" s="3" t="inlineStr">
        <is>
          <t>This parcel was created from trade 2017-06-05 | Buy | VAS | 14.0000 unit @ A$73.47 / unit</t>
        </is>
      </c>
      <c r="I25" t="inlineStr">
        <is>
          <t>parcel</t>
        </is>
      </c>
      <c r="J25" s="5" t="inlineStr">
        <is>
          <t>01a1212c-6a6e-7311-9954-d2b7382fadc3</t>
        </is>
      </c>
    </row>
    <row r="26">
      <c r="A26" s="5" t="inlineStr">
        <is>
          <t>01a1212c-6a86-76ae-8e1c-853f38f2af96</t>
        </is>
      </c>
      <c r="D26" s="5" t="inlineStr">
        <is>
          <t>01a1212c-4b57-70cf-80fd-c2192cb3bf81</t>
        </is>
      </c>
      <c r="E26" s="4" t="n">
        <v>46304.62409045004</v>
      </c>
      <c r="F26" s="4" t="n">
        <v>46304.6240904501</v>
      </c>
      <c r="G26" t="b">
        <v>1</v>
      </c>
      <c r="H26" s="3" t="inlineStr">
        <is>
          <t>This parcel was created from trade 2017-06-05 | Buy | VGS | 20.0000 unit @ A$64.25 / unit</t>
        </is>
      </c>
      <c r="I26" t="inlineStr">
        <is>
          <t>parcel</t>
        </is>
      </c>
      <c r="J26" s="5" t="inlineStr">
        <is>
          <t>01a1212c-6a83-75e3-a976-646e71a73596</t>
        </is>
      </c>
    </row>
    <row r="27">
      <c r="A27" s="5" t="inlineStr">
        <is>
          <t>01a1212c-6a9c-7227-bc99-5bc3366b83e9</t>
        </is>
      </c>
      <c r="D27" s="5" t="inlineStr">
        <is>
          <t>01a1212c-4b57-70cf-80fd-c2192cb3bf81</t>
        </is>
      </c>
      <c r="E27" s="4" t="n">
        <v>46304.6240907034</v>
      </c>
      <c r="F27" s="4" t="n">
        <v>46304.62409070348</v>
      </c>
      <c r="G27" t="b">
        <v>1</v>
      </c>
      <c r="H27" s="3" t="inlineStr">
        <is>
          <t>This parcel was created from trade 2017-06-22 | Buy | AAPL | 4.0000 unit @ $145.63 / unit</t>
        </is>
      </c>
      <c r="I27" t="inlineStr">
        <is>
          <t>parcel</t>
        </is>
      </c>
      <c r="J27" s="5" t="inlineStr">
        <is>
          <t>01a1212c-6a99-7744-a90f-0e15183ead98</t>
        </is>
      </c>
    </row>
    <row r="28">
      <c r="A28" s="5" t="inlineStr">
        <is>
          <t>01a1212c-6ab1-77b2-b59f-158dcb6adb02</t>
        </is>
      </c>
      <c r="D28" s="5" t="inlineStr">
        <is>
          <t>01a1212c-4b57-70cf-80fd-c2192cb3bf81</t>
        </is>
      </c>
      <c r="E28" s="4" t="n">
        <v>46304.62409094564</v>
      </c>
      <c r="F28" s="4" t="n">
        <v>46304.6240909457</v>
      </c>
      <c r="G28" t="b">
        <v>1</v>
      </c>
      <c r="H28" s="3" t="inlineStr">
        <is>
          <t>This parcel was created from trade 2017-07-04 | Buy | VAS | 21.0000 unit @ A$73.59 / unit</t>
        </is>
      </c>
      <c r="I28" t="inlineStr">
        <is>
          <t>parcel</t>
        </is>
      </c>
      <c r="J28" s="5" t="inlineStr">
        <is>
          <t>01a1212c-6aae-7071-b34e-f040cbd8af32</t>
        </is>
      </c>
    </row>
    <row r="29">
      <c r="A29" s="5" t="inlineStr">
        <is>
          <t>01a1212c-6ac7-718a-ac87-24a166232534</t>
        </is>
      </c>
      <c r="D29" s="5" t="inlineStr">
        <is>
          <t>01a1212c-4b57-70cf-80fd-c2192cb3bf81</t>
        </is>
      </c>
      <c r="E29" s="4" t="n">
        <v>46304.62409119376</v>
      </c>
      <c r="F29" s="4" t="n">
        <v>46304.62409119387</v>
      </c>
      <c r="G29" t="b">
        <v>1</v>
      </c>
      <c r="H29" s="3" t="inlineStr">
        <is>
          <t>This parcel was created from trade 2017-07-04 | Buy | VGS | 31.0000 unit @ A$61.50 / unit</t>
        </is>
      </c>
      <c r="I29" t="inlineStr">
        <is>
          <t>parcel</t>
        </is>
      </c>
      <c r="J29" s="5" t="inlineStr">
        <is>
          <t>01a1212c-6ac3-7045-85af-681a40396939</t>
        </is>
      </c>
    </row>
    <row r="30">
      <c r="A30" s="5" t="inlineStr">
        <is>
          <t>01a1212c-6add-7738-9272-3d86562b27c3</t>
        </is>
      </c>
      <c r="D30" s="5" t="inlineStr">
        <is>
          <t>01a1212c-4b57-70cf-80fd-c2192cb3bf81</t>
        </is>
      </c>
      <c r="E30" s="4" t="n">
        <v>46304.6240914553</v>
      </c>
      <c r="F30" s="4" t="n">
        <v>46304.62409145539</v>
      </c>
      <c r="G30" t="b">
        <v>1</v>
      </c>
      <c r="H30" s="3" t="inlineStr">
        <is>
          <t>This parcel was created from trade 2017-07-10 | Buy | MSFT | 9.0000 unit @ $69.98 / unit</t>
        </is>
      </c>
      <c r="I30" t="inlineStr">
        <is>
          <t>parcel</t>
        </is>
      </c>
      <c r="J30" s="5" t="inlineStr">
        <is>
          <t>01a1212c-6ada-76e7-b71a-614e059743c8</t>
        </is>
      </c>
    </row>
    <row r="31">
      <c r="A31" s="5" t="inlineStr">
        <is>
          <t>01a1212c-6af4-751f-a2d7-6845d14bf2ec</t>
        </is>
      </c>
      <c r="D31" s="5" t="inlineStr">
        <is>
          <t>01a1212c-4b57-70cf-80fd-c2192cb3bf81</t>
        </is>
      </c>
      <c r="E31" s="4" t="n">
        <v>46304.62409171621</v>
      </c>
      <c r="F31" s="4" t="n">
        <v>46304.62409171629</v>
      </c>
      <c r="G31" t="b">
        <v>1</v>
      </c>
      <c r="H31" s="3" t="inlineStr">
        <is>
          <t>This parcel was created from trade 2017-07-28 | Buy | MSFT | 7.0000 unit @ $73.04 / unit</t>
        </is>
      </c>
      <c r="I31" t="inlineStr">
        <is>
          <t>parcel</t>
        </is>
      </c>
      <c r="J31" s="5" t="inlineStr">
        <is>
          <t>01a1212c-6af0-766a-953a-f71d943c823c</t>
        </is>
      </c>
    </row>
    <row r="32">
      <c r="A32" s="5" t="inlineStr">
        <is>
          <t>01a1212c-6b09-7253-a4de-77c9e8d733e1</t>
        </is>
      </c>
      <c r="D32" s="5" t="inlineStr">
        <is>
          <t>01a1212c-4b57-70cf-80fd-c2192cb3bf81</t>
        </is>
      </c>
      <c r="E32" s="4" t="n">
        <v>46304.62409196181</v>
      </c>
      <c r="F32" s="4" t="n">
        <v>46304.6240919619</v>
      </c>
      <c r="G32" t="b">
        <v>1</v>
      </c>
      <c r="H32" s="3" t="inlineStr">
        <is>
          <t>This parcel was created from trade 2017-08-07 | Buy | VAS | 18.0000 unit @ A$73.45 / unit</t>
        </is>
      </c>
      <c r="I32" t="inlineStr">
        <is>
          <t>parcel</t>
        </is>
      </c>
      <c r="J32" s="5" t="inlineStr">
        <is>
          <t>01a1212c-6b06-7635-8cc2-f08f1c899ffd</t>
        </is>
      </c>
    </row>
    <row r="33">
      <c r="A33" s="5" t="inlineStr">
        <is>
          <t>01a1212c-6b1e-731d-8985-a3c9c4843808</t>
        </is>
      </c>
      <c r="D33" s="5" t="inlineStr">
        <is>
          <t>01a1212c-4b57-70cf-80fd-c2192cb3bf81</t>
        </is>
      </c>
      <c r="E33" s="4" t="n">
        <v>46304.62409220586</v>
      </c>
      <c r="F33" s="4" t="n">
        <v>46304.62409220592</v>
      </c>
      <c r="G33" t="b">
        <v>1</v>
      </c>
      <c r="H33" s="3" t="inlineStr">
        <is>
          <t>This parcel was created from trade 2017-08-07 | Buy | VGS | 27.0000 unit @ A$61.00 / unit</t>
        </is>
      </c>
      <c r="I33" t="inlineStr">
        <is>
          <t>parcel</t>
        </is>
      </c>
      <c r="J33" s="5" t="inlineStr">
        <is>
          <t>01a1212c-6b1b-73e9-a54d-e62e154ff71c</t>
        </is>
      </c>
    </row>
    <row r="34">
      <c r="A34" s="5" t="inlineStr">
        <is>
          <t>01a1212c-6b33-7031-a4f2-70cb9fe506fc</t>
        </is>
      </c>
      <c r="D34" s="5" t="inlineStr">
        <is>
          <t>01a1212c-4b57-70cf-80fd-c2192cb3bf81</t>
        </is>
      </c>
      <c r="E34" s="4" t="n">
        <v>46304.62409244428</v>
      </c>
      <c r="F34" s="4" t="n">
        <v>46304.62409244436</v>
      </c>
      <c r="G34" t="b">
        <v>1</v>
      </c>
      <c r="H34" s="3" t="inlineStr">
        <is>
          <t>This parcel was created from trade 2017-09-04 | Buy | VAS | 16.0000 unit @ A$73.25 / unit</t>
        </is>
      </c>
      <c r="I34" t="inlineStr">
        <is>
          <t>parcel</t>
        </is>
      </c>
      <c r="J34" s="5" t="inlineStr">
        <is>
          <t>01a1212c-6b2f-77a6-aa39-efb9282482c9</t>
        </is>
      </c>
    </row>
    <row r="35">
      <c r="A35" s="5" t="inlineStr">
        <is>
          <t>01a1212c-6b47-7589-8bbd-704d41495efa</t>
        </is>
      </c>
      <c r="D35" s="5" t="inlineStr">
        <is>
          <t>01a1212c-4b57-70cf-80fd-c2192cb3bf81</t>
        </is>
      </c>
      <c r="E35" s="4" t="n">
        <v>46304.62409268614</v>
      </c>
      <c r="F35" s="4" t="n">
        <v>46304.62409268623</v>
      </c>
      <c r="G35" t="b">
        <v>1</v>
      </c>
      <c r="H35" s="3" t="inlineStr">
        <is>
          <t>This parcel was created from trade 2017-09-04 | Buy | VGS | 24.0000 unit @ A$60.14 / unit</t>
        </is>
      </c>
      <c r="I35" t="inlineStr">
        <is>
          <t>parcel</t>
        </is>
      </c>
      <c r="J35" s="5" t="inlineStr">
        <is>
          <t>01a1212c-6b44-7386-8841-c9a13ab8602b</t>
        </is>
      </c>
    </row>
    <row r="36">
      <c r="A36" s="5" t="inlineStr">
        <is>
          <t>01a1212c-6b5f-72a8-b214-16b297cbb2ed</t>
        </is>
      </c>
      <c r="D36" s="5" t="inlineStr">
        <is>
          <t>01a1212c-4b57-70cf-80fd-c2192cb3bf81</t>
        </is>
      </c>
      <c r="E36" s="4" t="n">
        <v>46304.62409296088</v>
      </c>
      <c r="F36" s="4" t="n">
        <v>46304.62409296097</v>
      </c>
      <c r="G36" t="b">
        <v>1</v>
      </c>
      <c r="H36" s="3" t="inlineStr">
        <is>
          <t>This parcel was created from trade 2017-09-26 | Buy | AMZN | 1.0000 unit @ $938.60 / unit</t>
        </is>
      </c>
      <c r="I36" t="inlineStr">
        <is>
          <t>parcel</t>
        </is>
      </c>
      <c r="J36" s="5" t="inlineStr">
        <is>
          <t>01a1212c-6b5c-7567-9272-2a6cd633eea0</t>
        </is>
      </c>
    </row>
    <row r="37">
      <c r="A37" s="5" t="inlineStr">
        <is>
          <t>01a1212c-6b76-739c-88c5-773d97988cec</t>
        </is>
      </c>
      <c r="D37" s="5" t="inlineStr">
        <is>
          <t>01a1212c-4b57-70cf-80fd-c2192cb3bf81</t>
        </is>
      </c>
      <c r="E37" s="4" t="n">
        <v>46304.62409322343</v>
      </c>
      <c r="F37" s="4" t="n">
        <v>46304.62409322349</v>
      </c>
      <c r="G37" t="b">
        <v>1</v>
      </c>
      <c r="H37" s="3" t="inlineStr">
        <is>
          <t>This parcel was created from trade 2017-10-05 | Buy | VAS | 11.0000 unit @ A$72.07 / unit</t>
        </is>
      </c>
      <c r="I37" t="inlineStr">
        <is>
          <t>parcel</t>
        </is>
      </c>
      <c r="J37" s="5" t="inlineStr">
        <is>
          <t>01a1212c-6b72-74ed-b4f6-5b4d5a03ef71</t>
        </is>
      </c>
    </row>
    <row r="38">
      <c r="A38" s="5" t="inlineStr">
        <is>
          <t>01a1212c-6b8b-7417-84d1-f9252e5bab4f</t>
        </is>
      </c>
      <c r="D38" s="5" t="inlineStr">
        <is>
          <t>01a1212c-4b57-70cf-80fd-c2192cb3bf81</t>
        </is>
      </c>
      <c r="E38" s="4" t="n">
        <v>46304.62409346972</v>
      </c>
      <c r="F38" s="4" t="n">
        <v>46304.6240934698</v>
      </c>
      <c r="G38" t="b">
        <v>1</v>
      </c>
      <c r="H38" s="3" t="inlineStr">
        <is>
          <t>This parcel was created from trade 2017-10-05 | Buy | VGS | 15.0000 unit @ A$62.68 / unit</t>
        </is>
      </c>
      <c r="I38" t="inlineStr">
        <is>
          <t>parcel</t>
        </is>
      </c>
      <c r="J38" s="5" t="inlineStr">
        <is>
          <t>01a1212c-6b88-7320-ad83-9bb2175f9188</t>
        </is>
      </c>
    </row>
    <row r="39">
      <c r="A39" s="5" t="inlineStr">
        <is>
          <t>01a1212c-6ba2-77e5-bc2a-48596f429431</t>
        </is>
      </c>
      <c r="D39" s="5" t="inlineStr">
        <is>
          <t>01a1212c-4b57-70cf-80fd-c2192cb3bf81</t>
        </is>
      </c>
      <c r="E39" s="4" t="n">
        <v>46304.62409372807</v>
      </c>
      <c r="F39" s="4" t="n">
        <v>46304.62409372815</v>
      </c>
      <c r="G39" t="b">
        <v>1</v>
      </c>
      <c r="H39" s="3" t="inlineStr">
        <is>
          <t>This parcel was created from trade 2017-10-19 | Buy | MSFT | 8.0000 unit @ $77.91 / unit</t>
        </is>
      </c>
      <c r="I39" t="inlineStr">
        <is>
          <t>parcel</t>
        </is>
      </c>
      <c r="J39" s="5" t="inlineStr">
        <is>
          <t>01a1212c-6b9e-7023-9d22-312b03d6b0e1</t>
        </is>
      </c>
    </row>
    <row r="40">
      <c r="A40" s="5" t="inlineStr">
        <is>
          <t>01a1212c-6bb7-7551-bc0f-e16df467b162</t>
        </is>
      </c>
      <c r="D40" s="5" t="inlineStr">
        <is>
          <t>01a1212c-4b57-70cf-80fd-c2192cb3bf81</t>
        </is>
      </c>
      <c r="E40" s="4" t="n">
        <v>46304.6240939796</v>
      </c>
      <c r="F40" s="4" t="n">
        <v>46304.62409397968</v>
      </c>
      <c r="G40" t="b">
        <v>1</v>
      </c>
      <c r="H40" s="3" t="inlineStr">
        <is>
          <t>This parcel was created from trade 2017-11-06 | Buy | VAS | 13.0000 unit @ A$75.83 / unit</t>
        </is>
      </c>
      <c r="I40" t="inlineStr">
        <is>
          <t>parcel</t>
        </is>
      </c>
      <c r="J40" s="5" t="inlineStr">
        <is>
          <t>01a1212c-6bb4-759b-b5fd-3065dd129d0f</t>
        </is>
      </c>
    </row>
    <row r="41">
      <c r="A41" s="5" t="inlineStr">
        <is>
          <t>01a1212c-6bcc-7135-ac14-c128187604a6</t>
        </is>
      </c>
      <c r="D41" s="5" t="inlineStr">
        <is>
          <t>01a1212c-4b57-70cf-80fd-c2192cb3bf81</t>
        </is>
      </c>
      <c r="E41" s="4" t="n">
        <v>46304.62409422152</v>
      </c>
      <c r="F41" s="4" t="n">
        <v>46304.6240942216</v>
      </c>
      <c r="G41" t="b">
        <v>1</v>
      </c>
      <c r="H41" s="3" t="inlineStr">
        <is>
          <t>This parcel was created from trade 2017-11-06 | Buy | VGS | 19.0000 unit @ A$65.08 / unit</t>
        </is>
      </c>
      <c r="I41" t="inlineStr">
        <is>
          <t>parcel</t>
        </is>
      </c>
      <c r="J41" s="5" t="inlineStr">
        <is>
          <t>01a1212c-6bc9-7747-8a7e-e6bec07ce141</t>
        </is>
      </c>
    </row>
    <row r="42">
      <c r="A42" s="5" t="inlineStr">
        <is>
          <t>01a1212c-6be1-74d9-9a83-115691293f5f</t>
        </is>
      </c>
      <c r="D42" s="5" t="inlineStr">
        <is>
          <t>01a1212c-4b57-70cf-80fd-c2192cb3bf81</t>
        </is>
      </c>
      <c r="E42" s="4" t="n">
        <v>46304.62409446451</v>
      </c>
      <c r="F42" s="4" t="n">
        <v>46304.62409446458</v>
      </c>
      <c r="G42" t="b">
        <v>1</v>
      </c>
      <c r="H42" s="3" t="inlineStr">
        <is>
          <t>This parcel was created from trade 2017-12-04 | Buy | VAS | 13.0000 unit @ A$76.75 / unit</t>
        </is>
      </c>
      <c r="I42" t="inlineStr">
        <is>
          <t>parcel</t>
        </is>
      </c>
      <c r="J42" s="5" t="inlineStr">
        <is>
          <t>01a1212c-6bde-777f-aa74-d04c84c2a216</t>
        </is>
      </c>
    </row>
    <row r="43">
      <c r="A43" s="5" t="inlineStr">
        <is>
          <t>01a1212c-6bf6-704d-8a49-1f32f7bc97ef</t>
        </is>
      </c>
      <c r="D43" s="5" t="inlineStr">
        <is>
          <t>01a1212c-4b57-70cf-80fd-c2192cb3bf81</t>
        </is>
      </c>
      <c r="E43" s="4" t="n">
        <v>46304.62409470786</v>
      </c>
      <c r="F43" s="4" t="n">
        <v>46304.62409470795</v>
      </c>
      <c r="G43" t="b">
        <v>1</v>
      </c>
      <c r="H43" s="3" t="inlineStr">
        <is>
          <t>This parcel was created from trade 2017-12-04 | Buy | VGS | 18.0000 unit @ A$67.11 / unit</t>
        </is>
      </c>
      <c r="I43" t="inlineStr">
        <is>
          <t>parcel</t>
        </is>
      </c>
      <c r="J43" s="5" t="inlineStr">
        <is>
          <t>01a1212c-6bf3-7787-bc84-0bf70e1c811f</t>
        </is>
      </c>
    </row>
    <row r="44">
      <c r="A44" s="5" t="inlineStr">
        <is>
          <t>01a1212c-6c0c-76d1-8235-5656ddece078</t>
        </is>
      </c>
      <c r="D44" s="5" t="inlineStr">
        <is>
          <t>01a1212c-4b57-70cf-80fd-c2192cb3bf81</t>
        </is>
      </c>
      <c r="E44" s="4" t="n">
        <v>46304.6240949596</v>
      </c>
      <c r="F44" s="4" t="n">
        <v>46304.62409495966</v>
      </c>
      <c r="G44" t="b">
        <v>1</v>
      </c>
      <c r="H44" s="3" t="inlineStr">
        <is>
          <t>This parcel was created from trade 2018-01-05 | Buy | VAS | 20.0000 unit @ A$77.96 / unit</t>
        </is>
      </c>
      <c r="I44" t="inlineStr">
        <is>
          <t>parcel</t>
        </is>
      </c>
      <c r="J44" s="5" t="inlineStr">
        <is>
          <t>01a1212c-6c08-71b7-9210-9718c95a0269</t>
        </is>
      </c>
    </row>
    <row r="45">
      <c r="A45" s="5" t="inlineStr">
        <is>
          <t>01a1212c-6c21-77b0-8570-6e47cd2e8397</t>
        </is>
      </c>
      <c r="D45" s="5" t="inlineStr">
        <is>
          <t>01a1212c-4b57-70cf-80fd-c2192cb3bf81</t>
        </is>
      </c>
      <c r="E45" s="4" t="n">
        <v>46304.62409520247</v>
      </c>
      <c r="F45" s="4" t="n">
        <v>46304.62409520255</v>
      </c>
      <c r="G45" t="b">
        <v>1</v>
      </c>
      <c r="H45" s="3" t="inlineStr">
        <is>
          <t>This parcel was created from trade 2018-01-05 | Buy | VGS | 28.0000 unit @ A$66.61 / unit</t>
        </is>
      </c>
      <c r="I45" t="inlineStr">
        <is>
          <t>parcel</t>
        </is>
      </c>
      <c r="J45" s="5" t="inlineStr">
        <is>
          <t>01a1212c-6c1d-7297-ba65-fe335d60502e</t>
        </is>
      </c>
    </row>
    <row r="46">
      <c r="A46" s="5" t="inlineStr">
        <is>
          <t>01a1212c-6c37-71cf-a87e-fff384c3b33e</t>
        </is>
      </c>
      <c r="D46" s="5" t="inlineStr">
        <is>
          <t>01a1212c-4b57-70cf-80fd-c2192cb3bf81</t>
        </is>
      </c>
      <c r="E46" s="4" t="n">
        <v>46304.62409545905</v>
      </c>
      <c r="F46" s="4" t="n">
        <v>46304.62409545913</v>
      </c>
      <c r="G46" t="b">
        <v>1</v>
      </c>
      <c r="H46" s="3" t="inlineStr">
        <is>
          <t>This parcel was created from trade 2018-01-19 | Buy | AMZN | 1.0000 unit @ $1,294.58 / unit</t>
        </is>
      </c>
      <c r="I46" t="inlineStr">
        <is>
          <t>parcel</t>
        </is>
      </c>
      <c r="J46" s="5" t="inlineStr">
        <is>
          <t>01a1212c-6c33-715f-b319-7dd28b9c219f</t>
        </is>
      </c>
    </row>
    <row r="47">
      <c r="A47" s="5" t="inlineStr">
        <is>
          <t>01a1212c-6c4c-753d-a637-471ea530e45c</t>
        </is>
      </c>
      <c r="D47" s="5" t="inlineStr">
        <is>
          <t>01a1212c-4b57-70cf-80fd-c2192cb3bf81</t>
        </is>
      </c>
      <c r="E47" s="4" t="n">
        <v>46304.62409570656</v>
      </c>
      <c r="F47" s="4" t="n">
        <v>46304.62409570664</v>
      </c>
      <c r="G47" t="b">
        <v>1</v>
      </c>
      <c r="H47" s="3" t="inlineStr">
        <is>
          <t>This parcel was created from trade 2018-02-02 | Buy | VAS | 14.0000 unit @ A$77.97 / unit</t>
        </is>
      </c>
      <c r="I47" t="inlineStr">
        <is>
          <t>parcel</t>
        </is>
      </c>
      <c r="J47" s="5" t="inlineStr">
        <is>
          <t>01a1212c-6c49-7160-b8e0-1ae2951d4c69</t>
        </is>
      </c>
    </row>
    <row r="48">
      <c r="A48" s="5" t="inlineStr">
        <is>
          <t>01a1212c-6c61-71c1-b082-8370032eba72</t>
        </is>
      </c>
      <c r="D48" s="5" t="inlineStr">
        <is>
          <t>01a1212c-4b57-70cf-80fd-c2192cb3bf81</t>
        </is>
      </c>
      <c r="E48" s="4" t="n">
        <v>46304.62409594553</v>
      </c>
      <c r="F48" s="4" t="n">
        <v>46304.6240959456</v>
      </c>
      <c r="G48" t="b">
        <v>1</v>
      </c>
      <c r="H48" s="3" t="inlineStr">
        <is>
          <t>This parcel was created from trade 2018-02-02 | Buy | VGS | 20.0000 unit @ A$67.42 / unit</t>
        </is>
      </c>
      <c r="I48" t="inlineStr">
        <is>
          <t>parcel</t>
        </is>
      </c>
      <c r="J48" s="5" t="inlineStr">
        <is>
          <t>01a1212c-6c5e-707b-87c6-5fa973c4227c</t>
        </is>
      </c>
    </row>
    <row r="49">
      <c r="A49" s="5" t="inlineStr">
        <is>
          <t>01a1212c-6c76-748b-834c-3b42ad376d12</t>
        </is>
      </c>
      <c r="D49" s="5" t="inlineStr">
        <is>
          <t>01a1212c-4b57-70cf-80fd-c2192cb3bf81</t>
        </is>
      </c>
      <c r="E49" s="4" t="n">
        <v>46304.62409618193</v>
      </c>
      <c r="F49" s="4" t="n">
        <v>46304.62409618201</v>
      </c>
      <c r="G49" t="b">
        <v>1</v>
      </c>
      <c r="H49" s="3" t="inlineStr">
        <is>
          <t>This parcel was created from trade 2018-02-08 | Buy | TLS | 315.0000 unit @ A$3.56 / unit</t>
        </is>
      </c>
      <c r="I49" t="inlineStr">
        <is>
          <t>parcel</t>
        </is>
      </c>
      <c r="J49" s="5" t="inlineStr">
        <is>
          <t>01a1212c-6c72-7096-8800-b496d4330923</t>
        </is>
      </c>
    </row>
    <row r="50">
      <c r="A50" s="5" t="inlineStr">
        <is>
          <t>01a1212c-6c8b-733e-a599-d801ca633e2e</t>
        </is>
      </c>
      <c r="D50" s="5" t="inlineStr">
        <is>
          <t>01a1212c-4b57-70cf-80fd-c2192cb3bf81</t>
        </is>
      </c>
      <c r="E50" s="4" t="n">
        <v>46304.62409642788</v>
      </c>
      <c r="F50" s="4" t="n">
        <v>46304.62409642796</v>
      </c>
      <c r="G50" t="b">
        <v>1</v>
      </c>
      <c r="H50" s="3" t="inlineStr">
        <is>
          <t>This parcel was created from trade 2018-03-05 | Buy | AMZN | 1.0000 unit @ $1,523.61 / unit</t>
        </is>
      </c>
      <c r="I50" t="inlineStr">
        <is>
          <t>parcel</t>
        </is>
      </c>
      <c r="J50" s="5" t="inlineStr">
        <is>
          <t>01a1212c-6c87-70ea-a508-19437734ce23</t>
        </is>
      </c>
    </row>
    <row r="51">
      <c r="A51" s="5" t="inlineStr">
        <is>
          <t>01a1212c-6ca1-7019-ac3b-365d56628128</t>
        </is>
      </c>
      <c r="D51" s="5" t="inlineStr">
        <is>
          <t>01a1212c-4b57-70cf-80fd-c2192cb3bf81</t>
        </is>
      </c>
      <c r="E51" s="4" t="n">
        <v>46304.62409669053</v>
      </c>
      <c r="F51" s="4" t="n">
        <v>46304.62409669061</v>
      </c>
      <c r="G51" t="b">
        <v>1</v>
      </c>
      <c r="H51" s="3" t="inlineStr">
        <is>
          <t>This parcel was created from trade 2018-03-06 | Buy | VAS | 20.0000 unit @ A$76.69 / unit</t>
        </is>
      </c>
      <c r="I51" t="inlineStr">
        <is>
          <t>parcel</t>
        </is>
      </c>
      <c r="J51" s="5" t="inlineStr">
        <is>
          <t>01a1212c-6c9e-75f8-990d-1f420daecde4</t>
        </is>
      </c>
    </row>
    <row r="52">
      <c r="A52" s="5" t="inlineStr">
        <is>
          <t>01a1212c-6cb7-710e-bd24-c7ec017dbab7</t>
        </is>
      </c>
      <c r="D52" s="5" t="inlineStr">
        <is>
          <t>01a1212c-4b57-70cf-80fd-c2192cb3bf81</t>
        </is>
      </c>
      <c r="E52" s="4" t="n">
        <v>46304.62409694204</v>
      </c>
      <c r="F52" s="4" t="n">
        <v>46304.62409694211</v>
      </c>
      <c r="G52" t="b">
        <v>1</v>
      </c>
      <c r="H52" s="3" t="inlineStr">
        <is>
          <t>This parcel was created from trade 2018-03-06 | Buy | VGS | 28.0000 unit @ A$66.37 / unit</t>
        </is>
      </c>
      <c r="I52" t="inlineStr">
        <is>
          <t>parcel</t>
        </is>
      </c>
      <c r="J52" s="5" t="inlineStr">
        <is>
          <t>01a1212c-6cb3-74c4-b753-3ced98bb4fa1</t>
        </is>
      </c>
    </row>
    <row r="53">
      <c r="A53" s="5" t="inlineStr">
        <is>
          <t>01a1212c-6ccc-7383-8016-628567a1b4a7</t>
        </is>
      </c>
      <c r="D53" s="5" t="inlineStr">
        <is>
          <t>01a1212c-4b57-70cf-80fd-c2192cb3bf81</t>
        </is>
      </c>
      <c r="E53" s="4" t="n">
        <v>46304.6240971834</v>
      </c>
      <c r="F53" s="4" t="n">
        <v>46304.62409718347</v>
      </c>
      <c r="G53" t="b">
        <v>1</v>
      </c>
      <c r="H53" s="3" t="inlineStr">
        <is>
          <t>This parcel was created from trade 2018-04-06 | Buy | VAS | 12.0000 unit @ A$73.94 / unit</t>
        </is>
      </c>
      <c r="I53" t="inlineStr">
        <is>
          <t>parcel</t>
        </is>
      </c>
      <c r="J53" s="5" t="inlineStr">
        <is>
          <t>01a1212c-6cc9-776e-89ba-82d2ec02eeba</t>
        </is>
      </c>
    </row>
    <row r="54">
      <c r="A54" s="5" t="inlineStr">
        <is>
          <t>01a1212c-6ce2-7356-9919-5caf90ece929</t>
        </is>
      </c>
      <c r="D54" s="5" t="inlineStr">
        <is>
          <t>01a1212c-4b57-70cf-80fd-c2192cb3bf81</t>
        </is>
      </c>
      <c r="E54" s="4" t="n">
        <v>46304.62409743397</v>
      </c>
      <c r="F54" s="4" t="n">
        <v>46304.62409743405</v>
      </c>
      <c r="G54" t="b">
        <v>1</v>
      </c>
      <c r="H54" s="3" t="inlineStr">
        <is>
          <t>This parcel was created from trade 2018-04-06 | Buy | VGS | 17.0000 unit @ A$65.64 / unit</t>
        </is>
      </c>
      <c r="I54" t="inlineStr">
        <is>
          <t>parcel</t>
        </is>
      </c>
      <c r="J54" s="5" t="inlineStr">
        <is>
          <t>01a1212c-6cde-735d-babb-fd56e63b9d5a</t>
        </is>
      </c>
    </row>
    <row r="55">
      <c r="A55" s="5" t="inlineStr">
        <is>
          <t>01a1212c-6cf8-7518-b2c7-a4c5cfff4ff2</t>
        </is>
      </c>
      <c r="D55" s="5" t="inlineStr">
        <is>
          <t>01a1212c-4b57-70cf-80fd-c2192cb3bf81</t>
        </is>
      </c>
      <c r="E55" s="4" t="n">
        <v>46304.62409768694</v>
      </c>
      <c r="F55" s="4" t="n">
        <v>46304.62409768702</v>
      </c>
      <c r="G55" t="b">
        <v>1</v>
      </c>
      <c r="H55" s="3" t="inlineStr">
        <is>
          <t>This parcel was created from trade 2018-05-07 | Buy | VAS | 15.0000 unit @ A$77.74 / unit</t>
        </is>
      </c>
      <c r="I55" t="inlineStr">
        <is>
          <t>parcel</t>
        </is>
      </c>
      <c r="J55" s="5" t="inlineStr">
        <is>
          <t>01a1212c-6cf4-716f-80ca-3b34218d873a</t>
        </is>
      </c>
    </row>
    <row r="56">
      <c r="A56" s="5" t="inlineStr">
        <is>
          <t>01a1212c-6d0d-7241-89ea-32a21ce8996a</t>
        </is>
      </c>
      <c r="D56" s="5" t="inlineStr">
        <is>
          <t>01a1212c-4b57-70cf-80fd-c2192cb3bf81</t>
        </is>
      </c>
      <c r="E56" s="4" t="n">
        <v>46304.62409793605</v>
      </c>
      <c r="F56" s="4" t="n">
        <v>46304.62409793612</v>
      </c>
      <c r="G56" t="b">
        <v>1</v>
      </c>
      <c r="H56" s="3" t="inlineStr">
        <is>
          <t>This parcel was created from trade 2018-05-07 | Buy | VGS | 22.0000 unit @ A$68.26 / unit</t>
        </is>
      </c>
      <c r="I56" t="inlineStr">
        <is>
          <t>parcel</t>
        </is>
      </c>
      <c r="J56" s="5" t="inlineStr">
        <is>
          <t>01a1212c-6d0a-76f3-b162-b89428bc8b86</t>
        </is>
      </c>
    </row>
    <row r="57">
      <c r="A57" s="5" t="inlineStr">
        <is>
          <t>01a1212c-6d23-70dc-b71d-3b10377c507c</t>
        </is>
      </c>
      <c r="D57" s="5" t="inlineStr">
        <is>
          <t>01a1212c-4b57-70cf-80fd-c2192cb3bf81</t>
        </is>
      </c>
      <c r="E57" s="4" t="n">
        <v>46304.6240981952</v>
      </c>
      <c r="F57" s="4" t="n">
        <v>46304.6240981953</v>
      </c>
      <c r="G57" t="b">
        <v>1</v>
      </c>
      <c r="H57" s="3" t="inlineStr">
        <is>
          <t>This parcel was created from trade 2018-06-06 | Buy | A200 | 8.0000 unit @ A$99.92 / unit</t>
        </is>
      </c>
      <c r="I57" t="inlineStr">
        <is>
          <t>parcel</t>
        </is>
      </c>
      <c r="J57" s="5" t="inlineStr">
        <is>
          <t>01a1212c-6d20-73ba-8f87-9892e2e99aec</t>
        </is>
      </c>
    </row>
    <row r="58">
      <c r="A58" s="5" t="inlineStr">
        <is>
          <t>01a1212c-6d3a-70af-a432-d133b2693211</t>
        </is>
      </c>
      <c r="D58" s="5" t="inlineStr">
        <is>
          <t>01a1212c-4b57-70cf-80fd-c2192cb3bf81</t>
        </is>
      </c>
      <c r="E58" s="4" t="n">
        <v>46304.6240984591</v>
      </c>
      <c r="F58" s="4" t="n">
        <v>46304.62409845918</v>
      </c>
      <c r="G58" t="b">
        <v>1</v>
      </c>
      <c r="H58" s="3" t="inlineStr">
        <is>
          <t>This parcel was created from trade 2018-06-06 | Buy | VGS | 15.0000 unit @ A$68.28 / unit</t>
        </is>
      </c>
      <c r="I58" t="inlineStr">
        <is>
          <t>parcel</t>
        </is>
      </c>
      <c r="J58" s="5" t="inlineStr">
        <is>
          <t>01a1212c-6d37-7104-9bae-6b11207df2ba</t>
        </is>
      </c>
    </row>
    <row r="59">
      <c r="A59" s="5" t="inlineStr">
        <is>
          <t>01a1212c-6d4f-7492-925b-5492745c894d</t>
        </is>
      </c>
      <c r="D59" s="5" t="inlineStr">
        <is>
          <t>01a1212c-4b57-70cf-80fd-c2192cb3bf81</t>
        </is>
      </c>
      <c r="E59" s="4" t="n">
        <v>46304.62409870265</v>
      </c>
      <c r="F59" s="4" t="n">
        <v>46304.62409870272</v>
      </c>
      <c r="G59" t="b">
        <v>1</v>
      </c>
      <c r="H59" s="3" t="inlineStr">
        <is>
          <t>This parcel was created from trade 2018-07-02 | Buy | A200 | 16.0000 unit @ A$102.60 / unit</t>
        </is>
      </c>
      <c r="I59" t="inlineStr">
        <is>
          <t>parcel</t>
        </is>
      </c>
      <c r="J59" s="5" t="inlineStr">
        <is>
          <t>01a1212c-6d4c-7285-883b-40007c7bea5b</t>
        </is>
      </c>
    </row>
    <row r="60">
      <c r="A60" s="5" t="inlineStr">
        <is>
          <t>01a1212c-6d64-761e-b668-9c3f9fd0785f</t>
        </is>
      </c>
      <c r="D60" s="5" t="inlineStr">
        <is>
          <t>01a1212c-4b57-70cf-80fd-c2192cb3bf81</t>
        </is>
      </c>
      <c r="E60" s="4" t="n">
        <v>46304.62409894732</v>
      </c>
      <c r="F60" s="4" t="n">
        <v>46304.6240989474</v>
      </c>
      <c r="G60" t="b">
        <v>1</v>
      </c>
      <c r="H60" s="3" t="inlineStr">
        <is>
          <t>This parcel was created from trade 2018-07-02 | Buy | VGS | 29.0000 unit @ A$68.14 / unit</t>
        </is>
      </c>
      <c r="I60" t="inlineStr">
        <is>
          <t>parcel</t>
        </is>
      </c>
      <c r="J60" s="5" t="inlineStr">
        <is>
          <t>01a1212c-6d61-7172-937f-90562bb7a3f9</t>
        </is>
      </c>
    </row>
    <row r="61">
      <c r="A61" s="5" t="inlineStr">
        <is>
          <t>01a1212c-6d79-77f4-a8e1-d4910bc99666</t>
        </is>
      </c>
      <c r="D61" s="5" t="inlineStr">
        <is>
          <t>01a1212c-4b57-70cf-80fd-c2192cb3bf81</t>
        </is>
      </c>
      <c r="E61" s="4" t="n">
        <v>46304.62409918408</v>
      </c>
      <c r="F61" s="4" t="n">
        <v>46304.62409918416</v>
      </c>
      <c r="G61" t="b">
        <v>1</v>
      </c>
      <c r="H61" s="3" t="inlineStr">
        <is>
          <t>This parcel was created from trade 2018-08-02 | Buy | A200 | 13.0000 unit @ A$103.68 / unit</t>
        </is>
      </c>
      <c r="I61" t="inlineStr">
        <is>
          <t>parcel</t>
        </is>
      </c>
      <c r="J61" s="5" t="inlineStr">
        <is>
          <t>01a1212c-6d76-76a9-b3fa-2e49f1ec83bd</t>
        </is>
      </c>
    </row>
    <row r="62">
      <c r="A62" s="5" t="inlineStr">
        <is>
          <t>01a1212c-6d8e-709f-ae82-aa040fe74cd7</t>
        </is>
      </c>
      <c r="D62" s="5" t="inlineStr">
        <is>
          <t>01a1212c-4b57-70cf-80fd-c2192cb3bf81</t>
        </is>
      </c>
      <c r="E62" s="4" t="n">
        <v>46304.62409942452</v>
      </c>
      <c r="F62" s="4" t="n">
        <v>46304.6240994246</v>
      </c>
      <c r="G62" t="b">
        <v>1</v>
      </c>
      <c r="H62" s="3" t="inlineStr">
        <is>
          <t>This parcel was created from trade 2018-08-02 | Buy | VGS | 23.0000 unit @ A$70.39 / unit</t>
        </is>
      </c>
      <c r="I62" t="inlineStr">
        <is>
          <t>parcel</t>
        </is>
      </c>
      <c r="J62" s="5" t="inlineStr">
        <is>
          <t>01a1212c-6d8a-7538-8ed2-1bed262cc3a3</t>
        </is>
      </c>
    </row>
    <row r="63">
      <c r="A63" s="5" t="inlineStr">
        <is>
          <t>01a1212c-6da4-7582-aaa6-f760193b311e</t>
        </is>
      </c>
      <c r="D63" s="5" t="inlineStr">
        <is>
          <t>01a1212c-4b57-70cf-80fd-c2192cb3bf81</t>
        </is>
      </c>
      <c r="E63" s="4" t="n">
        <v>46304.62409968319</v>
      </c>
      <c r="F63" s="4" t="n">
        <v>46304.62409968328</v>
      </c>
      <c r="G63" t="b">
        <v>1</v>
      </c>
      <c r="H63" s="3" t="inlineStr">
        <is>
          <t>This parcel was created from trade 2018-08-27 | Buy | MSFT | 7.0000 unit @ $109.60 / unit</t>
        </is>
      </c>
      <c r="I63" t="inlineStr">
        <is>
          <t>parcel</t>
        </is>
      </c>
      <c r="J63" s="5" t="inlineStr">
        <is>
          <t>01a1212c-6da0-7742-9455-da33624c357b</t>
        </is>
      </c>
    </row>
    <row r="64">
      <c r="A64" s="5" t="inlineStr">
        <is>
          <t>01a1212c-6dba-7741-81fe-87c0d22e9f78</t>
        </is>
      </c>
      <c r="D64" s="5" t="inlineStr">
        <is>
          <t>01a1212c-4b57-70cf-80fd-c2192cb3bf81</t>
        </is>
      </c>
      <c r="E64" s="4" t="n">
        <v>46304.62409993231</v>
      </c>
      <c r="F64" s="4" t="n">
        <v>46304.62409993239</v>
      </c>
      <c r="G64" t="b">
        <v>1</v>
      </c>
      <c r="H64" s="3" t="inlineStr">
        <is>
          <t>This parcel was created from trade 2018-09-03 | Buy | A200 | 10.0000 unit @ A$105.86 / unit</t>
        </is>
      </c>
      <c r="I64" t="inlineStr">
        <is>
          <t>parcel</t>
        </is>
      </c>
      <c r="J64" s="5" t="inlineStr">
        <is>
          <t>01a1212c-6db6-75c6-a15a-3893db0236e1</t>
        </is>
      </c>
    </row>
    <row r="65">
      <c r="A65" s="5" t="inlineStr">
        <is>
          <t>01a1212c-6dd0-734d-a70d-bcfa9bed3a49</t>
        </is>
      </c>
      <c r="D65" s="5" t="inlineStr">
        <is>
          <t>01a1212c-4b57-70cf-80fd-c2192cb3bf81</t>
        </is>
      </c>
      <c r="E65" s="4" t="n">
        <v>46304.62410018711</v>
      </c>
      <c r="F65" s="4" t="n">
        <v>46304.62410018719</v>
      </c>
      <c r="G65" t="b">
        <v>1</v>
      </c>
      <c r="H65" s="3" t="inlineStr">
        <is>
          <t>This parcel was created from trade 2018-09-03 | Buy | VGS | 18.0000 unit @ A$73.51 / unit</t>
        </is>
      </c>
      <c r="I65" t="inlineStr">
        <is>
          <t>parcel</t>
        </is>
      </c>
      <c r="J65" s="5" t="inlineStr">
        <is>
          <t>01a1212c-6dcc-720d-a5fa-03db95e8cb05</t>
        </is>
      </c>
    </row>
    <row r="66">
      <c r="A66" s="5" t="inlineStr">
        <is>
          <t>01a1212c-6de6-76c3-a156-eba48f15bfd3</t>
        </is>
      </c>
      <c r="D66" s="5" t="inlineStr">
        <is>
          <t>01a1212c-4b57-70cf-80fd-c2192cb3bf81</t>
        </is>
      </c>
      <c r="E66" s="4" t="n">
        <v>46304.624100445</v>
      </c>
      <c r="F66" s="4" t="n">
        <v>46304.62410044508</v>
      </c>
      <c r="G66" t="b">
        <v>1</v>
      </c>
      <c r="H66" s="3" t="inlineStr">
        <is>
          <t>This parcel was created from trade 2018-09-04 | Buy | MSFT | 4.0000 unit @ $111.71 / unit</t>
        </is>
      </c>
      <c r="I66" t="inlineStr">
        <is>
          <t>parcel</t>
        </is>
      </c>
      <c r="J66" s="5" t="inlineStr">
        <is>
          <t>01a1212c-6de3-75cc-97e5-b3e70911a40b</t>
        </is>
      </c>
    </row>
    <row r="67">
      <c r="A67" s="5" t="inlineStr">
        <is>
          <t>01a1212c-6dfb-7409-bfc0-da404d345a64</t>
        </is>
      </c>
      <c r="D67" s="5" t="inlineStr">
        <is>
          <t>01a1212c-4b57-70cf-80fd-c2192cb3bf81</t>
        </is>
      </c>
      <c r="E67" s="4" t="n">
        <v>46304.62410069371</v>
      </c>
      <c r="F67" s="4" t="n">
        <v>46304.6241006938</v>
      </c>
      <c r="G67" t="b">
        <v>1</v>
      </c>
      <c r="H67" s="3" t="inlineStr">
        <is>
          <t>This parcel was created from trade 2018-09-17 | Buy | BHP | 43.0000 unit @ A$28.15 / unit</t>
        </is>
      </c>
      <c r="I67" t="inlineStr">
        <is>
          <t>parcel</t>
        </is>
      </c>
      <c r="J67" s="5" t="inlineStr">
        <is>
          <t>01a1212c-6df8-75a2-98db-d972257aac7c</t>
        </is>
      </c>
    </row>
    <row r="68">
      <c r="A68" s="5" t="inlineStr">
        <is>
          <t>01a1212c-6e0f-7754-883c-dae640c463c9</t>
        </is>
      </c>
      <c r="D68" s="5" t="inlineStr">
        <is>
          <t>01a1212c-4b57-70cf-80fd-c2192cb3bf81</t>
        </is>
      </c>
      <c r="E68" s="4" t="n">
        <v>46304.62410091973</v>
      </c>
      <c r="F68" s="4" t="n">
        <v>46304.62410091979</v>
      </c>
      <c r="G68" t="b">
        <v>1</v>
      </c>
      <c r="H68" s="3" t="inlineStr">
        <is>
          <t>This parcel was created from trade 2018-10-02 | Buy | A200 | 12.0000 unit @ A$102.02 / unit</t>
        </is>
      </c>
      <c r="I68" t="inlineStr">
        <is>
          <t>parcel</t>
        </is>
      </c>
      <c r="J68" s="5" t="inlineStr">
        <is>
          <t>01a1212c-6e0b-74a6-b1c4-92fd51554f70</t>
        </is>
      </c>
    </row>
    <row r="69">
      <c r="A69" s="5" t="inlineStr">
        <is>
          <t>01a1212c-6e24-70b2-892a-d3959e56b901</t>
        </is>
      </c>
      <c r="D69" s="5" t="inlineStr">
        <is>
          <t>01a1212c-4b57-70cf-80fd-c2192cb3bf81</t>
        </is>
      </c>
      <c r="E69" s="4" t="n">
        <v>46304.62410116102</v>
      </c>
      <c r="F69" s="4" t="n">
        <v>46304.62410116111</v>
      </c>
      <c r="G69" t="b">
        <v>1</v>
      </c>
      <c r="H69" s="3" t="inlineStr">
        <is>
          <t>This parcel was created from trade 2018-10-02 | Buy | VGS | 21.0000 unit @ A$73.66 / unit</t>
        </is>
      </c>
      <c r="I69" t="inlineStr">
        <is>
          <t>parcel</t>
        </is>
      </c>
      <c r="J69" s="5" t="inlineStr">
        <is>
          <t>01a1212c-6e20-73a5-aefe-85160cb166ee</t>
        </is>
      </c>
    </row>
    <row r="70">
      <c r="A70" s="5" t="inlineStr">
        <is>
          <t>01a1212c-6e3b-7525-aef4-e8a1600b1860</t>
        </is>
      </c>
      <c r="D70" s="5" t="inlineStr">
        <is>
          <t>01a1212c-4b57-70cf-80fd-c2192cb3bf81</t>
        </is>
      </c>
      <c r="E70" s="4" t="n">
        <v>46304.62410143095</v>
      </c>
      <c r="F70" s="4" t="n">
        <v>46304.62410143102</v>
      </c>
      <c r="G70" t="b">
        <v>1</v>
      </c>
      <c r="H70" s="3" t="inlineStr">
        <is>
          <t>This parcel was created from trade 2018-10-11 | Buy | AAPL | 2.0000 unit @ $214.45 / unit</t>
        </is>
      </c>
      <c r="I70" t="inlineStr">
        <is>
          <t>parcel</t>
        </is>
      </c>
      <c r="J70" s="5" t="inlineStr">
        <is>
          <t>01a1212c-6e38-77f0-a4c7-b52be288421b</t>
        </is>
      </c>
    </row>
    <row r="71">
      <c r="A71" s="5" t="inlineStr">
        <is>
          <t>01a1212c-6e52-76a2-81d8-c7c2bab038ff</t>
        </is>
      </c>
      <c r="D71" s="5" t="inlineStr">
        <is>
          <t>01a1212c-4b57-70cf-80fd-c2192cb3bf81</t>
        </is>
      </c>
      <c r="E71" s="4" t="n">
        <v>46304.62410169551</v>
      </c>
      <c r="F71" s="4" t="n">
        <v>46304.62410169563</v>
      </c>
      <c r="G71" t="b">
        <v>1</v>
      </c>
      <c r="H71" s="3" t="inlineStr">
        <is>
          <t>This parcel was created from trade 2018-10-12 | Buy | MSFT | 7.0000 unit @ $109.57 / unit</t>
        </is>
      </c>
      <c r="I71" t="inlineStr">
        <is>
          <t>parcel</t>
        </is>
      </c>
      <c r="J71" s="5" t="inlineStr">
        <is>
          <t>01a1212c-6e4f-71fc-9eaa-9400867a68e8</t>
        </is>
      </c>
    </row>
    <row r="72">
      <c r="A72" s="5" t="inlineStr">
        <is>
          <t>01a1212c-6e6a-7702-830b-66c5cbcb2893</t>
        </is>
      </c>
      <c r="D72" s="5" t="inlineStr">
        <is>
          <t>01a1212c-4b57-70cf-80fd-c2192cb3bf81</t>
        </is>
      </c>
      <c r="E72" s="4" t="n">
        <v>46304.62410197144</v>
      </c>
      <c r="F72" s="4" t="n">
        <v>46304.62410197152</v>
      </c>
      <c r="G72" t="b">
        <v>1</v>
      </c>
      <c r="H72" s="3" t="inlineStr">
        <is>
          <t>This parcel was created from trade 2018-11-05 | Buy | A200 | 15.0000 unit @ A$96.91 / unit</t>
        </is>
      </c>
      <c r="I72" t="inlineStr">
        <is>
          <t>parcel</t>
        </is>
      </c>
      <c r="J72" s="5" t="inlineStr">
        <is>
          <t>01a1212c-6e66-7046-82e1-a0df222b5449</t>
        </is>
      </c>
    </row>
    <row r="73">
      <c r="A73" s="5" t="inlineStr">
        <is>
          <t>01a1212c-6e80-7586-b0ee-e8955c1528bc</t>
        </is>
      </c>
      <c r="D73" s="5" t="inlineStr">
        <is>
          <t>01a1212c-4b57-70cf-80fd-c2192cb3bf81</t>
        </is>
      </c>
      <c r="E73" s="4" t="n">
        <v>46304.62410223151</v>
      </c>
      <c r="F73" s="4" t="n">
        <v>46304.62410223159</v>
      </c>
      <c r="G73" t="b">
        <v>1</v>
      </c>
      <c r="H73" s="3" t="inlineStr">
        <is>
          <t>This parcel was created from trade 2018-11-05 | Buy | VGS | 26.0000 unit @ A$68.72 / unit</t>
        </is>
      </c>
      <c r="I73" t="inlineStr">
        <is>
          <t>parcel</t>
        </is>
      </c>
      <c r="J73" s="5" t="inlineStr">
        <is>
          <t>01a1212c-6e7d-7269-818d-4fc41e4043b6</t>
        </is>
      </c>
    </row>
    <row r="74">
      <c r="A74" s="5" t="inlineStr">
        <is>
          <t>01a1212c-6e96-76f0-850e-e8be55da4d37</t>
        </is>
      </c>
      <c r="D74" s="5" t="inlineStr">
        <is>
          <t>01a1212c-4b57-70cf-80fd-c2192cb3bf81</t>
        </is>
      </c>
      <c r="E74" s="4" t="n">
        <v>46304.62410248065</v>
      </c>
      <c r="F74" s="4" t="n">
        <v>46304.62410248072</v>
      </c>
      <c r="G74" t="b">
        <v>1</v>
      </c>
      <c r="H74" s="3" t="inlineStr">
        <is>
          <t>This parcel was created from trade 2018-11-12 | Buy | WES | 14.0000 unit @ A$33.89 / unit</t>
        </is>
      </c>
      <c r="I74" t="inlineStr">
        <is>
          <t>parcel</t>
        </is>
      </c>
      <c r="J74" s="5" t="inlineStr">
        <is>
          <t>01a1212c-6e92-7029-9245-e448e27a2feb</t>
        </is>
      </c>
    </row>
    <row r="75">
      <c r="A75" s="5" t="inlineStr">
        <is>
          <t>01a1212c-6eab-7488-9b70-6fcccd1b0bfa</t>
        </is>
      </c>
      <c r="D75" s="5" t="inlineStr">
        <is>
          <t>01a1212c-4b57-70cf-80fd-c2192cb3bf81</t>
        </is>
      </c>
      <c r="E75" s="4" t="n">
        <v>46304.62410272445</v>
      </c>
      <c r="F75" s="4" t="n">
        <v>46304.62410272453</v>
      </c>
      <c r="G75" t="b">
        <v>1</v>
      </c>
      <c r="H75" s="3" t="inlineStr">
        <is>
          <t>This parcel was created from trade 2018-11-21 | Buy | AAPL | 3.0000 unit @ $176.78 / unit</t>
        </is>
      </c>
      <c r="I75" t="inlineStr">
        <is>
          <t>parcel</t>
        </is>
      </c>
      <c r="J75" s="5" t="inlineStr">
        <is>
          <t>01a1212c-6ea7-74a3-8ee3-677989aa03d3</t>
        </is>
      </c>
    </row>
    <row r="76">
      <c r="A76" s="5" t="inlineStr">
        <is>
          <t>01a1212c-6ec0-75e4-8628-4fc189b229d7</t>
        </is>
      </c>
      <c r="D76" s="5" t="inlineStr">
        <is>
          <t>01a1212c-4b57-70cf-80fd-c2192cb3bf81</t>
        </is>
      </c>
      <c r="E76" s="4" t="n">
        <v>46304.62410297215</v>
      </c>
      <c r="F76" s="4" t="n">
        <v>46304.62410297224</v>
      </c>
      <c r="G76" t="b">
        <v>1</v>
      </c>
      <c r="H76" s="3" t="inlineStr">
        <is>
          <t>This parcel was created from trade 2018-12-06 | Buy | A200 | 9.0000 unit @ A$94.85 / unit</t>
        </is>
      </c>
      <c r="I76" t="inlineStr">
        <is>
          <t>parcel</t>
        </is>
      </c>
      <c r="J76" s="5" t="inlineStr">
        <is>
          <t>01a1212c-6ebd-7084-8e12-1c2acb9ea8e3</t>
        </is>
      </c>
    </row>
    <row r="77">
      <c r="A77" s="5" t="inlineStr">
        <is>
          <t>01a1212c-6ed4-701c-b374-191d0f918f27</t>
        </is>
      </c>
      <c r="D77" s="5" t="inlineStr">
        <is>
          <t>01a1212c-4b57-70cf-80fd-c2192cb3bf81</t>
        </is>
      </c>
      <c r="E77" s="4" t="n">
        <v>46304.62410320693</v>
      </c>
      <c r="F77" s="4" t="n">
        <v>46304.624103207</v>
      </c>
      <c r="G77" t="b">
        <v>1</v>
      </c>
      <c r="H77" s="3" t="inlineStr">
        <is>
          <t>This parcel was created from trade 2018-12-06 | Buy | VGS | 16.0000 unit @ A$66.86 / unit</t>
        </is>
      </c>
      <c r="I77" t="inlineStr">
        <is>
          <t>parcel</t>
        </is>
      </c>
      <c r="J77" s="5" t="inlineStr">
        <is>
          <t>01a1212c-6ed1-75e4-b466-1b906512bd95</t>
        </is>
      </c>
    </row>
    <row r="78">
      <c r="A78" s="5" t="inlineStr">
        <is>
          <t>01a1212c-6eea-7626-998a-8d3fc62f6882</t>
        </is>
      </c>
      <c r="D78" s="5" t="inlineStr">
        <is>
          <t>01a1212c-4b57-70cf-80fd-c2192cb3bf81</t>
        </is>
      </c>
      <c r="E78" s="4" t="n">
        <v>46304.62410345879</v>
      </c>
      <c r="F78" s="4" t="n">
        <v>46304.62410345887</v>
      </c>
      <c r="G78" t="b">
        <v>1</v>
      </c>
      <c r="H78" s="3" t="inlineStr">
        <is>
          <t>This parcel was created from trade 2018-12-17 | Buy | MSFT | 4.0000 unit @ $102.89 / unit</t>
        </is>
      </c>
      <c r="I78" t="inlineStr">
        <is>
          <t>parcel</t>
        </is>
      </c>
      <c r="J78" s="5" t="inlineStr">
        <is>
          <t>01a1212c-6ee7-7560-b124-997eca0f2c00</t>
        </is>
      </c>
    </row>
    <row r="79">
      <c r="A79" s="5" t="inlineStr">
        <is>
          <t>01a1212c-6f01-76d4-8b2d-898ca353ac3a</t>
        </is>
      </c>
      <c r="D79" s="5" t="inlineStr">
        <is>
          <t>01a1212c-4b57-70cf-80fd-c2192cb3bf81</t>
        </is>
      </c>
      <c r="E79" s="4" t="n">
        <v>46304.62410371861</v>
      </c>
      <c r="F79" s="4" t="n">
        <v>46304.62410371871</v>
      </c>
      <c r="G79" t="b">
        <v>1</v>
      </c>
      <c r="H79" s="3" t="inlineStr">
        <is>
          <t>This parcel was created from trade 2019-01-04 | Buy | A200 | 13.0000 unit @ A$93.61 / unit</t>
        </is>
      </c>
      <c r="I79" t="inlineStr">
        <is>
          <t>parcel</t>
        </is>
      </c>
      <c r="J79" s="5" t="inlineStr">
        <is>
          <t>01a1212c-6efd-73be-a0d7-c82e3f8af4ac</t>
        </is>
      </c>
    </row>
    <row r="80">
      <c r="A80" s="5" t="inlineStr">
        <is>
          <t>01a1212c-6f17-7312-a879-45f9e7404fff</t>
        </is>
      </c>
      <c r="D80" s="5" t="inlineStr">
        <is>
          <t>01a1212c-4b57-70cf-80fd-c2192cb3bf81</t>
        </is>
      </c>
      <c r="E80" s="4" t="n">
        <v>46304.62410398137</v>
      </c>
      <c r="F80" s="4" t="n">
        <v>46304.62410398145</v>
      </c>
      <c r="G80" t="b">
        <v>1</v>
      </c>
      <c r="H80" s="3" t="inlineStr">
        <is>
          <t>This parcel was created from trade 2019-01-04 | Buy | VGS | 23.0000 unit @ A$64.09 / unit</t>
        </is>
      </c>
      <c r="I80" t="inlineStr">
        <is>
          <t>parcel</t>
        </is>
      </c>
      <c r="J80" s="5" t="inlineStr">
        <is>
          <t>01a1212c-6f14-75ce-b122-ae5ab106d8e8</t>
        </is>
      </c>
    </row>
    <row r="81">
      <c r="A81" s="5" t="inlineStr">
        <is>
          <t>01a1212c-6f2d-766a-984e-ca03728ad7e0</t>
        </is>
      </c>
      <c r="D81" s="5" t="inlineStr">
        <is>
          <t>01a1212c-4b57-70cf-80fd-c2192cb3bf81</t>
        </is>
      </c>
      <c r="E81" s="4" t="n">
        <v>46304.62410423553</v>
      </c>
      <c r="F81" s="4" t="n">
        <v>46304.62410423561</v>
      </c>
      <c r="G81" t="b">
        <v>1</v>
      </c>
      <c r="H81" s="3" t="inlineStr">
        <is>
          <t>This parcel was created from trade 2019-01-07 | Buy | AMZN | 1.0000 unit @ $1,629.51 / unit</t>
        </is>
      </c>
      <c r="I81" t="inlineStr">
        <is>
          <t>parcel</t>
        </is>
      </c>
      <c r="J81" s="5" t="inlineStr">
        <is>
          <t>01a1212c-6f2a-72fc-951c-e1b3b59a3675</t>
        </is>
      </c>
    </row>
    <row r="82">
      <c r="A82" s="5" t="inlineStr">
        <is>
          <t>01a1212c-6f42-72ed-8b06-1d6af8d0d27c</t>
        </is>
      </c>
      <c r="D82" s="5" t="inlineStr">
        <is>
          <t>01a1212c-4b57-70cf-80fd-c2192cb3bf81</t>
        </is>
      </c>
      <c r="E82" s="4" t="n">
        <v>46304.62410447813</v>
      </c>
      <c r="F82" s="4" t="n">
        <v>46304.62410447821</v>
      </c>
      <c r="G82" t="b">
        <v>1</v>
      </c>
      <c r="H82" s="3" t="inlineStr">
        <is>
          <t>This parcel was created from trade 2019-02-05 | Buy | A200 | 14.0000 unit @ A$100.39 / unit</t>
        </is>
      </c>
      <c r="I82" t="inlineStr">
        <is>
          <t>parcel</t>
        </is>
      </c>
      <c r="J82" s="5" t="inlineStr">
        <is>
          <t>01a1212c-6f3f-76d2-bfcb-3c0b514d7327</t>
        </is>
      </c>
    </row>
    <row r="83">
      <c r="A83" s="5" t="inlineStr">
        <is>
          <t>01a1212c-6f57-7455-8d64-1f270dad868a</t>
        </is>
      </c>
      <c r="D83" s="5" t="inlineStr">
        <is>
          <t>01a1212c-4b57-70cf-80fd-c2192cb3bf81</t>
        </is>
      </c>
      <c r="E83" s="4" t="n">
        <v>46304.62410471948</v>
      </c>
      <c r="F83" s="4" t="n">
        <v>46304.62410471955</v>
      </c>
      <c r="G83" t="b">
        <v>1</v>
      </c>
      <c r="H83" s="3" t="inlineStr">
        <is>
          <t>This parcel was created from trade 2019-02-05 | Buy | VGS | 26.0000 unit @ A$68.00 / unit</t>
        </is>
      </c>
      <c r="I83" t="inlineStr">
        <is>
          <t>parcel</t>
        </is>
      </c>
      <c r="J83" s="5" t="inlineStr">
        <is>
          <t>01a1212c-6f53-7010-bee2-43a946747025</t>
        </is>
      </c>
    </row>
    <row r="84">
      <c r="A84" s="5" t="inlineStr">
        <is>
          <t>01a1212c-6f6d-701c-b857-10eec0b616b3</t>
        </is>
      </c>
      <c r="D84" s="5" t="inlineStr">
        <is>
          <t>01a1212c-4b57-70cf-80fd-c2192cb3bf81</t>
        </is>
      </c>
      <c r="E84" s="4" t="n">
        <v>46304.62410497283</v>
      </c>
      <c r="F84" s="4" t="n">
        <v>46304.62410497291</v>
      </c>
      <c r="G84" t="b">
        <v>1</v>
      </c>
      <c r="H84" s="3" t="inlineStr">
        <is>
          <t>This parcel was created from trade 2019-02-06 | Buy | AMZN | 1.0000 unit @ $1,640.26 / unit</t>
        </is>
      </c>
      <c r="I84" t="inlineStr">
        <is>
          <t>parcel</t>
        </is>
      </c>
      <c r="J84" s="5" t="inlineStr">
        <is>
          <t>01a1212c-6f6a-77eb-9cc2-fc7b8077ff4c</t>
        </is>
      </c>
    </row>
    <row r="85">
      <c r="A85" s="5" t="inlineStr">
        <is>
          <t>01a1212c-6f82-7263-b993-68218789b5bf</t>
        </is>
      </c>
      <c r="D85" s="5" t="inlineStr">
        <is>
          <t>01a1212c-4b57-70cf-80fd-c2192cb3bf81</t>
        </is>
      </c>
      <c r="E85" s="4" t="n">
        <v>46304.62410521735</v>
      </c>
      <c r="F85" s="4" t="n">
        <v>46304.62410521742</v>
      </c>
      <c r="G85" t="b">
        <v>1</v>
      </c>
      <c r="H85" s="3" t="inlineStr">
        <is>
          <t>This parcel was created from trade 2019-03-04 | Buy | A200 | 8.0000 unit @ A$104.63 / unit</t>
        </is>
      </c>
      <c r="I85" t="inlineStr">
        <is>
          <t>parcel</t>
        </is>
      </c>
      <c r="J85" s="5" t="inlineStr">
        <is>
          <t>01a1212c-6f7f-718f-b160-46cb1bfec403</t>
        </is>
      </c>
    </row>
    <row r="86">
      <c r="A86" s="5" t="inlineStr">
        <is>
          <t>01a1212c-6f98-7615-b2d9-6d7413b290b2</t>
        </is>
      </c>
      <c r="D86" s="5" t="inlineStr">
        <is>
          <t>01a1212c-4b57-70cf-80fd-c2192cb3bf81</t>
        </is>
      </c>
      <c r="E86" s="4" t="n">
        <v>46304.6241054691</v>
      </c>
      <c r="F86" s="4" t="n">
        <v>46304.62410546918</v>
      </c>
      <c r="G86" t="b">
        <v>1</v>
      </c>
      <c r="H86" s="3" t="inlineStr">
        <is>
          <t>This parcel was created from trade 2019-03-04 | Buy | VGS | 15.0000 unit @ A$72.14 / unit</t>
        </is>
      </c>
      <c r="I86" t="inlineStr">
        <is>
          <t>parcel</t>
        </is>
      </c>
      <c r="J86" s="5" t="inlineStr">
        <is>
          <t>01a1212c-6f94-71c9-8280-59efd47efd80</t>
        </is>
      </c>
    </row>
    <row r="87">
      <c r="A87" s="5" t="inlineStr">
        <is>
          <t>01a1212c-6faf-72e0-89e9-05dae6f42a33</t>
        </is>
      </c>
      <c r="D87" s="5" t="inlineStr">
        <is>
          <t>01a1212c-4b57-70cf-80fd-c2192cb3bf81</t>
        </is>
      </c>
      <c r="E87" s="4" t="n">
        <v>46304.62410574105</v>
      </c>
      <c r="F87" s="4" t="n">
        <v>46304.62410574112</v>
      </c>
      <c r="G87" t="b">
        <v>1</v>
      </c>
      <c r="H87" s="3" t="inlineStr">
        <is>
          <t>This parcel was created from trade 2019-03-11 | Buy | AAPL | 2.0000 unit @ $178.90 / unit</t>
        </is>
      </c>
      <c r="I87" t="inlineStr">
        <is>
          <t>parcel</t>
        </is>
      </c>
      <c r="J87" s="5" t="inlineStr">
        <is>
          <t>01a1212c-6fac-76e5-bb28-9e374b6000b7</t>
        </is>
      </c>
    </row>
    <row r="88">
      <c r="A88" s="5" t="inlineStr">
        <is>
          <t>01a1212c-6fc5-74ab-b3d0-4ff7cb996566</t>
        </is>
      </c>
      <c r="D88" s="5" t="inlineStr">
        <is>
          <t>01a1212c-4b57-70cf-80fd-c2192cb3bf81</t>
        </is>
      </c>
      <c r="E88" s="4" t="n">
        <v>46304.62410599137</v>
      </c>
      <c r="F88" s="4" t="n">
        <v>46304.62410599143</v>
      </c>
      <c r="G88" t="b">
        <v>1</v>
      </c>
      <c r="H88" s="3" t="inlineStr">
        <is>
          <t>This parcel was created from trade 2019-04-02 | Buy | A200 | 8.0000 unit @ A$104.52 / unit</t>
        </is>
      </c>
      <c r="I88" t="inlineStr">
        <is>
          <t>parcel</t>
        </is>
      </c>
      <c r="J88" s="5" t="inlineStr">
        <is>
          <t>01a1212c-6fc2-71f6-890f-f7e761000531</t>
        </is>
      </c>
    </row>
    <row r="89">
      <c r="A89" s="5" t="inlineStr">
        <is>
          <t>01a1212c-6fda-76b3-85c6-418adc7b6175</t>
        </is>
      </c>
      <c r="D89" s="5" t="inlineStr">
        <is>
          <t>01a1212c-4b57-70cf-80fd-c2192cb3bf81</t>
        </is>
      </c>
      <c r="E89" s="4" t="n">
        <v>46304.62410623359</v>
      </c>
      <c r="F89" s="4" t="n">
        <v>46304.62410623367</v>
      </c>
      <c r="G89" t="b">
        <v>1</v>
      </c>
      <c r="H89" s="3" t="inlineStr">
        <is>
          <t>This parcel was created from trade 2019-04-02 | Buy | VGS | 14.0000 unit @ A$72.72 / unit</t>
        </is>
      </c>
      <c r="I89" t="inlineStr">
        <is>
          <t>parcel</t>
        </is>
      </c>
      <c r="J89" s="5" t="inlineStr">
        <is>
          <t>01a1212c-6fd7-7372-ba43-20c51ef00ee0</t>
        </is>
      </c>
    </row>
    <row r="90">
      <c r="A90" s="5" t="inlineStr">
        <is>
          <t>01a1212c-6fef-76e9-84ca-bddbd6f84f76</t>
        </is>
      </c>
      <c r="D90" s="5" t="inlineStr">
        <is>
          <t>01a1212c-4b57-70cf-80fd-c2192cb3bf81</t>
        </is>
      </c>
      <c r="E90" s="4" t="n">
        <v>46304.62410647286</v>
      </c>
      <c r="F90" s="4" t="n">
        <v>46304.62410647294</v>
      </c>
      <c r="G90" t="b">
        <v>1</v>
      </c>
      <c r="H90" s="3" t="inlineStr">
        <is>
          <t>This parcel was created from trade 2019-05-06 | Buy | A200 | 14.0000 unit @ A$105.05 / unit</t>
        </is>
      </c>
      <c r="I90" t="inlineStr">
        <is>
          <t>parcel</t>
        </is>
      </c>
      <c r="J90" s="5" t="inlineStr">
        <is>
          <t>01a1212c-6feb-74aa-bf31-ee2f8fd37754</t>
        </is>
      </c>
    </row>
    <row r="91">
      <c r="A91" s="5" t="inlineStr">
        <is>
          <t>01a1212c-7003-7728-a660-f4cf6e932105</t>
        </is>
      </c>
      <c r="D91" s="5" t="inlineStr">
        <is>
          <t>01a1212c-4b57-70cf-80fd-c2192cb3bf81</t>
        </is>
      </c>
      <c r="E91" s="4" t="n">
        <v>46304.62410671019</v>
      </c>
      <c r="F91" s="4" t="n">
        <v>46304.62410671025</v>
      </c>
      <c r="G91" t="b">
        <v>1</v>
      </c>
      <c r="H91" s="3" t="inlineStr">
        <is>
          <t>This parcel was created from trade 2019-05-06 | Buy | VGS | 25.0000 unit @ A$74.49 / unit</t>
        </is>
      </c>
      <c r="I91" t="inlineStr">
        <is>
          <t>parcel</t>
        </is>
      </c>
      <c r="J91" s="5" t="inlineStr">
        <is>
          <t>01a1212c-7000-7766-ae79-871c98d5aa0c</t>
        </is>
      </c>
    </row>
    <row r="92">
      <c r="A92" s="5" t="inlineStr">
        <is>
          <t>01a1212c-7018-7030-9beb-328918ccaab6</t>
        </is>
      </c>
      <c r="D92" s="5" t="inlineStr">
        <is>
          <t>01a1212c-4b57-70cf-80fd-c2192cb3bf81</t>
        </is>
      </c>
      <c r="E92" s="4" t="n">
        <v>46304.62410695224</v>
      </c>
      <c r="F92" s="4" t="n">
        <v>46304.62410695245</v>
      </c>
      <c r="G92" t="b">
        <v>1</v>
      </c>
      <c r="H92" s="3" t="inlineStr">
        <is>
          <t>This parcel was created from trade 2019-05-20 | Buy | WES | 23.0000 unit @ A$36.71 / unit</t>
        </is>
      </c>
      <c r="I92" t="inlineStr">
        <is>
          <t>parcel</t>
        </is>
      </c>
      <c r="J92" s="5" t="inlineStr">
        <is>
          <t>01a1212c-7014-7234-b2a6-2982f2ea46fd</t>
        </is>
      </c>
    </row>
    <row r="93">
      <c r="A93" s="5" t="inlineStr">
        <is>
          <t>01a1212c-702c-73d7-9408-8b8c17927310</t>
        </is>
      </c>
      <c r="D93" s="5" t="inlineStr">
        <is>
          <t>01a1212c-4b57-70cf-80fd-c2192cb3bf81</t>
        </is>
      </c>
      <c r="E93" s="4" t="n">
        <v>46304.62410717997</v>
      </c>
      <c r="F93" s="4" t="n">
        <v>46304.62410718005</v>
      </c>
      <c r="G93" t="b">
        <v>1</v>
      </c>
      <c r="H93" s="3" t="inlineStr">
        <is>
          <t>This parcel was created from trade 2019-06-04 | Buy | A200 | 14.0000 unit @ A$106.68 / unit</t>
        </is>
      </c>
      <c r="I93" t="inlineStr">
        <is>
          <t>parcel</t>
        </is>
      </c>
      <c r="J93" s="5" t="inlineStr">
        <is>
          <t>01a1212c-7028-718e-b2ce-9f6f2a580d3c</t>
        </is>
      </c>
    </row>
    <row r="94">
      <c r="A94" s="5" t="inlineStr">
        <is>
          <t>01a1212c-7041-702d-a6bd-600b8557279f</t>
        </is>
      </c>
      <c r="D94" s="5" t="inlineStr">
        <is>
          <t>01a1212c-4b57-70cf-80fd-c2192cb3bf81</t>
        </is>
      </c>
      <c r="E94" s="4" t="n">
        <v>46304.6241074276</v>
      </c>
      <c r="F94" s="4" t="n">
        <v>46304.62410742768</v>
      </c>
      <c r="G94" t="b">
        <v>1</v>
      </c>
      <c r="H94" s="3" t="inlineStr">
        <is>
          <t>This parcel was created from trade 2019-06-04 | Buy | VGS | 26.0000 unit @ A$71.45 / unit</t>
        </is>
      </c>
      <c r="I94" t="inlineStr">
        <is>
          <t>parcel</t>
        </is>
      </c>
      <c r="J94" s="5" t="inlineStr">
        <is>
          <t>01a1212c-703e-7558-9c38-d3ff61fb4ef7</t>
        </is>
      </c>
    </row>
    <row r="95">
      <c r="A95" s="5" t="inlineStr">
        <is>
          <t>01a1212c-7056-71e1-8b15-1adf8df929de</t>
        </is>
      </c>
      <c r="D95" s="5" t="inlineStr">
        <is>
          <t>01a1212c-4b57-70cf-80fd-c2192cb3bf81</t>
        </is>
      </c>
      <c r="E95" s="4" t="n">
        <v>46304.62410766754</v>
      </c>
      <c r="F95" s="4" t="n">
        <v>46304.6241076676</v>
      </c>
      <c r="G95" t="b">
        <v>1</v>
      </c>
      <c r="H95" s="3" t="inlineStr">
        <is>
          <t>This parcel was created from trade 2019-06-17 | Buy | CBA | 14.0000 unit @ A$80.19 / unit</t>
        </is>
      </c>
      <c r="I95" t="inlineStr">
        <is>
          <t>parcel</t>
        </is>
      </c>
      <c r="J95" s="5" t="inlineStr">
        <is>
          <t>01a1212c-7053-76b5-a0ea-66613acd2f40</t>
        </is>
      </c>
    </row>
    <row r="96">
      <c r="A96" s="5" t="inlineStr">
        <is>
          <t>01a1212c-706a-7465-a15e-e1af2306bdf3</t>
        </is>
      </c>
      <c r="D96" s="5" t="inlineStr">
        <is>
          <t>01a1212c-4b57-70cf-80fd-c2192cb3bf81</t>
        </is>
      </c>
      <c r="E96" s="4" t="n">
        <v>46304.62410789789</v>
      </c>
      <c r="F96" s="4" t="n">
        <v>46304.62410789797</v>
      </c>
      <c r="G96" t="b">
        <v>1</v>
      </c>
      <c r="H96" s="3" t="inlineStr">
        <is>
          <t>This parcel was created from trade 2019-07-05 | Buy | A200 | 10.0000 unit @ A$112.85 / unit</t>
        </is>
      </c>
      <c r="I96" t="inlineStr">
        <is>
          <t>parcel</t>
        </is>
      </c>
      <c r="J96" s="5" t="inlineStr">
        <is>
          <t>01a1212c-7066-75c9-8133-7c1e7c12164e</t>
        </is>
      </c>
    </row>
    <row r="97">
      <c r="A97" s="5" t="inlineStr">
        <is>
          <t>01a1212c-7080-7226-8670-89dc64b76200</t>
        </is>
      </c>
      <c r="D97" s="5" t="inlineStr">
        <is>
          <t>01a1212c-4b57-70cf-80fd-c2192cb3bf81</t>
        </is>
      </c>
      <c r="E97" s="4" t="n">
        <v>46304.62410815358</v>
      </c>
      <c r="F97" s="4" t="n">
        <v>46304.62410815364</v>
      </c>
      <c r="G97" t="b">
        <v>1</v>
      </c>
      <c r="H97" s="3" t="inlineStr">
        <is>
          <t>This parcel was created from trade 2019-07-05 | Buy | MSFT | 6.0000 unit @ $137.06 / unit</t>
        </is>
      </c>
      <c r="I97" t="inlineStr">
        <is>
          <t>parcel</t>
        </is>
      </c>
      <c r="J97" s="5" t="inlineStr">
        <is>
          <t>01a1212c-707c-755a-b99a-7381b4688633</t>
        </is>
      </c>
    </row>
    <row r="98">
      <c r="A98" s="5" t="inlineStr">
        <is>
          <t>01a1212c-7096-75dd-b81c-589a03997bb8</t>
        </is>
      </c>
      <c r="D98" s="5" t="inlineStr">
        <is>
          <t>01a1212c-4b57-70cf-80fd-c2192cb3bf81</t>
        </is>
      </c>
      <c r="E98" s="4" t="n">
        <v>46304.62410840852</v>
      </c>
      <c r="F98" s="4" t="n">
        <v>46304.6241084086</v>
      </c>
      <c r="G98" t="b">
        <v>1</v>
      </c>
      <c r="H98" s="3" t="inlineStr">
        <is>
          <t>This parcel was created from trade 2019-07-05 | Buy | VGS | 18.0000 unit @ A$76.13 / unit</t>
        </is>
      </c>
      <c r="I98" t="inlineStr">
        <is>
          <t>parcel</t>
        </is>
      </c>
      <c r="J98" s="5" t="inlineStr">
        <is>
          <t>01a1212c-7093-74e6-b33d-06958030fa15</t>
        </is>
      </c>
    </row>
    <row r="99">
      <c r="A99" s="5" t="inlineStr">
        <is>
          <t>01a1212c-70ac-7632-9469-f39be602df4e</t>
        </is>
      </c>
      <c r="D99" s="5" t="inlineStr">
        <is>
          <t>01a1212c-4b57-70cf-80fd-c2192cb3bf81</t>
        </is>
      </c>
      <c r="E99" s="4" t="n">
        <v>46304.62410866636</v>
      </c>
      <c r="F99" s="4" t="n">
        <v>46304.62410866644</v>
      </c>
      <c r="G99" t="b">
        <v>1</v>
      </c>
      <c r="H99" s="3" t="inlineStr">
        <is>
          <t>This parcel was created from trade 2019-07-12 | Buy | AMZN | 1.0000 unit @ $2,011.00 / unit</t>
        </is>
      </c>
      <c r="I99" t="inlineStr">
        <is>
          <t>parcel</t>
        </is>
      </c>
      <c r="J99" s="5" t="inlineStr">
        <is>
          <t>01a1212c-70a9-75ca-85f0-85669f6327ea</t>
        </is>
      </c>
    </row>
    <row r="100">
      <c r="A100" s="5" t="inlineStr">
        <is>
          <t>01a1212c-70c3-71f4-a7d6-baf39f6e0f75</t>
        </is>
      </c>
      <c r="D100" s="5" t="inlineStr">
        <is>
          <t>01a1212c-4b57-70cf-80fd-c2192cb3bf81</t>
        </is>
      </c>
      <c r="E100" s="4" t="n">
        <v>46304.62410893186</v>
      </c>
      <c r="F100" s="4" t="n">
        <v>46304.62410893193</v>
      </c>
      <c r="G100" t="b">
        <v>1</v>
      </c>
      <c r="H100" s="3" t="inlineStr">
        <is>
          <t>This parcel was created from trade 2019-07-15 | Buy | AMZN | 1.0000 unit @ $2,020.99 / unit</t>
        </is>
      </c>
      <c r="I100" t="inlineStr">
        <is>
          <t>parcel</t>
        </is>
      </c>
      <c r="J100" s="5" t="inlineStr">
        <is>
          <t>01a1212c-70c0-772a-966f-363572dc7f77</t>
        </is>
      </c>
    </row>
    <row r="101">
      <c r="A101" s="5" t="inlineStr">
        <is>
          <t>01a1212c-70da-7537-bf5d-04d2275656fc</t>
        </is>
      </c>
      <c r="D101" s="5" t="inlineStr">
        <is>
          <t>01a1212c-4b57-70cf-80fd-c2192cb3bf81</t>
        </is>
      </c>
      <c r="E101" s="4" t="n">
        <v>46304.62410919478</v>
      </c>
      <c r="F101" s="4" t="n">
        <v>46304.62410919486</v>
      </c>
      <c r="G101" t="b">
        <v>1</v>
      </c>
      <c r="H101" s="3" t="inlineStr">
        <is>
          <t>This parcel was created from trade 2019-08-05 | Buy | A200 | 13.0000 unit @ A$113.04 / unit</t>
        </is>
      </c>
      <c r="I101" t="inlineStr">
        <is>
          <t>parcel</t>
        </is>
      </c>
      <c r="J101" s="5" t="inlineStr">
        <is>
          <t>01a1212c-70d6-7608-9b7d-a9f3b20fcd42</t>
        </is>
      </c>
    </row>
    <row r="102">
      <c r="A102" s="5" t="inlineStr">
        <is>
          <t>01a1212c-70ef-757a-99fe-00295c20f89b</t>
        </is>
      </c>
      <c r="D102" s="5" t="inlineStr">
        <is>
          <t>01a1212c-4b57-70cf-80fd-c2192cb3bf81</t>
        </is>
      </c>
      <c r="E102" s="4" t="n">
        <v>46304.62410944559</v>
      </c>
      <c r="F102" s="4" t="n">
        <v>46304.62410944569</v>
      </c>
      <c r="G102" t="b">
        <v>1</v>
      </c>
      <c r="H102" s="3" t="inlineStr">
        <is>
          <t>This parcel was created from trade 2019-08-05 | Buy | VGS | 24.0000 unit @ A$75.60 / unit</t>
        </is>
      </c>
      <c r="I102" t="inlineStr">
        <is>
          <t>parcel</t>
        </is>
      </c>
      <c r="J102" s="5" t="inlineStr">
        <is>
          <t>01a1212c-70ec-7549-97f2-cc3906a47674</t>
        </is>
      </c>
    </row>
    <row r="103">
      <c r="A103" s="5" t="inlineStr">
        <is>
          <t>01a1212c-7105-77d3-bb63-76f6cd890a4d</t>
        </is>
      </c>
      <c r="D103" s="5" t="inlineStr">
        <is>
          <t>01a1212c-4b57-70cf-80fd-c2192cb3bf81</t>
        </is>
      </c>
      <c r="E103" s="4" t="n">
        <v>46304.62410969765</v>
      </c>
      <c r="F103" s="4" t="n">
        <v>46304.62410969773</v>
      </c>
      <c r="G103" t="b">
        <v>1</v>
      </c>
      <c r="H103" s="3" t="inlineStr">
        <is>
          <t>This parcel was created from trade 2019-09-02 | Buy | A200 | 13.0000 unit @ A$110.71 / unit</t>
        </is>
      </c>
      <c r="I103" t="inlineStr">
        <is>
          <t>parcel</t>
        </is>
      </c>
      <c r="J103" s="5" t="inlineStr">
        <is>
          <t>01a1212c-7102-774f-b90a-23a16e3eac92</t>
        </is>
      </c>
    </row>
    <row r="104">
      <c r="A104" s="5" t="inlineStr">
        <is>
          <t>01a1212c-711a-745c-88fa-9406ed03e8f8</t>
        </is>
      </c>
      <c r="D104" s="5" t="inlineStr">
        <is>
          <t>01a1212c-4b57-70cf-80fd-c2192cb3bf81</t>
        </is>
      </c>
      <c r="E104" s="4" t="n">
        <v>46304.62410994123</v>
      </c>
      <c r="F104" s="4" t="n">
        <v>46304.62410994131</v>
      </c>
      <c r="G104" t="b">
        <v>1</v>
      </c>
      <c r="H104" s="3" t="inlineStr">
        <is>
          <t>This parcel was created from trade 2019-09-02 | Buy | VGS | 23.0000 unit @ A$76.63 / unit</t>
        </is>
      </c>
      <c r="I104" t="inlineStr">
        <is>
          <t>parcel</t>
        </is>
      </c>
      <c r="J104" s="5" t="inlineStr">
        <is>
          <t>01a1212c-7117-7388-8792-335c487cf88f</t>
        </is>
      </c>
    </row>
    <row r="105">
      <c r="A105" s="5" t="inlineStr">
        <is>
          <t>01a1212c-7130-776b-8853-a1b1b1b457f5</t>
        </is>
      </c>
      <c r="D105" s="5" t="inlineStr">
        <is>
          <t>01a1212c-4b57-70cf-80fd-c2192cb3bf81</t>
        </is>
      </c>
      <c r="E105" s="4" t="n">
        <v>46304.62411019739</v>
      </c>
      <c r="F105" s="4" t="n">
        <v>46304.62411019747</v>
      </c>
      <c r="G105" t="b">
        <v>1</v>
      </c>
      <c r="H105" s="3" t="inlineStr">
        <is>
          <t>This parcel was created from trade 2019-09-30 | Buy | MSFT | 6.0000 unit @ $139.03 / unit</t>
        </is>
      </c>
      <c r="I105" t="inlineStr">
        <is>
          <t>parcel</t>
        </is>
      </c>
      <c r="J105" s="5" t="inlineStr">
        <is>
          <t>01a1212c-712d-7791-bf63-8cb9a725a863</t>
        </is>
      </c>
    </row>
    <row r="106">
      <c r="A106" s="5" t="inlineStr">
        <is>
          <t>01a1212c-7146-72af-8d1c-2ce65f680ad5</t>
        </is>
      </c>
      <c r="D106" s="5" t="inlineStr">
        <is>
          <t>01a1212c-4b57-70cf-80fd-c2192cb3bf81</t>
        </is>
      </c>
      <c r="E106" s="4" t="n">
        <v>46304.62411044134</v>
      </c>
      <c r="F106" s="4" t="n">
        <v>46304.62411044142</v>
      </c>
      <c r="G106" t="b">
        <v>1</v>
      </c>
      <c r="H106" s="3" t="inlineStr">
        <is>
          <t>This parcel was created from trade 2019-10-02 | Buy | A200 | 10.0000 unit @ A$111.09 / unit</t>
        </is>
      </c>
      <c r="I106" t="inlineStr">
        <is>
          <t>parcel</t>
        </is>
      </c>
      <c r="J106" s="5" t="inlineStr">
        <is>
          <t>01a1212c-7142-74d1-a420-87616f78ba3b</t>
        </is>
      </c>
    </row>
    <row r="107">
      <c r="A107" s="5" t="inlineStr">
        <is>
          <t>01a1212c-715b-773a-9b01-9a7a8005a2eb</t>
        </is>
      </c>
      <c r="D107" s="5" t="inlineStr">
        <is>
          <t>01a1212c-4b57-70cf-80fd-c2192cb3bf81</t>
        </is>
      </c>
      <c r="E107" s="4" t="n">
        <v>46304.62411068657</v>
      </c>
      <c r="F107" s="4" t="n">
        <v>46304.62411068666</v>
      </c>
      <c r="G107" t="b">
        <v>1</v>
      </c>
      <c r="H107" s="3" t="inlineStr">
        <is>
          <t>This parcel was created from trade 2019-10-02 | Buy | VGS | 17.0000 unit @ A$77.61 / unit</t>
        </is>
      </c>
      <c r="I107" t="inlineStr">
        <is>
          <t>parcel</t>
        </is>
      </c>
      <c r="J107" s="5" t="inlineStr">
        <is>
          <t>01a1212c-7157-7567-ba2e-f5a2ea2a31ab</t>
        </is>
      </c>
    </row>
    <row r="108">
      <c r="A108" s="5" t="inlineStr">
        <is>
          <t>01a1212c-7172-74db-a613-e2c4cb3bc873</t>
        </is>
      </c>
      <c r="D108" s="5" t="inlineStr">
        <is>
          <t>01a1212c-4b57-70cf-80fd-c2192cb3bf81</t>
        </is>
      </c>
      <c r="E108" s="4" t="n">
        <v>46304.62411095853</v>
      </c>
      <c r="F108" s="4" t="n">
        <v>46304.62411095861</v>
      </c>
      <c r="G108" t="b">
        <v>1</v>
      </c>
      <c r="H108" s="3" t="inlineStr">
        <is>
          <t>This parcel was created from trade 2019-10-21 | Buy | AAPL | 3.0000 unit @ $240.51 / unit</t>
        </is>
      </c>
      <c r="I108" t="inlineStr">
        <is>
          <t>parcel</t>
        </is>
      </c>
      <c r="J108" s="5" t="inlineStr">
        <is>
          <t>01a1212c-716f-7245-8737-8644ca7db7b1</t>
        </is>
      </c>
    </row>
    <row r="109">
      <c r="A109" s="5" t="inlineStr">
        <is>
          <t>01a1212c-7188-711a-9a81-2daf7dc11e44</t>
        </is>
      </c>
      <c r="D109" s="5" t="inlineStr">
        <is>
          <t>01a1212c-4b57-70cf-80fd-c2192cb3bf81</t>
        </is>
      </c>
      <c r="E109" s="4" t="n">
        <v>46304.6241112125</v>
      </c>
      <c r="F109" s="4" t="n">
        <v>46304.62411121258</v>
      </c>
      <c r="G109" t="b">
        <v>1</v>
      </c>
      <c r="H109" s="3" t="inlineStr">
        <is>
          <t>This parcel was created from trade 2019-11-06 | Buy | A200 | 8.0000 unit @ A$111.39 / unit</t>
        </is>
      </c>
      <c r="I109" t="inlineStr">
        <is>
          <t>parcel</t>
        </is>
      </c>
      <c r="J109" s="5" t="inlineStr">
        <is>
          <t>01a1212c-7185-751c-93a4-e2a05054ca75</t>
        </is>
      </c>
    </row>
    <row r="110">
      <c r="A110" s="5" t="inlineStr">
        <is>
          <t>01a1212c-719d-7704-a2b2-a185c4d2f684</t>
        </is>
      </c>
      <c r="D110" s="5" t="inlineStr">
        <is>
          <t>01a1212c-4b57-70cf-80fd-c2192cb3bf81</t>
        </is>
      </c>
      <c r="E110" s="4" t="n">
        <v>46304.62411145098</v>
      </c>
      <c r="F110" s="4" t="n">
        <v>46304.62411145106</v>
      </c>
      <c r="G110" t="b">
        <v>1</v>
      </c>
      <c r="H110" s="3" t="inlineStr">
        <is>
          <t>This parcel was created from trade 2019-11-06 | Buy | VGS | 15.0000 unit @ A$79.08 / unit</t>
        </is>
      </c>
      <c r="I110" t="inlineStr">
        <is>
          <t>parcel</t>
        </is>
      </c>
      <c r="J110" s="5" t="inlineStr">
        <is>
          <t>01a1212c-719a-7616-bf3b-b6ee9e3119c7</t>
        </is>
      </c>
    </row>
    <row r="111">
      <c r="A111" s="5" t="inlineStr">
        <is>
          <t>01a1212c-71b2-715e-8b16-18b7c067758c</t>
        </is>
      </c>
      <c r="D111" s="5" t="inlineStr">
        <is>
          <t>01a1212c-4b57-70cf-80fd-c2192cb3bf81</t>
        </is>
      </c>
      <c r="E111" s="4" t="n">
        <v>46304.62411169088</v>
      </c>
      <c r="F111" s="4" t="n">
        <v>46304.62411169096</v>
      </c>
      <c r="G111" t="b">
        <v>1</v>
      </c>
      <c r="H111" s="3" t="inlineStr">
        <is>
          <t>This parcel was created from trade 2019-12-03 | Buy | A200 | 15.0000 unit @ A$112.70 / unit</t>
        </is>
      </c>
      <c r="I111" t="inlineStr">
        <is>
          <t>parcel</t>
        </is>
      </c>
      <c r="J111" s="5" t="inlineStr">
        <is>
          <t>01a1212c-71ae-7629-9101-f4aefddb3353</t>
        </is>
      </c>
    </row>
    <row r="112">
      <c r="A112" s="5" t="inlineStr">
        <is>
          <t>01a1212c-71c7-762f-aa64-87d5bcf4ad11</t>
        </is>
      </c>
      <c r="D112" s="5" t="inlineStr">
        <is>
          <t>01a1212c-4b57-70cf-80fd-c2192cb3bf81</t>
        </is>
      </c>
      <c r="E112" s="4" t="n">
        <v>46304.62411193735</v>
      </c>
      <c r="F112" s="4" t="n">
        <v>46304.62411193743</v>
      </c>
      <c r="G112" t="b">
        <v>1</v>
      </c>
      <c r="H112" s="3" t="inlineStr">
        <is>
          <t>This parcel was created from trade 2019-12-03 | Buy | VGS | 26.0000 unit @ A$80.67 / unit</t>
        </is>
      </c>
      <c r="I112" t="inlineStr">
        <is>
          <t>parcel</t>
        </is>
      </c>
      <c r="J112" s="5" t="inlineStr">
        <is>
          <t>01a1212c-71c3-7032-9840-53a08ae86f9c</t>
        </is>
      </c>
    </row>
    <row r="113">
      <c r="A113" s="5" t="inlineStr">
        <is>
          <t>01a1212c-71dc-7346-b632-b13f2bc90294</t>
        </is>
      </c>
      <c r="D113" s="5" t="inlineStr">
        <is>
          <t>01a1212c-4b57-70cf-80fd-c2192cb3bf81</t>
        </is>
      </c>
      <c r="E113" s="4" t="n">
        <v>46304.62411218295</v>
      </c>
      <c r="F113" s="4" t="n">
        <v>46304.62411218303</v>
      </c>
      <c r="G113" t="b">
        <v>1</v>
      </c>
      <c r="H113" s="3" t="inlineStr">
        <is>
          <t>This parcel was created from trade 2020-01-06 | Buy | A200 | 14.0000 unit @ A$112.35 / unit</t>
        </is>
      </c>
      <c r="I113" t="inlineStr">
        <is>
          <t>parcel</t>
        </is>
      </c>
      <c r="J113" s="5" t="inlineStr">
        <is>
          <t>01a1212c-71d9-7647-901b-c597ca2d48c9</t>
        </is>
      </c>
    </row>
    <row r="114">
      <c r="A114" s="5" t="inlineStr">
        <is>
          <t>01a1212c-71f1-742f-bf82-2fa43a0aa755</t>
        </is>
      </c>
      <c r="D114" s="5" t="inlineStr">
        <is>
          <t>01a1212c-4b57-70cf-80fd-c2192cb3bf81</t>
        </is>
      </c>
      <c r="E114" s="4" t="n">
        <v>46304.62411242898</v>
      </c>
      <c r="F114" s="4" t="n">
        <v>46304.62411242906</v>
      </c>
      <c r="G114" t="b">
        <v>1</v>
      </c>
      <c r="H114" s="3" t="inlineStr">
        <is>
          <t>This parcel was created from trade 2020-01-06 | Buy | VGS | 24.0000 unit @ A$81.73 / unit</t>
        </is>
      </c>
      <c r="I114" t="inlineStr">
        <is>
          <t>parcel</t>
        </is>
      </c>
      <c r="J114" s="5" t="inlineStr">
        <is>
          <t>01a1212c-71ee-7697-ac4a-eeeb04d71bcc</t>
        </is>
      </c>
    </row>
    <row r="115">
      <c r="A115" s="5" t="inlineStr">
        <is>
          <t>01a1212c-7209-7565-9f12-9be0b0c788e0</t>
        </is>
      </c>
      <c r="D115" s="5" t="inlineStr">
        <is>
          <t>01a1212c-4b57-70cf-80fd-c2192cb3bf81</t>
        </is>
      </c>
      <c r="E115" s="4" t="n">
        <v>46304.62411269832</v>
      </c>
      <c r="F115" s="4" t="n">
        <v>46304.6241126984</v>
      </c>
      <c r="G115" t="b">
        <v>1</v>
      </c>
      <c r="H115" s="3" t="inlineStr">
        <is>
          <t>This parcel was created from trade 2020-01-16 | Buy | AAPL | 2.0000 unit @ $315.24 / unit</t>
        </is>
      </c>
      <c r="I115" t="inlineStr">
        <is>
          <t>parcel</t>
        </is>
      </c>
      <c r="J115" s="5" t="inlineStr">
        <is>
          <t>01a1212c-7205-7696-a929-279b9baca395</t>
        </is>
      </c>
    </row>
    <row r="116">
      <c r="A116" s="5" t="inlineStr">
        <is>
          <t>01a1212c-721e-7162-a099-8639d8d98db2</t>
        </is>
      </c>
      <c r="D116" s="5" t="inlineStr">
        <is>
          <t>01a1212c-4b57-70cf-80fd-c2192cb3bf81</t>
        </is>
      </c>
      <c r="E116" s="4" t="n">
        <v>46304.62411294562</v>
      </c>
      <c r="F116" s="4" t="n">
        <v>46304.6241129457</v>
      </c>
      <c r="G116" t="b">
        <v>1</v>
      </c>
      <c r="H116" s="3" t="inlineStr">
        <is>
          <t>This parcel was created from trade 2020-02-05 | Buy | A200 | 8.0000 unit @ A$116.29 / unit</t>
        </is>
      </c>
      <c r="I116" t="inlineStr">
        <is>
          <t>parcel</t>
        </is>
      </c>
      <c r="J116" s="5" t="inlineStr">
        <is>
          <t>01a1212c-721a-74d7-b443-6cf4d510dcad</t>
        </is>
      </c>
    </row>
    <row r="117">
      <c r="A117" s="5" t="inlineStr">
        <is>
          <t>01a1212c-7233-7616-b52b-af55d12f7267</t>
        </is>
      </c>
      <c r="D117" s="5" t="inlineStr">
        <is>
          <t>01a1212c-4b57-70cf-80fd-c2192cb3bf81</t>
        </is>
      </c>
      <c r="E117" s="4" t="n">
        <v>46304.62411318867</v>
      </c>
      <c r="F117" s="4" t="n">
        <v>46304.62411318874</v>
      </c>
      <c r="G117" t="b">
        <v>1</v>
      </c>
      <c r="H117" s="3" t="inlineStr">
        <is>
          <t>This parcel was created from trade 2020-02-05 | Buy | VGS | 14.0000 unit @ A$85.38 / unit</t>
        </is>
      </c>
      <c r="I117" t="inlineStr">
        <is>
          <t>parcel</t>
        </is>
      </c>
      <c r="J117" s="5" t="inlineStr">
        <is>
          <t>01a1212c-7230-7671-90fb-9b2a12ecb44c</t>
        </is>
      </c>
    </row>
    <row r="118">
      <c r="A118" s="5" t="inlineStr">
        <is>
          <t>01a1212c-7252-71cc-95d8-afe861f12ed7</t>
        </is>
      </c>
      <c r="D118" s="5" t="inlineStr">
        <is>
          <t>01a1212c-4b57-70cf-80fd-c2192cb3bf81</t>
        </is>
      </c>
      <c r="E118" s="4" t="n">
        <v>46304.62411354448</v>
      </c>
      <c r="F118" s="4" t="n">
        <v>46304.62411354456</v>
      </c>
      <c r="G118" t="b">
        <v>1</v>
      </c>
      <c r="H118" s="3" t="inlineStr">
        <is>
          <t>This parcel was created from trade 2020-02-18 | Buy | MSFT | 3.0000 unit @ $187.23 / unit</t>
        </is>
      </c>
      <c r="I118" t="inlineStr">
        <is>
          <t>parcel</t>
        </is>
      </c>
      <c r="J118" s="5" t="inlineStr">
        <is>
          <t>01a1212c-724d-74c4-af7f-8de289e051bc</t>
        </is>
      </c>
    </row>
    <row r="119">
      <c r="A119" s="5" t="inlineStr">
        <is>
          <t>01a1212c-7267-75f0-adf3-7eb9c6f583d1</t>
        </is>
      </c>
      <c r="D119" s="5" t="inlineStr">
        <is>
          <t>01a1212c-4b57-70cf-80fd-c2192cb3bf81</t>
        </is>
      </c>
      <c r="E119" s="4" t="n">
        <v>46304.62411379316</v>
      </c>
      <c r="F119" s="4" t="n">
        <v>46304.62411379324</v>
      </c>
      <c r="G119" t="b">
        <v>1</v>
      </c>
      <c r="H119" s="3" t="inlineStr">
        <is>
          <t>This parcel was created from trade 2020-03-05 | Buy | A200 | 8.0000 unit @ A$107.68 / unit</t>
        </is>
      </c>
      <c r="I119" t="inlineStr">
        <is>
          <t>parcel</t>
        </is>
      </c>
      <c r="J119" s="5" t="inlineStr">
        <is>
          <t>01a1212c-7264-75a0-a547-f07a5e635bc6</t>
        </is>
      </c>
    </row>
    <row r="120">
      <c r="A120" s="5" t="inlineStr">
        <is>
          <t>01a1212c-727c-7191-a3fa-5976a17d5506</t>
        </is>
      </c>
      <c r="D120" s="5" t="inlineStr">
        <is>
          <t>01a1212c-4b57-70cf-80fd-c2192cb3bf81</t>
        </is>
      </c>
      <c r="E120" s="4" t="n">
        <v>46304.62411403683</v>
      </c>
      <c r="F120" s="4" t="n">
        <v>46304.62411403691</v>
      </c>
      <c r="G120" t="b">
        <v>1</v>
      </c>
      <c r="H120" s="3" t="inlineStr">
        <is>
          <t>This parcel was created from trade 2020-03-05 | Buy | VGS | 12.0000 unit @ A$81.36 / unit</t>
        </is>
      </c>
      <c r="I120" t="inlineStr">
        <is>
          <t>parcel</t>
        </is>
      </c>
      <c r="J120" s="5" t="inlineStr">
        <is>
          <t>01a1212c-7278-7734-b344-b828fba43ba6</t>
        </is>
      </c>
    </row>
    <row r="121">
      <c r="A121" s="5" t="inlineStr">
        <is>
          <t>01a1212c-7292-71ac-98d7-60ef7cf57304</t>
        </is>
      </c>
      <c r="D121" s="5" t="inlineStr">
        <is>
          <t>01a1212c-4b57-70cf-80fd-c2192cb3bf81</t>
        </is>
      </c>
      <c r="E121" s="4" t="n">
        <v>46304.62411428499</v>
      </c>
      <c r="F121" s="4" t="n">
        <v>46304.62411428508</v>
      </c>
      <c r="G121" t="b">
        <v>1</v>
      </c>
      <c r="H121" s="3" t="inlineStr">
        <is>
          <t>This parcel was created from trade 2020-03-20 | Buy | WES | 28.0000 unit @ A$33.28 / unit</t>
        </is>
      </c>
      <c r="I121" t="inlineStr">
        <is>
          <t>parcel</t>
        </is>
      </c>
      <c r="J121" s="5" t="inlineStr">
        <is>
          <t>01a1212c-728e-775e-8dc9-c0226890c8c9</t>
        </is>
      </c>
    </row>
    <row r="122">
      <c r="A122" s="5" t="inlineStr">
        <is>
          <t>01a1212c-72a6-7286-8e91-e5fbc6acb2b5</t>
        </is>
      </c>
      <c r="D122" s="5" t="inlineStr">
        <is>
          <t>01a1212c-4b57-70cf-80fd-c2192cb3bf81</t>
        </is>
      </c>
      <c r="E122" s="4" t="n">
        <v>46304.62411452022</v>
      </c>
      <c r="F122" s="4" t="n">
        <v>46304.6241145203</v>
      </c>
      <c r="G122" t="b">
        <v>1</v>
      </c>
      <c r="H122" s="3" t="inlineStr">
        <is>
          <t>This parcel was created from trade 2020-04-02 | Buy | A200 | 7.0000 unit @ A$86.75 / unit</t>
        </is>
      </c>
      <c r="I122" t="inlineStr">
        <is>
          <t>parcel</t>
        </is>
      </c>
      <c r="J122" s="5" t="inlineStr">
        <is>
          <t>01a1212c-72a3-74de-af7e-8c21374ccb8d</t>
        </is>
      </c>
    </row>
    <row r="123">
      <c r="A123" s="5" t="inlineStr">
        <is>
          <t>01a1212c-72bc-7456-8883-1ef9bb27ac87</t>
        </is>
      </c>
      <c r="D123" s="5" t="inlineStr">
        <is>
          <t>01a1212c-4b57-70cf-80fd-c2192cb3bf81</t>
        </is>
      </c>
      <c r="E123" s="4" t="n">
        <v>46304.62411477641</v>
      </c>
      <c r="F123" s="4" t="n">
        <v>46304.6241147765</v>
      </c>
      <c r="G123" t="b">
        <v>1</v>
      </c>
      <c r="H123" s="3" t="inlineStr">
        <is>
          <t>This parcel was created from trade 2020-04-02 | Buy | MSFT | 2.0000 unit @ $155.26 / unit</t>
        </is>
      </c>
      <c r="I123" t="inlineStr">
        <is>
          <t>parcel</t>
        </is>
      </c>
      <c r="J123" s="5" t="inlineStr">
        <is>
          <t>01a1212c-72b9-7463-88f2-0ff2ba9e0d6d</t>
        </is>
      </c>
    </row>
    <row r="124">
      <c r="A124" s="5" t="inlineStr">
        <is>
          <t>01a1212c-72d2-707d-9f02-640f4c8734f2</t>
        </is>
      </c>
      <c r="D124" s="5" t="inlineStr">
        <is>
          <t>01a1212c-4b57-70cf-80fd-c2192cb3bf81</t>
        </is>
      </c>
      <c r="E124" s="4" t="n">
        <v>46304.62411503354</v>
      </c>
      <c r="F124" s="4" t="n">
        <v>46304.62411503362</v>
      </c>
      <c r="G124" t="b">
        <v>1</v>
      </c>
      <c r="H124" s="3" t="inlineStr">
        <is>
          <t>This parcel was created from trade 2020-04-02 | Buy | VGS | 11.0000 unit @ A$70.95 / unit</t>
        </is>
      </c>
      <c r="I124" t="inlineStr">
        <is>
          <t>parcel</t>
        </is>
      </c>
      <c r="J124" s="5" t="inlineStr">
        <is>
          <t>01a1212c-72ce-758f-a1e1-774c3e0a5001</t>
        </is>
      </c>
    </row>
    <row r="125">
      <c r="A125" s="5" t="inlineStr">
        <is>
          <t>01a1212c-72e9-75e5-800d-a41fe3046383</t>
        </is>
      </c>
      <c r="D125" s="5" t="inlineStr">
        <is>
          <t>01a1212c-4b57-70cf-80fd-c2192cb3bf81</t>
        </is>
      </c>
      <c r="E125" s="4" t="n">
        <v>46304.62411529663</v>
      </c>
      <c r="F125" s="4" t="n">
        <v>46304.6241152967</v>
      </c>
      <c r="G125" t="b">
        <v>1</v>
      </c>
      <c r="H125" s="3" t="inlineStr">
        <is>
          <t>This parcel was created from trade 2020-04-14 | Buy | BHP | 52.0000 unit @ A$28.19 / unit</t>
        </is>
      </c>
      <c r="I125" t="inlineStr">
        <is>
          <t>parcel</t>
        </is>
      </c>
      <c r="J125" s="5" t="inlineStr">
        <is>
          <t>01a1212c-72e6-744b-baeb-b4883b6d57f6</t>
        </is>
      </c>
    </row>
    <row r="126">
      <c r="A126" s="5" t="inlineStr">
        <is>
          <t>01a1212c-72fe-77f4-bec2-36d73f6a4a12</t>
        </is>
      </c>
      <c r="D126" s="5" t="inlineStr">
        <is>
          <t>01a1212c-4b57-70cf-80fd-c2192cb3bf81</t>
        </is>
      </c>
      <c r="E126" s="4" t="n">
        <v>46304.62411553361</v>
      </c>
      <c r="F126" s="4" t="n">
        <v>46304.62411553369</v>
      </c>
      <c r="G126" t="b">
        <v>1</v>
      </c>
      <c r="H126" s="3" t="inlineStr">
        <is>
          <t>This parcel was created from trade 2020-05-04 | Buy | A200 | 13.0000 unit @ A$89.43 / unit</t>
        </is>
      </c>
      <c r="I126" t="inlineStr">
        <is>
          <t>parcel</t>
        </is>
      </c>
      <c r="J126" s="5" t="inlineStr">
        <is>
          <t>01a1212c-72fa-746a-b6d8-923ee91edd31</t>
        </is>
      </c>
    </row>
    <row r="127">
      <c r="A127" s="5" t="inlineStr">
        <is>
          <t>01a1212c-7313-7359-89e4-344fd876b4a9</t>
        </is>
      </c>
      <c r="D127" s="5" t="inlineStr">
        <is>
          <t>01a1212c-4b57-70cf-80fd-c2192cb3bf81</t>
        </is>
      </c>
      <c r="E127" s="4" t="n">
        <v>46304.62411578342</v>
      </c>
      <c r="F127" s="4" t="n">
        <v>46304.6241157835</v>
      </c>
      <c r="G127" t="b">
        <v>1</v>
      </c>
      <c r="H127" s="3" t="inlineStr">
        <is>
          <t>This parcel was created from trade 2020-05-04 | Buy | VGS | 20.0000 unit @ A$74.75 / unit</t>
        </is>
      </c>
      <c r="I127" t="inlineStr">
        <is>
          <t>parcel</t>
        </is>
      </c>
      <c r="J127" s="5" t="inlineStr">
        <is>
          <t>01a1212c-730f-762d-91e1-ab5755aaf176</t>
        </is>
      </c>
    </row>
    <row r="128">
      <c r="A128" s="5" t="inlineStr">
        <is>
          <t>01a1212c-732b-76b4-962b-eeee9c048cec</t>
        </is>
      </c>
      <c r="D128" s="5" t="inlineStr">
        <is>
          <t>01a1212c-4b57-70cf-80fd-c2192cb3bf81</t>
        </is>
      </c>
      <c r="E128" s="4" t="n">
        <v>46304.62411605559</v>
      </c>
      <c r="F128" s="4" t="n">
        <v>46304.62411605567</v>
      </c>
      <c r="G128" t="b">
        <v>1</v>
      </c>
      <c r="H128" s="3" t="inlineStr">
        <is>
          <t>This parcel was created from trade 2020-06-02 | Buy | A200 | 13.0000 unit @ A$98.20 / unit</t>
        </is>
      </c>
      <c r="I128" t="inlineStr">
        <is>
          <t>parcel</t>
        </is>
      </c>
      <c r="J128" s="5" t="inlineStr">
        <is>
          <t>01a1212c-7327-74d8-96b9-c942c63d839c</t>
        </is>
      </c>
    </row>
    <row r="129">
      <c r="A129" s="5" t="inlineStr">
        <is>
          <t>01a1212c-7340-7593-94e1-a4a8d780fe54</t>
        </is>
      </c>
      <c r="D129" s="5" t="inlineStr">
        <is>
          <t>01a1212c-4b57-70cf-80fd-c2192cb3bf81</t>
        </is>
      </c>
      <c r="E129" s="4" t="n">
        <v>46304.62411630273</v>
      </c>
      <c r="F129" s="4" t="n">
        <v>46304.62411630281</v>
      </c>
      <c r="G129" t="b">
        <v>1</v>
      </c>
      <c r="H129" s="3" t="inlineStr">
        <is>
          <t>This parcel was created from trade 2020-06-02 | Buy | VGS | 21.0000 unit @ A$77.23 / unit</t>
        </is>
      </c>
      <c r="I129" t="inlineStr">
        <is>
          <t>parcel</t>
        </is>
      </c>
      <c r="J129" s="5" t="inlineStr">
        <is>
          <t>01a1212c-733d-76f3-baba-b9d3c48b5990</t>
        </is>
      </c>
    </row>
    <row r="130">
      <c r="A130" s="5" t="inlineStr">
        <is>
          <t>01a1212c-7356-70da-9601-97946bccb597</t>
        </is>
      </c>
      <c r="D130" s="5" t="inlineStr">
        <is>
          <t>01a1212c-4b57-70cf-80fd-c2192cb3bf81</t>
        </is>
      </c>
      <c r="E130" s="4" t="n">
        <v>46304.62411656227</v>
      </c>
      <c r="F130" s="4" t="n">
        <v>46304.62411656234</v>
      </c>
      <c r="G130" t="b">
        <v>1</v>
      </c>
      <c r="H130" s="3" t="inlineStr">
        <is>
          <t>This parcel was created from trade 2020-06-08 | Buy | MSFT | 4.0000 unit @ $188.36 / unit</t>
        </is>
      </c>
      <c r="I130" t="inlineStr">
        <is>
          <t>parcel</t>
        </is>
      </c>
      <c r="J130" s="5" t="inlineStr">
        <is>
          <t>01a1212c-7353-706a-8a0c-c686449758b5</t>
        </is>
      </c>
    </row>
    <row r="131">
      <c r="A131" s="5" t="inlineStr">
        <is>
          <t>01a1212c-736e-76a5-abeb-6187fe65809a</t>
        </is>
      </c>
      <c r="D131" s="5" t="inlineStr">
        <is>
          <t>01a1212c-4b57-70cf-80fd-c2192cb3bf81</t>
        </is>
      </c>
      <c r="E131" s="4" t="n">
        <v>46304.62411683887</v>
      </c>
      <c r="F131" s="4" t="n">
        <v>46304.62411683895</v>
      </c>
      <c r="G131" t="b">
        <v>1</v>
      </c>
      <c r="H131" s="3" t="inlineStr">
        <is>
          <t>This parcel was created from trade 2020-06-22 | Buy | AMZN | 1.0000 unit @ $2,713.82 / unit</t>
        </is>
      </c>
      <c r="I131" t="inlineStr">
        <is>
          <t>parcel</t>
        </is>
      </c>
      <c r="J131" s="5" t="inlineStr">
        <is>
          <t>01a1212c-736b-73df-bd22-6fadaba8c1fd</t>
        </is>
      </c>
    </row>
    <row r="132">
      <c r="A132" s="5" t="inlineStr">
        <is>
          <t>01a1212c-7384-7750-ba1d-b16936fc50b6</t>
        </is>
      </c>
      <c r="D132" s="5" t="inlineStr">
        <is>
          <t>01a1212c-4b57-70cf-80fd-c2192cb3bf81</t>
        </is>
      </c>
      <c r="E132" s="4" t="n">
        <v>46304.62411709165</v>
      </c>
      <c r="F132" s="4" t="n">
        <v>46304.62411709173</v>
      </c>
      <c r="G132" t="b">
        <v>1</v>
      </c>
      <c r="H132" s="3" t="inlineStr">
        <is>
          <t>This parcel was created from trade 2020-07-06 | Buy | A200 | 13.0000 unit @ A$100.87 / unit</t>
        </is>
      </c>
      <c r="I132" t="inlineStr">
        <is>
          <t>parcel</t>
        </is>
      </c>
      <c r="J132" s="5" t="inlineStr">
        <is>
          <t>01a1212c-7381-769a-8076-e7b050fbdfd3</t>
        </is>
      </c>
    </row>
    <row r="133">
      <c r="A133" s="5" t="inlineStr">
        <is>
          <t>01a1212c-739a-71d5-befd-4fa444b737ba</t>
        </is>
      </c>
      <c r="D133" s="5" t="inlineStr">
        <is>
          <t>01a1212c-4b57-70cf-80fd-c2192cb3bf81</t>
        </is>
      </c>
      <c r="E133" s="4" t="n">
        <v>46304.62411734019</v>
      </c>
      <c r="F133" s="4" t="n">
        <v>46304.62411734028</v>
      </c>
      <c r="G133" t="b">
        <v>1</v>
      </c>
      <c r="H133" s="3" t="inlineStr">
        <is>
          <t>This parcel was created from trade 2020-07-06 | Buy | VGS | 21.0000 unit @ A$77.89 / unit</t>
        </is>
      </c>
      <c r="I133" t="inlineStr">
        <is>
          <t>parcel</t>
        </is>
      </c>
      <c r="J133" s="5" t="inlineStr">
        <is>
          <t>01a1212c-7396-7143-a0d0-9983b89d9143</t>
        </is>
      </c>
    </row>
    <row r="134">
      <c r="A134" s="5" t="inlineStr">
        <is>
          <t>01a1212c-73b1-7096-9298-ea054223cfa7</t>
        </is>
      </c>
      <c r="D134" s="5" t="inlineStr">
        <is>
          <t>01a1212c-4b57-70cf-80fd-c2192cb3bf81</t>
        </is>
      </c>
      <c r="E134" s="4" t="n">
        <v>46304.62411760943</v>
      </c>
      <c r="F134" s="4" t="n">
        <v>46304.62411760954</v>
      </c>
      <c r="G134" t="b">
        <v>1</v>
      </c>
      <c r="H134" s="3" t="inlineStr">
        <is>
          <t>This parcel was created from trade 2020-07-13 | Buy | MSFT | 1.0000 unit @ $207.07 / unit</t>
        </is>
      </c>
      <c r="I134" t="inlineStr">
        <is>
          <t>parcel</t>
        </is>
      </c>
      <c r="J134" s="5" t="inlineStr">
        <is>
          <t>01a1212c-73ad-745b-8a07-678f5df8a317</t>
        </is>
      </c>
    </row>
    <row r="135">
      <c r="A135" s="5" t="inlineStr">
        <is>
          <t>01a1212c-73c9-7256-87b5-4d12fa13316f</t>
        </is>
      </c>
      <c r="D135" s="5" t="inlineStr">
        <is>
          <t>01a1212c-4b57-70cf-80fd-c2192cb3bf81</t>
        </is>
      </c>
      <c r="E135" s="4" t="n">
        <v>46304.62411788393</v>
      </c>
      <c r="F135" s="4" t="n">
        <v>46304.62411788401</v>
      </c>
      <c r="G135" t="b">
        <v>1</v>
      </c>
      <c r="H135" s="3" t="inlineStr">
        <is>
          <t>This parcel was created from trade 2020-07-27 | Buy | AAPL | 2.0000 unit @ $379.24 / unit</t>
        </is>
      </c>
      <c r="I135" t="inlineStr">
        <is>
          <t>parcel</t>
        </is>
      </c>
      <c r="J135" s="5" t="inlineStr">
        <is>
          <t>01a1212c-73c5-70bb-97ca-8b8b236ed442</t>
        </is>
      </c>
    </row>
    <row r="136">
      <c r="A136" s="5" t="inlineStr">
        <is>
          <t>01a1212c-73df-70e5-aecf-c4aef82e6f2a</t>
        </is>
      </c>
      <c r="D136" s="5" t="inlineStr">
        <is>
          <t>01a1212c-4b57-70cf-80fd-c2192cb3bf81</t>
        </is>
      </c>
      <c r="E136" s="4" t="n">
        <v>46304.62411814469</v>
      </c>
      <c r="F136" s="4" t="n">
        <v>46304.62411814477</v>
      </c>
      <c r="G136" t="b">
        <v>1</v>
      </c>
      <c r="H136" s="3" t="inlineStr">
        <is>
          <t>This parcel was created from trade 2020-07-28 | Buy | AAPL | 1.0000 unit @ $373.01 / unit</t>
        </is>
      </c>
      <c r="I136" t="inlineStr">
        <is>
          <t>parcel</t>
        </is>
      </c>
      <c r="J136" s="5" t="inlineStr">
        <is>
          <t>01a1212c-73dc-7776-bb86-5aa639647d91</t>
        </is>
      </c>
    </row>
    <row r="137">
      <c r="A137" s="5" t="inlineStr">
        <is>
          <t>01a1212c-73f5-70bf-bfe9-130aec0e3068</t>
        </is>
      </c>
      <c r="D137" s="5" t="inlineStr">
        <is>
          <t>01a1212c-4b57-70cf-80fd-c2192cb3bf81</t>
        </is>
      </c>
      <c r="E137" s="4" t="n">
        <v>46304.62411839692</v>
      </c>
      <c r="F137" s="4" t="n">
        <v>46304.62411839701</v>
      </c>
      <c r="G137" t="b">
        <v>1</v>
      </c>
      <c r="H137" s="3" t="inlineStr">
        <is>
          <t>This parcel was created from trade 2020-08-03 | Buy | A200 | 6.0000 unit @ A$99.07 / unit</t>
        </is>
      </c>
      <c r="I137" t="inlineStr">
        <is>
          <t>parcel</t>
        </is>
      </c>
      <c r="J137" s="5" t="inlineStr">
        <is>
          <t>01a1212c-73f1-7653-991a-7a458d0c9e1e</t>
        </is>
      </c>
    </row>
    <row r="138">
      <c r="A138" s="5" t="inlineStr">
        <is>
          <t>01a1212c-7409-7101-b48b-a0047cd72085</t>
        </is>
      </c>
      <c r="D138" s="5" t="inlineStr">
        <is>
          <t>01a1212c-4b57-70cf-80fd-c2192cb3bf81</t>
        </is>
      </c>
      <c r="E138" s="4" t="n">
        <v>46304.62411863526</v>
      </c>
      <c r="F138" s="4" t="n">
        <v>46304.62411863534</v>
      </c>
      <c r="G138" t="b">
        <v>1</v>
      </c>
      <c r="H138" s="3" t="inlineStr">
        <is>
          <t>This parcel was created from trade 2020-08-03 | Buy | VGS | 10.0000 unit @ A$77.71 / unit</t>
        </is>
      </c>
      <c r="I138" t="inlineStr">
        <is>
          <t>parcel</t>
        </is>
      </c>
      <c r="J138" s="5" t="inlineStr">
        <is>
          <t>01a1212c-7406-7791-9482-a05d6cc76c10</t>
        </is>
      </c>
    </row>
    <row r="139">
      <c r="A139" s="5" t="inlineStr">
        <is>
          <t>01a1212c-741f-7414-941b-9e341924f3f6</t>
        </is>
      </c>
      <c r="D139" s="5" t="inlineStr">
        <is>
          <t>01a1212c-4b57-70cf-80fd-c2192cb3bf81</t>
        </is>
      </c>
      <c r="E139" s="4" t="n">
        <v>46304.62411888898</v>
      </c>
      <c r="F139" s="4" t="n">
        <v>46304.62411888907</v>
      </c>
      <c r="G139" t="b">
        <v>1</v>
      </c>
      <c r="H139" s="3" t="inlineStr">
        <is>
          <t>This parcel was created from trade 2020-09-07 | Buy | A200 | 15.0000 unit @ A$99.95 / unit</t>
        </is>
      </c>
      <c r="I139" t="inlineStr">
        <is>
          <t>parcel</t>
        </is>
      </c>
      <c r="J139" s="5" t="inlineStr">
        <is>
          <t>01a1212c-741c-732e-b238-83e9eab5ef79</t>
        </is>
      </c>
    </row>
    <row r="140">
      <c r="A140" s="5" t="inlineStr">
        <is>
          <t>01a1212c-7435-76d4-85d8-48e680176f74</t>
        </is>
      </c>
      <c r="D140" s="5" t="inlineStr">
        <is>
          <t>01a1212c-4b57-70cf-80fd-c2192cb3bf81</t>
        </is>
      </c>
      <c r="E140" s="4" t="n">
        <v>46304.62411913709</v>
      </c>
      <c r="F140" s="4" t="n">
        <v>46304.62411913717</v>
      </c>
      <c r="G140" t="b">
        <v>1</v>
      </c>
      <c r="H140" s="3" t="inlineStr">
        <is>
          <t>This parcel was created from trade 2020-09-07 | Buy | VGS | 23.0000 unit @ A$79.28 / unit</t>
        </is>
      </c>
      <c r="I140" t="inlineStr">
        <is>
          <t>parcel</t>
        </is>
      </c>
      <c r="J140" s="5" t="inlineStr">
        <is>
          <t>01a1212c-7431-7269-8782-d6ec933249b5</t>
        </is>
      </c>
    </row>
    <row r="141">
      <c r="A141" s="5" t="inlineStr">
        <is>
          <t>01a1212c-744e-705e-bfed-482282bbef31</t>
        </is>
      </c>
      <c r="D141" s="5" t="inlineStr">
        <is>
          <t>01a1212c-4b57-70cf-80fd-c2192cb3bf81</t>
        </is>
      </c>
      <c r="E141" s="4" t="n">
        <v>46304.62411942287</v>
      </c>
      <c r="F141" s="4" t="n">
        <v>46304.62411942299</v>
      </c>
      <c r="G141" t="b">
        <v>1</v>
      </c>
      <c r="H141" s="3" t="inlineStr">
        <is>
          <t>This parcel was created from trade 2020-09-09 | Buy | AMZN | 1.0000 unit @ $3,268.61 / unit</t>
        </is>
      </c>
      <c r="I141" t="inlineStr">
        <is>
          <t>parcel</t>
        </is>
      </c>
      <c r="J141" s="5" t="inlineStr">
        <is>
          <t>01a1212c-7449-7178-9abe-7dae925a4d57</t>
        </is>
      </c>
    </row>
    <row r="142">
      <c r="A142" s="5" t="inlineStr">
        <is>
          <t>01a1212c-7465-750e-af2a-feaf0b35c1a6</t>
        </is>
      </c>
      <c r="D142" s="5" t="inlineStr">
        <is>
          <t>01a1212c-4b57-70cf-80fd-c2192cb3bf81</t>
        </is>
      </c>
      <c r="E142" s="4" t="n">
        <v>46304.62411969651</v>
      </c>
      <c r="F142" s="4" t="n">
        <v>46304.62411969661</v>
      </c>
      <c r="G142" t="b">
        <v>1</v>
      </c>
      <c r="H142" s="3" t="inlineStr">
        <is>
          <t>This parcel was created from trade 2020-10-05 | Buy | A200 | 14.0000 unit @ A$99.53 / unit</t>
        </is>
      </c>
      <c r="I142" t="inlineStr">
        <is>
          <t>parcel</t>
        </is>
      </c>
      <c r="J142" s="5" t="inlineStr">
        <is>
          <t>01a1212c-7461-718b-a08a-ae58aa67a4dc</t>
        </is>
      </c>
    </row>
    <row r="143">
      <c r="A143" s="5" t="inlineStr">
        <is>
          <t>01a1212c-747d-7001-a510-2e48b371a132</t>
        </is>
      </c>
      <c r="D143" s="5" t="inlineStr">
        <is>
          <t>01a1212c-4b57-70cf-80fd-c2192cb3bf81</t>
        </is>
      </c>
      <c r="E143" s="4" t="n">
        <v>46304.62411996732</v>
      </c>
      <c r="F143" s="4" t="n">
        <v>46304.6241199674</v>
      </c>
      <c r="G143" t="b">
        <v>1</v>
      </c>
      <c r="H143" s="3" t="inlineStr">
        <is>
          <t>This parcel was created from trade 2020-10-05 | Buy | VGS | 22.0000 unit @ A$79.66 / unit</t>
        </is>
      </c>
      <c r="I143" t="inlineStr">
        <is>
          <t>parcel</t>
        </is>
      </c>
      <c r="J143" s="5" t="inlineStr">
        <is>
          <t>01a1212c-7479-730c-8151-93b8e93442c2</t>
        </is>
      </c>
    </row>
    <row r="144">
      <c r="A144" s="5" t="inlineStr">
        <is>
          <t>01a1212c-7493-72ae-acd0-321f3e55eaa9</t>
        </is>
      </c>
      <c r="D144" s="5" t="inlineStr">
        <is>
          <t>01a1212c-4b57-70cf-80fd-c2192cb3bf81</t>
        </is>
      </c>
      <c r="E144" s="4" t="n">
        <v>46304.62412023023</v>
      </c>
      <c r="F144" s="4" t="n">
        <v>46304.62412023031</v>
      </c>
      <c r="G144" t="b">
        <v>1</v>
      </c>
      <c r="H144" s="3" t="inlineStr">
        <is>
          <t>This parcel was created from trade 2020-10-12 | Buy | AAPL | 6.0000 unit @ $124.40 / unit</t>
        </is>
      </c>
      <c r="I144" t="inlineStr">
        <is>
          <t>parcel</t>
        </is>
      </c>
      <c r="J144" s="5" t="inlineStr">
        <is>
          <t>01a1212c-7490-71c0-8cbe-44d79f82b96c</t>
        </is>
      </c>
    </row>
    <row r="145">
      <c r="A145" s="5" t="inlineStr">
        <is>
          <t>01a1212c-74a9-77c9-bc56-b4088aafd393</t>
        </is>
      </c>
      <c r="D145" s="5" t="inlineStr">
        <is>
          <t>01a1212c-4b57-70cf-80fd-c2192cb3bf81</t>
        </is>
      </c>
      <c r="E145" s="4" t="n">
        <v>46304.62412048638</v>
      </c>
      <c r="F145" s="4" t="n">
        <v>46304.62412048646</v>
      </c>
      <c r="G145" t="b">
        <v>1</v>
      </c>
      <c r="H145" s="3" t="inlineStr">
        <is>
          <t>This parcel was created from trade 2020-11-06 | Buy | A200 | 8.0000 unit @ A$103.72 / unit</t>
        </is>
      </c>
      <c r="I145" t="inlineStr">
        <is>
          <t>parcel</t>
        </is>
      </c>
      <c r="J145" s="5" t="inlineStr">
        <is>
          <t>01a1212c-74a5-7646-bf4b-157c0a1a7665</t>
        </is>
      </c>
    </row>
    <row r="146">
      <c r="A146" s="5" t="inlineStr">
        <is>
          <t>01a1212c-74be-7068-bacf-e8ef860e999d</t>
        </is>
      </c>
      <c r="D146" s="5" t="inlineStr">
        <is>
          <t>01a1212c-4b57-70cf-80fd-c2192cb3bf81</t>
        </is>
      </c>
      <c r="E146" s="4" t="n">
        <v>46304.62412072886</v>
      </c>
      <c r="F146" s="4" t="n">
        <v>46304.62412072895</v>
      </c>
      <c r="G146" t="b">
        <v>1</v>
      </c>
      <c r="H146" s="3" t="inlineStr">
        <is>
          <t>This parcel was created from trade 2020-11-06 | Buy | VGS | 13.0000 unit @ A$81.22 / unit</t>
        </is>
      </c>
      <c r="I146" t="inlineStr">
        <is>
          <t>parcel</t>
        </is>
      </c>
      <c r="J146" s="5" t="inlineStr">
        <is>
          <t>01a1212c-74bb-70c4-8e52-54a02ff26207</t>
        </is>
      </c>
    </row>
    <row r="147">
      <c r="A147" s="5" t="inlineStr">
        <is>
          <t>01a1212c-74d3-73a8-9ae5-f23cf225c82d</t>
        </is>
      </c>
      <c r="D147" s="5" t="inlineStr">
        <is>
          <t>01a1212c-4b57-70cf-80fd-c2192cb3bf81</t>
        </is>
      </c>
      <c r="E147" s="4" t="n">
        <v>46304.62412096962</v>
      </c>
      <c r="F147" s="4" t="n">
        <v>46304.6241209697</v>
      </c>
      <c r="G147" t="b">
        <v>1</v>
      </c>
      <c r="H147" s="3" t="inlineStr">
        <is>
          <t>This parcel was created from trade 2020-12-07 | Buy | A200 | 13.0000 unit @ A$112.11 / unit</t>
        </is>
      </c>
      <c r="I147" t="inlineStr">
        <is>
          <t>parcel</t>
        </is>
      </c>
      <c r="J147" s="5" t="inlineStr">
        <is>
          <t>01a1212c-74d0-7378-b4d7-9789d59f4dc6</t>
        </is>
      </c>
    </row>
    <row r="148">
      <c r="A148" s="5" t="inlineStr">
        <is>
          <t>01a1212c-74e9-718f-bf3c-274c33597dd4</t>
        </is>
      </c>
      <c r="D148" s="5" t="inlineStr">
        <is>
          <t>01a1212c-4b57-70cf-80fd-c2192cb3bf81</t>
        </is>
      </c>
      <c r="E148" s="4" t="n">
        <v>46304.62412122083</v>
      </c>
      <c r="F148" s="4" t="n">
        <v>46304.62412122093</v>
      </c>
      <c r="G148" t="b">
        <v>1</v>
      </c>
      <c r="H148" s="3" t="inlineStr">
        <is>
          <t>This parcel was created from trade 2020-12-07 | Buy | VGS | 22.0000 unit @ A$85.37 / unit</t>
        </is>
      </c>
      <c r="I148" t="inlineStr">
        <is>
          <t>parcel</t>
        </is>
      </c>
      <c r="J148" s="5" t="inlineStr">
        <is>
          <t>01a1212c-74e5-7395-a1a4-2bc2487a534d</t>
        </is>
      </c>
    </row>
    <row r="149">
      <c r="A149" s="5" t="inlineStr">
        <is>
          <t>01a1212c-7502-7250-8ef8-7243446ee334</t>
        </is>
      </c>
      <c r="D149" s="5" t="inlineStr">
        <is>
          <t>01a1212c-4b57-70cf-80fd-c2192cb3bf81</t>
        </is>
      </c>
      <c r="E149" s="4" t="n">
        <v>46304.62412151436</v>
      </c>
      <c r="F149" s="4" t="n">
        <v>46304.62412151445</v>
      </c>
      <c r="G149" t="b">
        <v>1</v>
      </c>
      <c r="H149" s="3" t="inlineStr">
        <is>
          <t>This parcel was created from trade 2021-01-04 | Buy | A200 | 9.0000 unit @ A$111.66 / unit</t>
        </is>
      </c>
      <c r="I149" t="inlineStr">
        <is>
          <t>parcel</t>
        </is>
      </c>
      <c r="J149" s="5" t="inlineStr">
        <is>
          <t>01a1212c-74ff-71e8-bddf-7c46f57ce7fb</t>
        </is>
      </c>
    </row>
    <row r="150">
      <c r="A150" s="5" t="inlineStr">
        <is>
          <t>01a1212c-7518-75a4-a7b5-b33c5803ff55</t>
        </is>
      </c>
      <c r="D150" s="5" t="inlineStr">
        <is>
          <t>01a1212c-4b57-70cf-80fd-c2192cb3bf81</t>
        </is>
      </c>
      <c r="E150" s="4" t="n">
        <v>46304.62412176849</v>
      </c>
      <c r="F150" s="4" t="n">
        <v>46304.62412176857</v>
      </c>
      <c r="G150" t="b">
        <v>1</v>
      </c>
      <c r="H150" s="3" t="inlineStr">
        <is>
          <t>This parcel was created from trade 2021-01-04 | Buy | VGS | 15.0000 unit @ A$83.83 / unit</t>
        </is>
      </c>
      <c r="I150" t="inlineStr">
        <is>
          <t>parcel</t>
        </is>
      </c>
      <c r="J150" s="5" t="inlineStr">
        <is>
          <t>01a1212c-7515-75a9-bea4-d4a41e7286ba</t>
        </is>
      </c>
    </row>
    <row r="151">
      <c r="A151" s="5" t="inlineStr">
        <is>
          <t>01a1212c-752d-74d6-9dd4-0e630b7b8508</t>
        </is>
      </c>
      <c r="D151" s="5" t="inlineStr">
        <is>
          <t>01a1212c-4b57-70cf-80fd-c2192cb3bf81</t>
        </is>
      </c>
      <c r="E151" s="4" t="n">
        <v>46304.62412200979</v>
      </c>
      <c r="F151" s="4" t="n">
        <v>46304.62412200987</v>
      </c>
      <c r="G151" t="b">
        <v>1</v>
      </c>
      <c r="H151" s="3" t="inlineStr">
        <is>
          <t>This parcel was created from trade 2021-02-03 | Buy | A200 | 13.0000 unit @ A$114.51 / unit</t>
        </is>
      </c>
      <c r="I151" t="inlineStr">
        <is>
          <t>parcel</t>
        </is>
      </c>
      <c r="J151" s="5" t="inlineStr">
        <is>
          <t>01a1212c-752a-73d9-a17f-d259f6529c46</t>
        </is>
      </c>
    </row>
    <row r="152">
      <c r="A152" s="5" t="inlineStr">
        <is>
          <t>01a1212c-7542-709e-b387-c0ffd399c24c</t>
        </is>
      </c>
      <c r="D152" s="5" t="inlineStr">
        <is>
          <t>01a1212c-4b57-70cf-80fd-c2192cb3bf81</t>
        </is>
      </c>
      <c r="E152" s="4" t="n">
        <v>46304.6241222552</v>
      </c>
      <c r="F152" s="4" t="n">
        <v>46304.62412225526</v>
      </c>
      <c r="G152" t="b">
        <v>1</v>
      </c>
      <c r="H152" s="3" t="inlineStr">
        <is>
          <t>This parcel was created from trade 2021-02-03 | Buy | VGS | 21.0000 unit @ A$86.47 / unit</t>
        </is>
      </c>
      <c r="I152" t="inlineStr">
        <is>
          <t>parcel</t>
        </is>
      </c>
      <c r="J152" s="5" t="inlineStr">
        <is>
          <t>01a1212c-753f-736c-986a-a53b3d31334e</t>
        </is>
      </c>
    </row>
    <row r="153">
      <c r="A153" s="5" t="inlineStr">
        <is>
          <t>01a1212c-7558-779e-a1c0-e2f35b7549ae</t>
        </is>
      </c>
      <c r="D153" s="5" t="inlineStr">
        <is>
          <t>01a1212c-4b57-70cf-80fd-c2192cb3bf81</t>
        </is>
      </c>
      <c r="E153" s="4" t="n">
        <v>46304.62412250297</v>
      </c>
      <c r="F153" s="4" t="n">
        <v>46304.62412250303</v>
      </c>
      <c r="G153" t="b">
        <v>1</v>
      </c>
      <c r="H153" s="3" t="inlineStr">
        <is>
          <t>This parcel was created from trade 2021-02-16 | Buy | CBA | 7.0000 unit @ A$85.91 / unit</t>
        </is>
      </c>
      <c r="I153" t="inlineStr">
        <is>
          <t>parcel</t>
        </is>
      </c>
      <c r="J153" s="5" t="inlineStr">
        <is>
          <t>01a1212c-7554-72e9-a3a3-273fc454634d</t>
        </is>
      </c>
    </row>
    <row r="154">
      <c r="A154" s="5" t="inlineStr">
        <is>
          <t>01a1212c-756c-77d1-9888-8a107d4c0fb4</t>
        </is>
      </c>
      <c r="D154" s="5" t="inlineStr">
        <is>
          <t>01a1212c-4b57-70cf-80fd-c2192cb3bf81</t>
        </is>
      </c>
      <c r="E154" s="4" t="n">
        <v>46304.62412273519</v>
      </c>
      <c r="F154" s="4" t="n">
        <v>46304.62412273525</v>
      </c>
      <c r="G154" t="b">
        <v>1</v>
      </c>
      <c r="H154" s="3" t="inlineStr">
        <is>
          <t>This parcel was created from trade 2021-03-04 | Buy | A200 | 10.0000 unit @ A$113.99 / unit</t>
        </is>
      </c>
      <c r="I154" t="inlineStr">
        <is>
          <t>parcel</t>
        </is>
      </c>
      <c r="J154" s="5" t="inlineStr">
        <is>
          <t>01a1212c-7568-7011-9b33-32dc2471f741</t>
        </is>
      </c>
    </row>
    <row r="155">
      <c r="A155" s="5" t="inlineStr">
        <is>
          <t>01a1212c-7582-74dd-8899-a3c6a3adda7e</t>
        </is>
      </c>
      <c r="D155" s="5" t="inlineStr">
        <is>
          <t>01a1212c-4b57-70cf-80fd-c2192cb3bf81</t>
        </is>
      </c>
      <c r="E155" s="4" t="n">
        <v>46304.62412299751</v>
      </c>
      <c r="F155" s="4" t="n">
        <v>46304.62412299761</v>
      </c>
      <c r="G155" t="b">
        <v>1</v>
      </c>
      <c r="H155" s="3" t="inlineStr">
        <is>
          <t>This parcel was created from trade 2021-03-04 | Buy | VGS | 16.0000 unit @ A$83.81 / unit</t>
        </is>
      </c>
      <c r="I155" t="inlineStr">
        <is>
          <t>parcel</t>
        </is>
      </c>
      <c r="J155" s="5" t="inlineStr">
        <is>
          <t>01a1212c-757f-767f-8272-690dfe1bbf2a</t>
        </is>
      </c>
    </row>
    <row r="156">
      <c r="A156" s="5" t="inlineStr">
        <is>
          <t>01a1212c-7598-74ea-a88e-d7d5ade12361</t>
        </is>
      </c>
      <c r="D156" s="5" t="inlineStr">
        <is>
          <t>01a1212c-4b57-70cf-80fd-c2192cb3bf81</t>
        </is>
      </c>
      <c r="E156" s="4" t="n">
        <v>46304.62412325291</v>
      </c>
      <c r="F156" s="4" t="n">
        <v>46304.624123253</v>
      </c>
      <c r="G156" t="b">
        <v>1</v>
      </c>
      <c r="H156" s="3" t="inlineStr">
        <is>
          <t>This parcel was created from trade 2021-04-06 | Buy | A200 | 9.0000 unit @ A$116.00 / unit</t>
        </is>
      </c>
      <c r="I156" t="inlineStr">
        <is>
          <t>parcel</t>
        </is>
      </c>
      <c r="J156" s="5" t="inlineStr">
        <is>
          <t>01a1212c-7595-7792-8e63-1f39b92bd8b3</t>
        </is>
      </c>
    </row>
    <row r="157">
      <c r="A157" s="5" t="inlineStr">
        <is>
          <t>01a1212c-75ae-778d-a0b5-086517df7c4d</t>
        </is>
      </c>
      <c r="D157" s="5" t="inlineStr">
        <is>
          <t>01a1212c-4b57-70cf-80fd-c2192cb3bf81</t>
        </is>
      </c>
      <c r="E157" s="4" t="n">
        <v>46304.62412349709</v>
      </c>
      <c r="F157" s="4" t="n">
        <v>46304.62412349717</v>
      </c>
      <c r="G157" t="b">
        <v>1</v>
      </c>
      <c r="H157" s="3" t="inlineStr">
        <is>
          <t>This parcel was created from trade 2021-04-06 | Buy | VGS | 15.0000 unit @ A$90.07 / unit</t>
        </is>
      </c>
      <c r="I157" t="inlineStr">
        <is>
          <t>parcel</t>
        </is>
      </c>
      <c r="J157" s="5" t="inlineStr">
        <is>
          <t>01a1212c-75aa-735b-b4ee-0e53e375e6f4</t>
        </is>
      </c>
    </row>
    <row r="158">
      <c r="A158" s="5" t="inlineStr">
        <is>
          <t>01a1212c-75c4-735e-b78a-08911d100ae0</t>
        </is>
      </c>
      <c r="D158" s="5" t="inlineStr">
        <is>
          <t>01a1212c-4b57-70cf-80fd-c2192cb3bf81</t>
        </is>
      </c>
      <c r="E158" s="4" t="n">
        <v>46304.6241237606</v>
      </c>
      <c r="F158" s="4" t="n">
        <v>46304.62412376068</v>
      </c>
      <c r="G158" t="b">
        <v>1</v>
      </c>
      <c r="H158" s="3" t="inlineStr">
        <is>
          <t>This parcel was created from trade 2021-04-26 | Buy | MSFT | 3.0000 unit @ $261.55 / unit</t>
        </is>
      </c>
      <c r="I158" t="inlineStr">
        <is>
          <t>parcel</t>
        </is>
      </c>
      <c r="J158" s="5" t="inlineStr">
        <is>
          <t>01a1212c-75c1-742a-8398-7e18f922e19c</t>
        </is>
      </c>
    </row>
    <row r="159">
      <c r="A159" s="5" t="inlineStr">
        <is>
          <t>01a1212c-75da-74a8-96b1-eb5574528eea</t>
        </is>
      </c>
      <c r="D159" s="5" t="inlineStr">
        <is>
          <t>01a1212c-4b57-70cf-80fd-c2192cb3bf81</t>
        </is>
      </c>
      <c r="E159" s="4" t="n">
        <v>46304.62412401149</v>
      </c>
      <c r="F159" s="4" t="n">
        <v>46304.62412401157</v>
      </c>
      <c r="G159" t="b">
        <v>1</v>
      </c>
      <c r="H159" s="3" t="inlineStr">
        <is>
          <t>This parcel was created from trade 2021-05-03 | Buy | A200 | 13.0000 unit @ A$118.52 / unit</t>
        </is>
      </c>
      <c r="I159" t="inlineStr">
        <is>
          <t>parcel</t>
        </is>
      </c>
      <c r="J159" s="5" t="inlineStr">
        <is>
          <t>01a1212c-75d7-729a-8044-f297ce4ce9a3</t>
        </is>
      </c>
    </row>
    <row r="160">
      <c r="A160" s="5" t="inlineStr">
        <is>
          <t>01a1212c-75ef-7141-8bd7-24ec7d82206b</t>
        </is>
      </c>
      <c r="D160" s="5" t="inlineStr">
        <is>
          <t>01a1212c-4b57-70cf-80fd-c2192cb3bf81</t>
        </is>
      </c>
      <c r="E160" s="4" t="n">
        <v>46304.62412425833</v>
      </c>
      <c r="F160" s="4" t="n">
        <v>46304.6241242584</v>
      </c>
      <c r="G160" t="b">
        <v>1</v>
      </c>
      <c r="H160" s="3" t="inlineStr">
        <is>
          <t>This parcel was created from trade 2021-05-03 | Buy | VGS | 21.0000 unit @ A$91.69 / unit</t>
        </is>
      </c>
      <c r="I160" t="inlineStr">
        <is>
          <t>parcel</t>
        </is>
      </c>
      <c r="J160" s="5" t="inlineStr">
        <is>
          <t>01a1212c-75ec-7606-87d2-d682d2730242</t>
        </is>
      </c>
    </row>
    <row r="161">
      <c r="A161" s="5" t="inlineStr">
        <is>
          <t>01a1212c-7606-76fd-8620-d134c4a3bef0</t>
        </is>
      </c>
      <c r="D161" s="5" t="inlineStr">
        <is>
          <t>01a1212c-4b57-70cf-80fd-c2192cb3bf81</t>
        </is>
      </c>
      <c r="E161" s="4" t="n">
        <v>46304.62412452012</v>
      </c>
      <c r="F161" s="4" t="n">
        <v>46304.6241245202</v>
      </c>
      <c r="G161" t="b">
        <v>1</v>
      </c>
      <c r="H161" s="3" t="inlineStr">
        <is>
          <t>This parcel was created from trade 2021-05-19 | Buy | AMZN | 1.0000 unit @ $3,231.80 / unit</t>
        </is>
      </c>
      <c r="I161" t="inlineStr">
        <is>
          <t>parcel</t>
        </is>
      </c>
      <c r="J161" s="5" t="inlineStr">
        <is>
          <t>01a1212c-7602-762d-a695-8bacc5cebbca</t>
        </is>
      </c>
    </row>
    <row r="162">
      <c r="A162" s="5" t="inlineStr">
        <is>
          <t>01a1212c-761d-7531-a366-cd3bd30f1704</t>
        </is>
      </c>
      <c r="D162" s="5" t="inlineStr">
        <is>
          <t>01a1212c-4b57-70cf-80fd-c2192cb3bf81</t>
        </is>
      </c>
      <c r="E162" s="4" t="n">
        <v>46304.62412478791</v>
      </c>
      <c r="F162" s="4" t="n">
        <v>46304.62412478797</v>
      </c>
      <c r="G162" t="b">
        <v>1</v>
      </c>
      <c r="H162" s="3" t="inlineStr">
        <is>
          <t>This parcel was created from trade 2021-06-02 | Buy | A200 | 5.0000 unit @ A$122.30 / unit</t>
        </is>
      </c>
      <c r="I162" t="inlineStr">
        <is>
          <t>parcel</t>
        </is>
      </c>
      <c r="J162" s="5" t="inlineStr">
        <is>
          <t>01a1212c-7619-710a-ac50-f0a300913659</t>
        </is>
      </c>
    </row>
    <row r="163">
      <c r="A163" s="5" t="inlineStr">
        <is>
          <t>01a1212c-7632-7244-a235-f00f0adf913b</t>
        </is>
      </c>
      <c r="D163" s="5" t="inlineStr">
        <is>
          <t>01a1212c-4b57-70cf-80fd-c2192cb3bf81</t>
        </is>
      </c>
      <c r="E163" s="4" t="n">
        <v>46304.62412503516</v>
      </c>
      <c r="F163" s="4" t="n">
        <v>46304.62412503523</v>
      </c>
      <c r="G163" t="b">
        <v>1</v>
      </c>
      <c r="H163" s="3" t="inlineStr">
        <is>
          <t>This parcel was created from trade 2021-06-02 | Buy | VGS | 9.0000 unit @ A$92.70 / unit</t>
        </is>
      </c>
      <c r="I163" t="inlineStr">
        <is>
          <t>parcel</t>
        </is>
      </c>
      <c r="J163" s="5" t="inlineStr">
        <is>
          <t>01a1212c-762f-7733-8b01-f44cad85b151</t>
        </is>
      </c>
    </row>
    <row r="164">
      <c r="A164" s="5" t="inlineStr">
        <is>
          <t>01a1212c-7648-76f3-909b-d2f0981454f5</t>
        </is>
      </c>
      <c r="D164" s="5" t="inlineStr">
        <is>
          <t>01a1212c-4b57-70cf-80fd-c2192cb3bf81</t>
        </is>
      </c>
      <c r="E164" s="4" t="n">
        <v>46304.62412528756</v>
      </c>
      <c r="F164" s="4" t="n">
        <v>46304.62412528764</v>
      </c>
      <c r="G164" t="b">
        <v>1</v>
      </c>
      <c r="H164" s="3" t="inlineStr">
        <is>
          <t>This parcel was created from trade 2021-07-05 | Buy | A200 | 13.0000 unit @ A$123.43 / unit</t>
        </is>
      </c>
      <c r="I164" t="inlineStr">
        <is>
          <t>parcel</t>
        </is>
      </c>
      <c r="J164" s="5" t="inlineStr">
        <is>
          <t>01a1212c-7645-77ff-9286-d1f48bd9680e</t>
        </is>
      </c>
    </row>
    <row r="165">
      <c r="A165" s="5" t="inlineStr">
        <is>
          <t>01a1212c-765e-71a0-a64b-d82f842ce3a0</t>
        </is>
      </c>
      <c r="D165" s="5" t="inlineStr">
        <is>
          <t>01a1212c-4b57-70cf-80fd-c2192cb3bf81</t>
        </is>
      </c>
      <c r="E165" s="4" t="n">
        <v>46304.62412554173</v>
      </c>
      <c r="F165" s="4" t="n">
        <v>46304.62412554181</v>
      </c>
      <c r="G165" t="b">
        <v>1</v>
      </c>
      <c r="H165" s="3" t="inlineStr">
        <is>
          <t>This parcel was created from trade 2021-07-05 | Buy | VGS | 21.0000 unit @ A$96.85 / unit</t>
        </is>
      </c>
      <c r="I165" t="inlineStr">
        <is>
          <t>parcel</t>
        </is>
      </c>
      <c r="J165" s="5" t="inlineStr">
        <is>
          <t>01a1212c-765b-777c-ab2d-721a20593158</t>
        </is>
      </c>
    </row>
    <row r="166">
      <c r="A166" s="5" t="inlineStr">
        <is>
          <t>01a1212c-7674-770c-943e-ffd2c2eb4f5c</t>
        </is>
      </c>
      <c r="D166" s="5" t="inlineStr">
        <is>
          <t>01a1212c-4b57-70cf-80fd-c2192cb3bf81</t>
        </is>
      </c>
      <c r="E166" s="4" t="n">
        <v>46304.62412579961</v>
      </c>
      <c r="F166" s="4" t="n">
        <v>46304.62412579967</v>
      </c>
      <c r="G166" t="b">
        <v>1</v>
      </c>
      <c r="H166" s="3" t="inlineStr">
        <is>
          <t>This parcel was created from trade 2021-07-19 | Buy | AMZN | 1.0000 unit @ $3,549.59 / unit</t>
        </is>
      </c>
      <c r="I166" t="inlineStr">
        <is>
          <t>parcel</t>
        </is>
      </c>
      <c r="J166" s="5" t="inlineStr">
        <is>
          <t>01a1212c-7671-767d-96fc-2f49859fdb63</t>
        </is>
      </c>
    </row>
    <row r="167">
      <c r="A167" s="5" t="inlineStr">
        <is>
          <t>01a1212c-768a-73ea-8550-b68389a9bc80</t>
        </is>
      </c>
      <c r="D167" s="5" t="inlineStr">
        <is>
          <t>01a1212c-4b57-70cf-80fd-c2192cb3bf81</t>
        </is>
      </c>
      <c r="E167" s="4" t="n">
        <v>46304.62412605074</v>
      </c>
      <c r="F167" s="4" t="n">
        <v>46304.62412605082</v>
      </c>
      <c r="G167" t="b">
        <v>1</v>
      </c>
      <c r="H167" s="3" t="inlineStr">
        <is>
          <t>This parcel was created from trade 2021-08-02 | Buy | A200 | 9.0000 unit @ A$126.50 / unit</t>
        </is>
      </c>
      <c r="I167" t="inlineStr">
        <is>
          <t>parcel</t>
        </is>
      </c>
      <c r="J167" s="5" t="inlineStr">
        <is>
          <t>01a1212c-7687-729c-958e-594416954bfb</t>
        </is>
      </c>
    </row>
    <row r="168">
      <c r="A168" s="5" t="inlineStr">
        <is>
          <t>01a1212c-769f-7051-bdb3-e62980eefe51</t>
        </is>
      </c>
      <c r="D168" s="5" t="inlineStr">
        <is>
          <t>01a1212c-4b57-70cf-80fd-c2192cb3bf81</t>
        </is>
      </c>
      <c r="E168" s="4" t="n">
        <v>46304.62412629327</v>
      </c>
      <c r="F168" s="4" t="n">
        <v>46304.62412629335</v>
      </c>
      <c r="G168" t="b">
        <v>1</v>
      </c>
      <c r="H168" s="3" t="inlineStr">
        <is>
          <t>This parcel was created from trade 2021-08-02 | Buy | VGS | 14.0000 unit @ A$100.68 / unit</t>
        </is>
      </c>
      <c r="I168" t="inlineStr">
        <is>
          <t>parcel</t>
        </is>
      </c>
      <c r="J168" s="5" t="inlineStr">
        <is>
          <t>01a1212c-769c-724d-bdf2-5a3b65015030</t>
        </is>
      </c>
    </row>
    <row r="169">
      <c r="A169" s="5" t="inlineStr">
        <is>
          <t>01a1212c-76b5-75d4-afeb-1955e12e46bb</t>
        </is>
      </c>
      <c r="D169" s="5" t="inlineStr">
        <is>
          <t>01a1212c-4b57-70cf-80fd-c2192cb3bf81</t>
        </is>
      </c>
      <c r="E169" s="4" t="n">
        <v>46304.62412655039</v>
      </c>
      <c r="F169" s="4" t="n">
        <v>46304.62412655047</v>
      </c>
      <c r="G169" t="b">
        <v>1</v>
      </c>
      <c r="H169" s="3" t="inlineStr">
        <is>
          <t>This parcel was created from trade 2021-09-06 | Buy | A200 | 9.0000 unit @ A$128.64 / unit</t>
        </is>
      </c>
      <c r="I169" t="inlineStr">
        <is>
          <t>parcel</t>
        </is>
      </c>
      <c r="J169" s="5" t="inlineStr">
        <is>
          <t>01a1212c-76b2-7110-9f65-8f1a317730a7</t>
        </is>
      </c>
    </row>
    <row r="170">
      <c r="A170" s="5" t="inlineStr">
        <is>
          <t>01a1212c-76cb-755e-9a7c-a192eaa9592a</t>
        </is>
      </c>
      <c r="D170" s="5" t="inlineStr">
        <is>
          <t>01a1212c-4b57-70cf-80fd-c2192cb3bf81</t>
        </is>
      </c>
      <c r="E170" s="4" t="n">
        <v>46304.62412680239</v>
      </c>
      <c r="F170" s="4" t="n">
        <v>46304.62412680245</v>
      </c>
      <c r="G170" t="b">
        <v>1</v>
      </c>
      <c r="H170" s="3" t="inlineStr">
        <is>
          <t>This parcel was created from trade 2021-09-06 | Buy | VGS | 14.0000 unit @ A$102.20 / unit</t>
        </is>
      </c>
      <c r="I170" t="inlineStr">
        <is>
          <t>parcel</t>
        </is>
      </c>
      <c r="J170" s="5" t="inlineStr">
        <is>
          <t>01a1212c-76c8-72fb-848d-f490971720af</t>
        </is>
      </c>
    </row>
    <row r="171">
      <c r="A171" s="5" t="inlineStr">
        <is>
          <t>01a1212c-76e0-756c-b4fd-5a4184171770</t>
        </is>
      </c>
      <c r="D171" s="5" t="inlineStr">
        <is>
          <t>01a1212c-4b57-70cf-80fd-c2192cb3bf81</t>
        </is>
      </c>
      <c r="E171" s="4" t="n">
        <v>46304.62412704516</v>
      </c>
      <c r="F171" s="4" t="n">
        <v>46304.62412704523</v>
      </c>
      <c r="G171" t="b">
        <v>1</v>
      </c>
      <c r="H171" s="3" t="inlineStr">
        <is>
          <t>This parcel was created from trade 2021-10-05 | Buy | A200 | 13.0000 unit @ A$122.28 / unit</t>
        </is>
      </c>
      <c r="I171" t="inlineStr">
        <is>
          <t>parcel</t>
        </is>
      </c>
      <c r="J171" s="5" t="inlineStr">
        <is>
          <t>01a1212c-76dd-74f8-b495-e2012fee9273</t>
        </is>
      </c>
    </row>
    <row r="172">
      <c r="A172" s="5" t="inlineStr">
        <is>
          <t>01a1212c-76f7-729c-a06c-be8881e37f21</t>
        </is>
      </c>
      <c r="D172" s="5" t="inlineStr">
        <is>
          <t>01a1212c-4b57-70cf-80fd-c2192cb3bf81</t>
        </is>
      </c>
      <c r="E172" s="4" t="n">
        <v>46304.62412730683</v>
      </c>
      <c r="F172" s="4" t="n">
        <v>46304.62412730691</v>
      </c>
      <c r="G172" t="b">
        <v>1</v>
      </c>
      <c r="H172" s="3" t="inlineStr">
        <is>
          <t>This parcel was created from trade 2021-10-05 | Buy | MSFT | 3.0000 unit @ $288.76 / unit</t>
        </is>
      </c>
      <c r="I172" t="inlineStr">
        <is>
          <t>parcel</t>
        </is>
      </c>
      <c r="J172" s="5" t="inlineStr">
        <is>
          <t>01a1212c-76f3-737d-b876-ef8067dafb8e</t>
        </is>
      </c>
    </row>
    <row r="173">
      <c r="A173" s="5" t="inlineStr">
        <is>
          <t>01a1212c-770c-77cc-b784-a8041ad130b9</t>
        </is>
      </c>
      <c r="D173" s="5" t="inlineStr">
        <is>
          <t>01a1212c-4b57-70cf-80fd-c2192cb3bf81</t>
        </is>
      </c>
      <c r="E173" s="4" t="n">
        <v>46304.62412755808</v>
      </c>
      <c r="F173" s="4" t="n">
        <v>46304.62412755815</v>
      </c>
      <c r="G173" t="b">
        <v>1</v>
      </c>
      <c r="H173" s="3" t="inlineStr">
        <is>
          <t>This parcel was created from trade 2021-10-05 | Buy | VGS | 20.0000 unit @ A$98.52 / unit</t>
        </is>
      </c>
      <c r="I173" t="inlineStr">
        <is>
          <t>parcel</t>
        </is>
      </c>
      <c r="J173" s="5" t="inlineStr">
        <is>
          <t>01a1212c-7709-72df-b553-3dec9cf59792</t>
        </is>
      </c>
    </row>
    <row r="174">
      <c r="A174" s="5" t="inlineStr">
        <is>
          <t>01a1212c-7721-72d1-8d23-2c476a970f2e</t>
        </is>
      </c>
      <c r="D174" s="5" t="inlineStr">
        <is>
          <t>01a1212c-4b57-70cf-80fd-c2192cb3bf81</t>
        </is>
      </c>
      <c r="E174" s="4" t="n">
        <v>46304.62412780002</v>
      </c>
      <c r="F174" s="4" t="n">
        <v>46304.6241278001</v>
      </c>
      <c r="G174" t="b">
        <v>1</v>
      </c>
      <c r="H174" s="3" t="inlineStr">
        <is>
          <t>This parcel was created from trade 2021-11-03 | Buy | A200 | 6.0000 unit @ A$125.01 / unit</t>
        </is>
      </c>
      <c r="I174" t="inlineStr">
        <is>
          <t>parcel</t>
        </is>
      </c>
      <c r="J174" s="5" t="inlineStr">
        <is>
          <t>01a1212c-771e-77a4-9a33-9f68d0a94a62</t>
        </is>
      </c>
    </row>
    <row r="175">
      <c r="A175" s="5" t="inlineStr">
        <is>
          <t>01a1212c-7738-7000-b03f-14ec7d2d3d3d</t>
        </is>
      </c>
      <c r="D175" s="5" t="inlineStr">
        <is>
          <t>01a1212c-4b57-70cf-80fd-c2192cb3bf81</t>
        </is>
      </c>
      <c r="E175" s="4" t="n">
        <v>46304.62412806196</v>
      </c>
      <c r="F175" s="4" t="n">
        <v>46304.62412806206</v>
      </c>
      <c r="G175" t="b">
        <v>1</v>
      </c>
      <c r="H175" s="3" t="inlineStr">
        <is>
          <t>This parcel was created from trade 2021-11-03 | Buy | VGS | 9.0000 unit @ A$102.76 / unit</t>
        </is>
      </c>
      <c r="I175" t="inlineStr">
        <is>
          <t>parcel</t>
        </is>
      </c>
      <c r="J175" s="5" t="inlineStr">
        <is>
          <t>01a1212c-7734-763e-bfc4-4e61ccd3ee01</t>
        </is>
      </c>
    </row>
    <row r="176">
      <c r="A176" s="5" t="inlineStr">
        <is>
          <t>01a1212c-7750-77b9-ba64-6aa9eaeef0b8</t>
        </is>
      </c>
      <c r="D176" s="5" t="inlineStr">
        <is>
          <t>01a1212c-4b57-70cf-80fd-c2192cb3bf81</t>
        </is>
      </c>
      <c r="E176" s="4" t="n">
        <v>46304.6241283404</v>
      </c>
      <c r="F176" s="4" t="n">
        <v>46304.62412834047</v>
      </c>
      <c r="G176" t="b">
        <v>1</v>
      </c>
      <c r="H176" s="3" t="inlineStr">
        <is>
          <t>This parcel was created from trade 2021-11-26 | Buy | AAPL | 5.0000 unit @ $156.81 / unit</t>
        </is>
      </c>
      <c r="I176" t="inlineStr">
        <is>
          <t>parcel</t>
        </is>
      </c>
      <c r="J176" s="5" t="inlineStr">
        <is>
          <t>01a1212c-774d-7730-83f7-92ac90bb1e95</t>
        </is>
      </c>
    </row>
    <row r="177">
      <c r="A177" s="5" t="inlineStr">
        <is>
          <t>01a1212c-7766-744c-94cc-e4734076a46a</t>
        </is>
      </c>
      <c r="D177" s="5" t="inlineStr">
        <is>
          <t>01a1212c-4b57-70cf-80fd-c2192cb3bf81</t>
        </is>
      </c>
      <c r="E177" s="4" t="n">
        <v>46304.62412859881</v>
      </c>
      <c r="F177" s="4" t="n">
        <v>46304.62412859888</v>
      </c>
      <c r="G177" t="b">
        <v>1</v>
      </c>
      <c r="H177" s="3" t="inlineStr">
        <is>
          <t>This parcel was created from trade 2021-12-06 | Buy | A200 | 10.0000 unit @ A$123.14 / unit</t>
        </is>
      </c>
      <c r="I177" t="inlineStr">
        <is>
          <t>parcel</t>
        </is>
      </c>
      <c r="J177" s="5" t="inlineStr">
        <is>
          <t>01a1212c-7763-764e-af0c-10fe2c5a19d7</t>
        </is>
      </c>
    </row>
    <row r="178">
      <c r="A178" s="5" t="inlineStr">
        <is>
          <t>01a1212c-777d-7071-b48d-a90e339fd33e</t>
        </is>
      </c>
      <c r="D178" s="5" t="inlineStr">
        <is>
          <t>01a1212c-4b57-70cf-80fd-c2192cb3bf81</t>
        </is>
      </c>
      <c r="E178" s="4" t="n">
        <v>46304.62412886541</v>
      </c>
      <c r="F178" s="4" t="n">
        <v>46304.62412886549</v>
      </c>
      <c r="G178" t="b">
        <v>1</v>
      </c>
      <c r="H178" s="3" t="inlineStr">
        <is>
          <t>This parcel was created from trade 2021-12-06 | Buy | VGS | 14.0000 unit @ A$105.94 / unit</t>
        </is>
      </c>
      <c r="I178" t="inlineStr">
        <is>
          <t>parcel</t>
        </is>
      </c>
      <c r="J178" s="5" t="inlineStr">
        <is>
          <t>01a1212c-777a-75f6-97da-4f344ffae56e</t>
        </is>
      </c>
    </row>
    <row r="179">
      <c r="A179" s="5" t="inlineStr">
        <is>
          <t>01a1212c-7794-75f4-b15e-d9061574f44f</t>
        </is>
      </c>
      <c r="D179" s="5" t="inlineStr">
        <is>
          <t>01a1212c-4b57-70cf-80fd-c2192cb3bf81</t>
        </is>
      </c>
      <c r="E179" s="4" t="n">
        <v>46304.62412913159</v>
      </c>
      <c r="F179" s="4" t="n">
        <v>46304.62412913165</v>
      </c>
      <c r="G179" t="b">
        <v>1</v>
      </c>
      <c r="H179" s="3" t="inlineStr">
        <is>
          <t>This parcel was created from trade 2021-12-13 | Buy | AAPL | 4.0000 unit @ $175.74 / unit</t>
        </is>
      </c>
      <c r="I179" t="inlineStr">
        <is>
          <t>parcel</t>
        </is>
      </c>
      <c r="J179" s="5" t="inlineStr">
        <is>
          <t>01a1212c-7791-7532-9a5b-68f9ae0d9930</t>
        </is>
      </c>
    </row>
    <row r="180">
      <c r="A180" s="5" t="inlineStr">
        <is>
          <t>01a1212c-77ab-7257-bf1c-77f891db3549</t>
        </is>
      </c>
      <c r="D180" s="5" t="inlineStr">
        <is>
          <t>01a1212c-4b57-70cf-80fd-c2192cb3bf81</t>
        </is>
      </c>
      <c r="E180" s="4" t="n">
        <v>46304.62412939328</v>
      </c>
      <c r="F180" s="4" t="n">
        <v>46304.62412939334</v>
      </c>
      <c r="G180" t="b">
        <v>1</v>
      </c>
      <c r="H180" s="3" t="inlineStr">
        <is>
          <t>This parcel was created from trade 2021-12-20 | Buy | AAPL | 3.0000 unit @ $169.75 / unit</t>
        </is>
      </c>
      <c r="I180" t="inlineStr">
        <is>
          <t>parcel</t>
        </is>
      </c>
      <c r="J180" s="5" t="inlineStr">
        <is>
          <t>01a1212c-77a8-7786-a26f-a208d346c8d8</t>
        </is>
      </c>
    </row>
    <row r="181">
      <c r="A181" s="5" t="inlineStr">
        <is>
          <t>01a1212c-77c0-775e-a9c9-d3367c6f57e4</t>
        </is>
      </c>
      <c r="D181" s="5" t="inlineStr">
        <is>
          <t>01a1212c-4b57-70cf-80fd-c2192cb3bf81</t>
        </is>
      </c>
      <c r="E181" s="4" t="n">
        <v>46304.62412964148</v>
      </c>
      <c r="F181" s="4" t="n">
        <v>46304.62412964156</v>
      </c>
      <c r="G181" t="b">
        <v>1</v>
      </c>
      <c r="H181" s="3" t="inlineStr">
        <is>
          <t>This parcel was created from trade 2022-01-04 | Buy | A200 | 9.0000 unit @ A$128.37 / unit</t>
        </is>
      </c>
      <c r="I181" t="inlineStr">
        <is>
          <t>parcel</t>
        </is>
      </c>
      <c r="J181" s="5" t="inlineStr">
        <is>
          <t>01a1212c-77bd-7567-8b73-2fb2ee41285a</t>
        </is>
      </c>
    </row>
    <row r="182">
      <c r="A182" s="5" t="inlineStr">
        <is>
          <t>01a1212c-77d7-7536-ae72-44f85cbe127c</t>
        </is>
      </c>
      <c r="D182" s="5" t="inlineStr">
        <is>
          <t>01a1212c-4b57-70cf-80fd-c2192cb3bf81</t>
        </is>
      </c>
      <c r="E182" s="4" t="n">
        <v>46304.62412990299</v>
      </c>
      <c r="F182" s="4" t="n">
        <v>46304.62412990308</v>
      </c>
      <c r="G182" t="b">
        <v>1</v>
      </c>
      <c r="H182" s="3" t="inlineStr">
        <is>
          <t>This parcel was created from trade 2022-01-04 | Buy | VGS | 14.0000 unit @ A$107.94 / unit</t>
        </is>
      </c>
      <c r="I182" t="inlineStr">
        <is>
          <t>parcel</t>
        </is>
      </c>
      <c r="J182" s="5" t="inlineStr">
        <is>
          <t>01a1212c-77d4-75d1-964a-4a82d5606ddd</t>
        </is>
      </c>
    </row>
    <row r="183">
      <c r="A183" s="5" t="inlineStr">
        <is>
          <t>01a1212c-77ef-70e2-98d3-121ed45bb49c</t>
        </is>
      </c>
      <c r="D183" s="5" t="inlineStr">
        <is>
          <t>01a1212c-4b57-70cf-80fd-c2192cb3bf81</t>
        </is>
      </c>
      <c r="E183" s="4" t="n">
        <v>46304.62413017554</v>
      </c>
      <c r="F183" s="4" t="n">
        <v>46304.62413017562</v>
      </c>
      <c r="G183" t="b">
        <v>1</v>
      </c>
      <c r="H183" s="3" t="inlineStr">
        <is>
          <t>This parcel was created from trade 2022-01-27 | Buy | MSFT | 2.0000 unit @ $299.84 / unit</t>
        </is>
      </c>
      <c r="I183" t="inlineStr">
        <is>
          <t>parcel</t>
        </is>
      </c>
      <c r="J183" s="5" t="inlineStr">
        <is>
          <t>01a1212c-77eb-71d2-8d3e-c87dbf224379</t>
        </is>
      </c>
    </row>
    <row r="184">
      <c r="A184" s="5" t="inlineStr">
        <is>
          <t>01a1212c-7805-70b3-8dc5-ee5c7404e299</t>
        </is>
      </c>
      <c r="D184" s="5" t="inlineStr">
        <is>
          <t>01a1212c-4b57-70cf-80fd-c2192cb3bf81</t>
        </is>
      </c>
      <c r="E184" s="4" t="n">
        <v>46304.62413043853</v>
      </c>
      <c r="F184" s="4" t="n">
        <v>46304.62413043861</v>
      </c>
      <c r="G184" t="b">
        <v>1</v>
      </c>
      <c r="H184" s="3" t="inlineStr">
        <is>
          <t>This parcel was created from trade 2022-02-04 | Buy | AAPL | 2.0000 unit @ $172.39 / unit</t>
        </is>
      </c>
      <c r="I184" t="inlineStr">
        <is>
          <t>parcel</t>
        </is>
      </c>
      <c r="J184" s="5" t="inlineStr">
        <is>
          <t>01a1212c-7801-7768-8bea-ed7e8af0168d</t>
        </is>
      </c>
    </row>
    <row r="185">
      <c r="A185" s="5" t="inlineStr">
        <is>
          <t>01a1212c-781a-734d-a30a-55b970390058</t>
        </is>
      </c>
      <c r="D185" s="5" t="inlineStr">
        <is>
          <t>01a1212c-4b57-70cf-80fd-c2192cb3bf81</t>
        </is>
      </c>
      <c r="E185" s="4" t="n">
        <v>46304.62413068337</v>
      </c>
      <c r="F185" s="4" t="n">
        <v>46304.62413068343</v>
      </c>
      <c r="G185" t="b">
        <v>1</v>
      </c>
      <c r="H185" s="3" t="inlineStr">
        <is>
          <t>This parcel was created from trade 2022-02-07 | Buy | A200 | 5.0000 unit @ A$120.45 / unit</t>
        </is>
      </c>
      <c r="I185" t="inlineStr">
        <is>
          <t>parcel</t>
        </is>
      </c>
      <c r="J185" s="5" t="inlineStr">
        <is>
          <t>01a1212c-7817-75d9-9a5e-b7f889797d9e</t>
        </is>
      </c>
    </row>
    <row r="186">
      <c r="A186" s="5" t="inlineStr">
        <is>
          <t>01a1212c-782f-710c-943b-ca518084ae6b</t>
        </is>
      </c>
      <c r="D186" s="5" t="inlineStr">
        <is>
          <t>01a1212c-4b57-70cf-80fd-c2192cb3bf81</t>
        </is>
      </c>
      <c r="E186" s="4" t="n">
        <v>46304.62413092156</v>
      </c>
      <c r="F186" s="4" t="n">
        <v>46304.62413092164</v>
      </c>
      <c r="G186" t="b">
        <v>1</v>
      </c>
      <c r="H186" s="3" t="inlineStr">
        <is>
          <t>This parcel was created from trade 2022-02-07 | Buy | VGS | 8.0000 unit @ A$103.43 / unit</t>
        </is>
      </c>
      <c r="I186" t="inlineStr">
        <is>
          <t>parcel</t>
        </is>
      </c>
      <c r="J186" s="5" t="inlineStr">
        <is>
          <t>01a1212c-782c-71c8-a8bb-adfe40c2d7c2</t>
        </is>
      </c>
    </row>
    <row r="187">
      <c r="A187" s="5" t="inlineStr">
        <is>
          <t>01a1212c-7844-72f2-a832-a6806c14e121</t>
        </is>
      </c>
      <c r="D187" s="5" t="inlineStr">
        <is>
          <t>01a1212c-4b57-70cf-80fd-c2192cb3bf81</t>
        </is>
      </c>
      <c r="E187" s="4" t="n">
        <v>46304.62413116351</v>
      </c>
      <c r="F187" s="4" t="n">
        <v>46304.62413116359</v>
      </c>
      <c r="G187" t="b">
        <v>1</v>
      </c>
      <c r="H187" s="3" t="inlineStr">
        <is>
          <t>This parcel was created from trade 2022-02-15 | Buy | BHP | 26.0000 unit @ A$42.90 / unit</t>
        </is>
      </c>
      <c r="I187" t="inlineStr">
        <is>
          <t>parcel</t>
        </is>
      </c>
      <c r="J187" s="5" t="inlineStr">
        <is>
          <t>01a1212c-7840-77bc-bbc4-23e535f547c1</t>
        </is>
      </c>
    </row>
    <row r="188">
      <c r="A188" s="5" t="inlineStr">
        <is>
          <t>01a1212c-7858-760f-9402-56c1e13c8000</t>
        </is>
      </c>
      <c r="D188" s="5" t="inlineStr">
        <is>
          <t>01a1212c-4b57-70cf-80fd-c2192cb3bf81</t>
        </is>
      </c>
      <c r="E188" s="4" t="n">
        <v>46304.62413139168</v>
      </c>
      <c r="F188" s="4" t="n">
        <v>46304.62413139176</v>
      </c>
      <c r="G188" t="b">
        <v>1</v>
      </c>
      <c r="H188" s="3" t="inlineStr">
        <is>
          <t>This parcel was created from trade 2022-03-03 | Buy | A200 | 5.0000 unit @ A$122.61 / unit</t>
        </is>
      </c>
      <c r="I188" t="inlineStr">
        <is>
          <t>parcel</t>
        </is>
      </c>
      <c r="J188" s="5" t="inlineStr">
        <is>
          <t>01a1212c-7854-74b3-a940-c0cb4b7760ea</t>
        </is>
      </c>
    </row>
    <row r="189">
      <c r="A189" s="5" t="inlineStr">
        <is>
          <t>01a1212c-786e-74b9-adeb-5aee636e0786</t>
        </is>
      </c>
      <c r="D189" s="5" t="inlineStr">
        <is>
          <t>01a1212c-4b57-70cf-80fd-c2192cb3bf81</t>
        </is>
      </c>
      <c r="E189" s="4" t="n">
        <v>46304.62413164783</v>
      </c>
      <c r="F189" s="4" t="n">
        <v>46304.62413164791</v>
      </c>
      <c r="G189" t="b">
        <v>1</v>
      </c>
      <c r="H189" s="3" t="inlineStr">
        <is>
          <t>This parcel was created from trade 2022-03-03 | Buy | VGS | 9.0000 unit @ A$97.41 / unit</t>
        </is>
      </c>
      <c r="I189" t="inlineStr">
        <is>
          <t>parcel</t>
        </is>
      </c>
      <c r="J189" s="5" t="inlineStr">
        <is>
          <t>01a1212c-786a-76e5-9880-08eb60ed6a05</t>
        </is>
      </c>
    </row>
    <row r="190">
      <c r="A190" s="5" t="inlineStr">
        <is>
          <t>01a1212c-7884-74ab-902a-5956cd03e798</t>
        </is>
      </c>
      <c r="D190" s="5" t="inlineStr">
        <is>
          <t>01a1212c-4b57-70cf-80fd-c2192cb3bf81</t>
        </is>
      </c>
      <c r="E190" s="4" t="n">
        <v>46304.62413190543</v>
      </c>
      <c r="F190" s="4" t="n">
        <v>46304.6241319055</v>
      </c>
      <c r="G190" t="b">
        <v>1</v>
      </c>
      <c r="H190" s="3" t="inlineStr">
        <is>
          <t>This parcel was created from trade 2022-03-07 | Buy | AMZN | 1.0000 unit @ $2,749.06 / unit</t>
        </is>
      </c>
      <c r="I190" t="inlineStr">
        <is>
          <t>parcel</t>
        </is>
      </c>
      <c r="J190" s="5" t="inlineStr">
        <is>
          <t>01a1212c-7881-75f1-91e2-0e9d58316516</t>
        </is>
      </c>
    </row>
    <row r="191">
      <c r="A191" s="5" t="inlineStr">
        <is>
          <t>01a1212c-789a-7068-80eb-161bb7368904</t>
        </is>
      </c>
      <c r="D191" s="5" t="inlineStr">
        <is>
          <t>01a1212c-4b57-70cf-80fd-c2192cb3bf81</t>
        </is>
      </c>
      <c r="E191" s="4" t="n">
        <v>46304.62413215462</v>
      </c>
      <c r="F191" s="4" t="n">
        <v>46304.6241321547</v>
      </c>
      <c r="G191" t="b">
        <v>1</v>
      </c>
      <c r="H191" s="3" t="inlineStr">
        <is>
          <t>This parcel was created from trade 2022-04-04 | Buy | A200 | 9.0000 unit @ A$127.85 / unit</t>
        </is>
      </c>
      <c r="I191" t="inlineStr">
        <is>
          <t>parcel</t>
        </is>
      </c>
      <c r="J191" s="5" t="inlineStr">
        <is>
          <t>01a1212c-7896-7021-a40c-f16a939ea185</t>
        </is>
      </c>
    </row>
    <row r="192">
      <c r="A192" s="5" t="inlineStr">
        <is>
          <t>01a1212c-78b1-759f-918d-b0ec306a4bc2</t>
        </is>
      </c>
      <c r="D192" s="5" t="inlineStr">
        <is>
          <t>01a1212c-4b57-70cf-80fd-c2192cb3bf81</t>
        </is>
      </c>
      <c r="E192" s="4" t="n">
        <v>46304.6241324206</v>
      </c>
      <c r="F192" s="4" t="n">
        <v>46304.62413242069</v>
      </c>
      <c r="G192" t="b">
        <v>1</v>
      </c>
      <c r="H192" s="3" t="inlineStr">
        <is>
          <t>This parcel was created from trade 2022-04-04 | Buy | AAPL | 4.0000 unit @ $178.44 / unit</t>
        </is>
      </c>
      <c r="I192" t="inlineStr">
        <is>
          <t>parcel</t>
        </is>
      </c>
      <c r="J192" s="5" t="inlineStr">
        <is>
          <t>01a1212c-78ad-7299-9385-9fb0f8ddf181</t>
        </is>
      </c>
    </row>
    <row r="193">
      <c r="A193" s="5" t="inlineStr">
        <is>
          <t>01a1212c-78c6-719f-a221-b0923e50560e</t>
        </is>
      </c>
      <c r="D193" s="5" t="inlineStr">
        <is>
          <t>01a1212c-4b57-70cf-80fd-c2192cb3bf81</t>
        </is>
      </c>
      <c r="E193" s="4" t="n">
        <v>46304.6241326717</v>
      </c>
      <c r="F193" s="4" t="n">
        <v>46304.62413267177</v>
      </c>
      <c r="G193" t="b">
        <v>1</v>
      </c>
      <c r="H193" s="3" t="inlineStr">
        <is>
          <t>This parcel was created from trade 2022-04-04 | Buy | VGS | 14.0000 unit @ A$97.23 / unit</t>
        </is>
      </c>
      <c r="I193" t="inlineStr">
        <is>
          <t>parcel</t>
        </is>
      </c>
      <c r="J193" s="5" t="inlineStr">
        <is>
          <t>01a1212c-78c3-76a7-bbb9-ea3eccef616f</t>
        </is>
      </c>
    </row>
    <row r="194">
      <c r="A194" s="5" t="inlineStr">
        <is>
          <t>01a1212c-78fd-70f5-9c0c-5ccd6b809cf6</t>
        </is>
      </c>
      <c r="D194" s="5" t="inlineStr">
        <is>
          <t>01a1212c-4b57-70cf-80fd-c2192cb3bf81</t>
        </is>
      </c>
      <c r="E194" s="4" t="n">
        <v>46304.62413330327</v>
      </c>
      <c r="F194" s="4" t="n">
        <v>46304.62413330338</v>
      </c>
      <c r="G194" t="b">
        <v>1</v>
      </c>
      <c r="H194" s="3" t="inlineStr">
        <is>
          <t>This parcel was created from trade 2022-05-03 | Buy | A200 | 9.0000 unit @ A$124.85 / unit</t>
        </is>
      </c>
      <c r="I194" t="inlineStr">
        <is>
          <t>parcel</t>
        </is>
      </c>
      <c r="J194" s="5" t="inlineStr">
        <is>
          <t>01a1212c-78d8-7094-b299-94255bf82783</t>
        </is>
      </c>
    </row>
    <row r="195">
      <c r="A195" s="5" t="inlineStr">
        <is>
          <t>01a1212c-7914-73bc-ae15-16fb169beb4d</t>
        </is>
      </c>
      <c r="D195" s="5" t="inlineStr">
        <is>
          <t>01a1212c-4b57-70cf-80fd-c2192cb3bf81</t>
        </is>
      </c>
      <c r="E195" s="4" t="n">
        <v>46304.62413357702</v>
      </c>
      <c r="F195" s="4" t="n">
        <v>46304.62413357713</v>
      </c>
      <c r="G195" t="b">
        <v>1</v>
      </c>
      <c r="H195" s="3" t="inlineStr">
        <is>
          <t>This parcel was created from trade 2022-05-03 | Buy | VGS | 15.0000 unit @ A$93.89 / unit</t>
        </is>
      </c>
      <c r="I195" t="inlineStr">
        <is>
          <t>parcel</t>
        </is>
      </c>
      <c r="J195" s="5" t="inlineStr">
        <is>
          <t>01a1212c-7911-7380-b8bc-fe5bcacfa72b</t>
        </is>
      </c>
    </row>
    <row r="196">
      <c r="A196" s="5" t="inlineStr">
        <is>
          <t>01a1212c-792a-7378-ae31-fd5e439fa779</t>
        </is>
      </c>
      <c r="D196" s="5" t="inlineStr">
        <is>
          <t>01a1212c-4b57-70cf-80fd-c2192cb3bf81</t>
        </is>
      </c>
      <c r="E196" s="4" t="n">
        <v>46304.62413383093</v>
      </c>
      <c r="F196" s="4" t="n">
        <v>46304.62413383099</v>
      </c>
      <c r="G196" t="b">
        <v>1</v>
      </c>
      <c r="H196" s="3" t="inlineStr">
        <is>
          <t>This parcel was created from trade 2022-06-02 | Buy | A200 | 6.0000 unit @ A$122.85 / unit</t>
        </is>
      </c>
      <c r="I196" t="inlineStr">
        <is>
          <t>parcel</t>
        </is>
      </c>
      <c r="J196" s="5" t="inlineStr">
        <is>
          <t>01a1212c-7927-7749-86a1-3f74fb7da8c1</t>
        </is>
      </c>
    </row>
    <row r="197">
      <c r="A197" s="5" t="inlineStr">
        <is>
          <t>01a1212c-7941-7617-8d5c-fe30f137510c</t>
        </is>
      </c>
      <c r="D197" s="5" t="inlineStr">
        <is>
          <t>01a1212c-4b57-70cf-80fd-c2192cb3bf81</t>
        </is>
      </c>
      <c r="E197" s="4" t="n">
        <v>46304.62413409118</v>
      </c>
      <c r="F197" s="4" t="n">
        <v>46304.62413409126</v>
      </c>
      <c r="G197" t="b">
        <v>1</v>
      </c>
      <c r="H197" s="3" t="inlineStr">
        <is>
          <t>This parcel was created from trade 2022-06-02 | Buy | VGS | 10.0000 unit @ A$92.56 / unit</t>
        </is>
      </c>
      <c r="I197" t="inlineStr">
        <is>
          <t>parcel</t>
        </is>
      </c>
      <c r="J197" s="5" t="inlineStr">
        <is>
          <t>01a1212c-793d-735a-8d1b-3b3743d82b3c</t>
        </is>
      </c>
    </row>
    <row r="198">
      <c r="A198" s="5" t="inlineStr">
        <is>
          <t>01a1212c-795a-72b2-885f-98415e2b037f</t>
        </is>
      </c>
      <c r="D198" s="5" t="inlineStr">
        <is>
          <t>01a1212c-4b57-70cf-80fd-c2192cb3bf81</t>
        </is>
      </c>
      <c r="E198" s="4" t="n">
        <v>46304.62413437606</v>
      </c>
      <c r="F198" s="4" t="n">
        <v>46304.62413437614</v>
      </c>
      <c r="G198" t="b">
        <v>1</v>
      </c>
      <c r="H198" s="3" t="inlineStr">
        <is>
          <t>This parcel was created from trade 2022-06-23 | Buy | AAPL | 3.0000 unit @ $138.27 / unit</t>
        </is>
      </c>
      <c r="I198" t="inlineStr">
        <is>
          <t>parcel</t>
        </is>
      </c>
      <c r="J198" s="5" t="inlineStr">
        <is>
          <t>01a1212c-7956-7353-bef7-b1449fd6f188</t>
        </is>
      </c>
    </row>
    <row r="199">
      <c r="A199" s="5" t="inlineStr">
        <is>
          <t>01a1212c-7971-747c-8cc8-92f9a412ce50</t>
        </is>
      </c>
      <c r="D199" s="5" t="inlineStr">
        <is>
          <t>01a1212c-4b57-70cf-80fd-c2192cb3bf81</t>
        </is>
      </c>
      <c r="E199" s="4" t="n">
        <v>46304.62413464909</v>
      </c>
      <c r="F199" s="4" t="n">
        <v>46304.62413464917</v>
      </c>
      <c r="G199" t="b">
        <v>1</v>
      </c>
      <c r="H199" s="3" t="inlineStr">
        <is>
          <t>This parcel was created from trade 2022-07-06 | Buy | A200 | 13.0000 unit @ A$109.69 / unit</t>
        </is>
      </c>
      <c r="I199" t="inlineStr">
        <is>
          <t>parcel</t>
        </is>
      </c>
      <c r="J199" s="5" t="inlineStr">
        <is>
          <t>01a1212c-796e-75fc-b53f-4202c06e06b7</t>
        </is>
      </c>
    </row>
    <row r="200">
      <c r="A200" s="5" t="inlineStr">
        <is>
          <t>01a1212c-7987-72c8-8570-d41e2ffb8828</t>
        </is>
      </c>
      <c r="D200" s="5" t="inlineStr">
        <is>
          <t>01a1212c-4b57-70cf-80fd-c2192cb3bf81</t>
        </is>
      </c>
      <c r="E200" s="4" t="n">
        <v>46304.62413490559</v>
      </c>
      <c r="F200" s="4" t="n">
        <v>46304.62413490566</v>
      </c>
      <c r="G200" t="b">
        <v>1</v>
      </c>
      <c r="H200" s="3" t="inlineStr">
        <is>
          <t>This parcel was created from trade 2022-07-06 | Buy | VGS | 20.0000 unit @ A$89.43 / unit</t>
        </is>
      </c>
      <c r="I200" t="inlineStr">
        <is>
          <t>parcel</t>
        </is>
      </c>
      <c r="J200" s="5" t="inlineStr">
        <is>
          <t>01a1212c-7984-77e5-aa4d-ea4f7dd9e0be</t>
        </is>
      </c>
    </row>
    <row r="201">
      <c r="A201" s="5" t="inlineStr">
        <is>
          <t>01a1212c-799e-730e-a654-2c865cf9f408</t>
        </is>
      </c>
      <c r="D201" s="5" t="inlineStr">
        <is>
          <t>01a1212c-4b57-70cf-80fd-c2192cb3bf81</t>
        </is>
      </c>
      <c r="E201" s="4" t="n">
        <v>46304.62413516748</v>
      </c>
      <c r="F201" s="4" t="n">
        <v>46304.62413516756</v>
      </c>
      <c r="G201" t="b">
        <v>1</v>
      </c>
      <c r="H201" s="3" t="inlineStr">
        <is>
          <t>This parcel was created from trade 2022-07-25 | Buy | MSFT | 3.0000 unit @ $258.83 / unit</t>
        </is>
      </c>
      <c r="I201" t="inlineStr">
        <is>
          <t>parcel</t>
        </is>
      </c>
      <c r="J201" s="5" t="inlineStr">
        <is>
          <t>01a1212c-799a-70d0-82fd-9710f60067ae</t>
        </is>
      </c>
    </row>
    <row r="202">
      <c r="A202" s="5" t="inlineStr">
        <is>
          <t>01a1212c-79b7-73b0-9b96-6c301610ba68</t>
        </is>
      </c>
      <c r="D202" s="5" t="inlineStr">
        <is>
          <t>01a1212c-4b57-70cf-80fd-c2192cb3bf81</t>
        </is>
      </c>
      <c r="E202" s="4" t="n">
        <v>46304.62413545598</v>
      </c>
      <c r="F202" s="4" t="n">
        <v>46304.62413545606</v>
      </c>
      <c r="G202" t="b">
        <v>1</v>
      </c>
      <c r="H202" s="3" t="inlineStr">
        <is>
          <t>This parcel was created from trade 2022-07-28 | Buy | AAPL | 3.0000 unit @ $157.35 / unit</t>
        </is>
      </c>
      <c r="I202" t="inlineStr">
        <is>
          <t>parcel</t>
        </is>
      </c>
      <c r="J202" s="5" t="inlineStr">
        <is>
          <t>01a1212c-79b3-7513-9b91-3daa720e2a9d</t>
        </is>
      </c>
    </row>
    <row r="203">
      <c r="A203" s="5" t="inlineStr">
        <is>
          <t>01a1212c-79cd-7537-a4aa-014df55524e3</t>
        </is>
      </c>
      <c r="D203" s="5" t="inlineStr">
        <is>
          <t>01a1212c-4b57-70cf-80fd-c2192cb3bf81</t>
        </is>
      </c>
      <c r="E203" s="4" t="n">
        <v>46304.62413570801</v>
      </c>
      <c r="F203" s="4" t="n">
        <v>46304.62413570809</v>
      </c>
      <c r="G203" t="b">
        <v>1</v>
      </c>
      <c r="H203" s="3" t="inlineStr">
        <is>
          <t>This parcel was created from trade 2022-08-03 | Buy | A200 | 9.0000 unit @ A$115.78 / unit</t>
        </is>
      </c>
      <c r="I203" t="inlineStr">
        <is>
          <t>parcel</t>
        </is>
      </c>
      <c r="J203" s="5" t="inlineStr">
        <is>
          <t>01a1212c-79c9-719a-aeaf-8f1b35c3d703</t>
        </is>
      </c>
    </row>
    <row r="204">
      <c r="A204" s="5" t="inlineStr">
        <is>
          <t>01a1212c-79e2-7483-9243-d2074a239b86</t>
        </is>
      </c>
      <c r="D204" s="5" t="inlineStr">
        <is>
          <t>01a1212c-4b57-70cf-80fd-c2192cb3bf81</t>
        </is>
      </c>
      <c r="E204" s="4" t="n">
        <v>46304.62413595209</v>
      </c>
      <c r="F204" s="4" t="n">
        <v>46304.62413595215</v>
      </c>
      <c r="G204" t="b">
        <v>1</v>
      </c>
      <c r="H204" s="3" t="inlineStr">
        <is>
          <t>This parcel was created from trade 2022-08-03 | Buy | VGS | 13.0000 unit @ A$93.98 / unit</t>
        </is>
      </c>
      <c r="I204" t="inlineStr">
        <is>
          <t>parcel</t>
        </is>
      </c>
      <c r="J204" s="5" t="inlineStr">
        <is>
          <t>01a1212c-79de-7495-b5b1-e7986ed975ef</t>
        </is>
      </c>
    </row>
    <row r="205">
      <c r="A205" s="5" t="inlineStr">
        <is>
          <t>01a1212c-79f6-7248-9f45-f7c795079e9f</t>
        </is>
      </c>
      <c r="D205" s="5" t="inlineStr">
        <is>
          <t>01a1212c-4b57-70cf-80fd-c2192cb3bf81</t>
        </is>
      </c>
      <c r="E205" s="4" t="n">
        <v>46304.62413619187</v>
      </c>
      <c r="F205" s="4" t="n">
        <v>46304.62413619195</v>
      </c>
      <c r="G205" t="b">
        <v>1</v>
      </c>
      <c r="H205" s="3" t="inlineStr">
        <is>
          <t>This parcel was created from trade 2022-09-05 | Buy | A200 | 13.0000 unit @ A$115.35 / unit</t>
        </is>
      </c>
      <c r="I205" t="inlineStr">
        <is>
          <t>parcel</t>
        </is>
      </c>
      <c r="J205" s="5" t="inlineStr">
        <is>
          <t>01a1212c-79f3-735a-99c2-9a23d450ed58</t>
        </is>
      </c>
    </row>
    <row r="206">
      <c r="A206" s="5" t="inlineStr">
        <is>
          <t>01a1212c-7a0b-71c8-ae94-ff787a5c059c</t>
        </is>
      </c>
      <c r="D206" s="5" t="inlineStr">
        <is>
          <t>01a1212c-4b57-70cf-80fd-c2192cb3bf81</t>
        </is>
      </c>
      <c r="E206" s="4" t="n">
        <v>46304.624136433</v>
      </c>
      <c r="F206" s="4" t="n">
        <v>46304.62413643306</v>
      </c>
      <c r="G206" t="b">
        <v>1</v>
      </c>
      <c r="H206" s="3" t="inlineStr">
        <is>
          <t>This parcel was created from trade 2022-09-05 | Buy | VGS | 20.0000 unit @ A$91.06 / unit</t>
        </is>
      </c>
      <c r="I206" t="inlineStr">
        <is>
          <t>parcel</t>
        </is>
      </c>
      <c r="J206" s="5" t="inlineStr">
        <is>
          <t>01a1212c-7a08-70cb-88cc-0d955086d8aa</t>
        </is>
      </c>
    </row>
    <row r="207">
      <c r="A207" s="5" t="inlineStr">
        <is>
          <t>01a1212c-7a22-7475-b41a-2ba637276e39</t>
        </is>
      </c>
      <c r="D207" s="5" t="inlineStr">
        <is>
          <t>01a1212c-4b57-70cf-80fd-c2192cb3bf81</t>
        </is>
      </c>
      <c r="E207" s="4" t="n">
        <v>46304.62413669146</v>
      </c>
      <c r="F207" s="4" t="n">
        <v>46304.62413669153</v>
      </c>
      <c r="G207" t="b">
        <v>1</v>
      </c>
      <c r="H207" s="3" t="inlineStr">
        <is>
          <t>This parcel was created from trade 2022-09-06 | Buy | AMZN | 3.0000 unit @ $126.11 / unit</t>
        </is>
      </c>
      <c r="I207" t="inlineStr">
        <is>
          <t>parcel</t>
        </is>
      </c>
      <c r="J207" s="5" t="inlineStr">
        <is>
          <t>01a1212c-7a1e-75c1-85a4-4b341ac12f34</t>
        </is>
      </c>
    </row>
    <row r="208">
      <c r="A208" s="5" t="inlineStr">
        <is>
          <t>01a1212c-7a3a-74d2-b298-84176162beb2</t>
        </is>
      </c>
      <c r="D208" s="5" t="inlineStr">
        <is>
          <t>01a1212c-4b57-70cf-80fd-c2192cb3bf81</t>
        </is>
      </c>
      <c r="E208" s="4" t="n">
        <v>46304.62413697106</v>
      </c>
      <c r="F208" s="4" t="n">
        <v>46304.62413697116</v>
      </c>
      <c r="G208" t="b">
        <v>1</v>
      </c>
      <c r="H208" s="3" t="inlineStr">
        <is>
          <t>This parcel was created from trade 2022-09-19 | Buy | AMZN | 4.0000 unit @ $124.66 / unit</t>
        </is>
      </c>
      <c r="I208" t="inlineStr">
        <is>
          <t>parcel</t>
        </is>
      </c>
      <c r="J208" s="5" t="inlineStr">
        <is>
          <t>01a1212c-7a36-742a-8223-45f20e51a6c9</t>
        </is>
      </c>
    </row>
    <row r="209">
      <c r="A209" s="5" t="inlineStr">
        <is>
          <t>01a1212c-7a52-7688-95b3-7421b50b71e8</t>
        </is>
      </c>
      <c r="D209" s="5" t="inlineStr">
        <is>
          <t>01a1212c-4b57-70cf-80fd-c2192cb3bf81</t>
        </is>
      </c>
      <c r="E209" s="4" t="n">
        <v>46304.62413725212</v>
      </c>
      <c r="F209" s="4" t="n">
        <v>46304.6241372522</v>
      </c>
      <c r="G209" t="b">
        <v>1</v>
      </c>
      <c r="H209" s="3" t="inlineStr">
        <is>
          <t>This parcel was created from trade 2022-10-03 | Buy | A200 | 9.0000 unit @ A$107.32 / unit</t>
        </is>
      </c>
      <c r="I209" t="inlineStr">
        <is>
          <t>parcel</t>
        </is>
      </c>
      <c r="J209" s="5" t="inlineStr">
        <is>
          <t>01a1212c-7a4e-776c-9c69-14ee09adb482</t>
        </is>
      </c>
    </row>
    <row r="210">
      <c r="A210" s="5" t="inlineStr">
        <is>
          <t>01a1212c-7a67-7238-bebc-c9be34936745</t>
        </is>
      </c>
      <c r="D210" s="5" t="inlineStr">
        <is>
          <t>01a1212c-4b57-70cf-80fd-c2192cb3bf81</t>
        </is>
      </c>
      <c r="E210" s="4" t="n">
        <v>46304.62413749503</v>
      </c>
      <c r="F210" s="4" t="n">
        <v>46304.62413749511</v>
      </c>
      <c r="G210" t="b">
        <v>1</v>
      </c>
      <c r="H210" s="3" t="inlineStr">
        <is>
          <t>This parcel was created from trade 2022-10-03 | Buy | VGS | 13.0000 unit @ A$87.88 / unit</t>
        </is>
      </c>
      <c r="I210" t="inlineStr">
        <is>
          <t>parcel</t>
        </is>
      </c>
      <c r="J210" s="5" t="inlineStr">
        <is>
          <t>01a1212c-7a64-7651-a984-fe2d549ac898</t>
        </is>
      </c>
    </row>
    <row r="211">
      <c r="A211" s="5" t="inlineStr">
        <is>
          <t>01a1212c-7a7d-71a9-8c6f-def64f93064c</t>
        </is>
      </c>
      <c r="D211" s="5" t="inlineStr">
        <is>
          <t>01a1212c-4b57-70cf-80fd-c2192cb3bf81</t>
        </is>
      </c>
      <c r="E211" s="4" t="n">
        <v>46304.6241377552</v>
      </c>
      <c r="F211" s="4" t="n">
        <v>46304.62413775527</v>
      </c>
      <c r="G211" t="b">
        <v>1</v>
      </c>
      <c r="H211" s="3" t="inlineStr">
        <is>
          <t>This parcel was created from trade 2022-10-25 | Buy | MSFT | 2.0000 unit @ $250.66 / unit</t>
        </is>
      </c>
      <c r="I211" t="inlineStr">
        <is>
          <t>parcel</t>
        </is>
      </c>
      <c r="J211" s="5" t="inlineStr">
        <is>
          <t>01a1212c-7a7a-77ee-bd4b-6ddf9a2de81e</t>
        </is>
      </c>
    </row>
    <row r="212">
      <c r="A212" s="5" t="inlineStr">
        <is>
          <t>01a1212c-7a93-7251-bbf2-0b7a87b597d1</t>
        </is>
      </c>
      <c r="D212" s="5" t="inlineStr">
        <is>
          <t>01a1212c-4b57-70cf-80fd-c2192cb3bf81</t>
        </is>
      </c>
      <c r="E212" s="4" t="n">
        <v>46304.62413800425</v>
      </c>
      <c r="F212" s="4" t="n">
        <v>46304.62413800431</v>
      </c>
      <c r="G212" t="b">
        <v>1</v>
      </c>
      <c r="H212" s="3" t="inlineStr">
        <is>
          <t>This parcel was created from trade 2022-11-07 | Buy | A200 | 15.0000 unit @ A$115.49 / unit</t>
        </is>
      </c>
      <c r="I212" t="inlineStr">
        <is>
          <t>parcel</t>
        </is>
      </c>
      <c r="J212" s="5" t="inlineStr">
        <is>
          <t>01a1212c-7a90-7411-8405-00a5215c5218</t>
        </is>
      </c>
    </row>
    <row r="213">
      <c r="A213" s="5" t="inlineStr">
        <is>
          <t>01a1212c-7aa8-7768-9629-ba8d31294252</t>
        </is>
      </c>
      <c r="D213" s="5" t="inlineStr">
        <is>
          <t>01a1212c-4b57-70cf-80fd-c2192cb3bf81</t>
        </is>
      </c>
      <c r="E213" s="4" t="n">
        <v>46304.62413824991</v>
      </c>
      <c r="F213" s="4" t="n">
        <v>46304.62413824998</v>
      </c>
      <c r="G213" t="b">
        <v>1</v>
      </c>
      <c r="H213" s="3" t="inlineStr">
        <is>
          <t>This parcel was created from trade 2022-11-07 | Buy | VGS | 23.0000 unit @ A$92.98 / unit</t>
        </is>
      </c>
      <c r="I213" t="inlineStr">
        <is>
          <t>parcel</t>
        </is>
      </c>
      <c r="J213" s="5" t="inlineStr">
        <is>
          <t>01a1212c-7aa5-75d5-bf94-ec295d881aed</t>
        </is>
      </c>
    </row>
    <row r="214">
      <c r="A214" s="5" t="inlineStr">
        <is>
          <t>01a1212c-7abd-7355-a2bb-ade6912d9eda</t>
        </is>
      </c>
      <c r="D214" s="5" t="inlineStr">
        <is>
          <t>01a1212c-4b57-70cf-80fd-c2192cb3bf81</t>
        </is>
      </c>
      <c r="E214" s="4" t="n">
        <v>46304.62413848753</v>
      </c>
      <c r="F214" s="4" t="n">
        <v>46304.6241384876</v>
      </c>
      <c r="G214" t="b">
        <v>1</v>
      </c>
      <c r="H214" s="3" t="inlineStr">
        <is>
          <t>This parcel was created from trade 2022-12-05 | Buy | A200 | 9.0000 unit @ A$122.27 / unit</t>
        </is>
      </c>
      <c r="I214" t="inlineStr">
        <is>
          <t>parcel</t>
        </is>
      </c>
      <c r="J214" s="5" t="inlineStr">
        <is>
          <t>01a1212c-7aba-773f-8933-d95c0c800623</t>
        </is>
      </c>
    </row>
    <row r="215">
      <c r="A215" s="5" t="inlineStr">
        <is>
          <t>01a1212c-7ad3-772d-bab6-a29cdc20f3de</t>
        </is>
      </c>
      <c r="D215" s="5" t="inlineStr">
        <is>
          <t>01a1212c-4b57-70cf-80fd-c2192cb3bf81</t>
        </is>
      </c>
      <c r="E215" s="4" t="n">
        <v>46304.62413874894</v>
      </c>
      <c r="F215" s="4" t="n">
        <v>46304.62413874903</v>
      </c>
      <c r="G215" t="b">
        <v>1</v>
      </c>
      <c r="H215" s="3" t="inlineStr">
        <is>
          <t>This parcel was created from trade 2022-12-05 | Buy | VGS | 14.0000 unit @ A$95.47 / unit</t>
        </is>
      </c>
      <c r="I215" t="inlineStr">
        <is>
          <t>parcel</t>
        </is>
      </c>
      <c r="J215" s="5" t="inlineStr">
        <is>
          <t>01a1212c-7acf-776d-9f34-f2ae81760b32</t>
        </is>
      </c>
    </row>
    <row r="216">
      <c r="A216" s="5" t="inlineStr">
        <is>
          <t>01a1212c-7ae9-74a1-b1f1-5a2c6485785a</t>
        </is>
      </c>
      <c r="D216" s="5" t="inlineStr">
        <is>
          <t>01a1212c-4b57-70cf-80fd-c2192cb3bf81</t>
        </is>
      </c>
      <c r="E216" s="4" t="n">
        <v>46304.62413900047</v>
      </c>
      <c r="F216" s="4" t="n">
        <v>46304.62413900055</v>
      </c>
      <c r="G216" t="b">
        <v>1</v>
      </c>
      <c r="H216" s="3" t="inlineStr">
        <is>
          <t>This parcel was created from trade 2023-01-05 | Buy | A200 | 9.0000 unit @ A$116.98 / unit</t>
        </is>
      </c>
      <c r="I216" t="inlineStr">
        <is>
          <t>parcel</t>
        </is>
      </c>
      <c r="J216" s="5" t="inlineStr">
        <is>
          <t>01a1212c-7ae6-75b8-ad0a-3ca0ce21f21f</t>
        </is>
      </c>
    </row>
    <row r="217">
      <c r="A217" s="5" t="inlineStr">
        <is>
          <t>01a1212c-7aff-71a2-8773-626b8793964f</t>
        </is>
      </c>
      <c r="D217" s="5" t="inlineStr">
        <is>
          <t>01a1212c-4b57-70cf-80fd-c2192cb3bf81</t>
        </is>
      </c>
      <c r="E217" s="4" t="n">
        <v>46304.62413924948</v>
      </c>
      <c r="F217" s="4" t="n">
        <v>46304.62413924955</v>
      </c>
      <c r="G217" t="b">
        <v>1</v>
      </c>
      <c r="H217" s="3" t="inlineStr">
        <is>
          <t>This parcel was created from trade 2023-01-05 | Buy | VGS | 15.0000 unit @ A$91.56 / unit</t>
        </is>
      </c>
      <c r="I217" t="inlineStr">
        <is>
          <t>parcel</t>
        </is>
      </c>
      <c r="J217" s="5" t="inlineStr">
        <is>
          <t>01a1212c-7afb-7749-9b51-b6fefc63a55f</t>
        </is>
      </c>
    </row>
    <row r="218">
      <c r="A218" s="5" t="inlineStr">
        <is>
          <t>01a1212c-7b14-7564-88ab-4de51bc23b8d</t>
        </is>
      </c>
      <c r="D218" s="5" t="inlineStr">
        <is>
          <t>01a1212c-4b57-70cf-80fd-c2192cb3bf81</t>
        </is>
      </c>
      <c r="E218" s="4" t="n">
        <v>46304.62413949613</v>
      </c>
      <c r="F218" s="4" t="n">
        <v>46304.62413949631</v>
      </c>
      <c r="G218" t="b">
        <v>1</v>
      </c>
      <c r="H218" s="3" t="inlineStr">
        <is>
          <t>This parcel was created from trade 2023-02-06 | Buy | A200 | 12.0000 unit @ A$124.90 / unit</t>
        </is>
      </c>
      <c r="I218" t="inlineStr">
        <is>
          <t>parcel</t>
        </is>
      </c>
      <c r="J218" s="5" t="inlineStr">
        <is>
          <t>01a1212c-7b10-774c-b58c-697160097ba7</t>
        </is>
      </c>
    </row>
    <row r="219">
      <c r="A219" s="5" t="inlineStr">
        <is>
          <t>01a1212c-7b29-768b-8f98-bf35217bee68</t>
        </is>
      </c>
      <c r="D219" s="5" t="inlineStr">
        <is>
          <t>01a1212c-4b57-70cf-80fd-c2192cb3bf81</t>
        </is>
      </c>
      <c r="E219" s="4" t="n">
        <v>46304.62413973979</v>
      </c>
      <c r="F219" s="4" t="n">
        <v>46304.62413973986</v>
      </c>
      <c r="G219" t="b">
        <v>1</v>
      </c>
      <c r="H219" s="3" t="inlineStr">
        <is>
          <t>This parcel was created from trade 2023-02-06 | Buy | VGS | 19.0000 unit @ A$96.29 / unit</t>
        </is>
      </c>
      <c r="I219" t="inlineStr">
        <is>
          <t>parcel</t>
        </is>
      </c>
      <c r="J219" s="5" t="inlineStr">
        <is>
          <t>01a1212c-7b26-73b6-a1c9-7ef1ffc647f5</t>
        </is>
      </c>
    </row>
    <row r="220">
      <c r="A220" s="5" t="inlineStr">
        <is>
          <t>01a1212c-7b3f-74fe-8cf5-bcf1f3248609</t>
        </is>
      </c>
      <c r="D220" s="5" t="inlineStr">
        <is>
          <t>01a1212c-4b57-70cf-80fd-c2192cb3bf81</t>
        </is>
      </c>
      <c r="E220" s="4" t="n">
        <v>46304.62413999852</v>
      </c>
      <c r="F220" s="4" t="n">
        <v>46304.62413999859</v>
      </c>
      <c r="G220" t="b">
        <v>1</v>
      </c>
      <c r="H220" s="3" t="inlineStr">
        <is>
          <t>This parcel was created from trade 2023-02-16 | Buy | AMZN | 3.0000 unit @ $98.15 / unit</t>
        </is>
      </c>
      <c r="I220" t="inlineStr">
        <is>
          <t>parcel</t>
        </is>
      </c>
      <c r="J220" s="5" t="inlineStr">
        <is>
          <t>01a1212c-7b3c-75ca-a696-ce2ddc1ea9a3</t>
        </is>
      </c>
    </row>
    <row r="221">
      <c r="A221" s="5" t="inlineStr">
        <is>
          <t>01a1212c-7b56-7343-abf8-12ade1162009</t>
        </is>
      </c>
      <c r="D221" s="5" t="inlineStr">
        <is>
          <t>01a1212c-4b57-70cf-80fd-c2192cb3bf81</t>
        </is>
      </c>
      <c r="E221" s="4" t="n">
        <v>46304.62414026407</v>
      </c>
      <c r="F221" s="4" t="n">
        <v>46304.62414026415</v>
      </c>
      <c r="G221" t="b">
        <v>1</v>
      </c>
      <c r="H221" s="3" t="inlineStr">
        <is>
          <t>This parcel was created from trade 2023-02-27 | Buy | MSFT | 1.0000 unit @ $250.16 / unit</t>
        </is>
      </c>
      <c r="I221" t="inlineStr">
        <is>
          <t>parcel</t>
        </is>
      </c>
      <c r="J221" s="5" t="inlineStr">
        <is>
          <t>01a1212c-7b52-7525-b821-0bd3ac752abd</t>
        </is>
      </c>
    </row>
    <row r="222">
      <c r="A222" s="5" t="inlineStr">
        <is>
          <t>01a1212c-7b6d-7470-b878-7643ea20b3a1</t>
        </is>
      </c>
      <c r="D222" s="5" t="inlineStr">
        <is>
          <t>01a1212c-4b57-70cf-80fd-c2192cb3bf81</t>
        </is>
      </c>
      <c r="E222" s="4" t="n">
        <v>46304.62414052666</v>
      </c>
      <c r="F222" s="4" t="n">
        <v>46304.62414052675</v>
      </c>
      <c r="G222" t="b">
        <v>1</v>
      </c>
      <c r="H222" s="3" t="inlineStr">
        <is>
          <t>This parcel was created from trade 2023-03-03 | Buy | A200 | 7.0000 unit @ A$121.30 / unit</t>
        </is>
      </c>
      <c r="I222" t="inlineStr">
        <is>
          <t>parcel</t>
        </is>
      </c>
      <c r="J222" s="5" t="inlineStr">
        <is>
          <t>01a1212c-7b69-77a5-b7c2-ac7ba4a3dd3e</t>
        </is>
      </c>
    </row>
    <row r="223">
      <c r="A223" s="5" t="inlineStr">
        <is>
          <t>01a1212c-7b83-756e-9514-ee29cb3a9d0a</t>
        </is>
      </c>
      <c r="D223" s="5" t="inlineStr">
        <is>
          <t>01a1212c-4b57-70cf-80fd-c2192cb3bf81</t>
        </is>
      </c>
      <c r="E223" s="4" t="n">
        <v>46304.62414078145</v>
      </c>
      <c r="F223" s="4" t="n">
        <v>46304.62414078153</v>
      </c>
      <c r="G223" t="b">
        <v>1</v>
      </c>
      <c r="H223" s="3" t="inlineStr">
        <is>
          <t>This parcel was created from trade 2023-03-03 | Buy | VGS | 12.0000 unit @ A$96.29 / unit</t>
        </is>
      </c>
      <c r="I223" t="inlineStr">
        <is>
          <t>parcel</t>
        </is>
      </c>
      <c r="J223" s="5" t="inlineStr">
        <is>
          <t>01a1212c-7b7f-722d-8e7c-d5cfa0685df2</t>
        </is>
      </c>
    </row>
    <row r="224">
      <c r="A224" s="5" t="inlineStr">
        <is>
          <t>01a1212c-7b99-74a6-b7d8-f79cf622b84a</t>
        </is>
      </c>
      <c r="D224" s="5" t="inlineStr">
        <is>
          <t>01a1212c-4b57-70cf-80fd-c2192cb3bf81</t>
        </is>
      </c>
      <c r="E224" s="4" t="n">
        <v>46304.62414103528</v>
      </c>
      <c r="F224" s="4" t="n">
        <v>46304.62414103536</v>
      </c>
      <c r="G224" t="b">
        <v>1</v>
      </c>
      <c r="H224" s="3" t="inlineStr">
        <is>
          <t>This parcel was created from trade 2023-03-27 | Buy | MSFT | 2.0000 unit @ $276.38 / unit</t>
        </is>
      </c>
      <c r="I224" t="inlineStr">
        <is>
          <t>parcel</t>
        </is>
      </c>
      <c r="J224" s="5" t="inlineStr">
        <is>
          <t>01a1212c-7b96-70e2-926b-fb99be4701c0</t>
        </is>
      </c>
    </row>
    <row r="225">
      <c r="A225" s="5" t="inlineStr">
        <is>
          <t>01a1212c-7bae-701e-bf8a-c47d6b98bdc0</t>
        </is>
      </c>
      <c r="D225" s="5" t="inlineStr">
        <is>
          <t>01a1212c-4b57-70cf-80fd-c2192cb3bf81</t>
        </is>
      </c>
      <c r="E225" s="4" t="n">
        <v>46304.62414128102</v>
      </c>
      <c r="F225" s="4" t="n">
        <v>46304.62414128109</v>
      </c>
      <c r="G225" t="b">
        <v>1</v>
      </c>
      <c r="H225" s="3" t="inlineStr">
        <is>
          <t>This parcel was created from trade 2023-04-05 | Buy | A200 | 10.0000 unit @ A$120.36 / unit</t>
        </is>
      </c>
      <c r="I225" t="inlineStr">
        <is>
          <t>parcel</t>
        </is>
      </c>
      <c r="J225" s="5" t="inlineStr">
        <is>
          <t>01a1212c-7bab-728a-9e77-14d2820bca2b</t>
        </is>
      </c>
    </row>
    <row r="226">
      <c r="A226" s="5" t="inlineStr">
        <is>
          <t>01a1212c-7bc3-72d0-9fef-a91f5ebf32e5</t>
        </is>
      </c>
      <c r="D226" s="5" t="inlineStr">
        <is>
          <t>01a1212c-4b57-70cf-80fd-c2192cb3bf81</t>
        </is>
      </c>
      <c r="E226" s="4" t="n">
        <v>46304.6241415179</v>
      </c>
      <c r="F226" s="4" t="n">
        <v>46304.62414151798</v>
      </c>
      <c r="G226" t="b">
        <v>1</v>
      </c>
      <c r="H226" s="3" t="inlineStr">
        <is>
          <t>This parcel was created from trade 2023-04-05 | Buy | VGS | 16.0000 unit @ A$99.01 / unit</t>
        </is>
      </c>
      <c r="I226" t="inlineStr">
        <is>
          <t>parcel</t>
        </is>
      </c>
      <c r="J226" s="5" t="inlineStr">
        <is>
          <t>01a1212c-7bbf-72f9-807c-119d1e33d98c</t>
        </is>
      </c>
    </row>
    <row r="227">
      <c r="A227" s="5" t="inlineStr">
        <is>
          <t>01a1212c-7bd8-71cd-a8b4-01261907fc52</t>
        </is>
      </c>
      <c r="D227" s="5" t="inlineStr">
        <is>
          <t>01a1212c-4b57-70cf-80fd-c2192cb3bf81</t>
        </is>
      </c>
      <c r="E227" s="4" t="n">
        <v>46304.6241417611</v>
      </c>
      <c r="F227" s="4" t="n">
        <v>46304.62414176117</v>
      </c>
      <c r="G227" t="b">
        <v>1</v>
      </c>
      <c r="H227" s="3" t="inlineStr">
        <is>
          <t>This parcel was created from trade 2023-05-03 | Buy | A200 | 13.0000 unit @ A$119.66 / unit</t>
        </is>
      </c>
      <c r="I227" t="inlineStr">
        <is>
          <t>parcel</t>
        </is>
      </c>
      <c r="J227" s="5" t="inlineStr">
        <is>
          <t>01a1212c-7bd4-7438-9057-10216465237d</t>
        </is>
      </c>
    </row>
    <row r="228">
      <c r="A228" s="5" t="inlineStr">
        <is>
          <t>01a1212c-7bec-7245-97b5-ea7e9a9d521b</t>
        </is>
      </c>
      <c r="D228" s="5" t="inlineStr">
        <is>
          <t>01a1212c-4b57-70cf-80fd-c2192cb3bf81</t>
        </is>
      </c>
      <c r="E228" s="4" t="n">
        <v>46304.62414200216</v>
      </c>
      <c r="F228" s="4" t="n">
        <v>46304.62414200223</v>
      </c>
      <c r="G228" t="b">
        <v>1</v>
      </c>
      <c r="H228" s="3" t="inlineStr">
        <is>
          <t>This parcel was created from trade 2023-05-03 | Buy | VGS | 19.0000 unit @ A$100.96 / unit</t>
        </is>
      </c>
      <c r="I228" t="inlineStr">
        <is>
          <t>parcel</t>
        </is>
      </c>
      <c r="J228" s="5" t="inlineStr">
        <is>
          <t>01a1212c-7be9-7245-9c15-bd3cb83542ff</t>
        </is>
      </c>
    </row>
    <row r="229">
      <c r="A229" s="5" t="inlineStr">
        <is>
          <t>01a1212c-7c01-77af-976d-891459dbe44a</t>
        </is>
      </c>
      <c r="D229" s="5" t="inlineStr">
        <is>
          <t>01a1212c-4b57-70cf-80fd-c2192cb3bf81</t>
        </is>
      </c>
      <c r="E229" s="4" t="n">
        <v>46304.62414224556</v>
      </c>
      <c r="F229" s="4" t="n">
        <v>46304.62414224564</v>
      </c>
      <c r="G229" t="b">
        <v>1</v>
      </c>
      <c r="H229" s="3" t="inlineStr">
        <is>
          <t>This parcel was created from trade 2023-05-08 | Buy | CBA | 7.0000 unit @ A$97.12 / unit</t>
        </is>
      </c>
      <c r="I229" t="inlineStr">
        <is>
          <t>parcel</t>
        </is>
      </c>
      <c r="J229" s="5" t="inlineStr">
        <is>
          <t>01a1212c-7bfe-7335-9646-0961ab39b058</t>
        </is>
      </c>
    </row>
    <row r="230">
      <c r="A230" s="5" t="inlineStr">
        <is>
          <t>01a1212c-7c16-754d-b369-071ca4839a74</t>
        </is>
      </c>
      <c r="D230" s="5" t="inlineStr">
        <is>
          <t>01a1212c-4b57-70cf-80fd-c2192cb3bf81</t>
        </is>
      </c>
      <c r="E230" s="4" t="n">
        <v>46304.62414248602</v>
      </c>
      <c r="F230" s="4" t="n">
        <v>46304.6241424861</v>
      </c>
      <c r="G230" t="b">
        <v>1</v>
      </c>
      <c r="H230" s="3" t="inlineStr">
        <is>
          <t>This parcel was created from trade 2023-06-05 | Buy | A200 | 8.0000 unit @ A$120.52 / unit</t>
        </is>
      </c>
      <c r="I230" t="inlineStr">
        <is>
          <t>parcel</t>
        </is>
      </c>
      <c r="J230" s="5" t="inlineStr">
        <is>
          <t>01a1212c-7c13-7245-b333-0dfcd00ad20d</t>
        </is>
      </c>
    </row>
    <row r="231">
      <c r="A231" s="5" t="inlineStr">
        <is>
          <t>01a1212c-7c2b-774c-b443-45f6b4c811a4</t>
        </is>
      </c>
      <c r="D231" s="5" t="inlineStr">
        <is>
          <t>01a1212c-4b57-70cf-80fd-c2192cb3bf81</t>
        </is>
      </c>
      <c r="E231" s="4" t="n">
        <v>46304.62414272751</v>
      </c>
      <c r="F231" s="4" t="n">
        <v>46304.62414272758</v>
      </c>
      <c r="G231" t="b">
        <v>1</v>
      </c>
      <c r="H231" s="3" t="inlineStr">
        <is>
          <t>This parcel was created from trade 2023-06-05 | Buy | VGS | 12.0000 unit @ A$104.45 / unit</t>
        </is>
      </c>
      <c r="I231" t="inlineStr">
        <is>
          <t>parcel</t>
        </is>
      </c>
      <c r="J231" s="5" t="inlineStr">
        <is>
          <t>01a1212c-7c28-761a-abe6-a2d8c4b32086</t>
        </is>
      </c>
    </row>
    <row r="232">
      <c r="A232" s="5" t="inlineStr">
        <is>
          <t>01a1212c-7c41-73e4-929b-e1ce516adf94</t>
        </is>
      </c>
      <c r="D232" s="5" t="inlineStr">
        <is>
          <t>01a1212c-4b57-70cf-80fd-c2192cb3bf81</t>
        </is>
      </c>
      <c r="E232" s="4" t="n">
        <v>46304.62414298567</v>
      </c>
      <c r="F232" s="4" t="n">
        <v>46304.62414298575</v>
      </c>
      <c r="G232" t="b">
        <v>1</v>
      </c>
      <c r="H232" s="3" t="inlineStr">
        <is>
          <t>This parcel was created from trade 2023-06-30 | Buy | AMZN | 7.0000 unit @ $130.36 / unit</t>
        </is>
      </c>
      <c r="I232" t="inlineStr">
        <is>
          <t>parcel</t>
        </is>
      </c>
      <c r="J232" s="5" t="inlineStr">
        <is>
          <t>01a1212c-7c3e-723b-86ba-5425206404b8</t>
        </is>
      </c>
    </row>
    <row r="233">
      <c r="A233" s="5" t="inlineStr">
        <is>
          <t>01a1212c-7c56-7567-ab31-00ccfb157ded</t>
        </is>
      </c>
      <c r="D233" s="5" t="inlineStr">
        <is>
          <t>01a1212c-4b57-70cf-80fd-c2192cb3bf81</t>
        </is>
      </c>
      <c r="E233" s="4" t="n">
        <v>46304.62414322916</v>
      </c>
      <c r="F233" s="4" t="n">
        <v>46304.62414322924</v>
      </c>
      <c r="G233" t="b">
        <v>1</v>
      </c>
      <c r="H233" s="3" t="inlineStr">
        <is>
          <t>This parcel was created from trade 2023-07-06 | Buy | A200 | 7.0000 unit @ A$119.01 / unit</t>
        </is>
      </c>
      <c r="I233" t="inlineStr">
        <is>
          <t>parcel</t>
        </is>
      </c>
      <c r="J233" s="5" t="inlineStr">
        <is>
          <t>01a1212c-7c53-76ef-8d31-2b4e643519d3</t>
        </is>
      </c>
    </row>
    <row r="234">
      <c r="A234" s="5" t="inlineStr">
        <is>
          <t>01a1212c-7c6c-7159-a0a7-6ab79bf3ac6d</t>
        </is>
      </c>
      <c r="D234" s="5" t="inlineStr">
        <is>
          <t>01a1212c-4b57-70cf-80fd-c2192cb3bf81</t>
        </is>
      </c>
      <c r="E234" s="4" t="n">
        <v>46304.6241434757</v>
      </c>
      <c r="F234" s="4" t="n">
        <v>46304.62414347579</v>
      </c>
      <c r="G234" t="b">
        <v>1</v>
      </c>
      <c r="H234" s="3" t="inlineStr">
        <is>
          <t>This parcel was created from trade 2023-07-06 | Buy | VGS | 10.0000 unit @ A$105.29 / unit</t>
        </is>
      </c>
      <c r="I234" t="inlineStr">
        <is>
          <t>parcel</t>
        </is>
      </c>
      <c r="J234" s="5" t="inlineStr">
        <is>
          <t>01a1212c-7c68-7625-a599-0122ab454657</t>
        </is>
      </c>
    </row>
    <row r="235">
      <c r="A235" s="5" t="inlineStr">
        <is>
          <t>01a1212c-7c81-7643-9d7b-8859f98599b1</t>
        </is>
      </c>
      <c r="D235" s="5" t="inlineStr">
        <is>
          <t>01a1212c-4b57-70cf-80fd-c2192cb3bf81</t>
        </is>
      </c>
      <c r="E235" s="4" t="n">
        <v>46304.62414372186</v>
      </c>
      <c r="F235" s="4" t="n">
        <v>46304.62414372194</v>
      </c>
      <c r="G235" t="b">
        <v>1</v>
      </c>
      <c r="H235" s="3" t="inlineStr">
        <is>
          <t>This parcel was created from trade 2023-08-04 | Buy | A200 | 10.0000 unit @ A$121.72 / unit</t>
        </is>
      </c>
      <c r="I235" t="inlineStr">
        <is>
          <t>parcel</t>
        </is>
      </c>
      <c r="J235" s="5" t="inlineStr">
        <is>
          <t>01a1212c-7c7d-7144-a080-456c2a726f23</t>
        </is>
      </c>
    </row>
    <row r="236">
      <c r="A236" s="5" t="inlineStr">
        <is>
          <t>01a1212c-7c97-77a4-9786-d6fcb3f95ca6</t>
        </is>
      </c>
      <c r="D236" s="5" t="inlineStr">
        <is>
          <t>01a1212c-4b57-70cf-80fd-c2192cb3bf81</t>
        </is>
      </c>
      <c r="E236" s="4" t="n">
        <v>46304.62414398088</v>
      </c>
      <c r="F236" s="4" t="n">
        <v>46304.62414398097</v>
      </c>
      <c r="G236" t="b">
        <v>1</v>
      </c>
      <c r="H236" s="3" t="inlineStr">
        <is>
          <t>This parcel was created from trade 2023-08-04 | Buy | VGS | 13.0000 unit @ A$108.94 / unit</t>
        </is>
      </c>
      <c r="I236" t="inlineStr">
        <is>
          <t>parcel</t>
        </is>
      </c>
      <c r="J236" s="5" t="inlineStr">
        <is>
          <t>01a1212c-7c93-7218-ac5c-68804c19bade</t>
        </is>
      </c>
    </row>
    <row r="237">
      <c r="A237" s="5" t="inlineStr">
        <is>
          <t>01a1212c-7caf-77c0-aa03-1cccf82bff05</t>
        </is>
      </c>
      <c r="D237" s="5" t="inlineStr">
        <is>
          <t>01a1212c-4b57-70cf-80fd-c2192cb3bf81</t>
        </is>
      </c>
      <c r="E237" s="4" t="n">
        <v>46304.62414426024</v>
      </c>
      <c r="F237" s="4" t="n">
        <v>46304.62414426032</v>
      </c>
      <c r="G237" t="b">
        <v>1</v>
      </c>
      <c r="H237" s="3" t="inlineStr">
        <is>
          <t>This parcel was created from trade 2023-08-07 | Buy | AAPL | 3.0000 unit @ $178.85 / unit</t>
        </is>
      </c>
      <c r="I237" t="inlineStr">
        <is>
          <t>parcel</t>
        </is>
      </c>
      <c r="J237" s="5" t="inlineStr">
        <is>
          <t>01a1212c-7cac-747b-82d2-0e93cc948c3f</t>
        </is>
      </c>
    </row>
    <row r="238">
      <c r="A238" s="5" t="inlineStr">
        <is>
          <t>01a1212c-7cc6-7332-8028-0a9bbbb556fd</t>
        </is>
      </c>
      <c r="D238" s="5" t="inlineStr">
        <is>
          <t>01a1212c-4b57-70cf-80fd-c2192cb3bf81</t>
        </is>
      </c>
      <c r="E238" s="4" t="n">
        <v>46304.62414452147</v>
      </c>
      <c r="F238" s="4" t="n">
        <v>46304.62414452155</v>
      </c>
      <c r="G238" t="b">
        <v>1</v>
      </c>
      <c r="H238" s="3" t="inlineStr">
        <is>
          <t>This parcel was created from trade 2023-09-04 | Buy | A200 | 10.0000 unit @ A$122.68 / unit</t>
        </is>
      </c>
      <c r="I238" t="inlineStr">
        <is>
          <t>parcel</t>
        </is>
      </c>
      <c r="J238" s="5" t="inlineStr">
        <is>
          <t>01a1212c-7cc3-710b-ba9e-bdab308c142d</t>
        </is>
      </c>
    </row>
    <row r="239">
      <c r="A239" s="5" t="inlineStr">
        <is>
          <t>01a1212c-7cdb-7345-9c6b-65a18ff9363f</t>
        </is>
      </c>
      <c r="D239" s="5" t="inlineStr">
        <is>
          <t>01a1212c-4b57-70cf-80fd-c2192cb3bf81</t>
        </is>
      </c>
      <c r="E239" s="4" t="n">
        <v>46304.62414476698</v>
      </c>
      <c r="F239" s="4" t="n">
        <v>46304.62414476705</v>
      </c>
      <c r="G239" t="b">
        <v>1</v>
      </c>
      <c r="H239" s="3" t="inlineStr">
        <is>
          <t>This parcel was created from trade 2023-09-04 | Buy | VGS | 13.0000 unit @ A$110.32 / unit</t>
        </is>
      </c>
      <c r="I239" t="inlineStr">
        <is>
          <t>parcel</t>
        </is>
      </c>
      <c r="J239" s="5" t="inlineStr">
        <is>
          <t>01a1212c-7cd8-7474-85d2-7bfaa05c9923</t>
        </is>
      </c>
    </row>
    <row r="240">
      <c r="A240" s="5" t="inlineStr">
        <is>
          <t>01a1212c-7cf2-7468-9dec-4d3e90ebd76f</t>
        </is>
      </c>
      <c r="D240" s="5" t="inlineStr">
        <is>
          <t>01a1212c-4b57-70cf-80fd-c2192cb3bf81</t>
        </is>
      </c>
      <c r="E240" s="4" t="n">
        <v>46304.62414502823</v>
      </c>
      <c r="F240" s="4" t="n">
        <v>46304.6241450283</v>
      </c>
      <c r="G240" t="b">
        <v>1</v>
      </c>
      <c r="H240" s="3" t="inlineStr">
        <is>
          <t>This parcel was created from trade 2023-09-05 | Buy | AAPL | 1.0000 unit @ $189.70 / unit</t>
        </is>
      </c>
      <c r="I240" t="inlineStr">
        <is>
          <t>parcel</t>
        </is>
      </c>
      <c r="J240" s="5" t="inlineStr">
        <is>
          <t>01a1212c-7cee-74be-9ba6-b39f1f6211a4</t>
        </is>
      </c>
    </row>
    <row r="241">
      <c r="A241" s="5" t="inlineStr">
        <is>
          <t>01a1212c-7d09-769a-a422-b2e2ca1ed1af</t>
        </is>
      </c>
      <c r="D241" s="5" t="inlineStr">
        <is>
          <t>01a1212c-4b57-70cf-80fd-c2192cb3bf81</t>
        </is>
      </c>
      <c r="E241" s="4" t="n">
        <v>46304.62414529354</v>
      </c>
      <c r="F241" s="4" t="n">
        <v>46304.62414529362</v>
      </c>
      <c r="G241" t="b">
        <v>1</v>
      </c>
      <c r="H241" s="3" t="inlineStr">
        <is>
          <t>This parcel was created from trade 2023-09-11 | Buy | AAPL | 2.0000 unit @ $179.36 / unit</t>
        </is>
      </c>
      <c r="I241" t="inlineStr">
        <is>
          <t>parcel</t>
        </is>
      </c>
      <c r="J241" s="5" t="inlineStr">
        <is>
          <t>01a1212c-7d05-74a7-9d21-216dbaf076bf</t>
        </is>
      </c>
    </row>
    <row r="242">
      <c r="A242" s="5" t="inlineStr">
        <is>
          <t>01a1212c-7d20-739c-b808-9fdc70eb9b8b</t>
        </is>
      </c>
      <c r="D242" s="5" t="inlineStr">
        <is>
          <t>01a1212c-4b57-70cf-80fd-c2192cb3bf81</t>
        </is>
      </c>
      <c r="E242" s="4" t="n">
        <v>46304.62414556205</v>
      </c>
      <c r="F242" s="4" t="n">
        <v>46304.62414556212</v>
      </c>
      <c r="G242" t="b">
        <v>1</v>
      </c>
      <c r="H242" s="3" t="inlineStr">
        <is>
          <t>This parcel was created from trade 2023-09-22 | Buy | MSFT | 1.0000 unit @ $317.01 / unit</t>
        </is>
      </c>
      <c r="I242" t="inlineStr">
        <is>
          <t>parcel</t>
        </is>
      </c>
      <c r="J242" s="5" t="inlineStr">
        <is>
          <t>01a1212c-7d1d-7176-810f-e34a8b03dcf5</t>
        </is>
      </c>
    </row>
    <row r="243">
      <c r="A243" s="5" t="inlineStr">
        <is>
          <t>01a1212c-7d37-7494-a7a4-78aadc2a16b0</t>
        </is>
      </c>
      <c r="D243" s="5" t="inlineStr">
        <is>
          <t>01a1212c-4b57-70cf-80fd-c2192cb3bf81</t>
        </is>
      </c>
      <c r="E243" s="4" t="n">
        <v>46304.62414582467</v>
      </c>
      <c r="F243" s="4" t="n">
        <v>46304.62414582476</v>
      </c>
      <c r="G243" t="b">
        <v>1</v>
      </c>
      <c r="H243" s="3" t="inlineStr">
        <is>
          <t>This parcel was created from trade 2023-10-06 | Buy | A200 | 7.0000 unit @ A$115.56 / unit</t>
        </is>
      </c>
      <c r="I243" t="inlineStr">
        <is>
          <t>parcel</t>
        </is>
      </c>
      <c r="J243" s="5" t="inlineStr">
        <is>
          <t>01a1212c-7d33-7324-9c89-c291b3770527</t>
        </is>
      </c>
    </row>
    <row r="244">
      <c r="A244" s="5" t="inlineStr">
        <is>
          <t>01a1212c-7d4e-76d8-8c07-e03f7c5ce825</t>
        </is>
      </c>
      <c r="D244" s="5" t="inlineStr">
        <is>
          <t>01a1212c-4b57-70cf-80fd-c2192cb3bf81</t>
        </is>
      </c>
      <c r="E244" s="4" t="n">
        <v>46304.62414609011</v>
      </c>
      <c r="F244" s="4" t="n">
        <v>46304.62414609019</v>
      </c>
      <c r="G244" t="b">
        <v>1</v>
      </c>
      <c r="H244" s="3" t="inlineStr">
        <is>
          <t>This parcel was created from trade 2023-10-06 | Buy | VGS | 9.0000 unit @ A$105.01 / unit</t>
        </is>
      </c>
      <c r="I244" t="inlineStr">
        <is>
          <t>parcel</t>
        </is>
      </c>
      <c r="J244" s="5" t="inlineStr">
        <is>
          <t>01a1212c-7d4a-734e-9dd8-ba2ea752fce4</t>
        </is>
      </c>
    </row>
    <row r="245">
      <c r="A245" s="5" t="inlineStr">
        <is>
          <t>01a1212c-7d64-76cc-9c2d-41592af86fd7</t>
        </is>
      </c>
      <c r="D245" s="5" t="inlineStr">
        <is>
          <t>01a1212c-4b57-70cf-80fd-c2192cb3bf81</t>
        </is>
      </c>
      <c r="E245" s="4" t="n">
        <v>46304.62414635353</v>
      </c>
      <c r="F245" s="4" t="n">
        <v>46304.6241463536</v>
      </c>
      <c r="G245" t="b">
        <v>1</v>
      </c>
      <c r="H245" s="3" t="inlineStr">
        <is>
          <t>This parcel was created from trade 2023-10-31 | Buy | AMZN | 6.0000 unit @ $133.09 / unit</t>
        </is>
      </c>
      <c r="I245" t="inlineStr">
        <is>
          <t>parcel</t>
        </is>
      </c>
      <c r="J245" s="5" t="inlineStr">
        <is>
          <t>01a1212c-7d61-74b0-bb7b-74bb45a41beb</t>
        </is>
      </c>
    </row>
    <row r="246">
      <c r="A246" s="5" t="inlineStr">
        <is>
          <t>01a1212c-7d79-7423-a9c0-c193a818c3fb</t>
        </is>
      </c>
      <c r="D246" s="5" t="inlineStr">
        <is>
          <t>01a1212c-4b57-70cf-80fd-c2192cb3bf81</t>
        </is>
      </c>
      <c r="E246" s="4" t="n">
        <v>46304.62414659705</v>
      </c>
      <c r="F246" s="4" t="n">
        <v>46304.62414659712</v>
      </c>
      <c r="G246" t="b">
        <v>1</v>
      </c>
      <c r="H246" s="3" t="inlineStr">
        <is>
          <t>This parcel was created from trade 2023-11-02 | Buy | A200 | 13.0000 unit @ A$114.66 / unit</t>
        </is>
      </c>
      <c r="I246" t="inlineStr">
        <is>
          <t>parcel</t>
        </is>
      </c>
      <c r="J246" s="5" t="inlineStr">
        <is>
          <t>01a1212c-7d76-712c-8870-92d0cd93b8d1</t>
        </is>
      </c>
    </row>
    <row r="247">
      <c r="A247" s="5" t="inlineStr">
        <is>
          <t>01a1212c-7d8f-742b-ba66-47448fad6ab0</t>
        </is>
      </c>
      <c r="D247" s="5" t="inlineStr">
        <is>
          <t>01a1212c-4b57-70cf-80fd-c2192cb3bf81</t>
        </is>
      </c>
      <c r="E247" s="4" t="n">
        <v>46304.62414684361</v>
      </c>
      <c r="F247" s="4" t="n">
        <v>46304.62414684368</v>
      </c>
      <c r="G247" t="b">
        <v>1</v>
      </c>
      <c r="H247" s="3" t="inlineStr">
        <is>
          <t>This parcel was created from trade 2023-11-02 | Buy | VGS | 18.0000 unit @ A$103.99 / unit</t>
        </is>
      </c>
      <c r="I247" t="inlineStr">
        <is>
          <t>parcel</t>
        </is>
      </c>
      <c r="J247" s="5" t="inlineStr">
        <is>
          <t>01a1212c-7d8b-7334-b6a0-e0fad4eda28a</t>
        </is>
      </c>
    </row>
    <row r="248">
      <c r="A248" s="5" t="inlineStr">
        <is>
          <t>01a1212c-7da5-7716-aea5-69af83338fe7</t>
        </is>
      </c>
      <c r="D248" s="5" t="inlineStr">
        <is>
          <t>01a1212c-4b57-70cf-80fd-c2192cb3bf81</t>
        </is>
      </c>
      <c r="E248" s="4" t="n">
        <v>46304.62414710111</v>
      </c>
      <c r="F248" s="4" t="n">
        <v>46304.62414710119</v>
      </c>
      <c r="G248" t="b">
        <v>1</v>
      </c>
      <c r="H248" s="3" t="inlineStr">
        <is>
          <t>This parcel was created from trade 2023-11-14 | Buy | AAPL | 2.0000 unit @ $187.44 / unit</t>
        </is>
      </c>
      <c r="I248" t="inlineStr">
        <is>
          <t>parcel</t>
        </is>
      </c>
      <c r="J248" s="5" t="inlineStr">
        <is>
          <t>01a1212c-7da2-7099-a990-5ef9828c15ea</t>
        </is>
      </c>
    </row>
    <row r="249">
      <c r="A249" s="5" t="inlineStr">
        <is>
          <t>01a1212c-7dbb-7478-ab3e-30a73364ab88</t>
        </is>
      </c>
      <c r="D249" s="5" t="inlineStr">
        <is>
          <t>01a1212c-4b57-70cf-80fd-c2192cb3bf81</t>
        </is>
      </c>
      <c r="E249" s="4" t="n">
        <v>46304.62414735168</v>
      </c>
      <c r="F249" s="4" t="n">
        <v>46304.62414735176</v>
      </c>
      <c r="G249" t="b">
        <v>1</v>
      </c>
      <c r="H249" s="3" t="inlineStr">
        <is>
          <t>This parcel was created from trade 2023-12-04 | Buy | A200 | 12.0000 unit @ A$119.00 / unit</t>
        </is>
      </c>
      <c r="I249" t="inlineStr">
        <is>
          <t>parcel</t>
        </is>
      </c>
      <c r="J249" s="5" t="inlineStr">
        <is>
          <t>01a1212c-7db7-7326-bd92-bfd54a0d5780</t>
        </is>
      </c>
    </row>
    <row r="250">
      <c r="A250" s="5" t="inlineStr">
        <is>
          <t>01a1212c-7dd0-7731-be91-38a80d005499</t>
        </is>
      </c>
      <c r="D250" s="5" t="inlineStr">
        <is>
          <t>01a1212c-4b57-70cf-80fd-c2192cb3bf81</t>
        </is>
      </c>
      <c r="E250" s="4" t="n">
        <v>46304.62414759769</v>
      </c>
      <c r="F250" s="4" t="n">
        <v>46304.62414759782</v>
      </c>
      <c r="G250" t="b">
        <v>1</v>
      </c>
      <c r="H250" s="3" t="inlineStr">
        <is>
          <t>This parcel was created from trade 2023-12-04 | Buy | VGS | 16.0000 unit @ A$108.70 / unit</t>
        </is>
      </c>
      <c r="I250" t="inlineStr">
        <is>
          <t>parcel</t>
        </is>
      </c>
      <c r="J250" s="5" t="inlineStr">
        <is>
          <t>01a1212c-7dcc-7701-8351-3152abe5f99d</t>
        </is>
      </c>
    </row>
    <row r="251">
      <c r="A251" s="5" t="inlineStr">
        <is>
          <t>01a1212c-7de8-75e0-81c8-2d90f4575930</t>
        </is>
      </c>
      <c r="D251" s="5" t="inlineStr">
        <is>
          <t>01a1212c-4b57-70cf-80fd-c2192cb3bf81</t>
        </is>
      </c>
      <c r="E251" s="4" t="n">
        <v>46304.62414787502</v>
      </c>
      <c r="F251" s="4" t="n">
        <v>46304.62414787509</v>
      </c>
      <c r="G251" t="b">
        <v>1</v>
      </c>
      <c r="H251" s="3" t="inlineStr">
        <is>
          <t>This parcel was created from trade 2023-12-11 | Buy | MSFT | 1.0000 unit @ $371.30 / unit</t>
        </is>
      </c>
      <c r="I251" t="inlineStr">
        <is>
          <t>parcel</t>
        </is>
      </c>
      <c r="J251" s="5" t="inlineStr">
        <is>
          <t>01a1212c-7de4-74fb-8447-aee738aec9e9</t>
        </is>
      </c>
    </row>
    <row r="252">
      <c r="A252" s="5" t="inlineStr">
        <is>
          <t>01a1212c-7dfe-773a-90e6-60a64080ea81</t>
        </is>
      </c>
      <c r="D252" s="5" t="inlineStr">
        <is>
          <t>01a1212c-4b57-70cf-80fd-c2192cb3bf81</t>
        </is>
      </c>
      <c r="E252" s="4" t="n">
        <v>46304.62414813481</v>
      </c>
      <c r="F252" s="4" t="n">
        <v>46304.6241481349</v>
      </c>
      <c r="G252" t="b">
        <v>1</v>
      </c>
      <c r="H252" s="3" t="inlineStr">
        <is>
          <t>This parcel was created from trade 2024-01-03 | Buy | A200 | 10.0000 unit @ A$124.78 / unit</t>
        </is>
      </c>
      <c r="I252" t="inlineStr">
        <is>
          <t>parcel</t>
        </is>
      </c>
      <c r="J252" s="5" t="inlineStr">
        <is>
          <t>01a1212c-7dfb-75d7-ba94-122fd9117b76</t>
        </is>
      </c>
    </row>
    <row r="253">
      <c r="A253" s="5" t="inlineStr">
        <is>
          <t>01a1212c-7e14-71c2-8079-3c17634a960f</t>
        </is>
      </c>
      <c r="D253" s="5" t="inlineStr">
        <is>
          <t>01a1212c-4b57-70cf-80fd-c2192cb3bf81</t>
        </is>
      </c>
      <c r="E253" s="4" t="n">
        <v>46304.62414838471</v>
      </c>
      <c r="F253" s="4" t="n">
        <v>46304.62414838479</v>
      </c>
      <c r="G253" t="b">
        <v>1</v>
      </c>
      <c r="H253" s="3" t="inlineStr">
        <is>
          <t>This parcel was created from trade 2024-01-03 | Buy | VGS | 13.0000 unit @ A$110.03 / unit</t>
        </is>
      </c>
      <c r="I253" t="inlineStr">
        <is>
          <t>parcel</t>
        </is>
      </c>
      <c r="J253" s="5" t="inlineStr">
        <is>
          <t>01a1212c-7e10-777c-a374-00f6692d2a3f</t>
        </is>
      </c>
    </row>
    <row r="254">
      <c r="A254" s="5" t="inlineStr">
        <is>
          <t>01a1212c-7e29-7754-8ec2-b02fd394c994</t>
        </is>
      </c>
      <c r="D254" s="5" t="inlineStr">
        <is>
          <t>01a1212c-4b57-70cf-80fd-c2192cb3bf81</t>
        </is>
      </c>
      <c r="E254" s="4" t="n">
        <v>46304.62414862725</v>
      </c>
      <c r="F254" s="4" t="n">
        <v>46304.62414862733</v>
      </c>
      <c r="G254" t="b">
        <v>1</v>
      </c>
      <c r="H254" s="3" t="inlineStr">
        <is>
          <t>This parcel was created from trade 2024-01-15 | Buy | BHP | 17.0000 unit @ A$47.27 / unit</t>
        </is>
      </c>
      <c r="I254" t="inlineStr">
        <is>
          <t>parcel</t>
        </is>
      </c>
      <c r="J254" s="5" t="inlineStr">
        <is>
          <t>01a1212c-7e26-770e-ac4d-91ace45df0b3</t>
        </is>
      </c>
    </row>
    <row r="255">
      <c r="A255" s="5" t="inlineStr">
        <is>
          <t>01a1212c-7e3e-7172-875a-cba9044a011a</t>
        </is>
      </c>
      <c r="D255" s="5" t="inlineStr">
        <is>
          <t>01a1212c-4b57-70cf-80fd-c2192cb3bf81</t>
        </is>
      </c>
      <c r="E255" s="4" t="n">
        <v>46304.62414887034</v>
      </c>
      <c r="F255" s="4" t="n">
        <v>46304.6241488704</v>
      </c>
      <c r="G255" t="b">
        <v>1</v>
      </c>
      <c r="H255" s="3" t="inlineStr">
        <is>
          <t>This parcel was created from trade 2024-01-16 | Buy | AAPL | 4.0000 unit @ $183.63 / unit</t>
        </is>
      </c>
      <c r="I255" t="inlineStr">
        <is>
          <t>parcel</t>
        </is>
      </c>
      <c r="J255" s="5" t="inlineStr">
        <is>
          <t>01a1212c-7e3a-7261-b26b-ee9cb1a95a7b</t>
        </is>
      </c>
    </row>
    <row r="256">
      <c r="A256" s="5" t="inlineStr">
        <is>
          <t>01a1212c-7e53-73b5-ab41-3229e2da1a95</t>
        </is>
      </c>
      <c r="D256" s="5" t="inlineStr">
        <is>
          <t>01a1212c-4b57-70cf-80fd-c2192cb3bf81</t>
        </is>
      </c>
      <c r="E256" s="4" t="n">
        <v>46304.6241491179</v>
      </c>
      <c r="F256" s="4" t="n">
        <v>46304.62414911798</v>
      </c>
      <c r="G256" t="b">
        <v>1</v>
      </c>
      <c r="H256" s="3" t="inlineStr">
        <is>
          <t>This parcel was created from trade 2024-02-05 | Buy | A200 | 7.0000 unit @ A$126.59 / unit</t>
        </is>
      </c>
      <c r="I256" t="inlineStr">
        <is>
          <t>parcel</t>
        </is>
      </c>
      <c r="J256" s="5" t="inlineStr">
        <is>
          <t>01a1212c-7e50-73f9-807d-1e47e88c5210</t>
        </is>
      </c>
    </row>
    <row r="257">
      <c r="A257" s="5" t="inlineStr">
        <is>
          <t>01a1212c-7e69-70fd-ae4a-b0ce9f924db8</t>
        </is>
      </c>
      <c r="D257" s="5" t="inlineStr">
        <is>
          <t>01a1212c-4b57-70cf-80fd-c2192cb3bf81</t>
        </is>
      </c>
      <c r="E257" s="4" t="n">
        <v>46304.62414937354</v>
      </c>
      <c r="F257" s="4" t="n">
        <v>46304.62414937365</v>
      </c>
      <c r="G257" t="b">
        <v>1</v>
      </c>
      <c r="H257" s="3" t="inlineStr">
        <is>
          <t>This parcel was created from trade 2024-02-05 | Buy | VGS | 10.0000 unit @ A$118.12 / unit</t>
        </is>
      </c>
      <c r="I257" t="inlineStr">
        <is>
          <t>parcel</t>
        </is>
      </c>
      <c r="J257" s="5" t="inlineStr">
        <is>
          <t>01a1212c-7e65-7249-9d82-ba878df56810</t>
        </is>
      </c>
    </row>
    <row r="258">
      <c r="A258" s="5" t="inlineStr">
        <is>
          <t>01a1212c-7e7f-76d8-9728-7e53bcb847d5</t>
        </is>
      </c>
      <c r="D258" s="5" t="inlineStr">
        <is>
          <t>01a1212c-4b57-70cf-80fd-c2192cb3bf81</t>
        </is>
      </c>
      <c r="E258" s="4" t="n">
        <v>46304.62414961934</v>
      </c>
      <c r="F258" s="4" t="n">
        <v>46304.62414961942</v>
      </c>
      <c r="G258" t="b">
        <v>1</v>
      </c>
      <c r="H258" s="3" t="inlineStr">
        <is>
          <t>This parcel was created from trade 2024-03-04 | Buy | A200 | 11.0000 unit @ A$129.19 / unit</t>
        </is>
      </c>
      <c r="I258" t="inlineStr">
        <is>
          <t>parcel</t>
        </is>
      </c>
      <c r="J258" s="5" t="inlineStr">
        <is>
          <t>01a1212c-7e7b-76c0-818c-fef3acac6fca</t>
        </is>
      </c>
    </row>
    <row r="259">
      <c r="A259" s="5" t="inlineStr">
        <is>
          <t>01a1212c-7e94-74cd-93e3-b42901154c79</t>
        </is>
      </c>
      <c r="D259" s="5" t="inlineStr">
        <is>
          <t>01a1212c-4b57-70cf-80fd-c2192cb3bf81</t>
        </is>
      </c>
      <c r="E259" s="4" t="n">
        <v>46304.62414987103</v>
      </c>
      <c r="F259" s="4" t="n">
        <v>46304.62414987111</v>
      </c>
      <c r="G259" t="b">
        <v>1</v>
      </c>
      <c r="H259" s="3" t="inlineStr">
        <is>
          <t>This parcel was created from trade 2024-03-04 | Buy | VGS | 15.0000 unit @ A$122.61 / unit</t>
        </is>
      </c>
      <c r="I259" t="inlineStr">
        <is>
          <t>parcel</t>
        </is>
      </c>
      <c r="J259" s="5" t="inlineStr">
        <is>
          <t>01a1212c-7e90-7233-ab00-a795c8d91f6d</t>
        </is>
      </c>
    </row>
    <row r="260">
      <c r="A260" s="5" t="inlineStr">
        <is>
          <t>01a1212c-7eaa-731d-97ee-b919f6eaaa54</t>
        </is>
      </c>
      <c r="D260" s="5" t="inlineStr">
        <is>
          <t>01a1212c-4b57-70cf-80fd-c2192cb3bf81</t>
        </is>
      </c>
      <c r="E260" s="4" t="n">
        <v>46304.62415012039</v>
      </c>
      <c r="F260" s="4" t="n">
        <v>46304.62415012047</v>
      </c>
      <c r="G260" t="b">
        <v>1</v>
      </c>
      <c r="H260" s="3" t="inlineStr">
        <is>
          <t>This parcel was created from trade 2024-04-04 | Buy | A200 | 5.0000 unit @ A$130.41 / unit</t>
        </is>
      </c>
      <c r="I260" t="inlineStr">
        <is>
          <t>parcel</t>
        </is>
      </c>
      <c r="J260" s="5" t="inlineStr">
        <is>
          <t>01a1212c-7ea6-71ad-9cc5-23cdd231e2ec</t>
        </is>
      </c>
    </row>
    <row r="261">
      <c r="A261" s="5" t="inlineStr">
        <is>
          <t>01a1212c-7ec1-72f3-a41d-e846f5bbd177</t>
        </is>
      </c>
      <c r="D261" s="5" t="inlineStr">
        <is>
          <t>01a1212c-4b57-70cf-80fd-c2192cb3bf81</t>
        </is>
      </c>
      <c r="E261" s="4" t="n">
        <v>46304.62415038452</v>
      </c>
      <c r="F261" s="4" t="n">
        <v>46304.6241503846</v>
      </c>
      <c r="G261" t="b">
        <v>1</v>
      </c>
      <c r="H261" s="3" t="inlineStr">
        <is>
          <t>This parcel was created from trade 2024-04-04 | Buy | VGS | 7.0000 unit @ A$122.70 / unit</t>
        </is>
      </c>
      <c r="I261" t="inlineStr">
        <is>
          <t>parcel</t>
        </is>
      </c>
      <c r="J261" s="5" t="inlineStr">
        <is>
          <t>01a1212c-7ebd-72be-82a1-cd941a25caaa</t>
        </is>
      </c>
    </row>
    <row r="262">
      <c r="A262" s="5" t="inlineStr">
        <is>
          <t>01a1212c-7eda-76b0-9ed2-3fe4a4888c26</t>
        </is>
      </c>
      <c r="D262" s="5" t="inlineStr">
        <is>
          <t>01a1212c-4b57-70cf-80fd-c2192cb3bf81</t>
        </is>
      </c>
      <c r="E262" s="4" t="n">
        <v>46304.62415068202</v>
      </c>
      <c r="F262" s="4" t="n">
        <v>46304.62415068211</v>
      </c>
      <c r="G262" t="b">
        <v>1</v>
      </c>
      <c r="H262" s="3" t="inlineStr">
        <is>
          <t>This parcel was created from trade 2024-04-22 | Buy | AAPL | 3.0000 unit @ $165.84 / unit</t>
        </is>
      </c>
      <c r="I262" t="inlineStr">
        <is>
          <t>parcel</t>
        </is>
      </c>
      <c r="J262" s="5" t="inlineStr">
        <is>
          <t>01a1212c-7ed6-739f-9195-669859544633</t>
        </is>
      </c>
    </row>
    <row r="263">
      <c r="A263" s="5" t="inlineStr">
        <is>
          <t>01a1212c-7eff-7442-bfe8-c8b1337a6272</t>
        </is>
      </c>
      <c r="D263" s="5" t="inlineStr">
        <is>
          <t>01a1212c-4b57-70cf-80fd-c2192cb3bf81</t>
        </is>
      </c>
      <c r="E263" s="4" t="n">
        <v>46304.62415110356</v>
      </c>
      <c r="F263" s="4" t="n">
        <v>46304.62415110364</v>
      </c>
      <c r="G263" t="b">
        <v>1</v>
      </c>
      <c r="H263" s="3" t="inlineStr">
        <is>
          <t>This parcel was created from trade 2024-04-29 | Buy | AMZN | 2.0000 unit @ $180.96 / unit</t>
        </is>
      </c>
      <c r="I263" t="inlineStr">
        <is>
          <t>parcel</t>
        </is>
      </c>
      <c r="J263" s="5" t="inlineStr">
        <is>
          <t>01a1212c-7efa-74ec-985a-91b7de0bbd04</t>
        </is>
      </c>
    </row>
    <row r="264">
      <c r="A264" s="5" t="inlineStr">
        <is>
          <t>01a1212c-7f18-741c-b0c7-a69ec8015687</t>
        </is>
      </c>
      <c r="D264" s="5" t="inlineStr">
        <is>
          <t>01a1212c-4b57-70cf-80fd-c2192cb3bf81</t>
        </is>
      </c>
      <c r="E264" s="4" t="n">
        <v>46304.62415139731</v>
      </c>
      <c r="F264" s="4" t="n">
        <v>46304.62415139739</v>
      </c>
      <c r="G264" t="b">
        <v>1</v>
      </c>
      <c r="H264" s="3" t="inlineStr">
        <is>
          <t>This parcel was created from trade 2024-05-06 | Buy | A200 | 7.0000 unit @ A$128.11 / unit</t>
        </is>
      </c>
      <c r="I264" t="inlineStr">
        <is>
          <t>parcel</t>
        </is>
      </c>
      <c r="J264" s="5" t="inlineStr">
        <is>
          <t>01a1212c-7f14-75f8-8ffb-196cb0bbed88</t>
        </is>
      </c>
    </row>
    <row r="265">
      <c r="A265" s="5" t="inlineStr">
        <is>
          <t>01a1212c-7f31-7393-94b6-8899afada9f2</t>
        </is>
      </c>
      <c r="D265" s="5" t="inlineStr">
        <is>
          <t>01a1212c-4b57-70cf-80fd-c2192cb3bf81</t>
        </is>
      </c>
      <c r="E265" s="4" t="n">
        <v>46304.62415168104</v>
      </c>
      <c r="F265" s="4" t="n">
        <v>46304.62415168116</v>
      </c>
      <c r="G265" t="b">
        <v>1</v>
      </c>
      <c r="H265" s="3" t="inlineStr">
        <is>
          <t>This parcel was created from trade 2024-05-06 | Buy | VGS | 10.0000 unit @ A$120.31 / unit</t>
        </is>
      </c>
      <c r="I265" t="inlineStr">
        <is>
          <t>parcel</t>
        </is>
      </c>
      <c r="J265" s="5" t="inlineStr">
        <is>
          <t>01a1212c-7f2c-75c9-9309-0af4d65f362e</t>
        </is>
      </c>
    </row>
    <row r="266">
      <c r="A266" s="5" t="inlineStr">
        <is>
          <t>01a1212c-7f4e-77c9-9dff-9a99f82cd071</t>
        </is>
      </c>
      <c r="D266" s="5" t="inlineStr">
        <is>
          <t>01a1212c-4b57-70cf-80fd-c2192cb3bf81</t>
        </is>
      </c>
      <c r="E266" s="4" t="n">
        <v>46304.62415202203</v>
      </c>
      <c r="F266" s="4" t="n">
        <v>46304.62415202211</v>
      </c>
      <c r="G266" t="b">
        <v>1</v>
      </c>
      <c r="H266" s="3" t="inlineStr">
        <is>
          <t>This parcel was created from trade 2024-05-20 | Buy | AMZN | 3.0000 unit @ $183.54 / unit</t>
        </is>
      </c>
      <c r="I266" t="inlineStr">
        <is>
          <t>parcel</t>
        </is>
      </c>
      <c r="J266" s="5" t="inlineStr">
        <is>
          <t>01a1212c-7f4b-74ac-885c-dc25fc05e747</t>
        </is>
      </c>
    </row>
    <row r="267">
      <c r="A267" s="5" t="inlineStr">
        <is>
          <t>01a1212c-7f64-707b-8001-b2de75676ba9</t>
        </is>
      </c>
      <c r="D267" s="5" t="inlineStr">
        <is>
          <t>01a1212c-4b57-70cf-80fd-c2192cb3bf81</t>
        </is>
      </c>
      <c r="E267" s="4" t="n">
        <v>46304.62415227966</v>
      </c>
      <c r="F267" s="4" t="n">
        <v>46304.62415227974</v>
      </c>
      <c r="G267" t="b">
        <v>1</v>
      </c>
      <c r="H267" s="3" t="inlineStr">
        <is>
          <t>This parcel was created from trade 2024-06-03 | Buy | A200 | 6.0000 unit @ A$130.02 / unit</t>
        </is>
      </c>
      <c r="I267" t="inlineStr">
        <is>
          <t>parcel</t>
        </is>
      </c>
      <c r="J267" s="5" t="inlineStr">
        <is>
          <t>01a1212c-7f61-7533-8196-5477e4952cf6</t>
        </is>
      </c>
    </row>
    <row r="268">
      <c r="A268" s="5" t="inlineStr">
        <is>
          <t>01a1212c-7f7a-70f7-9981-68d139b29273</t>
        </is>
      </c>
      <c r="D268" s="5" t="inlineStr">
        <is>
          <t>01a1212c-4b57-70cf-80fd-c2192cb3bf81</t>
        </is>
      </c>
      <c r="E268" s="4" t="n">
        <v>46304.62415252574</v>
      </c>
      <c r="F268" s="4" t="n">
        <v>46304.62415252581</v>
      </c>
      <c r="G268" t="b">
        <v>1</v>
      </c>
      <c r="H268" s="3" t="inlineStr">
        <is>
          <t>This parcel was created from trade 2024-06-03 | Buy | VGS | 8.0000 unit @ A$123.61 / unit</t>
        </is>
      </c>
      <c r="I268" t="inlineStr">
        <is>
          <t>parcel</t>
        </is>
      </c>
      <c r="J268" s="5" t="inlineStr">
        <is>
          <t>01a1212c-7f76-750b-8c82-933100b7cca2</t>
        </is>
      </c>
    </row>
    <row r="269">
      <c r="A269" s="5" t="inlineStr">
        <is>
          <t>01a1212c-7f90-70d8-802a-d22b2281cf1d</t>
        </is>
      </c>
      <c r="D269" s="5" t="inlineStr">
        <is>
          <t>01a1212c-4b57-70cf-80fd-c2192cb3bf81</t>
        </is>
      </c>
      <c r="E269" s="4" t="n">
        <v>46304.62415279003</v>
      </c>
      <c r="F269" s="4" t="n">
        <v>46304.62415279011</v>
      </c>
      <c r="G269" t="b">
        <v>1</v>
      </c>
      <c r="H269" s="3" t="inlineStr">
        <is>
          <t>This parcel was created from trade 2024-06-20 | Buy | AAPL | 3.0000 unit @ $209.68 / unit</t>
        </is>
      </c>
      <c r="I269" t="inlineStr">
        <is>
          <t>parcel</t>
        </is>
      </c>
      <c r="J269" s="5" t="inlineStr">
        <is>
          <t>01a1212c-7f8d-74e9-9145-5dfc237edf08</t>
        </is>
      </c>
    </row>
    <row r="270">
      <c r="A270" s="5" t="inlineStr">
        <is>
          <t>01a1212c-7fa8-725e-8622-5e6d831c809e</t>
        </is>
      </c>
      <c r="D270" s="5" t="inlineStr">
        <is>
          <t>01a1212c-4b57-70cf-80fd-c2192cb3bf81</t>
        </is>
      </c>
      <c r="E270" s="4" t="n">
        <v>46304.62415306198</v>
      </c>
      <c r="F270" s="4" t="n">
        <v>46304.62415306206</v>
      </c>
      <c r="G270" t="b">
        <v>1</v>
      </c>
      <c r="H270" s="3" t="inlineStr">
        <is>
          <t>This parcel was created from trade 2024-07-02 | Buy | A200 | 10.0000 unit @ A$128.70 / unit</t>
        </is>
      </c>
      <c r="I270" t="inlineStr">
        <is>
          <t>parcel</t>
        </is>
      </c>
      <c r="J270" s="5" t="inlineStr">
        <is>
          <t>01a1212c-7fa4-7173-99b5-867d9d063b1f</t>
        </is>
      </c>
    </row>
    <row r="271">
      <c r="A271" s="5" t="inlineStr">
        <is>
          <t>01a1212c-7fbf-706c-a519-c7c98b1354c3</t>
        </is>
      </c>
      <c r="D271" s="5" t="inlineStr">
        <is>
          <t>01a1212c-4b57-70cf-80fd-c2192cb3bf81</t>
        </is>
      </c>
      <c r="E271" s="4" t="n">
        <v>46304.62415332426</v>
      </c>
      <c r="F271" s="4" t="n">
        <v>46304.62415332435</v>
      </c>
      <c r="G271" t="b">
        <v>1</v>
      </c>
      <c r="H271" s="3" t="inlineStr">
        <is>
          <t>This parcel was created from trade 2024-07-02 | Buy | VGS | 13.0000 unit @ A$123.56 / unit</t>
        </is>
      </c>
      <c r="I271" t="inlineStr">
        <is>
          <t>parcel</t>
        </is>
      </c>
      <c r="J271" s="5" t="inlineStr">
        <is>
          <t>01a1212c-7fbb-72bc-a78d-49a973132be2</t>
        </is>
      </c>
    </row>
    <row r="272">
      <c r="A272" s="5" t="inlineStr">
        <is>
          <t>01a1212c-7fd5-77e9-b539-9a117ceea613</t>
        </is>
      </c>
      <c r="D272" s="5" t="inlineStr">
        <is>
          <t>01a1212c-4b57-70cf-80fd-c2192cb3bf81</t>
        </is>
      </c>
      <c r="E272" s="4" t="n">
        <v>46304.6241535836</v>
      </c>
      <c r="F272" s="4" t="n">
        <v>46304.62415358368</v>
      </c>
      <c r="G272" t="b">
        <v>1</v>
      </c>
      <c r="H272" s="3" t="inlineStr">
        <is>
          <t>This parcel was created from trade 2024-08-05 | Buy | A200 | 7.0000 unit @ A$127.61 / unit</t>
        </is>
      </c>
      <c r="I272" t="inlineStr">
        <is>
          <t>parcel</t>
        </is>
      </c>
      <c r="J272" s="5" t="inlineStr">
        <is>
          <t>01a1212c-7fd2-7231-aacb-7904f54b1267</t>
        </is>
      </c>
    </row>
    <row r="273">
      <c r="A273" s="5" t="inlineStr">
        <is>
          <t>01a1212c-7feb-7163-98fd-462e22fddb70</t>
        </is>
      </c>
      <c r="D273" s="5" t="inlineStr">
        <is>
          <t>01a1212c-4b57-70cf-80fd-c2192cb3bf81</t>
        </is>
      </c>
      <c r="E273" s="4" t="n">
        <v>46304.62415383878</v>
      </c>
      <c r="F273" s="4" t="n">
        <v>46304.62415383886</v>
      </c>
      <c r="G273" t="b">
        <v>1</v>
      </c>
      <c r="H273" s="3" t="inlineStr">
        <is>
          <t>This parcel was created from trade 2024-08-05 | Buy | VGS | 9.0000 unit @ A$121.59 / unit</t>
        </is>
      </c>
      <c r="I273" t="inlineStr">
        <is>
          <t>parcel</t>
        </is>
      </c>
      <c r="J273" s="5" t="inlineStr">
        <is>
          <t>01a1212c-7fe7-724d-8a89-076f1a271cfd</t>
        </is>
      </c>
    </row>
    <row r="274">
      <c r="A274" s="5" t="inlineStr">
        <is>
          <t>01a1212c-8001-73f0-843b-da66483a2802</t>
        </is>
      </c>
      <c r="D274" s="5" t="inlineStr">
        <is>
          <t>01a1212c-4b57-70cf-80fd-c2192cb3bf81</t>
        </is>
      </c>
      <c r="E274" s="4" t="n">
        <v>46304.62415409023</v>
      </c>
      <c r="F274" s="4" t="n">
        <v>46304.6241540903</v>
      </c>
      <c r="G274" t="b">
        <v>1</v>
      </c>
      <c r="H274" s="3" t="inlineStr">
        <is>
          <t>This parcel was created from trade 2024-09-06 | Buy | A200 | 5.0000 unit @ A$134.60 / unit</t>
        </is>
      </c>
      <c r="I274" t="inlineStr">
        <is>
          <t>parcel</t>
        </is>
      </c>
      <c r="J274" s="5" t="inlineStr">
        <is>
          <t>01a1212c-7ffd-75da-ba2d-0ae9777055b3</t>
        </is>
      </c>
    </row>
    <row r="275">
      <c r="A275" s="5" t="inlineStr">
        <is>
          <t>01a1212c-8016-7077-b1f4-189df9b9004d</t>
        </is>
      </c>
      <c r="D275" s="5" t="inlineStr">
        <is>
          <t>01a1212c-4b57-70cf-80fd-c2192cb3bf81</t>
        </is>
      </c>
      <c r="E275" s="4" t="n">
        <v>46304.62415433705</v>
      </c>
      <c r="F275" s="4" t="n">
        <v>46304.62415433712</v>
      </c>
      <c r="G275" t="b">
        <v>1</v>
      </c>
      <c r="H275" s="3" t="inlineStr">
        <is>
          <t>This parcel was created from trade 2024-09-06 | Buy | VGS | 6.0000 unit @ A$123.75 / unit</t>
        </is>
      </c>
      <c r="I275" t="inlineStr">
        <is>
          <t>parcel</t>
        </is>
      </c>
      <c r="J275" s="5" t="inlineStr">
        <is>
          <t>01a1212c-8013-700d-9ef5-c42363865635</t>
        </is>
      </c>
    </row>
    <row r="276">
      <c r="A276" s="5" t="inlineStr">
        <is>
          <t>01a1212c-802c-77f3-a88b-eefa56fe36d2</t>
        </is>
      </c>
      <c r="D276" s="5" t="inlineStr">
        <is>
          <t>01a1212c-4b57-70cf-80fd-c2192cb3bf81</t>
        </is>
      </c>
      <c r="E276" s="4" t="n">
        <v>46304.62415458522</v>
      </c>
      <c r="F276" s="4" t="n">
        <v>46304.62415458529</v>
      </c>
      <c r="G276" t="b">
        <v>1</v>
      </c>
      <c r="H276" s="3" t="inlineStr">
        <is>
          <t>This parcel was created from trade 2024-10-07 | Buy | A200 | 6.0000 unit @ A$137.12 / unit</t>
        </is>
      </c>
      <c r="I276" t="inlineStr">
        <is>
          <t>parcel</t>
        </is>
      </c>
      <c r="J276" s="5" t="inlineStr">
        <is>
          <t>01a1212c-8028-745b-b530-f777d34a50a3</t>
        </is>
      </c>
    </row>
    <row r="277">
      <c r="A277" s="5" t="inlineStr">
        <is>
          <t>01a1212c-8042-733a-9be0-8f7aef06dd79</t>
        </is>
      </c>
      <c r="D277" s="5" t="inlineStr">
        <is>
          <t>01a1212c-4b57-70cf-80fd-c2192cb3bf81</t>
        </is>
      </c>
      <c r="E277" s="4" t="n">
        <v>46304.62415484268</v>
      </c>
      <c r="F277" s="4" t="n">
        <v>46304.62415484276</v>
      </c>
      <c r="G277" t="b">
        <v>1</v>
      </c>
      <c r="H277" s="3" t="inlineStr">
        <is>
          <t>This parcel was created from trade 2024-10-07 | Buy | VGS | 8.0000 unit @ A$127.00 / unit</t>
        </is>
      </c>
      <c r="I277" t="inlineStr">
        <is>
          <t>parcel</t>
        </is>
      </c>
      <c r="J277" s="5" t="inlineStr">
        <is>
          <t>01a1212c-803e-75cd-9153-4043ba44d097</t>
        </is>
      </c>
    </row>
    <row r="278">
      <c r="A278" s="5" t="inlineStr">
        <is>
          <t>01a1212c-8058-762c-b354-70e22fd4e1b3</t>
        </is>
      </c>
      <c r="D278" s="5" t="inlineStr">
        <is>
          <t>01a1212c-4b57-70cf-80fd-c2192cb3bf81</t>
        </is>
      </c>
      <c r="E278" s="4" t="n">
        <v>46304.62415509461</v>
      </c>
      <c r="F278" s="4" t="n">
        <v>46304.62415509469</v>
      </c>
      <c r="G278" t="b">
        <v>1</v>
      </c>
      <c r="H278" s="3" t="inlineStr">
        <is>
          <t>This parcel was created from trade 2024-11-04 | Buy | A200 | 10.0000 unit @ A$136.46 / unit</t>
        </is>
      </c>
      <c r="I278" t="inlineStr">
        <is>
          <t>parcel</t>
        </is>
      </c>
      <c r="J278" s="5" t="inlineStr">
        <is>
          <t>01a1212c-8054-7378-8841-54bfa8d8dc2e</t>
        </is>
      </c>
    </row>
    <row r="279">
      <c r="A279" s="5" t="inlineStr">
        <is>
          <t>01a1212c-806e-77e4-8bb5-e06ded808165</t>
        </is>
      </c>
      <c r="D279" s="5" t="inlineStr">
        <is>
          <t>01a1212c-4b57-70cf-80fd-c2192cb3bf81</t>
        </is>
      </c>
      <c r="E279" s="4" t="n">
        <v>46304.62415535627</v>
      </c>
      <c r="F279" s="4" t="n">
        <v>46304.62415535634</v>
      </c>
      <c r="G279" t="b">
        <v>1</v>
      </c>
      <c r="H279" s="3" t="inlineStr">
        <is>
          <t>This parcel was created from trade 2024-11-04 | Buy | MSFT | 2.0000 unit @ $408.46 / unit</t>
        </is>
      </c>
      <c r="I279" t="inlineStr">
        <is>
          <t>parcel</t>
        </is>
      </c>
      <c r="J279" s="5" t="inlineStr">
        <is>
          <t>01a1212c-806b-73e3-b04e-830d52655dcb</t>
        </is>
      </c>
    </row>
    <row r="280">
      <c r="A280" s="5" t="inlineStr">
        <is>
          <t>01a1212c-8084-731f-ace5-002161128acb</t>
        </is>
      </c>
      <c r="D280" s="5" t="inlineStr">
        <is>
          <t>01a1212c-4b57-70cf-80fd-c2192cb3bf81</t>
        </is>
      </c>
      <c r="E280" s="4" t="n">
        <v>46304.6241556118</v>
      </c>
      <c r="F280" s="4" t="n">
        <v>46304.62415561188</v>
      </c>
      <c r="G280" t="b">
        <v>1</v>
      </c>
      <c r="H280" s="3" t="inlineStr">
        <is>
          <t>This parcel was created from trade 2024-11-04 | Buy | VGS | 13.0000 unit @ A$129.83 / unit</t>
        </is>
      </c>
      <c r="I280" t="inlineStr">
        <is>
          <t>parcel</t>
        </is>
      </c>
      <c r="J280" s="5" t="inlineStr">
        <is>
          <t>01a1212c-8081-7236-9494-69a5fc9bb481</t>
        </is>
      </c>
    </row>
    <row r="281">
      <c r="A281" s="5" t="inlineStr">
        <is>
          <t>01a1212c-8099-7257-8348-4fa49530bbed</t>
        </is>
      </c>
      <c r="D281" s="5" t="inlineStr">
        <is>
          <t>01a1212c-4b57-70cf-80fd-c2192cb3bf81</t>
        </is>
      </c>
      <c r="E281" s="4" t="n">
        <v>46304.62415585614</v>
      </c>
      <c r="F281" s="4" t="n">
        <v>46304.62415585622</v>
      </c>
      <c r="G281" t="b">
        <v>1</v>
      </c>
      <c r="H281" s="3" t="inlineStr">
        <is>
          <t>This parcel was created from trade 2024-12-04 | Buy | A200 | 7.0000 unit @ A$141.85 / unit</t>
        </is>
      </c>
      <c r="I281" t="inlineStr">
        <is>
          <t>parcel</t>
        </is>
      </c>
      <c r="J281" s="5" t="inlineStr">
        <is>
          <t>01a1212c-8096-75b4-a199-17279e0a51df</t>
        </is>
      </c>
    </row>
    <row r="282">
      <c r="A282" s="5" t="inlineStr">
        <is>
          <t>01a1212c-80af-7398-bdcc-28daf2132ea6</t>
        </is>
      </c>
      <c r="D282" s="5" t="inlineStr">
        <is>
          <t>01a1212c-4b57-70cf-80fd-c2192cb3bf81</t>
        </is>
      </c>
      <c r="E282" s="4" t="n">
        <v>46304.62415610523</v>
      </c>
      <c r="F282" s="4" t="n">
        <v>46304.62415610531</v>
      </c>
      <c r="G282" t="b">
        <v>1</v>
      </c>
      <c r="H282" s="3" t="inlineStr">
        <is>
          <t>This parcel was created from trade 2024-12-04 | Buy | VGS | 9.0000 unit @ A$139.20 / unit</t>
        </is>
      </c>
      <c r="I282" t="inlineStr">
        <is>
          <t>parcel</t>
        </is>
      </c>
      <c r="J282" s="5" t="inlineStr">
        <is>
          <t>01a1212c-80ab-7143-8f0c-20e785d1552f</t>
        </is>
      </c>
    </row>
    <row r="283">
      <c r="A283" s="5" t="inlineStr">
        <is>
          <t>01a1212c-80c5-7730-b4ce-147a0cf3666e</t>
        </is>
      </c>
      <c r="D283" s="5" t="inlineStr">
        <is>
          <t>01a1212c-4b57-70cf-80fd-c2192cb3bf81</t>
        </is>
      </c>
      <c r="E283" s="4" t="n">
        <v>46304.62415636137</v>
      </c>
      <c r="F283" s="4" t="n">
        <v>46304.62415636145</v>
      </c>
      <c r="G283" t="b">
        <v>1</v>
      </c>
      <c r="H283" s="3" t="inlineStr">
        <is>
          <t>This parcel was created from trade 2024-12-09 | Buy | AMZN | 2.0000 unit @ $226.09 / unit</t>
        </is>
      </c>
      <c r="I283" t="inlineStr">
        <is>
          <t>parcel</t>
        </is>
      </c>
      <c r="J283" s="5" t="inlineStr">
        <is>
          <t>01a1212c-80c2-70e0-a4e0-c45bebc4f530</t>
        </is>
      </c>
    </row>
    <row r="284">
      <c r="A284" s="5" t="inlineStr">
        <is>
          <t>01a1212c-80dd-7695-8dea-3d1532b3c272</t>
        </is>
      </c>
      <c r="D284" s="5" t="inlineStr">
        <is>
          <t>01a1212c-4b57-70cf-80fd-c2192cb3bf81</t>
        </is>
      </c>
      <c r="E284" s="4" t="n">
        <v>46304.62415663614</v>
      </c>
      <c r="F284" s="4" t="n">
        <v>46304.62415663625</v>
      </c>
      <c r="G284" t="b">
        <v>1</v>
      </c>
      <c r="H284" s="3" t="inlineStr">
        <is>
          <t>This parcel was created from trade 2024-12-09 | Buy | MSFT | 1.0000 unit @ $446.02 / unit</t>
        </is>
      </c>
      <c r="I284" t="inlineStr">
        <is>
          <t>parcel</t>
        </is>
      </c>
      <c r="J284" s="5" t="inlineStr">
        <is>
          <t>01a1212c-80d9-7407-9602-ba6eff3b2ecb</t>
        </is>
      </c>
    </row>
    <row r="285">
      <c r="A285" s="5" t="inlineStr">
        <is>
          <t>01a1212c-80f4-749d-abe1-b277c3661ee9</t>
        </is>
      </c>
      <c r="D285" s="5" t="inlineStr">
        <is>
          <t>01a1212c-4b57-70cf-80fd-c2192cb3bf81</t>
        </is>
      </c>
      <c r="E285" s="4" t="n">
        <v>46304.62415690036</v>
      </c>
      <c r="F285" s="4" t="n">
        <v>46304.62415690043</v>
      </c>
      <c r="G285" t="b">
        <v>1</v>
      </c>
      <c r="H285" s="3" t="inlineStr">
        <is>
          <t>This parcel was created from trade 2025-01-06 | Buy | A200 | 5.0000 unit @ A$137.26 / unit</t>
        </is>
      </c>
      <c r="I285" t="inlineStr">
        <is>
          <t>parcel</t>
        </is>
      </c>
      <c r="J285" s="5" t="inlineStr">
        <is>
          <t>01a1212c-80f0-744b-a890-3949f0d14d87</t>
        </is>
      </c>
    </row>
    <row r="286">
      <c r="A286" s="5" t="inlineStr">
        <is>
          <t>01a1212c-810a-774b-b7b5-d88beb1e8b6d</t>
        </is>
      </c>
      <c r="D286" s="5" t="inlineStr">
        <is>
          <t>01a1212c-4b57-70cf-80fd-c2192cb3bf81</t>
        </is>
      </c>
      <c r="E286" s="4" t="n">
        <v>46304.62415715403</v>
      </c>
      <c r="F286" s="4" t="n">
        <v>46304.62415715411</v>
      </c>
      <c r="G286" t="b">
        <v>1</v>
      </c>
      <c r="H286" s="3" t="inlineStr">
        <is>
          <t>This parcel was created from trade 2025-01-06 | Buy | VGS | 6.0000 unit @ A$140.07 / unit</t>
        </is>
      </c>
      <c r="I286" t="inlineStr">
        <is>
          <t>parcel</t>
        </is>
      </c>
      <c r="J286" s="5" t="inlineStr">
        <is>
          <t>01a1212c-8106-7659-9535-a5011aae9303</t>
        </is>
      </c>
    </row>
    <row r="287">
      <c r="A287" s="5" t="inlineStr">
        <is>
          <t>01a1212c-811f-77f9-acbd-0762712e2eeb</t>
        </is>
      </c>
      <c r="D287" s="5" t="inlineStr">
        <is>
          <t>01a1212c-4b57-70cf-80fd-c2192cb3bf81</t>
        </is>
      </c>
      <c r="E287" s="4" t="n">
        <v>46304.62415740815</v>
      </c>
      <c r="F287" s="4" t="n">
        <v>46304.62415740823</v>
      </c>
      <c r="G287" t="b">
        <v>1</v>
      </c>
      <c r="H287" s="3" t="inlineStr">
        <is>
          <t>This parcel was created from trade 2025-02-03 | Buy | A200 | 6.0000 unit @ A$139.24 / unit</t>
        </is>
      </c>
      <c r="I287" t="inlineStr">
        <is>
          <t>parcel</t>
        </is>
      </c>
      <c r="J287" s="5" t="inlineStr">
        <is>
          <t>01a1212c-811c-7548-8cd1-9aeba16d6df0</t>
        </is>
      </c>
    </row>
    <row r="288">
      <c r="A288" s="5" t="inlineStr">
        <is>
          <t>01a1212c-8135-7046-a5a5-a95a0f2288c1</t>
        </is>
      </c>
      <c r="D288" s="5" t="inlineStr">
        <is>
          <t>01a1212c-4b57-70cf-80fd-c2192cb3bf81</t>
        </is>
      </c>
      <c r="E288" s="4" t="n">
        <v>46304.62415765836</v>
      </c>
      <c r="F288" s="4" t="n">
        <v>46304.62415765843</v>
      </c>
      <c r="G288" t="b">
        <v>1</v>
      </c>
      <c r="H288" s="3" t="inlineStr">
        <is>
          <t>This parcel was created from trade 2025-02-03 | Buy | VGS | 7.0000 unit @ A$142.60 / unit</t>
        </is>
      </c>
      <c r="I288" t="inlineStr">
        <is>
          <t>parcel</t>
        </is>
      </c>
      <c r="J288" s="5" t="inlineStr">
        <is>
          <t>01a1212c-8132-7112-9580-f3f901374736</t>
        </is>
      </c>
    </row>
    <row r="289">
      <c r="A289" s="5" t="inlineStr">
        <is>
          <t>01a1212c-814c-7291-845f-704e6ea020e6</t>
        </is>
      </c>
      <c r="D289" s="5" t="inlineStr">
        <is>
          <t>01a1212c-4b57-70cf-80fd-c2192cb3bf81</t>
        </is>
      </c>
      <c r="E289" s="4" t="n">
        <v>46304.62415792143</v>
      </c>
      <c r="F289" s="4" t="n">
        <v>46304.62415792149</v>
      </c>
      <c r="G289" t="b">
        <v>1</v>
      </c>
      <c r="H289" s="3" t="inlineStr">
        <is>
          <t>This parcel was created from trade 2025-02-14 | Buy | AAPL | 2.0000 unit @ $244.60 / unit</t>
        </is>
      </c>
      <c r="I289" t="inlineStr">
        <is>
          <t>parcel</t>
        </is>
      </c>
      <c r="J289" s="5" t="inlineStr">
        <is>
          <t>01a1212c-8148-73bb-ab33-071c0312bd35</t>
        </is>
      </c>
    </row>
    <row r="290">
      <c r="A290" s="5" t="inlineStr">
        <is>
          <t>01a1212c-8161-709a-ac24-2bcc3707a02d</t>
        </is>
      </c>
      <c r="D290" s="5" t="inlineStr">
        <is>
          <t>01a1212c-4b57-70cf-80fd-c2192cb3bf81</t>
        </is>
      </c>
      <c r="E290" s="4" t="n">
        <v>46304.62415817227</v>
      </c>
      <c r="F290" s="4" t="n">
        <v>46304.62415817235</v>
      </c>
      <c r="G290" t="b">
        <v>1</v>
      </c>
      <c r="H290" s="3" t="inlineStr">
        <is>
          <t>This parcel was created from trade 2025-03-03 | Buy | A200 | 6.0000 unit @ A$137.69 / unit</t>
        </is>
      </c>
      <c r="I290" t="inlineStr">
        <is>
          <t>parcel</t>
        </is>
      </c>
      <c r="J290" s="5" t="inlineStr">
        <is>
          <t>01a1212c-815e-7000-bd78-b468fcf130ee</t>
        </is>
      </c>
    </row>
    <row r="291">
      <c r="A291" s="5" t="inlineStr">
        <is>
          <t>01a1212c-8177-74af-9679-ee6801f6933c</t>
        </is>
      </c>
      <c r="D291" s="5" t="inlineStr">
        <is>
          <t>01a1212c-4b57-70cf-80fd-c2192cb3bf81</t>
        </is>
      </c>
      <c r="E291" s="4" t="n">
        <v>46304.62415842234</v>
      </c>
      <c r="F291" s="4" t="n">
        <v>46304.62415842243</v>
      </c>
      <c r="G291" t="b">
        <v>1</v>
      </c>
      <c r="H291" s="3" t="inlineStr">
        <is>
          <t>This parcel was created from trade 2025-03-03 | Buy | VGS | 8.0000 unit @ A$143.27 / unit</t>
        </is>
      </c>
      <c r="I291" t="inlineStr">
        <is>
          <t>parcel</t>
        </is>
      </c>
      <c r="J291" s="5" t="inlineStr">
        <is>
          <t>01a1212c-8174-703a-b0ff-1dee8bca62ce</t>
        </is>
      </c>
    </row>
    <row r="292">
      <c r="A292" s="5" t="inlineStr">
        <is>
          <t>01a1212c-818d-71e2-9e57-7536a2244316</t>
        </is>
      </c>
      <c r="D292" s="5" t="inlineStr">
        <is>
          <t>01a1212c-4b57-70cf-80fd-c2192cb3bf81</t>
        </is>
      </c>
      <c r="E292" s="4" t="n">
        <v>46304.62415867707</v>
      </c>
      <c r="F292" s="4" t="n">
        <v>46304.62415867714</v>
      </c>
      <c r="G292" t="b">
        <v>1</v>
      </c>
      <c r="H292" s="3" t="inlineStr">
        <is>
          <t>This parcel was created from trade 2025-04-07 | Buy | A200 | 12.0000 unit @ A$122.68 / unit</t>
        </is>
      </c>
      <c r="I292" t="inlineStr">
        <is>
          <t>parcel</t>
        </is>
      </c>
      <c r="J292" s="5" t="inlineStr">
        <is>
          <t>01a1212c-818a-75a0-8b3e-376743b5bf4a</t>
        </is>
      </c>
    </row>
    <row r="293">
      <c r="A293" s="5" t="inlineStr">
        <is>
          <t>01a1212c-81a3-7685-bc3d-610f1d4a6ec7</t>
        </is>
      </c>
      <c r="D293" s="5" t="inlineStr">
        <is>
          <t>01a1212c-4b57-70cf-80fd-c2192cb3bf81</t>
        </is>
      </c>
      <c r="E293" s="4" t="n">
        <v>46304.6241589268</v>
      </c>
      <c r="F293" s="4" t="n">
        <v>46304.62415892688</v>
      </c>
      <c r="G293" t="b">
        <v>1</v>
      </c>
      <c r="H293" s="3" t="inlineStr">
        <is>
          <t>This parcel was created from trade 2025-04-07 | Buy | VGS | 15.0000 unit @ A$123.16 / unit</t>
        </is>
      </c>
      <c r="I293" t="inlineStr">
        <is>
          <t>parcel</t>
        </is>
      </c>
      <c r="J293" s="5" t="inlineStr">
        <is>
          <t>01a1212c-819f-704e-8265-3989eef0ef89</t>
        </is>
      </c>
    </row>
    <row r="294">
      <c r="A294" s="5" t="inlineStr">
        <is>
          <t>01a1212c-81b9-7175-84cc-f63f11f06262</t>
        </is>
      </c>
      <c r="D294" s="5" t="inlineStr">
        <is>
          <t>01a1212c-4b57-70cf-80fd-c2192cb3bf81</t>
        </is>
      </c>
      <c r="E294" s="4" t="n">
        <v>46304.62415918981</v>
      </c>
      <c r="F294" s="4" t="n">
        <v>46304.62415918989</v>
      </c>
      <c r="G294" t="b">
        <v>1</v>
      </c>
      <c r="H294" s="3" t="inlineStr">
        <is>
          <t>This parcel was created from trade 2025-04-11 | Buy | AAPL | 1.0000 unit @ $198.15 / unit</t>
        </is>
      </c>
      <c r="I294" t="inlineStr">
        <is>
          <t>parcel</t>
        </is>
      </c>
      <c r="J294" s="5" t="inlineStr">
        <is>
          <t>01a1212c-81b6-702d-9ef5-3e3b27767aad</t>
        </is>
      </c>
    </row>
    <row r="295">
      <c r="A295" s="5" t="inlineStr">
        <is>
          <t>01a1212c-81d0-7551-a19e-292f8945a700</t>
        </is>
      </c>
      <c r="D295" s="5" t="inlineStr">
        <is>
          <t>01a1212c-4b57-70cf-80fd-c2192cb3bf81</t>
        </is>
      </c>
      <c r="E295" s="4" t="n">
        <v>46304.62415945046</v>
      </c>
      <c r="F295" s="4" t="n">
        <v>46304.62415945053</v>
      </c>
      <c r="G295" t="b">
        <v>1</v>
      </c>
      <c r="H295" s="3" t="inlineStr">
        <is>
          <t>This parcel was created from trade 2025-05-05 | Buy | A200 | 5.0000 unit @ A$136.22 / unit</t>
        </is>
      </c>
      <c r="I295" t="inlineStr">
        <is>
          <t>parcel</t>
        </is>
      </c>
      <c r="J295" s="5" t="inlineStr">
        <is>
          <t>01a1212c-81cc-7193-aa6d-f9da7479948d</t>
        </is>
      </c>
    </row>
    <row r="296">
      <c r="A296" s="5" t="inlineStr">
        <is>
          <t>01a1212c-81e6-742a-95f8-841b038b9a81</t>
        </is>
      </c>
      <c r="D296" s="5" t="inlineStr">
        <is>
          <t>01a1212c-4b57-70cf-80fd-c2192cb3bf81</t>
        </is>
      </c>
      <c r="E296" s="4" t="n">
        <v>46304.62415970712</v>
      </c>
      <c r="F296" s="4" t="n">
        <v>46304.6241597072</v>
      </c>
      <c r="G296" t="b">
        <v>1</v>
      </c>
      <c r="H296" s="3" t="inlineStr">
        <is>
          <t>This parcel was created from trade 2025-05-05 | Buy | VGS | 7.0000 unit @ A$132.52 / unit</t>
        </is>
      </c>
      <c r="I296" t="inlineStr">
        <is>
          <t>parcel</t>
        </is>
      </c>
      <c r="J296" s="5" t="inlineStr">
        <is>
          <t>01a1212c-81e3-749e-920a-7ad74e769466</t>
        </is>
      </c>
    </row>
    <row r="297">
      <c r="A297" s="5" t="inlineStr">
        <is>
          <t>01a1212c-81fd-7624-a2a8-feffd0dad7f6</t>
        </is>
      </c>
      <c r="D297" s="5" t="inlineStr">
        <is>
          <t>01a1212c-4b57-70cf-80fd-c2192cb3bf81</t>
        </is>
      </c>
      <c r="E297" s="4" t="n">
        <v>46304.62415996799</v>
      </c>
      <c r="F297" s="4" t="n">
        <v>46304.6241599681</v>
      </c>
      <c r="G297" t="b">
        <v>1</v>
      </c>
      <c r="H297" s="3" t="inlineStr">
        <is>
          <t>This parcel was created from trade 2025-06-02 | Buy | A200 | 5.0000 unit @ A$141.06 / unit</t>
        </is>
      </c>
      <c r="I297" t="inlineStr">
        <is>
          <t>parcel</t>
        </is>
      </c>
      <c r="J297" s="5" t="inlineStr">
        <is>
          <t>01a1212c-81f8-7770-a513-1c1ecf61ab04</t>
        </is>
      </c>
    </row>
    <row r="298">
      <c r="A298" s="5" t="inlineStr">
        <is>
          <t>01a1212c-8216-7336-bc77-6a265b6d4a54</t>
        </is>
      </c>
      <c r="D298" s="5" t="inlineStr">
        <is>
          <t>01a1212c-4b57-70cf-80fd-c2192cb3bf81</t>
        </is>
      </c>
      <c r="E298" s="4" t="n">
        <v>46304.62416026441</v>
      </c>
      <c r="F298" s="4" t="n">
        <v>46304.62416026452</v>
      </c>
      <c r="G298" t="b">
        <v>1</v>
      </c>
      <c r="H298" s="3" t="inlineStr">
        <is>
          <t>This parcel was created from trade 2025-06-02 | Buy | MSFT | 1.0000 unit @ $461.97 / unit</t>
        </is>
      </c>
      <c r="I298" t="inlineStr">
        <is>
          <t>parcel</t>
        </is>
      </c>
      <c r="J298" s="5" t="inlineStr">
        <is>
          <t>01a1212c-8212-72d6-9900-7bfbfd0d603b</t>
        </is>
      </c>
    </row>
    <row r="299">
      <c r="A299" s="5" t="inlineStr">
        <is>
          <t>01a1212c-822e-76c9-b163-8b295ec39778</t>
        </is>
      </c>
      <c r="D299" s="5" t="inlineStr">
        <is>
          <t>01a1212c-4b57-70cf-80fd-c2192cb3bf81</t>
        </is>
      </c>
      <c r="E299" s="4" t="n">
        <v>46304.62416053528</v>
      </c>
      <c r="F299" s="4" t="n">
        <v>46304.62416053537</v>
      </c>
      <c r="G299" t="b">
        <v>1</v>
      </c>
      <c r="H299" s="3" t="inlineStr">
        <is>
          <t>This parcel was created from trade 2025-06-02 | Buy | VGS | 7.0000 unit @ A$138.24 / unit</t>
        </is>
      </c>
      <c r="I299" t="inlineStr">
        <is>
          <t>parcel</t>
        </is>
      </c>
      <c r="J299" s="5" t="inlineStr">
        <is>
          <t>01a1212c-822a-7156-ba3d-e499465ae100</t>
        </is>
      </c>
    </row>
    <row r="300">
      <c r="A300" s="5" t="inlineStr">
        <is>
          <t>01a1212c-8246-778a-9d41-42b070d184d6</t>
        </is>
      </c>
      <c r="D300" s="5" t="inlineStr">
        <is>
          <t>01a1212c-4b57-70cf-80fd-c2192cb3bf81</t>
        </is>
      </c>
      <c r="E300" s="4" t="n">
        <v>46304.62416082082</v>
      </c>
      <c r="F300" s="4" t="n">
        <v>46304.62416082089</v>
      </c>
      <c r="G300" t="b">
        <v>1</v>
      </c>
      <c r="H300" s="3" t="inlineStr">
        <is>
          <t>This parcel was created from trade 2025-06-05 | Buy | MSFT | 2.0000 unit @ $467.68 / unit</t>
        </is>
      </c>
      <c r="I300" t="inlineStr">
        <is>
          <t>parcel</t>
        </is>
      </c>
      <c r="J300" s="5" t="inlineStr">
        <is>
          <t>01a1212c-8243-7511-9a38-cd7c001e94db</t>
        </is>
      </c>
    </row>
    <row r="301">
      <c r="A301" s="5" t="inlineStr">
        <is>
          <t>01a1212c-825c-7161-9dca-38b6cd78bac4</t>
        </is>
      </c>
      <c r="D301" s="5" t="inlineStr">
        <is>
          <t>01a1212c-4b57-70cf-80fd-c2192cb3bf81</t>
        </is>
      </c>
      <c r="E301" s="4" t="n">
        <v>46304.62416107447</v>
      </c>
      <c r="F301" s="4" t="n">
        <v>46304.62416107453</v>
      </c>
      <c r="G301" t="b">
        <v>1</v>
      </c>
      <c r="H301" s="3" t="inlineStr">
        <is>
          <t>This parcel was created from trade 2025-07-02 | Buy | A200 | 5.0000 unit @ A$143.29 / unit</t>
        </is>
      </c>
      <c r="I301" t="inlineStr">
        <is>
          <t>parcel</t>
        </is>
      </c>
      <c r="J301" s="5" t="inlineStr">
        <is>
          <t>01a1212c-8259-77b2-b555-ee55312d1840</t>
        </is>
      </c>
    </row>
    <row r="302">
      <c r="A302" s="5" t="inlineStr">
        <is>
          <t>01a1212c-8272-7530-8576-21cac19eadc4</t>
        </is>
      </c>
      <c r="D302" s="5" t="inlineStr">
        <is>
          <t>01a1212c-4b57-70cf-80fd-c2192cb3bf81</t>
        </is>
      </c>
      <c r="E302" s="4" t="n">
        <v>46304.6241613282</v>
      </c>
      <c r="F302" s="4" t="n">
        <v>46304.62416132828</v>
      </c>
      <c r="G302" t="b">
        <v>1</v>
      </c>
      <c r="H302" s="3" t="inlineStr">
        <is>
          <t>This parcel was created from trade 2025-07-02 | Buy | VGS | 6.0000 unit @ A$141.32 / unit</t>
        </is>
      </c>
      <c r="I302" t="inlineStr">
        <is>
          <t>parcel</t>
        </is>
      </c>
      <c r="J302" s="5" t="inlineStr">
        <is>
          <t>01a1212c-826f-705b-b71c-c6e2b71c1728</t>
        </is>
      </c>
    </row>
    <row r="303">
      <c r="A303" s="5" t="inlineStr">
        <is>
          <t>01a1212c-8289-7562-be2c-663fc4a6699d</t>
        </is>
      </c>
      <c r="D303" s="5" t="inlineStr">
        <is>
          <t>01a1212c-4b57-70cf-80fd-c2192cb3bf81</t>
        </is>
      </c>
      <c r="E303" s="4" t="n">
        <v>46304.62416158769</v>
      </c>
      <c r="F303" s="4" t="n">
        <v>46304.62416158777</v>
      </c>
      <c r="G303" t="b">
        <v>1</v>
      </c>
      <c r="H303" s="3" t="inlineStr">
        <is>
          <t>This parcel was created from trade 2025-07-30 | Buy | AMZN | 2.0000 unit @ $230.19 / unit</t>
        </is>
      </c>
      <c r="I303" t="inlineStr">
        <is>
          <t>parcel</t>
        </is>
      </c>
      <c r="J303" s="5" t="inlineStr">
        <is>
          <t>01a1212c-8285-7655-b3ee-d79b8fb46e75</t>
        </is>
      </c>
    </row>
    <row r="304">
      <c r="A304" s="5" t="inlineStr">
        <is>
          <t>01a1212c-829e-771e-b46f-0ed0f5d366c4</t>
        </is>
      </c>
      <c r="D304" s="5" t="inlineStr">
        <is>
          <t>01a1212c-4b57-70cf-80fd-c2192cb3bf81</t>
        </is>
      </c>
      <c r="E304" s="4" t="n">
        <v>46304.62416183911</v>
      </c>
      <c r="F304" s="4" t="n">
        <v>46304.62416183918</v>
      </c>
      <c r="G304" t="b">
        <v>1</v>
      </c>
      <c r="H304" s="3" t="inlineStr">
        <is>
          <t>This parcel was created from trade 2025-08-04 | Buy | A200 | 4.0000 unit @ A$144.28 / unit</t>
        </is>
      </c>
      <c r="I304" t="inlineStr">
        <is>
          <t>parcel</t>
        </is>
      </c>
      <c r="J304" s="5" t="inlineStr">
        <is>
          <t>01a1212c-829b-7422-b61a-3efdbb1bb81a</t>
        </is>
      </c>
    </row>
    <row r="305">
      <c r="A305" s="5" t="inlineStr">
        <is>
          <t>01a1212c-82b5-73dc-a5b2-d066304598e3</t>
        </is>
      </c>
      <c r="D305" s="5" t="inlineStr">
        <is>
          <t>01a1212c-4b57-70cf-80fd-c2192cb3bf81</t>
        </is>
      </c>
      <c r="E305" s="4" t="n">
        <v>46304.62416209744</v>
      </c>
      <c r="F305" s="4" t="n">
        <v>46304.62416209752</v>
      </c>
      <c r="G305" t="b">
        <v>1</v>
      </c>
      <c r="H305" s="3" t="inlineStr">
        <is>
          <t>This parcel was created from trade 2025-08-04 | Buy | VGS | 6.0000 unit @ A$143.53 / unit</t>
        </is>
      </c>
      <c r="I305" t="inlineStr">
        <is>
          <t>parcel</t>
        </is>
      </c>
      <c r="J305" s="5" t="inlineStr">
        <is>
          <t>01a1212c-82b1-75eb-b393-9d51b1774d5b</t>
        </is>
      </c>
    </row>
    <row r="306">
      <c r="A306" s="5" t="inlineStr">
        <is>
          <t>01a1212c-82cb-76e9-afb8-26ecd4b0a215</t>
        </is>
      </c>
      <c r="D306" s="5" t="inlineStr">
        <is>
          <t>01a1212c-4b57-70cf-80fd-c2192cb3bf81</t>
        </is>
      </c>
      <c r="E306" s="4" t="n">
        <v>46304.62416235183</v>
      </c>
      <c r="F306" s="4" t="n">
        <v>46304.62416235191</v>
      </c>
      <c r="G306" t="b">
        <v>1</v>
      </c>
      <c r="H306" s="3" t="inlineStr">
        <is>
          <t>This parcel was created from trade 2025-08-14 | Buy | CBA | 3.0000 unit @ A$167.21 / unit</t>
        </is>
      </c>
      <c r="I306" t="inlineStr">
        <is>
          <t>parcel</t>
        </is>
      </c>
      <c r="J306" s="5" t="inlineStr">
        <is>
          <t>01a1212c-82c7-7533-ad39-56515ecfa367</t>
        </is>
      </c>
    </row>
    <row r="307">
      <c r="A307" s="5" t="inlineStr">
        <is>
          <t>01a1212c-82df-719a-a690-0ba08da466e5</t>
        </is>
      </c>
      <c r="D307" s="5" t="inlineStr">
        <is>
          <t>01a1212c-4b57-70cf-80fd-c2192cb3bf81</t>
        </is>
      </c>
      <c r="E307" s="4" t="n">
        <v>46304.624162591</v>
      </c>
      <c r="F307" s="4" t="n">
        <v>46304.62416259109</v>
      </c>
      <c r="G307" t="b">
        <v>1</v>
      </c>
      <c r="H307" s="3" t="inlineStr">
        <is>
          <t>This parcel was created from trade 2025-09-04 | Buy | A200 | 7.0000 unit @ A$148.32 / unit</t>
        </is>
      </c>
      <c r="I307" t="inlineStr">
        <is>
          <t>parcel</t>
        </is>
      </c>
      <c r="J307" s="5" t="inlineStr">
        <is>
          <t>01a1212c-82db-713e-9859-d71d34471c09</t>
        </is>
      </c>
    </row>
    <row r="308">
      <c r="A308" s="5" t="inlineStr">
        <is>
          <t>01a1212c-82f5-70a9-ae59-ee7d6f117932</t>
        </is>
      </c>
      <c r="D308" s="5" t="inlineStr">
        <is>
          <t>01a1212c-4b57-70cf-80fd-c2192cb3bf81</t>
        </is>
      </c>
      <c r="E308" s="4" t="n">
        <v>46304.62416283831</v>
      </c>
      <c r="F308" s="4" t="n">
        <v>46304.62416283839</v>
      </c>
      <c r="G308" t="b">
        <v>1</v>
      </c>
      <c r="H308" s="3" t="inlineStr">
        <is>
          <t>This parcel was created from trade 2025-09-04 | Buy | VGS | 8.0000 unit @ A$147.36 / unit</t>
        </is>
      </c>
      <c r="I308" t="inlineStr">
        <is>
          <t>parcel</t>
        </is>
      </c>
      <c r="J308" s="5" t="inlineStr">
        <is>
          <t>01a1212c-82f1-756e-a25f-468327fcda66</t>
        </is>
      </c>
    </row>
    <row r="309">
      <c r="A309" s="5" t="inlineStr">
        <is>
          <t>01a1212c-830b-77d6-9f2a-2d7b329a384c</t>
        </is>
      </c>
      <c r="D309" s="5" t="inlineStr">
        <is>
          <t>01a1212c-4b57-70cf-80fd-c2192cb3bf81</t>
        </is>
      </c>
      <c r="E309" s="4" t="n">
        <v>46304.62416309845</v>
      </c>
      <c r="F309" s="4" t="n">
        <v>46304.62416309852</v>
      </c>
      <c r="G309" t="b">
        <v>1</v>
      </c>
      <c r="H309" s="3" t="inlineStr">
        <is>
          <t>This parcel was created from trade 2025-09-15 | Buy | AMZN | 1.0000 unit @ $231.43 / unit</t>
        </is>
      </c>
      <c r="I309" t="inlineStr">
        <is>
          <t>parcel</t>
        </is>
      </c>
      <c r="J309" s="5" t="inlineStr">
        <is>
          <t>01a1212c-8308-752a-9119-38a477d468d3</t>
        </is>
      </c>
    </row>
    <row r="310">
      <c r="A310" s="5" t="inlineStr">
        <is>
          <t>01a1212c-8321-724e-9de1-a04705d08f7d</t>
        </is>
      </c>
      <c r="D310" s="5" t="inlineStr">
        <is>
          <t>01a1212c-4b57-70cf-80fd-c2192cb3bf81</t>
        </is>
      </c>
      <c r="E310" s="4" t="n">
        <v>46304.62416334926</v>
      </c>
      <c r="F310" s="4" t="n">
        <v>46304.62416334934</v>
      </c>
      <c r="G310" t="b">
        <v>1</v>
      </c>
      <c r="H310" s="3" t="inlineStr">
        <is>
          <t>This parcel was created from trade 2025-10-06 | Buy | A200 | 9.0000 unit @ A$149.58 / unit</t>
        </is>
      </c>
      <c r="I310" t="inlineStr">
        <is>
          <t>parcel</t>
        </is>
      </c>
      <c r="J310" s="5" t="inlineStr">
        <is>
          <t>01a1212c-831d-7560-b311-d417ff76b79b</t>
        </is>
      </c>
    </row>
    <row r="311">
      <c r="A311" s="5" t="inlineStr">
        <is>
          <t>01a1212c-8336-73f9-a2bc-ad39cd461c41</t>
        </is>
      </c>
      <c r="D311" s="5" t="inlineStr">
        <is>
          <t>01a1212c-4b57-70cf-80fd-c2192cb3bf81</t>
        </is>
      </c>
      <c r="E311" s="4" t="n">
        <v>46304.62416359411</v>
      </c>
      <c r="F311" s="4" t="n">
        <v>46304.62416359419</v>
      </c>
      <c r="G311" t="b">
        <v>1</v>
      </c>
      <c r="H311" s="3" t="inlineStr">
        <is>
          <t>This parcel was created from trade 2025-10-06 | Buy | VGS | 11.0000 unit @ A$152.00 / unit</t>
        </is>
      </c>
      <c r="I311" t="inlineStr">
        <is>
          <t>parcel</t>
        </is>
      </c>
      <c r="J311" s="5" t="inlineStr">
        <is>
          <t>01a1212c-8333-7364-9bcd-810d3684daf4</t>
        </is>
      </c>
    </row>
    <row r="312">
      <c r="A312" s="5" t="inlineStr">
        <is>
          <t>01a1212c-834e-7649-bd8d-1ddc638c7a9d</t>
        </is>
      </c>
      <c r="D312" s="5" t="inlineStr">
        <is>
          <t>01a1212c-4b57-70cf-80fd-c2192cb3bf81</t>
        </is>
      </c>
      <c r="E312" s="4" t="n">
        <v>46304.6241638691</v>
      </c>
      <c r="F312" s="4" t="n">
        <v>46304.62416386919</v>
      </c>
      <c r="G312" t="b">
        <v>1</v>
      </c>
      <c r="H312" s="3" t="inlineStr">
        <is>
          <t>This parcel was created from trade 2025-10-09 | Buy | MSFT | 1.0000 unit @ $522.40 / unit</t>
        </is>
      </c>
      <c r="I312" t="inlineStr">
        <is>
          <t>parcel</t>
        </is>
      </c>
      <c r="J312" s="5" t="inlineStr">
        <is>
          <t>01a1212c-834a-751a-95db-7ae3444b1277</t>
        </is>
      </c>
    </row>
    <row r="313">
      <c r="A313" s="5" t="inlineStr">
        <is>
          <t>01a1212c-8366-746b-b129-fadfa82d55fc</t>
        </is>
      </c>
      <c r="D313" s="5" t="inlineStr">
        <is>
          <t>01a1212c-4b57-70cf-80fd-c2192cb3bf81</t>
        </is>
      </c>
      <c r="E313" s="4" t="n">
        <v>46304.62416415101</v>
      </c>
      <c r="F313" s="4" t="n">
        <v>46304.62416415108</v>
      </c>
      <c r="G313" t="b">
        <v>1</v>
      </c>
      <c r="H313" s="3" t="inlineStr">
        <is>
          <t>This parcel was created from trade 2025-10-16 | Buy | AAPL | 1.0000 unit @ $247.45 / unit</t>
        </is>
      </c>
      <c r="I313" t="inlineStr">
        <is>
          <t>parcel</t>
        </is>
      </c>
      <c r="J313" s="5" t="inlineStr">
        <is>
          <t>01a1212c-8362-7163-be71-842d7a8a6fd2</t>
        </is>
      </c>
    </row>
    <row r="314">
      <c r="A314" s="5" t="inlineStr">
        <is>
          <t>01a1212c-837c-73ed-9a8b-3e38cee2767d</t>
        </is>
      </c>
      <c r="D314" s="5" t="inlineStr">
        <is>
          <t>01a1212c-4b57-70cf-80fd-c2192cb3bf81</t>
        </is>
      </c>
      <c r="E314" s="4" t="n">
        <v>46304.62416440996</v>
      </c>
      <c r="F314" s="4" t="n">
        <v>46304.62416441002</v>
      </c>
      <c r="G314" t="b">
        <v>1</v>
      </c>
      <c r="H314" s="3" t="inlineStr">
        <is>
          <t>This parcel was created from trade 2025-11-03 | Buy | A200 | 8.0000 unit @ A$148.30 / unit</t>
        </is>
      </c>
      <c r="I314" t="inlineStr">
        <is>
          <t>parcel</t>
        </is>
      </c>
      <c r="J314" s="5" t="inlineStr">
        <is>
          <t>01a1212c-8379-70a3-bca0-09014acc3a82</t>
        </is>
      </c>
    </row>
    <row r="315">
      <c r="A315" s="5" t="inlineStr">
        <is>
          <t>01a1212c-8392-731b-a560-2f2a4533a3dc</t>
        </is>
      </c>
      <c r="D315" s="5" t="inlineStr">
        <is>
          <t>01a1212c-4b57-70cf-80fd-c2192cb3bf81</t>
        </is>
      </c>
      <c r="E315" s="4" t="n">
        <v>46304.62416465468</v>
      </c>
      <c r="F315" s="4" t="n">
        <v>46304.62416465476</v>
      </c>
      <c r="G315" t="b">
        <v>1</v>
      </c>
      <c r="H315" s="3" t="inlineStr">
        <is>
          <t>This parcel was created from trade 2025-11-03 | Buy | VGS | 9.0000 unit @ A$154.97 / unit</t>
        </is>
      </c>
      <c r="I315" t="inlineStr">
        <is>
          <t>parcel</t>
        </is>
      </c>
      <c r="J315" s="5" t="inlineStr">
        <is>
          <t>01a1212c-838e-721d-90de-8c635a36411e</t>
        </is>
      </c>
    </row>
    <row r="316">
      <c r="A316" s="5" t="inlineStr">
        <is>
          <t>01a1212c-83a7-72fe-a46a-1e7522c5b2ff</t>
        </is>
      </c>
      <c r="D316" s="5" t="inlineStr">
        <is>
          <t>01a1212c-4b57-70cf-80fd-c2192cb3bf81</t>
        </is>
      </c>
      <c r="E316" s="4" t="n">
        <v>46304.62416490047</v>
      </c>
      <c r="F316" s="4" t="n">
        <v>46304.62416490055</v>
      </c>
      <c r="G316" t="b">
        <v>1</v>
      </c>
      <c r="H316" s="3" t="inlineStr">
        <is>
          <t>This parcel was created from trade 2025-11-13 | Buy | BHP | 25.0000 unit @ A$43.33 / unit</t>
        </is>
      </c>
      <c r="I316" t="inlineStr">
        <is>
          <t>parcel</t>
        </is>
      </c>
      <c r="J316" s="5" t="inlineStr">
        <is>
          <t>01a1212c-83a3-772e-bd97-dbf01515129f</t>
        </is>
      </c>
    </row>
    <row r="317">
      <c r="A317" s="5" t="inlineStr">
        <is>
          <t>01a1212c-83bb-735a-904b-7dd52ed30c2a</t>
        </is>
      </c>
      <c r="D317" s="5" t="inlineStr">
        <is>
          <t>01a1212c-4b57-70cf-80fd-c2192cb3bf81</t>
        </is>
      </c>
      <c r="E317" s="4" t="n">
        <v>46304.62416513164</v>
      </c>
      <c r="F317" s="4" t="n">
        <v>46304.62416513173</v>
      </c>
      <c r="G317" t="b">
        <v>1</v>
      </c>
      <c r="H317" s="3" t="inlineStr">
        <is>
          <t>This parcel was created from trade 2025-12-08 | Buy | A200 | 9.0000 unit @ A$144.32 / unit</t>
        </is>
      </c>
      <c r="I317" t="inlineStr">
        <is>
          <t>parcel</t>
        </is>
      </c>
      <c r="J317" s="5" t="inlineStr">
        <is>
          <t>01a1212c-83b7-7040-a89b-3d8f371aa5e1</t>
        </is>
      </c>
    </row>
    <row r="318">
      <c r="A318" s="5" t="inlineStr">
        <is>
          <t>01a1212c-83d2-71f2-8afe-474835e3da68</t>
        </is>
      </c>
      <c r="D318" s="5" t="inlineStr">
        <is>
          <t>01a1212c-4b57-70cf-80fd-c2192cb3bf81</t>
        </is>
      </c>
      <c r="E318" s="4" t="n">
        <v>46304.62416540302</v>
      </c>
      <c r="F318" s="4" t="n">
        <v>46304.6241654031</v>
      </c>
      <c r="G318" t="b">
        <v>1</v>
      </c>
      <c r="H318" s="3" t="inlineStr">
        <is>
          <t>This parcel was created from trade 2025-12-08 | Buy | AMZN | 2.0000 unit @ $226.89 / unit</t>
        </is>
      </c>
      <c r="I318" t="inlineStr">
        <is>
          <t>parcel</t>
        </is>
      </c>
      <c r="J318" s="5" t="inlineStr">
        <is>
          <t>01a1212c-83cf-7302-9de3-8d447adfd89f</t>
        </is>
      </c>
    </row>
    <row r="319">
      <c r="A319" s="5" t="inlineStr">
        <is>
          <t>01a1212c-83ea-7110-8a28-fea603446ddd</t>
        </is>
      </c>
      <c r="D319" s="5" t="inlineStr">
        <is>
          <t>01a1212c-4b57-70cf-80fd-c2192cb3bf81</t>
        </is>
      </c>
      <c r="E319" s="4" t="n">
        <v>46304.62416567502</v>
      </c>
      <c r="F319" s="4" t="n">
        <v>46304.62416567514</v>
      </c>
      <c r="G319" t="b">
        <v>1</v>
      </c>
      <c r="H319" s="3" t="inlineStr">
        <is>
          <t>This parcel was created from trade 2025-12-08 | Buy | VGS | 10.0000 unit @ A$154.10 / unit</t>
        </is>
      </c>
      <c r="I319" t="inlineStr">
        <is>
          <t>parcel</t>
        </is>
      </c>
      <c r="J319" s="5" t="inlineStr">
        <is>
          <t>01a1212c-83e6-76ce-b9ce-6ff1405fdb11</t>
        </is>
      </c>
    </row>
    <row r="320">
      <c r="A320" s="5" t="inlineStr">
        <is>
          <t>01a1212c-8403-7719-9fdc-f629a5154eca</t>
        </is>
      </c>
      <c r="D320" s="5" t="inlineStr">
        <is>
          <t>01a1212c-4b57-70cf-80fd-c2192cb3bf81</t>
        </is>
      </c>
      <c r="E320" s="4" t="n">
        <v>46304.62416596669</v>
      </c>
      <c r="F320" s="4" t="n">
        <v>46304.62416596677</v>
      </c>
      <c r="G320" t="b">
        <v>1</v>
      </c>
      <c r="H320" s="3" t="inlineStr">
        <is>
          <t>This parcel was created from trade 2026-01-05 | Buy | A200 | 9.0000 unit @ A$145.25 / unit</t>
        </is>
      </c>
      <c r="I320" t="inlineStr">
        <is>
          <t>parcel</t>
        </is>
      </c>
      <c r="J320" s="5" t="inlineStr">
        <is>
          <t>01a1212c-83ff-7531-b3a7-897ec3441b19</t>
        </is>
      </c>
    </row>
    <row r="321">
      <c r="A321" s="5" t="inlineStr">
        <is>
          <t>01a1212c-841b-77b9-8997-4d75d891cdd9</t>
        </is>
      </c>
      <c r="D321" s="5" t="inlineStr">
        <is>
          <t>01a1212c-4b57-70cf-80fd-c2192cb3bf81</t>
        </is>
      </c>
      <c r="E321" s="4" t="n">
        <v>46304.62416623977</v>
      </c>
      <c r="F321" s="4" t="n">
        <v>46304.62416623985</v>
      </c>
      <c r="G321" t="b">
        <v>1</v>
      </c>
      <c r="H321" s="3" t="inlineStr">
        <is>
          <t>This parcel was created from trade 2026-01-05 | Buy | VGS | 11.0000 unit @ A$154.00 / unit</t>
        </is>
      </c>
      <c r="I321" t="inlineStr">
        <is>
          <t>parcel</t>
        </is>
      </c>
      <c r="J321" s="5" t="inlineStr">
        <is>
          <t>01a1212c-8417-735c-9382-89614b404121</t>
        </is>
      </c>
    </row>
    <row r="322">
      <c r="A322" s="5" t="inlineStr">
        <is>
          <t>01a1212c-8433-72b0-af69-a2e80549fc88</t>
        </is>
      </c>
      <c r="D322" s="5" t="inlineStr">
        <is>
          <t>01a1212c-4b57-70cf-80fd-c2192cb3bf81</t>
        </is>
      </c>
      <c r="E322" s="4" t="n">
        <v>46304.62416652793</v>
      </c>
      <c r="F322" s="4" t="n">
        <v>46304.62416652801</v>
      </c>
      <c r="G322" t="b">
        <v>1</v>
      </c>
      <c r="H322" s="3" t="inlineStr">
        <is>
          <t>This parcel was created from trade 2026-01-09 | Buy | MSFT | 1.0000 unit @ $479.28 / unit</t>
        </is>
      </c>
      <c r="I322" t="inlineStr">
        <is>
          <t>parcel</t>
        </is>
      </c>
      <c r="J322" s="5" t="inlineStr">
        <is>
          <t>01a1212c-842f-7507-af43-8010f1e8bad1</t>
        </is>
      </c>
    </row>
    <row r="323">
      <c r="A323" s="5" t="inlineStr">
        <is>
          <t>01a1212c-844a-748d-80af-0a8de1964ab4</t>
        </is>
      </c>
      <c r="D323" s="5" t="inlineStr">
        <is>
          <t>01a1212c-4b57-70cf-80fd-c2192cb3bf81</t>
        </is>
      </c>
      <c r="E323" s="4" t="n">
        <v>46304.62416678762</v>
      </c>
      <c r="F323" s="4" t="n">
        <v>46304.6241667877</v>
      </c>
      <c r="G323" t="b">
        <v>1</v>
      </c>
      <c r="H323" s="3" t="inlineStr">
        <is>
          <t>This parcel was created from trade 2026-02-02 | Buy | A200 | 6.0000 unit @ A$146.07 / unit</t>
        </is>
      </c>
      <c r="I323" t="inlineStr">
        <is>
          <t>parcel</t>
        </is>
      </c>
      <c r="J323" s="5" t="inlineStr">
        <is>
          <t>01a1212c-8446-7415-b4a5-e91995a90f46</t>
        </is>
      </c>
    </row>
    <row r="324">
      <c r="A324" s="5" t="inlineStr">
        <is>
          <t>01a1212c-8461-7138-888f-517787355d60</t>
        </is>
      </c>
      <c r="D324" s="5" t="inlineStr">
        <is>
          <t>01a1212c-4b57-70cf-80fd-c2192cb3bf81</t>
        </is>
      </c>
      <c r="E324" s="4" t="n">
        <v>46304.62416705761</v>
      </c>
      <c r="F324" s="4" t="n">
        <v>46304.62416705771</v>
      </c>
      <c r="G324" t="b">
        <v>1</v>
      </c>
      <c r="H324" s="3" t="inlineStr">
        <is>
          <t>This parcel was created from trade 2026-02-02 | Buy | VGS | 7.0000 unit @ A$148.84 / unit</t>
        </is>
      </c>
      <c r="I324" t="inlineStr">
        <is>
          <t>parcel</t>
        </is>
      </c>
      <c r="J324" s="5" t="inlineStr">
        <is>
          <t>01a1212c-845d-7270-9d05-3fab51eb08af</t>
        </is>
      </c>
    </row>
    <row r="325">
      <c r="A325" s="5" t="inlineStr">
        <is>
          <t>01a1212c-8478-749f-9652-fac9cca18149</t>
        </is>
      </c>
      <c r="D325" s="5" t="inlineStr">
        <is>
          <t>01a1212c-4b57-70cf-80fd-c2192cb3bf81</t>
        </is>
      </c>
      <c r="E325" s="4" t="n">
        <v>46304.62416731988</v>
      </c>
      <c r="F325" s="4" t="n">
        <v>46304.62416731995</v>
      </c>
      <c r="G325" t="b">
        <v>1</v>
      </c>
      <c r="H325" s="3" t="inlineStr">
        <is>
          <t>This parcel was created from trade 2026-03-04 | Buy | A200 | 10.0000 unit @ A$149.00 / unit</t>
        </is>
      </c>
      <c r="I325" t="inlineStr">
        <is>
          <t>parcel</t>
        </is>
      </c>
      <c r="J325" s="5" t="inlineStr">
        <is>
          <t>01a1212c-8474-71c2-9645-faa3bff524cb</t>
        </is>
      </c>
    </row>
    <row r="326">
      <c r="A326" s="5" t="inlineStr">
        <is>
          <t>01a1212c-8491-77d0-b38d-0b7a12a1bd92</t>
        </is>
      </c>
      <c r="D326" s="5" t="inlineStr">
        <is>
          <t>01a1212c-4b57-70cf-80fd-c2192cb3bf81</t>
        </is>
      </c>
      <c r="E326" s="4" t="n">
        <v>46304.62416760746</v>
      </c>
      <c r="F326" s="4" t="n">
        <v>46304.62416760762</v>
      </c>
      <c r="G326" t="b">
        <v>1</v>
      </c>
      <c r="H326" s="3" t="inlineStr">
        <is>
          <t>This parcel was created from trade 2026-03-04 | Buy | VGS | 13.0000 unit @ A$145.90 / unit</t>
        </is>
      </c>
      <c r="I326" t="inlineStr">
        <is>
          <t>parcel</t>
        </is>
      </c>
      <c r="J326" s="5" t="inlineStr">
        <is>
          <t>01a1212c-848c-720f-9460-81637af98d2e</t>
        </is>
      </c>
    </row>
    <row r="327">
      <c r="A327" s="5" t="inlineStr">
        <is>
          <t>01a1212c-84a9-7682-a253-8849fdebc076</t>
        </is>
      </c>
      <c r="D327" s="5" t="inlineStr">
        <is>
          <t>01a1212c-4b57-70cf-80fd-c2192cb3bf81</t>
        </is>
      </c>
      <c r="E327" s="4" t="n">
        <v>46304.62416788705</v>
      </c>
      <c r="F327" s="4" t="n">
        <v>46304.62416788715</v>
      </c>
      <c r="G327" t="b">
        <v>1</v>
      </c>
      <c r="H327" s="3" t="inlineStr">
        <is>
          <t>This parcel was created from trade 2026-04-07 | Buy | A200 | 4.0000 unit @ A$145.62 / unit</t>
        </is>
      </c>
      <c r="I327" t="inlineStr">
        <is>
          <t>parcel</t>
        </is>
      </c>
      <c r="J327" s="5" t="inlineStr">
        <is>
          <t>01a1212c-84a5-773c-b095-81815e9305fc</t>
        </is>
      </c>
    </row>
    <row r="328">
      <c r="A328" s="5" t="inlineStr">
        <is>
          <t>01a1212c-84c4-726e-885d-968944d5a3c1</t>
        </is>
      </c>
      <c r="D328" s="5" t="inlineStr">
        <is>
          <t>01a1212c-4b57-70cf-80fd-c2192cb3bf81</t>
        </is>
      </c>
      <c r="E328" s="4" t="n">
        <v>46304.62416819624</v>
      </c>
      <c r="F328" s="4" t="n">
        <v>46304.62416819632</v>
      </c>
      <c r="G328" t="b">
        <v>1</v>
      </c>
      <c r="H328" s="3" t="inlineStr">
        <is>
          <t>This parcel was created from trade 2026-04-07 | Buy | VGS | 6.0000 unit @ A$143.75 / unit</t>
        </is>
      </c>
      <c r="I328" t="inlineStr">
        <is>
          <t>parcel</t>
        </is>
      </c>
      <c r="J328" s="5" t="inlineStr">
        <is>
          <t>01a1212c-84bf-721d-8018-983ed730ec1f</t>
        </is>
      </c>
    </row>
    <row r="329">
      <c r="A329" s="5" t="inlineStr">
        <is>
          <t>01a1212c-84db-77ce-9bec-5042ecca8dc4</t>
        </is>
      </c>
      <c r="D329" s="5" t="inlineStr">
        <is>
          <t>01a1212c-4b57-70cf-80fd-c2192cb3bf81</t>
        </is>
      </c>
      <c r="E329" s="4" t="n">
        <v>46304.62416846469</v>
      </c>
      <c r="F329" s="4" t="n">
        <v>46304.62416846475</v>
      </c>
      <c r="G329" t="b">
        <v>1</v>
      </c>
      <c r="H329" s="3" t="inlineStr">
        <is>
          <t>This parcel was created from trade 2026-04-20 | Buy | AAPL | 2.0000 unit @ $273.05 / unit</t>
        </is>
      </c>
      <c r="I329" t="inlineStr">
        <is>
          <t>parcel</t>
        </is>
      </c>
      <c r="J329" s="5" t="inlineStr">
        <is>
          <t>01a1212c-84d7-73dc-8092-e9a17d84fcf1</t>
        </is>
      </c>
    </row>
    <row r="330">
      <c r="A330" s="5" t="inlineStr">
        <is>
          <t>01a1212c-84f4-76c6-a7f9-7a6276b6e3d8</t>
        </is>
      </c>
      <c r="D330" s="5" t="inlineStr">
        <is>
          <t>01a1212c-4b57-70cf-80fd-c2192cb3bf81</t>
        </is>
      </c>
      <c r="E330" s="4" t="n">
        <v>46304.62416875458</v>
      </c>
      <c r="F330" s="4" t="n">
        <v>46304.62416875466</v>
      </c>
      <c r="G330" t="b">
        <v>1</v>
      </c>
      <c r="H330" s="3" t="inlineStr">
        <is>
          <t>This parcel was created from trade 2026-04-27 | Buy | AAPL | 1.0000 unit @ $267.61 / unit</t>
        </is>
      </c>
      <c r="I330" t="inlineStr">
        <is>
          <t>parcel</t>
        </is>
      </c>
      <c r="J330" s="5" t="inlineStr">
        <is>
          <t>01a1212c-84f0-73f7-810f-88576e21df54</t>
        </is>
      </c>
    </row>
    <row r="331">
      <c r="A331" s="5" t="inlineStr">
        <is>
          <t>01a1212c-850b-7329-91c7-dc7f5000ebc5</t>
        </is>
      </c>
      <c r="D331" s="5" t="inlineStr">
        <is>
          <t>01a1212c-4b57-70cf-80fd-c2192cb3bf81</t>
        </is>
      </c>
      <c r="E331" s="4" t="n">
        <v>46304.62416902291</v>
      </c>
      <c r="F331" s="4" t="n">
        <v>46304.62416902301</v>
      </c>
      <c r="G331" t="b">
        <v>1</v>
      </c>
      <c r="H331" s="3" t="inlineStr">
        <is>
          <t>This parcel was created from trade 2026-05-04 | Buy | A200 | 9.0000 unit @ A$145.30 / unit</t>
        </is>
      </c>
      <c r="I331" t="inlineStr">
        <is>
          <t>parcel</t>
        </is>
      </c>
      <c r="J331" s="5" t="inlineStr">
        <is>
          <t>01a1212c-8507-7491-bb00-aabe1de651f7</t>
        </is>
      </c>
    </row>
    <row r="332">
      <c r="A332" s="5" t="inlineStr">
        <is>
          <t>01a1212c-8525-770d-b784-15101d6bdf55</t>
        </is>
      </c>
      <c r="D332" s="5" t="inlineStr">
        <is>
          <t>01a1212c-4b57-70cf-80fd-c2192cb3bf81</t>
        </is>
      </c>
      <c r="E332" s="4" t="n">
        <v>46304.62416932017</v>
      </c>
      <c r="F332" s="4" t="n">
        <v>46304.62416932027</v>
      </c>
      <c r="G332" t="b">
        <v>1</v>
      </c>
      <c r="H332" s="3" t="inlineStr">
        <is>
          <t>This parcel was created from trade 2026-05-04 | Buy | VGS | 11.0000 unit @ A$149.91 / unit</t>
        </is>
      </c>
      <c r="I332" t="inlineStr">
        <is>
          <t>parcel</t>
        </is>
      </c>
      <c r="J332" s="5" t="inlineStr">
        <is>
          <t>01a1212c-8520-7696-ae82-69cebf4a4821</t>
        </is>
      </c>
    </row>
    <row r="333">
      <c r="A333" s="5" t="inlineStr">
        <is>
          <t>01a1212c-853f-7777-b132-9ee1847826b5</t>
        </is>
      </c>
      <c r="D333" s="5" t="inlineStr">
        <is>
          <t>01a1212c-4b57-70cf-80fd-c2192cb3bf81</t>
        </is>
      </c>
      <c r="E333" s="4" t="n">
        <v>46304.62416962878</v>
      </c>
      <c r="F333" s="4" t="n">
        <v>46304.62416962888</v>
      </c>
      <c r="G333" t="b">
        <v>1</v>
      </c>
      <c r="H333" s="3" t="inlineStr">
        <is>
          <t>This parcel was created from trade 2026-06-09 | Buy | A200 | 10.0000 unit @ A$144.36 / unit</t>
        </is>
      </c>
      <c r="I333" t="inlineStr">
        <is>
          <t>parcel</t>
        </is>
      </c>
      <c r="J333" s="5" t="inlineStr">
        <is>
          <t>01a1212c-853b-7135-b021-23ca5a1e6c2d</t>
        </is>
      </c>
    </row>
    <row r="334">
      <c r="A334" s="5" t="inlineStr">
        <is>
          <t>01a1212c-8558-733d-8805-a0f13b7760a1</t>
        </is>
      </c>
      <c r="D334" s="5" t="inlineStr">
        <is>
          <t>01a1212c-4b57-70cf-80fd-c2192cb3bf81</t>
        </is>
      </c>
      <c r="E334" s="4" t="n">
        <v>46304.62416990868</v>
      </c>
      <c r="F334" s="4" t="n">
        <v>46304.62416990875</v>
      </c>
      <c r="G334" t="b">
        <v>1</v>
      </c>
      <c r="H334" s="3" t="inlineStr">
        <is>
          <t>This parcel was created from trade 2026-06-09 | Buy | VGS | 11.0000 unit @ A$156.37 / unit</t>
        </is>
      </c>
      <c r="I334" t="inlineStr">
        <is>
          <t>parcel</t>
        </is>
      </c>
      <c r="J334" s="5" t="inlineStr">
        <is>
          <t>01a1212c-8554-7219-95e5-6c0454a0fcfb</t>
        </is>
      </c>
    </row>
    <row r="335">
      <c r="A335" s="5" t="inlineStr">
        <is>
          <t>01a1212c-856f-7121-9eb4-e5652d4b3219</t>
        </is>
      </c>
      <c r="D335" s="5" t="inlineStr">
        <is>
          <t>01a1212c-4b57-70cf-80fd-c2192cb3bf81</t>
        </is>
      </c>
      <c r="E335" s="4" t="n">
        <v>46304.62417017852</v>
      </c>
      <c r="F335" s="4" t="n">
        <v>46304.6241701786</v>
      </c>
      <c r="G335" t="b">
        <v>1</v>
      </c>
      <c r="H335" s="3" t="inlineStr">
        <is>
          <t>This parcel was created from trade 2026-07-02 | Buy | AMZN | 2.0000 unit @ $242.67 / unit</t>
        </is>
      </c>
      <c r="I335" t="inlineStr">
        <is>
          <t>parcel</t>
        </is>
      </c>
      <c r="J335" s="5" t="inlineStr">
        <is>
          <t>01a1212c-856b-7012-8768-5a003f81593c</t>
        </is>
      </c>
    </row>
    <row r="336">
      <c r="A336" s="5" t="inlineStr">
        <is>
          <t>01a1212c-8589-737a-997e-a74c245aa8bb</t>
        </is>
      </c>
      <c r="D336" s="5" t="inlineStr">
        <is>
          <t>01a1212c-4b57-70cf-80fd-c2192cb3bf81</t>
        </is>
      </c>
      <c r="E336" s="4" t="n">
        <v>46304.62417047652</v>
      </c>
      <c r="F336" s="4" t="n">
        <v>46304.62417047663</v>
      </c>
      <c r="G336" t="b">
        <v>1</v>
      </c>
      <c r="H336" s="3" t="inlineStr">
        <is>
          <t>This parcel was created from trade 2026-07-06 | Buy | A200 | 9.0000 unit @ A$147.21 / unit</t>
        </is>
      </c>
      <c r="I336" t="inlineStr">
        <is>
          <t>parcel</t>
        </is>
      </c>
      <c r="J336" s="5" t="inlineStr">
        <is>
          <t>01a1212c-8584-7263-9881-6a3af7b61546</t>
        </is>
      </c>
    </row>
    <row r="337">
      <c r="A337" s="5" t="inlineStr">
        <is>
          <t>01a1212c-85aa-73c8-90fe-345f312afebe</t>
        </is>
      </c>
      <c r="D337" s="5" t="inlineStr">
        <is>
          <t>01a1212c-4b57-70cf-80fd-c2192cb3bf81</t>
        </is>
      </c>
      <c r="E337" s="4" t="n">
        <v>46304.62417086448</v>
      </c>
      <c r="F337" s="4" t="n">
        <v>46304.62417086466</v>
      </c>
      <c r="G337" t="b">
        <v>1</v>
      </c>
      <c r="H337" s="3" t="inlineStr">
        <is>
          <t>This parcel was created from trade 2026-07-06 | Buy | AMZN | 2.0000 unit @ $244.16 / unit</t>
        </is>
      </c>
      <c r="I337" t="inlineStr">
        <is>
          <t>parcel</t>
        </is>
      </c>
      <c r="J337" s="5" t="inlineStr">
        <is>
          <t>01a1212c-85a2-731c-a963-0a1ae327affa</t>
        </is>
      </c>
    </row>
    <row r="338">
      <c r="A338" s="5" t="inlineStr">
        <is>
          <t>01a1212c-85cc-77d5-a7d4-b7e2a5ee1fef</t>
        </is>
      </c>
      <c r="D338" s="5" t="inlineStr">
        <is>
          <t>01a1212c-4b57-70cf-80fd-c2192cb3bf81</t>
        </is>
      </c>
      <c r="E338" s="4" t="n">
        <v>46304.6241712585</v>
      </c>
      <c r="F338" s="4" t="n">
        <v>46304.62417125866</v>
      </c>
      <c r="G338" t="b">
        <v>1</v>
      </c>
      <c r="H338" s="3" t="inlineStr">
        <is>
          <t>This parcel was created from trade 2026-07-06 | Buy | MSFT | 2.0000 unit @ $386.74 / unit</t>
        </is>
      </c>
      <c r="I338" t="inlineStr">
        <is>
          <t>parcel</t>
        </is>
      </c>
      <c r="J338" s="5" t="inlineStr">
        <is>
          <t>01a1212c-85c8-763d-9f48-fcca4244327b</t>
        </is>
      </c>
    </row>
    <row r="339">
      <c r="A339" s="5" t="inlineStr">
        <is>
          <t>01a1212c-85e7-737f-967b-f8b3cb42e621</t>
        </is>
      </c>
      <c r="D339" s="5" t="inlineStr">
        <is>
          <t>01a1212c-4b57-70cf-80fd-c2192cb3bf81</t>
        </is>
      </c>
      <c r="E339" s="4" t="n">
        <v>46304.62417157085</v>
      </c>
      <c r="F339" s="4" t="n">
        <v>46304.62417157098</v>
      </c>
      <c r="G339" t="b">
        <v>1</v>
      </c>
      <c r="H339" s="3" t="inlineStr">
        <is>
          <t>This parcel was created from trade 2026-07-06 | Buy | VGS | 10.0000 unit @ A$161.26 / unit</t>
        </is>
      </c>
      <c r="I339" t="inlineStr">
        <is>
          <t>parcel</t>
        </is>
      </c>
      <c r="J339" s="5" t="inlineStr">
        <is>
          <t>01a1212c-85e2-7442-be7c-9922e2171f31</t>
        </is>
      </c>
    </row>
    <row r="340">
      <c r="A340" s="5" t="inlineStr">
        <is>
          <t>01a1212c-8602-76e7-86a6-ba49460015c4</t>
        </is>
      </c>
      <c r="D340" s="5" t="inlineStr">
        <is>
          <t>01a1212c-4b57-70cf-80fd-c2192cb3bf81</t>
        </is>
      </c>
      <c r="E340" s="4" t="n">
        <v>46304.62417188126</v>
      </c>
      <c r="F340" s="4" t="n">
        <v>46304.62417188135</v>
      </c>
      <c r="G340" t="b">
        <v>1</v>
      </c>
      <c r="H340" s="3" t="inlineStr">
        <is>
          <t>This parcel was created from trade 2026-07-20 | Buy | AMZN | 2.0000 unit @ $249.99 / unit</t>
        </is>
      </c>
      <c r="I340" t="inlineStr">
        <is>
          <t>parcel</t>
        </is>
      </c>
      <c r="J340" s="5" t="inlineStr">
        <is>
          <t>01a1212c-85fe-7401-bfcc-516bdb835ec5</t>
        </is>
      </c>
    </row>
    <row r="341">
      <c r="A341" s="5" t="inlineStr">
        <is>
          <t>01a1212c-861a-7330-ba54-d3842282d4e8</t>
        </is>
      </c>
      <c r="D341" s="5" t="inlineStr">
        <is>
          <t>01a1212c-4b57-70cf-80fd-c2192cb3bf81</t>
        </is>
      </c>
      <c r="E341" s="4" t="n">
        <v>46304.62417215442</v>
      </c>
      <c r="F341" s="4" t="n">
        <v>46304.62417215449</v>
      </c>
      <c r="G341" t="b">
        <v>1</v>
      </c>
      <c r="H341" s="3" t="inlineStr">
        <is>
          <t>This parcel was created from trade 2026-08-03 | Buy | A200 | 8.0000 unit @ A$150.42 / unit</t>
        </is>
      </c>
      <c r="I341" t="inlineStr">
        <is>
          <t>parcel</t>
        </is>
      </c>
      <c r="J341" s="5" t="inlineStr">
        <is>
          <t>01a1212c-8616-77a0-8f8a-705b574f86b3</t>
        </is>
      </c>
    </row>
    <row r="342">
      <c r="A342" s="5" t="inlineStr">
        <is>
          <t>01a1212c-8630-7315-ace2-b0a01d37e16b</t>
        </is>
      </c>
      <c r="D342" s="5" t="inlineStr">
        <is>
          <t>01a1212c-4b57-70cf-80fd-c2192cb3bf81</t>
        </is>
      </c>
      <c r="E342" s="4" t="n">
        <v>46304.6241724183</v>
      </c>
      <c r="F342" s="4" t="n">
        <v>46304.62417241837</v>
      </c>
      <c r="G342" t="b">
        <v>1</v>
      </c>
      <c r="H342" s="3" t="inlineStr">
        <is>
          <t>This parcel was created from trade 2026-08-03 | Buy | AMZN | 3.0000 unit @ $284.02 / unit</t>
        </is>
      </c>
      <c r="I342" t="inlineStr">
        <is>
          <t>parcel</t>
        </is>
      </c>
      <c r="J342" s="5" t="inlineStr">
        <is>
          <t>01a1212c-862d-70b7-96d1-5fc101750b45</t>
        </is>
      </c>
    </row>
    <row r="343">
      <c r="A343" s="5" t="inlineStr">
        <is>
          <t>01a1212c-8647-766e-a5b7-93a29a81c69e</t>
        </is>
      </c>
      <c r="D343" s="5" t="inlineStr">
        <is>
          <t>01a1212c-4b57-70cf-80fd-c2192cb3bf81</t>
        </is>
      </c>
      <c r="E343" s="4" t="n">
        <v>46304.62417267628</v>
      </c>
      <c r="F343" s="4" t="n">
        <v>46304.62417267637</v>
      </c>
      <c r="G343" t="b">
        <v>1</v>
      </c>
      <c r="H343" s="3" t="inlineStr">
        <is>
          <t>This parcel was created from trade 2026-08-03 | Buy | VGS | 9.0000 unit @ A$159.83 / unit</t>
        </is>
      </c>
      <c r="I343" t="inlineStr">
        <is>
          <t>parcel</t>
        </is>
      </c>
      <c r="J343" s="5" t="inlineStr">
        <is>
          <t>01a1212c-8643-75dd-babc-7b8b2214a3d0</t>
        </is>
      </c>
    </row>
    <row r="344">
      <c r="A344" s="5" t="inlineStr">
        <is>
          <t>01a1212c-865d-77ed-b4e0-f741eaed8372</t>
        </is>
      </c>
      <c r="D344" s="5" t="inlineStr">
        <is>
          <t>01a1212c-4b57-70cf-80fd-c2192cb3bf81</t>
        </is>
      </c>
      <c r="E344" s="4" t="n">
        <v>46304.62417293661</v>
      </c>
      <c r="F344" s="4" t="n">
        <v>46304.62417293669</v>
      </c>
      <c r="G344" t="b">
        <v>1</v>
      </c>
      <c r="H344" s="3" t="inlineStr">
        <is>
          <t>This parcel was created from trade 2026-08-10 | Buy | MSFT | 2.0000 unit @ $506.06 / unit</t>
        </is>
      </c>
      <c r="I344" t="inlineStr">
        <is>
          <t>parcel</t>
        </is>
      </c>
      <c r="J344" s="5" t="inlineStr">
        <is>
          <t>01a1212c-865a-7515-99f8-b138bb10be4a</t>
        </is>
      </c>
    </row>
    <row r="345">
      <c r="A345" s="5" t="inlineStr">
        <is>
          <t>01a1212c-8675-7351-b436-5987c6c30737</t>
        </is>
      </c>
      <c r="D345" s="5" t="inlineStr">
        <is>
          <t>01a1212c-4b57-70cf-80fd-c2192cb3bf81</t>
        </is>
      </c>
      <c r="E345" s="4" t="n">
        <v>46304.62417321334</v>
      </c>
      <c r="F345" s="4" t="n">
        <v>46304.62417321344</v>
      </c>
      <c r="G345" t="b">
        <v>1</v>
      </c>
      <c r="H345" s="3" t="inlineStr">
        <is>
          <t>This parcel was created from trade 2026-08-31 | Buy | AAPL | 1.0000 unit @ $316.85 / unit</t>
        </is>
      </c>
      <c r="I345" t="inlineStr">
        <is>
          <t>parcel</t>
        </is>
      </c>
      <c r="J345" s="5" t="inlineStr">
        <is>
          <t>01a1212c-8671-759d-a2ef-27954d24f526</t>
        </is>
      </c>
    </row>
    <row r="346">
      <c r="A346" s="5" t="inlineStr">
        <is>
          <t>01a1212c-868c-73b0-8b2f-04710228ff6a</t>
        </is>
      </c>
      <c r="D346" s="5" t="inlineStr">
        <is>
          <t>01a1212c-4b57-70cf-80fd-c2192cb3bf81</t>
        </is>
      </c>
      <c r="E346" s="4" t="n">
        <v>46304.62417348319</v>
      </c>
      <c r="F346" s="4" t="n">
        <v>46304.62417348325</v>
      </c>
      <c r="G346" t="b">
        <v>1</v>
      </c>
      <c r="H346" s="3" t="inlineStr">
        <is>
          <t>This parcel was created from trade 2026-09-02 | Buy | A200 | 11.0000 unit @ A$150.59 / unit</t>
        </is>
      </c>
      <c r="I346" t="inlineStr">
        <is>
          <t>parcel</t>
        </is>
      </c>
      <c r="J346" s="5" t="inlineStr">
        <is>
          <t>01a1212c-8689-7275-b4be-0976116dc0ea</t>
        </is>
      </c>
    </row>
    <row r="347">
      <c r="A347" s="5" t="inlineStr">
        <is>
          <t>01a1212c-86a2-74f2-b081-863642dbe345</t>
        </is>
      </c>
      <c r="D347" s="5" t="inlineStr">
        <is>
          <t>01a1212c-4b57-70cf-80fd-c2192cb3bf81</t>
        </is>
      </c>
      <c r="E347" s="4" t="n">
        <v>46304.62417373255</v>
      </c>
      <c r="F347" s="4" t="n">
        <v>46304.62417373261</v>
      </c>
      <c r="G347" t="b">
        <v>1</v>
      </c>
      <c r="H347" s="3" t="inlineStr">
        <is>
          <t>This parcel was created from trade 2026-09-02 | Buy | VGS | 12.0000 unit @ A$158.89 / unit</t>
        </is>
      </c>
      <c r="I347" t="inlineStr">
        <is>
          <t>parcel</t>
        </is>
      </c>
      <c r="J347" s="5" t="inlineStr">
        <is>
          <t>01a1212c-869f-746f-80d5-393136afdc3c</t>
        </is>
      </c>
    </row>
    <row r="348">
      <c r="A348" s="5" t="inlineStr">
        <is>
          <t>01a1212c-86ba-7218-b10c-6a62a4c88dea</t>
        </is>
      </c>
      <c r="D348" s="5" t="inlineStr">
        <is>
          <t>01a1212c-4b57-70cf-80fd-c2192cb3bf81</t>
        </is>
      </c>
      <c r="E348" s="4" t="n">
        <v>46304.62417400609</v>
      </c>
      <c r="F348" s="4" t="n">
        <v>46304.62417400617</v>
      </c>
      <c r="G348" t="b">
        <v>1</v>
      </c>
      <c r="H348" s="3" t="inlineStr">
        <is>
          <t>This parcel was created from trade 2026-09-08 | Buy | MSFT | 2.0000 unit @ $493.95 / unit</t>
        </is>
      </c>
      <c r="I348" t="inlineStr">
        <is>
          <t>parcel</t>
        </is>
      </c>
      <c r="J348" s="5" t="inlineStr">
        <is>
          <t>01a1212c-86b6-7330-b246-59ffe16f0703</t>
        </is>
      </c>
    </row>
    <row r="349">
      <c r="A349" s="5" t="inlineStr">
        <is>
          <t>01a1212c-86ec-74cd-816b-f970bf69d8e6</t>
        </is>
      </c>
      <c r="D349" s="5" t="inlineStr">
        <is>
          <t>01a1212c-4b57-70cf-80fd-c2192cb3bf81</t>
        </is>
      </c>
      <c r="E349" s="4" t="n">
        <v>46304.62417458509</v>
      </c>
      <c r="F349" s="4" t="n">
        <v>46304.62417458519</v>
      </c>
      <c r="G349" t="b">
        <v>1</v>
      </c>
      <c r="H349" s="3" t="inlineStr">
        <is>
          <t>Added fraction 0.01525246176408967106641525246 of cost base adjustment 01a1212c-86e3-7746-8ba0-0ab6783a06f8 | 2017-06-30 | Adjustment of VAS | Cost base increase = A$2.70</t>
        </is>
      </c>
      <c r="I349" t="inlineStr">
        <is>
          <t>cost base adjustment allocation</t>
        </is>
      </c>
      <c r="J349" s="5" t="inlineStr">
        <is>
          <t>01a1212c-86e6-7354-a29e-3331d90e3aa3</t>
        </is>
      </c>
    </row>
    <row r="350">
      <c r="A350" s="5" t="inlineStr">
        <is>
          <t>01a1212c-86f1-747a-9ad8-5d3ea8e996e2</t>
        </is>
      </c>
      <c r="D350" s="5" t="inlineStr">
        <is>
          <t>01a1212c-4b57-70cf-80fd-c2192cb3bf81</t>
        </is>
      </c>
      <c r="E350" s="4" t="n">
        <v>46304.62417464831</v>
      </c>
      <c r="F350" s="4" t="n">
        <v>46304.62417464838</v>
      </c>
      <c r="G350" t="b">
        <v>1</v>
      </c>
      <c r="H350" s="3" t="inlineStr">
        <is>
          <t>Added fraction 0.04022627278441231929604022627 of cost base adjustment 01a1212c-86e3-7746-8ba0-0ab6783a06f8 | 2017-06-30 | Adjustment of VAS | Cost base increase = A$2.70</t>
        </is>
      </c>
      <c r="I350" t="inlineStr">
        <is>
          <t>cost base adjustment allocation</t>
        </is>
      </c>
      <c r="J350" s="5" t="inlineStr">
        <is>
          <t>01a1212c-86ec-74cd-816b-f9712645aabb</t>
        </is>
      </c>
    </row>
    <row r="351">
      <c r="A351" s="5" t="inlineStr">
        <is>
          <t>01a1212c-86f7-71a7-849d-e909a730238a</t>
        </is>
      </c>
      <c r="D351" s="5" t="inlineStr">
        <is>
          <t>01a1212c-4b57-70cf-80fd-c2192cb3bf81</t>
        </is>
      </c>
      <c r="E351" s="4" t="n">
        <v>46304.62417471952</v>
      </c>
      <c r="F351" s="4" t="n">
        <v>46304.6241747196</v>
      </c>
      <c r="G351" t="b">
        <v>1</v>
      </c>
      <c r="H351" s="3" t="inlineStr">
        <is>
          <t>Added fraction 0.04060339409176618478944060339 of cost base adjustment 01a1212c-86e3-7746-8ba0-0ab6783a06f8 | 2017-06-30 | Adjustment of VAS | Cost base increase = A$2.70</t>
        </is>
      </c>
      <c r="I351" t="inlineStr">
        <is>
          <t>cost base adjustment allocation</t>
        </is>
      </c>
      <c r="J351" s="5" t="inlineStr">
        <is>
          <t>01a1212c-86f2-77c6-a596-3dc34c3e490b</t>
        </is>
      </c>
    </row>
    <row r="352">
      <c r="A352" s="5" t="inlineStr">
        <is>
          <t>01a1212c-86fd-7219-8490-2a245dc61f98</t>
        </is>
      </c>
      <c r="D352" s="5" t="inlineStr">
        <is>
          <t>01a1212c-4b57-70cf-80fd-c2192cb3bf81</t>
        </is>
      </c>
      <c r="E352" s="4" t="n">
        <v>46304.62417478727</v>
      </c>
      <c r="F352" s="4" t="n">
        <v>46304.62417478736</v>
      </c>
      <c r="G352" t="b">
        <v>1</v>
      </c>
      <c r="H352" s="3" t="inlineStr">
        <is>
          <t>Added fraction 0.07006075843285145610727006076 of cost base adjustment 01a1212c-86e3-7746-8ba0-0ab6783a06f8 | 2017-06-30 | Adjustment of VAS | Cost base increase = A$2.70</t>
        </is>
      </c>
      <c r="I352" t="inlineStr">
        <is>
          <t>cost base adjustment allocation</t>
        </is>
      </c>
      <c r="J352" s="5" t="inlineStr">
        <is>
          <t>01a1212c-86f8-767b-adcb-23fdf366513b</t>
        </is>
      </c>
    </row>
    <row r="353">
      <c r="A353" s="5" t="inlineStr">
        <is>
          <t>01a1212c-8703-72d7-af81-605792062b4c</t>
        </is>
      </c>
      <c r="D353" s="5" t="inlineStr">
        <is>
          <t>01a1212c-4b57-70cf-80fd-c2192cb3bf81</t>
        </is>
      </c>
      <c r="E353" s="4" t="n">
        <v>46304.62417485342</v>
      </c>
      <c r="F353" s="4" t="n">
        <v>46304.62417485351</v>
      </c>
      <c r="G353" t="b">
        <v>1</v>
      </c>
      <c r="H353" s="3" t="inlineStr">
        <is>
          <t>Added fraction 0.1215168657029122145401215169 of cost base adjustment 01a1212c-86e3-7746-8ba0-0ab6783a06f8 | 2017-06-30 | Adjustment of VAS | Cost base increase = A$2.70</t>
        </is>
      </c>
      <c r="I353" t="inlineStr">
        <is>
          <t>cost base adjustment allocation</t>
        </is>
      </c>
      <c r="J353" s="5" t="inlineStr">
        <is>
          <t>01a1212c-86fe-73cc-a5f3-2d749b7ecb06</t>
        </is>
      </c>
    </row>
    <row r="354">
      <c r="A354" s="5" t="inlineStr">
        <is>
          <t>01a1212c-8708-7578-a6a8-af775d4a95f3</t>
        </is>
      </c>
      <c r="D354" s="5" t="inlineStr">
        <is>
          <t>01a1212c-4b57-70cf-80fd-c2192cb3bf81</t>
        </is>
      </c>
      <c r="E354" s="4" t="n">
        <v>46304.62417491835</v>
      </c>
      <c r="F354" s="4" t="n">
        <v>46304.62417491843</v>
      </c>
      <c r="G354" t="b">
        <v>1</v>
      </c>
      <c r="H354" s="3" t="inlineStr">
        <is>
          <t>Added fraction 0.1548711502199874292897548712 of cost base adjustment 01a1212c-86e3-7746-8ba0-0ab6783a06f8 | 2017-06-30 | Adjustment of VAS | Cost base increase = A$2.70</t>
        </is>
      </c>
      <c r="I354" t="inlineStr">
        <is>
          <t>cost base adjustment allocation</t>
        </is>
      </c>
      <c r="J354" s="5" t="inlineStr">
        <is>
          <t>01a1212c-8703-72d7-af81-6058e035fdb2</t>
        </is>
      </c>
    </row>
    <row r="355">
      <c r="A355" s="5" t="inlineStr">
        <is>
          <t>01a1212c-870f-72bb-ade5-f7b27045d825</t>
        </is>
      </c>
      <c r="D355" s="5" t="inlineStr">
        <is>
          <t>01a1212c-4b57-70cf-80fd-c2192cb3bf81</t>
        </is>
      </c>
      <c r="E355" s="4" t="n">
        <v>46304.62417498959</v>
      </c>
      <c r="F355" s="4" t="n">
        <v>46304.62417498967</v>
      </c>
      <c r="G355" t="b">
        <v>1</v>
      </c>
      <c r="H355" s="3" t="inlineStr">
        <is>
          <t>Added fraction 0.1561282212445003142677561282 of cost base adjustment 01a1212c-86e3-7746-8ba0-0ab6783a06f8 | 2017-06-30 | Adjustment of VAS | Cost base increase = A$2.70</t>
        </is>
      </c>
      <c r="I355" t="inlineStr">
        <is>
          <t>cost base adjustment allocation</t>
        </is>
      </c>
      <c r="J355" s="5" t="inlineStr">
        <is>
          <t>01a1212c-8709-7102-a633-f01ce114126a</t>
        </is>
      </c>
    </row>
    <row r="356">
      <c r="A356" s="5" t="inlineStr">
        <is>
          <t>01a1212c-8715-7083-bf9f-b6b04ef1ea78</t>
        </is>
      </c>
      <c r="D356" s="5" t="inlineStr">
        <is>
          <t>01a1212c-4b57-70cf-80fd-c2192cb3bf81</t>
        </is>
      </c>
      <c r="E356" s="4" t="n">
        <v>46304.62417506196</v>
      </c>
      <c r="F356" s="4" t="n">
        <v>46304.62417506205</v>
      </c>
      <c r="G356" t="b">
        <v>1</v>
      </c>
      <c r="H356" s="3" t="inlineStr">
        <is>
          <t>Added fraction 0.1589775822333961868845589776 of cost base adjustment 01a1212c-86e3-7746-8ba0-0ab6783a06f8 | 2017-06-30 | Adjustment of VAS | Cost base increase = A$2.70</t>
        </is>
      </c>
      <c r="I356" t="inlineStr">
        <is>
          <t>cost base adjustment allocation</t>
        </is>
      </c>
      <c r="J356" s="5" t="inlineStr">
        <is>
          <t>01a1212c-870f-72bb-ade5-f7b3a9b7fb91</t>
        </is>
      </c>
    </row>
    <row r="357">
      <c r="A357" s="5" t="inlineStr">
        <is>
          <t>01a1212c-871b-7063-b3fa-cc373d18bb61</t>
        </is>
      </c>
      <c r="D357" s="5" t="inlineStr">
        <is>
          <t>01a1212c-4b57-70cf-80fd-c2192cb3bf81</t>
        </is>
      </c>
      <c r="E357" s="4" t="n">
        <v>46304.6241751323</v>
      </c>
      <c r="F357" s="4" t="n">
        <v>46304.62417513241</v>
      </c>
      <c r="G357" t="b">
        <v>1</v>
      </c>
      <c r="H357" s="3" t="inlineStr">
        <is>
          <t>residual of cost base adjustment 01a1212c-86e3-7746-8ba0-0ab6783a06f8 | 2017-06-30 | Adjustment of VAS | Cost base increase = A$2.70</t>
        </is>
      </c>
      <c r="I357" t="inlineStr">
        <is>
          <t>cost base adjustment allocation</t>
        </is>
      </c>
      <c r="J357" s="5" t="inlineStr">
        <is>
          <t>01a1212c-8715-7083-bf9f-b6b148fd6dfc</t>
        </is>
      </c>
    </row>
    <row r="358">
      <c r="A358" s="5" t="inlineStr">
        <is>
          <t>01a1212c-8747-724e-8948-4a84d285c112</t>
        </is>
      </c>
      <c r="D358" s="5" t="inlineStr">
        <is>
          <t>01a1212c-4b57-70cf-80fd-c2192cb3bf81</t>
        </is>
      </c>
      <c r="E358" s="4" t="n">
        <v>46304.62417564789</v>
      </c>
      <c r="F358" s="4" t="n">
        <v>46304.62417564796</v>
      </c>
      <c r="G358" t="b">
        <v>1</v>
      </c>
      <c r="H358" s="3" t="inlineStr">
        <is>
          <t>Added fraction 0.01425633995887594242631939685 of cost base adjustment 01a1212c-8740-73af-aba7-780bf5c0bd86 | 2017-06-30 | Adjustment of VGS | Cost base increase = A$7.49</t>
        </is>
      </c>
      <c r="I358" t="inlineStr">
        <is>
          <t>cost base adjustment allocation</t>
        </is>
      </c>
      <c r="J358" s="5" t="inlineStr">
        <is>
          <t>01a1212c-8742-77d6-bbed-236882171dff</t>
        </is>
      </c>
    </row>
    <row r="359">
      <c r="A359" s="5" t="inlineStr">
        <is>
          <t>01a1212c-874e-70c7-b16b-5d2f648ff83a</t>
        </is>
      </c>
      <c r="D359" s="5" t="inlineStr">
        <is>
          <t>01a1212c-4b57-70cf-80fd-c2192cb3bf81</t>
        </is>
      </c>
      <c r="E359" s="4" t="n">
        <v>46304.62417572775</v>
      </c>
      <c r="F359" s="4" t="n">
        <v>46304.62417572783</v>
      </c>
      <c r="G359" t="b">
        <v>1</v>
      </c>
      <c r="H359" s="3" t="inlineStr">
        <is>
          <t>Added fraction 0.03906785469499657299520219328 of cost base adjustment 01a1212c-8740-73af-aba7-780bf5c0bd86 | 2017-06-30 | Adjustment of VGS | Cost base increase = A$7.49</t>
        </is>
      </c>
      <c r="I359" t="inlineStr">
        <is>
          <t>cost base adjustment allocation</t>
        </is>
      </c>
      <c r="J359" s="5" t="inlineStr">
        <is>
          <t>01a1212c-8749-72b8-ab46-dca815d2253e</t>
        </is>
      </c>
    </row>
    <row r="360">
      <c r="A360" s="5" t="inlineStr">
        <is>
          <t>01a1212c-8754-7696-bdac-52630be09874</t>
        </is>
      </c>
      <c r="D360" s="5" t="inlineStr">
        <is>
          <t>01a1212c-4b57-70cf-80fd-c2192cb3bf81</t>
        </is>
      </c>
      <c r="E360" s="4" t="n">
        <v>46304.62417579382</v>
      </c>
      <c r="F360" s="4" t="n">
        <v>46304.62417579389</v>
      </c>
      <c r="G360" t="b">
        <v>1</v>
      </c>
      <c r="H360" s="3" t="inlineStr">
        <is>
          <t>Added fraction 0.03947909527073337902673063742 of cost base adjustment 01a1212c-8740-73af-aba7-780bf5c0bd86 | 2017-06-30 | Adjustment of VGS | Cost base increase = A$7.49</t>
        </is>
      </c>
      <c r="I360" t="inlineStr">
        <is>
          <t>cost base adjustment allocation</t>
        </is>
      </c>
      <c r="J360" s="5" t="inlineStr">
        <is>
          <t>01a1212c-874f-71b1-92ef-ea5446e30f87</t>
        </is>
      </c>
    </row>
    <row r="361">
      <c r="A361" s="5" t="inlineStr">
        <is>
          <t>01a1212c-875a-740c-9042-5d7ae68eb8d6</t>
        </is>
      </c>
      <c r="D361" s="5" t="inlineStr">
        <is>
          <t>01a1212c-4b57-70cf-80fd-c2192cb3bf81</t>
        </is>
      </c>
      <c r="E361" s="4" t="n">
        <v>46304.62417586496</v>
      </c>
      <c r="F361" s="4" t="n">
        <v>46304.62417586504</v>
      </c>
      <c r="G361" t="b">
        <v>1</v>
      </c>
      <c r="H361" s="3" t="inlineStr">
        <is>
          <t>Added fraction 0.07237834132967786154900616861 of cost base adjustment 01a1212c-8740-73af-aba7-780bf5c0bd86 | 2017-06-30 | Adjustment of VGS | Cost base increase = A$7.49</t>
        </is>
      </c>
      <c r="I361" t="inlineStr">
        <is>
          <t>cost base adjustment allocation</t>
        </is>
      </c>
      <c r="J361" s="5" t="inlineStr">
        <is>
          <t>01a1212c-8755-7181-80fc-5aba31337739</t>
        </is>
      </c>
    </row>
    <row r="362">
      <c r="A362" s="5" t="inlineStr">
        <is>
          <t>01a1212c-8760-712f-b49b-2e877b6862e3</t>
        </is>
      </c>
      <c r="D362" s="5" t="inlineStr">
        <is>
          <t>01a1212c-4b57-70cf-80fd-c2192cb3bf81</t>
        </is>
      </c>
      <c r="E362" s="4" t="n">
        <v>46304.62417593367</v>
      </c>
      <c r="F362" s="4" t="n">
        <v>46304.62417593374</v>
      </c>
      <c r="G362" t="b">
        <v>1</v>
      </c>
      <c r="H362" s="3" t="inlineStr">
        <is>
          <t>Added fraction 0.1192597669636737491432488005 of cost base adjustment 01a1212c-8740-73af-aba7-780bf5c0bd86 | 2017-06-30 | Adjustment of VGS | Cost base increase = A$7.49</t>
        </is>
      </c>
      <c r="I362" t="inlineStr">
        <is>
          <t>cost base adjustment allocation</t>
        </is>
      </c>
      <c r="J362" s="5" t="inlineStr">
        <is>
          <t>01a1212c-875b-72b3-833c-53172c508e53</t>
        </is>
      </c>
    </row>
    <row r="363">
      <c r="A363" s="5" t="inlineStr">
        <is>
          <t>01a1212c-8766-77be-94fc-4b08482dd0b6</t>
        </is>
      </c>
      <c r="D363" s="5" t="inlineStr">
        <is>
          <t>01a1212c-4b57-70cf-80fd-c2192cb3bf81</t>
        </is>
      </c>
      <c r="E363" s="4" t="n">
        <v>46304.62417599698</v>
      </c>
      <c r="F363" s="4" t="n">
        <v>46304.62417599706</v>
      </c>
      <c r="G363" t="b">
        <v>1</v>
      </c>
      <c r="H363" s="3" t="inlineStr">
        <is>
          <t>Added fraction 0.1532282385195339273474982865 of cost base adjustment 01a1212c-8740-73af-aba7-780bf5c0bd86 | 2017-06-30 | Adjustment of VGS | Cost base increase = A$7.49</t>
        </is>
      </c>
      <c r="I363" t="inlineStr">
        <is>
          <t>cost base adjustment allocation</t>
        </is>
      </c>
      <c r="J363" s="5" t="inlineStr">
        <is>
          <t>01a1212c-8761-705b-b6bc-e4cc109aad78</t>
        </is>
      </c>
    </row>
    <row r="364">
      <c r="A364" s="5" t="inlineStr">
        <is>
          <t>01a1212c-876c-741f-924a-f7785288d01f</t>
        </is>
      </c>
      <c r="D364" s="5" t="inlineStr">
        <is>
          <t>01a1212c-4b57-70cf-80fd-c2192cb3bf81</t>
        </is>
      </c>
      <c r="E364" s="4" t="n">
        <v>46304.62417606587</v>
      </c>
      <c r="F364" s="4" t="n">
        <v>46304.62417606595</v>
      </c>
      <c r="G364" t="b">
        <v>1</v>
      </c>
      <c r="H364" s="3" t="inlineStr">
        <is>
          <t>Added fraction 0.1544071281699794379712131597 of cost base adjustment 01a1212c-8740-73af-aba7-780bf5c0bd86 | 2017-06-30 | Adjustment of VGS | Cost base increase = A$7.49</t>
        </is>
      </c>
      <c r="I364" t="inlineStr">
        <is>
          <t>cost base adjustment allocation</t>
        </is>
      </c>
      <c r="J364" s="5" t="inlineStr">
        <is>
          <t>01a1212c-8766-77be-94fc-4b09e7a138c8</t>
        </is>
      </c>
    </row>
    <row r="365">
      <c r="A365" s="5" t="inlineStr">
        <is>
          <t>01a1212c-8771-72dd-8ff4-c15db3f912a1</t>
        </is>
      </c>
      <c r="D365" s="5" t="inlineStr">
        <is>
          <t>01a1212c-4b57-70cf-80fd-c2192cb3bf81</t>
        </is>
      </c>
      <c r="E365" s="4" t="n">
        <v>46304.6241761342</v>
      </c>
      <c r="F365" s="4" t="n">
        <v>46304.62417613428</v>
      </c>
      <c r="G365" t="b">
        <v>1</v>
      </c>
      <c r="H365" s="3" t="inlineStr">
        <is>
          <t>Added fraction 0.1634544208361891706648389308 of cost base adjustment 01a1212c-8740-73af-aba7-780bf5c0bd86 | 2017-06-30 | Adjustment of VGS | Cost base increase = A$7.49</t>
        </is>
      </c>
      <c r="I365" t="inlineStr">
        <is>
          <t>cost base adjustment allocation</t>
        </is>
      </c>
      <c r="J365" s="5" t="inlineStr">
        <is>
          <t>01a1212c-876c-741f-924a-f779dda70ecd</t>
        </is>
      </c>
    </row>
    <row r="366">
      <c r="A366" s="5" t="inlineStr">
        <is>
          <t>01a1212c-8777-765e-be9e-7287bd825041</t>
        </is>
      </c>
      <c r="D366" s="5" t="inlineStr">
        <is>
          <t>01a1212c-4b57-70cf-80fd-c2192cb3bf81</t>
        </is>
      </c>
      <c r="E366" s="4" t="n">
        <v>46304.6241761999</v>
      </c>
      <c r="F366" s="4" t="n">
        <v>46304.62417619998</v>
      </c>
      <c r="G366" t="b">
        <v>1</v>
      </c>
      <c r="H366" s="3" t="inlineStr">
        <is>
          <t>residual of cost base adjustment 01a1212c-8740-73af-aba7-780bf5c0bd86 | 2017-06-30 | Adjustment of VGS | Cost base increase = A$7.49</t>
        </is>
      </c>
      <c r="I366" t="inlineStr">
        <is>
          <t>cost base adjustment allocation</t>
        </is>
      </c>
      <c r="J366" s="5" t="inlineStr">
        <is>
          <t>01a1212c-8772-740b-a7c8-94c0b2c0b582</t>
        </is>
      </c>
    </row>
    <row r="367">
      <c r="A367" s="5" t="inlineStr">
        <is>
          <t>01a1212c-87a5-7381-8882-3374ddb23190</t>
        </is>
      </c>
      <c r="D367" s="5" t="inlineStr">
        <is>
          <t>01a1212c-4b57-70cf-80fd-c2192cb3bf81</t>
        </is>
      </c>
      <c r="E367" s="4" t="n">
        <v>46304.62417673216</v>
      </c>
      <c r="F367" s="4" t="n">
        <v>46304.62417673227</v>
      </c>
      <c r="G367" t="b">
        <v>1</v>
      </c>
      <c r="H367" s="3" t="inlineStr">
        <is>
          <t>Added fraction 0.008827211350188848824643434160 of cost base adjustment 01a1212c-879d-732d-8fe0-5b1ea9c45809 | 2018-06-30 | Adjustment of VAS | Cost base increase = -A$67.83</t>
        </is>
      </c>
      <c r="I367" t="inlineStr">
        <is>
          <t>cost base adjustment allocation</t>
        </is>
      </c>
      <c r="J367" s="5" t="inlineStr">
        <is>
          <t>01a1212c-879f-7524-a16a-e110daa6ae32</t>
        </is>
      </c>
    </row>
    <row r="368">
      <c r="A368" s="5" t="inlineStr">
        <is>
          <t>01a1212c-87ac-7625-b33c-224e938dda14</t>
        </is>
      </c>
      <c r="D368" s="5" t="inlineStr">
        <is>
          <t>01a1212c-4b57-70cf-80fd-c2192cb3bf81</t>
        </is>
      </c>
      <c r="E368" s="4" t="n">
        <v>46304.62417681615</v>
      </c>
      <c r="F368" s="4" t="n">
        <v>46304.62417681625</v>
      </c>
      <c r="G368" t="b">
        <v>1</v>
      </c>
      <c r="H368" s="3" t="inlineStr">
        <is>
          <t>Added fraction 0.01104203892532714180246305946 of cost base adjustment 01a1212c-879d-732d-8fe0-5b1ea9c45809 | 2018-06-30 | Adjustment of VAS | Cost base increase = -A$67.83</t>
        </is>
      </c>
      <c r="I368" t="inlineStr">
        <is>
          <t>cost base adjustment allocation</t>
        </is>
      </c>
      <c r="J368" s="5" t="inlineStr">
        <is>
          <t>01a1212c-87a6-72c5-b167-270a797f96e6</t>
        </is>
      </c>
    </row>
    <row r="369">
      <c r="A369" s="5" t="inlineStr">
        <is>
          <t>01a1212c-87b2-7773-8a96-e86deab08c20</t>
        </is>
      </c>
      <c r="D369" s="5" t="inlineStr">
        <is>
          <t>01a1212c-4b57-70cf-80fd-c2192cb3bf81</t>
        </is>
      </c>
      <c r="E369" s="4" t="n">
        <v>46304.62417688542</v>
      </c>
      <c r="F369" s="4" t="n">
        <v>46304.6241768855</v>
      </c>
      <c r="G369" t="b">
        <v>1</v>
      </c>
      <c r="H369" s="3" t="inlineStr">
        <is>
          <t>Added fraction 0.02231947015332598624024994383 of cost base adjustment 01a1212c-879d-732d-8fe0-5b1ea9c45809 | 2018-06-30 | Adjustment of VAS | Cost base increase = -A$67.83</t>
        </is>
      </c>
      <c r="I369" t="inlineStr">
        <is>
          <t>cost base adjustment allocation</t>
        </is>
      </c>
      <c r="J369" s="5" t="inlineStr">
        <is>
          <t>01a1212c-87ad-70c3-97e9-1503d7b47be4</t>
        </is>
      </c>
    </row>
    <row r="370">
      <c r="A370" s="5" t="inlineStr">
        <is>
          <t>01a1212c-87b8-7628-97ed-697dfc840052</t>
        </is>
      </c>
      <c r="D370" s="5" t="inlineStr">
        <is>
          <t>01a1212c-4b57-70cf-80fd-c2192cb3bf81</t>
        </is>
      </c>
      <c r="E370" s="4" t="n">
        <v>46304.62417695657</v>
      </c>
      <c r="F370" s="4" t="n">
        <v>46304.62417695667</v>
      </c>
      <c r="G370" t="b">
        <v>1</v>
      </c>
      <c r="H370" s="3" t="inlineStr">
        <is>
          <t>Added fraction 0.02503718128417200757535228598 of cost base adjustment 01a1212c-879d-732d-8fe0-5b1ea9c45809 | 2018-06-30 | Adjustment of VAS | Cost base increase = -A$67.83</t>
        </is>
      </c>
      <c r="I370" t="inlineStr">
        <is>
          <t>cost base adjustment allocation</t>
        </is>
      </c>
      <c r="J370" s="5" t="inlineStr">
        <is>
          <t>01a1212c-87b3-73c8-8ce2-4c15fbcec810</t>
        </is>
      </c>
    </row>
    <row r="371">
      <c r="A371" s="5" t="inlineStr">
        <is>
          <t>01a1212c-87be-77a3-9a0c-05b95cd1e737</t>
        </is>
      </c>
      <c r="D371" s="5" t="inlineStr">
        <is>
          <t>01a1212c-4b57-70cf-80fd-c2192cb3bf81</t>
        </is>
      </c>
      <c r="E371" s="4" t="n">
        <v>46304.62417702223</v>
      </c>
      <c r="F371" s="4" t="n">
        <v>46304.62417702233</v>
      </c>
      <c r="G371" t="b">
        <v>1</v>
      </c>
      <c r="H371" s="3" t="inlineStr">
        <is>
          <t>Added fraction 0.02907094937995527546249237650 of cost base adjustment 01a1212c-879d-732d-8fe0-5b1ea9c45809 | 2018-06-30 | Adjustment of VAS | Cost base increase = -A$67.83</t>
        </is>
      </c>
      <c r="I371" t="inlineStr">
        <is>
          <t>cost base adjustment allocation</t>
        </is>
      </c>
      <c r="J371" s="5" t="inlineStr">
        <is>
          <t>01a1212c-87b9-725f-b642-026b34fa624b</t>
        </is>
      </c>
    </row>
    <row r="372">
      <c r="A372" s="5" t="inlineStr">
        <is>
          <t>01a1212c-87c4-7372-aa88-90254fc4977d</t>
        </is>
      </c>
      <c r="D372" s="5" t="inlineStr">
        <is>
          <t>01a1212c-4b57-70cf-80fd-c2192cb3bf81</t>
        </is>
      </c>
      <c r="E372" s="4" t="n">
        <v>46304.6241770889</v>
      </c>
      <c r="F372" s="4" t="n">
        <v>46304.62417708898</v>
      </c>
      <c r="G372" t="b">
        <v>1</v>
      </c>
      <c r="H372" s="3" t="inlineStr">
        <is>
          <t>Added fraction 0.03124297835460780432479857909 of cost base adjustment 01a1212c-879d-732d-8fe0-5b1ea9c45809 | 2018-06-30 | Adjustment of VAS | Cost base increase = -A$67.83</t>
        </is>
      </c>
      <c r="I372" t="inlineStr">
        <is>
          <t>cost base adjustment allocation</t>
        </is>
      </c>
      <c r="J372" s="5" t="inlineStr">
        <is>
          <t>01a1212c-87bf-765e-96da-14ebfd0a0c61</t>
        </is>
      </c>
    </row>
    <row r="373">
      <c r="A373" s="5" t="inlineStr">
        <is>
          <t>01a1212c-87ca-77e9-ac8a-11bc686e05f3</t>
        </is>
      </c>
      <c r="D373" s="5" t="inlineStr">
        <is>
          <t>01a1212c-4b57-70cf-80fd-c2192cb3bf81</t>
        </is>
      </c>
      <c r="E373" s="4" t="n">
        <v>46304.62417715846</v>
      </c>
      <c r="F373" s="4" t="n">
        <v>46304.62417715854</v>
      </c>
      <c r="G373" t="b">
        <v>1</v>
      </c>
      <c r="H373" s="3" t="inlineStr">
        <is>
          <t>Added fraction 0.03166026470934400445105445052 of cost base adjustment 01a1212c-879d-732d-8fe0-5b1ea9c45809 | 2018-06-30 | Adjustment of VAS | Cost base increase = -A$67.83</t>
        </is>
      </c>
      <c r="I373" t="inlineStr">
        <is>
          <t>cost base adjustment allocation</t>
        </is>
      </c>
      <c r="J373" s="5" t="inlineStr">
        <is>
          <t>01a1212c-87c5-739a-b876-93d82e7f819d</t>
        </is>
      </c>
    </row>
    <row r="374">
      <c r="A374" s="5" t="inlineStr">
        <is>
          <t>01a1212c-87d0-7559-b17f-e4af06490cb6</t>
        </is>
      </c>
      <c r="D374" s="5" t="inlineStr">
        <is>
          <t>01a1212c-4b57-70cf-80fd-c2192cb3bf81</t>
        </is>
      </c>
      <c r="E374" s="4" t="n">
        <v>46304.62417722612</v>
      </c>
      <c r="F374" s="4" t="n">
        <v>46304.6241772262</v>
      </c>
      <c r="G374" t="b">
        <v>1</v>
      </c>
      <c r="H374" s="3" t="inlineStr">
        <is>
          <t>Added fraction 0.03296562202415980997421384321 of cost base adjustment 01a1212c-879d-732d-8fe0-5b1ea9c45809 | 2018-06-30 | Adjustment of VAS | Cost base increase = -A$67.83</t>
        </is>
      </c>
      <c r="I374" t="inlineStr">
        <is>
          <t>cost base adjustment allocation</t>
        </is>
      </c>
      <c r="J374" s="5" t="inlineStr">
        <is>
          <t>01a1212c-87cb-7235-bff5-83f9fe2b5ff3</t>
        </is>
      </c>
    </row>
    <row r="375">
      <c r="A375" s="5" t="inlineStr">
        <is>
          <t>01a1212c-87d6-7779-817a-1a9b6472cdc1</t>
        </is>
      </c>
      <c r="D375" s="5" t="inlineStr">
        <is>
          <t>01a1212c-4b57-70cf-80fd-c2192cb3bf81</t>
        </is>
      </c>
      <c r="E375" s="4" t="n">
        <v>46304.62417729328</v>
      </c>
      <c r="F375" s="4" t="n">
        <v>46304.62417729336</v>
      </c>
      <c r="G375" t="b">
        <v>1</v>
      </c>
      <c r="H375" s="3" t="inlineStr">
        <is>
          <t>Added fraction 0.03787676142990124222937909930 of cost base adjustment 01a1212c-879d-732d-8fe0-5b1ea9c45809 | 2018-06-30 | Adjustment of VAS | Cost base increase = -A$67.83</t>
        </is>
      </c>
      <c r="I375" t="inlineStr">
        <is>
          <t>cost base adjustment allocation</t>
        </is>
      </c>
      <c r="J375" s="5" t="inlineStr">
        <is>
          <t>01a1212c-87d0-7559-b17f-e4b074369702</t>
        </is>
      </c>
    </row>
    <row r="376">
      <c r="A376" s="5" t="inlineStr">
        <is>
          <t>01a1212c-87db-733e-a3ed-9d5f1615d3d7</t>
        </is>
      </c>
      <c r="D376" s="5" t="inlineStr">
        <is>
          <t>01a1212c-4b57-70cf-80fd-c2192cb3bf81</t>
        </is>
      </c>
      <c r="E376" s="4" t="n">
        <v>46304.6241773591</v>
      </c>
      <c r="F376" s="4" t="n">
        <v>46304.62417735918</v>
      </c>
      <c r="G376" t="b">
        <v>1</v>
      </c>
      <c r="H376" s="3" t="inlineStr">
        <is>
          <t>Added fraction 0.05135832058291693861610725329 of cost base adjustment 01a1212c-879d-732d-8fe0-5b1ea9c45809 | 2018-06-30 | Adjustment of VAS | Cost base increase = -A$67.83</t>
        </is>
      </c>
      <c r="I376" t="inlineStr">
        <is>
          <t>cost base adjustment allocation</t>
        </is>
      </c>
      <c r="J376" s="5" t="inlineStr">
        <is>
          <t>01a1212c-87d6-7779-817a-1a9ca33245ba</t>
        </is>
      </c>
    </row>
    <row r="377">
      <c r="A377" s="5" t="inlineStr">
        <is>
          <t>01a1212c-87e1-7255-ab58-6007b8e58fe3</t>
        </is>
      </c>
      <c r="D377" s="5" t="inlineStr">
        <is>
          <t>01a1212c-4b57-70cf-80fd-c2192cb3bf81</t>
        </is>
      </c>
      <c r="E377" s="4" t="n">
        <v>46304.62417742651</v>
      </c>
      <c r="F377" s="4" t="n">
        <v>46304.62417742659</v>
      </c>
      <c r="G377" t="b">
        <v>1</v>
      </c>
      <c r="H377" s="3" t="inlineStr">
        <is>
          <t>Added fraction 0.05467521212056365756839751340 of cost base adjustment 01a1212c-879d-732d-8fe0-5b1ea9c45809 | 2018-06-30 | Adjustment of VAS | Cost base increase = -A$67.83</t>
        </is>
      </c>
      <c r="I377" t="inlineStr">
        <is>
          <t>cost base adjustment allocation</t>
        </is>
      </c>
      <c r="J377" s="5" t="inlineStr">
        <is>
          <t>01a1212c-87dc-729a-baa1-c89f1df576ae</t>
        </is>
      </c>
    </row>
    <row r="378">
      <c r="A378" s="5" t="inlineStr">
        <is>
          <t>01a1212c-87e7-7372-9c8a-0696aaccd76f</t>
        </is>
      </c>
      <c r="D378" s="5" t="inlineStr">
        <is>
          <t>01a1212c-4b57-70cf-80fd-c2192cb3bf81</t>
        </is>
      </c>
      <c r="E378" s="4" t="n">
        <v>46304.62417749479</v>
      </c>
      <c r="F378" s="4" t="n">
        <v>46304.62417749489</v>
      </c>
      <c r="G378" t="b">
        <v>1</v>
      </c>
      <c r="H378" s="3" t="inlineStr">
        <is>
          <t>Added fraction 0.05467521212056365756839751340 of cost base adjustment 01a1212c-879d-732d-8fe0-5b1ea9c45809 | 2018-06-30 | Adjustment of VAS | Cost base increase = -A$67.83</t>
        </is>
      </c>
      <c r="I378" t="inlineStr">
        <is>
          <t>cost base adjustment allocation</t>
        </is>
      </c>
      <c r="J378" s="5" t="inlineStr">
        <is>
          <t>01a1212c-87e2-7078-9cbc-95d4fa3e4a99</t>
        </is>
      </c>
    </row>
    <row r="379">
      <c r="A379" s="5" t="inlineStr">
        <is>
          <t>01a1212c-87ed-7336-8ede-f7ae69be1418</t>
        </is>
      </c>
      <c r="D379" s="5" t="inlineStr">
        <is>
          <t>01a1212c-4b57-70cf-80fd-c2192cb3bf81</t>
        </is>
      </c>
      <c r="E379" s="4" t="n">
        <v>46304.62417756324</v>
      </c>
      <c r="F379" s="4" t="n">
        <v>46304.62417756332</v>
      </c>
      <c r="G379" t="b">
        <v>1</v>
      </c>
      <c r="H379" s="3" t="inlineStr">
        <is>
          <t>Added fraction 0.06317073431698783449781192155 of cost base adjustment 01a1212c-879d-732d-8fe0-5b1ea9c45809 | 2018-06-30 | Adjustment of VAS | Cost base increase = -A$67.83</t>
        </is>
      </c>
      <c r="I379" t="inlineStr">
        <is>
          <t>cost base adjustment allocation</t>
        </is>
      </c>
      <c r="J379" s="5" t="inlineStr">
        <is>
          <t>01a1212c-87e8-75ed-88a8-ad471aa975d8</t>
        </is>
      </c>
    </row>
    <row r="380">
      <c r="A380" s="5" t="inlineStr">
        <is>
          <t>01a1212c-87f3-7066-bbe7-fd4c3e9de8a3</t>
        </is>
      </c>
      <c r="D380" s="5" t="inlineStr">
        <is>
          <t>01a1212c-4b57-70cf-80fd-c2192cb3bf81</t>
        </is>
      </c>
      <c r="E380" s="4" t="n">
        <v>46304.62417762938</v>
      </c>
      <c r="F380" s="4" t="n">
        <v>46304.62417762944</v>
      </c>
      <c r="G380" t="b">
        <v>1</v>
      </c>
      <c r="H380" s="3" t="inlineStr">
        <is>
          <t>Added fraction 0.06639132900354158419019698056 of cost base adjustment 01a1212c-879d-732d-8fe0-5b1ea9c45809 | 2018-06-30 | Adjustment of VAS | Cost base increase = -A$67.83</t>
        </is>
      </c>
      <c r="I380" t="inlineStr">
        <is>
          <t>cost base adjustment allocation</t>
        </is>
      </c>
      <c r="J380" s="5" t="inlineStr">
        <is>
          <t>01a1212c-87ee-707b-9599-82ad2bcbb366</t>
        </is>
      </c>
    </row>
    <row r="381">
      <c r="A381" s="5" t="inlineStr">
        <is>
          <t>01a1212c-87f8-70a6-8858-acca5620ad39</t>
        </is>
      </c>
      <c r="D381" s="5" t="inlineStr">
        <is>
          <t>01a1212c-4b57-70cf-80fd-c2192cb3bf81</t>
        </is>
      </c>
      <c r="E381" s="4" t="n">
        <v>46304.62417769685</v>
      </c>
      <c r="F381" s="4" t="n">
        <v>46304.62417769692</v>
      </c>
      <c r="G381" t="b">
        <v>1</v>
      </c>
      <c r="H381" s="3" t="inlineStr">
        <is>
          <t>Added fraction 0.07029670129786755973079680294 of cost base adjustment 01a1212c-879d-732d-8fe0-5b1ea9c45809 | 2018-06-30 | Adjustment of VAS | Cost base increase = -A$67.83</t>
        </is>
      </c>
      <c r="I381" t="inlineStr">
        <is>
          <t>cost base adjustment allocation</t>
        </is>
      </c>
      <c r="J381" s="5" t="inlineStr">
        <is>
          <t>01a1212c-87f3-7066-bbe7-fd4d6760a46d</t>
        </is>
      </c>
    </row>
    <row r="382">
      <c r="A382" s="5" t="inlineStr">
        <is>
          <t>01a1212c-87fe-70e3-9265-cdfc0d664289</t>
        </is>
      </c>
      <c r="D382" s="5" t="inlineStr">
        <is>
          <t>01a1212c-4b57-70cf-80fd-c2192cb3bf81</t>
        </is>
      </c>
      <c r="E382" s="4" t="n">
        <v>46304.62417776441</v>
      </c>
      <c r="F382" s="4" t="n">
        <v>46304.62417776449</v>
      </c>
      <c r="G382" t="b">
        <v>1</v>
      </c>
      <c r="H382" s="3" t="inlineStr">
        <is>
          <t>Added fraction 0.07420207359219353527139662533 of cost base adjustment 01a1212c-879d-732d-8fe0-5b1ea9c45809 | 2018-06-30 | Adjustment of VAS | Cost base increase = -A$67.83</t>
        </is>
      </c>
      <c r="I382" t="inlineStr">
        <is>
          <t>cost base adjustment allocation</t>
        </is>
      </c>
      <c r="J382" s="5" t="inlineStr">
        <is>
          <t>01a1212c-87f9-758b-8c7f-728d98f2d678</t>
        </is>
      </c>
    </row>
    <row r="383">
      <c r="A383" s="5" t="inlineStr">
        <is>
          <t>01a1212c-8804-77dd-8ed9-a88f4b19d9e6</t>
        </is>
      </c>
      <c r="D383" s="5" t="inlineStr">
        <is>
          <t>01a1212c-4b57-70cf-80fd-c2192cb3bf81</t>
        </is>
      </c>
      <c r="E383" s="4" t="n">
        <v>46304.62417782862</v>
      </c>
      <c r="F383" s="4" t="n">
        <v>46304.6241778287</v>
      </c>
      <c r="G383" t="b">
        <v>1</v>
      </c>
      <c r="H383" s="3" t="inlineStr">
        <is>
          <t>Added fraction 0.07810744588651951081199644772 of cost base adjustment 01a1212c-879d-732d-8fe0-5b1ea9c45809 | 2018-06-30 | Adjustment of VAS | Cost base increase = -A$67.83</t>
        </is>
      </c>
      <c r="I383" t="inlineStr">
        <is>
          <t>cost base adjustment allocation</t>
        </is>
      </c>
      <c r="J383" s="5" t="inlineStr">
        <is>
          <t>01a1212c-87ff-7212-9a89-72c6a5271e21</t>
        </is>
      </c>
    </row>
    <row r="384">
      <c r="A384" s="5" t="inlineStr">
        <is>
          <t>01a1212c-880a-7407-a7f8-2d731ba14407</t>
        </is>
      </c>
      <c r="D384" s="5" t="inlineStr">
        <is>
          <t>01a1212c-4b57-70cf-80fd-c2192cb3bf81</t>
        </is>
      </c>
      <c r="E384" s="4" t="n">
        <v>46304.62417789488</v>
      </c>
      <c r="F384" s="4" t="n">
        <v>46304.62417789496</v>
      </c>
      <c r="G384" t="b">
        <v>1</v>
      </c>
      <c r="H384" s="3" t="inlineStr">
        <is>
          <t>Added fraction 0.08133874022319470153325986240 of cost base adjustment 01a1212c-879d-732d-8fe0-5b1ea9c45809 | 2018-06-30 | Adjustment of VAS | Cost base increase = -A$67.83</t>
        </is>
      </c>
      <c r="I384" t="inlineStr">
        <is>
          <t>cost base adjustment allocation</t>
        </is>
      </c>
      <c r="J384" s="5" t="inlineStr">
        <is>
          <t>01a1212c-8805-775f-bf8d-701e98f887f4</t>
        </is>
      </c>
    </row>
    <row r="385">
      <c r="A385" s="5" t="inlineStr">
        <is>
          <t>01a1212c-8810-70f6-8616-fa1bf75932a9</t>
        </is>
      </c>
      <c r="D385" s="5" t="inlineStr">
        <is>
          <t>01a1212c-4b57-70cf-80fd-c2192cb3bf81</t>
        </is>
      </c>
      <c r="E385" s="4" t="n">
        <v>46304.62417796432</v>
      </c>
      <c r="F385" s="4" t="n">
        <v>46304.62417796442</v>
      </c>
      <c r="G385" t="b">
        <v>1</v>
      </c>
      <c r="H385" s="3" t="inlineStr">
        <is>
          <t>Added fraction 0.08201281818084548635259627010 of cost base adjustment 01a1212c-879d-732d-8fe0-5b1ea9c45809 | 2018-06-30 | Adjustment of VAS | Cost base increase = -A$67.83</t>
        </is>
      </c>
      <c r="I385" t="inlineStr">
        <is>
          <t>cost base adjustment allocation</t>
        </is>
      </c>
      <c r="J385" s="5" t="inlineStr">
        <is>
          <t>01a1212c-880a-7407-a7f8-2d7400df9805</t>
        </is>
      </c>
    </row>
    <row r="386">
      <c r="A386" s="5" t="inlineStr">
        <is>
          <t>01a1212c-8816-73a3-ad49-4d820d2bfebe</t>
        </is>
      </c>
      <c r="D386" s="5" t="inlineStr">
        <is>
          <t>01a1212c-4b57-70cf-80fd-c2192cb3bf81</t>
        </is>
      </c>
      <c r="E386" s="4" t="n">
        <v>46304.62417803377</v>
      </c>
      <c r="F386" s="4" t="n">
        <v>46304.62417803385</v>
      </c>
      <c r="G386" t="b">
        <v>1</v>
      </c>
      <c r="H386" s="3" t="inlineStr">
        <is>
          <t>residual of cost base adjustment 01a1212c-879d-732d-8fe0-5b1ea9c45809 | 2018-06-30 | Adjustment of VAS | Cost base increase = -A$67.83</t>
        </is>
      </c>
      <c r="I386" t="inlineStr">
        <is>
          <t>cost base adjustment allocation</t>
        </is>
      </c>
      <c r="J386" s="5" t="inlineStr">
        <is>
          <t>01a1212c-8810-70f6-8616-fa1c5666fddb</t>
        </is>
      </c>
    </row>
    <row r="387">
      <c r="A387" s="5" t="inlineStr">
        <is>
          <t>01a1212c-886a-73e0-a0d9-11738ef783cf</t>
        </is>
      </c>
      <c r="D387" s="5" t="inlineStr">
        <is>
          <t>01a1212c-4b57-70cf-80fd-c2192cb3bf81</t>
        </is>
      </c>
      <c r="E387" s="4" t="n">
        <v>46304.62417900583</v>
      </c>
      <c r="F387" s="4" t="n">
        <v>46304.62417900591</v>
      </c>
      <c r="G387" t="b">
        <v>1</v>
      </c>
      <c r="H387" s="3" t="inlineStr">
        <is>
          <t>Added fraction 0.002686015528751110219751883792 of cost base adjustment 01a1212c-8862-7551-bc30-d78825299412 | 2018-06-30 | Adjustment of VGS | Cost base increase = -A$60.31</t>
        </is>
      </c>
      <c r="I387" t="inlineStr">
        <is>
          <t>cost base adjustment allocation</t>
        </is>
      </c>
      <c r="J387" s="5" t="inlineStr">
        <is>
          <t>01a1212c-8864-7382-aa63-1ad139e0b100</t>
        </is>
      </c>
    </row>
    <row r="388">
      <c r="A388" s="5" t="inlineStr">
        <is>
          <t>01a1212c-886f-72d6-9fa6-9b92e1d226b5</t>
        </is>
      </c>
      <c r="D388" s="5" t="inlineStr">
        <is>
          <t>01a1212c-4b57-70cf-80fd-c2192cb3bf81</t>
        </is>
      </c>
      <c r="E388" s="4" t="n">
        <v>46304.62417907368</v>
      </c>
      <c r="F388" s="4" t="n">
        <v>46304.62417907376</v>
      </c>
      <c r="G388" t="b">
        <v>1</v>
      </c>
      <c r="H388" s="3" t="inlineStr">
        <is>
          <t>Added fraction 0.008666876772770248975732745036 of cost base adjustment 01a1212c-8862-7551-bc30-d78825299412 | 2018-06-30 | Adjustment of VGS | Cost base increase = -A$60.31</t>
        </is>
      </c>
      <c r="I388" t="inlineStr">
        <is>
          <t>cost base adjustment allocation</t>
        </is>
      </c>
      <c r="J388" s="5" t="inlineStr">
        <is>
          <t>01a1212c-886a-73e0-a0d9-1174d8bca686</t>
        </is>
      </c>
    </row>
    <row r="389">
      <c r="A389" s="5" t="inlineStr">
        <is>
          <t>01a1212c-8875-711a-adf0-6acce8e17436</t>
        </is>
      </c>
      <c r="D389" s="5" t="inlineStr">
        <is>
          <t>01a1212c-4b57-70cf-80fd-c2192cb3bf81</t>
        </is>
      </c>
      <c r="E389" s="4" t="n">
        <v>46304.62417913895</v>
      </c>
      <c r="F389" s="4" t="n">
        <v>46304.62417913903</v>
      </c>
      <c r="G389" t="b">
        <v>1</v>
      </c>
      <c r="H389" s="3" t="inlineStr">
        <is>
          <t>Added fraction 0.01047187920809099504340601094 of cost base adjustment 01a1212c-8862-7551-bc30-d78825299412 | 2018-06-30 | Adjustment of VGS | Cost base increase = -A$60.31</t>
        </is>
      </c>
      <c r="I389" t="inlineStr">
        <is>
          <t>cost base adjustment allocation</t>
        </is>
      </c>
      <c r="J389" s="5" t="inlineStr">
        <is>
          <t>01a1212c-8870-7215-995d-6816b21a24e2</t>
        </is>
      </c>
    </row>
    <row r="390">
      <c r="A390" s="5" t="inlineStr">
        <is>
          <t>01a1212c-887b-70cc-9f1c-cfee7777a2cc</t>
        </is>
      </c>
      <c r="D390" s="5" t="inlineStr">
        <is>
          <t>01a1212c-4b57-70cf-80fd-c2192cb3bf81</t>
        </is>
      </c>
      <c r="E390" s="4" t="n">
        <v>46304.62417920394</v>
      </c>
      <c r="F390" s="4" t="n">
        <v>46304.62417920405</v>
      </c>
      <c r="G390" t="b">
        <v>1</v>
      </c>
      <c r="H390" s="3" t="inlineStr">
        <is>
          <t>Added fraction 0.02134487006847548921296163654 of cost base adjustment 01a1212c-8862-7551-bc30-d78825299412 | 2018-06-30 | Adjustment of VGS | Cost base increase = -A$60.31</t>
        </is>
      </c>
      <c r="I390" t="inlineStr">
        <is>
          <t>cost base adjustment allocation</t>
        </is>
      </c>
      <c r="J390" s="5" t="inlineStr">
        <is>
          <t>01a1212c-8876-77be-bc39-abd62eaf9765</t>
        </is>
      </c>
    </row>
    <row r="391">
      <c r="A391" s="5" t="inlineStr">
        <is>
          <t>01a1212c-8881-723d-9d2e-f862b019efba</t>
        </is>
      </c>
      <c r="D391" s="5" t="inlineStr">
        <is>
          <t>01a1212c-4b57-70cf-80fd-c2192cb3bf81</t>
        </is>
      </c>
      <c r="E391" s="4" t="n">
        <v>46304.62417927514</v>
      </c>
      <c r="F391" s="4" t="n">
        <v>46304.62417927522</v>
      </c>
      <c r="G391" t="b">
        <v>1</v>
      </c>
      <c r="H391" s="3" t="inlineStr">
        <is>
          <t>Added fraction 0.02346503165916969887975245681 of cost base adjustment 01a1212c-8862-7551-bc30-d78825299412 | 2018-06-30 | Adjustment of VGS | Cost base increase = -A$60.31</t>
        </is>
      </c>
      <c r="I391" t="inlineStr">
        <is>
          <t>cost base adjustment allocation</t>
        </is>
      </c>
      <c r="J391" s="5" t="inlineStr">
        <is>
          <t>01a1212c-887b-70cc-9f1c-cfef3fa927bc</t>
        </is>
      </c>
    </row>
    <row r="392">
      <c r="A392" s="5" t="inlineStr">
        <is>
          <t>01a1212c-8887-7301-9ddd-13b9b95420d4</t>
        </is>
      </c>
      <c r="D392" s="5" t="inlineStr">
        <is>
          <t>01a1212c-4b57-70cf-80fd-c2192cb3bf81</t>
        </is>
      </c>
      <c r="E392" s="4" t="n">
        <v>46304.62417934283</v>
      </c>
      <c r="F392" s="4" t="n">
        <v>46304.62417934293</v>
      </c>
      <c r="G392" t="b">
        <v>1</v>
      </c>
      <c r="H392" s="3" t="inlineStr">
        <is>
          <t>Added fraction 0.02694610778443113772455089820 of cost base adjustment 01a1212c-8862-7551-bc30-d78825299412 | 2018-06-30 | Adjustment of VGS | Cost base increase = -A$60.31</t>
        </is>
      </c>
      <c r="I392" t="inlineStr">
        <is>
          <t>cost base adjustment allocation</t>
        </is>
      </c>
      <c r="J392" s="5" t="inlineStr">
        <is>
          <t>01a1212c-8881-723d-9d2e-f863a845b574</t>
        </is>
      </c>
    </row>
    <row r="393">
      <c r="A393" s="5" t="inlineStr">
        <is>
          <t>01a1212c-888d-7014-b7f4-ce01e31a6e9e</t>
        </is>
      </c>
      <c r="D393" s="5" t="inlineStr">
        <is>
          <t>01a1212c-4b57-70cf-80fd-c2192cb3bf81</t>
        </is>
      </c>
      <c r="E393" s="4" t="n">
        <v>46304.62417941709</v>
      </c>
      <c r="F393" s="4" t="n">
        <v>46304.62417941717</v>
      </c>
      <c r="G393" t="b">
        <v>1</v>
      </c>
      <c r="H393" s="3" t="inlineStr">
        <is>
          <t>Added fraction 0.02890152708936194596453026960 of cost base adjustment 01a1212c-8862-7551-bc30-d78825299412 | 2018-06-30 | Adjustment of VGS | Cost base increase = -A$60.31</t>
        </is>
      </c>
      <c r="I393" t="inlineStr">
        <is>
          <t>cost base adjustment allocation</t>
        </is>
      </c>
      <c r="J393" s="5" t="inlineStr">
        <is>
          <t>01a1212c-8887-7301-9ddd-13baf10631e2</t>
        </is>
      </c>
    </row>
    <row r="394">
      <c r="A394" s="5" t="inlineStr">
        <is>
          <t>01a1212c-8893-7794-a405-f5fd5dbf5c64</t>
        </is>
      </c>
      <c r="D394" s="5" t="inlineStr">
        <is>
          <t>01a1212c-4b57-70cf-80fd-c2192cb3bf81</t>
        </is>
      </c>
      <c r="E394" s="4" t="n">
        <v>46304.62417948286</v>
      </c>
      <c r="F394" s="4" t="n">
        <v>46304.62417948294</v>
      </c>
      <c r="G394" t="b">
        <v>1</v>
      </c>
      <c r="H394" s="3" t="inlineStr">
        <is>
          <t>Added fraction 0.03137266137581296736670200269 of cost base adjustment 01a1212c-8862-7551-bc30-d78825299412 | 2018-06-30 | Adjustment of VGS | Cost base increase = -A$60.31</t>
        </is>
      </c>
      <c r="I394" t="inlineStr">
        <is>
          <t>cost base adjustment allocation</t>
        </is>
      </c>
      <c r="J394" s="5" t="inlineStr">
        <is>
          <t>01a1212c-888e-762d-bb24-e2fe1d312989</t>
        </is>
      </c>
    </row>
    <row r="395">
      <c r="A395" s="5" t="inlineStr">
        <is>
          <t>01a1212c-8898-70fe-bee8-4da017394914</t>
        </is>
      </c>
      <c r="D395" s="5" t="inlineStr">
        <is>
          <t>01a1212c-4b57-70cf-80fd-c2192cb3bf81</t>
        </is>
      </c>
      <c r="E395" s="4" t="n">
        <v>46304.62417954775</v>
      </c>
      <c r="F395" s="4" t="n">
        <v>46304.62417954783</v>
      </c>
      <c r="G395" t="b">
        <v>1</v>
      </c>
      <c r="H395" s="3" t="inlineStr">
        <is>
          <t>Added fraction 0.03225367446924333151878062058 of cost base adjustment 01a1212c-8862-7551-bc30-d78825299412 | 2018-06-30 | Adjustment of VGS | Cost base increase = -A$60.31</t>
        </is>
      </c>
      <c r="I395" t="inlineStr">
        <is>
          <t>cost base adjustment allocation</t>
        </is>
      </c>
      <c r="J395" s="5" t="inlineStr">
        <is>
          <t>01a1212c-8893-7794-a405-f5fe3d56c196</t>
        </is>
      </c>
    </row>
    <row r="396">
      <c r="A396" s="5" t="inlineStr">
        <is>
          <t>01a1212c-889f-74d6-8bc2-d35cebbfdd1e</t>
        </is>
      </c>
      <c r="D396" s="5" t="inlineStr">
        <is>
          <t>01a1212c-4b57-70cf-80fd-c2192cb3bf81</t>
        </is>
      </c>
      <c r="E396" s="4" t="n">
        <v>46304.62417962096</v>
      </c>
      <c r="F396" s="4" t="n">
        <v>46304.62417962105</v>
      </c>
      <c r="G396" t="b">
        <v>1</v>
      </c>
      <c r="H396" s="3" t="inlineStr">
        <is>
          <t>Added fraction 0.03549838122797467266424089620 of cost base adjustment 01a1212c-8862-7551-bc30-d78825299412 | 2018-06-30 | Adjustment of VGS | Cost base increase = -A$60.31</t>
        </is>
      </c>
      <c r="I396" t="inlineStr">
        <is>
          <t>cost base adjustment allocation</t>
        </is>
      </c>
      <c r="J396" s="5" t="inlineStr">
        <is>
          <t>01a1212c-8899-7215-8382-039b4b1e5523</t>
        </is>
      </c>
    </row>
    <row r="397">
      <c r="A397" s="5" t="inlineStr">
        <is>
          <t>01a1212c-88a4-7459-a3a4-7c854b0aa7f3</t>
        </is>
      </c>
      <c r="D397" s="5" t="inlineStr">
        <is>
          <t>01a1212c-4b57-70cf-80fd-c2192cb3bf81</t>
        </is>
      </c>
      <c r="E397" s="4" t="n">
        <v>46304.62417968825</v>
      </c>
      <c r="F397" s="4" t="n">
        <v>46304.62417968833</v>
      </c>
      <c r="G397" t="b">
        <v>1</v>
      </c>
      <c r="H397" s="3" t="inlineStr">
        <is>
          <t>Added fraction 0.05157149815202131621923616881 of cost base adjustment 01a1212c-8862-7551-bc30-d78825299412 | 2018-06-30 | Adjustment of VGS | Cost base increase = -A$60.31</t>
        </is>
      </c>
      <c r="I397" t="inlineStr">
        <is>
          <t>cost base adjustment allocation</t>
        </is>
      </c>
      <c r="J397" s="5" t="inlineStr">
        <is>
          <t>01a1212c-889f-74d6-8bc2-d35dd9e974e7</t>
        </is>
      </c>
    </row>
    <row r="398">
      <c r="A398" s="5" t="inlineStr">
        <is>
          <t>01a1212c-88ab-738f-81d8-43c02d0559d3</t>
        </is>
      </c>
      <c r="D398" s="5" t="inlineStr">
        <is>
          <t>01a1212c-4b57-70cf-80fd-c2192cb3bf81</t>
        </is>
      </c>
      <c r="E398" s="4" t="n">
        <v>46304.6241797583</v>
      </c>
      <c r="F398" s="4" t="n">
        <v>46304.62417975838</v>
      </c>
      <c r="G398" t="b">
        <v>1</v>
      </c>
      <c r="H398" s="3" t="inlineStr">
        <is>
          <t>Added fraction 0.05228776895968827894450333782 of cost base adjustment 01a1212c-8862-7551-bc30-d78825299412 | 2018-06-30 | Adjustment of VGS | Cost base increase = -A$60.31</t>
        </is>
      </c>
      <c r="I398" t="inlineStr">
        <is>
          <t>cost base adjustment allocation</t>
        </is>
      </c>
      <c r="J398" s="5" t="inlineStr">
        <is>
          <t>01a1212c-88a5-7577-ba6e-dac4ee0ce51f</t>
        </is>
      </c>
    </row>
    <row r="399">
      <c r="A399" s="5" t="inlineStr">
        <is>
          <t>01a1212c-88b0-701f-b9ff-0bfd7c0c1ce2</t>
        </is>
      </c>
      <c r="D399" s="5" t="inlineStr">
        <is>
          <t>01a1212c-4b57-70cf-80fd-c2192cb3bf81</t>
        </is>
      </c>
      <c r="E399" s="4" t="n">
        <v>46304.62417982666</v>
      </c>
      <c r="F399" s="4" t="n">
        <v>46304.62417982674</v>
      </c>
      <c r="G399" t="b">
        <v>1</v>
      </c>
      <c r="H399" s="3" t="inlineStr">
        <is>
          <t>Added fraction 0.05751654585565710683895367160 of cost base adjustment 01a1212c-8862-7551-bc30-d78825299412 | 2018-06-30 | Adjustment of VGS | Cost base increase = -A$60.31</t>
        </is>
      </c>
      <c r="I399" t="inlineStr">
        <is>
          <t>cost base adjustment allocation</t>
        </is>
      </c>
      <c r="J399" s="5" t="inlineStr">
        <is>
          <t>01a1212c-88ab-738f-81d8-43c1235a504f</t>
        </is>
      </c>
    </row>
    <row r="400">
      <c r="A400" s="5" t="inlineStr">
        <is>
          <t>01a1212c-88b6-769b-a7cc-c1ea0eb67844</t>
        </is>
      </c>
      <c r="D400" s="5" t="inlineStr">
        <is>
          <t>01a1212c-4b57-70cf-80fd-c2192cb3bf81</t>
        </is>
      </c>
      <c r="E400" s="4" t="n">
        <v>46304.62417989245</v>
      </c>
      <c r="F400" s="4" t="n">
        <v>46304.62417989253</v>
      </c>
      <c r="G400" t="b">
        <v>1</v>
      </c>
      <c r="H400" s="3" t="inlineStr">
        <is>
          <t>Added fraction 0.06343294272698621894966048764 of cost base adjustment 01a1212c-8862-7551-bc30-d78825299412 | 2018-06-30 | Adjustment of VGS | Cost base increase = -A$60.31</t>
        </is>
      </c>
      <c r="I400" t="inlineStr">
        <is>
          <t>cost base adjustment allocation</t>
        </is>
      </c>
      <c r="J400" s="5" t="inlineStr">
        <is>
          <t>01a1212c-88b1-7279-b67d-4f39f5bfa4e5</t>
        </is>
      </c>
    </row>
    <row r="401">
      <c r="A401" s="5" t="inlineStr">
        <is>
          <t>01a1212c-88bc-73f4-86a0-da02811744b3</t>
        </is>
      </c>
      <c r="D401" s="5" t="inlineStr">
        <is>
          <t>01a1212c-4b57-70cf-80fd-c2192cb3bf81</t>
        </is>
      </c>
      <c r="E401" s="4" t="n">
        <v>46304.62417995893</v>
      </c>
      <c r="F401" s="4" t="n">
        <v>46304.62417995901</v>
      </c>
      <c r="G401" t="b">
        <v>1</v>
      </c>
      <c r="H401" s="3" t="inlineStr">
        <is>
          <t>Added fraction 0.06535971119961034868062917228 of cost base adjustment 01a1212c-8862-7551-bc30-d78825299412 | 2018-06-30 | Adjustment of VGS | Cost base increase = -A$60.31</t>
        </is>
      </c>
      <c r="I401" t="inlineStr">
        <is>
          <t>cost base adjustment allocation</t>
        </is>
      </c>
      <c r="J401" s="5" t="inlineStr">
        <is>
          <t>01a1212c-88b7-703d-8c31-f5980d06b523</t>
        </is>
      </c>
    </row>
    <row r="402">
      <c r="A402" s="5" t="inlineStr">
        <is>
          <t>01a1212c-88c2-7518-aed3-20760501b078</t>
        </is>
      </c>
      <c r="D402" s="5" t="inlineStr">
        <is>
          <t>01a1212c-4b57-70cf-80fd-c2192cb3bf81</t>
        </is>
      </c>
      <c r="E402" s="4" t="n">
        <v>46304.62418002521</v>
      </c>
      <c r="F402" s="4" t="n">
        <v>46304.62418002529</v>
      </c>
      <c r="G402" t="b">
        <v>1</v>
      </c>
      <c r="H402" s="3" t="inlineStr">
        <is>
          <t>Added fraction 0.07058848809557917657507950606 of cost base adjustment 01a1212c-8862-7551-bc30-d78825299412 | 2018-06-30 | Adjustment of VGS | Cost base increase = -A$60.31</t>
        </is>
      </c>
      <c r="I402" t="inlineStr">
        <is>
          <t>cost base adjustment allocation</t>
        </is>
      </c>
      <c r="J402" s="5" t="inlineStr">
        <is>
          <t>01a1212c-88bd-73e2-b69e-2e9a3731b5cb</t>
        </is>
      </c>
    </row>
    <row r="403">
      <c r="A403" s="5" t="inlineStr">
        <is>
          <t>01a1212c-88c7-745a-8b63-30425f8b2d0b</t>
        </is>
      </c>
      <c r="D403" s="5" t="inlineStr">
        <is>
          <t>01a1212c-4b57-70cf-80fd-c2192cb3bf81</t>
        </is>
      </c>
      <c r="E403" s="4" t="n">
        <v>46304.62418009216</v>
      </c>
      <c r="F403" s="4" t="n">
        <v>46304.62418009224</v>
      </c>
      <c r="G403" t="b">
        <v>1</v>
      </c>
      <c r="H403" s="3" t="inlineStr">
        <is>
          <t>Added fraction 0.07843165343953241841675500673 of cost base adjustment 01a1212c-8862-7551-bc30-d78825299412 | 2018-06-30 | Adjustment of VGS | Cost base increase = -A$60.31</t>
        </is>
      </c>
      <c r="I403" t="inlineStr">
        <is>
          <t>cost base adjustment allocation</t>
        </is>
      </c>
      <c r="J403" s="5" t="inlineStr">
        <is>
          <t>01a1212c-88c2-7518-aed3-2077cf15585d</t>
        </is>
      </c>
    </row>
    <row r="404">
      <c r="A404" s="5" t="inlineStr">
        <is>
          <t>01a1212c-88cd-72ec-9d02-903241f6a4c4</t>
        </is>
      </c>
      <c r="D404" s="5" t="inlineStr">
        <is>
          <t>01a1212c-4b57-70cf-80fd-c2192cb3bf81</t>
        </is>
      </c>
      <c r="E404" s="4" t="n">
        <v>46304.62418015978</v>
      </c>
      <c r="F404" s="4" t="n">
        <v>46304.62418015987</v>
      </c>
      <c r="G404" t="b">
        <v>1</v>
      </c>
      <c r="H404" s="3" t="inlineStr">
        <is>
          <t>Added fraction 0.07843165343953241841675500673 of cost base adjustment 01a1212c-8862-7551-bc30-d78825299412 | 2018-06-30 | Adjustment of VGS | Cost base increase = -A$60.31</t>
        </is>
      </c>
      <c r="I404" t="inlineStr">
        <is>
          <t>cost base adjustment allocation</t>
        </is>
      </c>
      <c r="J404" s="5" t="inlineStr">
        <is>
          <t>01a1212c-88c8-7077-b66e-9874dc39dace</t>
        </is>
      </c>
    </row>
    <row r="405">
      <c r="A405" s="5" t="inlineStr">
        <is>
          <t>01a1212c-88d3-751c-a13f-319c174689f0</t>
        </is>
      </c>
      <c r="D405" s="5" t="inlineStr">
        <is>
          <t>01a1212c-4b57-70cf-80fd-c2192cb3bf81</t>
        </is>
      </c>
      <c r="E405" s="4" t="n">
        <v>46304.62418022772</v>
      </c>
      <c r="F405" s="4" t="n">
        <v>46304.6241802278</v>
      </c>
      <c r="G405" t="b">
        <v>1</v>
      </c>
      <c r="H405" s="3" t="inlineStr">
        <is>
          <t>Added fraction 0.08037991003638655702948170644 of cost base adjustment 01a1212c-8862-7551-bc30-d78825299412 | 2018-06-30 | Adjustment of VGS | Cost base increase = -A$60.31</t>
        </is>
      </c>
      <c r="I405" t="inlineStr">
        <is>
          <t>cost base adjustment allocation</t>
        </is>
      </c>
      <c r="J405" s="5" t="inlineStr">
        <is>
          <t>01a1212c-88ce-74e4-abbe-481462041776</t>
        </is>
      </c>
    </row>
    <row r="406">
      <c r="A406" s="5" t="inlineStr">
        <is>
          <t>01a1212c-88d9-774f-a869-dc483055d746</t>
        </is>
      </c>
      <c r="D406" s="5" t="inlineStr">
        <is>
          <t>01a1212c-4b57-70cf-80fd-c2192cb3bf81</t>
        </is>
      </c>
      <c r="E406" s="4" t="n">
        <v>46304.62418029642</v>
      </c>
      <c r="F406" s="4" t="n">
        <v>46304.62418029653</v>
      </c>
      <c r="G406" t="b">
        <v>1</v>
      </c>
      <c r="H406" s="3" t="inlineStr">
        <is>
          <t>Added fraction 0.08366043033550124631120534052 of cost base adjustment 01a1212c-8862-7551-bc30-d78825299412 | 2018-06-30 | Adjustment of VGS | Cost base increase = -A$60.31</t>
        </is>
      </c>
      <c r="I406" t="inlineStr">
        <is>
          <t>cost base adjustment allocation</t>
        </is>
      </c>
      <c r="J406" s="5" t="inlineStr">
        <is>
          <t>01a1212c-88d4-7502-b8c1-23d4ad929bab</t>
        </is>
      </c>
    </row>
    <row r="407">
      <c r="A407" s="5" t="inlineStr">
        <is>
          <t>01a1212c-88df-73db-bb2a-145d580bd6dc</t>
        </is>
      </c>
      <c r="D407" s="5" t="inlineStr">
        <is>
          <t>01a1212c-4b57-70cf-80fd-c2192cb3bf81</t>
        </is>
      </c>
      <c r="E407" s="4" t="n">
        <v>46304.62418036582</v>
      </c>
      <c r="F407" s="4" t="n">
        <v>46304.62418036591</v>
      </c>
      <c r="G407" t="b">
        <v>1</v>
      </c>
      <c r="H407" s="3" t="inlineStr">
        <is>
          <t>residual of cost base adjustment 01a1212c-8862-7551-bc30-d78825299412 | 2018-06-30 | Adjustment of VGS | Cost base increase = -A$60.31</t>
        </is>
      </c>
      <c r="I407" t="inlineStr">
        <is>
          <t>cost base adjustment allocation</t>
        </is>
      </c>
      <c r="J407" s="5" t="inlineStr">
        <is>
          <t>01a1212c-88da-73cc-b1e0-bca2f2b2d7b7</t>
        </is>
      </c>
    </row>
    <row r="408">
      <c r="A408" s="5" t="inlineStr">
        <is>
          <t>01a1212c-89f3-727a-9a42-9557cb291be9</t>
        </is>
      </c>
      <c r="D408" s="5" t="inlineStr">
        <is>
          <t>01a1212c-4b57-70cf-80fd-c2192cb3bf81</t>
        </is>
      </c>
      <c r="E408" s="4" t="n">
        <v>46304.62418355611</v>
      </c>
      <c r="F408" s="4" t="n">
        <v>46304.62418355618</v>
      </c>
      <c r="G408" t="b">
        <v>1</v>
      </c>
      <c r="H408" s="3" t="inlineStr">
        <is>
          <t>This parcel was created by splitting parcel 01a1212c-6b2f-77a6-aa39-efb9282482c9 into two separate parcels.</t>
        </is>
      </c>
      <c r="I408" t="inlineStr">
        <is>
          <t>parcel</t>
        </is>
      </c>
      <c r="J408" s="5" t="inlineStr">
        <is>
          <t>01a1212c-89ef-7630-ad3f-fd37a2fe2e20</t>
        </is>
      </c>
    </row>
    <row r="409">
      <c r="A409" s="5" t="inlineStr">
        <is>
          <t>01a1212c-89f8-746b-bf2c-04ed660ebef4</t>
        </is>
      </c>
      <c r="D409" s="5" t="inlineStr">
        <is>
          <t>01a1212c-4b57-70cf-80fd-c2192cb3bf81</t>
        </is>
      </c>
      <c r="E409" s="4" t="n">
        <v>46304.62418361846</v>
      </c>
      <c r="F409" s="4" t="n">
        <v>46304.62418361854</v>
      </c>
      <c r="G409" t="b">
        <v>1</v>
      </c>
      <c r="H409" s="3" t="inlineStr">
        <is>
          <t>This parcel was created by splitting parcel 01a1212c-6b2f-77a6-aa39-efb9282482c9 into two separate parcels.</t>
        </is>
      </c>
      <c r="I409" t="inlineStr">
        <is>
          <t>parcel</t>
        </is>
      </c>
      <c r="J409" s="5" t="inlineStr">
        <is>
          <t>01a1212c-89f4-7113-8008-3b3bfc79728b</t>
        </is>
      </c>
    </row>
    <row r="410">
      <c r="A410" s="5" t="inlineStr">
        <is>
          <t>01a1212c-89f9-77f9-a8a6-2ed7dd9f8d28</t>
        </is>
      </c>
      <c r="D410" s="5" t="inlineStr">
        <is>
          <t>01a1212c-4b57-70cf-80fd-c2192cb3bf81</t>
        </is>
      </c>
      <c r="E410" s="4" t="n">
        <v>46304.62418362875</v>
      </c>
      <c r="F410" s="4" t="n">
        <v>46304.62418362882</v>
      </c>
      <c r="G410" t="b">
        <v>1</v>
      </c>
      <c r="H410" s="3" t="inlineStr">
        <is>
          <t>This parcel was split into 01a1212c-89ef-7630-ad3f-fd37a2fe2e20 and 01a1212c-89f4-7113-8008-3b3bfc79728b, then marked as INACTIVE</t>
        </is>
      </c>
      <c r="I410" t="inlineStr">
        <is>
          <t>parcel</t>
        </is>
      </c>
      <c r="J410" s="5" t="inlineStr">
        <is>
          <t>01a1212c-6b2f-77a6-aa39-efb9282482c9</t>
        </is>
      </c>
    </row>
    <row r="411">
      <c r="A411" s="5" t="inlineStr">
        <is>
          <t>01a1212c-8a02-77bd-82bb-eb9d87404ef1</t>
        </is>
      </c>
      <c r="D411" s="5" t="inlineStr">
        <is>
          <t>01a1212c-4b57-70cf-80fd-c2192cb3bf81</t>
        </is>
      </c>
      <c r="E411" s="4" t="n">
        <v>46304.62418373121</v>
      </c>
      <c r="F411" s="4" t="n">
        <v>46304.6241837313</v>
      </c>
      <c r="G411" t="b">
        <v>1</v>
      </c>
      <c r="H411" s="3" t="inlineStr">
        <is>
          <t>This CostBaseAdjustmentAllocation was created by splitting 01a1212c-87d6-7779-817a-1a9ca33245ba into two separate allocations.</t>
        </is>
      </c>
      <c r="I411" t="inlineStr">
        <is>
          <t>cost base adjustment allocation</t>
        </is>
      </c>
      <c r="J411" s="5" t="inlineStr">
        <is>
          <t>01a1212c-89fc-70ab-b935-6e2c2e5a6edc</t>
        </is>
      </c>
    </row>
    <row r="412">
      <c r="A412" s="5" t="inlineStr">
        <is>
          <t>01a1212c-8a08-7244-a388-dd0454985f99</t>
        </is>
      </c>
      <c r="D412" s="5" t="inlineStr">
        <is>
          <t>01a1212c-4b57-70cf-80fd-c2192cb3bf81</t>
        </is>
      </c>
      <c r="E412" s="4" t="n">
        <v>46304.62418379851</v>
      </c>
      <c r="F412" s="4" t="n">
        <v>46304.62418379859</v>
      </c>
      <c r="G412" t="b">
        <v>1</v>
      </c>
      <c r="H412" s="3" t="inlineStr">
        <is>
          <t>This CostBaseAdjustmentAllocation was created by splitting 01a1212c-87d6-7779-817a-1a9ca33245ba into two separate allocations.</t>
        </is>
      </c>
      <c r="I412" t="inlineStr">
        <is>
          <t>cost base adjustment allocation</t>
        </is>
      </c>
      <c r="J412" s="5" t="inlineStr">
        <is>
          <t>01a1212c-8a03-7043-b5dd-7b2c96942c00</t>
        </is>
      </c>
    </row>
    <row r="413">
      <c r="A413" s="5" t="inlineStr">
        <is>
          <t>01a1212c-8a09-7013-96f8-4e1ad580725f</t>
        </is>
      </c>
      <c r="D413" s="5" t="inlineStr">
        <is>
          <t>01a1212c-4b57-70cf-80fd-c2192cb3bf81</t>
        </is>
      </c>
      <c r="E413" s="4" t="n">
        <v>46304.62418380925</v>
      </c>
      <c r="F413" s="4" t="n">
        <v>46304.62418380933</v>
      </c>
      <c r="G413" t="b">
        <v>1</v>
      </c>
      <c r="H413" s="3" t="inlineStr">
        <is>
          <t>This allocation was split into 01a1212c-89fc-70ab-b935-6e2c2e5a6edc and 01a1212c-8a03-7043-b5dd-7b2c96942c00, then marked as INACTIVE</t>
        </is>
      </c>
      <c r="I413" t="inlineStr">
        <is>
          <t>cost base adjustment allocation</t>
        </is>
      </c>
      <c r="J413" s="5" t="inlineStr">
        <is>
          <t>01a1212c-87d6-7779-817a-1a9ca33245ba</t>
        </is>
      </c>
    </row>
    <row r="414">
      <c r="A414" s="5" t="inlineStr">
        <is>
          <t>01a1212c-8a34-75c8-aa90-308ed67f2dad</t>
        </is>
      </c>
      <c r="D414" s="5" t="inlineStr">
        <is>
          <t>01a1212c-4b57-70cf-80fd-c2192cb3bf81</t>
        </is>
      </c>
      <c r="E414" s="4" t="n">
        <v>46304.62418431573</v>
      </c>
      <c r="F414" s="4" t="n">
        <v>46304.62418431581</v>
      </c>
      <c r="G414" t="b">
        <v>1</v>
      </c>
      <c r="H414" s="3" t="inlineStr">
        <is>
          <t>Added fraction 0.01182284498936569498311022144 of cost base adjustment 01a1212c-8a2c-7766-8599-0bc070d57414 | 2019-06-30 | Adjustment of A200 | Cost base increase = A$14.66</t>
        </is>
      </c>
      <c r="I414" t="inlineStr">
        <is>
          <t>cost base adjustment allocation</t>
        </is>
      </c>
      <c r="J414" s="5" t="inlineStr">
        <is>
          <t>01a1212c-8a2f-716d-a8e4-2061e088e1b0</t>
        </is>
      </c>
    </row>
    <row r="415">
      <c r="A415" s="5" t="inlineStr">
        <is>
          <t>01a1212c-8a3a-7282-b3f6-970cd3edf503</t>
        </is>
      </c>
      <c r="D415" s="5" t="inlineStr">
        <is>
          <t>01a1212c-4b57-70cf-80fd-c2192cb3bf81</t>
        </is>
      </c>
      <c r="E415" s="4" t="n">
        <v>46304.62418438483</v>
      </c>
      <c r="F415" s="4" t="n">
        <v>46304.62418438491</v>
      </c>
      <c r="G415" t="b">
        <v>1</v>
      </c>
      <c r="H415" s="3" t="inlineStr">
        <is>
          <t>Added fraction 0.02251970474164894282497185037 of cost base adjustment 01a1212c-8a2c-7766-8599-0bc070d57414 | 2019-06-30 | Adjustment of A200 | Cost base increase = A$14.66</t>
        </is>
      </c>
      <c r="I415" t="inlineStr">
        <is>
          <t>cost base adjustment allocation</t>
        </is>
      </c>
      <c r="J415" s="5" t="inlineStr">
        <is>
          <t>01a1212c-8a35-70eb-8f3d-8269ebb25fd5</t>
        </is>
      </c>
    </row>
    <row r="416">
      <c r="A416" s="5" t="inlineStr">
        <is>
          <t>01a1212c-8a40-75d5-a9b9-550922e5a586</t>
        </is>
      </c>
      <c r="D416" s="5" t="inlineStr">
        <is>
          <t>01a1212c-4b57-70cf-80fd-c2192cb3bf81</t>
        </is>
      </c>
      <c r="E416" s="4" t="n">
        <v>46304.62418445185</v>
      </c>
      <c r="F416" s="4" t="n">
        <v>46304.62418445193</v>
      </c>
      <c r="G416" t="b">
        <v>1</v>
      </c>
      <c r="H416" s="3" t="inlineStr">
        <is>
          <t>Added fraction 0.02452145627423995996496934818 of cost base adjustment 01a1212c-8a2c-7766-8599-0bc070d57414 | 2019-06-30 | Adjustment of A200 | Cost base increase = A$14.66</t>
        </is>
      </c>
      <c r="I416" t="inlineStr">
        <is>
          <t>cost base adjustment allocation</t>
        </is>
      </c>
      <c r="J416" s="5" t="inlineStr">
        <is>
          <t>01a1212c-8a3b-7605-a647-f57d1876b6eb</t>
        </is>
      </c>
    </row>
    <row r="417">
      <c r="A417" s="5" t="inlineStr">
        <is>
          <t>01a1212c-8a46-74bd-8def-64976b397c9d</t>
        </is>
      </c>
      <c r="D417" s="5" t="inlineStr">
        <is>
          <t>01a1212c-4b57-70cf-80fd-c2192cb3bf81</t>
        </is>
      </c>
      <c r="E417" s="4" t="n">
        <v>46304.62418451767</v>
      </c>
      <c r="F417" s="4" t="n">
        <v>46304.62418451776</v>
      </c>
      <c r="G417" t="b">
        <v>1</v>
      </c>
      <c r="H417" s="3" t="inlineStr">
        <is>
          <t>Added fraction 0.02977605404729137995746277993 of cost base adjustment 01a1212c-8a2c-7766-8599-0bc070d57414 | 2019-06-30 | Adjustment of A200 | Cost base increase = A$14.66</t>
        </is>
      </c>
      <c r="I417" t="inlineStr">
        <is>
          <t>cost base adjustment allocation</t>
        </is>
      </c>
      <c r="J417" s="5" t="inlineStr">
        <is>
          <t>01a1212c-8a41-731f-994f-d11cb6d4c548</t>
        </is>
      </c>
    </row>
    <row r="418">
      <c r="A418" s="5" t="inlineStr">
        <is>
          <t>01a1212c-8a4b-712f-84c8-802234d05f43</t>
        </is>
      </c>
      <c r="D418" s="5" t="inlineStr">
        <is>
          <t>01a1212c-4b57-70cf-80fd-c2192cb3bf81</t>
        </is>
      </c>
      <c r="E418" s="4" t="n">
        <v>46304.62418458289</v>
      </c>
      <c r="F418" s="4" t="n">
        <v>46304.62418458297</v>
      </c>
      <c r="G418" t="b">
        <v>1</v>
      </c>
      <c r="H418" s="3" t="inlineStr">
        <is>
          <t>Added fraction 0.05826973601901663955961466283 of cost base adjustment 01a1212c-8a2c-7766-8599-0bc070d57414 | 2019-06-30 | Adjustment of A200 | Cost base increase = A$14.66</t>
        </is>
      </c>
      <c r="I418" t="inlineStr">
        <is>
          <t>cost base adjustment allocation</t>
        </is>
      </c>
      <c r="J418" s="5" t="inlineStr">
        <is>
          <t>01a1212c-8a46-74bd-8def-6498c299f521</t>
        </is>
      </c>
    </row>
    <row r="419">
      <c r="A419" s="5" t="inlineStr">
        <is>
          <t>01a1212c-8a51-70d5-bc15-febffce6a80c</t>
        </is>
      </c>
      <c r="D419" s="5" t="inlineStr">
        <is>
          <t>01a1212c-4b57-70cf-80fd-c2192cb3bf81</t>
        </is>
      </c>
      <c r="E419" s="4" t="n">
        <v>46304.62418465189</v>
      </c>
      <c r="F419" s="4" t="n">
        <v>46304.62418465197</v>
      </c>
      <c r="G419" t="b">
        <v>1</v>
      </c>
      <c r="H419" s="3" t="inlineStr">
        <is>
          <t>Added fraction 0.06393093957212560990867008633 of cost base adjustment 01a1212c-8a2c-7766-8599-0bc070d57414 | 2019-06-30 | Adjustment of A200 | Cost base increase = A$14.66</t>
        </is>
      </c>
      <c r="I419" t="inlineStr">
        <is>
          <t>cost base adjustment allocation</t>
        </is>
      </c>
      <c r="J419" s="5" t="inlineStr">
        <is>
          <t>01a1212c-8a4c-721f-905b-2acc67ac6498</t>
        </is>
      </c>
    </row>
    <row r="420">
      <c r="A420" s="5" t="inlineStr">
        <is>
          <t>01a1212c-8a57-7216-9406-06828eba788b</t>
        </is>
      </c>
      <c r="D420" s="5" t="inlineStr">
        <is>
          <t>01a1212c-4b57-70cf-80fd-c2192cb3bf81</t>
        </is>
      </c>
      <c r="E420" s="4" t="n">
        <v>46304.62418471685</v>
      </c>
      <c r="F420" s="4" t="n">
        <v>46304.62418471692</v>
      </c>
      <c r="G420" t="b">
        <v>1</v>
      </c>
      <c r="H420" s="3" t="inlineStr">
        <is>
          <t>Added fraction 0.07237582885024396346803453021 of cost base adjustment 01a1212c-8a2c-7766-8599-0bc070d57414 | 2019-06-30 | Adjustment of A200 | Cost base increase = A$14.66</t>
        </is>
      </c>
      <c r="I420" t="inlineStr">
        <is>
          <t>cost base adjustment allocation</t>
        </is>
      </c>
      <c r="J420" s="5" t="inlineStr">
        <is>
          <t>01a1212c-8a52-7328-9889-e27be9e7a86b</t>
        </is>
      </c>
    </row>
    <row r="421">
      <c r="A421" s="5" t="inlineStr">
        <is>
          <t>01a1212c-8a5d-7436-ad24-6a672fd6eee3</t>
        </is>
      </c>
      <c r="D421" s="5" t="inlineStr">
        <is>
          <t>01a1212c-4b57-70cf-80fd-c2192cb3bf81</t>
        </is>
      </c>
      <c r="E421" s="4" t="n">
        <v>46304.62418478297</v>
      </c>
      <c r="F421" s="4" t="n">
        <v>46304.62418478303</v>
      </c>
      <c r="G421" t="b">
        <v>1</v>
      </c>
      <c r="H421" s="3" t="inlineStr">
        <is>
          <t>Added fraction 0.09132991367446515701238583761 of cost base adjustment 01a1212c-8a2c-7766-8599-0bc070d57414 | 2019-06-30 | Adjustment of A200 | Cost base increase = A$14.66</t>
        </is>
      </c>
      <c r="I421" t="inlineStr">
        <is>
          <t>cost base adjustment allocation</t>
        </is>
      </c>
      <c r="J421" s="5" t="inlineStr">
        <is>
          <t>01a1212c-8a58-70e2-a76e-dd1f375d46d5</t>
        </is>
      </c>
    </row>
    <row r="422">
      <c r="A422" s="5" t="inlineStr">
        <is>
          <t>01a1212c-8a63-75e3-8b5e-839bcc29c2ae</t>
        </is>
      </c>
      <c r="D422" s="5" t="inlineStr">
        <is>
          <t>01a1212c-4b57-70cf-80fd-c2192cb3bf81</t>
        </is>
      </c>
      <c r="E422" s="4" t="n">
        <v>46304.62418485987</v>
      </c>
      <c r="F422" s="4" t="n">
        <v>46304.62418485995</v>
      </c>
      <c r="G422" t="b">
        <v>1</v>
      </c>
      <c r="H422" s="3" t="inlineStr">
        <is>
          <t>Added fraction 0.09414487676717127486550731890 of cost base adjustment 01a1212c-8a2c-7766-8599-0bc070d57414 | 2019-06-30 | Adjustment of A200 | Cost base increase = A$14.66</t>
        </is>
      </c>
      <c r="I422" t="inlineStr">
        <is>
          <t>cost base adjustment allocation</t>
        </is>
      </c>
      <c r="J422" s="5" t="inlineStr">
        <is>
          <t>01a1212c-8a5d-7436-ad24-6a681a5141be</t>
        </is>
      </c>
    </row>
    <row r="423">
      <c r="A423" s="5" t="inlineStr">
        <is>
          <t>01a1212c-8a69-767f-b299-6d02a18bf890</t>
        </is>
      </c>
      <c r="D423" s="5" t="inlineStr">
        <is>
          <t>01a1212c-4b57-70cf-80fd-c2192cb3bf81</t>
        </is>
      </c>
      <c r="E423" s="4" t="n">
        <v>46304.624184928</v>
      </c>
      <c r="F423" s="4" t="n">
        <v>46304.62418492807</v>
      </c>
      <c r="G423" t="b">
        <v>1</v>
      </c>
      <c r="H423" s="3" t="inlineStr">
        <is>
          <t>Added fraction 0.1020893281621418741398723883 of cost base adjustment 01a1212c-8a2c-7766-8599-0bc070d57414 | 2019-06-30 | Adjustment of A200 | Cost base increase = A$14.66</t>
        </is>
      </c>
      <c r="I423" t="inlineStr">
        <is>
          <t>cost base adjustment allocation</t>
        </is>
      </c>
      <c r="J423" s="5" t="inlineStr">
        <is>
          <t>01a1212c-8a64-76d7-a650-4ed2fd721e07</t>
        </is>
      </c>
    </row>
    <row r="424">
      <c r="A424" s="5" t="inlineStr">
        <is>
          <t>01a1212c-8a70-7544-a03f-e817671ec68e</t>
        </is>
      </c>
      <c r="D424" s="5" t="inlineStr">
        <is>
          <t>01a1212c-4b57-70cf-80fd-c2192cb3bf81</t>
        </is>
      </c>
      <c r="E424" s="4" t="n">
        <v>46304.62418500167</v>
      </c>
      <c r="F424" s="4" t="n">
        <v>46304.62418500175</v>
      </c>
      <c r="G424" t="b">
        <v>1</v>
      </c>
      <c r="H424" s="3" t="inlineStr">
        <is>
          <t>Added fraction 0.1116602026773426748404854247 of cost base adjustment 01a1212c-8a2c-7766-8599-0bc070d57414 | 2019-06-30 | Adjustment of A200 | Cost base increase = A$14.66</t>
        </is>
      </c>
      <c r="I424" t="inlineStr">
        <is>
          <t>cost base adjustment allocation</t>
        </is>
      </c>
      <c r="J424" s="5" t="inlineStr">
        <is>
          <t>01a1212c-8a6a-76c1-ba7d-afc3d75b71dc</t>
        </is>
      </c>
    </row>
    <row r="425">
      <c r="A425" s="5" t="inlineStr">
        <is>
          <t>01a1212c-8a75-777c-bbff-2488ff12c1cd</t>
        </is>
      </c>
      <c r="D425" s="5" t="inlineStr">
        <is>
          <t>01a1212c-4b57-70cf-80fd-c2192cb3bf81</t>
        </is>
      </c>
      <c r="E425" s="4" t="n">
        <v>46304.62418506964</v>
      </c>
      <c r="F425" s="4" t="n">
        <v>46304.62418506971</v>
      </c>
      <c r="G425" t="b">
        <v>1</v>
      </c>
      <c r="H425" s="3" t="inlineStr">
        <is>
          <t>Added fraction 0.1353997247591642687351432503 of cost base adjustment 01a1212c-8a2c-7766-8599-0bc070d57414 | 2019-06-30 | Adjustment of A200 | Cost base increase = A$14.66</t>
        </is>
      </c>
      <c r="I425" t="inlineStr">
        <is>
          <t>cost base adjustment allocation</t>
        </is>
      </c>
      <c r="J425" s="5" t="inlineStr">
        <is>
          <t>01a1212c-8a70-7544-a03f-e818cb20ba36</t>
        </is>
      </c>
    </row>
    <row r="426">
      <c r="A426" s="5" t="inlineStr">
        <is>
          <t>01a1212c-8a7b-7707-b494-b61549d9a363</t>
        </is>
      </c>
      <c r="D426" s="5" t="inlineStr">
        <is>
          <t>01a1212c-4b57-70cf-80fd-c2192cb3bf81</t>
        </is>
      </c>
      <c r="E426" s="4" t="n">
        <v>46304.62418513567</v>
      </c>
      <c r="F426" s="4" t="n">
        <v>46304.62418513576</v>
      </c>
      <c r="G426" t="b">
        <v>1</v>
      </c>
      <c r="H426" s="3" t="inlineStr">
        <is>
          <t>residual of cost base adjustment 01a1212c-8a2c-7766-8599-0bc070d57414 | 2019-06-30 | Adjustment of A200 | Cost base increase = A$14.66</t>
        </is>
      </c>
      <c r="I426" t="inlineStr">
        <is>
          <t>cost base adjustment allocation</t>
        </is>
      </c>
      <c r="J426" s="5" t="inlineStr">
        <is>
          <t>01a1212c-8a76-7796-85f7-718304f00ba3</t>
        </is>
      </c>
    </row>
    <row r="427">
      <c r="A427" s="5" t="inlineStr">
        <is>
          <t>01a1212c-8abd-7363-8980-56a7154cfc01</t>
        </is>
      </c>
      <c r="D427" s="5" t="inlineStr">
        <is>
          <t>01a1212c-4b57-70cf-80fd-c2192cb3bf81</t>
        </is>
      </c>
      <c r="E427" s="4" t="n">
        <v>46304.62418589369</v>
      </c>
      <c r="F427" s="4" t="n">
        <v>46304.62418589377</v>
      </c>
      <c r="G427" t="b">
        <v>1</v>
      </c>
      <c r="H427" s="3" t="inlineStr">
        <is>
          <t>Added fraction 0.007831863800739506724635325667 of cost base adjustment 01a1212c-8ab0-7595-bc11-bfe51cdde84f | 2019-06-30 | Adjustment of VAS | Cost base increase = A$54.17</t>
        </is>
      </c>
      <c r="I427" t="inlineStr">
        <is>
          <t>cost base adjustment allocation</t>
        </is>
      </c>
      <c r="J427" s="5" t="inlineStr">
        <is>
          <t>01a1212c-8ab3-76ab-bd66-634b9c9fc920</t>
        </is>
      </c>
    </row>
    <row r="428">
      <c r="A428" s="5" t="inlineStr">
        <is>
          <t>01a1212c-8ac6-7637-83e7-51c2f1f1ad08</t>
        </is>
      </c>
      <c r="D428" s="5" t="inlineStr">
        <is>
          <t>01a1212c-4b57-70cf-80fd-c2192cb3bf81</t>
        </is>
      </c>
      <c r="E428" s="4" t="n">
        <v>46304.62418600782</v>
      </c>
      <c r="F428" s="4" t="n">
        <v>46304.6241860079</v>
      </c>
      <c r="G428" t="b">
        <v>1</v>
      </c>
      <c r="H428" s="3" t="inlineStr">
        <is>
          <t>Added fraction 0.02088497013530535126569420178 of cost base adjustment 01a1212c-8ab0-7595-bc11-bfe51cdde84f | 2019-06-30 | Adjustment of VAS | Cost base increase = A$54.17</t>
        </is>
      </c>
      <c r="I428" t="inlineStr">
        <is>
          <t>cost base adjustment allocation</t>
        </is>
      </c>
      <c r="J428" s="5" t="inlineStr">
        <is>
          <t>01a1212c-8abd-7363-8980-56a8a8eddb14</t>
        </is>
      </c>
    </row>
    <row r="429">
      <c r="A429" s="5" t="inlineStr">
        <is>
          <t>01a1212c-8ad0-745a-989b-606bb125daa7</t>
        </is>
      </c>
      <c r="D429" s="5" t="inlineStr">
        <is>
          <t>01a1212c-4b57-70cf-80fd-c2192cb3bf81</t>
        </is>
      </c>
      <c r="E429" s="4" t="n">
        <v>46304.62418611535</v>
      </c>
      <c r="F429" s="4" t="n">
        <v>46304.62418611544</v>
      </c>
      <c r="G429" t="b">
        <v>1</v>
      </c>
      <c r="H429" s="3" t="inlineStr">
        <is>
          <t>Added fraction 0.03654869773678436471496485311 of cost base adjustment 01a1212c-8ab0-7595-bc11-bfe51cdde84f | 2019-06-30 | Adjustment of VAS | Cost base increase = A$54.17</t>
        </is>
      </c>
      <c r="I429" t="inlineStr">
        <is>
          <t>cost base adjustment allocation</t>
        </is>
      </c>
      <c r="J429" s="5" t="inlineStr">
        <is>
          <t>01a1212c-8ac7-779b-9a4e-8716f0fe21d2</t>
        </is>
      </c>
    </row>
    <row r="430">
      <c r="A430" s="5" t="inlineStr">
        <is>
          <t>01a1212c-8ad9-7324-af5f-0be1048107f4</t>
        </is>
      </c>
      <c r="D430" s="5" t="inlineStr">
        <is>
          <t>01a1212c-4b57-70cf-80fd-c2192cb3bf81</t>
        </is>
      </c>
      <c r="E430" s="4" t="n">
        <v>46304.62418622705</v>
      </c>
      <c r="F430" s="4" t="n">
        <v>46304.62418622713</v>
      </c>
      <c r="G430" t="b">
        <v>1</v>
      </c>
      <c r="H430" s="3" t="inlineStr">
        <is>
          <t>Added fraction 0.03654869773678436471496485311 of cost base adjustment 01a1212c-8ab0-7595-bc11-bfe51cdde84f | 2019-06-30 | Adjustment of VAS | Cost base increase = A$54.17</t>
        </is>
      </c>
      <c r="I430" t="inlineStr">
        <is>
          <t>cost base adjustment allocation</t>
        </is>
      </c>
      <c r="J430" s="5" t="inlineStr">
        <is>
          <t>01a1212c-8ad1-7060-8cef-4bee7179fc2b</t>
        </is>
      </c>
    </row>
    <row r="431">
      <c r="A431" s="5" t="inlineStr">
        <is>
          <t>01a1212c-8adf-754b-a28c-912b0b10473d</t>
        </is>
      </c>
      <c r="D431" s="5" t="inlineStr">
        <is>
          <t>01a1212c-4b57-70cf-80fd-c2192cb3bf81</t>
        </is>
      </c>
      <c r="E431" s="4" t="n">
        <v>46304.62418629295</v>
      </c>
      <c r="F431" s="4" t="n">
        <v>46304.62418629305</v>
      </c>
      <c r="G431" t="b">
        <v>1</v>
      </c>
      <c r="H431" s="3" t="inlineStr">
        <is>
          <t>Added fraction 0.04078460850839055706797773353 of cost base adjustment 01a1212c-8ab0-7595-bc11-bfe51cdde84f | 2019-06-30 | Adjustment of VAS | Cost base increase = A$54.17</t>
        </is>
      </c>
      <c r="I431" t="inlineStr">
        <is>
          <t>cost base adjustment allocation</t>
        </is>
      </c>
      <c r="J431" s="5" t="inlineStr">
        <is>
          <t>01a1212c-8ada-7638-b2ff-d921c1b0c66f</t>
        </is>
      </c>
    </row>
    <row r="432">
      <c r="A432" s="5" t="inlineStr">
        <is>
          <t>01a1212c-8ae8-7302-80d6-346104b624d6</t>
        </is>
      </c>
      <c r="D432" s="5" t="inlineStr">
        <is>
          <t>01a1212c-4b57-70cf-80fd-c2192cb3bf81</t>
        </is>
      </c>
      <c r="E432" s="4" t="n">
        <v>46304.62418639666</v>
      </c>
      <c r="F432" s="4" t="n">
        <v>46304.62418639674</v>
      </c>
      <c r="G432" t="b">
        <v>1</v>
      </c>
      <c r="H432" s="3" t="inlineStr">
        <is>
          <t>Added fraction 0.04438056153752387143960017878 of cost base adjustment 01a1212c-8ab0-7595-bc11-bfe51cdde84f | 2019-06-30 | Adjustment of VAS | Cost base increase = A$54.17</t>
        </is>
      </c>
      <c r="I432" t="inlineStr">
        <is>
          <t>cost base adjustment allocation</t>
        </is>
      </c>
      <c r="J432" s="5" t="inlineStr">
        <is>
          <t>01a1212c-8ae0-73f5-ae1a-842265123606</t>
        </is>
      </c>
    </row>
    <row r="433">
      <c r="A433" s="5" t="inlineStr">
        <is>
          <t>01a1212c-8aee-7438-94cf-a3525f98683e</t>
        </is>
      </c>
      <c r="D433" s="5" t="inlineStr">
        <is>
          <t>01a1212c-4b57-70cf-80fd-c2192cb3bf81</t>
        </is>
      </c>
      <c r="E433" s="4" t="n">
        <v>46304.62418646282</v>
      </c>
      <c r="F433" s="4" t="n">
        <v>46304.6241864629</v>
      </c>
      <c r="G433" t="b">
        <v>1</v>
      </c>
      <c r="H433" s="3" t="inlineStr">
        <is>
          <t>Added fraction 0.04449230019097151680143025476 of cost base adjustment 01a1212c-8ab0-7595-bc11-bfe51cdde84f | 2019-06-30 | Adjustment of VAS | Cost base increase = A$54.17</t>
        </is>
      </c>
      <c r="I433" t="inlineStr">
        <is>
          <t>cost base adjustment allocation</t>
        </is>
      </c>
      <c r="J433" s="5" t="inlineStr">
        <is>
          <t>01a1212c-8ae9-748c-8cdc-254b2145a664</t>
        </is>
      </c>
    </row>
    <row r="434">
      <c r="A434" s="5" t="inlineStr">
        <is>
          <t>01a1212c-8af7-7350-ade3-dd177cf59e50</t>
        </is>
      </c>
      <c r="D434" s="5" t="inlineStr">
        <is>
          <t>01a1212c-4b57-70cf-80fd-c2192cb3bf81</t>
        </is>
      </c>
      <c r="E434" s="4" t="n">
        <v>46304.62418656852</v>
      </c>
      <c r="F434" s="4" t="n">
        <v>46304.62418656859</v>
      </c>
      <c r="G434" t="b">
        <v>1</v>
      </c>
      <c r="H434" s="3" t="inlineStr">
        <is>
          <t>Added fraction 0.04699118280443704034781195400 of cost base adjustment 01a1212c-8ab0-7595-bc11-bfe51cdde84f | 2019-06-30 | Adjustment of VAS | Cost base increase = A$54.17</t>
        </is>
      </c>
      <c r="I434" t="inlineStr">
        <is>
          <t>cost base adjustment allocation</t>
        </is>
      </c>
      <c r="J434" s="5" t="inlineStr">
        <is>
          <t>01a1212c-8aee-7438-94cf-a35353bc4821</t>
        </is>
      </c>
    </row>
    <row r="435">
      <c r="A435" s="5" t="inlineStr">
        <is>
          <t>01a1212c-8b00-701a-be19-6af15d61a36b</t>
        </is>
      </c>
      <c r="D435" s="5" t="inlineStr">
        <is>
          <t>01a1212c-4b57-70cf-80fd-c2192cb3bf81</t>
        </is>
      </c>
      <c r="E435" s="4" t="n">
        <v>46304.62418667194</v>
      </c>
      <c r="F435" s="4" t="n">
        <v>46304.62418667202</v>
      </c>
      <c r="G435" t="b">
        <v>1</v>
      </c>
      <c r="H435" s="3" t="inlineStr">
        <is>
          <t>Added fraction 0.04699118280443704034781195400 of cost base adjustment 01a1212c-8ab0-7595-bc11-bfe51cdde84f | 2019-06-30 | Adjustment of VAS | Cost base increase = A$54.17</t>
        </is>
      </c>
      <c r="I435" t="inlineStr">
        <is>
          <t>cost base adjustment allocation</t>
        </is>
      </c>
      <c r="J435" s="5" t="inlineStr">
        <is>
          <t>01a1212c-8af8-70a3-9271-3307922897b9</t>
        </is>
      </c>
    </row>
    <row r="436">
      <c r="A436" s="5" t="inlineStr">
        <is>
          <t>01a1212c-8b06-74de-8ca3-edfe4b598f63</t>
        </is>
      </c>
      <c r="D436" s="5" t="inlineStr">
        <is>
          <t>01a1212c-4b57-70cf-80fd-c2192cb3bf81</t>
        </is>
      </c>
      <c r="E436" s="4" t="n">
        <v>46304.62418674095</v>
      </c>
      <c r="F436" s="4" t="n">
        <v>46304.62418674103</v>
      </c>
      <c r="G436" t="b">
        <v>1</v>
      </c>
      <c r="H436" s="3" t="inlineStr">
        <is>
          <t>Added fraction 0.04819999187355247653488277599 of cost base adjustment 01a1212c-8ab0-7595-bc11-bfe51cdde84f | 2019-06-30 | Adjustment of VAS | Cost base increase = A$54.17</t>
        </is>
      </c>
      <c r="I436" t="inlineStr">
        <is>
          <t>cost base adjustment allocation</t>
        </is>
      </c>
      <c r="J436" s="5" t="inlineStr">
        <is>
          <t>01a1212c-8b01-7234-9ea1-39fe3934ac76</t>
        </is>
      </c>
    </row>
    <row r="437">
      <c r="A437" s="5" t="inlineStr">
        <is>
          <t>01a1212c-8b0c-7622-945f-2ed1a6807af8</t>
        </is>
      </c>
      <c r="D437" s="5" t="inlineStr">
        <is>
          <t>01a1212c-4b57-70cf-80fd-c2192cb3bf81</t>
        </is>
      </c>
      <c r="E437" s="4" t="n">
        <v>46304.62418680944</v>
      </c>
      <c r="F437" s="4" t="n">
        <v>46304.62418680952</v>
      </c>
      <c r="G437" t="b">
        <v>1</v>
      </c>
      <c r="H437" s="3" t="inlineStr">
        <is>
          <t>Added fraction 0.04819999187355247653488277599 of cost base adjustment 01a1212c-8ab0-7595-bc11-bfe51cdde84f | 2019-06-30 | Adjustment of VAS | Cost base increase = A$54.17</t>
        </is>
      </c>
      <c r="I437" t="inlineStr">
        <is>
          <t>cost base adjustment allocation</t>
        </is>
      </c>
      <c r="J437" s="5" t="inlineStr">
        <is>
          <t>01a1212c-8b07-73ac-80b7-a67e7773f8ec</t>
        </is>
      </c>
    </row>
    <row r="438">
      <c r="A438" s="5" t="inlineStr">
        <is>
          <t>01a1212c-8b12-76c2-9f94-a57f8d66fa5b</t>
        </is>
      </c>
      <c r="D438" s="5" t="inlineStr">
        <is>
          <t>01a1212c-4b57-70cf-80fd-c2192cb3bf81</t>
        </is>
      </c>
      <c r="E438" s="4" t="n">
        <v>46304.62418688344</v>
      </c>
      <c r="F438" s="4" t="n">
        <v>46304.62418688353</v>
      </c>
      <c r="G438" t="b">
        <v>1</v>
      </c>
      <c r="H438" s="3" t="inlineStr">
        <is>
          <t>Added fraction 0.04819999187355247653488277599 of cost base adjustment 01a1212c-8ab0-7595-bc11-bfe51cdde84f | 2019-06-30 | Adjustment of VAS | Cost base increase = A$54.17</t>
        </is>
      </c>
      <c r="I438" t="inlineStr">
        <is>
          <t>cost base adjustment allocation</t>
        </is>
      </c>
      <c r="J438" s="5" t="inlineStr">
        <is>
          <t>01a1212c-8b0c-7622-945f-2ed2808cd9d2</t>
        </is>
      </c>
    </row>
    <row r="439">
      <c r="A439" s="5" t="inlineStr">
        <is>
          <t>01a1212c-8b1b-73b2-bd4e-b13b3598cc1c</t>
        </is>
      </c>
      <c r="D439" s="5" t="inlineStr">
        <is>
          <t>01a1212c-4b57-70cf-80fd-c2192cb3bf81</t>
        </is>
      </c>
      <c r="E439" s="4" t="n">
        <v>46304.62418698721</v>
      </c>
      <c r="F439" s="4" t="n">
        <v>46304.62418698729</v>
      </c>
      <c r="G439" t="b">
        <v>1</v>
      </c>
      <c r="H439" s="3" t="inlineStr">
        <is>
          <t>Added fraction 0.04960180407135020925602372923 of cost base adjustment 01a1212c-8ab0-7595-bc11-bfe51cdde84f | 2019-06-30 | Adjustment of VAS | Cost base increase = A$54.17</t>
        </is>
      </c>
      <c r="I439" t="inlineStr">
        <is>
          <t>cost base adjustment allocation</t>
        </is>
      </c>
      <c r="J439" s="5" t="inlineStr">
        <is>
          <t>01a1212c-8b13-736c-b752-6674d361915c</t>
        </is>
      </c>
    </row>
    <row r="440">
      <c r="A440" s="5" t="inlineStr">
        <is>
          <t>01a1212c-8b21-755e-a317-9db92164286c</t>
        </is>
      </c>
      <c r="D440" s="5" t="inlineStr">
        <is>
          <t>01a1212c-4b57-70cf-80fd-c2192cb3bf81</t>
        </is>
      </c>
      <c r="E440" s="4" t="n">
        <v>46304.62418705453</v>
      </c>
      <c r="F440" s="4" t="n">
        <v>46304.62418705461</v>
      </c>
      <c r="G440" t="b">
        <v>1</v>
      </c>
      <c r="H440" s="3" t="inlineStr">
        <is>
          <t>Added fraction 0.05190768355613343626833529722 of cost base adjustment 01a1212c-8ab0-7595-bc11-bfe51cdde84f | 2019-06-30 | Adjustment of VAS | Cost base increase = A$54.17</t>
        </is>
      </c>
      <c r="I440" t="inlineStr">
        <is>
          <t>cost base adjustment allocation</t>
        </is>
      </c>
      <c r="J440" s="5" t="inlineStr">
        <is>
          <t>01a1212c-8b1c-73ac-8b6b-bf8f66858d8a</t>
        </is>
      </c>
    </row>
    <row r="441">
      <c r="A441" s="5" t="inlineStr">
        <is>
          <t>01a1212c-8b2a-7233-9e8d-f923dc548d3d</t>
        </is>
      </c>
      <c r="D441" s="5" t="inlineStr">
        <is>
          <t>01a1212c-4b57-70cf-80fd-c2192cb3bf81</t>
        </is>
      </c>
      <c r="E441" s="4" t="n">
        <v>46304.62418715769</v>
      </c>
      <c r="F441" s="4" t="n">
        <v>46304.62418715777</v>
      </c>
      <c r="G441" t="b">
        <v>1</v>
      </c>
      <c r="H441" s="3" t="inlineStr">
        <is>
          <t>Added fraction 0.05221242533826337816423550445 of cost base adjustment 01a1212c-8ab0-7595-bc11-bfe51cdde84f | 2019-06-30 | Adjustment of VAS | Cost base increase = A$54.17</t>
        </is>
      </c>
      <c r="I441" t="inlineStr">
        <is>
          <t>cost base adjustment allocation</t>
        </is>
      </c>
      <c r="J441" s="5" t="inlineStr">
        <is>
          <t>01a1212c-8b22-7035-a6a4-4bb0aae3bcb3</t>
        </is>
      </c>
    </row>
    <row r="442">
      <c r="A442" s="5" t="inlineStr">
        <is>
          <t>01a1212c-8b33-73db-8e94-cb3b1be76434</t>
        </is>
      </c>
      <c r="D442" s="5" t="inlineStr">
        <is>
          <t>01a1212c-4b57-70cf-80fd-c2192cb3bf81</t>
        </is>
      </c>
      <c r="E442" s="4" t="n">
        <v>46304.62418726151</v>
      </c>
      <c r="F442" s="4" t="n">
        <v>46304.62418726159</v>
      </c>
      <c r="G442" t="b">
        <v>1</v>
      </c>
      <c r="H442" s="3" t="inlineStr">
        <is>
          <t>Added fraction 0.05482304660517654707244727967 of cost base adjustment 01a1212c-8ab0-7595-bc11-bfe51cdde84f | 2019-06-30 | Adjustment of VAS | Cost base increase = A$54.17</t>
        </is>
      </c>
      <c r="I442" t="inlineStr">
        <is>
          <t>cost base adjustment allocation</t>
        </is>
      </c>
      <c r="J442" s="5" t="inlineStr">
        <is>
          <t>01a1212c-8b2b-740b-9172-4036feab5b86</t>
        </is>
      </c>
    </row>
    <row r="443">
      <c r="A443" s="5" t="inlineStr">
        <is>
          <t>01a1212c-8b3c-7678-9818-e729bb7da60a</t>
        </is>
      </c>
      <c r="D443" s="5" t="inlineStr">
        <is>
          <t>01a1212c-4b57-70cf-80fd-c2192cb3bf81</t>
        </is>
      </c>
      <c r="E443" s="4" t="n">
        <v>46304.62418736806</v>
      </c>
      <c r="F443" s="4" t="n">
        <v>46304.62418736814</v>
      </c>
      <c r="G443" t="b">
        <v>1</v>
      </c>
      <c r="H443" s="3" t="inlineStr">
        <is>
          <t>Added fraction 0.05482304660517654707244727967 of cost base adjustment 01a1212c-8ab0-7595-bc11-bfe51cdde84f | 2019-06-30 | Adjustment of VAS | Cost base increase = A$54.17</t>
        </is>
      </c>
      <c r="I443" t="inlineStr">
        <is>
          <t>cost base adjustment allocation</t>
        </is>
      </c>
      <c r="J443" s="5" t="inlineStr">
        <is>
          <t>01a1212c-8b33-73db-8e94-cb3c2674c6cc</t>
        </is>
      </c>
    </row>
    <row r="444">
      <c r="A444" s="5" t="inlineStr">
        <is>
          <t>01a1212c-8b43-7689-ba5a-367d464aa63e</t>
        </is>
      </c>
      <c r="D444" s="5" t="inlineStr">
        <is>
          <t>01a1212c-4b57-70cf-80fd-c2192cb3bf81</t>
        </is>
      </c>
      <c r="E444" s="4" t="n">
        <v>46304.62418744496</v>
      </c>
      <c r="F444" s="4" t="n">
        <v>46304.62418744505</v>
      </c>
      <c r="G444" t="b">
        <v>1</v>
      </c>
      <c r="H444" s="3" t="inlineStr">
        <is>
          <t>Added fraction 0.05561537523871439600178781846 of cost base adjustment 01a1212c-8ab0-7595-bc11-bfe51cdde84f | 2019-06-30 | Adjustment of VAS | Cost base increase = A$54.17</t>
        </is>
      </c>
      <c r="I444" t="inlineStr">
        <is>
          <t>cost base adjustment allocation</t>
        </is>
      </c>
      <c r="J444" s="5" t="inlineStr">
        <is>
          <t>01a1212c-8b3d-717c-a7e0-70a330665863</t>
        </is>
      </c>
    </row>
    <row r="445">
      <c r="A445" s="5" t="inlineStr">
        <is>
          <t>01a1212c-8b4c-7091-bd11-5594fb5e852e</t>
        </is>
      </c>
      <c r="D445" s="5" t="inlineStr">
        <is>
          <t>01a1212c-4b57-70cf-80fd-c2192cb3bf81</t>
        </is>
      </c>
      <c r="E445" s="4" t="n">
        <v>46304.62418755421</v>
      </c>
      <c r="F445" s="4" t="n">
        <v>46304.62418755429</v>
      </c>
      <c r="G445" t="b">
        <v>1</v>
      </c>
      <c r="H445" s="3" t="inlineStr">
        <is>
          <t>Added fraction 0.06265491040591605379708260534 of cost base adjustment 01a1212c-8ab0-7595-bc11-bfe51cdde84f | 2019-06-30 | Adjustment of VAS | Cost base increase = A$54.17</t>
        </is>
      </c>
      <c r="I445" t="inlineStr">
        <is>
          <t>cost base adjustment allocation</t>
        </is>
      </c>
      <c r="J445" s="5" t="inlineStr">
        <is>
          <t>01a1212c-8b43-7689-ba5a-367e4c793540</t>
        </is>
      </c>
    </row>
    <row r="446">
      <c r="A446" s="5" t="inlineStr">
        <is>
          <t>01a1212c-8b53-7678-b16d-e9aa3bfbb839</t>
        </is>
      </c>
      <c r="D446" s="5" t="inlineStr">
        <is>
          <t>01a1212c-4b57-70cf-80fd-c2192cb3bf81</t>
        </is>
      </c>
      <c r="E446" s="4" t="n">
        <v>46304.62418763396</v>
      </c>
      <c r="F446" s="4" t="n">
        <v>46304.62418763405</v>
      </c>
      <c r="G446" t="b">
        <v>1</v>
      </c>
      <c r="H446" s="3" t="inlineStr">
        <is>
          <t>Added fraction 0.07415383365161919466905042461 of cost base adjustment 01a1212c-8ab0-7595-bc11-bfe51cdde84f | 2019-06-30 | Adjustment of VAS | Cost base increase = A$54.17</t>
        </is>
      </c>
      <c r="I446" t="inlineStr">
        <is>
          <t>cost base adjustment allocation</t>
        </is>
      </c>
      <c r="J446" s="5" t="inlineStr">
        <is>
          <t>01a1212c-8b4d-76b1-8ccd-e44b27194bb1</t>
        </is>
      </c>
    </row>
    <row r="447">
      <c r="A447" s="5" t="inlineStr">
        <is>
          <t>01a1212c-8b59-76d8-b268-a0dbb9f110d4</t>
        </is>
      </c>
      <c r="D447" s="5" t="inlineStr">
        <is>
          <t>01a1212c-4b57-70cf-80fd-c2192cb3bf81</t>
        </is>
      </c>
      <c r="E447" s="4" t="n">
        <v>46304.62418770469</v>
      </c>
      <c r="F447" s="4" t="n">
        <v>46304.62418770478</v>
      </c>
      <c r="G447" t="b">
        <v>1</v>
      </c>
      <c r="H447" s="3" t="inlineStr">
        <is>
          <t>residual of cost base adjustment 01a1212c-8ab0-7595-bc11-bfe51cdde84f | 2019-06-30 | Adjustment of VAS | Cost base increase = A$54.17</t>
        </is>
      </c>
      <c r="I447" t="inlineStr">
        <is>
          <t>cost base adjustment allocation</t>
        </is>
      </c>
      <c r="J447" s="5" t="inlineStr">
        <is>
          <t>01a1212c-8b54-771c-9ff1-67235e28f727</t>
        </is>
      </c>
    </row>
    <row r="448">
      <c r="A448" s="5" t="inlineStr">
        <is>
          <t>01a1212c-8bb2-7582-896f-ac5950b0613f</t>
        </is>
      </c>
      <c r="D448" s="5" t="inlineStr">
        <is>
          <t>01a1212c-4b57-70cf-80fd-c2192cb3bf81</t>
        </is>
      </c>
      <c r="E448" s="4" t="n">
        <v>46304.62418873644</v>
      </c>
      <c r="F448" s="4" t="n">
        <v>46304.62418873652</v>
      </c>
      <c r="G448" t="b">
        <v>1</v>
      </c>
      <c r="H448" s="3" t="inlineStr">
        <is>
          <t>Added fraction 0.002999782067114782259408504510 of cost base adjustment 01a1212c-8baa-744f-813f-f3d3bee6fb69 | 2019-06-30 | Adjustment of VGS | Cost base increase = A$46.66</t>
        </is>
      </c>
      <c r="I448" t="inlineStr">
        <is>
          <t>cost base adjustment allocation</t>
        </is>
      </c>
      <c r="J448" s="5" t="inlineStr">
        <is>
          <t>01a1212c-8bad-7495-9803-c85d5a49d811</t>
        </is>
      </c>
    </row>
    <row r="449">
      <c r="A449" s="5" t="inlineStr">
        <is>
          <t>01a1212c-8bb9-70e1-a067-9fb418c6bb15</t>
        </is>
      </c>
      <c r="D449" s="5" t="inlineStr">
        <is>
          <t>01a1212c-4b57-70cf-80fd-c2192cb3bf81</t>
        </is>
      </c>
      <c r="E449" s="4" t="n">
        <v>46304.62418881225</v>
      </c>
      <c r="F449" s="4" t="n">
        <v>46304.62418881234</v>
      </c>
      <c r="G449" t="b">
        <v>1</v>
      </c>
      <c r="H449" s="3" t="inlineStr">
        <is>
          <t>Added fraction 0.005384224223026532260476802967 of cost base adjustment 01a1212c-8baa-744f-813f-f3d3bee6fb69 | 2019-06-30 | Adjustment of VGS | Cost base increase = A$46.66</t>
        </is>
      </c>
      <c r="I449" t="inlineStr">
        <is>
          <t>cost base adjustment allocation</t>
        </is>
      </c>
      <c r="J449" s="5" t="inlineStr">
        <is>
          <t>01a1212c-8bb3-758c-8d16-3900ba3ef77c</t>
        </is>
      </c>
    </row>
    <row r="450">
      <c r="A450" s="5" t="inlineStr">
        <is>
          <t>01a1212c-8bbf-72da-9f9b-16df3a054067</t>
        </is>
      </c>
      <c r="D450" s="5" t="inlineStr">
        <is>
          <t>01a1212c-4b57-70cf-80fd-c2192cb3bf81</t>
        </is>
      </c>
      <c r="E450" s="4" t="n">
        <v>46304.62418888257</v>
      </c>
      <c r="F450" s="4" t="n">
        <v>46304.62418888265</v>
      </c>
      <c r="G450" t="b">
        <v>1</v>
      </c>
      <c r="H450" s="3" t="inlineStr">
        <is>
          <t>Added fraction 0.005982471358918369178307558853 of cost base adjustment 01a1212c-8baa-744f-813f-f3d3bee6fb69 | 2019-06-30 | Adjustment of VGS | Cost base increase = A$46.66</t>
        </is>
      </c>
      <c r="I450" t="inlineStr">
        <is>
          <t>cost base adjustment allocation</t>
        </is>
      </c>
      <c r="J450" s="5" t="inlineStr">
        <is>
          <t>01a1212c-8bba-7064-9800-04997a7a7f77</t>
        </is>
      </c>
    </row>
    <row r="451">
      <c r="A451" s="5" t="inlineStr">
        <is>
          <t>01a1212c-8bc5-728c-b1f0-8dd31795a976</t>
        </is>
      </c>
      <c r="D451" s="5" t="inlineStr">
        <is>
          <t>01a1212c-4b57-70cf-80fd-c2192cb3bf81</t>
        </is>
      </c>
      <c r="E451" s="4" t="n">
        <v>46304.62418894943</v>
      </c>
      <c r="F451" s="4" t="n">
        <v>46304.62418894951</v>
      </c>
      <c r="G451" t="b">
        <v>1</v>
      </c>
      <c r="H451" s="3" t="inlineStr">
        <is>
          <t>Added fraction 0.007627650982620920702342137537 of cost base adjustment 01a1212c-8baa-744f-813f-f3d3bee6fb69 | 2019-06-30 | Adjustment of VGS | Cost base increase = A$46.66</t>
        </is>
      </c>
      <c r="I451" t="inlineStr">
        <is>
          <t>cost base adjustment allocation</t>
        </is>
      </c>
      <c r="J451" s="5" t="inlineStr">
        <is>
          <t>01a1212c-8bc0-7599-837a-d5df906942cd</t>
        </is>
      </c>
    </row>
    <row r="452">
      <c r="A452" s="5" t="inlineStr">
        <is>
          <t>01a1212c-8bcb-7060-9c68-b0c2af8bfbf5</t>
        </is>
      </c>
      <c r="D452" s="5" t="inlineStr">
        <is>
          <t>01a1212c-4b57-70cf-80fd-c2192cb3bf81</t>
        </is>
      </c>
      <c r="E452" s="4" t="n">
        <v>46304.62418902164</v>
      </c>
      <c r="F452" s="4" t="n">
        <v>46304.62418902173</v>
      </c>
      <c r="G452" t="b">
        <v>1</v>
      </c>
      <c r="H452" s="3" t="inlineStr">
        <is>
          <t>Added fraction 0.01415281795766974194182473923 of cost base adjustment 01a1212c-8baa-744f-813f-f3d3bee6fb69 | 2019-06-30 | Adjustment of VGS | Cost base increase = A$46.66</t>
        </is>
      </c>
      <c r="I452" t="inlineStr">
        <is>
          <t>cost base adjustment allocation</t>
        </is>
      </c>
      <c r="J452" s="5" t="inlineStr">
        <is>
          <t>01a1212c-8bc5-728c-b1f0-8dd4fa254a42</t>
        </is>
      </c>
    </row>
    <row r="453">
      <c r="A453" s="5" t="inlineStr">
        <is>
          <t>01a1212c-8bd1-759f-b28c-50df33157e6f</t>
        </is>
      </c>
      <c r="D453" s="5" t="inlineStr">
        <is>
          <t>01a1212c-4b57-70cf-80fd-c2192cb3bf81</t>
        </is>
      </c>
      <c r="E453" s="4" t="n">
        <v>46304.62418908798</v>
      </c>
      <c r="F453" s="4" t="n">
        <v>46304.62418908807</v>
      </c>
      <c r="G453" t="b">
        <v>1</v>
      </c>
      <c r="H453" s="3" t="inlineStr">
        <is>
          <t>Added fraction 0.01622104377032437814346820957 of cost base adjustment 01a1212c-8baa-744f-813f-f3d3bee6fb69 | 2019-06-30 | Adjustment of VGS | Cost base increase = A$46.66</t>
        </is>
      </c>
      <c r="I453" t="inlineStr">
        <is>
          <t>cost base adjustment allocation</t>
        </is>
      </c>
      <c r="J453" s="5" t="inlineStr">
        <is>
          <t>01a1212c-8bcc-712a-af10-df51181f3d35</t>
        </is>
      </c>
    </row>
    <row r="454">
      <c r="A454" s="5" t="inlineStr">
        <is>
          <t>01a1212c-8c00-75fa-a645-cc36b46ed30b</t>
        </is>
      </c>
      <c r="D454" s="5" t="inlineStr">
        <is>
          <t>01a1212c-4b57-70cf-80fd-c2192cb3bf81</t>
        </is>
      </c>
      <c r="E454" s="4" t="n">
        <v>46304.62418963203</v>
      </c>
      <c r="F454" s="4" t="n">
        <v>46304.62418963214</v>
      </c>
      <c r="G454" t="b">
        <v>1</v>
      </c>
      <c r="H454" s="3" t="inlineStr">
        <is>
          <t>Added fraction 0.01749445553100843101142224710 of cost base adjustment 01a1212c-8baa-744f-813f-f3d3bee6fb69 | 2019-06-30 | Adjustment of VGS | Cost base increase = A$46.66</t>
        </is>
      </c>
      <c r="I454" t="inlineStr">
        <is>
          <t>cost base adjustment allocation</t>
        </is>
      </c>
      <c r="J454" s="5" t="inlineStr">
        <is>
          <t>01a1212c-8bd1-759f-b28c-50e090d68a1c</t>
        </is>
      </c>
    </row>
    <row r="455">
      <c r="A455" s="5" t="inlineStr">
        <is>
          <t>01a1212c-8c05-72e5-9c02-a5c6fea6b8d9</t>
        </is>
      </c>
      <c r="D455" s="5" t="inlineStr">
        <is>
          <t>01a1212c-4b57-70cf-80fd-c2192cb3bf81</t>
        </is>
      </c>
      <c r="E455" s="4" t="n">
        <v>46304.62418970008</v>
      </c>
      <c r="F455" s="4" t="n">
        <v>46304.62418970016</v>
      </c>
      <c r="G455" t="b">
        <v>1</v>
      </c>
      <c r="H455" s="3" t="inlineStr">
        <is>
          <t>Added fraction 0.01871658896575889785784793412 of cost base adjustment 01a1212c-8baa-744f-813f-f3d3bee6fb69 | 2019-06-30 | Adjustment of VGS | Cost base increase = A$46.66</t>
        </is>
      </c>
      <c r="I455" t="inlineStr">
        <is>
          <t>cost base adjustment allocation</t>
        </is>
      </c>
      <c r="J455" s="5" t="inlineStr">
        <is>
          <t>01a1212c-8c00-75fa-a645-cc372c0aeae3</t>
        </is>
      </c>
    </row>
    <row r="456">
      <c r="A456" s="5" t="inlineStr">
        <is>
          <t>01a1212c-8c0b-730f-914c-8f8757148310</t>
        </is>
      </c>
      <c r="D456" s="5" t="inlineStr">
        <is>
          <t>01a1212c-4b57-70cf-80fd-c2192cb3bf81</t>
        </is>
      </c>
      <c r="E456" s="4" t="n">
        <v>46304.62418976809</v>
      </c>
      <c r="F456" s="4" t="n">
        <v>46304.6241897682</v>
      </c>
      <c r="G456" t="b">
        <v>1</v>
      </c>
      <c r="H456" s="3" t="inlineStr">
        <is>
          <t>Added fraction 0.02315216415901408872005025276 of cost base adjustment 01a1212c-8baa-744f-813f-f3d3bee6fb69 | 2019-06-30 | Adjustment of VGS | Cost base increase = A$46.66</t>
        </is>
      </c>
      <c r="I456" t="inlineStr">
        <is>
          <t>cost base adjustment allocation</t>
        </is>
      </c>
      <c r="J456" s="5" t="inlineStr">
        <is>
          <t>01a1212c-8c06-76c6-9a69-ef67ed2a1945</t>
        </is>
      </c>
    </row>
    <row r="457">
      <c r="A457" s="5" t="inlineStr">
        <is>
          <t>01a1212c-8c15-703b-8a46-53862eacceef</t>
        </is>
      </c>
      <c r="D457" s="5" t="inlineStr">
        <is>
          <t>01a1212c-4b57-70cf-80fd-c2192cb3bf81</t>
        </is>
      </c>
      <c r="E457" s="4" t="n">
        <v>46304.62418988215</v>
      </c>
      <c r="F457" s="4" t="n">
        <v>46304.62418988229</v>
      </c>
      <c r="G457" t="b">
        <v>1</v>
      </c>
      <c r="H457" s="3" t="inlineStr">
        <is>
          <t>Added fraction 0.02339573620719862232230991766 of cost base adjustment 01a1212c-8baa-744f-813f-f3d3bee6fb69 | 2019-06-30 | Adjustment of VGS | Cost base increase = A$46.66</t>
        </is>
      </c>
      <c r="I457" t="inlineStr">
        <is>
          <t>cost base adjustment allocation</t>
        </is>
      </c>
      <c r="J457" s="5" t="inlineStr">
        <is>
          <t>01a1212c-8c0e-7074-8788-717f7972f337</t>
        </is>
      </c>
    </row>
    <row r="458">
      <c r="A458" s="5" t="inlineStr">
        <is>
          <t>01a1212c-8c1d-7175-ab25-3d89d16aa6d5</t>
        </is>
      </c>
      <c r="D458" s="5" t="inlineStr">
        <is>
          <t>01a1212c-4b57-70cf-80fd-c2192cb3bf81</t>
        </is>
      </c>
      <c r="E458" s="4" t="n">
        <v>46304.62418996991</v>
      </c>
      <c r="F458" s="4" t="n">
        <v>46304.62418997003</v>
      </c>
      <c r="G458" t="b">
        <v>1</v>
      </c>
      <c r="H458" s="3" t="inlineStr">
        <is>
          <t>Added fraction 0.02339573620719862232230991766 of cost base adjustment 01a1212c-8baa-744f-813f-f3d3bee6fb69 | 2019-06-30 | Adjustment of VGS | Cost base increase = A$46.66</t>
        </is>
      </c>
      <c r="I458" t="inlineStr">
        <is>
          <t>cost base adjustment allocation</t>
        </is>
      </c>
      <c r="J458" s="5" t="inlineStr">
        <is>
          <t>01a1212c-8c16-7534-a085-0a2b343d2bb8</t>
        </is>
      </c>
    </row>
    <row r="459">
      <c r="A459" s="5" t="inlineStr">
        <is>
          <t>01a1212c-8c24-74be-a1d9-4ae9b98ab41e</t>
        </is>
      </c>
      <c r="D459" s="5" t="inlineStr">
        <is>
          <t>01a1212c-4b57-70cf-80fd-c2192cb3bf81</t>
        </is>
      </c>
      <c r="E459" s="4" t="n">
        <v>46304.62419005375</v>
      </c>
      <c r="F459" s="4" t="n">
        <v>46304.62419005388</v>
      </c>
      <c r="G459" t="b">
        <v>1</v>
      </c>
      <c r="H459" s="3" t="inlineStr">
        <is>
          <t>Added fraction 0.02440848314438694624749484012 of cost base adjustment 01a1212c-8baa-744f-813f-f3d3bee6fb69 | 2019-06-30 | Adjustment of VGS | Cost base increase = A$46.66</t>
        </is>
      </c>
      <c r="I459" t="inlineStr">
        <is>
          <t>cost base adjustment allocation</t>
        </is>
      </c>
      <c r="J459" s="5" t="inlineStr">
        <is>
          <t>01a1212c-8c1e-71f9-a4be-b0b4f57b136c</t>
        </is>
      </c>
    </row>
    <row r="460">
      <c r="A460" s="5" t="inlineStr">
        <is>
          <t>01a1212c-8c2a-7359-9eda-7b13fc15e7eb</t>
        </is>
      </c>
      <c r="D460" s="5" t="inlineStr">
        <is>
          <t>01a1212c-4b57-70cf-80fd-c2192cb3bf81</t>
        </is>
      </c>
      <c r="E460" s="4" t="n">
        <v>46304.62419012115</v>
      </c>
      <c r="F460" s="4" t="n">
        <v>46304.62419012124</v>
      </c>
      <c r="G460" t="b">
        <v>1</v>
      </c>
      <c r="H460" s="3" t="inlineStr">
        <is>
          <t>Added fraction 0.02644252340641919176811941013 of cost base adjustment 01a1212c-8baa-744f-813f-f3d3bee6fb69 | 2019-06-30 | Adjustment of VGS | Cost base increase = A$46.66</t>
        </is>
      </c>
      <c r="I460" t="inlineStr">
        <is>
          <t>cost base adjustment allocation</t>
        </is>
      </c>
      <c r="J460" s="5" t="inlineStr">
        <is>
          <t>01a1212c-8c25-76c9-816f-1c62cd19cad5</t>
        </is>
      </c>
    </row>
    <row r="461">
      <c r="A461" s="5" t="inlineStr">
        <is>
          <t>01a1212c-8c31-76c9-b51a-d751f52e711b</t>
        </is>
      </c>
      <c r="D461" s="5" t="inlineStr">
        <is>
          <t>01a1212c-4b57-70cf-80fd-c2192cb3bf81</t>
        </is>
      </c>
      <c r="E461" s="4" t="n">
        <v>46304.62419019971</v>
      </c>
      <c r="F461" s="4" t="n">
        <v>46304.62419019978</v>
      </c>
      <c r="G461" t="b">
        <v>1</v>
      </c>
      <c r="H461" s="3" t="inlineStr">
        <is>
          <t>Added fraction 0.02651516770149177196528457334 of cost base adjustment 01a1212c-8baa-744f-813f-f3d3bee6fb69 | 2019-06-30 | Adjustment of VGS | Cost base increase = A$46.66</t>
        </is>
      </c>
      <c r="I461" t="inlineStr">
        <is>
          <t>cost base adjustment allocation</t>
        </is>
      </c>
      <c r="J461" s="5" t="inlineStr">
        <is>
          <t>01a1212c-8c2b-7693-bb6d-28cba76a53b2</t>
        </is>
      </c>
    </row>
    <row r="462">
      <c r="A462" s="5" t="inlineStr">
        <is>
          <t>01a1212c-8c36-7591-8cc0-7e479548d4ee</t>
        </is>
      </c>
      <c r="D462" s="5" t="inlineStr">
        <is>
          <t>01a1212c-4b57-70cf-80fd-c2192cb3bf81</t>
        </is>
      </c>
      <c r="E462" s="4" t="n">
        <v>46304.62419026602</v>
      </c>
      <c r="F462" s="4" t="n">
        <v>46304.6241902661</v>
      </c>
      <c r="G462" t="b">
        <v>1</v>
      </c>
      <c r="H462" s="3" t="inlineStr">
        <is>
          <t>Added fraction 0.02807488344863834678677190119 of cost base adjustment 01a1212c-8baa-744f-813f-f3d3bee6fb69 | 2019-06-30 | Adjustment of VGS | Cost base increase = A$46.66</t>
        </is>
      </c>
      <c r="I462" t="inlineStr">
        <is>
          <t>cost base adjustment allocation</t>
        </is>
      </c>
      <c r="J462" s="5" t="inlineStr">
        <is>
          <t>01a1212c-8c31-76c9-b51a-d7524a838d0e</t>
        </is>
      </c>
    </row>
    <row r="463">
      <c r="A463" s="5" t="inlineStr">
        <is>
          <t>01a1212c-8c3c-7779-960b-93890b6a7d3c</t>
        </is>
      </c>
      <c r="D463" s="5" t="inlineStr">
        <is>
          <t>01a1212c-4b57-70cf-80fd-c2192cb3bf81</t>
        </is>
      </c>
      <c r="E463" s="4" t="n">
        <v>46304.62419033187</v>
      </c>
      <c r="F463" s="4" t="n">
        <v>46304.62419033195</v>
      </c>
      <c r="G463" t="b">
        <v>1</v>
      </c>
      <c r="H463" s="3" t="inlineStr">
        <is>
          <t>Added fraction 0.02963459919578492160825922903 of cost base adjustment 01a1212c-8baa-744f-813f-f3d3bee6fb69 | 2019-06-30 | Adjustment of VGS | Cost base increase = A$46.66</t>
        </is>
      </c>
      <c r="I463" t="inlineStr">
        <is>
          <t>cost base adjustment allocation</t>
        </is>
      </c>
      <c r="J463" s="5" t="inlineStr">
        <is>
          <t>01a1212c-8c37-714e-9d08-e01f415860c0</t>
        </is>
      </c>
    </row>
    <row r="464">
      <c r="A464" s="5" t="inlineStr">
        <is>
          <t>01a1212c-8c42-7699-9f18-dbb999edba8b</t>
        </is>
      </c>
      <c r="D464" s="5" t="inlineStr">
        <is>
          <t>01a1212c-4b57-70cf-80fd-c2192cb3bf81</t>
        </is>
      </c>
      <c r="E464" s="4" t="n">
        <v>46304.62419039859</v>
      </c>
      <c r="F464" s="4" t="n">
        <v>46304.62419039866</v>
      </c>
      <c r="G464" t="b">
        <v>1</v>
      </c>
      <c r="H464" s="3" t="inlineStr">
        <is>
          <t>Added fraction 0.03119431494293149642974655687 of cost base adjustment 01a1212c-8baa-744f-813f-f3d3bee6fb69 | 2019-06-30 | Adjustment of VGS | Cost base increase = A$46.66</t>
        </is>
      </c>
      <c r="I464" t="inlineStr">
        <is>
          <t>cost base adjustment allocation</t>
        </is>
      </c>
      <c r="J464" s="5" t="inlineStr">
        <is>
          <t>01a1212c-8c3d-70bd-be8d-2d95e449ce94</t>
        </is>
      </c>
    </row>
    <row r="465">
      <c r="A465" s="5" t="inlineStr">
        <is>
          <t>01a1212c-8c47-73fd-901f-288abcf29cbb</t>
        </is>
      </c>
      <c r="D465" s="5" t="inlineStr">
        <is>
          <t>01a1212c-4b57-70cf-80fd-c2192cb3bf81</t>
        </is>
      </c>
      <c r="E465" s="4" t="n">
        <v>46304.6241904634</v>
      </c>
      <c r="F465" s="4" t="n">
        <v>46304.62419046347</v>
      </c>
      <c r="G465" t="b">
        <v>1</v>
      </c>
      <c r="H465" s="3" t="inlineStr">
        <is>
          <t>Added fraction 0.03119431494293149642974655687 of cost base adjustment 01a1212c-8baa-744f-813f-f3d3bee6fb69 | 2019-06-30 | Adjustment of VGS | Cost base increase = A$46.66</t>
        </is>
      </c>
      <c r="I465" t="inlineStr">
        <is>
          <t>cost base adjustment allocation</t>
        </is>
      </c>
      <c r="J465" s="5" t="inlineStr">
        <is>
          <t>01a1212c-8c43-7245-8820-44bef0943300</t>
        </is>
      </c>
    </row>
    <row r="466">
      <c r="A466" s="5" t="inlineStr">
        <is>
          <t>01a1212c-8c4d-747c-8d5a-bf917d2493a5</t>
        </is>
      </c>
      <c r="D466" s="5" t="inlineStr">
        <is>
          <t>01a1212c-4b57-70cf-80fd-c2192cb3bf81</t>
        </is>
      </c>
      <c r="E466" s="4" t="n">
        <v>46304.62419052886</v>
      </c>
      <c r="F466" s="4" t="n">
        <v>46304.62419052897</v>
      </c>
      <c r="G466" t="b">
        <v>1</v>
      </c>
      <c r="H466" s="3" t="inlineStr">
        <is>
          <t>Added fraction 0.03272839152711127824046970947 of cost base adjustment 01a1212c-8baa-744f-813f-f3d3bee6fb69 | 2019-06-30 | Adjustment of VGS | Cost base increase = A$46.66</t>
        </is>
      </c>
      <c r="I466" t="inlineStr">
        <is>
          <t>cost base adjustment allocation</t>
        </is>
      </c>
      <c r="J466" s="5" t="inlineStr">
        <is>
          <t>01a1212c-8c48-7579-8583-a642716e7ba1</t>
        </is>
      </c>
    </row>
    <row r="467">
      <c r="A467" s="5" t="inlineStr">
        <is>
          <t>01a1212c-8c53-7225-91c2-815ede538204</t>
        </is>
      </c>
      <c r="D467" s="5" t="inlineStr">
        <is>
          <t>01a1212c-4b57-70cf-80fd-c2192cb3bf81</t>
        </is>
      </c>
      <c r="E467" s="4" t="n">
        <v>46304.62419059742</v>
      </c>
      <c r="F467" s="4" t="n">
        <v>46304.6241905975</v>
      </c>
      <c r="G467" t="b">
        <v>1</v>
      </c>
      <c r="H467" s="3" t="inlineStr">
        <is>
          <t>Added fraction 0.03431374643722464607272121256 of cost base adjustment 01a1212c-8baa-744f-813f-f3d3bee6fb69 | 2019-06-30 | Adjustment of VGS | Cost base increase = A$46.66</t>
        </is>
      </c>
      <c r="I467" t="inlineStr">
        <is>
          <t>cost base adjustment allocation</t>
        </is>
      </c>
      <c r="J467" s="5" t="inlineStr">
        <is>
          <t>01a1212c-8c4e-704b-a8b1-83c13259fcf9</t>
        </is>
      </c>
    </row>
    <row r="468">
      <c r="A468" s="5" t="inlineStr">
        <is>
          <t>01a1212c-8c59-7025-9c1b-ce6ebd9afaf6</t>
        </is>
      </c>
      <c r="D468" s="5" t="inlineStr">
        <is>
          <t>01a1212c-4b57-70cf-80fd-c2192cb3bf81</t>
        </is>
      </c>
      <c r="E468" s="4" t="n">
        <v>46304.62419066569</v>
      </c>
      <c r="F468" s="4" t="n">
        <v>46304.62419066577</v>
      </c>
      <c r="G468" t="b">
        <v>1</v>
      </c>
      <c r="H468" s="3" t="inlineStr">
        <is>
          <t>Added fraction 0.03431374643722464607272121256 of cost base adjustment 01a1212c-8baa-744f-813f-f3d3bee6fb69 | 2019-06-30 | Adjustment of VGS | Cost base increase = A$46.66</t>
        </is>
      </c>
      <c r="I468" t="inlineStr">
        <is>
          <t>cost base adjustment allocation</t>
        </is>
      </c>
      <c r="J468" s="5" t="inlineStr">
        <is>
          <t>01a1212c-8c54-7531-803f-2ab758340e09</t>
        </is>
      </c>
    </row>
    <row r="469">
      <c r="A469" s="5" t="inlineStr">
        <is>
          <t>01a1212c-8c60-7356-a204-45704f6babb4</t>
        </is>
      </c>
      <c r="D469" s="5" t="inlineStr">
        <is>
          <t>01a1212c-4b57-70cf-80fd-c2192cb3bf81</t>
        </is>
      </c>
      <c r="E469" s="4" t="n">
        <v>46304.62419074404</v>
      </c>
      <c r="F469" s="4" t="n">
        <v>46304.62419074412</v>
      </c>
      <c r="G469" t="b">
        <v>1</v>
      </c>
      <c r="H469" s="3" t="inlineStr">
        <is>
          <t>Added fraction 0.03743317793151779571569586825 of cost base adjustment 01a1212c-8baa-744f-813f-f3d3bee6fb69 | 2019-06-30 | Adjustment of VGS | Cost base increase = A$46.66</t>
        </is>
      </c>
      <c r="I469" t="inlineStr">
        <is>
          <t>cost base adjustment allocation</t>
        </is>
      </c>
      <c r="J469" s="5" t="inlineStr">
        <is>
          <t>01a1212c-8c5a-7284-bea7-5594aa6b8eba</t>
        </is>
      </c>
    </row>
    <row r="470">
      <c r="A470" s="5" t="inlineStr">
        <is>
          <t>01a1212c-8c66-77a5-9cae-66b1df944fe2</t>
        </is>
      </c>
      <c r="D470" s="5" t="inlineStr">
        <is>
          <t>01a1212c-4b57-70cf-80fd-c2192cb3bf81</t>
        </is>
      </c>
      <c r="E470" s="4" t="n">
        <v>46304.62419081388</v>
      </c>
      <c r="F470" s="4" t="n">
        <v>46304.62419081397</v>
      </c>
      <c r="G470" t="b">
        <v>1</v>
      </c>
      <c r="H470" s="3" t="inlineStr">
        <is>
          <t>Added fraction 0.03899289367866437053718319609 of cost base adjustment 01a1212c-8baa-744f-813f-f3d3bee6fb69 | 2019-06-30 | Adjustment of VGS | Cost base increase = A$46.66</t>
        </is>
      </c>
      <c r="I470" t="inlineStr">
        <is>
          <t>cost base adjustment allocation</t>
        </is>
      </c>
      <c r="J470" s="5" t="inlineStr">
        <is>
          <t>01a1212c-8c60-7356-a204-457141c8c5ba</t>
        </is>
      </c>
    </row>
    <row r="471">
      <c r="A471" s="5" t="inlineStr">
        <is>
          <t>01a1212c-8c6c-73bf-b781-5a8c8f5481ab</t>
        </is>
      </c>
      <c r="D471" s="5" t="inlineStr">
        <is>
          <t>01a1212c-4b57-70cf-80fd-c2192cb3bf81</t>
        </is>
      </c>
      <c r="E471" s="4" t="n">
        <v>46304.62419088206</v>
      </c>
      <c r="F471" s="4" t="n">
        <v>46304.62419088214</v>
      </c>
      <c r="G471" t="b">
        <v>1</v>
      </c>
      <c r="H471" s="3" t="inlineStr">
        <is>
          <t>Added fraction 0.04211232517295752018015785178 of cost base adjustment 01a1212c-8baa-744f-813f-f3d3bee6fb69 | 2019-06-30 | Adjustment of VGS | Cost base increase = A$46.66</t>
        </is>
      </c>
      <c r="I471" t="inlineStr">
        <is>
          <t>cost base adjustment allocation</t>
        </is>
      </c>
      <c r="J471" s="5" t="inlineStr">
        <is>
          <t>01a1212c-8c66-77a5-9cae-66b2b64811b8</t>
        </is>
      </c>
    </row>
    <row r="472">
      <c r="A472" s="5" t="inlineStr">
        <is>
          <t>01a1212c-8c71-768e-9d87-81139b7f5213</t>
        </is>
      </c>
      <c r="D472" s="5" t="inlineStr">
        <is>
          <t>01a1212c-4b57-70cf-80fd-c2192cb3bf81</t>
        </is>
      </c>
      <c r="E472" s="4" t="n">
        <v>46304.6241909491</v>
      </c>
      <c r="F472" s="4" t="n">
        <v>46304.62419094918</v>
      </c>
      <c r="G472" t="b">
        <v>1</v>
      </c>
      <c r="H472" s="3" t="inlineStr">
        <is>
          <t>Added fraction 0.04211232517295752018015785178 of cost base adjustment 01a1212c-8baa-744f-813f-f3d3bee6fb69 | 2019-06-30 | Adjustment of VGS | Cost base increase = A$46.66</t>
        </is>
      </c>
      <c r="I472" t="inlineStr">
        <is>
          <t>cost base adjustment allocation</t>
        </is>
      </c>
      <c r="J472" s="5" t="inlineStr">
        <is>
          <t>01a1212c-8c6c-73bf-b781-5a8d62323ad8</t>
        </is>
      </c>
    </row>
    <row r="473">
      <c r="A473" s="5" t="inlineStr">
        <is>
          <t>01a1212c-8c77-7355-a427-dbcc90e92137</t>
        </is>
      </c>
      <c r="D473" s="5" t="inlineStr">
        <is>
          <t>01a1212c-4b57-70cf-80fd-c2192cb3bf81</t>
        </is>
      </c>
      <c r="E473" s="4" t="n">
        <v>46304.62419101511</v>
      </c>
      <c r="F473" s="4" t="n">
        <v>46304.62419101519</v>
      </c>
      <c r="G473" t="b">
        <v>1</v>
      </c>
      <c r="H473" s="3" t="inlineStr">
        <is>
          <t>Added fraction 0.04367204092010409500164517962 of cost base adjustment 01a1212c-8baa-744f-813f-f3d3bee6fb69 | 2019-06-30 | Adjustment of VGS | Cost base increase = A$46.66</t>
        </is>
      </c>
      <c r="I473" t="inlineStr">
        <is>
          <t>cost base adjustment allocation</t>
        </is>
      </c>
      <c r="J473" s="5" t="inlineStr">
        <is>
          <t>01a1212c-8c72-7132-94bb-167c5e73b471</t>
        </is>
      </c>
    </row>
    <row r="474">
      <c r="A474" s="5" t="inlineStr">
        <is>
          <t>01a1212c-8c7d-77a3-95ae-a6d7aaa07bbf</t>
        </is>
      </c>
      <c r="D474" s="5" t="inlineStr">
        <is>
          <t>01a1212c-4b57-70cf-80fd-c2192cb3bf81</t>
        </is>
      </c>
      <c r="E474" s="4" t="n">
        <v>46304.62419108578</v>
      </c>
      <c r="F474" s="4" t="n">
        <v>46304.62419108586</v>
      </c>
      <c r="G474" t="b">
        <v>1</v>
      </c>
      <c r="H474" s="3" t="inlineStr">
        <is>
          <t>Added fraction 0.04367204092010409500164517962 of cost base adjustment 01a1212c-8baa-744f-813f-f3d3bee6fb69 | 2019-06-30 | Adjustment of VGS | Cost base increase = A$46.66</t>
        </is>
      </c>
      <c r="I474" t="inlineStr">
        <is>
          <t>cost base adjustment allocation</t>
        </is>
      </c>
      <c r="J474" s="5" t="inlineStr">
        <is>
          <t>01a1212c-8c78-73e1-b50a-e5fef04c8f0c</t>
        </is>
      </c>
    </row>
    <row r="475">
      <c r="A475" s="5" t="inlineStr">
        <is>
          <t>01a1212c-8c83-720d-aed4-c6e21e137fa3</t>
        </is>
      </c>
      <c r="D475" s="5" t="inlineStr">
        <is>
          <t>01a1212c-4b57-70cf-80fd-c2192cb3bf81</t>
        </is>
      </c>
      <c r="E475" s="4" t="n">
        <v>46304.62419115438</v>
      </c>
      <c r="F475" s="4" t="n">
        <v>46304.62419115447</v>
      </c>
      <c r="G475" t="b">
        <v>1</v>
      </c>
      <c r="H475" s="3" t="inlineStr">
        <is>
          <t>Added fraction 0.04510783404624450360443899375 of cost base adjustment 01a1212c-8baa-744f-813f-f3d3bee6fb69 | 2019-06-30 | Adjustment of VGS | Cost base increase = A$46.66</t>
        </is>
      </c>
      <c r="I475" t="inlineStr">
        <is>
          <t>cost base adjustment allocation</t>
        </is>
      </c>
      <c r="J475" s="5" t="inlineStr">
        <is>
          <t>01a1212c-8c7e-77f8-a5a6-9031a253fd07</t>
        </is>
      </c>
    </row>
    <row r="476">
      <c r="A476" s="5" t="inlineStr">
        <is>
          <t>01a1212c-8c89-7180-bcd4-bb38805fe451</t>
        </is>
      </c>
      <c r="D476" s="5" t="inlineStr">
        <is>
          <t>01a1212c-4b57-70cf-80fd-c2192cb3bf81</t>
        </is>
      </c>
      <c r="E476" s="4" t="n">
        <v>46304.62419122176</v>
      </c>
      <c r="F476" s="4" t="n">
        <v>46304.62419122184</v>
      </c>
      <c r="G476" t="b">
        <v>1</v>
      </c>
      <c r="H476" s="3" t="inlineStr">
        <is>
          <t>Added fraction 0.04679147241439724464461983531 of cost base adjustment 01a1212c-8baa-744f-813f-f3d3bee6fb69 | 2019-06-30 | Adjustment of VGS | Cost base increase = A$46.66</t>
        </is>
      </c>
      <c r="I476" t="inlineStr">
        <is>
          <t>cost base adjustment allocation</t>
        </is>
      </c>
      <c r="J476" s="5" t="inlineStr">
        <is>
          <t>01a1212c-8c84-73d9-9045-e624ec56c628</t>
        </is>
      </c>
    </row>
    <row r="477">
      <c r="A477" s="5" t="inlineStr">
        <is>
          <t>01a1212c-8c8f-7236-85c3-c783e887db34</t>
        </is>
      </c>
      <c r="D477" s="5" t="inlineStr">
        <is>
          <t>01a1212c-4b57-70cf-80fd-c2192cb3bf81</t>
        </is>
      </c>
      <c r="E477" s="4" t="n">
        <v>46304.62419129553</v>
      </c>
      <c r="F477" s="4" t="n">
        <v>46304.62419129564</v>
      </c>
      <c r="G477" t="b">
        <v>1</v>
      </c>
      <c r="H477" s="3" t="inlineStr">
        <is>
          <t>Added fraction 0.04679147241439724464461983531 of cost base adjustment 01a1212c-8baa-744f-813f-f3d3bee6fb69 | 2019-06-30 | Adjustment of VGS | Cost base increase = A$46.66</t>
        </is>
      </c>
      <c r="I477" t="inlineStr">
        <is>
          <t>cost base adjustment allocation</t>
        </is>
      </c>
      <c r="J477" s="5" t="inlineStr">
        <is>
          <t>01a1212c-8c8a-7329-82e4-830472d59685</t>
        </is>
      </c>
    </row>
    <row r="478">
      <c r="A478" s="5" t="inlineStr">
        <is>
          <t>01a1212c-8c95-76ec-9f13-3626fb729af3</t>
        </is>
      </c>
      <c r="D478" s="5" t="inlineStr">
        <is>
          <t>01a1212c-4b57-70cf-80fd-c2192cb3bf81</t>
        </is>
      </c>
      <c r="E478" s="4" t="n">
        <v>46304.62419136647</v>
      </c>
      <c r="F478" s="4" t="n">
        <v>46304.62419136657</v>
      </c>
      <c r="G478" t="b">
        <v>1</v>
      </c>
      <c r="H478" s="3" t="inlineStr">
        <is>
          <t>Added fraction 0.04835118816154381946610716315 of cost base adjustment 01a1212c-8baa-744f-813f-f3d3bee6fb69 | 2019-06-30 | Adjustment of VGS | Cost base increase = A$46.66</t>
        </is>
      </c>
      <c r="I478" t="inlineStr">
        <is>
          <t>cost base adjustment allocation</t>
        </is>
      </c>
      <c r="J478" s="5" t="inlineStr">
        <is>
          <t>01a1212c-8c90-7181-8824-5fc4e0d40331</t>
        </is>
      </c>
    </row>
    <row r="479">
      <c r="A479" s="5" t="inlineStr">
        <is>
          <t>01a1212c-8c9b-71fe-a7e2-af743618c935</t>
        </is>
      </c>
      <c r="D479" s="5" t="inlineStr">
        <is>
          <t>01a1212c-4b57-70cf-80fd-c2192cb3bf81</t>
        </is>
      </c>
      <c r="E479" s="4" t="n">
        <v>46304.62419143577</v>
      </c>
      <c r="F479" s="4" t="n">
        <v>46304.62419143585</v>
      </c>
      <c r="G479" t="b">
        <v>1</v>
      </c>
      <c r="H479" s="3" t="inlineStr">
        <is>
          <t>Added fraction 0.04991090390869039428759449100 of cost base adjustment 01a1212c-8baa-744f-813f-f3d3bee6fb69 | 2019-06-30 | Adjustment of VGS | Cost base increase = A$46.66</t>
        </is>
      </c>
      <c r="I479" t="inlineStr">
        <is>
          <t>cost base adjustment allocation</t>
        </is>
      </c>
      <c r="J479" s="5" t="inlineStr">
        <is>
          <t>01a1212c-8c96-7587-8890-fde4c10f4616</t>
        </is>
      </c>
    </row>
    <row r="480">
      <c r="A480" s="5" t="inlineStr">
        <is>
          <t>01a1212c-8ca2-7739-a8f4-3b14d254b24c</t>
        </is>
      </c>
      <c r="D480" s="5" t="inlineStr">
        <is>
          <t>01a1212c-4b57-70cf-80fd-c2192cb3bf81</t>
        </is>
      </c>
      <c r="E480" s="4" t="n">
        <v>46304.62419150944</v>
      </c>
      <c r="F480" s="4" t="n">
        <v>46304.62419150954</v>
      </c>
      <c r="G480" t="b">
        <v>1</v>
      </c>
      <c r="H480" s="3" t="inlineStr">
        <is>
          <t>residual of cost base adjustment 01a1212c-8baa-744f-813f-f3d3bee6fb69 | 2019-06-30 | Adjustment of VGS | Cost base increase = A$46.66</t>
        </is>
      </c>
      <c r="I480" t="inlineStr">
        <is>
          <t>cost base adjustment allocation</t>
        </is>
      </c>
      <c r="J480" s="5" t="inlineStr">
        <is>
          <t>01a1212c-8c9c-73ff-a763-526f8ca0040c</t>
        </is>
      </c>
    </row>
    <row r="481">
      <c r="A481" s="5" t="inlineStr">
        <is>
          <t>01a1212c-8e05-762b-9d43-3129ac68368e</t>
        </is>
      </c>
      <c r="D481" s="5" t="inlineStr">
        <is>
          <t>01a1212c-4b57-70cf-80fd-c2192cb3bf81</t>
        </is>
      </c>
      <c r="E481" s="4" t="n">
        <v>46304.62419562531</v>
      </c>
      <c r="F481" s="4" t="n">
        <v>46304.62419562539</v>
      </c>
      <c r="G481" t="b">
        <v>1</v>
      </c>
      <c r="H481" s="3" t="inlineStr">
        <is>
          <t>Added fraction 0.004576131287628665760341813944 of cost base adjustment 01a1212c-8dfd-70da-97a5-30b2c43d79af | 2020-06-30 | Adjustment of A200 | Cost base increase = A$54.14</t>
        </is>
      </c>
      <c r="I481" t="inlineStr">
        <is>
          <t>cost base adjustment allocation</t>
        </is>
      </c>
      <c r="J481" s="5" t="inlineStr">
        <is>
          <t>01a1212c-8e00-7094-927f-17c12706099d</t>
        </is>
      </c>
    </row>
    <row r="482">
      <c r="A482" s="5" t="inlineStr">
        <is>
          <t>01a1212c-8e0b-758e-ad68-d484334f66ec</t>
        </is>
      </c>
      <c r="D482" s="5" t="inlineStr">
        <is>
          <t>01a1212c-4b57-70cf-80fd-c2192cb3bf81</t>
        </is>
      </c>
      <c r="E482" s="4" t="n">
        <v>46304.62419569252</v>
      </c>
      <c r="F482" s="4" t="n">
        <v>46304.6241956926</v>
      </c>
      <c r="G482" t="b">
        <v>1</v>
      </c>
      <c r="H482" s="3" t="inlineStr">
        <is>
          <t>Added fraction 0.007647115944843658962905418528 of cost base adjustment 01a1212c-8dfd-70da-97a5-30b2c43d79af | 2020-06-30 | Adjustment of A200 | Cost base increase = A$54.14</t>
        </is>
      </c>
      <c r="I482" t="inlineStr">
        <is>
          <t>cost base adjustment allocation</t>
        </is>
      </c>
      <c r="J482" s="5" t="inlineStr">
        <is>
          <t>01a1212c-8e06-76e0-aa53-7b54d670930e</t>
        </is>
      </c>
    </row>
    <row r="483">
      <c r="A483" s="5" t="inlineStr">
        <is>
          <t>01a1212c-8e12-72a4-8874-7a2bb19cfb94</t>
        </is>
      </c>
      <c r="D483" s="5" t="inlineStr">
        <is>
          <t>01a1212c-4b57-70cf-80fd-c2192cb3bf81</t>
        </is>
      </c>
      <c r="E483" s="4" t="n">
        <v>46304.62419577441</v>
      </c>
      <c r="F483" s="4" t="n">
        <v>46304.62419577449</v>
      </c>
      <c r="G483" t="b">
        <v>1</v>
      </c>
      <c r="H483" s="3" t="inlineStr">
        <is>
          <t>Added fraction 0.009152262575257331520683627889 of cost base adjustment 01a1212c-8dfd-70da-97a5-30b2c43d79af | 2020-06-30 | Adjustment of A200 | Cost base increase = A$54.14</t>
        </is>
      </c>
      <c r="I483" t="inlineStr">
        <is>
          <t>cost base adjustment allocation</t>
        </is>
      </c>
      <c r="J483" s="5" t="inlineStr">
        <is>
          <t>01a1212c-8e0c-70aa-8133-788bbb083caa</t>
        </is>
      </c>
    </row>
    <row r="484">
      <c r="A484" s="5" t="inlineStr">
        <is>
          <t>01a1212c-8e18-7656-b8ff-f3fdb7d9678f</t>
        </is>
      </c>
      <c r="D484" s="5" t="inlineStr">
        <is>
          <t>01a1212c-4b57-70cf-80fd-c2192cb3bf81</t>
        </is>
      </c>
      <c r="E484" s="4" t="n">
        <v>46304.6241958418</v>
      </c>
      <c r="F484" s="4" t="n">
        <v>46304.62419584188</v>
      </c>
      <c r="G484" t="b">
        <v>1</v>
      </c>
      <c r="H484" s="3" t="inlineStr">
        <is>
          <t>Added fraction 0.01145853563798795882695669062 of cost base adjustment 01a1212c-8dfd-70da-97a5-30b2c43d79af | 2020-06-30 | Adjustment of A200 | Cost base increase = A$54.14</t>
        </is>
      </c>
      <c r="I484" t="inlineStr">
        <is>
          <t>cost base adjustment allocation</t>
        </is>
      </c>
      <c r="J484" s="5" t="inlineStr">
        <is>
          <t>01a1212c-8e13-7606-875a-7247ac3afe75</t>
        </is>
      </c>
    </row>
    <row r="485">
      <c r="A485" s="5" t="inlineStr">
        <is>
          <t>01a1212c-8e1e-73b2-8b58-7cc2c12e43da</t>
        </is>
      </c>
      <c r="D485" s="5" t="inlineStr">
        <is>
          <t>01a1212c-4b57-70cf-80fd-c2192cb3bf81</t>
        </is>
      </c>
      <c r="E485" s="4" t="n">
        <v>46304.62419590965</v>
      </c>
      <c r="F485" s="4" t="n">
        <v>46304.62419590972</v>
      </c>
      <c r="G485" t="b">
        <v>1</v>
      </c>
      <c r="H485" s="3" t="inlineStr">
        <is>
          <t>Added fraction 0.01427461643037483006409011459 of cost base adjustment 01a1212c-8dfd-70da-97a5-30b2c43d79af | 2020-06-30 | Adjustment of A200 | Cost base increase = A$54.14</t>
        </is>
      </c>
      <c r="I485" t="inlineStr">
        <is>
          <t>cost base adjustment allocation</t>
        </is>
      </c>
      <c r="J485" s="5" t="inlineStr">
        <is>
          <t>01a1212c-8e19-76db-aefe-7c1b87c3ea00</t>
        </is>
      </c>
    </row>
    <row r="486">
      <c r="A486" s="5" t="inlineStr">
        <is>
          <t>01a1212c-8e24-7442-bc93-52ef86da81ba</t>
        </is>
      </c>
      <c r="D486" s="5" t="inlineStr">
        <is>
          <t>01a1212c-4b57-70cf-80fd-c2192cb3bf81</t>
        </is>
      </c>
      <c r="E486" s="4" t="n">
        <v>46304.62419597783</v>
      </c>
      <c r="F486" s="4" t="n">
        <v>46304.62419597791</v>
      </c>
      <c r="G486" t="b">
        <v>1</v>
      </c>
      <c r="H486" s="3" t="inlineStr">
        <is>
          <t>Added fraction 0.02311128374441639153233637600 of cost base adjustment 01a1212c-8dfd-70da-97a5-30b2c43d79af | 2020-06-30 | Adjustment of A200 | Cost base increase = A$54.14</t>
        </is>
      </c>
      <c r="I486" t="inlineStr">
        <is>
          <t>cost base adjustment allocation</t>
        </is>
      </c>
      <c r="J486" s="5" t="inlineStr">
        <is>
          <t>01a1212c-8e1f-7500-8344-1d929d12a458</t>
        </is>
      </c>
    </row>
    <row r="487">
      <c r="A487" s="5" t="inlineStr">
        <is>
          <t>01a1212c-8e2a-75c2-9810-56da4e43486b</t>
        </is>
      </c>
      <c r="D487" s="5" t="inlineStr">
        <is>
          <t>01a1212c-4b57-70cf-80fd-c2192cb3bf81</t>
        </is>
      </c>
      <c r="E487" s="4" t="n">
        <v>46304.62419604431</v>
      </c>
      <c r="F487" s="4" t="n">
        <v>46304.62419604439</v>
      </c>
      <c r="G487" t="b">
        <v>1</v>
      </c>
      <c r="H487" s="3" t="inlineStr">
        <is>
          <t>Added fraction 0.03007865604971839192076131288 of cost base adjustment 01a1212c-8dfd-70da-97a5-30b2c43d79af | 2020-06-30 | Adjustment of A200 | Cost base increase = A$54.14</t>
        </is>
      </c>
      <c r="I487" t="inlineStr">
        <is>
          <t>cost base adjustment allocation</t>
        </is>
      </c>
      <c r="J487" s="5" t="inlineStr">
        <is>
          <t>01a1212c-8e25-719c-bac0-3bcf11f3926c</t>
        </is>
      </c>
    </row>
    <row r="488">
      <c r="A488" s="5" t="inlineStr">
        <is>
          <t>01a1212c-8e30-7459-8688-742fa9ad424d</t>
        </is>
      </c>
      <c r="D488" s="5" t="inlineStr">
        <is>
          <t>01a1212c-4b57-70cf-80fd-c2192cb3bf81</t>
        </is>
      </c>
      <c r="E488" s="4" t="n">
        <v>46304.62419611419</v>
      </c>
      <c r="F488" s="4" t="n">
        <v>46304.62419611427</v>
      </c>
      <c r="G488" t="b">
        <v>1</v>
      </c>
      <c r="H488" s="3" t="inlineStr">
        <is>
          <t>Added fraction 0.03313750242765585550592348029 of cost base adjustment 01a1212c-8dfd-70da-97a5-30b2c43d79af | 2020-06-30 | Adjustment of A200 | Cost base increase = A$54.14</t>
        </is>
      </c>
      <c r="I488" t="inlineStr">
        <is>
          <t>cost base adjustment allocation</t>
        </is>
      </c>
      <c r="J488" s="5" t="inlineStr">
        <is>
          <t>01a1212c-8e2a-75c2-9810-56db21c72ddb</t>
        </is>
      </c>
    </row>
    <row r="489">
      <c r="A489" s="5" t="inlineStr">
        <is>
          <t>01a1212c-8e35-70ae-b839-ff6603170939</t>
        </is>
      </c>
      <c r="D489" s="5" t="inlineStr">
        <is>
          <t>01a1212c-4b57-70cf-80fd-c2192cb3bf81</t>
        </is>
      </c>
      <c r="E489" s="4" t="n">
        <v>46304.62419618079</v>
      </c>
      <c r="F489" s="4" t="n">
        <v>46304.62419618087</v>
      </c>
      <c r="G489" t="b">
        <v>1</v>
      </c>
      <c r="H489" s="3" t="inlineStr">
        <is>
          <t>Added fraction 0.03554088172460671975140804040 of cost base adjustment 01a1212c-8dfd-70da-97a5-30b2c43d79af | 2020-06-30 | Adjustment of A200 | Cost base increase = A$54.14</t>
        </is>
      </c>
      <c r="I489" t="inlineStr">
        <is>
          <t>cost base adjustment allocation</t>
        </is>
      </c>
      <c r="J489" s="5" t="inlineStr">
        <is>
          <t>01a1212c-8e30-7459-8688-7430a01187de</t>
        </is>
      </c>
    </row>
    <row r="490">
      <c r="A490" s="5" t="inlineStr">
        <is>
          <t>01a1212c-8e3b-7794-88e4-af33101f8744</t>
        </is>
      </c>
      <c r="D490" s="5" t="inlineStr">
        <is>
          <t>01a1212c-4b57-70cf-80fd-c2192cb3bf81</t>
        </is>
      </c>
      <c r="E490" s="4" t="n">
        <v>46304.62419624741</v>
      </c>
      <c r="F490" s="4" t="n">
        <v>46304.62419624749</v>
      </c>
      <c r="G490" t="b">
        <v>1</v>
      </c>
      <c r="H490" s="3" t="inlineStr">
        <is>
          <t>Added fraction 0.03554088172460671975140804040 of cost base adjustment 01a1212c-8dfd-70da-97a5-30b2c43d79af | 2020-06-30 | Adjustment of A200 | Cost base increase = A$54.14</t>
        </is>
      </c>
      <c r="I490" t="inlineStr">
        <is>
          <t>cost base adjustment allocation</t>
        </is>
      </c>
      <c r="J490" s="5" t="inlineStr">
        <is>
          <t>01a1212c-8e36-724c-bd3a-cfe712d18f57</t>
        </is>
      </c>
    </row>
    <row r="491">
      <c r="A491" s="5" t="inlineStr">
        <is>
          <t>01a1212c-8e41-7732-9c0e-63b085b21641</t>
        </is>
      </c>
      <c r="D491" s="5" t="inlineStr">
        <is>
          <t>01a1212c-4b57-70cf-80fd-c2192cb3bf81</t>
        </is>
      </c>
      <c r="E491" s="4" t="n">
        <v>46304.62419631877</v>
      </c>
      <c r="F491" s="4" t="n">
        <v>46304.62419631885</v>
      </c>
      <c r="G491" t="b">
        <v>1</v>
      </c>
      <c r="H491" s="3" t="inlineStr">
        <is>
          <t>Added fraction 0.03554088172460671975140804040 of cost base adjustment 01a1212c-8dfd-70da-97a5-30b2c43d79af | 2020-06-30 | Adjustment of A200 | Cost base increase = A$54.14</t>
        </is>
      </c>
      <c r="I491" t="inlineStr">
        <is>
          <t>cost base adjustment allocation</t>
        </is>
      </c>
      <c r="J491" s="5" t="inlineStr">
        <is>
          <t>01a1212c-8e3c-7531-b66e-cb9fd39ec83b</t>
        </is>
      </c>
    </row>
    <row r="492">
      <c r="A492" s="5" t="inlineStr">
        <is>
          <t>01a1212c-8e47-734b-bced-7ee7d6d0c096</t>
        </is>
      </c>
      <c r="D492" s="5" t="inlineStr">
        <is>
          <t>01a1212c-4b57-70cf-80fd-c2192cb3bf81</t>
        </is>
      </c>
      <c r="E492" s="4" t="n">
        <v>46304.62419638466</v>
      </c>
      <c r="F492" s="4" t="n">
        <v>46304.62419638474</v>
      </c>
      <c r="G492" t="b">
        <v>1</v>
      </c>
      <c r="H492" s="3" t="inlineStr">
        <is>
          <t>Added fraction 0.03841765391338123907554865022 of cost base adjustment 01a1212c-8dfd-70da-97a5-30b2c43d79af | 2020-06-30 | Adjustment of A200 | Cost base increase = A$54.14</t>
        </is>
      </c>
      <c r="I492" t="inlineStr">
        <is>
          <t>cost base adjustment allocation</t>
        </is>
      </c>
      <c r="J492" s="5" t="inlineStr">
        <is>
          <t>01a1212c-8e42-7196-8f63-db7f35af6469</t>
        </is>
      </c>
    </row>
    <row r="493">
      <c r="A493" s="5" t="inlineStr">
        <is>
          <t>01a1212c-8e4d-7397-90a6-9e6298d22f34</t>
        </is>
      </c>
      <c r="D493" s="5" t="inlineStr">
        <is>
          <t>01a1212c-4b57-70cf-80fd-c2192cb3bf81</t>
        </is>
      </c>
      <c r="E493" s="4" t="n">
        <v>46304.62419644849</v>
      </c>
      <c r="F493" s="4" t="n">
        <v>46304.62419644857</v>
      </c>
      <c r="G493" t="b">
        <v>1</v>
      </c>
      <c r="H493" s="3" t="inlineStr">
        <is>
          <t>Added fraction 0.03998349194018255972033404545 of cost base adjustment 01a1212c-8dfd-70da-97a5-30b2c43d79af | 2020-06-30 | Adjustment of A200 | Cost base increase = A$54.14</t>
        </is>
      </c>
      <c r="I493" t="inlineStr">
        <is>
          <t>cost base adjustment allocation</t>
        </is>
      </c>
      <c r="J493" s="5" t="inlineStr">
        <is>
          <t>01a1212c-8e48-721e-8395-c16b8ca6bed6</t>
        </is>
      </c>
    </row>
    <row r="494">
      <c r="A494" s="5" t="inlineStr">
        <is>
          <t>01a1212c-8e52-7090-b7a2-22269d22a6fa</t>
        </is>
      </c>
      <c r="D494" s="5" t="inlineStr">
        <is>
          <t>01a1212c-4b57-70cf-80fd-c2192cb3bf81</t>
        </is>
      </c>
      <c r="E494" s="4" t="n">
        <v>46304.62419651366</v>
      </c>
      <c r="F494" s="4" t="n">
        <v>46304.62419651374</v>
      </c>
      <c r="G494" t="b">
        <v>1</v>
      </c>
      <c r="H494" s="3" t="inlineStr">
        <is>
          <t>Added fraction 0.04394057098465721499320256360 of cost base adjustment 01a1212c-8dfd-70da-97a5-30b2c43d79af | 2020-06-30 | Adjustment of A200 | Cost base increase = A$54.14</t>
        </is>
      </c>
      <c r="I494" t="inlineStr">
        <is>
          <t>cost base adjustment allocation</t>
        </is>
      </c>
      <c r="J494" s="5" t="inlineStr">
        <is>
          <t>01a1212c-8e4d-7397-90a6-9e63e3ad46d7</t>
        </is>
      </c>
    </row>
    <row r="495">
      <c r="A495" s="5" t="inlineStr">
        <is>
          <t>01a1212c-8e59-750e-a01b-8e7be1ded47d</t>
        </is>
      </c>
      <c r="D495" s="5" t="inlineStr">
        <is>
          <t>01a1212c-4b57-70cf-80fd-c2192cb3bf81</t>
        </is>
      </c>
      <c r="E495" s="4" t="n">
        <v>46304.62419659425</v>
      </c>
      <c r="F495" s="4" t="n">
        <v>46304.62419659434</v>
      </c>
      <c r="G495" t="b">
        <v>1</v>
      </c>
      <c r="H495" s="3" t="inlineStr">
        <is>
          <t>Added fraction 0.04442610215575839968926005050 of cost base adjustment 01a1212c-8dfd-70da-97a5-30b2c43d79af | 2020-06-30 | Adjustment of A200 | Cost base increase = A$54.14</t>
        </is>
      </c>
      <c r="I495" t="inlineStr">
        <is>
          <t>cost base adjustment allocation</t>
        </is>
      </c>
      <c r="J495" s="5" t="inlineStr">
        <is>
          <t>01a1212c-8e53-7430-bdee-9d97cd97af37</t>
        </is>
      </c>
    </row>
    <row r="496">
      <c r="A496" s="5" t="inlineStr">
        <is>
          <t>01a1212c-8e5f-75fb-b6e5-0e433326c0f9</t>
        </is>
      </c>
      <c r="D496" s="5" t="inlineStr">
        <is>
          <t>01a1212c-4b57-70cf-80fd-c2192cb3bf81</t>
        </is>
      </c>
      <c r="E496" s="4" t="n">
        <v>46304.62419666364</v>
      </c>
      <c r="F496" s="4" t="n">
        <v>46304.62419666372</v>
      </c>
      <c r="G496" t="b">
        <v>1</v>
      </c>
      <c r="H496" s="3" t="inlineStr">
        <is>
          <t>Added fraction 0.04781268207418916294426102156 of cost base adjustment 01a1212c-8dfd-70da-97a5-30b2c43d79af | 2020-06-30 | Adjustment of A200 | Cost base increase = A$54.14</t>
        </is>
      </c>
      <c r="I496" t="inlineStr">
        <is>
          <t>cost base adjustment allocation</t>
        </is>
      </c>
      <c r="J496" s="5" t="inlineStr">
        <is>
          <t>01a1212c-8e5a-731a-ba1b-1afe16c5eca5</t>
        </is>
      </c>
    </row>
    <row r="497">
      <c r="A497" s="5" t="inlineStr">
        <is>
          <t>01a1212c-8e66-73b6-894f-68fea022abc6</t>
        </is>
      </c>
      <c r="D497" s="5" t="inlineStr">
        <is>
          <t>01a1212c-4b57-70cf-80fd-c2192cb3bf81</t>
        </is>
      </c>
      <c r="E497" s="4" t="n">
        <v>46304.62419673891</v>
      </c>
      <c r="F497" s="4" t="n">
        <v>46304.624196739</v>
      </c>
      <c r="G497" t="b">
        <v>1</v>
      </c>
      <c r="H497" s="3" t="inlineStr">
        <is>
          <t>Added fraction 0.05223101573120994367838415226 of cost base adjustment 01a1212c-8dfd-70da-97a5-30b2c43d79af | 2020-06-30 | Adjustment of A200 | Cost base increase = A$54.14</t>
        </is>
      </c>
      <c r="I497" t="inlineStr">
        <is>
          <t>cost base adjustment allocation</t>
        </is>
      </c>
      <c r="J497" s="5" t="inlineStr">
        <is>
          <t>01a1212c-8e60-7153-a266-dc37e53da8e5</t>
        </is>
      </c>
    </row>
    <row r="498">
      <c r="A498" s="5" t="inlineStr">
        <is>
          <t>01a1212c-8e6c-76ad-be37-07fe846270b4</t>
        </is>
      </c>
      <c r="D498" s="5" t="inlineStr">
        <is>
          <t>01a1212c-4b57-70cf-80fd-c2192cb3bf81</t>
        </is>
      </c>
      <c r="E498" s="4" t="n">
        <v>46304.62419680686</v>
      </c>
      <c r="F498" s="4" t="n">
        <v>46304.62419680696</v>
      </c>
      <c r="G498" t="b">
        <v>1</v>
      </c>
      <c r="H498" s="3" t="inlineStr">
        <is>
          <t>Added fraction 0.05331132258691007962711206059 of cost base adjustment 01a1212c-8dfd-70da-97a5-30b2c43d79af | 2020-06-30 | Adjustment of A200 | Cost base increase = A$54.14</t>
        </is>
      </c>
      <c r="I498" t="inlineStr">
        <is>
          <t>cost base adjustment allocation</t>
        </is>
      </c>
      <c r="J498" s="5" t="inlineStr">
        <is>
          <t>01a1212c-8e66-73b6-894f-68ffa4289309</t>
        </is>
      </c>
    </row>
    <row r="499">
      <c r="A499" s="5" t="inlineStr">
        <is>
          <t>01a1212c-8e71-725b-8a57-5b6bb93f6dd2</t>
        </is>
      </c>
      <c r="D499" s="5" t="inlineStr">
        <is>
          <t>01a1212c-4b57-70cf-80fd-c2192cb3bf81</t>
        </is>
      </c>
      <c r="E499" s="4" t="n">
        <v>46304.62419687571</v>
      </c>
      <c r="F499" s="4" t="n">
        <v>46304.62419687579</v>
      </c>
      <c r="G499" t="b">
        <v>1</v>
      </c>
      <c r="H499" s="3" t="inlineStr">
        <is>
          <t>Added fraction 0.05775393280248591959603806564 of cost base adjustment 01a1212c-8dfd-70da-97a5-30b2c43d79af | 2020-06-30 | Adjustment of A200 | Cost base increase = A$54.14</t>
        </is>
      </c>
      <c r="I499" t="inlineStr">
        <is>
          <t>cost base adjustment allocation</t>
        </is>
      </c>
      <c r="J499" s="5" t="inlineStr">
        <is>
          <t>01a1212c-8e6c-76ad-be37-07ff2720d0e6</t>
        </is>
      </c>
    </row>
    <row r="500">
      <c r="A500" s="5" t="inlineStr">
        <is>
          <t>01a1212c-8e78-77f4-96a7-69fa0b34cd2b</t>
        </is>
      </c>
      <c r="D500" s="5" t="inlineStr">
        <is>
          <t>01a1212c-4b57-70cf-80fd-c2192cb3bf81</t>
        </is>
      </c>
      <c r="E500" s="4" t="n">
        <v>46304.62419695417</v>
      </c>
      <c r="F500" s="4" t="n">
        <v>46304.62419695425</v>
      </c>
      <c r="G500" t="b">
        <v>1</v>
      </c>
      <c r="H500" s="3" t="inlineStr">
        <is>
          <t>Added fraction 0.05775393280248591959603806564 of cost base adjustment 01a1212c-8dfd-70da-97a5-30b2c43d79af | 2020-06-30 | Adjustment of A200 | Cost base increase = A$54.14</t>
        </is>
      </c>
      <c r="I500" t="inlineStr">
        <is>
          <t>cost base adjustment allocation</t>
        </is>
      </c>
      <c r="J500" s="5" t="inlineStr">
        <is>
          <t>01a1212c-8e72-7188-b3d9-78fe6f7d4f22</t>
        </is>
      </c>
    </row>
    <row r="501">
      <c r="A501" s="5" t="inlineStr">
        <is>
          <t>01a1212c-8e7e-7246-a23e-50faf8b2549e</t>
        </is>
      </c>
      <c r="D501" s="5" t="inlineStr">
        <is>
          <t>01a1212c-4b57-70cf-80fd-c2192cb3bf81</t>
        </is>
      </c>
      <c r="E501" s="4" t="n">
        <v>46304.62419702143</v>
      </c>
      <c r="F501" s="4" t="n">
        <v>46304.62419702151</v>
      </c>
      <c r="G501" t="b">
        <v>1</v>
      </c>
      <c r="H501" s="3" t="inlineStr">
        <is>
          <t>Added fraction 0.06219654301806175956496407069 of cost base adjustment 01a1212c-8dfd-70da-97a5-30b2c43d79af | 2020-06-30 | Adjustment of A200 | Cost base increase = A$54.14</t>
        </is>
      </c>
      <c r="I501" t="inlineStr">
        <is>
          <t>cost base adjustment allocation</t>
        </is>
      </c>
      <c r="J501" s="5" t="inlineStr">
        <is>
          <t>01a1212c-8e79-74d7-be15-c9d66e115c88</t>
        </is>
      </c>
    </row>
    <row r="502">
      <c r="A502" s="5" t="inlineStr">
        <is>
          <t>01a1212c-8e84-7049-8d57-873ccc06d18f</t>
        </is>
      </c>
      <c r="D502" s="5" t="inlineStr">
        <is>
          <t>01a1212c-4b57-70cf-80fd-c2192cb3bf81</t>
        </is>
      </c>
      <c r="E502" s="4" t="n">
        <v>46304.62419709055</v>
      </c>
      <c r="F502" s="4" t="n">
        <v>46304.62419709063</v>
      </c>
      <c r="G502" t="b">
        <v>1</v>
      </c>
      <c r="H502" s="3" t="inlineStr">
        <is>
          <t>Added fraction 0.06219654301806175956496407069 of cost base adjustment 01a1212c-8dfd-70da-97a5-30b2c43d79af | 2020-06-30 | Adjustment of A200 | Cost base increase = A$54.14</t>
        </is>
      </c>
      <c r="I502" t="inlineStr">
        <is>
          <t>cost base adjustment allocation</t>
        </is>
      </c>
      <c r="J502" s="5" t="inlineStr">
        <is>
          <t>01a1212c-8e7f-7079-b8fd-710ba8136769</t>
        </is>
      </c>
    </row>
    <row r="503">
      <c r="A503" s="5" t="inlineStr">
        <is>
          <t>01a1212c-8e8a-74ba-b669-435f8ebae2f5</t>
        </is>
      </c>
      <c r="D503" s="5" t="inlineStr">
        <is>
          <t>01a1212c-4b57-70cf-80fd-c2192cb3bf81</t>
        </is>
      </c>
      <c r="E503" s="4" t="n">
        <v>46304.62419715735</v>
      </c>
      <c r="F503" s="4" t="n">
        <v>46304.62419715743</v>
      </c>
      <c r="G503" t="b">
        <v>1</v>
      </c>
      <c r="H503" s="3" t="inlineStr">
        <is>
          <t>Added fraction 0.06219654301806175956496407069 of cost base adjustment 01a1212c-8dfd-70da-97a5-30b2c43d79af | 2020-06-30 | Adjustment of A200 | Cost base increase = A$54.14</t>
        </is>
      </c>
      <c r="I503" t="inlineStr">
        <is>
          <t>cost base adjustment allocation</t>
        </is>
      </c>
      <c r="J503" s="5" t="inlineStr">
        <is>
          <t>01a1212c-8e85-73c7-8c32-06f36abf4d4f</t>
        </is>
      </c>
    </row>
    <row r="504">
      <c r="A504" s="5" t="inlineStr">
        <is>
          <t>01a1212c-8e8f-764a-b5ec-d9873031876c</t>
        </is>
      </c>
      <c r="D504" s="5" t="inlineStr">
        <is>
          <t>01a1212c-4b57-70cf-80fd-c2192cb3bf81</t>
        </is>
      </c>
      <c r="E504" s="4" t="n">
        <v>46304.62419722253</v>
      </c>
      <c r="F504" s="4" t="n">
        <v>46304.62419722261</v>
      </c>
      <c r="G504" t="b">
        <v>1</v>
      </c>
      <c r="H504" s="3" t="inlineStr">
        <is>
          <t>Added fraction 0.06663915323363759953389007574 of cost base adjustment 01a1212c-8dfd-70da-97a5-30b2c43d79af | 2020-06-30 | Adjustment of A200 | Cost base increase = A$54.14</t>
        </is>
      </c>
      <c r="I504" t="inlineStr">
        <is>
          <t>cost base adjustment allocation</t>
        </is>
      </c>
      <c r="J504" s="5" t="inlineStr">
        <is>
          <t>01a1212c-8e8b-73c2-96b3-79b45c8d549b</t>
        </is>
      </c>
    </row>
    <row r="505">
      <c r="A505" s="5" t="inlineStr">
        <is>
          <t>01a1212c-8e95-707f-a3ce-e87c8fd807e5</t>
        </is>
      </c>
      <c r="D505" s="5" t="inlineStr">
        <is>
          <t>01a1212c-4b57-70cf-80fd-c2192cb3bf81</t>
        </is>
      </c>
      <c r="E505" s="4" t="n">
        <v>46304.62419729144</v>
      </c>
      <c r="F505" s="4" t="n">
        <v>46304.62419729152</v>
      </c>
      <c r="G505" t="b">
        <v>1</v>
      </c>
      <c r="H505" s="3" t="inlineStr">
        <is>
          <t>residual of cost base adjustment 01a1212c-8dfd-70da-97a5-30b2c43d79af | 2020-06-30 | Adjustment of A200 | Cost base increase = A$54.14</t>
        </is>
      </c>
      <c r="I505" t="inlineStr">
        <is>
          <t>cost base adjustment allocation</t>
        </is>
      </c>
      <c r="J505" s="5" t="inlineStr">
        <is>
          <t>01a1212c-8e90-70c0-96ba-4b832d37616c</t>
        </is>
      </c>
    </row>
    <row r="506">
      <c r="A506" s="5" t="inlineStr">
        <is>
          <t>01a1212c-8efc-7676-89c2-4a5832e5558c</t>
        </is>
      </c>
      <c r="D506" s="5" t="inlineStr">
        <is>
          <t>01a1212c-4b57-70cf-80fd-c2192cb3bf81</t>
        </is>
      </c>
      <c r="E506" s="4" t="n">
        <v>46304.62419847743</v>
      </c>
      <c r="F506" s="4" t="n">
        <v>46304.62419847753</v>
      </c>
      <c r="G506" t="b">
        <v>1</v>
      </c>
      <c r="H506" s="3" t="inlineStr">
        <is>
          <t>Added fraction 0.001878858369866690525185649101 of cost base adjustment 01a1212c-8ef2-7480-a493-3ead5a163b78 | 2020-06-30 | Adjustment of VGS | Cost base increase = A$167.97</t>
        </is>
      </c>
      <c r="I506" t="inlineStr">
        <is>
          <t>cost base adjustment allocation</t>
        </is>
      </c>
      <c r="J506" s="5" t="inlineStr">
        <is>
          <t>01a1212c-8ef6-732e-9bf1-15fb484a4d43</t>
        </is>
      </c>
    </row>
    <row r="507">
      <c r="A507" s="5" t="inlineStr">
        <is>
          <t>01a1212c-8f02-72ce-b8c3-c1f04494cc50</t>
        </is>
      </c>
      <c r="D507" s="5" t="inlineStr">
        <is>
          <t>01a1212c-4b57-70cf-80fd-c2192cb3bf81</t>
        </is>
      </c>
      <c r="E507" s="4" t="n">
        <v>46304.62419855193</v>
      </c>
      <c r="F507" s="4" t="n">
        <v>46304.62419855205</v>
      </c>
      <c r="G507" t="b">
        <v>1</v>
      </c>
      <c r="H507" s="3" t="inlineStr">
        <is>
          <t>Added fraction 0.003054301783527132380843666026 of cost base adjustment 01a1212c-8ef2-7480-a493-3ead5a163b78 | 2020-06-30 | Adjustment of VGS | Cost base increase = A$167.97</t>
        </is>
      </c>
      <c r="I507" t="inlineStr">
        <is>
          <t>cost base adjustment allocation</t>
        </is>
      </c>
      <c r="J507" s="5" t="inlineStr">
        <is>
          <t>01a1212c-8efd-754c-9d7e-96cf13e1425b</t>
        </is>
      </c>
    </row>
    <row r="508">
      <c r="A508" s="5" t="inlineStr">
        <is>
          <t>01a1212c-8f08-7503-8b0a-ecaacc612f1d</t>
        </is>
      </c>
      <c r="D508" s="5" t="inlineStr">
        <is>
          <t>01a1212c-4b57-70cf-80fd-c2192cb3bf81</t>
        </is>
      </c>
      <c r="E508" s="4" t="n">
        <v>46304.62419862256</v>
      </c>
      <c r="F508" s="4" t="n">
        <v>46304.62419862265</v>
      </c>
      <c r="G508" t="b">
        <v>1</v>
      </c>
      <c r="H508" s="3" t="inlineStr">
        <is>
          <t>Added fraction 0.003578777847365124809877426859 of cost base adjustment 01a1212c-8ef2-7480-a493-3ead5a163b78 | 2020-06-30 | Adjustment of VGS | Cost base increase = A$167.97</t>
        </is>
      </c>
      <c r="I508" t="inlineStr">
        <is>
          <t>cost base adjustment allocation</t>
        </is>
      </c>
      <c r="J508" s="5" t="inlineStr">
        <is>
          <t>01a1212c-8f03-7733-a46c-2b63cc03ded7</t>
        </is>
      </c>
    </row>
    <row r="509">
      <c r="A509" s="5" t="inlineStr">
        <is>
          <t>01a1212c-8f0f-7552-93c9-e15be0ee58bd</t>
        </is>
      </c>
      <c r="D509" s="5" t="inlineStr">
        <is>
          <t>01a1212c-4b57-70cf-80fd-c2192cb3bf81</t>
        </is>
      </c>
      <c r="E509" s="4" t="n">
        <v>46304.62419869448</v>
      </c>
      <c r="F509" s="4" t="n">
        <v>46304.62419869456</v>
      </c>
      <c r="G509" t="b">
        <v>1</v>
      </c>
      <c r="H509" s="3" t="inlineStr">
        <is>
          <t>Added fraction 0.004368577096438807526540031407 of cost base adjustment 01a1212c-8ef2-7480-a493-3ead5a163b78 | 2020-06-30 | Adjustment of VGS | Cost base increase = A$167.97</t>
        </is>
      </c>
      <c r="I509" t="inlineStr">
        <is>
          <t>cost base adjustment allocation</t>
        </is>
      </c>
      <c r="J509" s="5" t="inlineStr">
        <is>
          <t>01a1212c-8f09-7687-96c8-62fc168b3587</t>
        </is>
      </c>
    </row>
    <row r="510">
      <c r="A510" s="5" t="inlineStr">
        <is>
          <t>01a1212c-8f15-7759-a751-716a07f65ab2</t>
        </is>
      </c>
      <c r="D510" s="5" t="inlineStr">
        <is>
          <t>01a1212c-4b57-70cf-80fd-c2192cb3bf81</t>
        </is>
      </c>
      <c r="E510" s="4" t="n">
        <v>46304.62419876376</v>
      </c>
      <c r="F510" s="4" t="n">
        <v>46304.62419876384</v>
      </c>
      <c r="G510" t="b">
        <v>1</v>
      </c>
      <c r="H510" s="3" t="inlineStr">
        <is>
          <t>Added fraction 0.006349245525756402464420469375 of cost base adjustment 01a1212c-8ef2-7480-a493-3ead5a163b78 | 2020-06-30 | Adjustment of VGS | Cost base increase = A$167.97</t>
        </is>
      </c>
      <c r="I510" t="inlineStr">
        <is>
          <t>cost base adjustment allocation</t>
        </is>
      </c>
      <c r="J510" s="5" t="inlineStr">
        <is>
          <t>01a1212c-8f0f-7552-93c9-e15c891bcfa3</t>
        </is>
      </c>
    </row>
    <row r="511">
      <c r="A511" s="5" t="inlineStr">
        <is>
          <t>01a1212c-8f1a-77ee-954f-dc21557c5305</t>
        </is>
      </c>
      <c r="D511" s="5" t="inlineStr">
        <is>
          <t>01a1212c-4b57-70cf-80fd-c2192cb3bf81</t>
        </is>
      </c>
      <c r="E511" s="4" t="n">
        <v>46304.62419882965</v>
      </c>
      <c r="F511" s="4" t="n">
        <v>46304.62419882972</v>
      </c>
      <c r="G511" t="b">
        <v>1</v>
      </c>
      <c r="H511" s="3" t="inlineStr">
        <is>
          <t>Added fraction 0.01101399734059784100970897749 of cost base adjustment 01a1212c-8ef2-7480-a493-3ead5a163b78 | 2020-06-30 | Adjustment of VGS | Cost base increase = A$167.97</t>
        </is>
      </c>
      <c r="I511" t="inlineStr">
        <is>
          <t>cost base adjustment allocation</t>
        </is>
      </c>
      <c r="J511" s="5" t="inlineStr">
        <is>
          <t>01a1212c-8f15-7759-a751-716b3f96c8cc</t>
        </is>
      </c>
    </row>
    <row r="512">
      <c r="A512" s="5" t="inlineStr">
        <is>
          <t>01a1212c-8f21-71ea-8c28-37029bcecce9</t>
        </is>
      </c>
      <c r="D512" s="5" t="inlineStr">
        <is>
          <t>01a1212c-4b57-70cf-80fd-c2192cb3bf81</t>
        </is>
      </c>
      <c r="E512" s="4" t="n">
        <v>46304.62419890911</v>
      </c>
      <c r="F512" s="4" t="n">
        <v>46304.62419890919</v>
      </c>
      <c r="G512" t="b">
        <v>1</v>
      </c>
      <c r="H512" s="3" t="inlineStr">
        <is>
          <t>Added fraction 0.01310573128931642257962009422 of cost base adjustment 01a1212c-8ef2-7480-a493-3ead5a163b78 | 2020-06-30 | Adjustment of VGS | Cost base increase = A$167.97</t>
        </is>
      </c>
      <c r="I512" t="inlineStr">
        <is>
          <t>cost base adjustment allocation</t>
        </is>
      </c>
      <c r="J512" s="5" t="inlineStr">
        <is>
          <t>01a1212c-8f1b-7632-8acf-1068ee88442e</t>
        </is>
      </c>
    </row>
    <row r="513">
      <c r="A513" s="5" t="inlineStr">
        <is>
          <t>01a1212c-8f27-7541-b404-f34413e1ac88</t>
        </is>
      </c>
      <c r="D513" s="5" t="inlineStr">
        <is>
          <t>01a1212c-4b57-70cf-80fd-c2192cb3bf81</t>
        </is>
      </c>
      <c r="E513" s="4" t="n">
        <v>46304.62419897737</v>
      </c>
      <c r="F513" s="4" t="n">
        <v>46304.62419897746</v>
      </c>
      <c r="G513" t="b">
        <v>1</v>
      </c>
      <c r="H513" s="3" t="inlineStr">
        <is>
          <t>Added fraction 0.01354999336692036910774280928 of cost base adjustment 01a1212c-8ef2-7480-a493-3ead5a163b78 | 2020-06-30 | Adjustment of VGS | Cost base increase = A$167.97</t>
        </is>
      </c>
      <c r="I513" t="inlineStr">
        <is>
          <t>cost base adjustment allocation</t>
        </is>
      </c>
      <c r="J513" s="5" t="inlineStr">
        <is>
          <t>01a1212c-8f22-75a7-9eb8-059fc000040f</t>
        </is>
      </c>
    </row>
    <row r="514">
      <c r="A514" s="5" t="inlineStr">
        <is>
          <t>01a1212c-8f2d-739c-827a-6af70e27c8cd</t>
        </is>
      </c>
      <c r="D514" s="5" t="inlineStr">
        <is>
          <t>01a1212c-4b57-70cf-80fd-c2192cb3bf81</t>
        </is>
      </c>
      <c r="E514" s="4" t="n">
        <v>46304.6241990436</v>
      </c>
      <c r="F514" s="4" t="n">
        <v>46304.62419904368</v>
      </c>
      <c r="G514" t="b">
        <v>1</v>
      </c>
      <c r="H514" s="3" t="inlineStr">
        <is>
          <t>Added fraction 0.01431819654277719331262167073 of cost base adjustment 01a1212c-8ef2-7480-a493-3ead5a163b78 | 2020-06-30 | Adjustment of VGS | Cost base increase = A$167.97</t>
        </is>
      </c>
      <c r="I514" t="inlineStr">
        <is>
          <t>cost base adjustment allocation</t>
        </is>
      </c>
      <c r="J514" s="5" t="inlineStr">
        <is>
          <t>01a1212c-8f28-740d-8045-b158fc14631f</t>
        </is>
      </c>
    </row>
    <row r="515">
      <c r="A515" s="5" t="inlineStr">
        <is>
          <t>01a1212c-8f34-7034-8559-8799e94701ea</t>
        </is>
      </c>
      <c r="D515" s="5" t="inlineStr">
        <is>
          <t>01a1212c-4b57-70cf-80fd-c2192cb3bf81</t>
        </is>
      </c>
      <c r="E515" s="4" t="n">
        <v>46304.62419912168</v>
      </c>
      <c r="F515" s="4" t="n">
        <v>46304.62419912176</v>
      </c>
      <c r="G515" t="b">
        <v>1</v>
      </c>
      <c r="H515" s="3" t="inlineStr">
        <is>
          <t>Added fraction 0.01580832559474043062569994416 of cost base adjustment 01a1212c-8ef2-7480-a493-3ead5a163b78 | 2020-06-30 | Adjustment of VGS | Cost base increase = A$167.97</t>
        </is>
      </c>
      <c r="I515" t="inlineStr">
        <is>
          <t>cost base adjustment allocation</t>
        </is>
      </c>
      <c r="J515" s="5" t="inlineStr">
        <is>
          <t>01a1212c-8f2d-739c-827a-6af869d17b8b</t>
        </is>
      </c>
    </row>
    <row r="516">
      <c r="A516" s="5" t="inlineStr">
        <is>
          <t>01a1212c-8f39-7696-b25d-72ae46596b21</t>
        </is>
      </c>
      <c r="D516" s="5" t="inlineStr">
        <is>
          <t>01a1212c-4b57-70cf-80fd-c2192cb3bf81</t>
        </is>
      </c>
      <c r="E516" s="4" t="n">
        <v>46304.62419918914</v>
      </c>
      <c r="F516" s="4" t="n">
        <v>46304.62419918922</v>
      </c>
      <c r="G516" t="b">
        <v>1</v>
      </c>
      <c r="H516" s="3" t="inlineStr">
        <is>
          <t>Added fraction 0.01692515109538368509223065840 of cost base adjustment 01a1212c-8ef2-7480-a493-3ead5a163b78 | 2020-06-30 | Adjustment of VGS | Cost base increase = A$167.97</t>
        </is>
      </c>
      <c r="I516" t="inlineStr">
        <is>
          <t>cost base adjustment allocation</t>
        </is>
      </c>
      <c r="J516" s="5" t="inlineStr">
        <is>
          <t>01a1212c-8f34-7034-8559-879a157786e7</t>
        </is>
      </c>
    </row>
    <row r="517">
      <c r="A517" s="5" t="inlineStr">
        <is>
          <t>01a1212c-8f3f-70e9-8b7f-7271e87f8453</t>
        </is>
      </c>
      <c r="D517" s="5" t="inlineStr">
        <is>
          <t>01a1212c-4b57-70cf-80fd-c2192cb3bf81</t>
        </is>
      </c>
      <c r="E517" s="4" t="n">
        <v>46304.62419925492</v>
      </c>
      <c r="F517" s="4" t="n">
        <v>46304.62419925499</v>
      </c>
      <c r="G517" t="b">
        <v>1</v>
      </c>
      <c r="H517" s="3" t="inlineStr">
        <is>
          <t>Added fraction 0.01693749170865046138467851160 of cost base adjustment 01a1212c-8ef2-7480-a493-3ead5a163b78 | 2020-06-30 | Adjustment of VGS | Cost base increase = A$167.97</t>
        </is>
      </c>
      <c r="I517" t="inlineStr">
        <is>
          <t>cost base adjustment allocation</t>
        </is>
      </c>
      <c r="J517" s="5" t="inlineStr">
        <is>
          <t>01a1212c-8f3a-7667-85b2-487452cb13d0</t>
        </is>
      </c>
    </row>
    <row r="518">
      <c r="A518" s="5" t="inlineStr">
        <is>
          <t>01a1212c-8f45-762a-8a1d-ce06dd67547a</t>
        </is>
      </c>
      <c r="D518" s="5" t="inlineStr">
        <is>
          <t>01a1212c-4b57-70cf-80fd-c2192cb3bf81</t>
        </is>
      </c>
      <c r="E518" s="4" t="n">
        <v>46304.62419932179</v>
      </c>
      <c r="F518" s="4" t="n">
        <v>46304.62419932186</v>
      </c>
      <c r="G518" t="b">
        <v>1</v>
      </c>
      <c r="H518" s="3" t="inlineStr">
        <is>
          <t>Added fraction 0.01693749170865046138467851160 of cost base adjustment 01a1212c-8ef2-7480-a493-3ead5a163b78 | 2020-06-30 | Adjustment of VGS | Cost base increase = A$167.97</t>
        </is>
      </c>
      <c r="I518" t="inlineStr">
        <is>
          <t>cost base adjustment allocation</t>
        </is>
      </c>
      <c r="J518" s="5" t="inlineStr">
        <is>
          <t>01a1212c-8f40-71fb-a98f-6c2852798f11</t>
        </is>
      </c>
    </row>
    <row r="519">
      <c r="A519" s="5" t="inlineStr">
        <is>
          <t>01a1212c-8f4b-7699-b27c-1b2f43a212c4</t>
        </is>
      </c>
      <c r="D519" s="5" t="inlineStr">
        <is>
          <t>01a1212c-4b57-70cf-80fd-c2192cb3bf81</t>
        </is>
      </c>
      <c r="E519" s="4" t="n">
        <v>46304.6241993876</v>
      </c>
      <c r="F519" s="4" t="n">
        <v>46304.62419938768</v>
      </c>
      <c r="G519" t="b">
        <v>1</v>
      </c>
      <c r="H519" s="3" t="inlineStr">
        <is>
          <t>Added fraction 0.01693749170865046138467851160 of cost base adjustment 01a1212c-8ef2-7480-a493-3ead5a163b78 | 2020-06-30 | Adjustment of VGS | Cost base increase = A$167.97</t>
        </is>
      </c>
      <c r="I519" t="inlineStr">
        <is>
          <t>cost base adjustment allocation</t>
        </is>
      </c>
      <c r="J519" s="5" t="inlineStr">
        <is>
          <t>01a1212c-8f46-718a-b10c-830c25f55841</t>
        </is>
      </c>
    </row>
    <row r="520">
      <c r="A520" s="5" t="inlineStr">
        <is>
          <t>01a1212c-8f50-72b1-84bb-80a3728e42b5</t>
        </is>
      </c>
      <c r="D520" s="5" t="inlineStr">
        <is>
          <t>01a1212c-4b57-70cf-80fd-c2192cb3bf81</t>
        </is>
      </c>
      <c r="E520" s="4" t="n">
        <v>46304.62419945659</v>
      </c>
      <c r="F520" s="4" t="n">
        <v>46304.62419945667</v>
      </c>
      <c r="G520" t="b">
        <v>1</v>
      </c>
      <c r="H520" s="3" t="inlineStr">
        <is>
          <t>Added fraction 0.01806665782256049214365707904 of cost base adjustment 01a1212c-8ef2-7480-a493-3ead5a163b78 | 2020-06-30 | Adjustment of VGS | Cost base increase = A$167.97</t>
        </is>
      </c>
      <c r="I520" t="inlineStr">
        <is>
          <t>cost base adjustment allocation</t>
        </is>
      </c>
      <c r="J520" s="5" t="inlineStr">
        <is>
          <t>01a1212c-8f4b-7699-b27c-1b30fc36b4b8</t>
        </is>
      </c>
    </row>
    <row r="521">
      <c r="A521" s="5" t="inlineStr">
        <is>
          <t>01a1212c-8f56-7652-9359-dda48494944e</t>
        </is>
      </c>
      <c r="D521" s="5" t="inlineStr">
        <is>
          <t>01a1212c-4b57-70cf-80fd-c2192cb3bf81</t>
        </is>
      </c>
      <c r="E521" s="4" t="n">
        <v>46304.62419952438</v>
      </c>
      <c r="F521" s="4" t="n">
        <v>46304.62419952446</v>
      </c>
      <c r="G521" t="b">
        <v>1</v>
      </c>
      <c r="H521" s="3" t="inlineStr">
        <is>
          <t>Added fraction 0.01919582393647052290263564648 of cost base adjustment 01a1212c-8ef2-7480-a493-3ead5a163b78 | 2020-06-30 | Adjustment of VGS | Cost base increase = A$167.97</t>
        </is>
      </c>
      <c r="I521" t="inlineStr">
        <is>
          <t>cost base adjustment allocation</t>
        </is>
      </c>
      <c r="J521" s="5" t="inlineStr">
        <is>
          <t>01a1212c-8f51-706b-a42a-47e0f12c981f</t>
        </is>
      </c>
    </row>
    <row r="522">
      <c r="A522" s="5" t="inlineStr">
        <is>
          <t>01a1212c-8f5c-774d-aa24-114acdf5ac82</t>
        </is>
      </c>
      <c r="D522" s="5" t="inlineStr">
        <is>
          <t>01a1212c-4b57-70cf-80fd-c2192cb3bf81</t>
        </is>
      </c>
      <c r="E522" s="4" t="n">
        <v>46304.62419959095</v>
      </c>
      <c r="F522" s="4" t="n">
        <v>46304.62419959103</v>
      </c>
      <c r="G522" t="b">
        <v>1</v>
      </c>
      <c r="H522" s="3" t="inlineStr">
        <is>
          <t>Added fraction 0.02010285901157858039755285639 of cost base adjustment 01a1212c-8ef2-7480-a493-3ead5a163b78 | 2020-06-30 | Adjustment of VGS | Cost base increase = A$167.97</t>
        </is>
      </c>
      <c r="I522" t="inlineStr">
        <is>
          <t>cost base adjustment allocation</t>
        </is>
      </c>
      <c r="J522" s="5" t="inlineStr">
        <is>
          <t>01a1212c-8f57-728b-a6b0-0ef1c39461cd</t>
        </is>
      </c>
    </row>
    <row r="523">
      <c r="A523" s="5" t="inlineStr">
        <is>
          <t>01a1212c-8f63-72ee-a8ef-0572e5f699af</t>
        </is>
      </c>
      <c r="D523" s="5" t="inlineStr">
        <is>
          <t>01a1212c-4b57-70cf-80fd-c2192cb3bf81</t>
        </is>
      </c>
      <c r="E523" s="4" t="n">
        <v>46304.62419966773</v>
      </c>
      <c r="F523" s="4" t="n">
        <v>46304.62419966782</v>
      </c>
      <c r="G523" t="b">
        <v>1</v>
      </c>
      <c r="H523" s="3" t="inlineStr">
        <is>
          <t>Added fraction 0.02032499005038055366161421392 of cost base adjustment 01a1212c-8ef2-7480-a493-3ead5a163b78 | 2020-06-30 | Adjustment of VGS | Cost base increase = A$167.97</t>
        </is>
      </c>
      <c r="I523" t="inlineStr">
        <is>
          <t>cost base adjustment allocation</t>
        </is>
      </c>
      <c r="J523" s="5" t="inlineStr">
        <is>
          <t>01a1212c-8f5d-72c8-aad6-c43207c09d56</t>
        </is>
      </c>
    </row>
    <row r="524">
      <c r="A524" s="5" t="inlineStr">
        <is>
          <t>01a1212c-8f69-7013-aeb1-274d04922811</t>
        </is>
      </c>
      <c r="D524" s="5" t="inlineStr">
        <is>
          <t>01a1212c-4b57-70cf-80fd-c2192cb3bf81</t>
        </is>
      </c>
      <c r="E524" s="4" t="n">
        <v>46304.6241997349</v>
      </c>
      <c r="F524" s="4" t="n">
        <v>46304.62419973496</v>
      </c>
      <c r="G524" t="b">
        <v>1</v>
      </c>
      <c r="H524" s="3" t="inlineStr">
        <is>
          <t>Added fraction 0.02032499005038055366161421392 of cost base adjustment 01a1212c-8ef2-7480-a493-3ead5a163b78 | 2020-06-30 | Adjustment of VGS | Cost base increase = A$167.97</t>
        </is>
      </c>
      <c r="I524" t="inlineStr">
        <is>
          <t>cost base adjustment allocation</t>
        </is>
      </c>
      <c r="J524" s="5" t="inlineStr">
        <is>
          <t>01a1212c-8f63-72ee-a8ef-05735574472b</t>
        </is>
      </c>
    </row>
    <row r="525">
      <c r="A525" s="5" t="inlineStr">
        <is>
          <t>01a1212c-8f6e-76f9-b7ae-5ded9ff72626</t>
        </is>
      </c>
      <c r="D525" s="5" t="inlineStr">
        <is>
          <t>01a1212c-4b57-70cf-80fd-c2192cb3bf81</t>
        </is>
      </c>
      <c r="E525" s="4" t="n">
        <v>46304.62419980124</v>
      </c>
      <c r="F525" s="4" t="n">
        <v>46304.62419980132</v>
      </c>
      <c r="G525" t="b">
        <v>1</v>
      </c>
      <c r="H525" s="3" t="inlineStr">
        <is>
          <t>Added fraction 0.02145415616429058442059278136 of cost base adjustment 01a1212c-8ef2-7480-a493-3ead5a163b78 | 2020-06-30 | Adjustment of VGS | Cost base increase = A$167.97</t>
        </is>
      </c>
      <c r="I525" t="inlineStr">
        <is>
          <t>cost base adjustment allocation</t>
        </is>
      </c>
      <c r="J525" s="5" t="inlineStr">
        <is>
          <t>01a1212c-8f69-7013-aeb1-274ec091aa35</t>
        </is>
      </c>
    </row>
    <row r="526">
      <c r="A526" s="5" t="inlineStr">
        <is>
          <t>01a1212c-8f74-7178-9425-7068813c62e4</t>
        </is>
      </c>
      <c r="D526" s="5" t="inlineStr">
        <is>
          <t>01a1212c-4b57-70cf-80fd-c2192cb3bf81</t>
        </is>
      </c>
      <c r="E526" s="4" t="n">
        <v>46304.62419987025</v>
      </c>
      <c r="F526" s="4" t="n">
        <v>46304.62419987033</v>
      </c>
      <c r="G526" t="b">
        <v>1</v>
      </c>
      <c r="H526" s="3" t="inlineStr">
        <is>
          <t>Added fraction 0.02150043346404099551727223084 of cost base adjustment 01a1212c-8ef2-7480-a493-3ead5a163b78 | 2020-06-30 | Adjustment of VGS | Cost base increase = A$167.97</t>
        </is>
      </c>
      <c r="I526" t="inlineStr">
        <is>
          <t>cost base adjustment allocation</t>
        </is>
      </c>
      <c r="J526" s="5" t="inlineStr">
        <is>
          <t>01a1212c-8f6f-765f-ae2b-d57dd7920dd5</t>
        </is>
      </c>
    </row>
    <row r="527">
      <c r="A527" s="5" t="inlineStr">
        <is>
          <t>01a1212c-8f7a-760b-aeba-6ca8c6ebdc1d</t>
        </is>
      </c>
      <c r="D527" s="5" t="inlineStr">
        <is>
          <t>01a1212c-4b57-70cf-80fd-c2192cb3bf81</t>
        </is>
      </c>
      <c r="E527" s="4" t="n">
        <v>46304.62419994112</v>
      </c>
      <c r="F527" s="4" t="n">
        <v>46304.62419994119</v>
      </c>
      <c r="G527" t="b">
        <v>1</v>
      </c>
      <c r="H527" s="3" t="inlineStr">
        <is>
          <t>Added fraction 0.02258332227820061517957134880 of cost base adjustment 01a1212c-8ef2-7480-a493-3ead5a163b78 | 2020-06-30 | Adjustment of VGS | Cost base increase = A$167.97</t>
        </is>
      </c>
      <c r="I527" t="inlineStr">
        <is>
          <t>cost base adjustment allocation</t>
        </is>
      </c>
      <c r="J527" s="5" t="inlineStr">
        <is>
          <t>01a1212c-8f75-7317-b580-3eab5f3a2ecd</t>
        </is>
      </c>
    </row>
    <row r="528">
      <c r="A528" s="5" t="inlineStr">
        <is>
          <t>01a1212c-8f80-7641-82f0-7671974c35e5</t>
        </is>
      </c>
      <c r="D528" s="5" t="inlineStr">
        <is>
          <t>01a1212c-4b57-70cf-80fd-c2192cb3bf81</t>
        </is>
      </c>
      <c r="E528" s="4" t="n">
        <v>46304.6242000076</v>
      </c>
      <c r="F528" s="4" t="n">
        <v>46304.62420000768</v>
      </c>
      <c r="G528" t="b">
        <v>1</v>
      </c>
      <c r="H528" s="3" t="inlineStr">
        <is>
          <t>Added fraction 0.02258332227820061517957134880 of cost base adjustment 01a1212c-8ef2-7480-a493-3ead5a163b78 | 2020-06-30 | Adjustment of VGS | Cost base increase = A$167.97</t>
        </is>
      </c>
      <c r="I528" t="inlineStr">
        <is>
          <t>cost base adjustment allocation</t>
        </is>
      </c>
      <c r="J528" s="5" t="inlineStr">
        <is>
          <t>01a1212c-8f7b-76df-9819-0d8589c4474b</t>
        </is>
      </c>
    </row>
    <row r="529">
      <c r="A529" s="5" t="inlineStr">
        <is>
          <t>01a1212c-8f86-73d8-8f4d-2457b2a5198e</t>
        </is>
      </c>
      <c r="D529" s="5" t="inlineStr">
        <is>
          <t>01a1212c-4b57-70cf-80fd-c2192cb3bf81</t>
        </is>
      </c>
      <c r="E529" s="4" t="n">
        <v>46304.62420007177</v>
      </c>
      <c r="F529" s="4" t="n">
        <v>46304.62420007185</v>
      </c>
      <c r="G529" t="b">
        <v>1</v>
      </c>
      <c r="H529" s="3" t="inlineStr">
        <is>
          <t>Added fraction 0.02371248839211064593854991624 of cost base adjustment 01a1212c-8ef2-7480-a493-3ead5a163b78 | 2020-06-30 | Adjustment of VGS | Cost base increase = A$167.97</t>
        </is>
      </c>
      <c r="I529" t="inlineStr">
        <is>
          <t>cost base adjustment allocation</t>
        </is>
      </c>
      <c r="J529" s="5" t="inlineStr">
        <is>
          <t>01a1212c-8f81-7571-9d9b-e2e63a4a295c</t>
        </is>
      </c>
    </row>
    <row r="530">
      <c r="A530" s="5" t="inlineStr">
        <is>
          <t>01a1212c-8f8b-77b7-b9a5-02efa297248c</t>
        </is>
      </c>
      <c r="D530" s="5" t="inlineStr">
        <is>
          <t>01a1212c-4b57-70cf-80fd-c2192cb3bf81</t>
        </is>
      </c>
      <c r="E530" s="4" t="n">
        <v>46304.62420013772</v>
      </c>
      <c r="F530" s="4" t="n">
        <v>46304.62420013779</v>
      </c>
      <c r="G530" t="b">
        <v>1</v>
      </c>
      <c r="H530" s="3" t="inlineStr">
        <is>
          <t>Added fraction 0.02450845794781771680143644738 of cost base adjustment 01a1212c-8ef2-7480-a493-3ead5a163b78 | 2020-06-30 | Adjustment of VGS | Cost base increase = A$167.97</t>
        </is>
      </c>
      <c r="I530" t="inlineStr">
        <is>
          <t>cost base adjustment allocation</t>
        </is>
      </c>
      <c r="J530" s="5" t="inlineStr">
        <is>
          <t>01a1212c-8f86-73d8-8f4d-245889906a2e</t>
        </is>
      </c>
    </row>
    <row r="531">
      <c r="A531" s="5" t="inlineStr">
        <is>
          <t>01a1212c-8f91-70e1-9cae-4e61a2061097</t>
        </is>
      </c>
      <c r="D531" s="5" t="inlineStr">
        <is>
          <t>01a1212c-4b57-70cf-80fd-c2192cb3bf81</t>
        </is>
      </c>
      <c r="E531" s="4" t="n">
        <v>46304.62420020725</v>
      </c>
      <c r="F531" s="4" t="n">
        <v>46304.62420020734</v>
      </c>
      <c r="G531" t="b">
        <v>1</v>
      </c>
      <c r="H531" s="3" t="inlineStr">
        <is>
          <t>Added fraction 0.02484165450602067669752848368 of cost base adjustment 01a1212c-8ef2-7480-a493-3ead5a163b78 | 2020-06-30 | Adjustment of VGS | Cost base increase = A$167.97</t>
        </is>
      </c>
      <c r="I531" t="inlineStr">
        <is>
          <t>cost base adjustment allocation</t>
        </is>
      </c>
      <c r="J531" s="5" t="inlineStr">
        <is>
          <t>01a1212c-8f8c-76b7-8d78-229feb155392</t>
        </is>
      </c>
    </row>
    <row r="532">
      <c r="A532" s="5" t="inlineStr">
        <is>
          <t>01a1212c-8f97-7078-adaa-6bba57797811</t>
        </is>
      </c>
      <c r="D532" s="5" t="inlineStr">
        <is>
          <t>01a1212c-4b57-70cf-80fd-c2192cb3bf81</t>
        </is>
      </c>
      <c r="E532" s="4" t="n">
        <v>46304.62420027559</v>
      </c>
      <c r="F532" s="4" t="n">
        <v>46304.62420027568</v>
      </c>
      <c r="G532" t="b">
        <v>1</v>
      </c>
      <c r="H532" s="3" t="inlineStr">
        <is>
          <t>Added fraction 0.02484165450602067669752848368 of cost base adjustment 01a1212c-8ef2-7480-a493-3ead5a163b78 | 2020-06-30 | Adjustment of VGS | Cost base increase = A$167.97</t>
        </is>
      </c>
      <c r="I532" t="inlineStr">
        <is>
          <t>cost base adjustment allocation</t>
        </is>
      </c>
      <c r="J532" s="5" t="inlineStr">
        <is>
          <t>01a1212c-8f92-7094-8754-00d054d22607</t>
        </is>
      </c>
    </row>
    <row r="533">
      <c r="A533" s="5" t="inlineStr">
        <is>
          <t>01a1212c-8f9d-7447-97f5-86a0f91d896a</t>
        </is>
      </c>
      <c r="D533" s="5" t="inlineStr">
        <is>
          <t>01a1212c-4b57-70cf-80fd-c2192cb3bf81</t>
        </is>
      </c>
      <c r="E533" s="4" t="n">
        <v>46304.62420034526</v>
      </c>
      <c r="F533" s="4" t="n">
        <v>46304.62420034534</v>
      </c>
      <c r="G533" t="b">
        <v>1</v>
      </c>
      <c r="H533" s="3" t="inlineStr">
        <is>
          <t>Added fraction 0.02597082061993070745650705112 of cost base adjustment 01a1212c-8ef2-7480-a493-3ead5a163b78 | 2020-06-30 | Adjustment of VGS | Cost base increase = A$167.97</t>
        </is>
      </c>
      <c r="I533" t="inlineStr">
        <is>
          <t>cost base adjustment allocation</t>
        </is>
      </c>
      <c r="J533" s="5" t="inlineStr">
        <is>
          <t>01a1212c-8f98-72a9-8703-75498b8f4f55</t>
        </is>
      </c>
    </row>
    <row r="534">
      <c r="A534" s="5" t="inlineStr">
        <is>
          <t>01a1212c-8fa4-71d2-876c-e3e8204d7b67</t>
        </is>
      </c>
      <c r="D534" s="5" t="inlineStr">
        <is>
          <t>01a1212c-4b57-70cf-80fd-c2192cb3bf81</t>
        </is>
      </c>
      <c r="E534" s="4" t="n">
        <v>46304.62420042125</v>
      </c>
      <c r="F534" s="4" t="n">
        <v>46304.62420042136</v>
      </c>
      <c r="G534" t="b">
        <v>1</v>
      </c>
      <c r="H534" s="3" t="inlineStr">
        <is>
          <t>Added fraction 0.02597082061993070745650705112 of cost base adjustment 01a1212c-8ef2-7480-a493-3ead5a163b78 | 2020-06-30 | Adjustment of VGS | Cost base increase = A$167.97</t>
        </is>
      </c>
      <c r="I534" t="inlineStr">
        <is>
          <t>cost base adjustment allocation</t>
        </is>
      </c>
      <c r="J534" s="5" t="inlineStr">
        <is>
          <t>01a1212c-8f9e-736b-b126-29447e2807cb</t>
        </is>
      </c>
    </row>
    <row r="535">
      <c r="A535" s="5" t="inlineStr">
        <is>
          <t>01a1212c-8faa-74c8-abc7-dd6ec6ff48e1</t>
        </is>
      </c>
      <c r="D535" s="5" t="inlineStr">
        <is>
          <t>01a1212c-4b57-70cf-80fd-c2192cb3bf81</t>
        </is>
      </c>
      <c r="E535" s="4" t="n">
        <v>46304.62420049052</v>
      </c>
      <c r="F535" s="4" t="n">
        <v>46304.6242004906</v>
      </c>
      <c r="G535" t="b">
        <v>1</v>
      </c>
      <c r="H535" s="3" t="inlineStr">
        <is>
          <t>Added fraction 0.02709998673384073821548561856 of cost base adjustment 01a1212c-8ef2-7480-a493-3ead5a163b78 | 2020-06-30 | Adjustment of VGS | Cost base increase = A$167.97</t>
        </is>
      </c>
      <c r="I535" t="inlineStr">
        <is>
          <t>cost base adjustment allocation</t>
        </is>
      </c>
      <c r="J535" s="5" t="inlineStr">
        <is>
          <t>01a1212c-8fa5-7371-9722-d893ef66395f</t>
        </is>
      </c>
    </row>
    <row r="536">
      <c r="A536" s="5" t="inlineStr">
        <is>
          <t>01a1212c-8fb0-74a1-9a4d-79102e3ee49c</t>
        </is>
      </c>
      <c r="D536" s="5" t="inlineStr">
        <is>
          <t>01a1212c-4b57-70cf-80fd-c2192cb3bf81</t>
        </is>
      </c>
      <c r="E536" s="4" t="n">
        <v>46304.62420056059</v>
      </c>
      <c r="F536" s="4" t="n">
        <v>46304.62420056071</v>
      </c>
      <c r="G536" t="b">
        <v>1</v>
      </c>
      <c r="H536" s="3" t="inlineStr">
        <is>
          <t>Added fraction 0.02822915284775076897446418600 of cost base adjustment 01a1212c-8ef2-7480-a493-3ead5a163b78 | 2020-06-30 | Adjustment of VGS | Cost base increase = A$167.97</t>
        </is>
      </c>
      <c r="I536" t="inlineStr">
        <is>
          <t>cost base adjustment allocation</t>
        </is>
      </c>
      <c r="J536" s="5" t="inlineStr">
        <is>
          <t>01a1212c-8fab-7387-8c40-a038477e7288</t>
        </is>
      </c>
    </row>
    <row r="537">
      <c r="A537" s="5" t="inlineStr">
        <is>
          <t>01a1212c-8fb6-737e-a60b-621cf859e6a3</t>
        </is>
      </c>
      <c r="D537" s="5" t="inlineStr">
        <is>
          <t>01a1212c-4b57-70cf-80fd-c2192cb3bf81</t>
        </is>
      </c>
      <c r="E537" s="4" t="n">
        <v>46304.62420063244</v>
      </c>
      <c r="F537" s="4" t="n">
        <v>46304.62420063251</v>
      </c>
      <c r="G537" t="b">
        <v>1</v>
      </c>
      <c r="H537" s="3" t="inlineStr">
        <is>
          <t>Added fraction 0.02822915284775076897446418600 of cost base adjustment 01a1212c-8ef2-7480-a493-3ead5a163b78 | 2020-06-30 | Adjustment of VGS | Cost base increase = A$167.97</t>
        </is>
      </c>
      <c r="I537" t="inlineStr">
        <is>
          <t>cost base adjustment allocation</t>
        </is>
      </c>
      <c r="J537" s="5" t="inlineStr">
        <is>
          <t>01a1212c-8fb1-750b-b080-c9ab06114f91</t>
        </is>
      </c>
    </row>
    <row r="538">
      <c r="A538" s="5" t="inlineStr">
        <is>
          <t>01a1212c-8fbc-7437-b7b6-0142eb8e1c90</t>
        </is>
      </c>
      <c r="D538" s="5" t="inlineStr">
        <is>
          <t>01a1212c-4b57-70cf-80fd-c2192cb3bf81</t>
        </is>
      </c>
      <c r="E538" s="4" t="n">
        <v>46304.62420070023</v>
      </c>
      <c r="F538" s="4" t="n">
        <v>46304.62420070031</v>
      </c>
      <c r="G538" t="b">
        <v>1</v>
      </c>
      <c r="H538" s="3" t="inlineStr">
        <is>
          <t>Added fraction 0.02935831896166079973344275344 of cost base adjustment 01a1212c-8ef2-7480-a493-3ead5a163b78 | 2020-06-30 | Adjustment of VGS | Cost base increase = A$167.97</t>
        </is>
      </c>
      <c r="I538" t="inlineStr">
        <is>
          <t>cost base adjustment allocation</t>
        </is>
      </c>
      <c r="J538" s="5" t="inlineStr">
        <is>
          <t>01a1212c-8fb7-76d5-acd4-6756ac38794a</t>
        </is>
      </c>
    </row>
    <row r="539">
      <c r="A539" s="5" t="inlineStr">
        <is>
          <t>01a1212c-8fc2-72af-824c-0814e27c154e</t>
        </is>
      </c>
      <c r="D539" s="5" t="inlineStr">
        <is>
          <t>01a1212c-4b57-70cf-80fd-c2192cb3bf81</t>
        </is>
      </c>
      <c r="E539" s="4" t="n">
        <v>46304.624200773</v>
      </c>
      <c r="F539" s="4" t="n">
        <v>46304.62420077309</v>
      </c>
      <c r="G539" t="b">
        <v>1</v>
      </c>
      <c r="H539" s="3" t="inlineStr">
        <is>
          <t>Added fraction 0.02935831896166079973344275344 of cost base adjustment 01a1212c-8ef2-7480-a493-3ead5a163b78 | 2020-06-30 | Adjustment of VGS | Cost base increase = A$167.97</t>
        </is>
      </c>
      <c r="I539" t="inlineStr">
        <is>
          <t>cost base adjustment allocation</t>
        </is>
      </c>
      <c r="J539" s="5" t="inlineStr">
        <is>
          <t>01a1212c-8fbd-70c5-aece-2a7ac324e22e</t>
        </is>
      </c>
    </row>
    <row r="540">
      <c r="A540" s="5" t="inlineStr">
        <is>
          <t>01a1212c-8fc8-71ca-b6ec-3d6627552b42</t>
        </is>
      </c>
      <c r="D540" s="5" t="inlineStr">
        <is>
          <t>01a1212c-4b57-70cf-80fd-c2192cb3bf81</t>
        </is>
      </c>
      <c r="E540" s="4" t="n">
        <v>46304.62420084454</v>
      </c>
      <c r="F540" s="4" t="n">
        <v>46304.62420084463</v>
      </c>
      <c r="G540" t="b">
        <v>1</v>
      </c>
      <c r="H540" s="3" t="inlineStr">
        <is>
          <t>Added fraction 0.02935831896166079973344275344 of cost base adjustment 01a1212c-8ef2-7480-a493-3ead5a163b78 | 2020-06-30 | Adjustment of VGS | Cost base increase = A$167.97</t>
        </is>
      </c>
      <c r="I540" t="inlineStr">
        <is>
          <t>cost base adjustment allocation</t>
        </is>
      </c>
      <c r="J540" s="5" t="inlineStr">
        <is>
          <t>01a1212c-8fc3-74d6-8e28-25b357abbcde</t>
        </is>
      </c>
    </row>
    <row r="541">
      <c r="A541" s="5" t="inlineStr">
        <is>
          <t>01a1212c-8fce-7232-94df-15eb43cf01b0</t>
        </is>
      </c>
      <c r="D541" s="5" t="inlineStr">
        <is>
          <t>01a1212c-4b57-70cf-80fd-c2192cb3bf81</t>
        </is>
      </c>
      <c r="E541" s="4" t="n">
        <v>46304.62420091042</v>
      </c>
      <c r="F541" s="4" t="n">
        <v>46304.6242009105</v>
      </c>
      <c r="G541" t="b">
        <v>1</v>
      </c>
      <c r="H541" s="3" t="inlineStr">
        <is>
          <t>Added fraction 0.03048748507557083049242132088 of cost base adjustment 01a1212c-8ef2-7480-a493-3ead5a163b78 | 2020-06-30 | Adjustment of VGS | Cost base increase = A$167.97</t>
        </is>
      </c>
      <c r="I541" t="inlineStr">
        <is>
          <t>cost base adjustment allocation</t>
        </is>
      </c>
      <c r="J541" s="5" t="inlineStr">
        <is>
          <t>01a1212c-8fc9-725a-a09a-4a894bf11a77</t>
        </is>
      </c>
    </row>
    <row r="542">
      <c r="A542" s="5" t="inlineStr">
        <is>
          <t>01a1212c-8fd4-7545-8501-f5ff25e7db66</t>
        </is>
      </c>
      <c r="D542" s="5" t="inlineStr">
        <is>
          <t>01a1212c-4b57-70cf-80fd-c2192cb3bf81</t>
        </is>
      </c>
      <c r="E542" s="4" t="n">
        <v>46304.62420097696</v>
      </c>
      <c r="F542" s="4" t="n">
        <v>46304.62420097704</v>
      </c>
      <c r="G542" t="b">
        <v>1</v>
      </c>
      <c r="H542" s="3" t="inlineStr">
        <is>
          <t>Added fraction 0.03048748507557083049242132088 of cost base adjustment 01a1212c-8ef2-7480-a493-3ead5a163b78 | 2020-06-30 | Adjustment of VGS | Cost base increase = A$167.97</t>
        </is>
      </c>
      <c r="I542" t="inlineStr">
        <is>
          <t>cost base adjustment allocation</t>
        </is>
      </c>
      <c r="J542" s="5" t="inlineStr">
        <is>
          <t>01a1212c-8fcf-776c-85fe-96dc205cce58</t>
        </is>
      </c>
    </row>
    <row r="543">
      <c r="A543" s="5" t="inlineStr">
        <is>
          <t>01a1212c-8fda-736f-888d-744703e0617a</t>
        </is>
      </c>
      <c r="D543" s="5" t="inlineStr">
        <is>
          <t>01a1212c-4b57-70cf-80fd-c2192cb3bf81</t>
        </is>
      </c>
      <c r="E543" s="4" t="n">
        <v>46304.62420104843</v>
      </c>
      <c r="F543" s="4" t="n">
        <v>46304.62420104852</v>
      </c>
      <c r="G543" t="b">
        <v>1</v>
      </c>
      <c r="H543" s="3" t="inlineStr">
        <is>
          <t>Added fraction 0.03161665118948086125139988832 of cost base adjustment 01a1212c-8ef2-7480-a493-3ead5a163b78 | 2020-06-30 | Adjustment of VGS | Cost base increase = A$167.97</t>
        </is>
      </c>
      <c r="I543" t="inlineStr">
        <is>
          <t>cost base adjustment allocation</t>
        </is>
      </c>
      <c r="J543" s="5" t="inlineStr">
        <is>
          <t>01a1212c-8fd5-7289-8377-9944b5672094</t>
        </is>
      </c>
    </row>
    <row r="544">
      <c r="A544" s="5" t="inlineStr">
        <is>
          <t>01a1212c-8fe0-70bf-b855-24fdd045aebc</t>
        </is>
      </c>
      <c r="D544" s="5" t="inlineStr">
        <is>
          <t>01a1212c-4b57-70cf-80fd-c2192cb3bf81</t>
        </is>
      </c>
      <c r="E544" s="4" t="n">
        <v>46304.62420111543</v>
      </c>
      <c r="F544" s="4" t="n">
        <v>46304.6242011155</v>
      </c>
      <c r="G544" t="b">
        <v>1</v>
      </c>
      <c r="H544" s="3" t="inlineStr">
        <is>
          <t>Added fraction 0.03161665118948086125139988832 of cost base adjustment 01a1212c-8ef2-7480-a493-3ead5a163b78 | 2020-06-30 | Adjustment of VGS | Cost base increase = A$167.97</t>
        </is>
      </c>
      <c r="I544" t="inlineStr">
        <is>
          <t>cost base adjustment allocation</t>
        </is>
      </c>
      <c r="J544" s="5" t="inlineStr">
        <is>
          <t>01a1212c-8fdb-72d6-845f-ed6819c1ea40</t>
        </is>
      </c>
    </row>
    <row r="545">
      <c r="A545" s="5" t="inlineStr">
        <is>
          <t>01a1212c-8fe6-706d-8eeb-b6783838d512</t>
        </is>
      </c>
      <c r="D545" s="5" t="inlineStr">
        <is>
          <t>01a1212c-4b57-70cf-80fd-c2192cb3bf81</t>
        </is>
      </c>
      <c r="E545" s="4" t="n">
        <v>46304.62420118174</v>
      </c>
      <c r="F545" s="4" t="n">
        <v>46304.6242011818</v>
      </c>
      <c r="G545" t="b">
        <v>1</v>
      </c>
      <c r="H545" s="3" t="inlineStr">
        <is>
          <t>Added fraction 0.03274581730339089201037845576 of cost base adjustment 01a1212c-8ef2-7480-a493-3ead5a163b78 | 2020-06-30 | Adjustment of VGS | Cost base increase = A$167.97</t>
        </is>
      </c>
      <c r="I545" t="inlineStr">
        <is>
          <t>cost base adjustment allocation</t>
        </is>
      </c>
      <c r="J545" s="5" t="inlineStr">
        <is>
          <t>01a1212c-8fe1-74fe-8e40-1c25db3cd846</t>
        </is>
      </c>
    </row>
    <row r="546">
      <c r="A546" s="5" t="inlineStr">
        <is>
          <t>01a1212c-8fec-73a0-9afe-2f7bdfb5b96b</t>
        </is>
      </c>
      <c r="D546" s="5" t="inlineStr">
        <is>
          <t>01a1212c-4b57-70cf-80fd-c2192cb3bf81</t>
        </is>
      </c>
      <c r="E546" s="4" t="n">
        <v>46304.62420125245</v>
      </c>
      <c r="F546" s="4" t="n">
        <v>46304.62420125253</v>
      </c>
      <c r="G546" t="b">
        <v>1</v>
      </c>
      <c r="H546" s="3" t="inlineStr">
        <is>
          <t>Added fraction 0.03387498341730092276935702320 of cost base adjustment 01a1212c-8ef2-7480-a493-3ead5a163b78 | 2020-06-30 | Adjustment of VGS | Cost base increase = A$167.97</t>
        </is>
      </c>
      <c r="I546" t="inlineStr">
        <is>
          <t>cost base adjustment allocation</t>
        </is>
      </c>
      <c r="J546" s="5" t="inlineStr">
        <is>
          <t>01a1212c-8fe6-706d-8eeb-b679a70b0313</t>
        </is>
      </c>
    </row>
    <row r="547">
      <c r="A547" s="5" t="inlineStr">
        <is>
          <t>01a1212c-8ff1-7426-a6b8-404ceb5523ac</t>
        </is>
      </c>
      <c r="D547" s="5" t="inlineStr">
        <is>
          <t>01a1212c-4b57-70cf-80fd-c2192cb3bf81</t>
        </is>
      </c>
      <c r="E547" s="4" t="n">
        <v>46304.62420131794</v>
      </c>
      <c r="F547" s="4" t="n">
        <v>46304.62420131802</v>
      </c>
      <c r="G547" t="b">
        <v>1</v>
      </c>
      <c r="H547" s="3" t="inlineStr">
        <is>
          <t>Added fraction 0.03387498341730092276935702320 of cost base adjustment 01a1212c-8ef2-7480-a493-3ead5a163b78 | 2020-06-30 | Adjustment of VGS | Cost base increase = A$167.97</t>
        </is>
      </c>
      <c r="I547" t="inlineStr">
        <is>
          <t>cost base adjustment allocation</t>
        </is>
      </c>
      <c r="J547" s="5" t="inlineStr">
        <is>
          <t>01a1212c-8fec-73a0-9afe-2f7c3da192cb</t>
        </is>
      </c>
    </row>
    <row r="548">
      <c r="A548" s="5" t="inlineStr">
        <is>
          <t>01a1212c-8ff8-764f-94b5-8266b6c81f16</t>
        </is>
      </c>
      <c r="D548" s="5" t="inlineStr">
        <is>
          <t>01a1212c-4b57-70cf-80fd-c2192cb3bf81</t>
        </is>
      </c>
      <c r="E548" s="4" t="n">
        <v>46304.62420139093</v>
      </c>
      <c r="F548" s="4" t="n">
        <v>46304.62420139101</v>
      </c>
      <c r="G548" t="b">
        <v>1</v>
      </c>
      <c r="H548" s="3" t="inlineStr">
        <is>
          <t>Added fraction 0.03500414953121095352833559064 of cost base adjustment 01a1212c-8ef2-7480-a493-3ead5a163b78 | 2020-06-30 | Adjustment of VGS | Cost base increase = A$167.97</t>
        </is>
      </c>
      <c r="I548" t="inlineStr">
        <is>
          <t>cost base adjustment allocation</t>
        </is>
      </c>
      <c r="J548" s="5" t="inlineStr">
        <is>
          <t>01a1212c-8ff2-7174-af31-5b756f560b7b</t>
        </is>
      </c>
    </row>
    <row r="549">
      <c r="A549" s="5" t="inlineStr">
        <is>
          <t>01a1212c-8ffd-71df-a509-d4c5376d1804</t>
        </is>
      </c>
      <c r="D549" s="5" t="inlineStr">
        <is>
          <t>01a1212c-4b57-70cf-80fd-c2192cb3bf81</t>
        </is>
      </c>
      <c r="E549" s="4" t="n">
        <v>46304.62420145883</v>
      </c>
      <c r="F549" s="4" t="n">
        <v>46304.62420145892</v>
      </c>
      <c r="G549" t="b">
        <v>1</v>
      </c>
      <c r="H549" s="3" t="inlineStr">
        <is>
          <t>Added fraction 0.03613331564512098428731415808 of cost base adjustment 01a1212c-8ef2-7480-a493-3ead5a163b78 | 2020-06-30 | Adjustment of VGS | Cost base increase = A$167.97</t>
        </is>
      </c>
      <c r="I549" t="inlineStr">
        <is>
          <t>cost base adjustment allocation</t>
        </is>
      </c>
      <c r="J549" s="5" t="inlineStr">
        <is>
          <t>01a1212c-8ff8-764f-94b5-8267b56d8c93</t>
        </is>
      </c>
    </row>
    <row r="550">
      <c r="A550" s="5" t="inlineStr">
        <is>
          <t>01a1212c-9003-75a9-9282-c12da75c429f</t>
        </is>
      </c>
      <c r="D550" s="5" t="inlineStr">
        <is>
          <t>01a1212c-4b57-70cf-80fd-c2192cb3bf81</t>
        </is>
      </c>
      <c r="E550" s="4" t="n">
        <v>46304.62420152826</v>
      </c>
      <c r="F550" s="4" t="n">
        <v>46304.62420152834</v>
      </c>
      <c r="G550" t="b">
        <v>1</v>
      </c>
      <c r="H550" s="3" t="inlineStr">
        <is>
          <t>residual of cost base adjustment 01a1212c-8ef2-7480-a493-3ead5a163b78 | 2020-06-30 | Adjustment of VGS | Cost base increase = A$167.97</t>
        </is>
      </c>
      <c r="I550" t="inlineStr">
        <is>
          <t>cost base adjustment allocation</t>
        </is>
      </c>
      <c r="J550" s="5" t="inlineStr">
        <is>
          <t>01a1212c-8ffe-7275-b81e-1e0ef53c4301</t>
        </is>
      </c>
    </row>
    <row r="551">
      <c r="A551" s="5" t="inlineStr">
        <is>
          <t>01a1212c-90b6-7047-8b92-4060778eb148</t>
        </is>
      </c>
      <c r="D551" s="5" t="inlineStr">
        <is>
          <t>01a1212c-4b57-70cf-80fd-c2192cb3bf81</t>
        </is>
      </c>
      <c r="E551" s="4" t="n">
        <v>46304.62420359537</v>
      </c>
      <c r="F551" s="4" t="n">
        <v>46304.62420359545</v>
      </c>
      <c r="G551" t="b">
        <v>1</v>
      </c>
      <c r="H551" s="3" t="inlineStr">
        <is>
          <t>This parcel was created by splitting parcel 01a1212c-69af-71ca-bedb-c45e7e2a2285 by multiplier 4</t>
        </is>
      </c>
      <c r="I551" t="inlineStr">
        <is>
          <t>parcel</t>
        </is>
      </c>
      <c r="J551" s="5" t="inlineStr">
        <is>
          <t>01a1212c-90b1-7292-9e21-6b1080dd740e</t>
        </is>
      </c>
    </row>
    <row r="552">
      <c r="A552" s="5" t="inlineStr">
        <is>
          <t>01a1212c-90b7-763c-a3bd-98cc78a4b20d</t>
        </is>
      </c>
      <c r="D552" s="5" t="inlineStr">
        <is>
          <t>01a1212c-4b57-70cf-80fd-c2192cb3bf81</t>
        </is>
      </c>
      <c r="E552" s="4" t="n">
        <v>46304.62420360978</v>
      </c>
      <c r="F552" s="4" t="n">
        <v>46304.62420360985</v>
      </c>
      <c r="G552" t="b">
        <v>1</v>
      </c>
      <c r="H552" s="3" t="inlineStr">
        <is>
          <t>This parcel was split with multipler 4, then marked as INACTIVE. New parcel is 01a1212c-90b1-7292-9e21-6b1080dd740e.</t>
        </is>
      </c>
      <c r="I552" t="inlineStr">
        <is>
          <t>parcel</t>
        </is>
      </c>
      <c r="J552" s="5" t="inlineStr">
        <is>
          <t>01a1212c-69af-71ca-bedb-c45e7e2a2285</t>
        </is>
      </c>
    </row>
    <row r="553">
      <c r="A553" s="5" t="inlineStr">
        <is>
          <t>01a1212c-90c0-7447-9063-8641ae3378a2</t>
        </is>
      </c>
      <c r="D553" s="5" t="inlineStr">
        <is>
          <t>01a1212c-4b57-70cf-80fd-c2192cb3bf81</t>
        </is>
      </c>
      <c r="E553" s="4" t="n">
        <v>46304.62420370568</v>
      </c>
      <c r="F553" s="4" t="n">
        <v>46304.62420370577</v>
      </c>
      <c r="G553" t="b">
        <v>1</v>
      </c>
      <c r="H553" s="3" t="inlineStr">
        <is>
          <t>This parcel was created by splitting parcel 01a1212c-6a59-75ca-b91e-09b95d96c758 by multiplier 4</t>
        </is>
      </c>
      <c r="I553" t="inlineStr">
        <is>
          <t>parcel</t>
        </is>
      </c>
      <c r="J553" s="5" t="inlineStr">
        <is>
          <t>01a1212c-90bc-7571-9ae2-4c598f309c24</t>
        </is>
      </c>
    </row>
    <row r="554">
      <c r="A554" s="5" t="inlineStr">
        <is>
          <t>01a1212c-90c1-75f9-9535-1aff93a88083</t>
        </is>
      </c>
      <c r="D554" s="5" t="inlineStr">
        <is>
          <t>01a1212c-4b57-70cf-80fd-c2192cb3bf81</t>
        </is>
      </c>
      <c r="E554" s="4" t="n">
        <v>46304.62420371899</v>
      </c>
      <c r="F554" s="4" t="n">
        <v>46304.62420371906</v>
      </c>
      <c r="G554" t="b">
        <v>1</v>
      </c>
      <c r="H554" s="3" t="inlineStr">
        <is>
          <t>This parcel was split with multipler 4, then marked as INACTIVE. New parcel is 01a1212c-90bc-7571-9ae2-4c598f309c24.</t>
        </is>
      </c>
      <c r="I554" t="inlineStr">
        <is>
          <t>parcel</t>
        </is>
      </c>
      <c r="J554" s="5" t="inlineStr">
        <is>
          <t>01a1212c-6a59-75ca-b91e-09b95d96c758</t>
        </is>
      </c>
    </row>
    <row r="555">
      <c r="A555" s="5" t="inlineStr">
        <is>
          <t>01a1212c-90c9-7652-bdb0-665df1921a58</t>
        </is>
      </c>
      <c r="D555" s="5" t="inlineStr">
        <is>
          <t>01a1212c-4b57-70cf-80fd-c2192cb3bf81</t>
        </is>
      </c>
      <c r="E555" s="4" t="n">
        <v>46304.62420381641</v>
      </c>
      <c r="F555" s="4" t="n">
        <v>46304.62420381649</v>
      </c>
      <c r="G555" t="b">
        <v>1</v>
      </c>
      <c r="H555" s="3" t="inlineStr">
        <is>
          <t>This parcel was created by splitting parcel 01a1212c-6a99-7744-a90f-0e15183ead98 by multiplier 4</t>
        </is>
      </c>
      <c r="I555" t="inlineStr">
        <is>
          <t>parcel</t>
        </is>
      </c>
      <c r="J555" s="5" t="inlineStr">
        <is>
          <t>01a1212c-90c5-76b4-90f2-2721255a737f</t>
        </is>
      </c>
    </row>
    <row r="556">
      <c r="A556" s="5" t="inlineStr">
        <is>
          <t>01a1212c-90cb-7291-9fce-3185165b95b8</t>
        </is>
      </c>
      <c r="D556" s="5" t="inlineStr">
        <is>
          <t>01a1212c-4b57-70cf-80fd-c2192cb3bf81</t>
        </is>
      </c>
      <c r="E556" s="4" t="n">
        <v>46304.62420383209</v>
      </c>
      <c r="F556" s="4" t="n">
        <v>46304.62420383217</v>
      </c>
      <c r="G556" t="b">
        <v>1</v>
      </c>
      <c r="H556" s="3" t="inlineStr">
        <is>
          <t>This parcel was split with multipler 4, then marked as INACTIVE. New parcel is 01a1212c-90c5-76b4-90f2-2721255a737f.</t>
        </is>
      </c>
      <c r="I556" t="inlineStr">
        <is>
          <t>parcel</t>
        </is>
      </c>
      <c r="J556" s="5" t="inlineStr">
        <is>
          <t>01a1212c-6a99-7744-a90f-0e15183ead98</t>
        </is>
      </c>
    </row>
    <row r="557">
      <c r="A557" s="5" t="inlineStr">
        <is>
          <t>01a1212c-90d3-7734-adae-dd9ad11d0873</t>
        </is>
      </c>
      <c r="D557" s="5" t="inlineStr">
        <is>
          <t>01a1212c-4b57-70cf-80fd-c2192cb3bf81</t>
        </is>
      </c>
      <c r="E557" s="4" t="n">
        <v>46304.62420393168</v>
      </c>
      <c r="F557" s="4" t="n">
        <v>46304.62420393177</v>
      </c>
      <c r="G557" t="b">
        <v>1</v>
      </c>
      <c r="H557" s="3" t="inlineStr">
        <is>
          <t>This parcel was created by splitting parcel 01a1212c-6e38-77f0-a4c7-b52be288421b by multiplier 4</t>
        </is>
      </c>
      <c r="I557" t="inlineStr">
        <is>
          <t>parcel</t>
        </is>
      </c>
      <c r="J557" s="5" t="inlineStr">
        <is>
          <t>01a1212c-90cf-77d2-92c3-d590ddce0a81</t>
        </is>
      </c>
    </row>
    <row r="558">
      <c r="A558" s="5" t="inlineStr">
        <is>
          <t>01a1212c-90d4-772f-a392-65524cb47b10</t>
        </is>
      </c>
      <c r="D558" s="5" t="inlineStr">
        <is>
          <t>01a1212c-4b57-70cf-80fd-c2192cb3bf81</t>
        </is>
      </c>
      <c r="E558" s="4" t="n">
        <v>46304.62420394633</v>
      </c>
      <c r="F558" s="4" t="n">
        <v>46304.62420394641</v>
      </c>
      <c r="G558" t="b">
        <v>1</v>
      </c>
      <c r="H558" s="3" t="inlineStr">
        <is>
          <t>This parcel was split with multipler 4, then marked as INACTIVE. New parcel is 01a1212c-90cf-77d2-92c3-d590ddce0a81.</t>
        </is>
      </c>
      <c r="I558" t="inlineStr">
        <is>
          <t>parcel</t>
        </is>
      </c>
      <c r="J558" s="5" t="inlineStr">
        <is>
          <t>01a1212c-6e38-77f0-a4c7-b52be288421b</t>
        </is>
      </c>
    </row>
    <row r="559">
      <c r="A559" s="5" t="inlineStr">
        <is>
          <t>01a1212c-90de-7453-a801-cfc95099999b</t>
        </is>
      </c>
      <c r="D559" s="5" t="inlineStr">
        <is>
          <t>01a1212c-4b57-70cf-80fd-c2192cb3bf81</t>
        </is>
      </c>
      <c r="E559" s="4" t="n">
        <v>46304.62420405361</v>
      </c>
      <c r="F559" s="4" t="n">
        <v>46304.62420405372</v>
      </c>
      <c r="G559" t="b">
        <v>1</v>
      </c>
      <c r="H559" s="3" t="inlineStr">
        <is>
          <t>This parcel was created by splitting parcel 01a1212c-6ea7-74a3-8ee3-677989aa03d3 by multiplier 4</t>
        </is>
      </c>
      <c r="I559" t="inlineStr">
        <is>
          <t>parcel</t>
        </is>
      </c>
      <c r="J559" s="5" t="inlineStr">
        <is>
          <t>01a1212c-90d9-76fe-b8a9-835631fd594a</t>
        </is>
      </c>
    </row>
    <row r="560">
      <c r="A560" s="5" t="inlineStr">
        <is>
          <t>01a1212c-90df-7002-b876-46a3be1c6ac5</t>
        </is>
      </c>
      <c r="D560" s="5" t="inlineStr">
        <is>
          <t>01a1212c-4b57-70cf-80fd-c2192cb3bf81</t>
        </is>
      </c>
      <c r="E560" s="4" t="n">
        <v>46304.62420406812</v>
      </c>
      <c r="F560" s="4" t="n">
        <v>46304.6242040682</v>
      </c>
      <c r="G560" t="b">
        <v>1</v>
      </c>
      <c r="H560" s="3" t="inlineStr">
        <is>
          <t>This parcel was split with multipler 4, then marked as INACTIVE. New parcel is 01a1212c-90d9-76fe-b8a9-835631fd594a.</t>
        </is>
      </c>
      <c r="I560" t="inlineStr">
        <is>
          <t>parcel</t>
        </is>
      </c>
      <c r="J560" s="5" t="inlineStr">
        <is>
          <t>01a1212c-6ea7-74a3-8ee3-677989aa03d3</t>
        </is>
      </c>
    </row>
    <row r="561">
      <c r="A561" s="5" t="inlineStr">
        <is>
          <t>01a1212c-90e8-74aa-9933-e1312ce6301f</t>
        </is>
      </c>
      <c r="D561" s="5" t="inlineStr">
        <is>
          <t>01a1212c-4b57-70cf-80fd-c2192cb3bf81</t>
        </is>
      </c>
      <c r="E561" s="4" t="n">
        <v>46304.62420417037</v>
      </c>
      <c r="F561" s="4" t="n">
        <v>46304.62420417045</v>
      </c>
      <c r="G561" t="b">
        <v>1</v>
      </c>
      <c r="H561" s="3" t="inlineStr">
        <is>
          <t>This parcel was created by splitting parcel 01a1212c-6fac-76e5-bb28-9e374b6000b7 by multiplier 4</t>
        </is>
      </c>
      <c r="I561" t="inlineStr">
        <is>
          <t>parcel</t>
        </is>
      </c>
      <c r="J561" s="5" t="inlineStr">
        <is>
          <t>01a1212c-90e3-76b6-b4ca-d6a5b2aeacd2</t>
        </is>
      </c>
    </row>
    <row r="562">
      <c r="A562" s="5" t="inlineStr">
        <is>
          <t>01a1212c-90e9-759b-aa10-80faea8e18f8</t>
        </is>
      </c>
      <c r="D562" s="5" t="inlineStr">
        <is>
          <t>01a1212c-4b57-70cf-80fd-c2192cb3bf81</t>
        </is>
      </c>
      <c r="E562" s="4" t="n">
        <v>46304.62420418696</v>
      </c>
      <c r="F562" s="4" t="n">
        <v>46304.62420418704</v>
      </c>
      <c r="G562" t="b">
        <v>1</v>
      </c>
      <c r="H562" s="3" t="inlineStr">
        <is>
          <t>This parcel was split with multipler 4, then marked as INACTIVE. New parcel is 01a1212c-90e3-76b6-b4ca-d6a5b2aeacd2.</t>
        </is>
      </c>
      <c r="I562" t="inlineStr">
        <is>
          <t>parcel</t>
        </is>
      </c>
      <c r="J562" s="5" t="inlineStr">
        <is>
          <t>01a1212c-6fac-76e5-bb28-9e374b6000b7</t>
        </is>
      </c>
    </row>
    <row r="563">
      <c r="A563" s="5" t="inlineStr">
        <is>
          <t>01a1212c-90f2-74cb-b54b-0b885cd7f892</t>
        </is>
      </c>
      <c r="D563" s="5" t="inlineStr">
        <is>
          <t>01a1212c-4b57-70cf-80fd-c2192cb3bf81</t>
        </is>
      </c>
      <c r="E563" s="4" t="n">
        <v>46304.62420428602</v>
      </c>
      <c r="F563" s="4" t="n">
        <v>46304.6242042861</v>
      </c>
      <c r="G563" t="b">
        <v>1</v>
      </c>
      <c r="H563" s="3" t="inlineStr">
        <is>
          <t>This parcel was created by splitting parcel 01a1212c-716f-7245-8737-8644ca7db7b1 by multiplier 4</t>
        </is>
      </c>
      <c r="I563" t="inlineStr">
        <is>
          <t>parcel</t>
        </is>
      </c>
      <c r="J563" s="5" t="inlineStr">
        <is>
          <t>01a1212c-90ee-7429-99c1-3575a720665f</t>
        </is>
      </c>
    </row>
    <row r="564">
      <c r="A564" s="5" t="inlineStr">
        <is>
          <t>01a1212c-90f3-7402-891b-b038629517e1</t>
        </is>
      </c>
      <c r="D564" s="5" t="inlineStr">
        <is>
          <t>01a1212c-4b57-70cf-80fd-c2192cb3bf81</t>
        </is>
      </c>
      <c r="E564" s="4" t="n">
        <v>46304.62420429949</v>
      </c>
      <c r="F564" s="4" t="n">
        <v>46304.62420429956</v>
      </c>
      <c r="G564" t="b">
        <v>1</v>
      </c>
      <c r="H564" s="3" t="inlineStr">
        <is>
          <t>This parcel was split with multipler 4, then marked as INACTIVE. New parcel is 01a1212c-90ee-7429-99c1-3575a720665f.</t>
        </is>
      </c>
      <c r="I564" t="inlineStr">
        <is>
          <t>parcel</t>
        </is>
      </c>
      <c r="J564" s="5" t="inlineStr">
        <is>
          <t>01a1212c-716f-7245-8737-8644ca7db7b1</t>
        </is>
      </c>
    </row>
    <row r="565">
      <c r="A565" s="5" t="inlineStr">
        <is>
          <t>01a1212c-90fb-7137-a855-00ce59873adc</t>
        </is>
      </c>
      <c r="D565" s="5" t="inlineStr">
        <is>
          <t>01a1212c-4b57-70cf-80fd-c2192cb3bf81</t>
        </is>
      </c>
      <c r="E565" s="4" t="n">
        <v>46304.62420439471</v>
      </c>
      <c r="F565" s="4" t="n">
        <v>46304.62420439478</v>
      </c>
      <c r="G565" t="b">
        <v>1</v>
      </c>
      <c r="H565" s="3" t="inlineStr">
        <is>
          <t>This parcel was created by splitting parcel 01a1212c-7205-7696-a929-279b9baca395 by multiplier 4</t>
        </is>
      </c>
      <c r="I565" t="inlineStr">
        <is>
          <t>parcel</t>
        </is>
      </c>
      <c r="J565" s="5" t="inlineStr">
        <is>
          <t>01a1212c-90f7-7620-9c62-38f092efba05</t>
        </is>
      </c>
    </row>
    <row r="566">
      <c r="A566" s="5" t="inlineStr">
        <is>
          <t>01a1212c-90fc-7775-a75a-ccb2268586d7</t>
        </is>
      </c>
      <c r="D566" s="5" t="inlineStr">
        <is>
          <t>01a1212c-4b57-70cf-80fd-c2192cb3bf81</t>
        </is>
      </c>
      <c r="E566" s="4" t="n">
        <v>46304.62420440912</v>
      </c>
      <c r="F566" s="4" t="n">
        <v>46304.62420440919</v>
      </c>
      <c r="G566" t="b">
        <v>1</v>
      </c>
      <c r="H566" s="3" t="inlineStr">
        <is>
          <t>This parcel was split with multipler 4, then marked as INACTIVE. New parcel is 01a1212c-90f7-7620-9c62-38f092efba05.</t>
        </is>
      </c>
      <c r="I566" t="inlineStr">
        <is>
          <t>parcel</t>
        </is>
      </c>
      <c r="J566" s="5" t="inlineStr">
        <is>
          <t>01a1212c-7205-7696-a929-279b9baca395</t>
        </is>
      </c>
    </row>
    <row r="567">
      <c r="A567" s="5" t="inlineStr">
        <is>
          <t>01a1212c-9104-71cc-8c80-887a67cd2110</t>
        </is>
      </c>
      <c r="D567" s="5" t="inlineStr">
        <is>
          <t>01a1212c-4b57-70cf-80fd-c2192cb3bf81</t>
        </is>
      </c>
      <c r="E567" s="4" t="n">
        <v>46304.62420450288</v>
      </c>
      <c r="F567" s="4" t="n">
        <v>46304.62420450295</v>
      </c>
      <c r="G567" t="b">
        <v>1</v>
      </c>
      <c r="H567" s="3" t="inlineStr">
        <is>
          <t>This parcel was created by splitting parcel 01a1212c-73c5-70bb-97ca-8b8b236ed442 by multiplier 4</t>
        </is>
      </c>
      <c r="I567" t="inlineStr">
        <is>
          <t>parcel</t>
        </is>
      </c>
      <c r="J567" s="5" t="inlineStr">
        <is>
          <t>01a1212c-9101-775e-99f9-54047cfa40cb</t>
        </is>
      </c>
    </row>
    <row r="568">
      <c r="A568" s="5" t="inlineStr">
        <is>
          <t>01a1212c-9106-7036-b0be-ab4a2d791c16</t>
        </is>
      </c>
      <c r="D568" s="5" t="inlineStr">
        <is>
          <t>01a1212c-4b57-70cf-80fd-c2192cb3bf81</t>
        </is>
      </c>
      <c r="E568" s="4" t="n">
        <v>46304.62420451872</v>
      </c>
      <c r="F568" s="4" t="n">
        <v>46304.6242045188</v>
      </c>
      <c r="G568" t="b">
        <v>1</v>
      </c>
      <c r="H568" s="3" t="inlineStr">
        <is>
          <t>This parcel was split with multipler 4, then marked as INACTIVE. New parcel is 01a1212c-9101-775e-99f9-54047cfa40cb.</t>
        </is>
      </c>
      <c r="I568" t="inlineStr">
        <is>
          <t>parcel</t>
        </is>
      </c>
      <c r="J568" s="5" t="inlineStr">
        <is>
          <t>01a1212c-73c5-70bb-97ca-8b8b236ed442</t>
        </is>
      </c>
    </row>
    <row r="569">
      <c r="A569" s="5" t="inlineStr">
        <is>
          <t>01a1212c-910e-768a-8e8f-6c1beef57b5f</t>
        </is>
      </c>
      <c r="D569" s="5" t="inlineStr">
        <is>
          <t>01a1212c-4b57-70cf-80fd-c2192cb3bf81</t>
        </is>
      </c>
      <c r="E569" s="4" t="n">
        <v>46304.6242046132</v>
      </c>
      <c r="F569" s="4" t="n">
        <v>46304.62420461328</v>
      </c>
      <c r="G569" t="b">
        <v>1</v>
      </c>
      <c r="H569" s="3" t="inlineStr">
        <is>
          <t>This parcel was created by splitting parcel 01a1212c-73dc-7776-bb86-5aa639647d91 by multiplier 4</t>
        </is>
      </c>
      <c r="I569" t="inlineStr">
        <is>
          <t>parcel</t>
        </is>
      </c>
      <c r="J569" s="5" t="inlineStr">
        <is>
          <t>01a1212c-910a-7440-9481-a017d62af194</t>
        </is>
      </c>
    </row>
    <row r="570">
      <c r="A570" s="5" t="inlineStr">
        <is>
          <t>01a1212c-910f-71ee-a604-19a172a3c495</t>
        </is>
      </c>
      <c r="D570" s="5" t="inlineStr">
        <is>
          <t>01a1212c-4b57-70cf-80fd-c2192cb3bf81</t>
        </is>
      </c>
      <c r="E570" s="4" t="n">
        <v>46304.6242046286</v>
      </c>
      <c r="F570" s="4" t="n">
        <v>46304.62420462867</v>
      </c>
      <c r="G570" t="b">
        <v>1</v>
      </c>
      <c r="H570" s="3" t="inlineStr">
        <is>
          <t>This parcel was split with multipler 4, then marked as INACTIVE. New parcel is 01a1212c-910a-7440-9481-a017d62af194.</t>
        </is>
      </c>
      <c r="I570" t="inlineStr">
        <is>
          <t>parcel</t>
        </is>
      </c>
      <c r="J570" s="5" t="inlineStr">
        <is>
          <t>01a1212c-73dc-7776-bb86-5aa639647d91</t>
        </is>
      </c>
    </row>
    <row r="571">
      <c r="A571" s="5" t="inlineStr">
        <is>
          <t>01a1212c-914f-753f-9a3b-c8514ee6261f</t>
        </is>
      </c>
      <c r="D571" s="5" t="inlineStr">
        <is>
          <t>01a1212c-4b57-70cf-80fd-c2192cb3bf81</t>
        </is>
      </c>
      <c r="E571" s="4" t="n">
        <v>46304.6242053647</v>
      </c>
      <c r="F571" s="4" t="n">
        <v>46304.62420536479</v>
      </c>
      <c r="G571" t="b">
        <v>1</v>
      </c>
      <c r="H571" s="3" t="inlineStr">
        <is>
          <t>Added fraction 0.001113166844517461365433482523 of cost base adjustment 01a1212c-9145-7407-94b2-8ca10c380294 | 2021-06-30 | Adjustment of A200 | Cost base increase = A$48.94</t>
        </is>
      </c>
      <c r="I571" t="inlineStr">
        <is>
          <t>cost base adjustment allocation</t>
        </is>
      </c>
      <c r="J571" s="5" t="inlineStr">
        <is>
          <t>01a1212c-9148-77a3-8f20-cb0796f06ba0</t>
        </is>
      </c>
    </row>
    <row r="572">
      <c r="A572" s="5" t="inlineStr">
        <is>
          <t>01a1212c-9155-73b2-8cf9-f209b4b9c356</t>
        </is>
      </c>
      <c r="D572" s="5" t="inlineStr">
        <is>
          <t>01a1212c-4b57-70cf-80fd-c2192cb3bf81</t>
        </is>
      </c>
      <c r="E572" s="4" t="n">
        <v>46304.62420543747</v>
      </c>
      <c r="F572" s="4" t="n">
        <v>46304.62420543757</v>
      </c>
      <c r="G572" t="b">
        <v>1</v>
      </c>
      <c r="H572" s="3" t="inlineStr">
        <is>
          <t>Added fraction 0.005888268756861330119224007554 of cost base adjustment 01a1212c-9145-7407-94b2-8ca10c380294 | 2021-06-30 | Adjustment of A200 | Cost base increase = A$48.94</t>
        </is>
      </c>
      <c r="I572" t="inlineStr">
        <is>
          <t>cost base adjustment allocation</t>
        </is>
      </c>
      <c r="J572" s="5" t="inlineStr">
        <is>
          <t>01a1212c-9150-73d8-8e1d-4d6aeda78a83</t>
        </is>
      </c>
    </row>
    <row r="573">
      <c r="A573" s="5" t="inlineStr">
        <is>
          <t>01a1212c-915c-7763-a2b7-8260c6b2e749</t>
        </is>
      </c>
      <c r="D573" s="5" t="inlineStr">
        <is>
          <t>01a1212c-4b57-70cf-80fd-c2192cb3bf81</t>
        </is>
      </c>
      <c r="E573" s="4" t="n">
        <v>46304.62420551197</v>
      </c>
      <c r="F573" s="4" t="n">
        <v>46304.62420551207</v>
      </c>
      <c r="G573" t="b">
        <v>1</v>
      </c>
      <c r="H573" s="3" t="inlineStr">
        <is>
          <t>Added fraction 0.005942007845907000667900106710 of cost base adjustment 01a1212c-9145-7407-94b2-8ca10c380294 | 2021-06-30 | Adjustment of A200 | Cost base increase = A$48.94</t>
        </is>
      </c>
      <c r="I573" t="inlineStr">
        <is>
          <t>cost base adjustment allocation</t>
        </is>
      </c>
      <c r="J573" s="5" t="inlineStr">
        <is>
          <t>01a1212c-9156-723f-843e-c27b7807cf41</t>
        </is>
      </c>
    </row>
    <row r="574">
      <c r="A574" s="5" t="inlineStr">
        <is>
          <t>01a1212c-9162-7039-b84b-ff2078e05d36</t>
        </is>
      </c>
      <c r="D574" s="5" t="inlineStr">
        <is>
          <t>01a1212c-4b57-70cf-80fd-c2192cb3bf81</t>
        </is>
      </c>
      <c r="E574" s="4" t="n">
        <v>46304.62420558686</v>
      </c>
      <c r="F574" s="4" t="n">
        <v>46304.62420558696</v>
      </c>
      <c r="G574" t="b">
        <v>1</v>
      </c>
      <c r="H574" s="3" t="inlineStr">
        <is>
          <t>Added fraction 0.009135645137763993274936856570 of cost base adjustment 01a1212c-9145-7407-94b2-8ca10c380294 | 2021-06-30 | Adjustment of A200 | Cost base increase = A$48.94</t>
        </is>
      </c>
      <c r="I574" t="inlineStr">
        <is>
          <t>cost base adjustment allocation</t>
        </is>
      </c>
      <c r="J574" s="5" t="inlineStr">
        <is>
          <t>01a1212c-915c-7763-a2b7-8261c0a36dd2</t>
        </is>
      </c>
    </row>
    <row r="575">
      <c r="A575" s="5" t="inlineStr">
        <is>
          <t>01a1212c-9168-71c5-86ed-236dfc1e3aaa</t>
        </is>
      </c>
      <c r="D575" s="5" t="inlineStr">
        <is>
          <t>01a1212c-4b57-70cf-80fd-c2192cb3bf81</t>
        </is>
      </c>
      <c r="E575" s="4" t="n">
        <v>46304.6242056565</v>
      </c>
      <c r="F575" s="4" t="n">
        <v>46304.62420565658</v>
      </c>
      <c r="G575" t="b">
        <v>1</v>
      </c>
      <c r="H575" s="3" t="inlineStr">
        <is>
          <t>Added fraction 0.01229857437873774556844440691 of cost base adjustment 01a1212c-9145-7407-94b2-8ca10c380294 | 2021-06-30 | Adjustment of A200 | Cost base increase = A$48.94</t>
        </is>
      </c>
      <c r="I575" t="inlineStr">
        <is>
          <t>cost base adjustment allocation</t>
        </is>
      </c>
      <c r="J575" s="5" t="inlineStr">
        <is>
          <t>01a1212c-9163-75ea-83c3-fd6644c8860f</t>
        </is>
      </c>
    </row>
    <row r="576">
      <c r="A576" s="5" t="inlineStr">
        <is>
          <t>01a1212c-916f-74bb-9f88-a32fccd3d502</t>
        </is>
      </c>
      <c r="D576" s="5" t="inlineStr">
        <is>
          <t>01a1212c-4b57-70cf-80fd-c2192cb3bf81</t>
        </is>
      </c>
      <c r="E576" s="4" t="n">
        <v>46304.62420573383</v>
      </c>
      <c r="F576" s="4" t="n">
        <v>46304.62420573393</v>
      </c>
      <c r="G576" t="b">
        <v>1</v>
      </c>
      <c r="H576" s="3" t="inlineStr">
        <is>
          <t>Added fraction 0.01455561611865590861284057148 of cost base adjustment 01a1212c-9145-7407-94b2-8ca10c380294 | 2021-06-30 | Adjustment of A200 | Cost base increase = A$48.94</t>
        </is>
      </c>
      <c r="I576" t="inlineStr">
        <is>
          <t>cost base adjustment allocation</t>
        </is>
      </c>
      <c r="J576" s="5" t="inlineStr">
        <is>
          <t>01a1212c-9169-723f-8bdd-1f528207466f</t>
        </is>
      </c>
    </row>
    <row r="577">
      <c r="A577" s="5" t="inlineStr">
        <is>
          <t>01a1212c-9175-705b-8faf-77eb9d742901</t>
        </is>
      </c>
      <c r="D577" s="5" t="inlineStr">
        <is>
          <t>01a1212c-4b57-70cf-80fd-c2192cb3bf81</t>
        </is>
      </c>
      <c r="E577" s="4" t="n">
        <v>46304.62420580748</v>
      </c>
      <c r="F577" s="4" t="n">
        <v>46304.62420580756</v>
      </c>
      <c r="G577" t="b">
        <v>1</v>
      </c>
      <c r="H577" s="3" t="inlineStr">
        <is>
          <t>Added fraction 0.01477057247483859080754496810 of cost base adjustment 01a1212c-9145-7407-94b2-8ca10c380294 | 2021-06-30 | Adjustment of A200 | Cost base increase = A$48.94</t>
        </is>
      </c>
      <c r="I577" t="inlineStr">
        <is>
          <t>cost base adjustment allocation</t>
        </is>
      </c>
      <c r="J577" s="5" t="inlineStr">
        <is>
          <t>01a1212c-9170-74d8-bbfc-b05fe33c1701</t>
        </is>
      </c>
    </row>
    <row r="578">
      <c r="A578" s="5" t="inlineStr">
        <is>
          <t>01a1212c-917b-76f9-8272-80b93e893753</t>
        </is>
      </c>
      <c r="D578" s="5" t="inlineStr">
        <is>
          <t>01a1212c-4b57-70cf-80fd-c2192cb3bf81</t>
        </is>
      </c>
      <c r="E578" s="4" t="n">
        <v>46304.62420587829</v>
      </c>
      <c r="F578" s="4" t="n">
        <v>46304.62420587837</v>
      </c>
      <c r="G578" t="b">
        <v>1</v>
      </c>
      <c r="H578" s="3" t="inlineStr">
        <is>
          <t>Added fraction 0.01529260933985367613754135991 of cost base adjustment 01a1212c-9145-7407-94b2-8ca10c380294 | 2021-06-30 | Adjustment of A200 | Cost base increase = A$48.94</t>
        </is>
      </c>
      <c r="I578" t="inlineStr">
        <is>
          <t>cost base adjustment allocation</t>
        </is>
      </c>
      <c r="J578" s="5" t="inlineStr">
        <is>
          <t>01a1212c-9176-7539-94a5-980eea43ba52</t>
        </is>
      </c>
    </row>
    <row r="579">
      <c r="A579" s="5" t="inlineStr">
        <is>
          <t>01a1212c-9182-74dc-b680-aaa02b11b4d8</t>
        </is>
      </c>
      <c r="D579" s="5" t="inlineStr">
        <is>
          <t>01a1212c-4b57-70cf-80fd-c2192cb3bf81</t>
        </is>
      </c>
      <c r="E579" s="4" t="n">
        <v>46304.62420595311</v>
      </c>
      <c r="F579" s="4" t="n">
        <v>46304.62420595319</v>
      </c>
      <c r="G579" t="b">
        <v>1</v>
      </c>
      <c r="H579" s="3" t="inlineStr">
        <is>
          <t>Added fraction 0.01961476750166975026677619205 of cost base adjustment 01a1212c-9145-7407-94b2-8ca10c380294 | 2021-06-30 | Adjustment of A200 | Cost base increase = A$48.94</t>
        </is>
      </c>
      <c r="I579" t="inlineStr">
        <is>
          <t>cost base adjustment allocation</t>
        </is>
      </c>
      <c r="J579" s="5" t="inlineStr">
        <is>
          <t>01a1212c-917c-71d1-af71-f610d3888af9</t>
        </is>
      </c>
    </row>
    <row r="580">
      <c r="A580" s="5" t="inlineStr">
        <is>
          <t>01a1212c-9188-708e-9d9d-e9fdf20619e4</t>
        </is>
      </c>
      <c r="D580" s="5" t="inlineStr">
        <is>
          <t>01a1212c-4b57-70cf-80fd-c2192cb3bf81</t>
        </is>
      </c>
      <c r="E580" s="4" t="n">
        <v>46304.6242060242</v>
      </c>
      <c r="F580" s="4" t="n">
        <v>46304.62420602429</v>
      </c>
      <c r="G580" t="b">
        <v>1</v>
      </c>
      <c r="H580" s="3" t="inlineStr">
        <is>
          <t>Added fraction 0.02055904006632938990779907722 of cost base adjustment 01a1212c-9145-7407-94b2-8ca10c380294 | 2021-06-30 | Adjustment of A200 | Cost base increase = A$48.94</t>
        </is>
      </c>
      <c r="I580" t="inlineStr">
        <is>
          <t>cost base adjustment allocation</t>
        </is>
      </c>
      <c r="J580" s="5" t="inlineStr">
        <is>
          <t>01a1212c-9182-74dc-b680-aaa11ea98511</t>
        </is>
      </c>
    </row>
    <row r="581">
      <c r="A581" s="5" t="inlineStr">
        <is>
          <t>01a1212c-918f-744c-b8d4-f1f5d462a71c</t>
        </is>
      </c>
      <c r="D581" s="5" t="inlineStr">
        <is>
          <t>01a1212c-4b57-70cf-80fd-c2192cb3bf81</t>
        </is>
      </c>
      <c r="E581" s="4" t="n">
        <v>46304.62420610106</v>
      </c>
      <c r="F581" s="4" t="n">
        <v>46304.62420610117</v>
      </c>
      <c r="G581" t="b">
        <v>1</v>
      </c>
      <c r="H581" s="3" t="inlineStr">
        <is>
          <t>Added fraction 0.02241687714476542887631564806 of cost base adjustment 01a1212c-9145-7407-94b2-8ca10c380294 | 2021-06-30 | Adjustment of A200 | Cost base increase = A$48.94</t>
        </is>
      </c>
      <c r="I581" t="inlineStr">
        <is>
          <t>cost base adjustment allocation</t>
        </is>
      </c>
      <c r="J581" s="5" t="inlineStr">
        <is>
          <t>01a1212c-9189-7416-b93e-95d1a5ae038c</t>
        </is>
      </c>
    </row>
    <row r="582">
      <c r="A582" s="5" t="inlineStr">
        <is>
          <t>01a1212c-9196-7786-bd9b-b06a2a51108f</t>
        </is>
      </c>
      <c r="D582" s="5" t="inlineStr">
        <is>
          <t>01a1212c-4b57-70cf-80fd-c2192cb3bf81</t>
        </is>
      </c>
      <c r="E582" s="4" t="n">
        <v>46304.62420618809</v>
      </c>
      <c r="F582" s="4" t="n">
        <v>46304.62420618817</v>
      </c>
      <c r="G582" t="b">
        <v>1</v>
      </c>
      <c r="H582" s="3" t="inlineStr">
        <is>
          <t>Added fraction 0.02241687714476542887631564806 of cost base adjustment 01a1212c-9145-7407-94b2-8ca10c380294 | 2021-06-30 | Adjustment of A200 | Cost base increase = A$48.94</t>
        </is>
      </c>
      <c r="I582" t="inlineStr">
        <is>
          <t>cost base adjustment allocation</t>
        </is>
      </c>
      <c r="J582" s="5" t="inlineStr">
        <is>
          <t>01a1212c-918f-744c-b8d4-f1f61dac7c93</t>
        </is>
      </c>
    </row>
    <row r="583">
      <c r="A583" s="5" t="inlineStr">
        <is>
          <t>01a1212c-919c-752b-b0a4-e19b8bae448f</t>
        </is>
      </c>
      <c r="D583" s="5" t="inlineStr">
        <is>
          <t>01a1212c-4b57-70cf-80fd-c2192cb3bf81</t>
        </is>
      </c>
      <c r="E583" s="4" t="n">
        <v>46304.62420625568</v>
      </c>
      <c r="F583" s="4" t="n">
        <v>46304.62420625576</v>
      </c>
      <c r="G583" t="b">
        <v>1</v>
      </c>
      <c r="H583" s="3" t="inlineStr">
        <is>
          <t>Added fraction 0.02241687714476542887631564806 of cost base adjustment 01a1212c-9145-7407-94b2-8ca10c380294 | 2021-06-30 | Adjustment of A200 | Cost base increase = A$48.94</t>
        </is>
      </c>
      <c r="I583" t="inlineStr">
        <is>
          <t>cost base adjustment allocation</t>
        </is>
      </c>
      <c r="J583" s="5" t="inlineStr">
        <is>
          <t>01a1212c-9197-76bb-b176-ea39d30e6d8b</t>
        </is>
      </c>
    </row>
    <row r="584">
      <c r="A584" s="5" t="inlineStr">
        <is>
          <t>01a1212c-91a2-7661-8773-31626b404ac1</t>
        </is>
      </c>
      <c r="D584" s="5" t="inlineStr">
        <is>
          <t>01a1212c-4b57-70cf-80fd-c2192cb3bf81</t>
        </is>
      </c>
      <c r="E584" s="4" t="n">
        <v>46304.62420632947</v>
      </c>
      <c r="F584" s="4" t="n">
        <v>46304.62420632955</v>
      </c>
      <c r="G584" t="b">
        <v>1</v>
      </c>
      <c r="H584" s="3" t="inlineStr">
        <is>
          <t>Added fraction 0.02241687714476542887631564806 of cost base adjustment 01a1212c-9145-7407-94b2-8ca10c380294 | 2021-06-30 | Adjustment of A200 | Cost base increase = A$48.94</t>
        </is>
      </c>
      <c r="I584" t="inlineStr">
        <is>
          <t>cost base adjustment allocation</t>
        </is>
      </c>
      <c r="J584" s="5" t="inlineStr">
        <is>
          <t>01a1212c-919d-7757-be3b-70b067471fa0</t>
        </is>
      </c>
    </row>
    <row r="585">
      <c r="A585" s="5" t="inlineStr">
        <is>
          <t>01a1212c-91a8-7069-add8-161dab668ca2</t>
        </is>
      </c>
      <c r="D585" s="5" t="inlineStr">
        <is>
          <t>01a1212c-4b57-70cf-80fd-c2192cb3bf81</t>
        </is>
      </c>
      <c r="E585" s="4" t="n">
        <v>46304.62420639689</v>
      </c>
      <c r="F585" s="4" t="n">
        <v>46304.62420639697</v>
      </c>
      <c r="G585" t="b">
        <v>1</v>
      </c>
      <c r="H585" s="3" t="inlineStr">
        <is>
          <t>Added fraction 0.02241687714476542887631564806 of cost base adjustment 01a1212c-9145-7407-94b2-8ca10c380294 | 2021-06-30 | Adjustment of A200 | Cost base increase = A$48.94</t>
        </is>
      </c>
      <c r="I585" t="inlineStr">
        <is>
          <t>cost base adjustment allocation</t>
        </is>
      </c>
      <c r="J585" s="5" t="inlineStr">
        <is>
          <t>01a1212c-91a3-71c3-8477-71f1c6e1fc3c</t>
        </is>
      </c>
    </row>
    <row r="586">
      <c r="A586" s="5" t="inlineStr">
        <is>
          <t>01a1212c-91ae-774f-8cc4-b9c829c2314a</t>
        </is>
      </c>
      <c r="D586" s="5" t="inlineStr">
        <is>
          <t>01a1212c-4b57-70cf-80fd-c2192cb3bf81</t>
        </is>
      </c>
      <c r="E586" s="4" t="n">
        <v>46304.62420646331</v>
      </c>
      <c r="F586" s="4" t="n">
        <v>46304.62420646338</v>
      </c>
      <c r="G586" t="b">
        <v>1</v>
      </c>
      <c r="H586" s="3" t="inlineStr">
        <is>
          <t>Added fraction 0.02241687714476542887631564806 of cost base adjustment 01a1212c-9145-7407-94b2-8ca10c380294 | 2021-06-30 | Adjustment of A200 | Cost base increase = A$48.94</t>
        </is>
      </c>
      <c r="I586" t="inlineStr">
        <is>
          <t>cost base adjustment allocation</t>
        </is>
      </c>
      <c r="J586" s="5" t="inlineStr">
        <is>
          <t>01a1212c-91a9-74f1-9eb6-d71c5ea551c1</t>
        </is>
      </c>
    </row>
    <row r="587">
      <c r="A587" s="5" t="inlineStr">
        <is>
          <t>01a1212c-91b4-713f-82b6-a36d7a1f370a</t>
        </is>
      </c>
      <c r="D587" s="5" t="inlineStr">
        <is>
          <t>01a1212c-4b57-70cf-80fd-c2192cb3bf81</t>
        </is>
      </c>
      <c r="E587" s="4" t="n">
        <v>46304.62420653366</v>
      </c>
      <c r="F587" s="4" t="n">
        <v>46304.62420653374</v>
      </c>
      <c r="G587" t="b">
        <v>1</v>
      </c>
      <c r="H587" s="3" t="inlineStr">
        <is>
          <t>Added fraction 0.02521898678786110748585510406 of cost base adjustment 01a1212c-9145-7407-94b2-8ca10c380294 | 2021-06-30 | Adjustment of A200 | Cost base increase = A$48.94</t>
        </is>
      </c>
      <c r="I587" t="inlineStr">
        <is>
          <t>cost base adjustment allocation</t>
        </is>
      </c>
      <c r="J587" s="5" t="inlineStr">
        <is>
          <t>01a1212c-91af-7078-89d4-41cda985e214</t>
        </is>
      </c>
    </row>
    <row r="588">
      <c r="A588" s="5" t="inlineStr">
        <is>
          <t>01a1212c-91ba-765d-9a0d-bd435c61c3c6</t>
        </is>
      </c>
      <c r="D588" s="5" t="inlineStr">
        <is>
          <t>01a1212c-4b57-70cf-80fd-c2192cb3bf81</t>
        </is>
      </c>
      <c r="E588" s="4" t="n">
        <v>46304.62420659853</v>
      </c>
      <c r="F588" s="4" t="n">
        <v>46304.62420659861</v>
      </c>
      <c r="G588" t="b">
        <v>1</v>
      </c>
      <c r="H588" s="3" t="inlineStr">
        <is>
          <t>Added fraction 0.02802109643095678609539456007 of cost base adjustment 01a1212c-9145-7407-94b2-8ca10c380294 | 2021-06-30 | Adjustment of A200 | Cost base increase = A$48.94</t>
        </is>
      </c>
      <c r="I588" t="inlineStr">
        <is>
          <t>cost base adjustment allocation</t>
        </is>
      </c>
      <c r="J588" s="5" t="inlineStr">
        <is>
          <t>01a1212c-91b5-7297-89bb-d069013a52b0</t>
        </is>
      </c>
    </row>
    <row r="589">
      <c r="A589" s="5" t="inlineStr">
        <is>
          <t>01a1212c-91bf-76ac-a204-87ffa5eab04b</t>
        </is>
      </c>
      <c r="D589" s="5" t="inlineStr">
        <is>
          <t>01a1212c-4b57-70cf-80fd-c2192cb3bf81</t>
        </is>
      </c>
      <c r="E589" s="4" t="n">
        <v>46304.62420666611</v>
      </c>
      <c r="F589" s="4" t="n">
        <v>46304.62420666619</v>
      </c>
      <c r="G589" t="b">
        <v>1</v>
      </c>
      <c r="H589" s="3" t="inlineStr">
        <is>
          <t>Added fraction 0.02802109643095678609539456007 of cost base adjustment 01a1212c-9145-7407-94b2-8ca10c380294 | 2021-06-30 | Adjustment of A200 | Cost base increase = A$48.94</t>
        </is>
      </c>
      <c r="I589" t="inlineStr">
        <is>
          <t>cost base adjustment allocation</t>
        </is>
      </c>
      <c r="J589" s="5" t="inlineStr">
        <is>
          <t>01a1212c-91ba-765d-9a0d-bd446bc49bc6</t>
        </is>
      </c>
    </row>
    <row r="590">
      <c r="A590" s="5" t="inlineStr">
        <is>
          <t>01a1212c-91c7-72a7-a847-0a92e869c724</t>
        </is>
      </c>
      <c r="D590" s="5" t="inlineStr">
        <is>
          <t>01a1212c-4b57-70cf-80fd-c2192cb3bf81</t>
        </is>
      </c>
      <c r="E590" s="4" t="n">
        <v>46304.62420675762</v>
      </c>
      <c r="F590" s="4" t="n">
        <v>46304.62420675772</v>
      </c>
      <c r="G590" t="b">
        <v>1</v>
      </c>
      <c r="H590" s="3" t="inlineStr">
        <is>
          <t>Added fraction 0.02802109643095678609539456007 of cost base adjustment 01a1212c-9145-7407-94b2-8ca10c380294 | 2021-06-30 | Adjustment of A200 | Cost base increase = A$48.94</t>
        </is>
      </c>
      <c r="I590" t="inlineStr">
        <is>
          <t>cost base adjustment allocation</t>
        </is>
      </c>
      <c r="J590" s="5" t="inlineStr">
        <is>
          <t>01a1212c-91c0-7199-9305-7154cd09af87</t>
        </is>
      </c>
    </row>
    <row r="591">
      <c r="A591" s="5" t="inlineStr">
        <is>
          <t>01a1212c-91cd-7208-81c3-786d4c61b45f</t>
        </is>
      </c>
      <c r="D591" s="5" t="inlineStr">
        <is>
          <t>01a1212c-4b57-70cf-80fd-c2192cb3bf81</t>
        </is>
      </c>
      <c r="E591" s="4" t="n">
        <v>46304.62420682588</v>
      </c>
      <c r="F591" s="4" t="n">
        <v>46304.62420682596</v>
      </c>
      <c r="G591" t="b">
        <v>1</v>
      </c>
      <c r="H591" s="3" t="inlineStr">
        <is>
          <t>Added fraction 0.02891162990657075518774134609 of cost base adjustment 01a1212c-9145-7407-94b2-8ca10c380294 | 2021-06-30 | Adjustment of A200 | Cost base increase = A$48.94</t>
        </is>
      </c>
      <c r="I591" t="inlineStr">
        <is>
          <t>cost base adjustment allocation</t>
        </is>
      </c>
      <c r="J591" s="5" t="inlineStr">
        <is>
          <t>01a1212c-91c8-758c-8ab9-ed567f25b980</t>
        </is>
      </c>
    </row>
    <row r="592">
      <c r="A592" s="5" t="inlineStr">
        <is>
          <t>01a1212c-91d4-71eb-ab14-2d9c48e7961e</t>
        </is>
      </c>
      <c r="D592" s="5" t="inlineStr">
        <is>
          <t>01a1212c-4b57-70cf-80fd-c2192cb3bf81</t>
        </is>
      </c>
      <c r="E592" s="4" t="n">
        <v>46304.6242069045</v>
      </c>
      <c r="F592" s="4" t="n">
        <v>46304.6242069046</v>
      </c>
      <c r="G592" t="b">
        <v>1</v>
      </c>
      <c r="H592" s="3" t="inlineStr">
        <is>
          <t>Added fraction 0.03362531571714814331447347208 of cost base adjustment 01a1212c-9145-7407-94b2-8ca10c380294 | 2021-06-30 | Adjustment of A200 | Cost base increase = A$48.94</t>
        </is>
      </c>
      <c r="I592" t="inlineStr">
        <is>
          <t>cost base adjustment allocation</t>
        </is>
      </c>
      <c r="J592" s="5" t="inlineStr">
        <is>
          <t>01a1212c-91ce-72ed-831c-b225913b217a</t>
        </is>
      </c>
    </row>
    <row r="593">
      <c r="A593" s="5" t="inlineStr">
        <is>
          <t>01a1212c-91da-72ec-90f1-ddfc6302a853</t>
        </is>
      </c>
      <c r="D593" s="5" t="inlineStr">
        <is>
          <t>01a1212c-4b57-70cf-80fd-c2192cb3bf81</t>
        </is>
      </c>
      <c r="E593" s="4" t="n">
        <v>46304.62420697285</v>
      </c>
      <c r="F593" s="4" t="n">
        <v>46304.62420697293</v>
      </c>
      <c r="G593" t="b">
        <v>1</v>
      </c>
      <c r="H593" s="3" t="inlineStr">
        <is>
          <t>Added fraction 0.03420109167120889919314596304 of cost base adjustment 01a1212c-9145-7407-94b2-8ca10c380294 | 2021-06-30 | Adjustment of A200 | Cost base increase = A$48.94</t>
        </is>
      </c>
      <c r="I593" t="inlineStr">
        <is>
          <t>cost base adjustment allocation</t>
        </is>
      </c>
      <c r="J593" s="5" t="inlineStr">
        <is>
          <t>01a1212c-91d5-7393-81ef-aedfeb512492</t>
        </is>
      </c>
    </row>
    <row r="594">
      <c r="A594" s="5" t="inlineStr">
        <is>
          <t>01a1212c-91df-76b6-a180-959a2a3daf5d</t>
        </is>
      </c>
      <c r="D594" s="5" t="inlineStr">
        <is>
          <t>01a1212c-4b57-70cf-80fd-c2192cb3bf81</t>
        </is>
      </c>
      <c r="E594" s="4" t="n">
        <v>46304.62420703703</v>
      </c>
      <c r="F594" s="4" t="n">
        <v>46304.62420703712</v>
      </c>
      <c r="G594" t="b">
        <v>1</v>
      </c>
      <c r="H594" s="3" t="inlineStr">
        <is>
          <t>Added fraction 0.03592841953339116682916343592 of cost base adjustment 01a1212c-9145-7407-94b2-8ca10c380294 | 2021-06-30 | Adjustment of A200 | Cost base increase = A$48.94</t>
        </is>
      </c>
      <c r="I594" t="inlineStr">
        <is>
          <t>cost base adjustment allocation</t>
        </is>
      </c>
      <c r="J594" s="5" t="inlineStr">
        <is>
          <t>01a1212c-91db-772f-92e1-df2f85b68005</t>
        </is>
      </c>
    </row>
    <row r="595">
      <c r="A595" s="5" t="inlineStr">
        <is>
          <t>01a1212c-91e6-751f-9eb7-76f0ca5381d7</t>
        </is>
      </c>
      <c r="D595" s="5" t="inlineStr">
        <is>
          <t>01a1212c-4b57-70cf-80fd-c2192cb3bf81</t>
        </is>
      </c>
      <c r="E595" s="4" t="n">
        <v>46304.6242071129</v>
      </c>
      <c r="F595" s="4" t="n">
        <v>46304.62420711299</v>
      </c>
      <c r="G595" t="b">
        <v>1</v>
      </c>
      <c r="H595" s="3" t="inlineStr">
        <is>
          <t>Added fraction 0.03642742536024382192401292809 of cost base adjustment 01a1212c-9145-7407-94b2-8ca10c380294 | 2021-06-30 | Adjustment of A200 | Cost base increase = A$48.94</t>
        </is>
      </c>
      <c r="I595" t="inlineStr">
        <is>
          <t>cost base adjustment allocation</t>
        </is>
      </c>
      <c r="J595" s="5" t="inlineStr">
        <is>
          <t>01a1212c-91e1-741d-b3bb-2e3788e5c878</t>
        </is>
      </c>
    </row>
    <row r="596">
      <c r="A596" s="5" t="inlineStr">
        <is>
          <t>01a1212c-91ec-7560-b590-8cd5c39ac176</t>
        </is>
      </c>
      <c r="D596" s="5" t="inlineStr">
        <is>
          <t>01a1212c-4b57-70cf-80fd-c2192cb3bf81</t>
        </is>
      </c>
      <c r="E596" s="4" t="n">
        <v>46304.62420718242</v>
      </c>
      <c r="F596" s="4" t="n">
        <v>46304.62420718251</v>
      </c>
      <c r="G596" t="b">
        <v>1</v>
      </c>
      <c r="H596" s="3" t="inlineStr">
        <is>
          <t>Added fraction 0.03642742536024382192401292809 of cost base adjustment 01a1212c-9145-7407-94b2-8ca10c380294 | 2021-06-30 | Adjustment of A200 | Cost base increase = A$48.94</t>
        </is>
      </c>
      <c r="I596" t="inlineStr">
        <is>
          <t>cost base adjustment allocation</t>
        </is>
      </c>
      <c r="J596" s="5" t="inlineStr">
        <is>
          <t>01a1212c-91e7-740e-9d35-25176358f48f</t>
        </is>
      </c>
    </row>
    <row r="597">
      <c r="A597" s="5" t="inlineStr">
        <is>
          <t>01a1212c-91f3-7637-bb12-235d51ff2ef9</t>
        </is>
      </c>
      <c r="D597" s="5" t="inlineStr">
        <is>
          <t>01a1212c-4b57-70cf-80fd-c2192cb3bf81</t>
        </is>
      </c>
      <c r="E597" s="4" t="n">
        <v>46304.62420726041</v>
      </c>
      <c r="F597" s="4" t="n">
        <v>46304.62420726051</v>
      </c>
      <c r="G597" t="b">
        <v>1</v>
      </c>
      <c r="H597" s="3" t="inlineStr">
        <is>
          <t>Added fraction 0.03642742536024382192401292809 of cost base adjustment 01a1212c-9145-7407-94b2-8ca10c380294 | 2021-06-30 | Adjustment of A200 | Cost base increase = A$48.94</t>
        </is>
      </c>
      <c r="I597" t="inlineStr">
        <is>
          <t>cost base adjustment allocation</t>
        </is>
      </c>
      <c r="J597" s="5" t="inlineStr">
        <is>
          <t>01a1212c-91ed-7542-8fd2-bb156dcc4d9c</t>
        </is>
      </c>
    </row>
    <row r="598">
      <c r="A598" s="5" t="inlineStr">
        <is>
          <t>01a1212c-91f9-7521-89b2-9acb691a7650</t>
        </is>
      </c>
      <c r="D598" s="5" t="inlineStr">
        <is>
          <t>01a1212c-4b57-70cf-80fd-c2192cb3bf81</t>
        </is>
      </c>
      <c r="E598" s="4" t="n">
        <v>46304.62420733332</v>
      </c>
      <c r="F598" s="4" t="n">
        <v>46304.62420733341</v>
      </c>
      <c r="G598" t="b">
        <v>1</v>
      </c>
      <c r="H598" s="3" t="inlineStr">
        <is>
          <t>Added fraction 0.03642742536024382192401292809 of cost base adjustment 01a1212c-9145-7407-94b2-8ca10c380294 | 2021-06-30 | Adjustment of A200 | Cost base increase = A$48.94</t>
        </is>
      </c>
      <c r="I598" t="inlineStr">
        <is>
          <t>cost base adjustment allocation</t>
        </is>
      </c>
      <c r="J598" s="5" t="inlineStr">
        <is>
          <t>01a1212c-91f3-7637-bb12-235e50cfa0fe</t>
        </is>
      </c>
    </row>
    <row r="599">
      <c r="A599" s="5" t="inlineStr">
        <is>
          <t>01a1212c-91ff-73fd-924a-6bc2557fe6bb</t>
        </is>
      </c>
      <c r="D599" s="5" t="inlineStr">
        <is>
          <t>01a1212c-4b57-70cf-80fd-c2192cb3bf81</t>
        </is>
      </c>
      <c r="E599" s="4" t="n">
        <v>46304.62420740262</v>
      </c>
      <c r="F599" s="4" t="n">
        <v>46304.62420740271</v>
      </c>
      <c r="G599" t="b">
        <v>1</v>
      </c>
      <c r="H599" s="3" t="inlineStr">
        <is>
          <t>Added fraction 0.03642742536024382192401292809 of cost base adjustment 01a1212c-9145-7407-94b2-8ca10c380294 | 2021-06-30 | Adjustment of A200 | Cost base increase = A$48.94</t>
        </is>
      </c>
      <c r="I599" t="inlineStr">
        <is>
          <t>cost base adjustment allocation</t>
        </is>
      </c>
      <c r="J599" s="5" t="inlineStr">
        <is>
          <t>01a1212c-91fa-71f8-8692-e2d9d6674cb8</t>
        </is>
      </c>
    </row>
    <row r="600">
      <c r="A600" s="5" t="inlineStr">
        <is>
          <t>01a1212c-9205-72e8-95c0-039ba67abcd0</t>
        </is>
      </c>
      <c r="D600" s="5" t="inlineStr">
        <is>
          <t>01a1212c-4b57-70cf-80fd-c2192cb3bf81</t>
        </is>
      </c>
      <c r="E600" s="4" t="n">
        <v>46304.62420746988</v>
      </c>
      <c r="F600" s="4" t="n">
        <v>46304.62420746996</v>
      </c>
      <c r="G600" t="b">
        <v>1</v>
      </c>
      <c r="H600" s="3" t="inlineStr">
        <is>
          <t>Added fraction 0.03642742536024382192401292809 of cost base adjustment 01a1212c-9145-7407-94b2-8ca10c380294 | 2021-06-30 | Adjustment of A200 | Cost base increase = A$48.94</t>
        </is>
      </c>
      <c r="I600" t="inlineStr">
        <is>
          <t>cost base adjustment allocation</t>
        </is>
      </c>
      <c r="J600" s="5" t="inlineStr">
        <is>
          <t>01a1212c-9200-701b-9a11-0c7fc8414c2f</t>
        </is>
      </c>
    </row>
    <row r="601">
      <c r="A601" s="5" t="inlineStr">
        <is>
          <t>01a1212c-920b-70dc-b652-c60395c24cf2</t>
        </is>
      </c>
      <c r="D601" s="5" t="inlineStr">
        <is>
          <t>01a1212c-4b57-70cf-80fd-c2192cb3bf81</t>
        </is>
      </c>
      <c r="E601" s="4" t="n">
        <v>46304.62420753773</v>
      </c>
      <c r="F601" s="4" t="n">
        <v>46304.62420753782</v>
      </c>
      <c r="G601" t="b">
        <v>1</v>
      </c>
      <c r="H601" s="3" t="inlineStr">
        <is>
          <t>Added fraction 0.03922953500333950053355238410 of cost base adjustment 01a1212c-9145-7407-94b2-8ca10c380294 | 2021-06-30 | Adjustment of A200 | Cost base increase = A$48.94</t>
        </is>
      </c>
      <c r="I601" t="inlineStr">
        <is>
          <t>cost base adjustment allocation</t>
        </is>
      </c>
      <c r="J601" s="5" t="inlineStr">
        <is>
          <t>01a1212c-9206-771e-b316-6cf35b2ad745</t>
        </is>
      </c>
    </row>
    <row r="602">
      <c r="A602" s="5" t="inlineStr">
        <is>
          <t>01a1212c-9211-7315-88c2-161c2273c7ce</t>
        </is>
      </c>
      <c r="D602" s="5" t="inlineStr">
        <is>
          <t>01a1212c-4b57-70cf-80fd-c2192cb3bf81</t>
        </is>
      </c>
      <c r="E602" s="4" t="n">
        <v>46304.62420760817</v>
      </c>
      <c r="F602" s="4" t="n">
        <v>46304.62420760825</v>
      </c>
      <c r="G602" t="b">
        <v>1</v>
      </c>
      <c r="H602" s="3" t="inlineStr">
        <is>
          <t>Added fraction 0.03922953500333950053355238410 of cost base adjustment 01a1212c-9145-7407-94b2-8ca10c380294 | 2021-06-30 | Adjustment of A200 | Cost base increase = A$48.94</t>
        </is>
      </c>
      <c r="I602" t="inlineStr">
        <is>
          <t>cost base adjustment allocation</t>
        </is>
      </c>
      <c r="J602" s="5" t="inlineStr">
        <is>
          <t>01a1212c-920b-70dc-b652-c604f3bdbf5e</t>
        </is>
      </c>
    </row>
    <row r="603">
      <c r="A603" s="5" t="inlineStr">
        <is>
          <t>01a1212c-9217-7373-b504-a6a791b7dc0a</t>
        </is>
      </c>
      <c r="D603" s="5" t="inlineStr">
        <is>
          <t>01a1212c-4b57-70cf-80fd-c2192cb3bf81</t>
        </is>
      </c>
      <c r="E603" s="4" t="n">
        <v>46304.62420767554</v>
      </c>
      <c r="F603" s="4" t="n">
        <v>46304.62420767562</v>
      </c>
      <c r="G603" t="b">
        <v>1</v>
      </c>
      <c r="H603" s="3" t="inlineStr">
        <is>
          <t>Added fraction 0.03922953500333950053355238410 of cost base adjustment 01a1212c-9145-7407-94b2-8ca10c380294 | 2021-06-30 | Adjustment of A200 | Cost base increase = A$48.94</t>
        </is>
      </c>
      <c r="I603" t="inlineStr">
        <is>
          <t>cost base adjustment allocation</t>
        </is>
      </c>
      <c r="J603" s="5" t="inlineStr">
        <is>
          <t>01a1212c-9211-7315-88c2-161dfec390d0</t>
        </is>
      </c>
    </row>
    <row r="604">
      <c r="A604" s="5" t="inlineStr">
        <is>
          <t>01a1212c-921d-771b-9f84-68ebe0eed143</t>
        </is>
      </c>
      <c r="D604" s="5" t="inlineStr">
        <is>
          <t>01a1212c-4b57-70cf-80fd-c2192cb3bf81</t>
        </is>
      </c>
      <c r="E604" s="4" t="n">
        <v>46304.62420774416</v>
      </c>
      <c r="F604" s="4" t="n">
        <v>46304.62420774425</v>
      </c>
      <c r="G604" t="b">
        <v>1</v>
      </c>
      <c r="H604" s="3" t="inlineStr">
        <is>
          <t>Added fraction 0.03922953500333950053355238410 of cost base adjustment 01a1212c-9145-7407-94b2-8ca10c380294 | 2021-06-30 | Adjustment of A200 | Cost base increase = A$48.94</t>
        </is>
      </c>
      <c r="I604" t="inlineStr">
        <is>
          <t>cost base adjustment allocation</t>
        </is>
      </c>
      <c r="J604" s="5" t="inlineStr">
        <is>
          <t>01a1212c-9217-7373-b504-a6a8de6550c4</t>
        </is>
      </c>
    </row>
    <row r="605">
      <c r="A605" s="5" t="inlineStr">
        <is>
          <t>01a1212c-9224-736d-8ec8-982ec53e1236</t>
        </is>
      </c>
      <c r="D605" s="5" t="inlineStr">
        <is>
          <t>01a1212c-4b57-70cf-80fd-c2192cb3bf81</t>
        </is>
      </c>
      <c r="E605" s="4" t="n">
        <v>46304.62420782918</v>
      </c>
      <c r="F605" s="4" t="n">
        <v>46304.62420782927</v>
      </c>
      <c r="G605" t="b">
        <v>1</v>
      </c>
      <c r="H605" s="3" t="inlineStr">
        <is>
          <t>Added fraction 0.04203164464643517914309184010 of cost base adjustment 01a1212c-9145-7407-94b2-8ca10c380294 | 2021-06-30 | Adjustment of A200 | Cost base increase = A$48.94</t>
        </is>
      </c>
      <c r="I605" t="inlineStr">
        <is>
          <t>cost base adjustment allocation</t>
        </is>
      </c>
      <c r="J605" s="5" t="inlineStr">
        <is>
          <t>01a1212c-921d-771b-9f84-68ec7fe52787</t>
        </is>
      </c>
    </row>
    <row r="606">
      <c r="A606" s="5" t="inlineStr">
        <is>
          <t>01a1212c-9229-7787-99bd-3483b12e5ab0</t>
        </is>
      </c>
      <c r="D606" s="5" t="inlineStr">
        <is>
          <t>01a1212c-4b57-70cf-80fd-c2192cb3bf81</t>
        </is>
      </c>
      <c r="E606" s="4" t="n">
        <v>46304.62420789448</v>
      </c>
      <c r="F606" s="4" t="n">
        <v>46304.62420789456</v>
      </c>
      <c r="G606" t="b">
        <v>1</v>
      </c>
      <c r="H606" s="3" t="inlineStr">
        <is>
          <t>Added fraction 0.04203164464643517914309184010 of cost base adjustment 01a1212c-9145-7407-94b2-8ca10c380294 | 2021-06-30 | Adjustment of A200 | Cost base increase = A$48.94</t>
        </is>
      </c>
      <c r="I606" t="inlineStr">
        <is>
          <t>cost base adjustment allocation</t>
        </is>
      </c>
      <c r="J606" s="5" t="inlineStr">
        <is>
          <t>01a1212c-9225-72be-b639-7d5e5afae27a</t>
        </is>
      </c>
    </row>
    <row r="607">
      <c r="A607" s="5" t="inlineStr">
        <is>
          <t>01a1212c-9230-732d-b856-b2e2b350cb2c</t>
        </is>
      </c>
      <c r="D607" s="5" t="inlineStr">
        <is>
          <t>01a1212c-4b57-70cf-80fd-c2192cb3bf81</t>
        </is>
      </c>
      <c r="E607" s="4" t="n">
        <v>46304.62420797469</v>
      </c>
      <c r="F607" s="4" t="n">
        <v>46304.62420797478</v>
      </c>
      <c r="G607" t="b">
        <v>1</v>
      </c>
      <c r="H607" s="3" t="inlineStr">
        <is>
          <t>residual of cost base adjustment 01a1212c-9145-7407-94b2-8ca10c380294 | 2021-06-30 | Adjustment of A200 | Cost base increase = A$48.94</t>
        </is>
      </c>
      <c r="I607" t="inlineStr">
        <is>
          <t>cost base adjustment allocation</t>
        </is>
      </c>
      <c r="J607" s="5" t="inlineStr">
        <is>
          <t>01a1212c-922a-716e-9a48-a4ee8523e1cf</t>
        </is>
      </c>
    </row>
    <row r="608">
      <c r="A608" s="5" t="inlineStr">
        <is>
          <t>01a1212c-92c5-70c3-a8af-0aedd3fa3194</t>
        </is>
      </c>
      <c r="D608" s="5" t="inlineStr">
        <is>
          <t>01a1212c-4b57-70cf-80fd-c2192cb3bf81</t>
        </is>
      </c>
      <c r="E608" s="4" t="n">
        <v>46304.62420969927</v>
      </c>
      <c r="F608" s="4" t="n">
        <v>46304.62420969935</v>
      </c>
      <c r="G608" t="b">
        <v>1</v>
      </c>
      <c r="H608" s="3" t="inlineStr">
        <is>
          <t>Added fraction 0.0006498939253593091702273881734 of cost base adjustment 01a1212c-92bc-721b-87d2-9965816a5873 | 2021-06-30 | Adjustment of VGS | Cost base increase = A$99.96</t>
        </is>
      </c>
      <c r="I608" t="inlineStr">
        <is>
          <t>cost base adjustment allocation</t>
        </is>
      </c>
      <c r="J608" s="5" t="inlineStr">
        <is>
          <t>01a1212c-92c0-7162-b3c1-4260e9b4500d</t>
        </is>
      </c>
    </row>
    <row r="609">
      <c r="A609" s="5" t="inlineStr">
        <is>
          <t>01a1212c-92cb-722a-a973-cc035e6236b3</t>
        </is>
      </c>
      <c r="D609" s="5" t="inlineStr">
        <is>
          <t>01a1212c-4b57-70cf-80fd-c2192cb3bf81</t>
        </is>
      </c>
      <c r="E609" s="4" t="n">
        <v>46304.62420976854</v>
      </c>
      <c r="F609" s="4" t="n">
        <v>46304.62420976861</v>
      </c>
      <c r="G609" t="b">
        <v>1</v>
      </c>
      <c r="H609" s="3" t="inlineStr">
        <is>
          <t>Added fraction 0.003085128634176950428780589835 of cost base adjustment 01a1212c-92bc-721b-87d2-9965816a5873 | 2021-06-30 | Adjustment of VGS | Cost base increase = A$99.96</t>
        </is>
      </c>
      <c r="I609" t="inlineStr">
        <is>
          <t>cost base adjustment allocation</t>
        </is>
      </c>
      <c r="J609" s="5" t="inlineStr">
        <is>
          <t>01a1212c-92c7-75e9-9e11-28ea83a0f28b</t>
        </is>
      </c>
    </row>
    <row r="610">
      <c r="A610" s="5" t="inlineStr">
        <is>
          <t>01a1212c-92d1-702c-ae72-0f9ec2b61149</t>
        </is>
      </c>
      <c r="D610" s="5" t="inlineStr">
        <is>
          <t>01a1212c-4b57-70cf-80fd-c2192cb3bf81</t>
        </is>
      </c>
      <c r="E610" s="4" t="n">
        <v>46304.62420983728</v>
      </c>
      <c r="F610" s="4" t="n">
        <v>46304.62420983736</v>
      </c>
      <c r="G610" t="b">
        <v>1</v>
      </c>
      <c r="H610" s="3" t="inlineStr">
        <is>
          <t>Added fraction 0.003212119401201183255146861087 of cost base adjustment 01a1212c-92bc-721b-87d2-9965816a5873 | 2021-06-30 | Adjustment of VGS | Cost base increase = A$99.96</t>
        </is>
      </c>
      <c r="I610" t="inlineStr">
        <is>
          <t>cost base adjustment allocation</t>
        </is>
      </c>
      <c r="J610" s="5" t="inlineStr">
        <is>
          <t>01a1212c-92cc-723f-bbfa-acf7c8992b1f</t>
        </is>
      </c>
    </row>
    <row r="611">
      <c r="A611" s="5" t="inlineStr">
        <is>
          <t>01a1212c-92d7-7371-a9d0-0df4e0ac39b8</t>
        </is>
      </c>
      <c r="D611" s="5" t="inlineStr">
        <is>
          <t>01a1212c-4b57-70cf-80fd-c2192cb3bf81</t>
        </is>
      </c>
      <c r="E611" s="4" t="n">
        <v>46304.62420990304</v>
      </c>
      <c r="F611" s="4" t="n">
        <v>46304.6242099031</v>
      </c>
      <c r="G611" t="b">
        <v>1</v>
      </c>
      <c r="H611" s="3" t="inlineStr">
        <is>
          <t>Added fraction 0.004740988635571358851007460085 of cost base adjustment 01a1212c-92bc-721b-87d2-9965816a5873 | 2021-06-30 | Adjustment of VGS | Cost base increase = A$99.96</t>
        </is>
      </c>
      <c r="I611" t="inlineStr">
        <is>
          <t>cost base adjustment allocation</t>
        </is>
      </c>
      <c r="J611" s="5" t="inlineStr">
        <is>
          <t>01a1212c-92d2-7095-b62b-1a70dbe2b837</t>
        </is>
      </c>
    </row>
    <row r="612">
      <c r="A612" s="5" t="inlineStr">
        <is>
          <t>01a1212c-92dd-775e-b451-95b6ccd68a1c</t>
        </is>
      </c>
      <c r="D612" s="5" t="inlineStr">
        <is>
          <t>01a1212c-4b57-70cf-80fd-c2192cb3bf81</t>
        </is>
      </c>
      <c r="E612" s="4" t="n">
        <v>46304.6242099684</v>
      </c>
      <c r="F612" s="4" t="n">
        <v>46304.62420996848</v>
      </c>
      <c r="G612" t="b">
        <v>1</v>
      </c>
      <c r="H612" s="3" t="inlineStr">
        <is>
          <t>Added fraction 0.006648340155974542086234200855 of cost base adjustment 01a1212c-92bc-721b-87d2-9965816a5873 | 2021-06-30 | Adjustment of VGS | Cost base increase = A$99.96</t>
        </is>
      </c>
      <c r="I612" t="inlineStr">
        <is>
          <t>cost base adjustment allocation</t>
        </is>
      </c>
      <c r="J612" s="5" t="inlineStr">
        <is>
          <t>01a1212c-92d8-7404-b3fc-f126be4bcf3b</t>
        </is>
      </c>
    </row>
    <row r="613">
      <c r="A613" s="5" t="inlineStr">
        <is>
          <t>01a1212c-92e3-7091-a0cc-3c7964555e4a</t>
        </is>
      </c>
      <c r="D613" s="5" t="inlineStr">
        <is>
          <t>01a1212c-4b57-70cf-80fd-c2192cb3bf81</t>
        </is>
      </c>
      <c r="E613" s="4" t="n">
        <v>46304.62421003613</v>
      </c>
      <c r="F613" s="4" t="n">
        <v>46304.62421003621</v>
      </c>
      <c r="G613" t="b">
        <v>1</v>
      </c>
      <c r="H613" s="3" t="inlineStr">
        <is>
          <t>Added fraction 0.007671736337287477216362386829 of cost base adjustment 01a1212c-92bc-721b-87d2-9965816a5873 | 2021-06-30 | Adjustment of VGS | Cost base increase = A$99.96</t>
        </is>
      </c>
      <c r="I613" t="inlineStr">
        <is>
          <t>cost base adjustment allocation</t>
        </is>
      </c>
      <c r="J613" s="5" t="inlineStr">
        <is>
          <t>01a1212c-92dd-775e-b451-95b7bfbf9fa3</t>
        </is>
      </c>
    </row>
    <row r="614">
      <c r="A614" s="5" t="inlineStr">
        <is>
          <t>01a1212c-92e8-73dd-8ab5-64b978e659c0</t>
        </is>
      </c>
      <c r="D614" s="5" t="inlineStr">
        <is>
          <t>01a1212c-4b57-70cf-80fd-c2192cb3bf81</t>
        </is>
      </c>
      <c r="E614" s="4" t="n">
        <v>46304.62421010181</v>
      </c>
      <c r="F614" s="4" t="n">
        <v>46304.62421010187</v>
      </c>
      <c r="G614" t="b">
        <v>1</v>
      </c>
      <c r="H614" s="3" t="inlineStr">
        <is>
          <t>Added fraction 0.007738966743359129889144530433 of cost base adjustment 01a1212c-92bc-721b-87d2-9965816a5873 | 2021-06-30 | Adjustment of VGS | Cost base increase = A$99.96</t>
        </is>
      </c>
      <c r="I614" t="inlineStr">
        <is>
          <t>cost base adjustment allocation</t>
        </is>
      </c>
      <c r="J614" s="5" t="inlineStr">
        <is>
          <t>01a1212c-92e3-7091-a0cc-3c7a7ed439cf</t>
        </is>
      </c>
    </row>
    <row r="615">
      <c r="A615" s="5" t="inlineStr">
        <is>
          <t>01a1212c-92ee-7293-92bb-e52a00b4bdcf</t>
        </is>
      </c>
      <c r="D615" s="5" t="inlineStr">
        <is>
          <t>01a1212c-4b57-70cf-80fd-c2192cb3bf81</t>
        </is>
      </c>
      <c r="E615" s="4" t="n">
        <v>46304.62421017375</v>
      </c>
      <c r="F615" s="4" t="n">
        <v>46304.62421017385</v>
      </c>
      <c r="G615" t="b">
        <v>1</v>
      </c>
      <c r="H615" s="3" t="inlineStr">
        <is>
          <t>Added fraction 0.008266849931773587912470991325 of cost base adjustment 01a1212c-92bc-721b-87d2-9965816a5873 | 2021-06-30 | Adjustment of VGS | Cost base increase = A$99.96</t>
        </is>
      </c>
      <c r="I615" t="inlineStr">
        <is>
          <t>cost base adjustment allocation</t>
        </is>
      </c>
      <c r="J615" s="5" t="inlineStr">
        <is>
          <t>01a1212c-92e9-7105-8927-c24444a3ef36</t>
        </is>
      </c>
    </row>
    <row r="616">
      <c r="A616" s="5" t="inlineStr">
        <is>
          <t>01a1212c-92f4-7147-8961-530b2de6af0d</t>
        </is>
      </c>
      <c r="D616" s="5" t="inlineStr">
        <is>
          <t>01a1212c-4b57-70cf-80fd-c2192cb3bf81</t>
        </is>
      </c>
      <c r="E616" s="4" t="n">
        <v>46304.62421024332</v>
      </c>
      <c r="F616" s="4" t="n">
        <v>46304.6242102434</v>
      </c>
      <c r="G616" t="b">
        <v>1</v>
      </c>
      <c r="H616" s="3" t="inlineStr">
        <is>
          <t>Added fraction 0.009997410384358721526678021135 of cost base adjustment 01a1212c-92bc-721b-87d2-9965816a5873 | 2021-06-30 | Adjustment of VGS | Cost base increase = A$99.96</t>
        </is>
      </c>
      <c r="I616" t="inlineStr">
        <is>
          <t>cost base adjustment allocation</t>
        </is>
      </c>
      <c r="J616" s="5" t="inlineStr">
        <is>
          <t>01a1212c-92ef-7261-afcb-ed5ebc09089c</t>
        </is>
      </c>
    </row>
    <row r="617">
      <c r="A617" s="5" t="inlineStr">
        <is>
          <t>01a1212c-92fa-7327-8c1c-27be92004d60</t>
        </is>
      </c>
      <c r="D617" s="5" t="inlineStr">
        <is>
          <t>01a1212c-4b57-70cf-80fd-c2192cb3bf81</t>
        </is>
      </c>
      <c r="E617" s="4" t="n">
        <v>46304.62421031089</v>
      </c>
      <c r="F617" s="4" t="n">
        <v>46304.62421031097</v>
      </c>
      <c r="G617" t="b">
        <v>1</v>
      </c>
      <c r="H617" s="3" t="inlineStr">
        <is>
          <t>Added fraction 0.01090626587384587802910329578 of cost base adjustment 01a1212c-92bc-721b-87d2-9965816a5873 | 2021-06-30 | Adjustment of VGS | Cost base increase = A$99.96</t>
        </is>
      </c>
      <c r="I617" t="inlineStr">
        <is>
          <t>cost base adjustment allocation</t>
        </is>
      </c>
      <c r="J617" s="5" t="inlineStr">
        <is>
          <t>01a1212c-92f5-74fd-bbfb-3514e4bc2e96</t>
        </is>
      </c>
    </row>
    <row r="618">
      <c r="A618" s="5" t="inlineStr">
        <is>
          <t>01a1212c-9300-72d9-879c-7ef692fbd343</t>
        </is>
      </c>
      <c r="D618" s="5" t="inlineStr">
        <is>
          <t>01a1212c-4b57-70cf-80fd-c2192cb3bf81</t>
        </is>
      </c>
      <c r="E618" s="4" t="n">
        <v>46304.62421038062</v>
      </c>
      <c r="F618" s="4" t="n">
        <v>46304.62421038071</v>
      </c>
      <c r="G618" t="b">
        <v>1</v>
      </c>
      <c r="H618" s="3" t="inlineStr">
        <is>
          <t>Added fraction 0.01090626587384587802910329578 of cost base adjustment 01a1212c-92bc-721b-87d2-9965816a5873 | 2021-06-30 | Adjustment of VGS | Cost base increase = A$99.96</t>
        </is>
      </c>
      <c r="I618" t="inlineStr">
        <is>
          <t>cost base adjustment allocation</t>
        </is>
      </c>
      <c r="J618" s="5" t="inlineStr">
        <is>
          <t>01a1212c-92fb-7211-a3b9-e0a42445302f</t>
        </is>
      </c>
    </row>
    <row r="619">
      <c r="A619" s="5" t="inlineStr">
        <is>
          <t>01a1212c-9306-7070-a85a-b00b0bdee07f</t>
        </is>
      </c>
      <c r="D619" s="5" t="inlineStr">
        <is>
          <t>01a1212c-4b57-70cf-80fd-c2192cb3bf81</t>
        </is>
      </c>
      <c r="E619" s="4" t="n">
        <v>46304.6242104479</v>
      </c>
      <c r="F619" s="4" t="n">
        <v>46304.62421044798</v>
      </c>
      <c r="G619" t="b">
        <v>1</v>
      </c>
      <c r="H619" s="3" t="inlineStr">
        <is>
          <t>Added fraction 0.01128474815987888566846943756 of cost base adjustment 01a1212c-92bc-721b-87d2-9965816a5873 | 2021-06-30 | Adjustment of VGS | Cost base increase = A$99.96</t>
        </is>
      </c>
      <c r="I619" t="inlineStr">
        <is>
          <t>cost base adjustment allocation</t>
        </is>
      </c>
      <c r="J619" s="5" t="inlineStr">
        <is>
          <t>01a1212c-9301-725e-96e1-84b7f319cc91</t>
        </is>
      </c>
    </row>
    <row r="620">
      <c r="A620" s="5" t="inlineStr">
        <is>
          <t>01a1212c-930c-709e-a53c-dd3551dbb9a7</t>
        </is>
      </c>
      <c r="D620" s="5" t="inlineStr">
        <is>
          <t>01a1212c-4b57-70cf-80fd-c2192cb3bf81</t>
        </is>
      </c>
      <c r="E620" s="4" t="n">
        <v>46304.6242105163</v>
      </c>
      <c r="F620" s="4" t="n">
        <v>46304.62421051638</v>
      </c>
      <c r="G620" t="b">
        <v>1</v>
      </c>
      <c r="H620" s="3" t="inlineStr">
        <is>
          <t>Added fraction 0.01272397685282019103395384508 of cost base adjustment 01a1212c-92bc-721b-87d2-9965816a5873 | 2021-06-30 | Adjustment of VGS | Cost base increase = A$99.96</t>
        </is>
      </c>
      <c r="I620" t="inlineStr">
        <is>
          <t>cost base adjustment allocation</t>
        </is>
      </c>
      <c r="J620" s="5" t="inlineStr">
        <is>
          <t>01a1212c-9307-7241-ae30-c0c45c4175b6</t>
        </is>
      </c>
    </row>
    <row r="621">
      <c r="A621" s="5" t="inlineStr">
        <is>
          <t>01a1212c-9313-7682-9f41-d7a94f4ab59c</t>
        </is>
      </c>
      <c r="D621" s="5" t="inlineStr">
        <is>
          <t>01a1212c-4b57-70cf-80fd-c2192cb3bf81</t>
        </is>
      </c>
      <c r="E621" s="4" t="n">
        <v>46304.6242105951</v>
      </c>
      <c r="F621" s="4" t="n">
        <v>46304.62421059518</v>
      </c>
      <c r="G621" t="b">
        <v>1</v>
      </c>
      <c r="H621" s="3" t="inlineStr">
        <is>
          <t>Added fraction 0.01272397685282019103395384508 of cost base adjustment 01a1212c-92bc-721b-87d2-9965816a5873 | 2021-06-30 | Adjustment of VGS | Cost base increase = A$99.96</t>
        </is>
      </c>
      <c r="I621" t="inlineStr">
        <is>
          <t>cost base adjustment allocation</t>
        </is>
      </c>
      <c r="J621" s="5" t="inlineStr">
        <is>
          <t>01a1212c-930d-7191-925a-4b1f2851fd4b</t>
        </is>
      </c>
    </row>
    <row r="622">
      <c r="A622" s="5" t="inlineStr">
        <is>
          <t>01a1212c-9319-7218-8610-79c686e53052</t>
        </is>
      </c>
      <c r="D622" s="5" t="inlineStr">
        <is>
          <t>01a1212c-4b57-70cf-80fd-c2192cb3bf81</t>
        </is>
      </c>
      <c r="E622" s="4" t="n">
        <v>46304.6242106644</v>
      </c>
      <c r="F622" s="4" t="n">
        <v>46304.62421066448</v>
      </c>
      <c r="G622" t="b">
        <v>1</v>
      </c>
      <c r="H622" s="3" t="inlineStr">
        <is>
          <t>Added fraction 0.01363283234230734753637911973 of cost base adjustment 01a1212c-92bc-721b-87d2-9965816a5873 | 2021-06-30 | Adjustment of VGS | Cost base increase = A$99.96</t>
        </is>
      </c>
      <c r="I622" t="inlineStr">
        <is>
          <t>cost base adjustment allocation</t>
        </is>
      </c>
      <c r="J622" s="5" t="inlineStr">
        <is>
          <t>01a1212c-9314-75e3-af52-642be7ce0cbd</t>
        </is>
      </c>
    </row>
    <row r="623">
      <c r="A623" s="5" t="inlineStr">
        <is>
          <t>01a1212c-9320-74c3-a7bb-efcdf19e7744</t>
        </is>
      </c>
      <c r="D623" s="5" t="inlineStr">
        <is>
          <t>01a1212c-4b57-70cf-80fd-c2192cb3bf81</t>
        </is>
      </c>
      <c r="E623" s="4" t="n">
        <v>46304.62421074579</v>
      </c>
      <c r="F623" s="4" t="n">
        <v>46304.62421074589</v>
      </c>
      <c r="G623" t="b">
        <v>1</v>
      </c>
      <c r="H623" s="3" t="inlineStr">
        <is>
          <t>Added fraction 0.01363283234230734753637911973 of cost base adjustment 01a1212c-92bc-721b-87d2-9965816a5873 | 2021-06-30 | Adjustment of VGS | Cost base increase = A$99.96</t>
        </is>
      </c>
      <c r="I623" t="inlineStr">
        <is>
          <t>cost base adjustment allocation</t>
        </is>
      </c>
      <c r="J623" s="5" t="inlineStr">
        <is>
          <t>01a1212c-931a-74c4-a99f-28e87c78873a</t>
        </is>
      </c>
    </row>
    <row r="624">
      <c r="A624" s="5" t="inlineStr">
        <is>
          <t>01a1212c-9326-721c-8122-c3fb8cc89b6c</t>
        </is>
      </c>
      <c r="D624" s="5" t="inlineStr">
        <is>
          <t>01a1212c-4b57-70cf-80fd-c2192cb3bf81</t>
        </is>
      </c>
      <c r="E624" s="4" t="n">
        <v>46304.62421081627</v>
      </c>
      <c r="F624" s="4" t="n">
        <v>46304.62421081638</v>
      </c>
      <c r="G624" t="b">
        <v>1</v>
      </c>
      <c r="H624" s="3" t="inlineStr">
        <is>
          <t>Added fraction 0.01363283234230734753637911973 of cost base adjustment 01a1212c-92bc-721b-87d2-9965816a5873 | 2021-06-30 | Adjustment of VGS | Cost base increase = A$99.96</t>
        </is>
      </c>
      <c r="I624" t="inlineStr">
        <is>
          <t>cost base adjustment allocation</t>
        </is>
      </c>
      <c r="J624" s="5" t="inlineStr">
        <is>
          <t>01a1212c-9321-75a8-9953-51a9ff049ccf</t>
        </is>
      </c>
    </row>
    <row r="625">
      <c r="A625" s="5" t="inlineStr">
        <is>
          <t>01a1212c-932c-71c9-8028-eb7804cdc012</t>
        </is>
      </c>
      <c r="D625" s="5" t="inlineStr">
        <is>
          <t>01a1212c-4b57-70cf-80fd-c2192cb3bf81</t>
        </is>
      </c>
      <c r="E625" s="4" t="n">
        <v>46304.62421088472</v>
      </c>
      <c r="F625" s="4" t="n">
        <v>46304.6242108848</v>
      </c>
      <c r="G625" t="b">
        <v>1</v>
      </c>
      <c r="H625" s="3" t="inlineStr">
        <is>
          <t>Added fraction 0.01363283234230734753637911973 of cost base adjustment 01a1212c-92bc-721b-87d2-9965816a5873 | 2021-06-30 | Adjustment of VGS | Cost base increase = A$99.96</t>
        </is>
      </c>
      <c r="I625" t="inlineStr">
        <is>
          <t>cost base adjustment allocation</t>
        </is>
      </c>
      <c r="J625" s="5" t="inlineStr">
        <is>
          <t>01a1212c-9327-7409-8c69-caec06e2b79d</t>
        </is>
      </c>
    </row>
    <row r="626">
      <c r="A626" s="5" t="inlineStr">
        <is>
          <t>01a1212c-9332-706f-acd1-7d4411706add</t>
        </is>
      </c>
      <c r="D626" s="5" t="inlineStr">
        <is>
          <t>01a1212c-4b57-70cf-80fd-c2192cb3bf81</t>
        </is>
      </c>
      <c r="E626" s="4" t="n">
        <v>46304.62421095742</v>
      </c>
      <c r="F626" s="4" t="n">
        <v>46304.6242109575</v>
      </c>
      <c r="G626" t="b">
        <v>1</v>
      </c>
      <c r="H626" s="3" t="inlineStr">
        <is>
          <t>Added fraction 0.01454168783179450403880439438 of cost base adjustment 01a1212c-92bc-721b-87d2-9965816a5873 | 2021-06-30 | Adjustment of VGS | Cost base increase = A$99.96</t>
        </is>
      </c>
      <c r="I626" t="inlineStr">
        <is>
          <t>cost base adjustment allocation</t>
        </is>
      </c>
      <c r="J626" s="5" t="inlineStr">
        <is>
          <t>01a1212c-932d-723d-a243-58dff4ca2668</t>
        </is>
      </c>
    </row>
    <row r="627">
      <c r="A627" s="5" t="inlineStr">
        <is>
          <t>01a1212c-9338-7756-af31-29b5c2e42227</t>
        </is>
      </c>
      <c r="D627" s="5" t="inlineStr">
        <is>
          <t>01a1212c-4b57-70cf-80fd-c2192cb3bf81</t>
        </is>
      </c>
      <c r="E627" s="4" t="n">
        <v>46304.62421102515</v>
      </c>
      <c r="F627" s="4" t="n">
        <v>46304.62421102522</v>
      </c>
      <c r="G627" t="b">
        <v>1</v>
      </c>
      <c r="H627" s="3" t="inlineStr">
        <is>
          <t>Added fraction 0.01473590900489038953795280923 of cost base adjustment 01a1212c-92bc-721b-87d2-9965816a5873 | 2021-06-30 | Adjustment of VGS | Cost base increase = A$99.96</t>
        </is>
      </c>
      <c r="I627" t="inlineStr">
        <is>
          <t>cost base adjustment allocation</t>
        </is>
      </c>
      <c r="J627" s="5" t="inlineStr">
        <is>
          <t>01a1212c-9333-72f5-8d50-200337c67e70</t>
        </is>
      </c>
    </row>
    <row r="628">
      <c r="A628" s="5" t="inlineStr">
        <is>
          <t>01a1212c-933e-7546-be30-acb5387c2cf7</t>
        </is>
      </c>
      <c r="D628" s="5" t="inlineStr">
        <is>
          <t>01a1212c-4b57-70cf-80fd-c2192cb3bf81</t>
        </is>
      </c>
      <c r="E628" s="4" t="n">
        <v>46304.62421109223</v>
      </c>
      <c r="F628" s="4" t="n">
        <v>46304.62421109231</v>
      </c>
      <c r="G628" t="b">
        <v>1</v>
      </c>
      <c r="H628" s="3" t="inlineStr">
        <is>
          <t>Added fraction 0.01545054332128166054122966903 of cost base adjustment 01a1212c-92bc-721b-87d2-9965816a5873 | 2021-06-30 | Adjustment of VGS | Cost base increase = A$99.96</t>
        </is>
      </c>
      <c r="I628" t="inlineStr">
        <is>
          <t>cost base adjustment allocation</t>
        </is>
      </c>
      <c r="J628" s="5" t="inlineStr">
        <is>
          <t>01a1212c-9339-71da-9313-fb54a0bbdd25</t>
        </is>
      </c>
    </row>
    <row r="629">
      <c r="A629" s="5" t="inlineStr">
        <is>
          <t>01a1212c-9345-70e1-8e30-6ea6e072fdcb</t>
        </is>
      </c>
      <c r="D629" s="5" t="inlineStr">
        <is>
          <t>01a1212c-4b57-70cf-80fd-c2192cb3bf81</t>
        </is>
      </c>
      <c r="E629" s="4" t="n">
        <v>46304.62421117708</v>
      </c>
      <c r="F629" s="4" t="n">
        <v>46304.62421117716</v>
      </c>
      <c r="G629" t="b">
        <v>1</v>
      </c>
      <c r="H629" s="3" t="inlineStr">
        <is>
          <t>Added fraction 0.01545054332128166054122966903 of cost base adjustment 01a1212c-92bc-721b-87d2-9965816a5873 | 2021-06-30 | Adjustment of VGS | Cost base increase = A$99.96</t>
        </is>
      </c>
      <c r="I629" t="inlineStr">
        <is>
          <t>cost base adjustment allocation</t>
        </is>
      </c>
      <c r="J629" s="5" t="inlineStr">
        <is>
          <t>01a1212c-933e-7546-be30-acb651f3f8a1</t>
        </is>
      </c>
    </row>
    <row r="630">
      <c r="A630" s="5" t="inlineStr">
        <is>
          <t>01a1212c-934b-7047-989d-7c9620f0d635</t>
        </is>
      </c>
      <c r="D630" s="5" t="inlineStr">
        <is>
          <t>01a1212c-4b57-70cf-80fd-c2192cb3bf81</t>
        </is>
      </c>
      <c r="E630" s="4" t="n">
        <v>46304.62421124413</v>
      </c>
      <c r="F630" s="4" t="n">
        <v>46304.6242112442</v>
      </c>
      <c r="G630" t="b">
        <v>1</v>
      </c>
      <c r="H630" s="3" t="inlineStr">
        <is>
          <t>Added fraction 0.01635939881076881704365494368 of cost base adjustment 01a1212c-92bc-721b-87d2-9965816a5873 | 2021-06-30 | Adjustment of VGS | Cost base increase = A$99.96</t>
        </is>
      </c>
      <c r="I630" t="inlineStr">
        <is>
          <t>cost base adjustment allocation</t>
        </is>
      </c>
      <c r="J630" s="5" t="inlineStr">
        <is>
          <t>01a1212c-9346-732d-b3ce-b74f160fef62</t>
        </is>
      </c>
    </row>
    <row r="631">
      <c r="A631" s="5" t="inlineStr">
        <is>
          <t>01a1212c-9351-775d-b075-0e4c19c1fe28</t>
        </is>
      </c>
      <c r="D631" s="5" t="inlineStr">
        <is>
          <t>01a1212c-4b57-70cf-80fd-c2192cb3bf81</t>
        </is>
      </c>
      <c r="E631" s="4" t="n">
        <v>46304.6242113138</v>
      </c>
      <c r="F631" s="4" t="n">
        <v>46304.62421131388</v>
      </c>
      <c r="G631" t="b">
        <v>1</v>
      </c>
      <c r="H631" s="3" t="inlineStr">
        <is>
          <t>Added fraction 0.01635939881076881704365494368 of cost base adjustment 01a1212c-92bc-721b-87d2-9965816a5873 | 2021-06-30 | Adjustment of VGS | Cost base increase = A$99.96</t>
        </is>
      </c>
      <c r="I631" t="inlineStr">
        <is>
          <t>cost base adjustment allocation</t>
        </is>
      </c>
      <c r="J631" s="5" t="inlineStr">
        <is>
          <t>01a1212c-934c-76f3-9333-daa76bf7dfc3</t>
        </is>
      </c>
    </row>
    <row r="632">
      <c r="A632" s="5" t="inlineStr">
        <is>
          <t>01a1212c-9357-71e7-8ef9-070c6c90c2f3</t>
        </is>
      </c>
      <c r="D632" s="5" t="inlineStr">
        <is>
          <t>01a1212c-4b57-70cf-80fd-c2192cb3bf81</t>
        </is>
      </c>
      <c r="E632" s="4" t="n">
        <v>46304.62421138062</v>
      </c>
      <c r="F632" s="4" t="n">
        <v>46304.62421138069</v>
      </c>
      <c r="G632" t="b">
        <v>1</v>
      </c>
      <c r="H632" s="3" t="inlineStr">
        <is>
          <t>Added fraction 0.01635939881076881704365494368 of cost base adjustment 01a1212c-92bc-721b-87d2-9965816a5873 | 2021-06-30 | Adjustment of VGS | Cost base increase = A$99.96</t>
        </is>
      </c>
      <c r="I632" t="inlineStr">
        <is>
          <t>cost base adjustment allocation</t>
        </is>
      </c>
      <c r="J632" s="5" t="inlineStr">
        <is>
          <t>01a1212c-9352-706e-8eb4-3c70e993f22d</t>
        </is>
      </c>
    </row>
    <row r="633">
      <c r="A633" s="5" t="inlineStr">
        <is>
          <t>01a1212c-935c-775e-8f5e-8cf3633fb660</t>
        </is>
      </c>
      <c r="D633" s="5" t="inlineStr">
        <is>
          <t>01a1212c-4b57-70cf-80fd-c2192cb3bf81</t>
        </is>
      </c>
      <c r="E633" s="4" t="n">
        <v>46304.62421144544</v>
      </c>
      <c r="F633" s="4" t="n">
        <v>46304.62421144552</v>
      </c>
      <c r="G633" t="b">
        <v>1</v>
      </c>
      <c r="H633" s="3" t="inlineStr">
        <is>
          <t>Added fraction 0.01700929273612812621388233185 of cost base adjustment 01a1212c-92bc-721b-87d2-9965816a5873 | 2021-06-30 | Adjustment of VGS | Cost base increase = A$99.96</t>
        </is>
      </c>
      <c r="I633" t="inlineStr">
        <is>
          <t>cost base adjustment allocation</t>
        </is>
      </c>
      <c r="J633" s="5" t="inlineStr">
        <is>
          <t>01a1212c-9357-71e7-8ef9-070d58286914</t>
        </is>
      </c>
    </row>
    <row r="634">
      <c r="A634" s="5" t="inlineStr">
        <is>
          <t>01a1212c-9363-72b9-96ba-f845d1e1c93c</t>
        </is>
      </c>
      <c r="D634" s="5" t="inlineStr">
        <is>
          <t>01a1212c-4b57-70cf-80fd-c2192cb3bf81</t>
        </is>
      </c>
      <c r="E634" s="4" t="n">
        <v>46304.62421151914</v>
      </c>
      <c r="F634" s="4" t="n">
        <v>46304.62421151922</v>
      </c>
      <c r="G634" t="b">
        <v>1</v>
      </c>
      <c r="H634" s="3" t="inlineStr">
        <is>
          <t>Added fraction 0.01726825430025597354608021832 of cost base adjustment 01a1212c-92bc-721b-87d2-9965816a5873 | 2021-06-30 | Adjustment of VGS | Cost base increase = A$99.96</t>
        </is>
      </c>
      <c r="I634" t="inlineStr">
        <is>
          <t>cost base adjustment allocation</t>
        </is>
      </c>
      <c r="J634" s="5" t="inlineStr">
        <is>
          <t>01a1212c-935d-744e-9119-223e12cae85a</t>
        </is>
      </c>
    </row>
    <row r="635">
      <c r="A635" s="5" t="inlineStr">
        <is>
          <t>01a1212c-9368-7288-912c-f1ec543f59dd</t>
        </is>
      </c>
      <c r="D635" s="5" t="inlineStr">
        <is>
          <t>01a1212c-4b57-70cf-80fd-c2192cb3bf81</t>
        </is>
      </c>
      <c r="E635" s="4" t="n">
        <v>46304.62421158644</v>
      </c>
      <c r="F635" s="4" t="n">
        <v>46304.62421158652</v>
      </c>
      <c r="G635" t="b">
        <v>1</v>
      </c>
      <c r="H635" s="3" t="inlineStr">
        <is>
          <t>Added fraction 0.01817710978974313004850549297 of cost base adjustment 01a1212c-92bc-721b-87d2-9965816a5873 | 2021-06-30 | Adjustment of VGS | Cost base increase = A$99.96</t>
        </is>
      </c>
      <c r="I635" t="inlineStr">
        <is>
          <t>cost base adjustment allocation</t>
        </is>
      </c>
      <c r="J635" s="5" t="inlineStr">
        <is>
          <t>01a1212c-9363-72b9-96ba-f846c6846443</t>
        </is>
      </c>
    </row>
    <row r="636">
      <c r="A636" s="5" t="inlineStr">
        <is>
          <t>01a1212c-936e-7082-aec4-eea35d8f961e</t>
        </is>
      </c>
      <c r="D636" s="5" t="inlineStr">
        <is>
          <t>01a1212c-4b57-70cf-80fd-c2192cb3bf81</t>
        </is>
      </c>
      <c r="E636" s="4" t="n">
        <v>46304.624211655</v>
      </c>
      <c r="F636" s="4" t="n">
        <v>46304.62421165508</v>
      </c>
      <c r="G636" t="b">
        <v>1</v>
      </c>
      <c r="H636" s="3" t="inlineStr">
        <is>
          <t>Added fraction 0.01817710978974313004850549297 of cost base adjustment 01a1212c-92bc-721b-87d2-9965816a5873 | 2021-06-30 | Adjustment of VGS | Cost base increase = A$99.96</t>
        </is>
      </c>
      <c r="I636" t="inlineStr">
        <is>
          <t>cost base adjustment allocation</t>
        </is>
      </c>
      <c r="J636" s="5" t="inlineStr">
        <is>
          <t>01a1212c-9369-771f-b927-a8466e9763e4</t>
        </is>
      </c>
    </row>
    <row r="637">
      <c r="A637" s="5" t="inlineStr">
        <is>
          <t>01a1212c-9374-757a-98a3-e0d434b120d0</t>
        </is>
      </c>
      <c r="D637" s="5" t="inlineStr">
        <is>
          <t>01a1212c-4b57-70cf-80fd-c2192cb3bf81</t>
        </is>
      </c>
      <c r="E637" s="4" t="n">
        <v>46304.62421172453</v>
      </c>
      <c r="F637" s="4" t="n">
        <v>46304.62421172459</v>
      </c>
      <c r="G637" t="b">
        <v>1</v>
      </c>
      <c r="H637" s="3" t="inlineStr">
        <is>
          <t>Added fraction 0.01817710978974313004850549297 of cost base adjustment 01a1212c-92bc-721b-87d2-9965816a5873 | 2021-06-30 | Adjustment of VGS | Cost base increase = A$99.96</t>
        </is>
      </c>
      <c r="I637" t="inlineStr">
        <is>
          <t>cost base adjustment allocation</t>
        </is>
      </c>
      <c r="J637" s="5" t="inlineStr">
        <is>
          <t>01a1212c-936f-7230-8852-602ab55cc840</t>
        </is>
      </c>
    </row>
    <row r="638">
      <c r="A638" s="5" t="inlineStr">
        <is>
          <t>01a1212c-937a-714f-9c3f-51673f3d7a6c</t>
        </is>
      </c>
      <c r="D638" s="5" t="inlineStr">
        <is>
          <t>01a1212c-4b57-70cf-80fd-c2192cb3bf81</t>
        </is>
      </c>
      <c r="E638" s="4" t="n">
        <v>46304.62421178889</v>
      </c>
      <c r="F638" s="4" t="n">
        <v>46304.62421178896</v>
      </c>
      <c r="G638" t="b">
        <v>1</v>
      </c>
      <c r="H638" s="3" t="inlineStr">
        <is>
          <t>Added fraction 0.01882451370006274837900020916 of cost base adjustment 01a1212c-92bc-721b-87d2-9965816a5873 | 2021-06-30 | Adjustment of VGS | Cost base increase = A$99.96</t>
        </is>
      </c>
      <c r="I638" t="inlineStr">
        <is>
          <t>cost base adjustment allocation</t>
        </is>
      </c>
      <c r="J638" s="5" t="inlineStr">
        <is>
          <t>01a1212c-9375-7079-a3e8-009d86645655</t>
        </is>
      </c>
    </row>
    <row r="639">
      <c r="A639" s="5" t="inlineStr">
        <is>
          <t>01a1212c-9381-7395-951f-32ddebb385a6</t>
        </is>
      </c>
      <c r="D639" s="5" t="inlineStr">
        <is>
          <t>01a1212c-4b57-70cf-80fd-c2192cb3bf81</t>
        </is>
      </c>
      <c r="E639" s="4" t="n">
        <v>46304.62421186727</v>
      </c>
      <c r="F639" s="4" t="n">
        <v>46304.62421186736</v>
      </c>
      <c r="G639" t="b">
        <v>1</v>
      </c>
      <c r="H639" s="3" t="inlineStr">
        <is>
          <t>Added fraction 0.01908596527923028655093076762 of cost base adjustment 01a1212c-92bc-721b-87d2-9965816a5873 | 2021-06-30 | Adjustment of VGS | Cost base increase = A$99.96</t>
        </is>
      </c>
      <c r="I639" t="inlineStr">
        <is>
          <t>cost base adjustment allocation</t>
        </is>
      </c>
      <c r="J639" s="5" t="inlineStr">
        <is>
          <t>01a1212c-937b-755b-b405-596707874b2d</t>
        </is>
      </c>
    </row>
    <row r="640">
      <c r="A640" s="5" t="inlineStr">
        <is>
          <t>01a1212c-9387-729e-a178-959d425af0e7</t>
        </is>
      </c>
      <c r="D640" s="5" t="inlineStr">
        <is>
          <t>01a1212c-4b57-70cf-80fd-c2192cb3bf81</t>
        </is>
      </c>
      <c r="E640" s="4" t="n">
        <v>46304.62421193602</v>
      </c>
      <c r="F640" s="4" t="n">
        <v>46304.6242119361</v>
      </c>
      <c r="G640" t="b">
        <v>1</v>
      </c>
      <c r="H640" s="3" t="inlineStr">
        <is>
          <t>Added fraction 0.01908596527923028655093076762 of cost base adjustment 01a1212c-92bc-721b-87d2-9965816a5873 | 2021-06-30 | Adjustment of VGS | Cost base increase = A$99.96</t>
        </is>
      </c>
      <c r="I640" t="inlineStr">
        <is>
          <t>cost base adjustment allocation</t>
        </is>
      </c>
      <c r="J640" s="5" t="inlineStr">
        <is>
          <t>01a1212c-9381-7395-951f-32de4c0b4f2a</t>
        </is>
      </c>
    </row>
    <row r="641">
      <c r="A641" s="5" t="inlineStr">
        <is>
          <t>01a1212c-938d-7629-8029-eeb9678dcd4f</t>
        </is>
      </c>
      <c r="D641" s="5" t="inlineStr">
        <is>
          <t>01a1212c-4b57-70cf-80fd-c2192cb3bf81</t>
        </is>
      </c>
      <c r="E641" s="4" t="n">
        <v>46304.62421200464</v>
      </c>
      <c r="F641" s="4" t="n">
        <v>46304.62421200472</v>
      </c>
      <c r="G641" t="b">
        <v>1</v>
      </c>
      <c r="H641" s="3" t="inlineStr">
        <is>
          <t>Added fraction 0.01999482076871744305335604227 of cost base adjustment 01a1212c-92bc-721b-87d2-9965816a5873 | 2021-06-30 | Adjustment of VGS | Cost base increase = A$99.96</t>
        </is>
      </c>
      <c r="I641" t="inlineStr">
        <is>
          <t>cost base adjustment allocation</t>
        </is>
      </c>
      <c r="J641" s="5" t="inlineStr">
        <is>
          <t>01a1212c-9387-729e-a178-959e05a87e93</t>
        </is>
      </c>
    </row>
    <row r="642">
      <c r="A642" s="5" t="inlineStr">
        <is>
          <t>01a1212c-9393-729e-a218-a72df61e8f5a</t>
        </is>
      </c>
      <c r="D642" s="5" t="inlineStr">
        <is>
          <t>01a1212c-4b57-70cf-80fd-c2192cb3bf81</t>
        </is>
      </c>
      <c r="E642" s="4" t="n">
        <v>46304.62421207308</v>
      </c>
      <c r="F642" s="4" t="n">
        <v>46304.62421207317</v>
      </c>
      <c r="G642" t="b">
        <v>1</v>
      </c>
      <c r="H642" s="3" t="inlineStr">
        <is>
          <t>Added fraction 0.01999482076871744305335604227 of cost base adjustment 01a1212c-92bc-721b-87d2-9965816a5873 | 2021-06-30 | Adjustment of VGS | Cost base increase = A$99.96</t>
        </is>
      </c>
      <c r="I642" t="inlineStr">
        <is>
          <t>cost base adjustment allocation</t>
        </is>
      </c>
      <c r="J642" s="5" t="inlineStr">
        <is>
          <t>01a1212c-938d-7629-8029-eeba4977c2fd</t>
        </is>
      </c>
    </row>
    <row r="643">
      <c r="A643" s="5" t="inlineStr">
        <is>
          <t>01a1212c-9398-7405-bcbe-d54ef7a17883</t>
        </is>
      </c>
      <c r="D643" s="5" t="inlineStr">
        <is>
          <t>01a1212c-4b57-70cf-80fd-c2192cb3bf81</t>
        </is>
      </c>
      <c r="E643" s="4" t="n">
        <v>46304.62421214108</v>
      </c>
      <c r="F643" s="4" t="n">
        <v>46304.62421214117</v>
      </c>
      <c r="G643" t="b">
        <v>1</v>
      </c>
      <c r="H643" s="3" t="inlineStr">
        <is>
          <t>Added fraction 0.02090367625820459955578131692 of cost base adjustment 01a1212c-92bc-721b-87d2-9965816a5873 | 2021-06-30 | Adjustment of VGS | Cost base increase = A$99.96</t>
        </is>
      </c>
      <c r="I643" t="inlineStr">
        <is>
          <t>cost base adjustment allocation</t>
        </is>
      </c>
      <c r="J643" s="5" t="inlineStr">
        <is>
          <t>01a1212c-9393-729e-a218-a72e1708d2e8</t>
        </is>
      </c>
    </row>
    <row r="644">
      <c r="A644" s="5" t="inlineStr">
        <is>
          <t>01a1212c-939e-74ad-9211-10108ce59cba</t>
        </is>
      </c>
      <c r="D644" s="5" t="inlineStr">
        <is>
          <t>01a1212c-4b57-70cf-80fd-c2192cb3bf81</t>
        </is>
      </c>
      <c r="E644" s="4" t="n">
        <v>46304.62421220957</v>
      </c>
      <c r="F644" s="4" t="n">
        <v>46304.62421220967</v>
      </c>
      <c r="G644" t="b">
        <v>1</v>
      </c>
      <c r="H644" s="3" t="inlineStr">
        <is>
          <t>Added fraction 0.02090367625820459955578131692 of cost base adjustment 01a1212c-92bc-721b-87d2-9965816a5873 | 2021-06-30 | Adjustment of VGS | Cost base increase = A$99.96</t>
        </is>
      </c>
      <c r="I644" t="inlineStr">
        <is>
          <t>cost base adjustment allocation</t>
        </is>
      </c>
      <c r="J644" s="5" t="inlineStr">
        <is>
          <t>01a1212c-9399-73d0-b507-43c0b41baac3</t>
        </is>
      </c>
    </row>
    <row r="645">
      <c r="A645" s="5" t="inlineStr">
        <is>
          <t>01a1212c-93a4-76ea-af9d-95f6237f4794</t>
        </is>
      </c>
      <c r="D645" s="5" t="inlineStr">
        <is>
          <t>01a1212c-4b57-70cf-80fd-c2192cb3bf81</t>
        </is>
      </c>
      <c r="E645" s="4" t="n">
        <v>46304.62421227425</v>
      </c>
      <c r="F645" s="4" t="n">
        <v>46304.62421227432</v>
      </c>
      <c r="G645" t="b">
        <v>1</v>
      </c>
      <c r="H645" s="3" t="inlineStr">
        <is>
          <t>Added fraction 0.02090367625820459955578131692 of cost base adjustment 01a1212c-92bc-721b-87d2-9965816a5873 | 2021-06-30 | Adjustment of VGS | Cost base increase = A$99.96</t>
        </is>
      </c>
      <c r="I645" t="inlineStr">
        <is>
          <t>cost base adjustment allocation</t>
        </is>
      </c>
      <c r="J645" s="5" t="inlineStr">
        <is>
          <t>01a1212c-939f-771f-9554-872a4e16151d</t>
        </is>
      </c>
    </row>
    <row r="646">
      <c r="A646" s="5" t="inlineStr">
        <is>
          <t>01a1212c-93aa-7302-8073-a53c4d327a1d</t>
        </is>
      </c>
      <c r="D646" s="5" t="inlineStr">
        <is>
          <t>01a1212c-4b57-70cf-80fd-c2192cb3bf81</t>
        </is>
      </c>
      <c r="E646" s="4" t="n">
        <v>46304.62421234083</v>
      </c>
      <c r="F646" s="4" t="n">
        <v>46304.62421234092</v>
      </c>
      <c r="G646" t="b">
        <v>1</v>
      </c>
      <c r="H646" s="3" t="inlineStr">
        <is>
          <t>Added fraction 0.02181253174769175605820659157 of cost base adjustment 01a1212c-92bc-721b-87d2-9965816a5873 | 2021-06-30 | Adjustment of VGS | Cost base increase = A$99.96</t>
        </is>
      </c>
      <c r="I646" t="inlineStr">
        <is>
          <t>cost base adjustment allocation</t>
        </is>
      </c>
      <c r="J646" s="5" t="inlineStr">
        <is>
          <t>01a1212c-93a5-7434-bbad-f00fc1e97990</t>
        </is>
      </c>
    </row>
    <row r="647">
      <c r="A647" s="5" t="inlineStr">
        <is>
          <t>01a1212c-93b1-731e-a2a7-8563b0ac7e54</t>
        </is>
      </c>
      <c r="D647" s="5" t="inlineStr">
        <is>
          <t>01a1212c-4b57-70cf-80fd-c2192cb3bf81</t>
        </is>
      </c>
      <c r="E647" s="4" t="n">
        <v>46304.62421243003</v>
      </c>
      <c r="F647" s="4" t="n">
        <v>46304.62421243019</v>
      </c>
      <c r="G647" t="b">
        <v>1</v>
      </c>
      <c r="H647" s="3" t="inlineStr">
        <is>
          <t>Added fraction 0.02181253174769175605820659157 of cost base adjustment 01a1212c-92bc-721b-87d2-9965816a5873 | 2021-06-30 | Adjustment of VGS | Cost base increase = A$99.96</t>
        </is>
      </c>
      <c r="I647" t="inlineStr">
        <is>
          <t>cost base adjustment allocation</t>
        </is>
      </c>
      <c r="J647" s="5" t="inlineStr">
        <is>
          <t>01a1212c-93aa-7302-8073-a53ddfff3c9f</t>
        </is>
      </c>
    </row>
    <row r="648">
      <c r="A648" s="5" t="inlineStr">
        <is>
          <t>01a1212c-93bb-7467-9b57-0b40aafcf78e</t>
        </is>
      </c>
      <c r="D648" s="5" t="inlineStr">
        <is>
          <t>01a1212c-4b57-70cf-80fd-c2192cb3bf81</t>
        </is>
      </c>
      <c r="E648" s="4" t="n">
        <v>46304.62421254502</v>
      </c>
      <c r="F648" s="4" t="n">
        <v>46304.62421254521</v>
      </c>
      <c r="G648" t="b">
        <v>1</v>
      </c>
      <c r="H648" s="3" t="inlineStr">
        <is>
          <t>Added fraction 0.02181253174769175605820659157 of cost base adjustment 01a1212c-92bc-721b-87d2-9965816a5873 | 2021-06-30 | Adjustment of VGS | Cost base increase = A$99.96</t>
        </is>
      </c>
      <c r="I648" t="inlineStr">
        <is>
          <t>cost base adjustment allocation</t>
        </is>
      </c>
      <c r="J648" s="5" t="inlineStr">
        <is>
          <t>01a1212c-93b2-77d1-9e6c-17e98d0c683f</t>
        </is>
      </c>
    </row>
    <row r="649">
      <c r="A649" s="5" t="inlineStr">
        <is>
          <t>01a1212c-93c4-7082-bec6-fc84b2419342</t>
        </is>
      </c>
      <c r="D649" s="5" t="inlineStr">
        <is>
          <t>01a1212c-4b57-70cf-80fd-c2192cb3bf81</t>
        </is>
      </c>
      <c r="E649" s="4" t="n">
        <v>46304.62421264248</v>
      </c>
      <c r="F649" s="4" t="n">
        <v>46304.62421264262</v>
      </c>
      <c r="G649" t="b">
        <v>1</v>
      </c>
      <c r="H649" s="3" t="inlineStr">
        <is>
          <t>Added fraction 0.02272138723717891256063186622 of cost base adjustment 01a1212c-92bc-721b-87d2-9965816a5873 | 2021-06-30 | Adjustment of VGS | Cost base increase = A$99.96</t>
        </is>
      </c>
      <c r="I649" t="inlineStr">
        <is>
          <t>cost base adjustment allocation</t>
        </is>
      </c>
      <c r="J649" s="5" t="inlineStr">
        <is>
          <t>01a1212c-93bc-7665-8dc9-4291d023d01c</t>
        </is>
      </c>
    </row>
    <row r="650">
      <c r="A650" s="5" t="inlineStr">
        <is>
          <t>01a1212c-93cb-73cc-a39b-d7ca0bf48f59</t>
        </is>
      </c>
      <c r="D650" s="5" t="inlineStr">
        <is>
          <t>01a1212c-4b57-70cf-80fd-c2192cb3bf81</t>
        </is>
      </c>
      <c r="E650" s="4" t="n">
        <v>46304.62421272567</v>
      </c>
      <c r="F650" s="4" t="n">
        <v>46304.6242127258</v>
      </c>
      <c r="G650" t="b">
        <v>1</v>
      </c>
      <c r="H650" s="3" t="inlineStr">
        <is>
          <t>Added fraction 0.02272138723717891256063186622 of cost base adjustment 01a1212c-92bc-721b-87d2-9965816a5873 | 2021-06-30 | Adjustment of VGS | Cost base increase = A$99.96</t>
        </is>
      </c>
      <c r="I650" t="inlineStr">
        <is>
          <t>cost base adjustment allocation</t>
        </is>
      </c>
      <c r="J650" s="5" t="inlineStr">
        <is>
          <t>01a1212c-93c5-75d1-9dd4-94c94a24b140</t>
        </is>
      </c>
    </row>
    <row r="651">
      <c r="A651" s="5" t="inlineStr">
        <is>
          <t>01a1212c-93d2-73c4-a8c2-edaebfa98b8a</t>
        </is>
      </c>
      <c r="D651" s="5" t="inlineStr">
        <is>
          <t>01a1212c-4b57-70cf-80fd-c2192cb3bf81</t>
        </is>
      </c>
      <c r="E651" s="4" t="n">
        <v>46304.62421281296</v>
      </c>
      <c r="F651" s="4" t="n">
        <v>46304.62421281311</v>
      </c>
      <c r="G651" t="b">
        <v>1</v>
      </c>
      <c r="H651" s="3" t="inlineStr">
        <is>
          <t>Added fraction 0.02363024272666606906305714087 of cost base adjustment 01a1212c-92bc-721b-87d2-9965816a5873 | 2021-06-30 | Adjustment of VGS | Cost base increase = A$99.96</t>
        </is>
      </c>
      <c r="I651" t="inlineStr">
        <is>
          <t>cost base adjustment allocation</t>
        </is>
      </c>
      <c r="J651" s="5" t="inlineStr">
        <is>
          <t>01a1212c-93cc-73bb-bb32-8ccfb0c6e75e</t>
        </is>
      </c>
    </row>
    <row r="652">
      <c r="A652" s="5" t="inlineStr">
        <is>
          <t>01a1212c-93d9-76d5-b7de-03c9ca3554cd</t>
        </is>
      </c>
      <c r="D652" s="5" t="inlineStr">
        <is>
          <t>01a1212c-4b57-70cf-80fd-c2192cb3bf81</t>
        </is>
      </c>
      <c r="E652" s="4" t="n">
        <v>46304.62421289146</v>
      </c>
      <c r="F652" s="4" t="n">
        <v>46304.62421289154</v>
      </c>
      <c r="G652" t="b">
        <v>1</v>
      </c>
      <c r="H652" s="3" t="inlineStr">
        <is>
          <t>Added fraction 0.02363024272666606906305714087 of cost base adjustment 01a1212c-92bc-721b-87d2-9965816a5873 | 2021-06-30 | Adjustment of VGS | Cost base increase = A$99.96</t>
        </is>
      </c>
      <c r="I652" t="inlineStr">
        <is>
          <t>cost base adjustment allocation</t>
        </is>
      </c>
      <c r="J652" s="5" t="inlineStr">
        <is>
          <t>01a1212c-93d3-7406-8eb2-2090a7a7ebd0</t>
        </is>
      </c>
    </row>
    <row r="653">
      <c r="A653" s="5" t="inlineStr">
        <is>
          <t>01a1212c-93df-74b4-a8fc-0b5dc6c83c30</t>
        </is>
      </c>
      <c r="D653" s="5" t="inlineStr">
        <is>
          <t>01a1212c-4b57-70cf-80fd-c2192cb3bf81</t>
        </is>
      </c>
      <c r="E653" s="4" t="n">
        <v>46304.62421296368</v>
      </c>
      <c r="F653" s="4" t="n">
        <v>46304.62421296376</v>
      </c>
      <c r="G653" t="b">
        <v>1</v>
      </c>
      <c r="H653" s="3" t="inlineStr">
        <is>
          <t>Added fraction 0.02363024272666606906305714087 of cost base adjustment 01a1212c-92bc-721b-87d2-9965816a5873 | 2021-06-30 | Adjustment of VGS | Cost base increase = A$99.96</t>
        </is>
      </c>
      <c r="I653" t="inlineStr">
        <is>
          <t>cost base adjustment allocation</t>
        </is>
      </c>
      <c r="J653" s="5" t="inlineStr">
        <is>
          <t>01a1212c-93da-733e-8a90-414cf23bd313</t>
        </is>
      </c>
    </row>
    <row r="654">
      <c r="A654" s="5" t="inlineStr">
        <is>
          <t>01a1212c-93e5-74d7-8b31-83cdc15a779a</t>
        </is>
      </c>
      <c r="D654" s="5" t="inlineStr">
        <is>
          <t>01a1212c-4b57-70cf-80fd-c2192cb3bf81</t>
        </is>
      </c>
      <c r="E654" s="4" t="n">
        <v>46304.62421303293</v>
      </c>
      <c r="F654" s="4" t="n">
        <v>46304.62421303301</v>
      </c>
      <c r="G654" t="b">
        <v>1</v>
      </c>
      <c r="H654" s="3" t="inlineStr">
        <is>
          <t>Added fraction 0.02363024272666606906305714087 of cost base adjustment 01a1212c-92bc-721b-87d2-9965816a5873 | 2021-06-30 | Adjustment of VGS | Cost base increase = A$99.96</t>
        </is>
      </c>
      <c r="I654" t="inlineStr">
        <is>
          <t>cost base adjustment allocation</t>
        </is>
      </c>
      <c r="J654" s="5" t="inlineStr">
        <is>
          <t>01a1212c-93e0-72e6-be02-e1da9f33752b</t>
        </is>
      </c>
    </row>
    <row r="655">
      <c r="A655" s="5" t="inlineStr">
        <is>
          <t>01a1212c-93eb-7183-9f67-43c684300ea9</t>
        </is>
      </c>
      <c r="D655" s="5" t="inlineStr">
        <is>
          <t>01a1212c-4b57-70cf-80fd-c2192cb3bf81</t>
        </is>
      </c>
      <c r="E655" s="4" t="n">
        <v>46304.62421310115</v>
      </c>
      <c r="F655" s="4" t="n">
        <v>46304.62421310123</v>
      </c>
      <c r="G655" t="b">
        <v>1</v>
      </c>
      <c r="H655" s="3" t="inlineStr">
        <is>
          <t>Added fraction 0.02453909821615322556548241551 of cost base adjustment 01a1212c-92bc-721b-87d2-9965816a5873 | 2021-06-30 | Adjustment of VGS | Cost base increase = A$99.96</t>
        </is>
      </c>
      <c r="I655" t="inlineStr">
        <is>
          <t>cost base adjustment allocation</t>
        </is>
      </c>
      <c r="J655" s="5" t="inlineStr">
        <is>
          <t>01a1212c-93e6-77eb-96b3-abfc1bf2c2f4</t>
        </is>
      </c>
    </row>
    <row r="656">
      <c r="A656" s="5" t="inlineStr">
        <is>
          <t>01a1212c-93f1-7205-b437-1cf0a2b7ef98</t>
        </is>
      </c>
      <c r="D656" s="5" t="inlineStr">
        <is>
          <t>01a1212c-4b57-70cf-80fd-c2192cb3bf81</t>
        </is>
      </c>
      <c r="E656" s="4" t="n">
        <v>46304.62421317212</v>
      </c>
      <c r="F656" s="4" t="n">
        <v>46304.6242131722</v>
      </c>
      <c r="G656" t="b">
        <v>1</v>
      </c>
      <c r="H656" s="3" t="inlineStr">
        <is>
          <t>Added fraction 0.02453909821615322556548241551 of cost base adjustment 01a1212c-92bc-721b-87d2-9965816a5873 | 2021-06-30 | Adjustment of VGS | Cost base increase = A$99.96</t>
        </is>
      </c>
      <c r="I656" t="inlineStr">
        <is>
          <t>cost base adjustment allocation</t>
        </is>
      </c>
      <c r="J656" s="5" t="inlineStr">
        <is>
          <t>01a1212c-93ec-7300-ab30-2b5ff538e7bf</t>
        </is>
      </c>
    </row>
    <row r="657">
      <c r="A657" s="5" t="inlineStr">
        <is>
          <t>01a1212c-93f8-73df-883c-ba1fcdba8389</t>
        </is>
      </c>
      <c r="D657" s="5" t="inlineStr">
        <is>
          <t>01a1212c-4b57-70cf-80fd-c2192cb3bf81</t>
        </is>
      </c>
      <c r="E657" s="4" t="n">
        <v>46304.62421324458</v>
      </c>
      <c r="F657" s="4" t="n">
        <v>46304.62421324477</v>
      </c>
      <c r="G657" t="b">
        <v>1</v>
      </c>
      <c r="H657" s="3" t="inlineStr">
        <is>
          <t>Added fraction 0.02544795370564038206790769016 of cost base adjustment 01a1212c-92bc-721b-87d2-9965816a5873 | 2021-06-30 | Adjustment of VGS | Cost base increase = A$99.96</t>
        </is>
      </c>
      <c r="I657" t="inlineStr">
        <is>
          <t>cost base adjustment allocation</t>
        </is>
      </c>
      <c r="J657" s="5" t="inlineStr">
        <is>
          <t>01a1212c-93f2-7356-b304-afd6913e6c96</t>
        </is>
      </c>
    </row>
    <row r="658">
      <c r="A658" s="5" t="inlineStr">
        <is>
          <t>01a1212c-93fe-727f-b288-4ecf35e3f49a</t>
        </is>
      </c>
      <c r="D658" s="5" t="inlineStr">
        <is>
          <t>01a1212c-4b57-70cf-80fd-c2192cb3bf81</t>
        </is>
      </c>
      <c r="E658" s="4" t="n">
        <v>46304.62421331594</v>
      </c>
      <c r="F658" s="4" t="n">
        <v>46304.624213316</v>
      </c>
      <c r="G658" t="b">
        <v>1</v>
      </c>
      <c r="H658" s="3" t="inlineStr">
        <is>
          <t>Added fraction 0.02544795370564038206790769016 of cost base adjustment 01a1212c-92bc-721b-87d2-9965816a5873 | 2021-06-30 | Adjustment of VGS | Cost base increase = A$99.96</t>
        </is>
      </c>
      <c r="I658" t="inlineStr">
        <is>
          <t>cost base adjustment allocation</t>
        </is>
      </c>
      <c r="J658" s="5" t="inlineStr">
        <is>
          <t>01a1212c-93f9-70a3-b3f8-5894adb7f890</t>
        </is>
      </c>
    </row>
    <row r="659">
      <c r="A659" s="5" t="inlineStr">
        <is>
          <t>01a1212c-9404-7291-a4a2-57c7585eba39</t>
        </is>
      </c>
      <c r="D659" s="5" t="inlineStr">
        <is>
          <t>01a1212c-4b57-70cf-80fd-c2192cb3bf81</t>
        </is>
      </c>
      <c r="E659" s="4" t="n">
        <v>46304.62421338289</v>
      </c>
      <c r="F659" s="4" t="n">
        <v>46304.62421338297</v>
      </c>
      <c r="G659" t="b">
        <v>1</v>
      </c>
      <c r="H659" s="3" t="inlineStr">
        <is>
          <t>Added fraction 0.02635680919512753857033296481 of cost base adjustment 01a1212c-92bc-721b-87d2-9965816a5873 | 2021-06-30 | Adjustment of VGS | Cost base increase = A$99.96</t>
        </is>
      </c>
      <c r="I659" t="inlineStr">
        <is>
          <t>cost base adjustment allocation</t>
        </is>
      </c>
      <c r="J659" s="5" t="inlineStr">
        <is>
          <t>01a1212c-93ff-70c7-b197-6f24c22923bb</t>
        </is>
      </c>
    </row>
    <row r="660">
      <c r="A660" s="5" t="inlineStr">
        <is>
          <t>01a1212c-940a-7792-9611-875c28ea26a4</t>
        </is>
      </c>
      <c r="D660" s="5" t="inlineStr">
        <is>
          <t>01a1212c-4b57-70cf-80fd-c2192cb3bf81</t>
        </is>
      </c>
      <c r="E660" s="4" t="n">
        <v>46304.62421345276</v>
      </c>
      <c r="F660" s="4" t="n">
        <v>46304.62421345284</v>
      </c>
      <c r="G660" t="b">
        <v>1</v>
      </c>
      <c r="H660" s="3" t="inlineStr">
        <is>
          <t>Added fraction 0.02726566468461469507275823946 of cost base adjustment 01a1212c-92bc-721b-87d2-9965816a5873 | 2021-06-30 | Adjustment of VGS | Cost base increase = A$99.96</t>
        </is>
      </c>
      <c r="I660" t="inlineStr">
        <is>
          <t>cost base adjustment allocation</t>
        </is>
      </c>
      <c r="J660" s="5" t="inlineStr">
        <is>
          <t>01a1212c-9404-7291-a4a2-57c87e970133</t>
        </is>
      </c>
    </row>
    <row r="661">
      <c r="A661" s="5" t="inlineStr">
        <is>
          <t>01a1212c-9410-747f-83c3-12423edc1c49</t>
        </is>
      </c>
      <c r="D661" s="5" t="inlineStr">
        <is>
          <t>01a1212c-4b57-70cf-80fd-c2192cb3bf81</t>
        </is>
      </c>
      <c r="E661" s="4" t="n">
        <v>46304.62421351993</v>
      </c>
      <c r="F661" s="4" t="n">
        <v>46304.62421352</v>
      </c>
      <c r="G661" t="b">
        <v>1</v>
      </c>
      <c r="H661" s="3" t="inlineStr">
        <is>
          <t>Added fraction 0.02726566468461469507275823946 of cost base adjustment 01a1212c-92bc-721b-87d2-9965816a5873 | 2021-06-30 | Adjustment of VGS | Cost base increase = A$99.96</t>
        </is>
      </c>
      <c r="I661" t="inlineStr">
        <is>
          <t>cost base adjustment allocation</t>
        </is>
      </c>
      <c r="J661" s="5" t="inlineStr">
        <is>
          <t>01a1212c-940a-7792-9611-875d77abef3b</t>
        </is>
      </c>
    </row>
    <row r="662">
      <c r="A662" s="5" t="inlineStr">
        <is>
          <t>01a1212c-9415-738c-aa6e-8d565c954339</t>
        </is>
      </c>
      <c r="D662" s="5" t="inlineStr">
        <is>
          <t>01a1212c-4b57-70cf-80fd-c2192cb3bf81</t>
        </is>
      </c>
      <c r="E662" s="4" t="n">
        <v>46304.62421358446</v>
      </c>
      <c r="F662" s="4" t="n">
        <v>46304.62421358454</v>
      </c>
      <c r="G662" t="b">
        <v>1</v>
      </c>
      <c r="H662" s="3" t="inlineStr">
        <is>
          <t>Added fraction 0.02817452017410185157518351411 of cost base adjustment 01a1212c-92bc-721b-87d2-9965816a5873 | 2021-06-30 | Adjustment of VGS | Cost base increase = A$99.96</t>
        </is>
      </c>
      <c r="I662" t="inlineStr">
        <is>
          <t>cost base adjustment allocation</t>
        </is>
      </c>
      <c r="J662" s="5" t="inlineStr">
        <is>
          <t>01a1212c-9410-747f-83c3-124359dcc7c4</t>
        </is>
      </c>
    </row>
    <row r="663">
      <c r="A663" s="5" t="inlineStr">
        <is>
          <t>01a1212c-941b-714f-9154-ec2de4ef704c</t>
        </is>
      </c>
      <c r="D663" s="5" t="inlineStr">
        <is>
          <t>01a1212c-4b57-70cf-80fd-c2192cb3bf81</t>
        </is>
      </c>
      <c r="E663" s="4" t="n">
        <v>46304.62421365413</v>
      </c>
      <c r="F663" s="4" t="n">
        <v>46304.62421365421</v>
      </c>
      <c r="G663" t="b">
        <v>1</v>
      </c>
      <c r="H663" s="3" t="inlineStr">
        <is>
          <t>Added fraction 0.02908337566358900807760878876 of cost base adjustment 01a1212c-92bc-721b-87d2-9965816a5873 | 2021-06-30 | Adjustment of VGS | Cost base increase = A$99.96</t>
        </is>
      </c>
      <c r="I663" t="inlineStr">
        <is>
          <t>cost base adjustment allocation</t>
        </is>
      </c>
      <c r="J663" s="5" t="inlineStr">
        <is>
          <t>01a1212c-9416-7667-a2bb-9a93e06b623b</t>
        </is>
      </c>
    </row>
    <row r="664">
      <c r="A664" s="5" t="inlineStr">
        <is>
          <t>01a1212c-9421-7295-9019-f4ccb2a515b7</t>
        </is>
      </c>
      <c r="D664" s="5" t="inlineStr">
        <is>
          <t>01a1212c-4b57-70cf-80fd-c2192cb3bf81</t>
        </is>
      </c>
      <c r="E664" s="4" t="n">
        <v>46304.62421372499</v>
      </c>
      <c r="F664" s="4" t="n">
        <v>46304.62421372507</v>
      </c>
      <c r="G664" t="b">
        <v>1</v>
      </c>
      <c r="H664" s="3" t="inlineStr">
        <is>
          <t>residual of cost base adjustment 01a1212c-92bc-721b-87d2-9965816a5873 | 2021-06-30 | Adjustment of VGS | Cost base increase = A$99.96</t>
        </is>
      </c>
      <c r="I664" t="inlineStr">
        <is>
          <t>cost base adjustment allocation</t>
        </is>
      </c>
      <c r="J664" s="5" t="inlineStr">
        <is>
          <t>01a1212c-941c-7604-ba71-581ca74df5d2</t>
        </is>
      </c>
    </row>
    <row r="665">
      <c r="A665" s="5" t="inlineStr">
        <is>
          <t>01a1212c-9540-71db-b200-8e95adebcd87</t>
        </is>
      </c>
      <c r="D665" s="5" t="inlineStr">
        <is>
          <t>01a1212c-4b57-70cf-80fd-c2192cb3bf81</t>
        </is>
      </c>
      <c r="E665" s="4" t="n">
        <v>46304.62421703961</v>
      </c>
      <c r="F665" s="4" t="n">
        <v>46304.62421703969</v>
      </c>
      <c r="G665" t="b">
        <v>1</v>
      </c>
      <c r="H665" s="3" t="inlineStr">
        <is>
          <t>This parcel was created by splitting parcel 01a1212c-6945-7758-a2bb-6ef14801d9ae by multiplier 20</t>
        </is>
      </c>
      <c r="I665" t="inlineStr">
        <is>
          <t>parcel</t>
        </is>
      </c>
      <c r="J665" s="5" t="inlineStr">
        <is>
          <t>01a1212c-953b-70b8-b464-88a79fd80177</t>
        </is>
      </c>
    </row>
    <row r="666">
      <c r="A666" s="5" t="inlineStr">
        <is>
          <t>01a1212c-9541-7797-8fa5-9768a5f232e1</t>
        </is>
      </c>
      <c r="D666" s="5" t="inlineStr">
        <is>
          <t>01a1212c-4b57-70cf-80fd-c2192cb3bf81</t>
        </is>
      </c>
      <c r="E666" s="4" t="n">
        <v>46304.62421705405</v>
      </c>
      <c r="F666" s="4" t="n">
        <v>46304.62421705414</v>
      </c>
      <c r="G666" t="b">
        <v>1</v>
      </c>
      <c r="H666" s="3" t="inlineStr">
        <is>
          <t>This parcel was split with multipler 20, then marked as INACTIVE. New parcel is 01a1212c-953b-70b8-b464-88a79fd80177.</t>
        </is>
      </c>
      <c r="I666" t="inlineStr">
        <is>
          <t>parcel</t>
        </is>
      </c>
      <c r="J666" s="5" t="inlineStr">
        <is>
          <t>01a1212c-6945-7758-a2bb-6ef14801d9ae</t>
        </is>
      </c>
    </row>
    <row r="667">
      <c r="A667" s="5" t="inlineStr">
        <is>
          <t>01a1212c-9549-72f8-a7ef-167fcc24e7a2</t>
        </is>
      </c>
      <c r="D667" s="5" t="inlineStr">
        <is>
          <t>01a1212c-4b57-70cf-80fd-c2192cb3bf81</t>
        </is>
      </c>
      <c r="E667" s="4" t="n">
        <v>46304.62421715076</v>
      </c>
      <c r="F667" s="4" t="n">
        <v>46304.62421715084</v>
      </c>
      <c r="G667" t="b">
        <v>1</v>
      </c>
      <c r="H667" s="3" t="inlineStr">
        <is>
          <t>This parcel was created by splitting parcel 01a1212c-6b5c-7567-9272-2a6cd633eea0 by multiplier 20</t>
        </is>
      </c>
      <c r="I667" t="inlineStr">
        <is>
          <t>parcel</t>
        </is>
      </c>
      <c r="J667" s="5" t="inlineStr">
        <is>
          <t>01a1212c-9545-7354-8ce4-48e0b08ef9a0</t>
        </is>
      </c>
    </row>
    <row r="668">
      <c r="A668" s="5" t="inlineStr">
        <is>
          <t>01a1212c-954a-7318-aafd-25d4b9f38813</t>
        </is>
      </c>
      <c r="D668" s="5" t="inlineStr">
        <is>
          <t>01a1212c-4b57-70cf-80fd-c2192cb3bf81</t>
        </is>
      </c>
      <c r="E668" s="4" t="n">
        <v>46304.6242171643</v>
      </c>
      <c r="F668" s="4" t="n">
        <v>46304.62421716436</v>
      </c>
      <c r="G668" t="b">
        <v>1</v>
      </c>
      <c r="H668" s="3" t="inlineStr">
        <is>
          <t>This parcel was split with multipler 20, then marked as INACTIVE. New parcel is 01a1212c-9545-7354-8ce4-48e0b08ef9a0.</t>
        </is>
      </c>
      <c r="I668" t="inlineStr">
        <is>
          <t>parcel</t>
        </is>
      </c>
      <c r="J668" s="5" t="inlineStr">
        <is>
          <t>01a1212c-6b5c-7567-9272-2a6cd633eea0</t>
        </is>
      </c>
    </row>
    <row r="669">
      <c r="A669" s="5" t="inlineStr">
        <is>
          <t>01a1212c-9552-75cc-8bdf-4a252b447d12</t>
        </is>
      </c>
      <c r="D669" s="5" t="inlineStr">
        <is>
          <t>01a1212c-4b57-70cf-80fd-c2192cb3bf81</t>
        </is>
      </c>
      <c r="E669" s="4" t="n">
        <v>46304.62421725752</v>
      </c>
      <c r="F669" s="4" t="n">
        <v>46304.6242172576</v>
      </c>
      <c r="G669" t="b">
        <v>1</v>
      </c>
      <c r="H669" s="3" t="inlineStr">
        <is>
          <t>This parcel was created by splitting parcel 01a1212c-6c33-715f-b319-7dd28b9c219f by multiplier 20</t>
        </is>
      </c>
      <c r="I669" t="inlineStr">
        <is>
          <t>parcel</t>
        </is>
      </c>
      <c r="J669" s="5" t="inlineStr">
        <is>
          <t>01a1212c-954e-772f-a9b6-c85211e8f1c8</t>
        </is>
      </c>
    </row>
    <row r="670">
      <c r="A670" s="5" t="inlineStr">
        <is>
          <t>01a1212c-9554-742f-acbe-ffa1d0d84f6e</t>
        </is>
      </c>
      <c r="D670" s="5" t="inlineStr">
        <is>
          <t>01a1212c-4b57-70cf-80fd-c2192cb3bf81</t>
        </is>
      </c>
      <c r="E670" s="4" t="n">
        <v>46304.62421727106</v>
      </c>
      <c r="F670" s="4" t="n">
        <v>46304.62421727114</v>
      </c>
      <c r="G670" t="b">
        <v>1</v>
      </c>
      <c r="H670" s="3" t="inlineStr">
        <is>
          <t>This parcel was split with multipler 20, then marked as INACTIVE. New parcel is 01a1212c-954e-772f-a9b6-c85211e8f1c8.</t>
        </is>
      </c>
      <c r="I670" t="inlineStr">
        <is>
          <t>parcel</t>
        </is>
      </c>
      <c r="J670" s="5" t="inlineStr">
        <is>
          <t>01a1212c-6c33-715f-b319-7dd28b9c219f</t>
        </is>
      </c>
    </row>
    <row r="671">
      <c r="A671" s="5" t="inlineStr">
        <is>
          <t>01a1212c-955c-7651-9024-45bf94a3ca5b</t>
        </is>
      </c>
      <c r="D671" s="5" t="inlineStr">
        <is>
          <t>01a1212c-4b57-70cf-80fd-c2192cb3bf81</t>
        </is>
      </c>
      <c r="E671" s="4" t="n">
        <v>46304.62421737188</v>
      </c>
      <c r="F671" s="4" t="n">
        <v>46304.624217372</v>
      </c>
      <c r="G671" t="b">
        <v>1</v>
      </c>
      <c r="H671" s="3" t="inlineStr">
        <is>
          <t>This parcel was created by splitting parcel 01a1212c-6c87-70ea-a508-19437734ce23 by multiplier 20</t>
        </is>
      </c>
      <c r="I671" t="inlineStr">
        <is>
          <t>parcel</t>
        </is>
      </c>
      <c r="J671" s="5" t="inlineStr">
        <is>
          <t>01a1212c-9558-719a-8282-aa936683e6c3</t>
        </is>
      </c>
    </row>
    <row r="672">
      <c r="A672" s="5" t="inlineStr">
        <is>
          <t>01a1212c-955e-709b-9355-52b08739c213</t>
        </is>
      </c>
      <c r="D672" s="5" t="inlineStr">
        <is>
          <t>01a1212c-4b57-70cf-80fd-c2192cb3bf81</t>
        </is>
      </c>
      <c r="E672" s="4" t="n">
        <v>46304.62421738525</v>
      </c>
      <c r="F672" s="4" t="n">
        <v>46304.62421738532</v>
      </c>
      <c r="G672" t="b">
        <v>1</v>
      </c>
      <c r="H672" s="3" t="inlineStr">
        <is>
          <t>This parcel was split with multipler 20, then marked as INACTIVE. New parcel is 01a1212c-9558-719a-8282-aa936683e6c3.</t>
        </is>
      </c>
      <c r="I672" t="inlineStr">
        <is>
          <t>parcel</t>
        </is>
      </c>
      <c r="J672" s="5" t="inlineStr">
        <is>
          <t>01a1212c-6c87-70ea-a508-19437734ce23</t>
        </is>
      </c>
    </row>
    <row r="673">
      <c r="A673" s="5" t="inlineStr">
        <is>
          <t>01a1212c-9566-7024-b9d7-035c6a2014b6</t>
        </is>
      </c>
      <c r="D673" s="5" t="inlineStr">
        <is>
          <t>01a1212c-4b57-70cf-80fd-c2192cb3bf81</t>
        </is>
      </c>
      <c r="E673" s="4" t="n">
        <v>46304.62421747916</v>
      </c>
      <c r="F673" s="4" t="n">
        <v>46304.62421747925</v>
      </c>
      <c r="G673" t="b">
        <v>1</v>
      </c>
      <c r="H673" s="3" t="inlineStr">
        <is>
          <t>This parcel was created by splitting parcel 01a1212c-6f2a-72fc-951c-e1b3b59a3675 by multiplier 20</t>
        </is>
      </c>
      <c r="I673" t="inlineStr">
        <is>
          <t>parcel</t>
        </is>
      </c>
      <c r="J673" s="5" t="inlineStr">
        <is>
          <t>01a1212c-9562-7501-a3a2-e2ad4cc2a1a5</t>
        </is>
      </c>
    </row>
    <row r="674">
      <c r="A674" s="5" t="inlineStr">
        <is>
          <t>01a1212c-9567-7683-8610-fd5ca3754a39</t>
        </is>
      </c>
      <c r="D674" s="5" t="inlineStr">
        <is>
          <t>01a1212c-4b57-70cf-80fd-c2192cb3bf81</t>
        </is>
      </c>
      <c r="E674" s="4" t="n">
        <v>46304.62421749393</v>
      </c>
      <c r="F674" s="4" t="n">
        <v>46304.62421749399</v>
      </c>
      <c r="G674" t="b">
        <v>1</v>
      </c>
      <c r="H674" s="3" t="inlineStr">
        <is>
          <t>This parcel was split with multipler 20, then marked as INACTIVE. New parcel is 01a1212c-9562-7501-a3a2-e2ad4cc2a1a5.</t>
        </is>
      </c>
      <c r="I674" t="inlineStr">
        <is>
          <t>parcel</t>
        </is>
      </c>
      <c r="J674" s="5" t="inlineStr">
        <is>
          <t>01a1212c-6f2a-72fc-951c-e1b3b59a3675</t>
        </is>
      </c>
    </row>
    <row r="675">
      <c r="A675" s="5" t="inlineStr">
        <is>
          <t>01a1212c-956f-7400-833e-c0d1a433692e</t>
        </is>
      </c>
      <c r="D675" s="5" t="inlineStr">
        <is>
          <t>01a1212c-4b57-70cf-80fd-c2192cb3bf81</t>
        </is>
      </c>
      <c r="E675" s="4" t="n">
        <v>46304.62421758859</v>
      </c>
      <c r="F675" s="4" t="n">
        <v>46304.62421758866</v>
      </c>
      <c r="G675" t="b">
        <v>1</v>
      </c>
      <c r="H675" s="3" t="inlineStr">
        <is>
          <t>This parcel was created by splitting parcel 01a1212c-6f6a-77eb-9cc2-fc7b8077ff4c by multiplier 20</t>
        </is>
      </c>
      <c r="I675" t="inlineStr">
        <is>
          <t>parcel</t>
        </is>
      </c>
      <c r="J675" s="5" t="inlineStr">
        <is>
          <t>01a1212c-956b-77b5-95e3-19ca811da995</t>
        </is>
      </c>
    </row>
    <row r="676">
      <c r="A676" s="5" t="inlineStr">
        <is>
          <t>01a1212c-9570-7617-b4d0-ef76e9463ddc</t>
        </is>
      </c>
      <c r="D676" s="5" t="inlineStr">
        <is>
          <t>01a1212c-4b57-70cf-80fd-c2192cb3bf81</t>
        </is>
      </c>
      <c r="E676" s="4" t="n">
        <v>46304.62421760421</v>
      </c>
      <c r="F676" s="4" t="n">
        <v>46304.62421760428</v>
      </c>
      <c r="G676" t="b">
        <v>1</v>
      </c>
      <c r="H676" s="3" t="inlineStr">
        <is>
          <t>This parcel was split with multipler 20, then marked as INACTIVE. New parcel is 01a1212c-956b-77b5-95e3-19ca811da995.</t>
        </is>
      </c>
      <c r="I676" t="inlineStr">
        <is>
          <t>parcel</t>
        </is>
      </c>
      <c r="J676" s="5" t="inlineStr">
        <is>
          <t>01a1212c-6f6a-77eb-9cc2-fc7b8077ff4c</t>
        </is>
      </c>
    </row>
    <row r="677">
      <c r="A677" s="5" t="inlineStr">
        <is>
          <t>01a1212c-9579-7234-b8ec-7c67f8cfc42c</t>
        </is>
      </c>
      <c r="D677" s="5" t="inlineStr">
        <is>
          <t>01a1212c-4b57-70cf-80fd-c2192cb3bf81</t>
        </is>
      </c>
      <c r="E677" s="4" t="n">
        <v>46304.62421770106</v>
      </c>
      <c r="F677" s="4" t="n">
        <v>46304.62421770114</v>
      </c>
      <c r="G677" t="b">
        <v>1</v>
      </c>
      <c r="H677" s="3" t="inlineStr">
        <is>
          <t>This parcel was created by splitting parcel 01a1212c-70a9-75ca-85f0-85669f6327ea by multiplier 20</t>
        </is>
      </c>
      <c r="I677" t="inlineStr">
        <is>
          <t>parcel</t>
        </is>
      </c>
      <c r="J677" s="5" t="inlineStr">
        <is>
          <t>01a1212c-9574-73b2-940e-ce77245432c9</t>
        </is>
      </c>
    </row>
    <row r="678">
      <c r="A678" s="5" t="inlineStr">
        <is>
          <t>01a1212c-957a-7797-aca0-e5e8ea8a1069</t>
        </is>
      </c>
      <c r="D678" s="5" t="inlineStr">
        <is>
          <t>01a1212c-4b57-70cf-80fd-c2192cb3bf81</t>
        </is>
      </c>
      <c r="E678" s="4" t="n">
        <v>46304.62421771823</v>
      </c>
      <c r="F678" s="4" t="n">
        <v>46304.6242177183</v>
      </c>
      <c r="G678" t="b">
        <v>1</v>
      </c>
      <c r="H678" s="3" t="inlineStr">
        <is>
          <t>This parcel was split with multipler 20, then marked as INACTIVE. New parcel is 01a1212c-9574-73b2-940e-ce77245432c9.</t>
        </is>
      </c>
      <c r="I678" t="inlineStr">
        <is>
          <t>parcel</t>
        </is>
      </c>
      <c r="J678" s="5" t="inlineStr">
        <is>
          <t>01a1212c-70a9-75ca-85f0-85669f6327ea</t>
        </is>
      </c>
    </row>
    <row r="679">
      <c r="A679" s="5" t="inlineStr">
        <is>
          <t>01a1212c-9583-73ed-a274-1519aa3e8cbb</t>
        </is>
      </c>
      <c r="D679" s="5" t="inlineStr">
        <is>
          <t>01a1212c-4b57-70cf-80fd-c2192cb3bf81</t>
        </is>
      </c>
      <c r="E679" s="4" t="n">
        <v>46304.62421781788</v>
      </c>
      <c r="F679" s="4" t="n">
        <v>46304.62421781796</v>
      </c>
      <c r="G679" t="b">
        <v>1</v>
      </c>
      <c r="H679" s="3" t="inlineStr">
        <is>
          <t>This parcel was created by splitting parcel 01a1212c-70c0-772a-966f-363572dc7f77 by multiplier 20</t>
        </is>
      </c>
      <c r="I679" t="inlineStr">
        <is>
          <t>parcel</t>
        </is>
      </c>
      <c r="J679" s="5" t="inlineStr">
        <is>
          <t>01a1212c-957f-77ef-95c5-2bd2b07ba4ad</t>
        </is>
      </c>
    </row>
    <row r="680">
      <c r="A680" s="5" t="inlineStr">
        <is>
          <t>01a1212c-9584-7148-af1f-5d0b6b72472f</t>
        </is>
      </c>
      <c r="D680" s="5" t="inlineStr">
        <is>
          <t>01a1212c-4b57-70cf-80fd-c2192cb3bf81</t>
        </is>
      </c>
      <c r="E680" s="4" t="n">
        <v>46304.62421783218</v>
      </c>
      <c r="F680" s="4" t="n">
        <v>46304.62421783227</v>
      </c>
      <c r="G680" t="b">
        <v>1</v>
      </c>
      <c r="H680" s="3" t="inlineStr">
        <is>
          <t>This parcel was split with multipler 20, then marked as INACTIVE. New parcel is 01a1212c-957f-77ef-95c5-2bd2b07ba4ad.</t>
        </is>
      </c>
      <c r="I680" t="inlineStr">
        <is>
          <t>parcel</t>
        </is>
      </c>
      <c r="J680" s="5" t="inlineStr">
        <is>
          <t>01a1212c-70c0-772a-966f-363572dc7f77</t>
        </is>
      </c>
    </row>
    <row r="681">
      <c r="A681" s="5" t="inlineStr">
        <is>
          <t>01a1212c-958d-7063-a1d9-60bac9e11ba1</t>
        </is>
      </c>
      <c r="D681" s="5" t="inlineStr">
        <is>
          <t>01a1212c-4b57-70cf-80fd-c2192cb3bf81</t>
        </is>
      </c>
      <c r="E681" s="4" t="n">
        <v>46304.62421793947</v>
      </c>
      <c r="F681" s="4" t="n">
        <v>46304.62421793957</v>
      </c>
      <c r="G681" t="b">
        <v>1</v>
      </c>
      <c r="H681" s="3" t="inlineStr">
        <is>
          <t>This parcel was created by splitting parcel 01a1212c-736b-73df-bd22-6fadaba8c1fd by multiplier 20</t>
        </is>
      </c>
      <c r="I681" t="inlineStr">
        <is>
          <t>parcel</t>
        </is>
      </c>
      <c r="J681" s="5" t="inlineStr">
        <is>
          <t>01a1212c-9589-715d-81e9-87e286a37b33</t>
        </is>
      </c>
    </row>
    <row r="682">
      <c r="A682" s="5" t="inlineStr">
        <is>
          <t>01a1212c-958f-76cf-bdbe-82518ee2bbd3</t>
        </is>
      </c>
      <c r="D682" s="5" t="inlineStr">
        <is>
          <t>01a1212c-4b57-70cf-80fd-c2192cb3bf81</t>
        </is>
      </c>
      <c r="E682" s="4" t="n">
        <v>46304.62421795489</v>
      </c>
      <c r="F682" s="4" t="n">
        <v>46304.62421795497</v>
      </c>
      <c r="G682" t="b">
        <v>1</v>
      </c>
      <c r="H682" s="3" t="inlineStr">
        <is>
          <t>This parcel was split with multipler 20, then marked as INACTIVE. New parcel is 01a1212c-9589-715d-81e9-87e286a37b33.</t>
        </is>
      </c>
      <c r="I682" t="inlineStr">
        <is>
          <t>parcel</t>
        </is>
      </c>
      <c r="J682" s="5" t="inlineStr">
        <is>
          <t>01a1212c-736b-73df-bd22-6fadaba8c1fd</t>
        </is>
      </c>
    </row>
    <row r="683">
      <c r="A683" s="5" t="inlineStr">
        <is>
          <t>01a1212c-9597-7493-ac4e-a6d5430b8817</t>
        </is>
      </c>
      <c r="D683" s="5" t="inlineStr">
        <is>
          <t>01a1212c-4b57-70cf-80fd-c2192cb3bf81</t>
        </is>
      </c>
      <c r="E683" s="4" t="n">
        <v>46304.62421805369</v>
      </c>
      <c r="F683" s="4" t="n">
        <v>46304.62421805377</v>
      </c>
      <c r="G683" t="b">
        <v>1</v>
      </c>
      <c r="H683" s="3" t="inlineStr">
        <is>
          <t>This parcel was created by splitting parcel 01a1212c-7449-7178-9abe-7dae925a4d57 by multiplier 20</t>
        </is>
      </c>
      <c r="I683" t="inlineStr">
        <is>
          <t>parcel</t>
        </is>
      </c>
      <c r="J683" s="5" t="inlineStr">
        <is>
          <t>01a1212c-9593-732d-a986-394bf651d98d</t>
        </is>
      </c>
    </row>
    <row r="684">
      <c r="A684" s="5" t="inlineStr">
        <is>
          <t>01a1212c-9598-750f-bef2-076555b9225e</t>
        </is>
      </c>
      <c r="D684" s="5" t="inlineStr">
        <is>
          <t>01a1212c-4b57-70cf-80fd-c2192cb3bf81</t>
        </is>
      </c>
      <c r="E684" s="4" t="n">
        <v>46304.62421806787</v>
      </c>
      <c r="F684" s="4" t="n">
        <v>46304.62421806794</v>
      </c>
      <c r="G684" t="b">
        <v>1</v>
      </c>
      <c r="H684" s="3" t="inlineStr">
        <is>
          <t>This parcel was split with multipler 20, then marked as INACTIVE. New parcel is 01a1212c-9593-732d-a986-394bf651d98d.</t>
        </is>
      </c>
      <c r="I684" t="inlineStr">
        <is>
          <t>parcel</t>
        </is>
      </c>
      <c r="J684" s="5" t="inlineStr">
        <is>
          <t>01a1212c-7449-7178-9abe-7dae925a4d57</t>
        </is>
      </c>
    </row>
    <row r="685">
      <c r="A685" s="5" t="inlineStr">
        <is>
          <t>01a1212c-95a2-76dd-aa3f-aba26302db88</t>
        </is>
      </c>
      <c r="D685" s="5" t="inlineStr">
        <is>
          <t>01a1212c-4b57-70cf-80fd-c2192cb3bf81</t>
        </is>
      </c>
      <c r="E685" s="4" t="n">
        <v>46304.6242181727</v>
      </c>
      <c r="F685" s="4" t="n">
        <v>46304.62421817276</v>
      </c>
      <c r="G685" t="b">
        <v>1</v>
      </c>
      <c r="H685" s="3" t="inlineStr">
        <is>
          <t>This parcel was created by splitting parcel 01a1212c-7602-762d-a695-8bacc5cebbca by multiplier 20</t>
        </is>
      </c>
      <c r="I685" t="inlineStr">
        <is>
          <t>parcel</t>
        </is>
      </c>
      <c r="J685" s="5" t="inlineStr">
        <is>
          <t>01a1212c-959d-77df-97db-52c79980eae9</t>
        </is>
      </c>
    </row>
    <row r="686">
      <c r="A686" s="5" t="inlineStr">
        <is>
          <t>01a1212c-95a3-730b-babe-80865fc40fdb</t>
        </is>
      </c>
      <c r="D686" s="5" t="inlineStr">
        <is>
          <t>01a1212c-4b57-70cf-80fd-c2192cb3bf81</t>
        </is>
      </c>
      <c r="E686" s="4" t="n">
        <v>46304.62421818649</v>
      </c>
      <c r="F686" s="4" t="n">
        <v>46304.62421818656</v>
      </c>
      <c r="G686" t="b">
        <v>1</v>
      </c>
      <c r="H686" s="3" t="inlineStr">
        <is>
          <t>This parcel was split with multipler 20, then marked as INACTIVE. New parcel is 01a1212c-959d-77df-97db-52c79980eae9.</t>
        </is>
      </c>
      <c r="I686" t="inlineStr">
        <is>
          <t>parcel</t>
        </is>
      </c>
      <c r="J686" s="5" t="inlineStr">
        <is>
          <t>01a1212c-7602-762d-a695-8bacc5cebbca</t>
        </is>
      </c>
    </row>
    <row r="687">
      <c r="A687" s="5" t="inlineStr">
        <is>
          <t>01a1212c-95ac-73a0-a446-cd879a0dd1c8</t>
        </is>
      </c>
      <c r="D687" s="5" t="inlineStr">
        <is>
          <t>01a1212c-4b57-70cf-80fd-c2192cb3bf81</t>
        </is>
      </c>
      <c r="E687" s="4" t="n">
        <v>46304.62421828834</v>
      </c>
      <c r="F687" s="4" t="n">
        <v>46304.62421828845</v>
      </c>
      <c r="G687" t="b">
        <v>1</v>
      </c>
      <c r="H687" s="3" t="inlineStr">
        <is>
          <t>This parcel was created by splitting parcel 01a1212c-7671-767d-96fc-2f49859fdb63 by multiplier 20</t>
        </is>
      </c>
      <c r="I687" t="inlineStr">
        <is>
          <t>parcel</t>
        </is>
      </c>
      <c r="J687" s="5" t="inlineStr">
        <is>
          <t>01a1212c-95a7-763c-b693-c3e4da527d5f</t>
        </is>
      </c>
    </row>
    <row r="688">
      <c r="A688" s="5" t="inlineStr">
        <is>
          <t>01a1212c-95ad-773a-86de-12b0d7d879a2</t>
        </is>
      </c>
      <c r="D688" s="5" t="inlineStr">
        <is>
          <t>01a1212c-4b57-70cf-80fd-c2192cb3bf81</t>
        </is>
      </c>
      <c r="E688" s="4" t="n">
        <v>46304.62421830259</v>
      </c>
      <c r="F688" s="4" t="n">
        <v>46304.62421830268</v>
      </c>
      <c r="G688" t="b">
        <v>1</v>
      </c>
      <c r="H688" s="3" t="inlineStr">
        <is>
          <t>This parcel was split with multipler 20, then marked as INACTIVE. New parcel is 01a1212c-95a7-763c-b693-c3e4da527d5f.</t>
        </is>
      </c>
      <c r="I688" t="inlineStr">
        <is>
          <t>parcel</t>
        </is>
      </c>
      <c r="J688" s="5" t="inlineStr">
        <is>
          <t>01a1212c-7671-767d-96fc-2f49859fdb63</t>
        </is>
      </c>
    </row>
    <row r="689">
      <c r="A689" s="5" t="inlineStr">
        <is>
          <t>01a1212c-95b5-7398-a5a7-abc9935f7fdf</t>
        </is>
      </c>
      <c r="D689" s="5" t="inlineStr">
        <is>
          <t>01a1212c-4b57-70cf-80fd-c2192cb3bf81</t>
        </is>
      </c>
      <c r="E689" s="4" t="n">
        <v>46304.62421839574</v>
      </c>
      <c r="F689" s="4" t="n">
        <v>46304.62421839582</v>
      </c>
      <c r="G689" t="b">
        <v>1</v>
      </c>
      <c r="H689" s="3" t="inlineStr">
        <is>
          <t>This parcel was created by splitting parcel 01a1212c-7881-75f1-91e2-0e9d58316516 by multiplier 20</t>
        </is>
      </c>
      <c r="I689" t="inlineStr">
        <is>
          <t>parcel</t>
        </is>
      </c>
      <c r="J689" s="5" t="inlineStr">
        <is>
          <t>01a1212c-95b1-77e9-b5ec-f75b710b916a</t>
        </is>
      </c>
    </row>
    <row r="690">
      <c r="A690" s="5" t="inlineStr">
        <is>
          <t>01a1212c-95b6-7378-88f1-b2e8eec96730</t>
        </is>
      </c>
      <c r="D690" s="5" t="inlineStr">
        <is>
          <t>01a1212c-4b57-70cf-80fd-c2192cb3bf81</t>
        </is>
      </c>
      <c r="E690" s="4" t="n">
        <v>46304.62421840943</v>
      </c>
      <c r="F690" s="4" t="n">
        <v>46304.6242184095</v>
      </c>
      <c r="G690" t="b">
        <v>1</v>
      </c>
      <c r="H690" s="3" t="inlineStr">
        <is>
          <t>This parcel was split with multipler 20, then marked as INACTIVE. New parcel is 01a1212c-95b1-77e9-b5ec-f75b710b916a.</t>
        </is>
      </c>
      <c r="I690" t="inlineStr">
        <is>
          <t>parcel</t>
        </is>
      </c>
      <c r="J690" s="5" t="inlineStr">
        <is>
          <t>01a1212c-7881-75f1-91e2-0e9d58316516</t>
        </is>
      </c>
    </row>
    <row r="691">
      <c r="A691" s="5" t="inlineStr">
        <is>
          <t>01a1212c-95ff-755c-9019-6257be217203</t>
        </is>
      </c>
      <c r="D691" s="5" t="inlineStr">
        <is>
          <t>01a1212c-4b57-70cf-80fd-c2192cb3bf81</t>
        </is>
      </c>
      <c r="E691" s="4" t="n">
        <v>46304.62421925301</v>
      </c>
      <c r="F691" s="4" t="n">
        <v>46304.62421925308</v>
      </c>
      <c r="G691" t="b">
        <v>1</v>
      </c>
      <c r="H691" s="3" t="inlineStr">
        <is>
          <t>Added fraction 0.001006315497258657783329863280 of cost base adjustment 01a1212c-95f5-76f4-bbee-039f3f452abb | 2022-06-30 | Adjustment of A200 | Cost base increase = A$147.91</t>
        </is>
      </c>
      <c r="I691" t="inlineStr">
        <is>
          <t>cost base adjustment allocation</t>
        </is>
      </c>
      <c r="J691" s="5" t="inlineStr">
        <is>
          <t>01a1212c-95f9-73ac-ba24-c31b43e6e54f</t>
        </is>
      </c>
    </row>
    <row r="692">
      <c r="A692" s="5" t="inlineStr">
        <is>
          <t>01a1212c-9605-7570-b9a3-c93c9f3f94da</t>
        </is>
      </c>
      <c r="D692" s="5" t="inlineStr">
        <is>
          <t>01a1212c-4b57-70cf-80fd-c2192cb3bf81</t>
        </is>
      </c>
      <c r="E692" s="4" t="n">
        <v>46304.62421931986</v>
      </c>
      <c r="F692" s="4" t="n">
        <v>46304.62421931993</v>
      </c>
      <c r="G692" t="b">
        <v>1</v>
      </c>
      <c r="H692" s="3" t="inlineStr">
        <is>
          <t>Added fraction 0.003070997293358317718092858630 of cost base adjustment 01a1212c-95f5-76f4-bbee-039f3f452abb | 2022-06-30 | Adjustment of A200 | Cost base increase = A$147.91</t>
        </is>
      </c>
      <c r="I692" t="inlineStr">
        <is>
          <t>cost base adjustment allocation</t>
        </is>
      </c>
      <c r="J692" s="5" t="inlineStr">
        <is>
          <t>01a1212c-9600-74b1-b23c-1b3b156629bc</t>
        </is>
      </c>
    </row>
    <row r="693">
      <c r="A693" s="5" t="inlineStr">
        <is>
          <t>01a1212c-960b-7736-8d17-5833c3d8072d</t>
        </is>
      </c>
      <c r="D693" s="5" t="inlineStr">
        <is>
          <t>01a1212c-4b57-70cf-80fd-c2192cb3bf81</t>
        </is>
      </c>
      <c r="E693" s="4" t="n">
        <v>46304.62421939014</v>
      </c>
      <c r="F693" s="4" t="n">
        <v>46304.62421939023</v>
      </c>
      <c r="G693" t="b">
        <v>1</v>
      </c>
      <c r="H693" s="3" t="inlineStr">
        <is>
          <t>Added fraction 0.003470053438822957873551252689 of cost base adjustment 01a1212c-95f5-76f4-bbee-039f3f452abb | 2022-06-30 | Adjustment of A200 | Cost base increase = A$147.91</t>
        </is>
      </c>
      <c r="I693" t="inlineStr">
        <is>
          <t>cost base adjustment allocation</t>
        </is>
      </c>
      <c r="J693" s="5" t="inlineStr">
        <is>
          <t>01a1212c-9605-7570-b9a3-c93d51a2c44b</t>
        </is>
      </c>
    </row>
    <row r="694">
      <c r="A694" s="5" t="inlineStr">
        <is>
          <t>01a1212c-9611-7100-b2fd-48a38d8d7b80</t>
        </is>
      </c>
      <c r="D694" s="5" t="inlineStr">
        <is>
          <t>01a1212c-4b57-70cf-80fd-c2192cb3bf81</t>
        </is>
      </c>
      <c r="E694" s="4" t="n">
        <v>46304.62421945921</v>
      </c>
      <c r="F694" s="4" t="n">
        <v>46304.62421945931</v>
      </c>
      <c r="G694" t="b">
        <v>1</v>
      </c>
      <c r="H694" s="3" t="inlineStr">
        <is>
          <t>Added fraction 0.004164064126587549448261503227 of cost base adjustment 01a1212c-95f5-76f4-bbee-039f3f452abb | 2022-06-30 | Adjustment of A200 | Cost base increase = A$147.91</t>
        </is>
      </c>
      <c r="I694" t="inlineStr">
        <is>
          <t>cost base adjustment allocation</t>
        </is>
      </c>
      <c r="J694" s="5" t="inlineStr">
        <is>
          <t>01a1212c-960b-7736-8d17-5834b031ddae</t>
        </is>
      </c>
    </row>
    <row r="695">
      <c r="A695" s="5" t="inlineStr">
        <is>
          <t>01a1212c-9617-775d-bfab-84ff86d14432</t>
        </is>
      </c>
      <c r="D695" s="5" t="inlineStr">
        <is>
          <t>01a1212c-4b57-70cf-80fd-c2192cb3bf81</t>
        </is>
      </c>
      <c r="E695" s="4" t="n">
        <v>46304.62421952879</v>
      </c>
      <c r="F695" s="4" t="n">
        <v>46304.62421952888</v>
      </c>
      <c r="G695" t="b">
        <v>1</v>
      </c>
      <c r="H695" s="3" t="inlineStr">
        <is>
          <t>Added fraction 0.004580470539246304393087653550 of cost base adjustment 01a1212c-95f5-76f4-bbee-039f3f452abb | 2022-06-30 | Adjustment of A200 | Cost base increase = A$147.91</t>
        </is>
      </c>
      <c r="I695" t="inlineStr">
        <is>
          <t>cost base adjustment allocation</t>
        </is>
      </c>
      <c r="J695" s="5" t="inlineStr">
        <is>
          <t>01a1212c-9611-7100-b2fd-48a4ea934661</t>
        </is>
      </c>
    </row>
    <row r="696">
      <c r="A696" s="5" t="inlineStr">
        <is>
          <t>01a1212c-961e-72e5-b9b5-0d640deb5e38</t>
        </is>
      </c>
      <c r="D696" s="5" t="inlineStr">
        <is>
          <t>01a1212c-4b57-70cf-80fd-c2192cb3bf81</t>
        </is>
      </c>
      <c r="E696" s="4" t="n">
        <v>46304.6242196138</v>
      </c>
      <c r="F696" s="4" t="n">
        <v>46304.62421961391</v>
      </c>
      <c r="G696" t="b">
        <v>1</v>
      </c>
      <c r="H696" s="3" t="inlineStr">
        <is>
          <t>Added fraction 0.008328128253175098896523006454 of cost base adjustment 01a1212c-95f5-76f4-bbee-039f3f452abb | 2022-06-30 | Adjustment of A200 | Cost base increase = A$147.91</t>
        </is>
      </c>
      <c r="I696" t="inlineStr">
        <is>
          <t>cost base adjustment allocation</t>
        </is>
      </c>
      <c r="J696" s="5" t="inlineStr">
        <is>
          <t>01a1212c-9618-77f1-b222-24aac4cd50ac</t>
        </is>
      </c>
    </row>
    <row r="697">
      <c r="A697" s="5" t="inlineStr">
        <is>
          <t>01a1212c-9624-71b2-8daf-2ad544906727</t>
        </is>
      </c>
      <c r="D697" s="5" t="inlineStr">
        <is>
          <t>01a1212c-4b57-70cf-80fd-c2192cb3bf81</t>
        </is>
      </c>
      <c r="E697" s="4" t="n">
        <v>46304.624219686</v>
      </c>
      <c r="F697" s="4" t="n">
        <v>46304.62421968609</v>
      </c>
      <c r="G697" t="b">
        <v>1</v>
      </c>
      <c r="H697" s="3" t="inlineStr">
        <is>
          <t>Added fraction 0.009265042681657297522381844680 of cost base adjustment 01a1212c-95f5-76f4-bbee-039f3f452abb | 2022-06-30 | Adjustment of A200 | Cost base increase = A$147.91</t>
        </is>
      </c>
      <c r="I697" t="inlineStr">
        <is>
          <t>cost base adjustment allocation</t>
        </is>
      </c>
      <c r="J697" s="5" t="inlineStr">
        <is>
          <t>01a1212c-961f-719d-8b6a-a91a35459d7c</t>
        </is>
      </c>
    </row>
    <row r="698">
      <c r="A698" s="5" t="inlineStr">
        <is>
          <t>01a1212c-962b-77df-8a4a-9ee5e970b56a</t>
        </is>
      </c>
      <c r="D698" s="5" t="inlineStr">
        <is>
          <t>01a1212c-4b57-70cf-80fd-c2192cb3bf81</t>
        </is>
      </c>
      <c r="E698" s="4" t="n">
        <v>46304.62421975865</v>
      </c>
      <c r="F698" s="4" t="n">
        <v>46304.62421975873</v>
      </c>
      <c r="G698" t="b">
        <v>1</v>
      </c>
      <c r="H698" s="3" t="inlineStr">
        <is>
          <t>Added fraction 0.01055474587641983019871839360 of cost base adjustment 01a1212c-95f5-76f4-bbee-039f3f452abb | 2022-06-30 | Adjustment of A200 | Cost base increase = A$147.91</t>
        </is>
      </c>
      <c r="I698" t="inlineStr">
        <is>
          <t>cost base adjustment allocation</t>
        </is>
      </c>
      <c r="J698" s="5" t="inlineStr">
        <is>
          <t>01a1212c-9625-741a-af77-d605490d57cd</t>
        </is>
      </c>
    </row>
    <row r="699">
      <c r="A699" s="5" t="inlineStr">
        <is>
          <t>01a1212c-9631-733e-bff7-42266170c7a2</t>
        </is>
      </c>
      <c r="D699" s="5" t="inlineStr">
        <is>
          <t>01a1212c-4b57-70cf-80fd-c2192cb3bf81</t>
        </is>
      </c>
      <c r="E699" s="4" t="n">
        <v>46304.62421982757</v>
      </c>
      <c r="F699" s="4" t="n">
        <v>46304.62421982765</v>
      </c>
      <c r="G699" t="b">
        <v>1</v>
      </c>
      <c r="H699" s="3" t="inlineStr">
        <is>
          <t>Added fraction 0.01197168436393920466375182178 of cost base adjustment 01a1212c-95f5-76f4-bbee-039f3f452abb | 2022-06-30 | Adjustment of A200 | Cost base increase = A$147.91</t>
        </is>
      </c>
      <c r="I699" t="inlineStr">
        <is>
          <t>cost base adjustment allocation</t>
        </is>
      </c>
      <c r="J699" s="5" t="inlineStr">
        <is>
          <t>01a1212c-962b-77df-8a4a-9ee6d415d2cd</t>
        </is>
      </c>
    </row>
    <row r="700">
      <c r="A700" s="5" t="inlineStr">
        <is>
          <t>01a1212c-9636-74cc-9160-1f8700b72ed3</t>
        </is>
      </c>
      <c r="D700" s="5" t="inlineStr">
        <is>
          <t>01a1212c-4b57-70cf-80fd-c2192cb3bf81</t>
        </is>
      </c>
      <c r="E700" s="4" t="n">
        <v>46304.62421989634</v>
      </c>
      <c r="F700" s="4" t="n">
        <v>46304.62421989642</v>
      </c>
      <c r="G700" t="b">
        <v>1</v>
      </c>
      <c r="H700" s="3" t="inlineStr">
        <is>
          <t>Added fraction 0.01266569505170379623846207232 of cost base adjustment 01a1212c-95f5-76f4-bbee-039f3f452abb | 2022-06-30 | Adjustment of A200 | Cost base increase = A$147.91</t>
        </is>
      </c>
      <c r="I700" t="inlineStr">
        <is>
          <t>cost base adjustment allocation</t>
        </is>
      </c>
      <c r="J700" s="5" t="inlineStr">
        <is>
          <t>01a1212c-9631-733e-bff7-4227d931f905</t>
        </is>
      </c>
    </row>
    <row r="701">
      <c r="A701" s="5" t="inlineStr">
        <is>
          <t>01a1212c-963d-71ed-b955-bd35e2050e94</t>
        </is>
      </c>
      <c r="D701" s="5" t="inlineStr">
        <is>
          <t>01a1212c-4b57-70cf-80fd-c2192cb3bf81</t>
        </is>
      </c>
      <c r="E701" s="4" t="n">
        <v>46304.62421996814</v>
      </c>
      <c r="F701" s="4" t="n">
        <v>46304.62421996822</v>
      </c>
      <c r="G701" t="b">
        <v>1</v>
      </c>
      <c r="H701" s="3" t="inlineStr">
        <is>
          <t>Added fraction 0.01477664422698776227820575104 of cost base adjustment 01a1212c-95f5-76f4-bbee-039f3f452abb | 2022-06-30 | Adjustment of A200 | Cost base increase = A$147.91</t>
        </is>
      </c>
      <c r="I701" t="inlineStr">
        <is>
          <t>cost base adjustment allocation</t>
        </is>
      </c>
      <c r="J701" s="5" t="inlineStr">
        <is>
          <t>01a1212c-9637-7729-a8a6-423cdde9b520</t>
        </is>
      </c>
    </row>
    <row r="702">
      <c r="A702" s="5" t="inlineStr">
        <is>
          <t>01a1212c-9643-7385-888b-27d57949e2fe</t>
        </is>
      </c>
      <c r="D702" s="5" t="inlineStr">
        <is>
          <t>01a1212c-4b57-70cf-80fd-c2192cb3bf81</t>
        </is>
      </c>
      <c r="E702" s="4" t="n">
        <v>46304.62422003617</v>
      </c>
      <c r="F702" s="4" t="n">
        <v>46304.62422003625</v>
      </c>
      <c r="G702" t="b">
        <v>1</v>
      </c>
      <c r="H702" s="3" t="inlineStr">
        <is>
          <t>Added fraction 0.01551113887153862169477409952 of cost base adjustment 01a1212c-95f5-76f4-bbee-039f3f452abb | 2022-06-30 | Adjustment of A200 | Cost base increase = A$147.91</t>
        </is>
      </c>
      <c r="I702" t="inlineStr">
        <is>
          <t>cost base adjustment allocation</t>
        </is>
      </c>
      <c r="J702" s="5" t="inlineStr">
        <is>
          <t>01a1212c-963d-71ed-b955-bd3610f4383b</t>
        </is>
      </c>
    </row>
    <row r="703">
      <c r="A703" s="5" t="inlineStr">
        <is>
          <t>01a1212c-9648-7171-bb2e-dd56fc23e25d</t>
        </is>
      </c>
      <c r="D703" s="5" t="inlineStr">
        <is>
          <t>01a1212c-4b57-70cf-80fd-c2192cb3bf81</t>
        </is>
      </c>
      <c r="E703" s="4" t="n">
        <v>46304.62422010162</v>
      </c>
      <c r="F703" s="4" t="n">
        <v>46304.62422010176</v>
      </c>
      <c r="G703" t="b">
        <v>1</v>
      </c>
      <c r="H703" s="3" t="inlineStr">
        <is>
          <t>Added fraction 0.01688759340227172831794942975 of cost base adjustment 01a1212c-95f5-76f4-bbee-039f3f452abb | 2022-06-30 | Adjustment of A200 | Cost base increase = A$147.91</t>
        </is>
      </c>
      <c r="I703" t="inlineStr">
        <is>
          <t>cost base adjustment allocation</t>
        </is>
      </c>
      <c r="J703" s="5" t="inlineStr">
        <is>
          <t>01a1212c-9643-7385-888b-27d61f1dca9d</t>
        </is>
      </c>
    </row>
    <row r="704">
      <c r="A704" s="5" t="inlineStr">
        <is>
          <t>01a1212c-964f-7698-91f1-739445d3fe62</t>
        </is>
      </c>
      <c r="D704" s="5" t="inlineStr">
        <is>
          <t>01a1212c-4b57-70cf-80fd-c2192cb3bf81</t>
        </is>
      </c>
      <c r="E704" s="4" t="n">
        <v>46304.6242201848</v>
      </c>
      <c r="F704" s="4" t="n">
        <v>46304.62422018489</v>
      </c>
      <c r="G704" t="b">
        <v>1</v>
      </c>
      <c r="H704" s="3" t="inlineStr">
        <is>
          <t>Added fraction 0.01688759340227172831794942975 of cost base adjustment 01a1212c-95f5-76f4-bbee-039f3f452abb | 2022-06-30 | Adjustment of A200 | Cost base increase = A$147.91</t>
        </is>
      </c>
      <c r="I704" t="inlineStr">
        <is>
          <t>cost base adjustment allocation</t>
        </is>
      </c>
      <c r="J704" s="5" t="inlineStr">
        <is>
          <t>01a1212c-9649-771c-a177-d95a14706041</t>
        </is>
      </c>
    </row>
    <row r="705">
      <c r="A705" s="5" t="inlineStr">
        <is>
          <t>01a1212c-9655-726c-96f3-7a39387ddc21</t>
        </is>
      </c>
      <c r="D705" s="5" t="inlineStr">
        <is>
          <t>01a1212c-4b57-70cf-80fd-c2192cb3bf81</t>
        </is>
      </c>
      <c r="E705" s="4" t="n">
        <v>46304.6242202541</v>
      </c>
      <c r="F705" s="4" t="n">
        <v>46304.62422025418</v>
      </c>
      <c r="G705" t="b">
        <v>1</v>
      </c>
      <c r="H705" s="3" t="inlineStr">
        <is>
          <t>Added fraction 0.01688759340227172831794942975 of cost base adjustment 01a1212c-95f5-76f4-bbee-039f3f452abb | 2022-06-30 | Adjustment of A200 | Cost base increase = A$147.91</t>
        </is>
      </c>
      <c r="I705" t="inlineStr">
        <is>
          <t>cost base adjustment allocation</t>
        </is>
      </c>
      <c r="J705" s="5" t="inlineStr">
        <is>
          <t>01a1212c-9650-73d6-8819-b59fe9074938</t>
        </is>
      </c>
    </row>
    <row r="706">
      <c r="A706" s="5" t="inlineStr">
        <is>
          <t>01a1212c-965c-765e-8324-f47af87cf178</t>
        </is>
      </c>
      <c r="D706" s="5" t="inlineStr">
        <is>
          <t>01a1212c-4b57-70cf-80fd-c2192cb3bf81</t>
        </is>
      </c>
      <c r="E706" s="4" t="n">
        <v>46304.62422032902</v>
      </c>
      <c r="F706" s="4" t="n">
        <v>46304.62422032911</v>
      </c>
      <c r="G706" t="b">
        <v>1</v>
      </c>
      <c r="H706" s="3" t="inlineStr">
        <is>
          <t>Added fraction 0.01688759340227172831794942975 of cost base adjustment 01a1212c-95f5-76f4-bbee-039f3f452abb | 2022-06-30 | Adjustment of A200 | Cost base increase = A$147.91</t>
        </is>
      </c>
      <c r="I706" t="inlineStr">
        <is>
          <t>cost base adjustment allocation</t>
        </is>
      </c>
      <c r="J706" s="5" t="inlineStr">
        <is>
          <t>01a1212c-9656-75e5-9bbf-3a6885ea2c20</t>
        </is>
      </c>
    </row>
    <row r="707">
      <c r="A707" s="5" t="inlineStr">
        <is>
          <t>01a1212c-9662-73c1-a85b-add02827dd03</t>
        </is>
      </c>
      <c r="D707" s="5" t="inlineStr">
        <is>
          <t>01a1212c-4b57-70cf-80fd-c2192cb3bf81</t>
        </is>
      </c>
      <c r="E707" s="4" t="n">
        <v>46304.62422040194</v>
      </c>
      <c r="F707" s="4" t="n">
        <v>46304.62422040202</v>
      </c>
      <c r="G707" t="b">
        <v>1</v>
      </c>
      <c r="H707" s="3" t="inlineStr">
        <is>
          <t>Added fraction 0.01688759340227172831794942975 of cost base adjustment 01a1212c-95f5-76f4-bbee-039f3f452abb | 2022-06-30 | Adjustment of A200 | Cost base increase = A$147.91</t>
        </is>
      </c>
      <c r="I707" t="inlineStr">
        <is>
          <t>cost base adjustment allocation</t>
        </is>
      </c>
      <c r="J707" s="5" t="inlineStr">
        <is>
          <t>01a1212c-965d-72d3-b5d7-8ece2684f7c6</t>
        </is>
      </c>
    </row>
    <row r="708">
      <c r="A708" s="5" t="inlineStr">
        <is>
          <t>01a1212c-9668-742d-a7a4-dab687586a0b</t>
        </is>
      </c>
      <c r="D708" s="5" t="inlineStr">
        <is>
          <t>01a1212c-4b57-70cf-80fd-c2192cb3bf81</t>
        </is>
      </c>
      <c r="E708" s="4" t="n">
        <v>46304.62422046824</v>
      </c>
      <c r="F708" s="4" t="n">
        <v>46304.62422046832</v>
      </c>
      <c r="G708" t="b">
        <v>1</v>
      </c>
      <c r="H708" s="3" t="inlineStr">
        <is>
          <t>Added fraction 0.01688759340227172831794942975 of cost base adjustment 01a1212c-95f5-76f4-bbee-039f3f452abb | 2022-06-30 | Adjustment of A200 | Cost base increase = A$147.91</t>
        </is>
      </c>
      <c r="I708" t="inlineStr">
        <is>
          <t>cost base adjustment allocation</t>
        </is>
      </c>
      <c r="J708" s="5" t="inlineStr">
        <is>
          <t>01a1212c-9663-7248-87b7-b0942dab99bf</t>
        </is>
      </c>
    </row>
    <row r="709">
      <c r="A709" s="5" t="inlineStr">
        <is>
          <t>01a1212c-966e-7553-ba5f-26ec902c3473</t>
        </is>
      </c>
      <c r="D709" s="5" t="inlineStr">
        <is>
          <t>01a1212c-4b57-70cf-80fd-c2192cb3bf81</t>
        </is>
      </c>
      <c r="E709" s="4" t="n">
        <v>46304.62422054336</v>
      </c>
      <c r="F709" s="4" t="n">
        <v>46304.62422054346</v>
      </c>
      <c r="G709" t="b">
        <v>1</v>
      </c>
      <c r="H709" s="3" t="inlineStr">
        <is>
          <t>Added fraction 0.01688759340227172831794942975 of cost base adjustment 01a1212c-95f5-76f4-bbee-039f3f452abb | 2022-06-30 | Adjustment of A200 | Cost base increase = A$147.91</t>
        </is>
      </c>
      <c r="I709" t="inlineStr">
        <is>
          <t>cost base adjustment allocation</t>
        </is>
      </c>
      <c r="J709" s="5" t="inlineStr">
        <is>
          <t>01a1212c-9669-705c-97b5-2b88e21e403f</t>
        </is>
      </c>
    </row>
    <row r="710">
      <c r="A710" s="5" t="inlineStr">
        <is>
          <t>01a1212c-9674-711b-85e6-c51b6e2468ba</t>
        </is>
      </c>
      <c r="D710" s="5" t="inlineStr">
        <is>
          <t>01a1212c-4b57-70cf-80fd-c2192cb3bf81</t>
        </is>
      </c>
      <c r="E710" s="4" t="n">
        <v>46304.62422061383</v>
      </c>
      <c r="F710" s="4" t="n">
        <v>46304.62422061391</v>
      </c>
      <c r="G710" t="b">
        <v>1</v>
      </c>
      <c r="H710" s="3" t="inlineStr">
        <is>
          <t>Added fraction 0.01733291692692067457838850718 of cost base adjustment 01a1212c-95f5-76f4-bbee-039f3f452abb | 2022-06-30 | Adjustment of A200 | Cost base increase = A$147.91</t>
        </is>
      </c>
      <c r="I710" t="inlineStr">
        <is>
          <t>cost base adjustment allocation</t>
        </is>
      </c>
      <c r="J710" s="5" t="inlineStr">
        <is>
          <t>01a1212c-966f-7502-8461-12ff28dc3f44</t>
        </is>
      </c>
    </row>
    <row r="711">
      <c r="A711" s="5" t="inlineStr">
        <is>
          <t>01a1212c-967b-72f1-be31-574d31396b70</t>
        </is>
      </c>
      <c r="D711" s="5" t="inlineStr">
        <is>
          <t>01a1212c-4b57-70cf-80fd-c2192cb3bf81</t>
        </is>
      </c>
      <c r="E711" s="4" t="n">
        <v>46304.62422068552</v>
      </c>
      <c r="F711" s="4" t="n">
        <v>46304.62422068561</v>
      </c>
      <c r="G711" t="b">
        <v>1</v>
      </c>
      <c r="H711" s="3" t="inlineStr">
        <is>
          <t>Added fraction 0.01899854257755569435769310847 of cost base adjustment 01a1212c-95f5-76f4-bbee-039f3f452abb | 2022-06-30 | Adjustment of A200 | Cost base increase = A$147.91</t>
        </is>
      </c>
      <c r="I711" t="inlineStr">
        <is>
          <t>cost base adjustment allocation</t>
        </is>
      </c>
      <c r="J711" s="5" t="inlineStr">
        <is>
          <t>01a1212c-9675-741c-9a44-62a7e97b925c</t>
        </is>
      </c>
    </row>
    <row r="712">
      <c r="A712" s="5" t="inlineStr">
        <is>
          <t>01a1212c-9681-72ab-851b-e6e0909ea5d0</t>
        </is>
      </c>
      <c r="D712" s="5" t="inlineStr">
        <is>
          <t>01a1212c-4b57-70cf-80fd-c2192cb3bf81</t>
        </is>
      </c>
      <c r="E712" s="4" t="n">
        <v>46304.62422075596</v>
      </c>
      <c r="F712" s="4" t="n">
        <v>46304.62422075605</v>
      </c>
      <c r="G712" t="b">
        <v>1</v>
      </c>
      <c r="H712" s="3" t="inlineStr">
        <is>
          <t>Added fraction 0.01899854257755569435769310847 of cost base adjustment 01a1212c-95f5-76f4-bbee-039f3f452abb | 2022-06-30 | Adjustment of A200 | Cost base increase = A$147.91</t>
        </is>
      </c>
      <c r="I712" t="inlineStr">
        <is>
          <t>cost base adjustment allocation</t>
        </is>
      </c>
      <c r="J712" s="5" t="inlineStr">
        <is>
          <t>01a1212c-967b-72f1-be31-574e86929ad2</t>
        </is>
      </c>
    </row>
    <row r="713">
      <c r="A713" s="5" t="inlineStr">
        <is>
          <t>01a1212c-9687-75d2-a4ea-32fec875239f</t>
        </is>
      </c>
      <c r="D713" s="5" t="inlineStr">
        <is>
          <t>01a1212c-4b57-70cf-80fd-c2192cb3bf81</t>
        </is>
      </c>
      <c r="E713" s="4" t="n">
        <v>46304.6242208286</v>
      </c>
      <c r="F713" s="4" t="n">
        <v>46304.62422082869</v>
      </c>
      <c r="G713" t="b">
        <v>1</v>
      </c>
      <c r="H713" s="3" t="inlineStr">
        <is>
          <t>Added fraction 0.01899854257755569435769310847 of cost base adjustment 01a1212c-95f5-76f4-bbee-039f3f452abb | 2022-06-30 | Adjustment of A200 | Cost base increase = A$147.91</t>
        </is>
      </c>
      <c r="I713" t="inlineStr">
        <is>
          <t>cost base adjustment allocation</t>
        </is>
      </c>
      <c r="J713" s="5" t="inlineStr">
        <is>
          <t>01a1212c-9682-7124-9c5a-25a8cbc3f458</t>
        </is>
      </c>
    </row>
    <row r="714">
      <c r="A714" s="5" t="inlineStr">
        <is>
          <t>01a1212c-968d-7444-9ded-b9ca8a410648</t>
        </is>
      </c>
      <c r="D714" s="5" t="inlineStr">
        <is>
          <t>01a1212c-4b57-70cf-80fd-c2192cb3bf81</t>
        </is>
      </c>
      <c r="E714" s="4" t="n">
        <v>46304.62422090211</v>
      </c>
      <c r="F714" s="4" t="n">
        <v>46304.62422090222</v>
      </c>
      <c r="G714" t="b">
        <v>1</v>
      </c>
      <c r="H714" s="3" t="inlineStr">
        <is>
          <t>Added fraction 0.02022462812593980613968121776 of cost base adjustment 01a1212c-95f5-76f4-bbee-039f3f452abb | 2022-06-30 | Adjustment of A200 | Cost base increase = A$147.91</t>
        </is>
      </c>
      <c r="I714" t="inlineStr">
        <is>
          <t>cost base adjustment allocation</t>
        </is>
      </c>
      <c r="J714" s="5" t="inlineStr">
        <is>
          <t>01a1212c-9688-77bd-8779-12df476b2c6e</t>
        </is>
      </c>
    </row>
    <row r="715">
      <c r="A715" s="5" t="inlineStr">
        <is>
          <t>01a1212c-9695-74e7-9ef5-f52827efc4b1</t>
        </is>
      </c>
      <c r="D715" s="5" t="inlineStr">
        <is>
          <t>01a1212c-4b57-70cf-80fd-c2192cb3bf81</t>
        </is>
      </c>
      <c r="E715" s="4" t="n">
        <v>46304.62422098652</v>
      </c>
      <c r="F715" s="4" t="n">
        <v>46304.62422098661</v>
      </c>
      <c r="G715" t="b">
        <v>1</v>
      </c>
      <c r="H715" s="3" t="inlineStr">
        <is>
          <t>Added fraction 0.02110949175283966039743678719 of cost base adjustment 01a1212c-95f5-76f4-bbee-039f3f452abb | 2022-06-30 | Adjustment of A200 | Cost base increase = A$147.91</t>
        </is>
      </c>
      <c r="I715" t="inlineStr">
        <is>
          <t>cost base adjustment allocation</t>
        </is>
      </c>
      <c r="J715" s="5" t="inlineStr">
        <is>
          <t>01a1212c-968e-72cc-affb-98c067ca452f</t>
        </is>
      </c>
    </row>
    <row r="716">
      <c r="A716" s="5" t="inlineStr">
        <is>
          <t>01a1212c-969c-7542-8e92-2f9d90135fc4</t>
        </is>
      </c>
      <c r="D716" s="5" t="inlineStr">
        <is>
          <t>01a1212c-4b57-70cf-80fd-c2192cb3bf81</t>
        </is>
      </c>
      <c r="E716" s="4" t="n">
        <v>46304.62422106657</v>
      </c>
      <c r="F716" s="4" t="n">
        <v>46304.62422106667</v>
      </c>
      <c r="G716" t="b">
        <v>1</v>
      </c>
      <c r="H716" s="3" t="inlineStr">
        <is>
          <t>Added fraction 0.02110949175283966039743678719 of cost base adjustment 01a1212c-95f5-76f4-bbee-039f3f452abb | 2022-06-30 | Adjustment of A200 | Cost base increase = A$147.91</t>
        </is>
      </c>
      <c r="I716" t="inlineStr">
        <is>
          <t>cost base adjustment allocation</t>
        </is>
      </c>
      <c r="J716" s="5" t="inlineStr">
        <is>
          <t>01a1212c-9695-74e7-9ef5-f52982392eb4</t>
        </is>
      </c>
    </row>
    <row r="717">
      <c r="A717" s="5" t="inlineStr">
        <is>
          <t>01a1212c-96a2-70db-b24d-bcd14076b831</t>
        </is>
      </c>
      <c r="D717" s="5" t="inlineStr">
        <is>
          <t>01a1212c-4b57-70cf-80fd-c2192cb3bf81</t>
        </is>
      </c>
      <c r="E717" s="4" t="n">
        <v>46304.62422114312</v>
      </c>
      <c r="F717" s="4" t="n">
        <v>46304.62422114323</v>
      </c>
      <c r="G717" t="b">
        <v>1</v>
      </c>
      <c r="H717" s="3" t="inlineStr">
        <is>
          <t>Added fraction 0.02110949175283966039743678719 of cost base adjustment 01a1212c-95f5-76f4-bbee-039f3f452abb | 2022-06-30 | Adjustment of A200 | Cost base increase = A$147.91</t>
        </is>
      </c>
      <c r="I717" t="inlineStr">
        <is>
          <t>cost base adjustment allocation</t>
        </is>
      </c>
      <c r="J717" s="5" t="inlineStr">
        <is>
          <t>01a1212c-969c-7542-8e92-2f9e0b2b4af0</t>
        </is>
      </c>
    </row>
    <row r="718">
      <c r="A718" s="5" t="inlineStr">
        <is>
          <t>01a1212c-96a9-76df-8d76-d888850e6f2e</t>
        </is>
      </c>
      <c r="D718" s="5" t="inlineStr">
        <is>
          <t>01a1212c-4b57-70cf-80fd-c2192cb3bf81</t>
        </is>
      </c>
      <c r="E718" s="4" t="n">
        <v>46304.62422122659</v>
      </c>
      <c r="F718" s="4" t="n">
        <v>46304.6242212267</v>
      </c>
      <c r="G718" t="b">
        <v>1</v>
      </c>
      <c r="H718" s="3" t="inlineStr">
        <is>
          <t>Added fraction 0.02110949175283966039743678719 of cost base adjustment 01a1212c-95f5-76f4-bbee-039f3f452abb | 2022-06-30 | Adjustment of A200 | Cost base increase = A$147.91</t>
        </is>
      </c>
      <c r="I718" t="inlineStr">
        <is>
          <t>cost base adjustment allocation</t>
        </is>
      </c>
      <c r="J718" s="5" t="inlineStr">
        <is>
          <t>01a1212c-96a3-7191-91e8-611b3101e6ec</t>
        </is>
      </c>
    </row>
    <row r="719">
      <c r="A719" s="5" t="inlineStr">
        <is>
          <t>01a1212c-96b1-73fc-a078-828b86687c7a</t>
        </is>
      </c>
      <c r="D719" s="5" t="inlineStr">
        <is>
          <t>01a1212c-4b57-70cf-80fd-c2192cb3bf81</t>
        </is>
      </c>
      <c r="E719" s="4" t="n">
        <v>46304.6242213184</v>
      </c>
      <c r="F719" s="4" t="n">
        <v>46304.62422131853</v>
      </c>
      <c r="G719" t="b">
        <v>1</v>
      </c>
      <c r="H719" s="3" t="inlineStr">
        <is>
          <t>Added fraction 0.02533139010340759247692414463 of cost base adjustment 01a1212c-95f5-76f4-bbee-039f3f452abb | 2022-06-30 | Adjustment of A200 | Cost base increase = A$147.91</t>
        </is>
      </c>
      <c r="I719" t="inlineStr">
        <is>
          <t>cost base adjustment allocation</t>
        </is>
      </c>
      <c r="J719" s="5" t="inlineStr">
        <is>
          <t>01a1212c-96aa-76fe-9dc2-eadf26488d91</t>
        </is>
      </c>
    </row>
    <row r="720">
      <c r="A720" s="5" t="inlineStr">
        <is>
          <t>01a1212c-96b8-7790-b9b0-c26910cd3c6c</t>
        </is>
      </c>
      <c r="D720" s="5" t="inlineStr">
        <is>
          <t>01a1212c-4b57-70cf-80fd-c2192cb3bf81</t>
        </is>
      </c>
      <c r="E720" s="4" t="n">
        <v>46304.62422139419</v>
      </c>
      <c r="F720" s="4" t="n">
        <v>46304.6242213943</v>
      </c>
      <c r="G720" t="b">
        <v>1</v>
      </c>
      <c r="H720" s="3" t="inlineStr">
        <is>
          <t>Added fraction 0.02714160131399356883429338145 of cost base adjustment 01a1212c-95f5-76f4-bbee-039f3f452abb | 2022-06-30 | Adjustment of A200 | Cost base increase = A$147.91</t>
        </is>
      </c>
      <c r="I720" t="inlineStr">
        <is>
          <t>cost base adjustment allocation</t>
        </is>
      </c>
      <c r="J720" s="5" t="inlineStr">
        <is>
          <t>01a1212c-96b2-72e5-ba8e-492d62df8201</t>
        </is>
      </c>
    </row>
    <row r="721">
      <c r="A721" s="5" t="inlineStr">
        <is>
          <t>01a1212c-96be-7285-92fc-994f75d1fd0e</t>
        </is>
      </c>
      <c r="D721" s="5" t="inlineStr">
        <is>
          <t>01a1212c-4b57-70cf-80fd-c2192cb3bf81</t>
        </is>
      </c>
      <c r="E721" s="4" t="n">
        <v>46304.62422146645</v>
      </c>
      <c r="F721" s="4" t="n">
        <v>46304.62422146653</v>
      </c>
      <c r="G721" t="b">
        <v>1</v>
      </c>
      <c r="H721" s="3" t="inlineStr">
        <is>
          <t>Added fraction 0.02744233927869155851666782335 of cost base adjustment 01a1212c-95f5-76f4-bbee-039f3f452abb | 2022-06-30 | Adjustment of A200 | Cost base increase = A$147.91</t>
        </is>
      </c>
      <c r="I721" t="inlineStr">
        <is>
          <t>cost base adjustment allocation</t>
        </is>
      </c>
      <c r="J721" s="5" t="inlineStr">
        <is>
          <t>01a1212c-96b9-76de-9f37-171c8c26fec8</t>
        </is>
      </c>
    </row>
    <row r="722">
      <c r="A722" s="5" t="inlineStr">
        <is>
          <t>01a1212c-96c6-7155-97ee-466324e53e71</t>
        </is>
      </c>
      <c r="D722" s="5" t="inlineStr">
        <is>
          <t>01a1212c-4b57-70cf-80fd-c2192cb3bf81</t>
        </is>
      </c>
      <c r="E722" s="4" t="n">
        <v>46304.62422155624</v>
      </c>
      <c r="F722" s="4" t="n">
        <v>46304.62422155634</v>
      </c>
      <c r="G722" t="b">
        <v>1</v>
      </c>
      <c r="H722" s="3" t="inlineStr">
        <is>
          <t>Added fraction 0.02744233927869155851666782335 of cost base adjustment 01a1212c-95f5-76f4-bbee-039f3f452abb | 2022-06-30 | Adjustment of A200 | Cost base increase = A$147.91</t>
        </is>
      </c>
      <c r="I722" t="inlineStr">
        <is>
          <t>cost base adjustment allocation</t>
        </is>
      </c>
      <c r="J722" s="5" t="inlineStr">
        <is>
          <t>01a1212c-96bf-734d-a764-4d69c4e59a70</t>
        </is>
      </c>
    </row>
    <row r="723">
      <c r="A723" s="5" t="inlineStr">
        <is>
          <t>01a1212c-96cd-75ce-b084-80cef4996152</t>
        </is>
      </c>
      <c r="D723" s="5" t="inlineStr">
        <is>
          <t>01a1212c-4b57-70cf-80fd-c2192cb3bf81</t>
        </is>
      </c>
      <c r="E723" s="4" t="n">
        <v>46304.62422163633</v>
      </c>
      <c r="F723" s="4" t="n">
        <v>46304.62422163643</v>
      </c>
      <c r="G723" t="b">
        <v>1</v>
      </c>
      <c r="H723" s="3" t="inlineStr">
        <is>
          <t>Added fraction 0.02744233927869155851666782335 of cost base adjustment 01a1212c-95f5-76f4-bbee-039f3f452abb | 2022-06-30 | Adjustment of A200 | Cost base increase = A$147.91</t>
        </is>
      </c>
      <c r="I723" t="inlineStr">
        <is>
          <t>cost base adjustment allocation</t>
        </is>
      </c>
      <c r="J723" s="5" t="inlineStr">
        <is>
          <t>01a1212c-96c7-7011-a482-d0836d823535</t>
        </is>
      </c>
    </row>
    <row r="724">
      <c r="A724" s="5" t="inlineStr">
        <is>
          <t>01a1212c-96d4-700b-8145-139e21f16f11</t>
        </is>
      </c>
      <c r="D724" s="5" t="inlineStr">
        <is>
          <t>01a1212c-4b57-70cf-80fd-c2192cb3bf81</t>
        </is>
      </c>
      <c r="E724" s="4" t="n">
        <v>46304.62422171633</v>
      </c>
      <c r="F724" s="4" t="n">
        <v>46304.62422171643</v>
      </c>
      <c r="G724" t="b">
        <v>1</v>
      </c>
      <c r="H724" s="3" t="inlineStr">
        <is>
          <t>Added fraction 0.02744233927869155851666782335 of cost base adjustment 01a1212c-95f5-76f4-bbee-039f3f452abb | 2022-06-30 | Adjustment of A200 | Cost base increase = A$147.91</t>
        </is>
      </c>
      <c r="I724" t="inlineStr">
        <is>
          <t>cost base adjustment allocation</t>
        </is>
      </c>
      <c r="J724" s="5" t="inlineStr">
        <is>
          <t>01a1212c-96ce-709d-95ab-2a9eac0ca0a4</t>
        </is>
      </c>
    </row>
    <row r="725">
      <c r="A725" s="5" t="inlineStr">
        <is>
          <t>01a1212c-96da-77f3-a7ea-4c3340dcecd0</t>
        </is>
      </c>
      <c r="D725" s="5" t="inlineStr">
        <is>
          <t>01a1212c-4b57-70cf-80fd-c2192cb3bf81</t>
        </is>
      </c>
      <c r="E725" s="4" t="n">
        <v>46304.62422179018</v>
      </c>
      <c r="F725" s="4" t="n">
        <v>46304.62422179027</v>
      </c>
      <c r="G725" t="b">
        <v>1</v>
      </c>
      <c r="H725" s="3" t="inlineStr">
        <is>
          <t>Added fraction 0.02744233927869155851666782335 of cost base adjustment 01a1212c-95f5-76f4-bbee-039f3f452abb | 2022-06-30 | Adjustment of A200 | Cost base increase = A$147.91</t>
        </is>
      </c>
      <c r="I725" t="inlineStr">
        <is>
          <t>cost base adjustment allocation</t>
        </is>
      </c>
      <c r="J725" s="5" t="inlineStr">
        <is>
          <t>01a1212c-96d4-700b-8145-139fe6f2824d</t>
        </is>
      </c>
    </row>
    <row r="726">
      <c r="A726" s="5" t="inlineStr">
        <is>
          <t>01a1212c-96e0-7635-a1fc-aebf8a77a6b3</t>
        </is>
      </c>
      <c r="D726" s="5" t="inlineStr">
        <is>
          <t>01a1212c-4b57-70cf-80fd-c2192cb3bf81</t>
        </is>
      </c>
      <c r="E726" s="4" t="n">
        <v>46304.62422186183</v>
      </c>
      <c r="F726" s="4" t="n">
        <v>46304.62422186193</v>
      </c>
      <c r="G726" t="b">
        <v>1</v>
      </c>
      <c r="H726" s="3" t="inlineStr">
        <is>
          <t>Added fraction 0.02744233927869155851666782335 of cost base adjustment 01a1212c-95f5-76f4-bbee-039f3f452abb | 2022-06-30 | Adjustment of A200 | Cost base increase = A$147.91</t>
        </is>
      </c>
      <c r="I726" t="inlineStr">
        <is>
          <t>cost base adjustment allocation</t>
        </is>
      </c>
      <c r="J726" s="5" t="inlineStr">
        <is>
          <t>01a1212c-96db-77ab-bbbf-bc61a25b6e26</t>
        </is>
      </c>
    </row>
    <row r="727">
      <c r="A727" s="5" t="inlineStr">
        <is>
          <t>01a1212c-96e6-77d0-8129-590ec2b618b7</t>
        </is>
      </c>
      <c r="D727" s="5" t="inlineStr">
        <is>
          <t>01a1212c-4b57-70cf-80fd-c2192cb3bf81</t>
        </is>
      </c>
      <c r="E727" s="4" t="n">
        <v>46304.62422193376</v>
      </c>
      <c r="F727" s="4" t="n">
        <v>46304.62422193385</v>
      </c>
      <c r="G727" t="b">
        <v>1</v>
      </c>
      <c r="H727" s="3" t="inlineStr">
        <is>
          <t>Added fraction 0.02744233927869155851666782335 of cost base adjustment 01a1212c-95f5-76f4-bbee-039f3f452abb | 2022-06-30 | Adjustment of A200 | Cost base increase = A$147.91</t>
        </is>
      </c>
      <c r="I727" t="inlineStr">
        <is>
          <t>cost base adjustment allocation</t>
        </is>
      </c>
      <c r="J727" s="5" t="inlineStr">
        <is>
          <t>01a1212c-96e1-7656-8b5c-0eec1412487d</t>
        </is>
      </c>
    </row>
    <row r="728">
      <c r="A728" s="5" t="inlineStr">
        <is>
          <t>01a1212c-96ec-7756-a332-21be54abb59e</t>
        </is>
      </c>
      <c r="D728" s="5" t="inlineStr">
        <is>
          <t>01a1212c-4b57-70cf-80fd-c2192cb3bf81</t>
        </is>
      </c>
      <c r="E728" s="4" t="n">
        <v>46304.62422200276</v>
      </c>
      <c r="F728" s="4" t="n">
        <v>46304.62422200284</v>
      </c>
      <c r="G728" t="b">
        <v>1</v>
      </c>
      <c r="H728" s="3" t="inlineStr">
        <is>
          <t>Added fraction 0.02744233927869155851666782335 of cost base adjustment 01a1212c-95f5-76f4-bbee-039f3f452abb | 2022-06-30 | Adjustment of A200 | Cost base increase = A$147.91</t>
        </is>
      </c>
      <c r="I728" t="inlineStr">
        <is>
          <t>cost base adjustment allocation</t>
        </is>
      </c>
      <c r="J728" s="5" t="inlineStr">
        <is>
          <t>01a1212c-96e7-74e1-8c3d-cfd07b1a1ebc</t>
        </is>
      </c>
    </row>
    <row r="729">
      <c r="A729" s="5" t="inlineStr">
        <is>
          <t>01a1212c-96f4-71ee-abc7-bdfaa560b123</t>
        </is>
      </c>
      <c r="D729" s="5" t="inlineStr">
        <is>
          <t>01a1212c-4b57-70cf-80fd-c2192cb3bf81</t>
        </is>
      </c>
      <c r="E729" s="4" t="n">
        <v>46304.62422208552</v>
      </c>
      <c r="F729" s="4" t="n">
        <v>46304.62422208564</v>
      </c>
      <c r="G729" t="b">
        <v>1</v>
      </c>
      <c r="H729" s="3" t="inlineStr">
        <is>
          <t>Added fraction 0.02744233927869155851666782335 of cost base adjustment 01a1212c-95f5-76f4-bbee-039f3f452abb | 2022-06-30 | Adjustment of A200 | Cost base increase = A$147.91</t>
        </is>
      </c>
      <c r="I729" t="inlineStr">
        <is>
          <t>cost base adjustment allocation</t>
        </is>
      </c>
      <c r="J729" s="5" t="inlineStr">
        <is>
          <t>01a1212c-96ed-7102-85e2-d49236fec427</t>
        </is>
      </c>
    </row>
    <row r="730">
      <c r="A730" s="5" t="inlineStr">
        <is>
          <t>01a1212c-96fa-77e2-beaa-1f403e42610d</t>
        </is>
      </c>
      <c r="D730" s="5" t="inlineStr">
        <is>
          <t>01a1212c-4b57-70cf-80fd-c2192cb3bf81</t>
        </is>
      </c>
      <c r="E730" s="4" t="n">
        <v>46304.62422215887</v>
      </c>
      <c r="F730" s="4" t="n">
        <v>46304.62422215895</v>
      </c>
      <c r="G730" t="b">
        <v>1</v>
      </c>
      <c r="H730" s="3" t="inlineStr">
        <is>
          <t>Added fraction 0.02744233927869155851666782335 of cost base adjustment 01a1212c-95f5-76f4-bbee-039f3f452abb | 2022-06-30 | Adjustment of A200 | Cost base increase = A$147.91</t>
        </is>
      </c>
      <c r="I730" t="inlineStr">
        <is>
          <t>cost base adjustment allocation</t>
        </is>
      </c>
      <c r="J730" s="5" t="inlineStr">
        <is>
          <t>01a1212c-96f4-71ee-abc7-bdfb9ec032fd</t>
        </is>
      </c>
    </row>
    <row r="731">
      <c r="A731" s="5" t="inlineStr">
        <is>
          <t>01a1212c-9700-75b1-9d81-fa9ea38871a1</t>
        </is>
      </c>
      <c r="D731" s="5" t="inlineStr">
        <is>
          <t>01a1212c-4b57-70cf-80fd-c2192cb3bf81</t>
        </is>
      </c>
      <c r="E731" s="4" t="n">
        <v>46304.62422222931</v>
      </c>
      <c r="F731" s="4" t="n">
        <v>46304.62422222939</v>
      </c>
      <c r="G731" t="b">
        <v>1</v>
      </c>
      <c r="H731" s="3" t="inlineStr">
        <is>
          <t>Added fraction 0.02955328845397552455641150207 of cost base adjustment 01a1212c-95f5-76f4-bbee-039f3f452abb | 2022-06-30 | Adjustment of A200 | Cost base increase = A$147.91</t>
        </is>
      </c>
      <c r="I731" t="inlineStr">
        <is>
          <t>cost base adjustment allocation</t>
        </is>
      </c>
      <c r="J731" s="5" t="inlineStr">
        <is>
          <t>01a1212c-96fb-748a-8a7c-ef90cb7a0260</t>
        </is>
      </c>
    </row>
    <row r="732">
      <c r="A732" s="5" t="inlineStr">
        <is>
          <t>01a1212c-9706-7025-b68b-fb3868e86059</t>
        </is>
      </c>
      <c r="D732" s="5" t="inlineStr">
        <is>
          <t>01a1212c-4b57-70cf-80fd-c2192cb3bf81</t>
        </is>
      </c>
      <c r="E732" s="4" t="n">
        <v>46304.62422229721</v>
      </c>
      <c r="F732" s="4" t="n">
        <v>46304.62422229728</v>
      </c>
      <c r="G732" t="b">
        <v>1</v>
      </c>
      <c r="H732" s="3" t="inlineStr">
        <is>
          <t>Added fraction 0.02955328845397552455641150207 of cost base adjustment 01a1212c-95f5-76f4-bbee-039f3f452abb | 2022-06-30 | Adjustment of A200 | Cost base increase = A$147.91</t>
        </is>
      </c>
      <c r="I732" t="inlineStr">
        <is>
          <t>cost base adjustment allocation</t>
        </is>
      </c>
      <c r="J732" s="5" t="inlineStr">
        <is>
          <t>01a1212c-9701-7440-8d5f-0bd85213c007</t>
        </is>
      </c>
    </row>
    <row r="733">
      <c r="A733" s="5" t="inlineStr">
        <is>
          <t>01a1212c-970c-7020-9d26-c5fa3d81c4d6</t>
        </is>
      </c>
      <c r="D733" s="5" t="inlineStr">
        <is>
          <t>01a1212c-4b57-70cf-80fd-c2192cb3bf81</t>
        </is>
      </c>
      <c r="E733" s="4" t="n">
        <v>46304.62422236763</v>
      </c>
      <c r="F733" s="4" t="n">
        <v>46304.62422236771</v>
      </c>
      <c r="G733" t="b">
        <v>1</v>
      </c>
      <c r="H733" s="3" t="inlineStr">
        <is>
          <t>Added fraction 0.02955328845397552455641150207 of cost base adjustment 01a1212c-95f5-76f4-bbee-039f3f452abb | 2022-06-30 | Adjustment of A200 | Cost base increase = A$147.91</t>
        </is>
      </c>
      <c r="I733" t="inlineStr">
        <is>
          <t>cost base adjustment allocation</t>
        </is>
      </c>
      <c r="J733" s="5" t="inlineStr">
        <is>
          <t>01a1212c-9707-709c-8121-17d0c97d4751</t>
        </is>
      </c>
    </row>
    <row r="734">
      <c r="A734" s="5" t="inlineStr">
        <is>
          <t>01a1212c-9712-705c-b29d-41e0078f2d45</t>
        </is>
      </c>
      <c r="D734" s="5" t="inlineStr">
        <is>
          <t>01a1212c-4b57-70cf-80fd-c2192cb3bf81</t>
        </is>
      </c>
      <c r="E734" s="4" t="n">
        <v>46304.62422243782</v>
      </c>
      <c r="F734" s="4" t="n">
        <v>46304.6242224379</v>
      </c>
      <c r="G734" t="b">
        <v>1</v>
      </c>
      <c r="H734" s="3" t="inlineStr">
        <is>
          <t>Added fraction 0.02955328845397552455641150207 of cost base adjustment 01a1212c-95f5-76f4-bbee-039f3f452abb | 2022-06-30 | Adjustment of A200 | Cost base increase = A$147.91</t>
        </is>
      </c>
      <c r="I734" t="inlineStr">
        <is>
          <t>cost base adjustment allocation</t>
        </is>
      </c>
      <c r="J734" s="5" t="inlineStr">
        <is>
          <t>01a1212c-970d-76e6-b88f-adcb3e2b46e7</t>
        </is>
      </c>
    </row>
    <row r="735">
      <c r="A735" s="5" t="inlineStr">
        <is>
          <t>01a1212c-9718-74af-889b-b8da5a63f2fb</t>
        </is>
      </c>
      <c r="D735" s="5" t="inlineStr">
        <is>
          <t>01a1212c-4b57-70cf-80fd-c2192cb3bf81</t>
        </is>
      </c>
      <c r="E735" s="4" t="n">
        <v>46304.62422250561</v>
      </c>
      <c r="F735" s="4" t="n">
        <v>46304.62422250569</v>
      </c>
      <c r="G735" t="b">
        <v>1</v>
      </c>
      <c r="H735" s="3" t="inlineStr">
        <is>
          <t>Added fraction 0.02955328845397552455641150207 of cost base adjustment 01a1212c-95f5-76f4-bbee-039f3f452abb | 2022-06-30 | Adjustment of A200 | Cost base increase = A$147.91</t>
        </is>
      </c>
      <c r="I735" t="inlineStr">
        <is>
          <t>cost base adjustment allocation</t>
        </is>
      </c>
      <c r="J735" s="5" t="inlineStr">
        <is>
          <t>01a1212c-9713-7611-93eb-cbf3406a6c68</t>
        </is>
      </c>
    </row>
    <row r="736">
      <c r="A736" s="5" t="inlineStr">
        <is>
          <t>01a1212c-971e-73cf-b421-211cc225fb07</t>
        </is>
      </c>
      <c r="D736" s="5" t="inlineStr">
        <is>
          <t>01a1212c-4b57-70cf-80fd-c2192cb3bf81</t>
        </is>
      </c>
      <c r="E736" s="4" t="n">
        <v>46304.6242225736</v>
      </c>
      <c r="F736" s="4" t="n">
        <v>46304.62422257368</v>
      </c>
      <c r="G736" t="b">
        <v>1</v>
      </c>
      <c r="H736" s="3" t="inlineStr">
        <is>
          <t>Added fraction 0.03166423762925949059615518079 of cost base adjustment 01a1212c-95f5-76f4-bbee-039f3f452abb | 2022-06-30 | Adjustment of A200 | Cost base increase = A$147.91</t>
        </is>
      </c>
      <c r="I736" t="inlineStr">
        <is>
          <t>cost base adjustment allocation</t>
        </is>
      </c>
      <c r="J736" s="5" t="inlineStr">
        <is>
          <t>01a1212c-9719-7194-939c-7555fb93b83c</t>
        </is>
      </c>
    </row>
    <row r="737">
      <c r="A737" s="5" t="inlineStr">
        <is>
          <t>01a1212c-9724-71e7-bada-aebb525ab45e</t>
        </is>
      </c>
      <c r="D737" s="5" t="inlineStr">
        <is>
          <t>01a1212c-4b57-70cf-80fd-c2192cb3bf81</t>
        </is>
      </c>
      <c r="E737" s="4" t="n">
        <v>46304.62422264975</v>
      </c>
      <c r="F737" s="4" t="n">
        <v>46304.62422264983</v>
      </c>
      <c r="G737" t="b">
        <v>1</v>
      </c>
      <c r="H737" s="3" t="inlineStr">
        <is>
          <t>Added fraction 0.03166423762925949059615518079 of cost base adjustment 01a1212c-95f5-76f4-bbee-039f3f452abb | 2022-06-30 | Adjustment of A200 | Cost base increase = A$147.91</t>
        </is>
      </c>
      <c r="I737" t="inlineStr">
        <is>
          <t>cost base adjustment allocation</t>
        </is>
      </c>
      <c r="J737" s="5" t="inlineStr">
        <is>
          <t>01a1212c-971e-73cf-b421-211d3e30f4d6</t>
        </is>
      </c>
    </row>
    <row r="738">
      <c r="A738" s="5" t="inlineStr">
        <is>
          <t>01a1212c-972a-7727-b682-8e83ed1ce1a3</t>
        </is>
      </c>
      <c r="D738" s="5" t="inlineStr">
        <is>
          <t>01a1212c-4b57-70cf-80fd-c2192cb3bf81</t>
        </is>
      </c>
      <c r="E738" s="4" t="n">
        <v>46304.62422271727</v>
      </c>
      <c r="F738" s="4" t="n">
        <v>46304.62422271736</v>
      </c>
      <c r="G738" t="b">
        <v>1</v>
      </c>
      <c r="H738" s="3" t="inlineStr">
        <is>
          <t>Added fraction 0.03166423762925949059615518079 of cost base adjustment 01a1212c-95f5-76f4-bbee-039f3f452abb | 2022-06-30 | Adjustment of A200 | Cost base increase = A$147.91</t>
        </is>
      </c>
      <c r="I738" t="inlineStr">
        <is>
          <t>cost base adjustment allocation</t>
        </is>
      </c>
      <c r="J738" s="5" t="inlineStr">
        <is>
          <t>01a1212c-9725-7791-8ab1-edf891e743a0</t>
        </is>
      </c>
    </row>
    <row r="739">
      <c r="A739" s="5" t="inlineStr">
        <is>
          <t>01a1212c-9731-7563-bf3c-8f048c99037a</t>
        </is>
      </c>
      <c r="D739" s="5" t="inlineStr">
        <is>
          <t>01a1212c-4b57-70cf-80fd-c2192cb3bf81</t>
        </is>
      </c>
      <c r="E739" s="4" t="n">
        <v>46304.62422279237</v>
      </c>
      <c r="F739" s="4" t="n">
        <v>46304.62422279247</v>
      </c>
      <c r="G739" t="b">
        <v>1</v>
      </c>
      <c r="H739" s="3" t="inlineStr">
        <is>
          <t>residual of cost base adjustment 01a1212c-95f5-76f4-bbee-039f3f452abb | 2022-06-30 | Adjustment of A200 | Cost base increase = A$147.91</t>
        </is>
      </c>
      <c r="I739" t="inlineStr">
        <is>
          <t>cost base adjustment allocation</t>
        </is>
      </c>
      <c r="J739" s="5" t="inlineStr">
        <is>
          <t>01a1212c-972b-77a7-910d-d18a0d3ead08</t>
        </is>
      </c>
    </row>
    <row r="740">
      <c r="A740" s="5" t="inlineStr">
        <is>
          <t>01a1212c-9826-713a-8666-94e0c5d72828</t>
        </is>
      </c>
      <c r="D740" s="5" t="inlineStr">
        <is>
          <t>01a1212c-4b57-70cf-80fd-c2192cb3bf81</t>
        </is>
      </c>
      <c r="E740" s="4" t="n">
        <v>46304.62422563243</v>
      </c>
      <c r="F740" s="4" t="n">
        <v>46304.62422563251</v>
      </c>
      <c r="G740" t="b">
        <v>1</v>
      </c>
      <c r="H740" s="3" t="inlineStr">
        <is>
          <t>Added fraction 0.0006172918342933285652860615504 of cost base adjustment 01a1212c-981b-74a7-bdd8-ec219dc8c198 | 2022-06-30 | Adjustment of VGS | Cost base increase = A$189.54</t>
        </is>
      </c>
      <c r="I740" t="inlineStr">
        <is>
          <t>cost base adjustment allocation</t>
        </is>
      </c>
      <c r="J740" s="5" t="inlineStr">
        <is>
          <t>01a1212c-9820-73de-ae4c-ac36c9ba2f98</t>
        </is>
      </c>
    </row>
    <row r="741">
      <c r="A741" s="5" t="inlineStr">
        <is>
          <t>01a1212c-982e-7423-9e18-7aa156dbd5ed</t>
        </is>
      </c>
      <c r="D741" s="5" t="inlineStr">
        <is>
          <t>01a1212c-4b57-70cf-80fd-c2192cb3bf81</t>
        </is>
      </c>
      <c r="E741" s="4" t="n">
        <v>46304.62422572738</v>
      </c>
      <c r="F741" s="4" t="n">
        <v>46304.6242257275</v>
      </c>
      <c r="G741" t="b">
        <v>1</v>
      </c>
      <c r="H741" s="3" t="inlineStr">
        <is>
          <t>Added fraction 0.001883804390860675104407463697 of cost base adjustment 01a1212c-981b-74a7-bdd8-ec219dc8c198 | 2022-06-30 | Adjustment of VGS | Cost base increase = A$189.54</t>
        </is>
      </c>
      <c r="I741" t="inlineStr">
        <is>
          <t>cost base adjustment allocation</t>
        </is>
      </c>
      <c r="J741" s="5" t="inlineStr">
        <is>
          <t>01a1212c-9827-74ea-ba1f-11fc9abe053f</t>
        </is>
      </c>
    </row>
    <row r="742">
      <c r="A742" s="5" t="inlineStr">
        <is>
          <t>01a1212c-9835-722c-848e-c5a0e2c33bd4</t>
        </is>
      </c>
      <c r="D742" s="5" t="inlineStr">
        <is>
          <t>01a1212c-4b57-70cf-80fd-c2192cb3bf81</t>
        </is>
      </c>
      <c r="E742" s="4" t="n">
        <v>46304.62422580517</v>
      </c>
      <c r="F742" s="4" t="n">
        <v>46304.62422580525</v>
      </c>
      <c r="G742" t="b">
        <v>1</v>
      </c>
      <c r="H742" s="3" t="inlineStr">
        <is>
          <t>Added fraction 0.002298879934609637415548091291 of cost base adjustment 01a1212c-981b-74a7-bdd8-ec219dc8c198 | 2022-06-30 | Adjustment of VGS | Cost base increase = A$189.54</t>
        </is>
      </c>
      <c r="I742" t="inlineStr">
        <is>
          <t>cost base adjustment allocation</t>
        </is>
      </c>
      <c r="J742" s="5" t="inlineStr">
        <is>
          <t>01a1212c-982f-73fd-be82-2a11102f6b57</t>
        </is>
      </c>
    </row>
    <row r="743">
      <c r="A743" s="5" t="inlineStr">
        <is>
          <t>01a1212c-983b-7421-b674-6478693cc673</t>
        </is>
      </c>
      <c r="D743" s="5" t="inlineStr">
        <is>
          <t>01a1212c-4b57-70cf-80fd-c2192cb3bf81</t>
        </is>
      </c>
      <c r="E743" s="4" t="n">
        <v>46304.62422588062</v>
      </c>
      <c r="F743" s="4" t="n">
        <v>46304.6242258807</v>
      </c>
      <c r="G743" t="b">
        <v>1</v>
      </c>
      <c r="H743" s="3" t="inlineStr">
        <is>
          <t>Added fraction 0.002452138596916946576584630710 of cost base adjustment 01a1212c-981b-74a7-bdd8-ec219dc8c198 | 2022-06-30 | Adjustment of VGS | Cost base increase = A$189.54</t>
        </is>
      </c>
      <c r="I743" t="inlineStr">
        <is>
          <t>cost base adjustment allocation</t>
        </is>
      </c>
      <c r="J743" s="5" t="inlineStr">
        <is>
          <t>01a1212c-9836-709f-9241-ae22c72b3e8f</t>
        </is>
      </c>
    </row>
    <row r="744">
      <c r="A744" s="5" t="inlineStr">
        <is>
          <t>01a1212c-9841-7013-a1eb-2ddfd8fcde88</t>
        </is>
      </c>
      <c r="D744" s="5" t="inlineStr">
        <is>
          <t>01a1212c-4b57-70cf-80fd-c2192cb3bf81</t>
        </is>
      </c>
      <c r="E744" s="4" t="n">
        <v>46304.62422594882</v>
      </c>
      <c r="F744" s="4" t="n">
        <v>46304.6242259489</v>
      </c>
      <c r="G744" t="b">
        <v>1</v>
      </c>
      <c r="H744" s="3" t="inlineStr">
        <is>
          <t>Added fraction 0.002622425999480623422180785621 of cost base adjustment 01a1212c-981b-74a7-bdd8-ec219dc8c198 | 2022-06-30 | Adjustment of VGS | Cost base increase = A$189.54</t>
        </is>
      </c>
      <c r="I744" t="inlineStr">
        <is>
          <t>cost base adjustment allocation</t>
        </is>
      </c>
      <c r="J744" s="5" t="inlineStr">
        <is>
          <t>01a1212c-983c-70b3-a5eb-0df7573233af</t>
        </is>
      </c>
    </row>
    <row r="745">
      <c r="A745" s="5" t="inlineStr">
        <is>
          <t>01a1212c-9847-7235-af1d-a4d0d935b5c5</t>
        </is>
      </c>
      <c r="D745" s="5" t="inlineStr">
        <is>
          <t>01a1212c-4b57-70cf-80fd-c2192cb3bf81</t>
        </is>
      </c>
      <c r="E745" s="4" t="n">
        <v>46304.62422601898</v>
      </c>
      <c r="F745" s="4" t="n">
        <v>46304.62422601908</v>
      </c>
      <c r="G745" t="b">
        <v>1</v>
      </c>
      <c r="H745" s="3" t="inlineStr">
        <is>
          <t>Added fraction 0.004597759869219274831096182582 of cost base adjustment 01a1212c-981b-74a7-bdd8-ec219dc8c198 | 2022-06-30 | Adjustment of VGS | Cost base increase = A$189.54</t>
        </is>
      </c>
      <c r="I745" t="inlineStr">
        <is>
          <t>cost base adjustment allocation</t>
        </is>
      </c>
      <c r="J745" s="5" t="inlineStr">
        <is>
          <t>01a1212c-9842-75fc-a1e8-cc6cc45feaae</t>
        </is>
      </c>
    </row>
    <row r="746">
      <c r="A746" s="5" t="inlineStr">
        <is>
          <t>01a1212c-984e-772a-b00d-d178fdc87bac</t>
        </is>
      </c>
      <c r="D746" s="5" t="inlineStr">
        <is>
          <t>01a1212c-4b57-70cf-80fd-c2192cb3bf81</t>
        </is>
      </c>
      <c r="E746" s="4" t="n">
        <v>46304.62422609081</v>
      </c>
      <c r="F746" s="4" t="n">
        <v>46304.62422609089</v>
      </c>
      <c r="G746" t="b">
        <v>1</v>
      </c>
      <c r="H746" s="3" t="inlineStr">
        <is>
          <t>Added fraction 0.005304452589858533740320225461 of cost base adjustment 01a1212c-981b-74a7-bdd8-ec219dc8c198 | 2022-06-30 | Adjustment of VGS | Cost base increase = A$189.54</t>
        </is>
      </c>
      <c r="I746" t="inlineStr">
        <is>
          <t>cost base adjustment allocation</t>
        </is>
      </c>
      <c r="J746" s="5" t="inlineStr">
        <is>
          <t>01a1212c-9848-77f0-91d5-730c71c6e414</t>
        </is>
      </c>
    </row>
    <row r="747">
      <c r="A747" s="5" t="inlineStr">
        <is>
          <t>01a1212c-9853-7562-8329-2d84b4bd695a</t>
        </is>
      </c>
      <c r="D747" s="5" t="inlineStr">
        <is>
          <t>01a1212c-4b57-70cf-80fd-c2192cb3bf81</t>
        </is>
      </c>
      <c r="E747" s="4" t="n">
        <v>46304.62422615473</v>
      </c>
      <c r="F747" s="4" t="n">
        <v>46304.6242261548</v>
      </c>
      <c r="G747" t="b">
        <v>1</v>
      </c>
      <c r="H747" s="3" t="inlineStr">
        <is>
          <t>Added fraction 0.006168661157869193731720711631 of cost base adjustment 01a1212c-981b-74a7-bdd8-ec219dc8c198 | 2022-06-30 | Adjustment of VGS | Cost base increase = A$189.54</t>
        </is>
      </c>
      <c r="I747" t="inlineStr">
        <is>
          <t>cost base adjustment allocation</t>
        </is>
      </c>
      <c r="J747" s="5" t="inlineStr">
        <is>
          <t>01a1212c-984e-772a-b00d-d179a0f85dec</t>
        </is>
      </c>
    </row>
    <row r="748">
      <c r="A748" s="5" t="inlineStr">
        <is>
          <t>01a1212c-985b-70d0-8982-6f0ece9c796a</t>
        </is>
      </c>
      <c r="D748" s="5" t="inlineStr">
        <is>
          <t>01a1212c-4b57-70cf-80fd-c2192cb3bf81</t>
        </is>
      </c>
      <c r="E748" s="4" t="n">
        <v>46304.62422623999</v>
      </c>
      <c r="F748" s="4" t="n">
        <v>46304.62422624007</v>
      </c>
      <c r="G748" t="b">
        <v>1</v>
      </c>
      <c r="H748" s="3" t="inlineStr">
        <is>
          <t>Added fraction 0.006992426467770980472292111010 of cost base adjustment 01a1212c-981b-74a7-bdd8-ec219dc8c198 | 2022-06-30 | Adjustment of VGS | Cost base increase = A$189.54</t>
        </is>
      </c>
      <c r="I748" t="inlineStr">
        <is>
          <t>cost base adjustment allocation</t>
        </is>
      </c>
      <c r="J748" s="5" t="inlineStr">
        <is>
          <t>01a1212c-9854-725f-91e6-c4cf91085f88</t>
        </is>
      </c>
    </row>
    <row r="749">
      <c r="A749" s="5" t="inlineStr">
        <is>
          <t>01a1212c-9861-706f-9c36-65bc7f3ba70a</t>
        </is>
      </c>
      <c r="D749" s="5" t="inlineStr">
        <is>
          <t>01a1212c-4b57-70cf-80fd-c2192cb3bf81</t>
        </is>
      </c>
      <c r="E749" s="4" t="n">
        <v>46304.62422630937</v>
      </c>
      <c r="F749" s="4" t="n">
        <v>46304.62422630943</v>
      </c>
      <c r="G749" t="b">
        <v>1</v>
      </c>
      <c r="H749" s="3" t="inlineStr">
        <is>
          <t>Added fraction 0.007769362741967756080324567789 of cost base adjustment 01a1212c-981b-74a7-bdd8-ec219dc8c198 | 2022-06-30 | Adjustment of VGS | Cost base increase = A$189.54</t>
        </is>
      </c>
      <c r="I749" t="inlineStr">
        <is>
          <t>cost base adjustment allocation</t>
        </is>
      </c>
      <c r="J749" s="5" t="inlineStr">
        <is>
          <t>01a1212c-985b-70d0-8982-6f0fbca33bf5</t>
        </is>
      </c>
    </row>
    <row r="750">
      <c r="A750" s="5" t="inlineStr">
        <is>
          <t>01a1212c-9866-71ee-b3ba-da1d2ddf1c82</t>
        </is>
      </c>
      <c r="D750" s="5" t="inlineStr">
        <is>
          <t>01a1212c-4b57-70cf-80fd-c2192cb3bf81</t>
        </is>
      </c>
      <c r="E750" s="4" t="n">
        <v>46304.62422637746</v>
      </c>
      <c r="F750" s="4" t="n">
        <v>46304.62422637755</v>
      </c>
      <c r="G750" t="b">
        <v>1</v>
      </c>
      <c r="H750" s="3" t="inlineStr">
        <is>
          <t>Added fraction 0.008546299016164531688357024568 of cost base adjustment 01a1212c-981b-74a7-bdd8-ec219dc8c198 | 2022-06-30 | Adjustment of VGS | Cost base increase = A$189.54</t>
        </is>
      </c>
      <c r="I750" t="inlineStr">
        <is>
          <t>cost base adjustment allocation</t>
        </is>
      </c>
      <c r="J750" s="5" t="inlineStr">
        <is>
          <t>01a1212c-9861-706f-9c36-65bddd61e344</t>
        </is>
      </c>
    </row>
    <row r="751">
      <c r="A751" s="5" t="inlineStr">
        <is>
          <t>01a1212c-986d-7278-b2d2-eabb44b31193</t>
        </is>
      </c>
      <c r="D751" s="5" t="inlineStr">
        <is>
          <t>01a1212c-4b57-70cf-80fd-c2192cb3bf81</t>
        </is>
      </c>
      <c r="E751" s="4" t="n">
        <v>46304.62422644848</v>
      </c>
      <c r="F751" s="4" t="n">
        <v>46304.62422644856</v>
      </c>
      <c r="G751" t="b">
        <v>1</v>
      </c>
      <c r="H751" s="3" t="inlineStr">
        <is>
          <t>Added fraction 0.008880488043695747497839478580 of cost base adjustment 01a1212c-981b-74a7-bdd8-ec219dc8c198 | 2022-06-30 | Adjustment of VGS | Cost base increase = A$189.54</t>
        </is>
      </c>
      <c r="I751" t="inlineStr">
        <is>
          <t>cost base adjustment allocation</t>
        </is>
      </c>
      <c r="J751" s="5" t="inlineStr">
        <is>
          <t>01a1212c-9867-709b-a38c-fe43542b4dfb</t>
        </is>
      </c>
    </row>
    <row r="752">
      <c r="A752" s="5" t="inlineStr">
        <is>
          <t>01a1212c-9873-717e-afab-f303e6ee27a8</t>
        </is>
      </c>
      <c r="D752" s="5" t="inlineStr">
        <is>
          <t>01a1212c-4b57-70cf-80fd-c2192cb3bf81</t>
        </is>
      </c>
      <c r="E752" s="4" t="n">
        <v>46304.6242265176</v>
      </c>
      <c r="F752" s="4" t="n">
        <v>46304.62422651768</v>
      </c>
      <c r="G752" t="b">
        <v>1</v>
      </c>
      <c r="H752" s="3" t="inlineStr">
        <is>
          <t>Added fraction 0.009323235290361307296389481347 of cost base adjustment 01a1212c-981b-74a7-bdd8-ec219dc8c198 | 2022-06-30 | Adjustment of VGS | Cost base increase = A$189.54</t>
        </is>
      </c>
      <c r="I752" t="inlineStr">
        <is>
          <t>cost base adjustment allocation</t>
        </is>
      </c>
      <c r="J752" s="5" t="inlineStr">
        <is>
          <t>01a1212c-986d-7278-b2d2-eabcb3fc5ffe</t>
        </is>
      </c>
    </row>
    <row r="753">
      <c r="A753" s="5" t="inlineStr">
        <is>
          <t>01a1212c-9878-7038-a391-fd54bf65c4a2</t>
        </is>
      </c>
      <c r="D753" s="5" t="inlineStr">
        <is>
          <t>01a1212c-4b57-70cf-80fd-c2192cb3bf81</t>
        </is>
      </c>
      <c r="E753" s="4" t="n">
        <v>46304.62422658406</v>
      </c>
      <c r="F753" s="4" t="n">
        <v>46304.62422658414</v>
      </c>
      <c r="G753" t="b">
        <v>1</v>
      </c>
      <c r="H753" s="3" t="inlineStr">
        <is>
          <t>Added fraction 0.009323235290361307296389481347 of cost base adjustment 01a1212c-981b-74a7-bdd8-ec219dc8c198 | 2022-06-30 | Adjustment of VGS | Cost base increase = A$189.54</t>
        </is>
      </c>
      <c r="I753" t="inlineStr">
        <is>
          <t>cost base adjustment allocation</t>
        </is>
      </c>
      <c r="J753" s="5" t="inlineStr">
        <is>
          <t>01a1212c-9873-717e-afab-f304bcdb22d5</t>
        </is>
      </c>
    </row>
    <row r="754">
      <c r="A754" s="5" t="inlineStr">
        <is>
          <t>01a1212c-987e-756d-b435-a5b3a77167ee</t>
        </is>
      </c>
      <c r="D754" s="5" t="inlineStr">
        <is>
          <t>01a1212c-4b57-70cf-80fd-c2192cb3bf81</t>
        </is>
      </c>
      <c r="E754" s="4" t="n">
        <v>46304.62422664907</v>
      </c>
      <c r="F754" s="4" t="n">
        <v>46304.62422664915</v>
      </c>
      <c r="G754" t="b">
        <v>1</v>
      </c>
      <c r="H754" s="3" t="inlineStr">
        <is>
          <t>Added fraction 0.009923498384398268177115927406 of cost base adjustment 01a1212c-981b-74a7-bdd8-ec219dc8c198 | 2022-06-30 | Adjustment of VGS | Cost base increase = A$189.54</t>
        </is>
      </c>
      <c r="I754" t="inlineStr">
        <is>
          <t>cost base adjustment allocation</t>
        </is>
      </c>
      <c r="J754" s="5" t="inlineStr">
        <is>
          <t>01a1212c-9879-72ba-8535-7bf2ccd5df4a</t>
        </is>
      </c>
    </row>
    <row r="755">
      <c r="A755" s="5" t="inlineStr">
        <is>
          <t>01a1212c-9884-72a7-ad50-494cc25cb535</t>
        </is>
      </c>
      <c r="D755" s="5" t="inlineStr">
        <is>
          <t>01a1212c-4b57-70cf-80fd-c2192cb3bf81</t>
        </is>
      </c>
      <c r="E755" s="4" t="n">
        <v>46304.62422671581</v>
      </c>
      <c r="F755" s="4" t="n">
        <v>46304.62422671588</v>
      </c>
      <c r="G755" t="b">
        <v>1</v>
      </c>
      <c r="H755" s="3" t="inlineStr">
        <is>
          <t>Added fraction 0.01010017156455808290442193813 of cost base adjustment 01a1212c-981b-74a7-bdd8-ec219dc8c198 | 2022-06-30 | Adjustment of VGS | Cost base increase = A$189.54</t>
        </is>
      </c>
      <c r="I755" t="inlineStr">
        <is>
          <t>cost base adjustment allocation</t>
        </is>
      </c>
      <c r="J755" s="5" t="inlineStr">
        <is>
          <t>01a1212c-987f-71e0-a2b3-a41cc7f80a98</t>
        </is>
      </c>
    </row>
    <row r="756">
      <c r="A756" s="5" t="inlineStr">
        <is>
          <t>01a1212c-9889-732e-8afd-ac2e559b42e0</t>
        </is>
      </c>
      <c r="D756" s="5" t="inlineStr">
        <is>
          <t>01a1212c-4b57-70cf-80fd-c2192cb3bf81</t>
        </is>
      </c>
      <c r="E756" s="4" t="n">
        <v>46304.6242267827</v>
      </c>
      <c r="F756" s="4" t="n">
        <v>46304.62422678278</v>
      </c>
      <c r="G756" t="b">
        <v>1</v>
      </c>
      <c r="H756" s="3" t="inlineStr">
        <is>
          <t>Added fraction 0.01087710783875485851245439491 of cost base adjustment 01a1212c-981b-74a7-bdd8-ec219dc8c198 | 2022-06-30 | Adjustment of VGS | Cost base increase = A$189.54</t>
        </is>
      </c>
      <c r="I756" t="inlineStr">
        <is>
          <t>cost base adjustment allocation</t>
        </is>
      </c>
      <c r="J756" s="5" t="inlineStr">
        <is>
          <t>01a1212c-9884-72a7-ad50-494d979f3998</t>
        </is>
      </c>
    </row>
    <row r="757">
      <c r="A757" s="5" t="inlineStr">
        <is>
          <t>01a1212c-9890-703b-943f-0ba90a4a2291</t>
        </is>
      </c>
      <c r="D757" s="5" t="inlineStr">
        <is>
          <t>01a1212c-4b57-70cf-80fd-c2192cb3bf81</t>
        </is>
      </c>
      <c r="E757" s="4" t="n">
        <v>46304.62422685533</v>
      </c>
      <c r="F757" s="4" t="n">
        <v>46304.62422685542</v>
      </c>
      <c r="G757" t="b">
        <v>1</v>
      </c>
      <c r="H757" s="3" t="inlineStr">
        <is>
          <t>Added fraction 0.01087710783875485851245439491 of cost base adjustment 01a1212c-981b-74a7-bdd8-ec219dc8c198 | 2022-06-30 | Adjustment of VGS | Cost base increase = A$189.54</t>
        </is>
      </c>
      <c r="I757" t="inlineStr">
        <is>
          <t>cost base adjustment allocation</t>
        </is>
      </c>
      <c r="J757" s="5" t="inlineStr">
        <is>
          <t>01a1212c-988a-752e-bbe9-7fc29318d41b</t>
        </is>
      </c>
    </row>
    <row r="758">
      <c r="A758" s="5" t="inlineStr">
        <is>
          <t>01a1212c-9896-74e5-8ff1-2dd9d98b5338</t>
        </is>
      </c>
      <c r="D758" s="5" t="inlineStr">
        <is>
          <t>01a1212c-4b57-70cf-80fd-c2192cb3bf81</t>
        </is>
      </c>
      <c r="E758" s="4" t="n">
        <v>46304.62422692625</v>
      </c>
      <c r="F758" s="4" t="n">
        <v>46304.62422692635</v>
      </c>
      <c r="G758" t="b">
        <v>1</v>
      </c>
      <c r="H758" s="3" t="inlineStr">
        <is>
          <t>Added fraction 0.01145182782240726786634141773 of cost base adjustment 01a1212c-981b-74a7-bdd8-ec219dc8c198 | 2022-06-30 | Adjustment of VGS | Cost base increase = A$189.54</t>
        </is>
      </c>
      <c r="I758" t="inlineStr">
        <is>
          <t>cost base adjustment allocation</t>
        </is>
      </c>
      <c r="J758" s="5" t="inlineStr">
        <is>
          <t>01a1212c-9890-703b-943f-0baab469f338</t>
        </is>
      </c>
    </row>
    <row r="759">
      <c r="A759" s="5" t="inlineStr">
        <is>
          <t>01a1212c-989d-7054-90c3-af88586c7c43</t>
        </is>
      </c>
      <c r="D759" s="5" t="inlineStr">
        <is>
          <t>01a1212c-4b57-70cf-80fd-c2192cb3bf81</t>
        </is>
      </c>
      <c r="E759" s="4" t="n">
        <v>46304.62422700506</v>
      </c>
      <c r="F759" s="4" t="n">
        <v>46304.62422700516</v>
      </c>
      <c r="G759" t="b">
        <v>1</v>
      </c>
      <c r="H759" s="3" t="inlineStr">
        <is>
          <t>Added fraction 0.01165404411295163412048685168 of cost base adjustment 01a1212c-981b-74a7-bdd8-ec219dc8c198 | 2022-06-30 | Adjustment of VGS | Cost base increase = A$189.54</t>
        </is>
      </c>
      <c r="I759" t="inlineStr">
        <is>
          <t>cost base adjustment allocation</t>
        </is>
      </c>
      <c r="J759" s="5" t="inlineStr">
        <is>
          <t>01a1212c-9897-7294-936f-de1bd7380569</t>
        </is>
      </c>
    </row>
    <row r="760">
      <c r="A760" s="5" t="inlineStr">
        <is>
          <t>01a1212c-98a3-76a6-8074-35d8bfd6e228</t>
        </is>
      </c>
      <c r="D760" s="5" t="inlineStr">
        <is>
          <t>01a1212c-4b57-70cf-80fd-c2192cb3bf81</t>
        </is>
      </c>
      <c r="E760" s="4" t="n">
        <v>46304.62422707724</v>
      </c>
      <c r="F760" s="4" t="n">
        <v>46304.62422707735</v>
      </c>
      <c r="G760" t="b">
        <v>1</v>
      </c>
      <c r="H760" s="3" t="inlineStr">
        <is>
          <t>Added fraction 0.01165404411295163412048685168 of cost base adjustment 01a1212c-981b-74a7-bdd8-ec219dc8c198 | 2022-06-30 | Adjustment of VGS | Cost base increase = A$189.54</t>
        </is>
      </c>
      <c r="I760" t="inlineStr">
        <is>
          <t>cost base adjustment allocation</t>
        </is>
      </c>
      <c r="J760" s="5" t="inlineStr">
        <is>
          <t>01a1212c-989d-7054-90c3-af89e45d2624</t>
        </is>
      </c>
    </row>
    <row r="761">
      <c r="A761" s="5" t="inlineStr">
        <is>
          <t>01a1212c-98a9-77b0-b26c-0a33b9ea180b</t>
        </is>
      </c>
      <c r="D761" s="5" t="inlineStr">
        <is>
          <t>01a1212c-4b57-70cf-80fd-c2192cb3bf81</t>
        </is>
      </c>
      <c r="E761" s="4" t="n">
        <v>46304.62422715196</v>
      </c>
      <c r="F761" s="4" t="n">
        <v>46304.62422715204</v>
      </c>
      <c r="G761" t="b">
        <v>1</v>
      </c>
      <c r="H761" s="3" t="inlineStr">
        <is>
          <t>Added fraction 0.01165404411295163412048685168 of cost base adjustment 01a1212c-981b-74a7-bdd8-ec219dc8c198 | 2022-06-30 | Adjustment of VGS | Cost base increase = A$189.54</t>
        </is>
      </c>
      <c r="I761" t="inlineStr">
        <is>
          <t>cost base adjustment allocation</t>
        </is>
      </c>
      <c r="J761" s="5" t="inlineStr">
        <is>
          <t>01a1212c-98a4-750f-bf9c-32dd27190e83</t>
        </is>
      </c>
    </row>
    <row r="762">
      <c r="A762" s="5" t="inlineStr">
        <is>
          <t>01a1212c-98b0-74a5-a8cc-00c604fb34f8</t>
        </is>
      </c>
      <c r="D762" s="5" t="inlineStr">
        <is>
          <t>01a1212c-4b57-70cf-80fd-c2192cb3bf81</t>
        </is>
      </c>
      <c r="E762" s="4" t="n">
        <v>46304.62422722959</v>
      </c>
      <c r="F762" s="4" t="n">
        <v>46304.62422722967</v>
      </c>
      <c r="G762" t="b">
        <v>1</v>
      </c>
      <c r="H762" s="3" t="inlineStr">
        <is>
          <t>Added fraction 0.01165404411295163412048685168 of cost base adjustment 01a1212c-981b-74a7-bdd8-ec219dc8c198 | 2022-06-30 | Adjustment of VGS | Cost base increase = A$189.54</t>
        </is>
      </c>
      <c r="I762" t="inlineStr">
        <is>
          <t>cost base adjustment allocation</t>
        </is>
      </c>
      <c r="J762" s="5" t="inlineStr">
        <is>
          <t>01a1212c-98aa-7680-9504-f3d8af755e0c</t>
        </is>
      </c>
    </row>
    <row r="763">
      <c r="A763" s="5" t="inlineStr">
        <is>
          <t>01a1212c-98b6-75e7-8894-23d63e857015</t>
        </is>
      </c>
      <c r="D763" s="5" t="inlineStr">
        <is>
          <t>01a1212c-4b57-70cf-80fd-c2192cb3bf81</t>
        </is>
      </c>
      <c r="E763" s="4" t="n">
        <v>46304.62422729762</v>
      </c>
      <c r="F763" s="4" t="n">
        <v>46304.6242272977</v>
      </c>
      <c r="G763" t="b">
        <v>1</v>
      </c>
      <c r="H763" s="3" t="inlineStr">
        <is>
          <t>Added fraction 0.01165404411295163412048685168 of cost base adjustment 01a1212c-981b-74a7-bdd8-ec219dc8c198 | 2022-06-30 | Adjustment of VGS | Cost base increase = A$189.54</t>
        </is>
      </c>
      <c r="I763" t="inlineStr">
        <is>
          <t>cost base adjustment allocation</t>
        </is>
      </c>
      <c r="J763" s="5" t="inlineStr">
        <is>
          <t>01a1212c-98b1-7455-8bad-2223877a7442</t>
        </is>
      </c>
    </row>
    <row r="764">
      <c r="A764" s="5" t="inlineStr">
        <is>
          <t>01a1212c-98bd-704b-a32e-8ccb672405e6</t>
        </is>
      </c>
      <c r="D764" s="5" t="inlineStr">
        <is>
          <t>01a1212c-4b57-70cf-80fd-c2192cb3bf81</t>
        </is>
      </c>
      <c r="E764" s="4" t="n">
        <v>46304.62422737624</v>
      </c>
      <c r="F764" s="4" t="n">
        <v>46304.62422737632</v>
      </c>
      <c r="G764" t="b">
        <v>1</v>
      </c>
      <c r="H764" s="3" t="inlineStr">
        <is>
          <t>Added fraction 0.01165404411295163412048685168 of cost base adjustment 01a1212c-981b-74a7-bdd8-ec219dc8c198 | 2022-06-30 | Adjustment of VGS | Cost base increase = A$189.54</t>
        </is>
      </c>
      <c r="I764" t="inlineStr">
        <is>
          <t>cost base adjustment allocation</t>
        </is>
      </c>
      <c r="J764" s="5" t="inlineStr">
        <is>
          <t>01a1212c-98b7-7763-a7b0-af77ef966ab4</t>
        </is>
      </c>
    </row>
    <row r="765">
      <c r="A765" s="5" t="inlineStr">
        <is>
          <t>01a1212c-98c2-73e7-93b1-7aa31a7fa66a</t>
        </is>
      </c>
      <c r="D765" s="5" t="inlineStr">
        <is>
          <t>01a1212c-4b57-70cf-80fd-c2192cb3bf81</t>
        </is>
      </c>
      <c r="E765" s="4" t="n">
        <v>46304.62422744219</v>
      </c>
      <c r="F765" s="4" t="n">
        <v>46304.62422744227</v>
      </c>
      <c r="G765" t="b">
        <v>1</v>
      </c>
      <c r="H765" s="3" t="inlineStr">
        <is>
          <t>Added fraction 0.01243098038714840972851930846 of cost base adjustment 01a1212c-981b-74a7-bdd8-ec219dc8c198 | 2022-06-30 | Adjustment of VGS | Cost base increase = A$189.54</t>
        </is>
      </c>
      <c r="I765" t="inlineStr">
        <is>
          <t>cost base adjustment allocation</t>
        </is>
      </c>
      <c r="J765" s="5" t="inlineStr">
        <is>
          <t>01a1212c-98bd-704b-a32e-8ccc9492586c</t>
        </is>
      </c>
    </row>
    <row r="766">
      <c r="A766" s="5" t="inlineStr">
        <is>
          <t>01a1212c-98ca-724b-844c-8d6ffb207e6d</t>
        </is>
      </c>
      <c r="D766" s="5" t="inlineStr">
        <is>
          <t>01a1212c-4b57-70cf-80fd-c2192cb3bf81</t>
        </is>
      </c>
      <c r="E766" s="4" t="n">
        <v>46304.62422752562</v>
      </c>
      <c r="F766" s="4" t="n">
        <v>46304.6242275257</v>
      </c>
      <c r="G766" t="b">
        <v>1</v>
      </c>
      <c r="H766" s="3" t="inlineStr">
        <is>
          <t>Added fraction 0.01243098038714840972851930846 of cost base adjustment 01a1212c-981b-74a7-bdd8-ec219dc8c198 | 2022-06-30 | Adjustment of VGS | Cost base increase = A$189.54</t>
        </is>
      </c>
      <c r="I766" t="inlineStr">
        <is>
          <t>cost base adjustment allocation</t>
        </is>
      </c>
      <c r="J766" s="5" t="inlineStr">
        <is>
          <t>01a1212c-98c3-7314-afe5-2b907f7b99a2</t>
        </is>
      </c>
    </row>
    <row r="767">
      <c r="A767" s="5" t="inlineStr">
        <is>
          <t>01a1212c-98cf-735a-938b-24a95feb5c0a</t>
        </is>
      </c>
      <c r="D767" s="5" t="inlineStr">
        <is>
          <t>01a1212c-4b57-70cf-80fd-c2192cb3bf81</t>
        </is>
      </c>
      <c r="E767" s="4" t="n">
        <v>46304.62422759274</v>
      </c>
      <c r="F767" s="4" t="n">
        <v>46304.62422759282</v>
      </c>
      <c r="G767" t="b">
        <v>1</v>
      </c>
      <c r="H767" s="3" t="inlineStr">
        <is>
          <t>Added fraction 0.01320791666134518533655176524 of cost base adjustment 01a1212c-981b-74a7-bdd8-ec219dc8c198 | 2022-06-30 | Adjustment of VGS | Cost base increase = A$189.54</t>
        </is>
      </c>
      <c r="I767" t="inlineStr">
        <is>
          <t>cost base adjustment allocation</t>
        </is>
      </c>
      <c r="J767" s="5" t="inlineStr">
        <is>
          <t>01a1212c-98ca-724b-844c-8d706f75c16c</t>
        </is>
      </c>
    </row>
    <row r="768">
      <c r="A768" s="5" t="inlineStr">
        <is>
          <t>01a1212c-98d5-7632-9902-5cf0f4a70c0f</t>
        </is>
      </c>
      <c r="D768" s="5" t="inlineStr">
        <is>
          <t>01a1212c-4b57-70cf-80fd-c2192cb3bf81</t>
        </is>
      </c>
      <c r="E768" s="4" t="n">
        <v>46304.62422765924</v>
      </c>
      <c r="F768" s="4" t="n">
        <v>46304.62422765932</v>
      </c>
      <c r="G768" t="b">
        <v>1</v>
      </c>
      <c r="H768" s="3" t="inlineStr">
        <is>
          <t>Added fraction 0.01320791666134518533655176524 of cost base adjustment 01a1212c-981b-74a7-bdd8-ec219dc8c198 | 2022-06-30 | Adjustment of VGS | Cost base increase = A$189.54</t>
        </is>
      </c>
      <c r="I768" t="inlineStr">
        <is>
          <t>cost base adjustment allocation</t>
        </is>
      </c>
      <c r="J768" s="5" t="inlineStr">
        <is>
          <t>01a1212c-98d0-761f-b15c-cffbf77a8238</t>
        </is>
      </c>
    </row>
    <row r="769">
      <c r="A769" s="5" t="inlineStr">
        <is>
          <t>01a1212c-98dc-77b2-9c46-89a2ce01eabc</t>
        </is>
      </c>
      <c r="D769" s="5" t="inlineStr">
        <is>
          <t>01a1212c-4b57-70cf-80fd-c2192cb3bf81</t>
        </is>
      </c>
      <c r="E769" s="4" t="n">
        <v>46304.62422773503</v>
      </c>
      <c r="F769" s="4" t="n">
        <v>46304.62422773512</v>
      </c>
      <c r="G769" t="b">
        <v>1</v>
      </c>
      <c r="H769" s="3" t="inlineStr">
        <is>
          <t>Added fraction 0.01398485293554196094458422202 of cost base adjustment 01a1212c-981b-74a7-bdd8-ec219dc8c198 | 2022-06-30 | Adjustment of VGS | Cost base increase = A$189.54</t>
        </is>
      </c>
      <c r="I769" t="inlineStr">
        <is>
          <t>cost base adjustment allocation</t>
        </is>
      </c>
      <c r="J769" s="5" t="inlineStr">
        <is>
          <t>01a1212c-98d6-71de-be3b-128656373cad</t>
        </is>
      </c>
    </row>
    <row r="770">
      <c r="A770" s="5" t="inlineStr">
        <is>
          <t>01a1212c-98e1-77ec-9fd9-9e02ec0f78c1</t>
        </is>
      </c>
      <c r="D770" s="5" t="inlineStr">
        <is>
          <t>01a1212c-4b57-70cf-80fd-c2192cb3bf81</t>
        </is>
      </c>
      <c r="E770" s="4" t="n">
        <v>46304.6242278019</v>
      </c>
      <c r="F770" s="4" t="n">
        <v>46304.62422780197</v>
      </c>
      <c r="G770" t="b">
        <v>1</v>
      </c>
      <c r="H770" s="3" t="inlineStr">
        <is>
          <t>Added fraction 0.01398485293554196094458422202 of cost base adjustment 01a1212c-981b-74a7-bdd8-ec219dc8c198 | 2022-06-30 | Adjustment of VGS | Cost base increase = A$189.54</t>
        </is>
      </c>
      <c r="I770" t="inlineStr">
        <is>
          <t>cost base adjustment allocation</t>
        </is>
      </c>
      <c r="J770" s="5" t="inlineStr">
        <is>
          <t>01a1212c-98dc-77b2-9c46-89a310ed404b</t>
        </is>
      </c>
    </row>
    <row r="771">
      <c r="A771" s="5" t="inlineStr">
        <is>
          <t>01a1212c-98e7-74c1-96ac-cdb48f99f3bd</t>
        </is>
      </c>
      <c r="D771" s="5" t="inlineStr">
        <is>
          <t>01a1212c-4b57-70cf-80fd-c2192cb3bf81</t>
        </is>
      </c>
      <c r="E771" s="4" t="n">
        <v>46304.62422786648</v>
      </c>
      <c r="F771" s="4" t="n">
        <v>46304.62422786656</v>
      </c>
      <c r="G771" t="b">
        <v>1</v>
      </c>
      <c r="H771" s="3" t="inlineStr">
        <is>
          <t>Added fraction 0.01398485293554196094458422202 of cost base adjustment 01a1212c-981b-74a7-bdd8-ec219dc8c198 | 2022-06-30 | Adjustment of VGS | Cost base increase = A$189.54</t>
        </is>
      </c>
      <c r="I771" t="inlineStr">
        <is>
          <t>cost base adjustment allocation</t>
        </is>
      </c>
      <c r="J771" s="5" t="inlineStr">
        <is>
          <t>01a1212c-98e2-7351-b5d6-29b69f77ccba</t>
        </is>
      </c>
    </row>
    <row r="772">
      <c r="A772" s="5" t="inlineStr">
        <is>
          <t>01a1212c-98ee-7412-980d-1b3b7174cfaa</t>
        </is>
      </c>
      <c r="D772" s="5" t="inlineStr">
        <is>
          <t>01a1212c-4b57-70cf-80fd-c2192cb3bf81</t>
        </is>
      </c>
      <c r="E772" s="4" t="n">
        <v>46304.62422795021</v>
      </c>
      <c r="F772" s="4" t="n">
        <v>46304.62422795029</v>
      </c>
      <c r="G772" t="b">
        <v>1</v>
      </c>
      <c r="H772" s="3" t="inlineStr">
        <is>
          <t>Added fraction 0.01476178920973873655261667880 of cost base adjustment 01a1212c-981b-74a7-bdd8-ec219dc8c198 | 2022-06-30 | Adjustment of VGS | Cost base increase = A$189.54</t>
        </is>
      </c>
      <c r="I772" t="inlineStr">
        <is>
          <t>cost base adjustment allocation</t>
        </is>
      </c>
      <c r="J772" s="5" t="inlineStr">
        <is>
          <t>01a1212c-98e8-70a5-a606-cf56dfbdab21</t>
        </is>
      </c>
    </row>
    <row r="773">
      <c r="A773" s="5" t="inlineStr">
        <is>
          <t>01a1212c-98f4-740f-a8bb-284ea5a5e31f</t>
        </is>
      </c>
      <c r="D773" s="5" t="inlineStr">
        <is>
          <t>01a1212c-4b57-70cf-80fd-c2192cb3bf81</t>
        </is>
      </c>
      <c r="E773" s="4" t="n">
        <v>46304.62422802002</v>
      </c>
      <c r="F773" s="4" t="n">
        <v>46304.62422802009</v>
      </c>
      <c r="G773" t="b">
        <v>1</v>
      </c>
      <c r="H773" s="3" t="inlineStr">
        <is>
          <t>Added fraction 0.01553872548393551216064913558 of cost base adjustment 01a1212c-981b-74a7-bdd8-ec219dc8c198 | 2022-06-30 | Adjustment of VGS | Cost base increase = A$189.54</t>
        </is>
      </c>
      <c r="I773" t="inlineStr">
        <is>
          <t>cost base adjustment allocation</t>
        </is>
      </c>
      <c r="J773" s="5" t="inlineStr">
        <is>
          <t>01a1212c-98ef-770f-83b8-71c68f9b201e</t>
        </is>
      </c>
    </row>
    <row r="774">
      <c r="A774" s="5" t="inlineStr">
        <is>
          <t>01a1212c-98fb-740e-b96f-de4e851dfb08</t>
        </is>
      </c>
      <c r="D774" s="5" t="inlineStr">
        <is>
          <t>01a1212c-4b57-70cf-80fd-c2192cb3bf81</t>
        </is>
      </c>
      <c r="E774" s="4" t="n">
        <v>46304.62422809238</v>
      </c>
      <c r="F774" s="4" t="n">
        <v>46304.62422809246</v>
      </c>
      <c r="G774" t="b">
        <v>1</v>
      </c>
      <c r="H774" s="3" t="inlineStr">
        <is>
          <t>Added fraction 0.01553872548393551216064913558 of cost base adjustment 01a1212c-981b-74a7-bdd8-ec219dc8c198 | 2022-06-30 | Adjustment of VGS | Cost base increase = A$189.54</t>
        </is>
      </c>
      <c r="I774" t="inlineStr">
        <is>
          <t>cost base adjustment allocation</t>
        </is>
      </c>
      <c r="J774" s="5" t="inlineStr">
        <is>
          <t>01a1212c-98f5-7344-8750-10e28dd906ce</t>
        </is>
      </c>
    </row>
    <row r="775">
      <c r="A775" s="5" t="inlineStr">
        <is>
          <t>01a1212c-9900-727f-aab6-f09bdbdcae28</t>
        </is>
      </c>
      <c r="D775" s="5" t="inlineStr">
        <is>
          <t>01a1212c-4b57-70cf-80fd-c2192cb3bf81</t>
        </is>
      </c>
      <c r="E775" s="4" t="n">
        <v>46304.62422815961</v>
      </c>
      <c r="F775" s="4" t="n">
        <v>46304.62422815969</v>
      </c>
      <c r="G775" t="b">
        <v>1</v>
      </c>
      <c r="H775" s="3" t="inlineStr">
        <is>
          <t>Added fraction 0.01553872548393551216064913558 of cost base adjustment 01a1212c-981b-74a7-bdd8-ec219dc8c198 | 2022-06-30 | Adjustment of VGS | Cost base increase = A$189.54</t>
        </is>
      </c>
      <c r="I775" t="inlineStr">
        <is>
          <t>cost base adjustment allocation</t>
        </is>
      </c>
      <c r="J775" s="5" t="inlineStr">
        <is>
          <t>01a1212c-98fb-740e-b96f-de4fc19eb6e2</t>
        </is>
      </c>
    </row>
    <row r="776">
      <c r="A776" s="5" t="inlineStr">
        <is>
          <t>01a1212c-9906-7096-b85a-ba19c96d3e36</t>
        </is>
      </c>
      <c r="D776" s="5" t="inlineStr">
        <is>
          <t>01a1212c-4b57-70cf-80fd-c2192cb3bf81</t>
        </is>
      </c>
      <c r="E776" s="4" t="n">
        <v>46304.62422822871</v>
      </c>
      <c r="F776" s="4" t="n">
        <v>46304.62422822879</v>
      </c>
      <c r="G776" t="b">
        <v>1</v>
      </c>
      <c r="H776" s="3" t="inlineStr">
        <is>
          <t>Added fraction 0.01613685998544042708080562970 of cost base adjustment 01a1212c-981b-74a7-bdd8-ec219dc8c198 | 2022-06-30 | Adjustment of VGS | Cost base increase = A$189.54</t>
        </is>
      </c>
      <c r="I776" t="inlineStr">
        <is>
          <t>cost base adjustment allocation</t>
        </is>
      </c>
      <c r="J776" s="5" t="inlineStr">
        <is>
          <t>01a1212c-9901-7460-a2eb-e4db27ab0995</t>
        </is>
      </c>
    </row>
    <row r="777">
      <c r="A777" s="5" t="inlineStr">
        <is>
          <t>01a1212c-990d-72ef-a8b8-7ef33c798aeb</t>
        </is>
      </c>
      <c r="D777" s="5" t="inlineStr">
        <is>
          <t>01a1212c-4b57-70cf-80fd-c2192cb3bf81</t>
        </is>
      </c>
      <c r="E777" s="4" t="n">
        <v>46304.62422830265</v>
      </c>
      <c r="F777" s="4" t="n">
        <v>46304.62422830275</v>
      </c>
      <c r="G777" t="b">
        <v>1</v>
      </c>
      <c r="H777" s="3" t="inlineStr">
        <is>
          <t>Added fraction 0.01631566175813228776868159236 of cost base adjustment 01a1212c-981b-74a7-bdd8-ec219dc8c198 | 2022-06-30 | Adjustment of VGS | Cost base increase = A$189.54</t>
        </is>
      </c>
      <c r="I777" t="inlineStr">
        <is>
          <t>cost base adjustment allocation</t>
        </is>
      </c>
      <c r="J777" s="5" t="inlineStr">
        <is>
          <t>01a1212c-9907-70e8-a751-61daf250050e</t>
        </is>
      </c>
    </row>
    <row r="778">
      <c r="A778" s="5" t="inlineStr">
        <is>
          <t>01a1212c-9912-7193-8e91-3a6e4ad484d7</t>
        </is>
      </c>
      <c r="D778" s="5" t="inlineStr">
        <is>
          <t>01a1212c-4b57-70cf-80fd-c2192cb3bf81</t>
        </is>
      </c>
      <c r="E778" s="4" t="n">
        <v>46304.62422836794</v>
      </c>
      <c r="F778" s="4" t="n">
        <v>46304.62422836802</v>
      </c>
      <c r="G778" t="b">
        <v>1</v>
      </c>
      <c r="H778" s="3" t="inlineStr">
        <is>
          <t>Added fraction 0.01631566175813228776868159236 of cost base adjustment 01a1212c-981b-74a7-bdd8-ec219dc8c198 | 2022-06-30 | Adjustment of VGS | Cost base increase = A$189.54</t>
        </is>
      </c>
      <c r="I778" t="inlineStr">
        <is>
          <t>cost base adjustment allocation</t>
        </is>
      </c>
      <c r="J778" s="5" t="inlineStr">
        <is>
          <t>01a1212c-990d-72ef-a8b8-7ef4a75b3347</t>
        </is>
      </c>
    </row>
    <row r="779">
      <c r="A779" s="5" t="inlineStr">
        <is>
          <t>01a1212c-9918-7407-a305-c7f111688c35</t>
        </is>
      </c>
      <c r="D779" s="5" t="inlineStr">
        <is>
          <t>01a1212c-4b57-70cf-80fd-c2192cb3bf81</t>
        </is>
      </c>
      <c r="E779" s="4" t="n">
        <v>46304.62422843481</v>
      </c>
      <c r="F779" s="4" t="n">
        <v>46304.6242284349</v>
      </c>
      <c r="G779" t="b">
        <v>1</v>
      </c>
      <c r="H779" s="3" t="inlineStr">
        <is>
          <t>Added fraction 0.01631566175813228776868159236 of cost base adjustment 01a1212c-981b-74a7-bdd8-ec219dc8c198 | 2022-06-30 | Adjustment of VGS | Cost base increase = A$189.54</t>
        </is>
      </c>
      <c r="I779" t="inlineStr">
        <is>
          <t>cost base adjustment allocation</t>
        </is>
      </c>
      <c r="J779" s="5" t="inlineStr">
        <is>
          <t>01a1212c-9913-7327-80a4-16c4f4636d61</t>
        </is>
      </c>
    </row>
    <row r="780">
      <c r="A780" s="5" t="inlineStr">
        <is>
          <t>01a1212c-991f-75b8-b473-9686d60d169c</t>
        </is>
      </c>
      <c r="D780" s="5" t="inlineStr">
        <is>
          <t>01a1212c-4b57-70cf-80fd-c2192cb3bf81</t>
        </is>
      </c>
      <c r="E780" s="4" t="n">
        <v>46304.62422851132</v>
      </c>
      <c r="F780" s="4" t="n">
        <v>46304.62422851142</v>
      </c>
      <c r="G780" t="b">
        <v>1</v>
      </c>
      <c r="H780" s="3" t="inlineStr">
        <is>
          <t>Added fraction 0.01631566175813228776868159236 of cost base adjustment 01a1212c-981b-74a7-bdd8-ec219dc8c198 | 2022-06-30 | Adjustment of VGS | Cost base increase = A$189.54</t>
        </is>
      </c>
      <c r="I780" t="inlineStr">
        <is>
          <t>cost base adjustment allocation</t>
        </is>
      </c>
      <c r="J780" s="5" t="inlineStr">
        <is>
          <t>01a1212c-9919-7660-9544-8d904d8f2b98</t>
        </is>
      </c>
    </row>
    <row r="781">
      <c r="A781" s="5" t="inlineStr">
        <is>
          <t>01a1212c-9926-7016-adf9-6f7b9469886e</t>
        </is>
      </c>
      <c r="D781" s="5" t="inlineStr">
        <is>
          <t>01a1212c-4b57-70cf-80fd-c2192cb3bf81</t>
        </is>
      </c>
      <c r="E781" s="4" t="n">
        <v>46304.62422859431</v>
      </c>
      <c r="F781" s="4" t="n">
        <v>46304.6242285944</v>
      </c>
      <c r="G781" t="b">
        <v>1</v>
      </c>
      <c r="H781" s="3" t="inlineStr">
        <is>
          <t>Added fraction 0.01631566175813228776868159236 of cost base adjustment 01a1212c-981b-74a7-bdd8-ec219dc8c198 | 2022-06-30 | Adjustment of VGS | Cost base increase = A$189.54</t>
        </is>
      </c>
      <c r="I781" t="inlineStr">
        <is>
          <t>cost base adjustment allocation</t>
        </is>
      </c>
      <c r="J781" s="5" t="inlineStr">
        <is>
          <t>01a1212c-9920-77c8-a382-84fcc62ab6a3</t>
        </is>
      </c>
    </row>
    <row r="782">
      <c r="A782" s="5" t="inlineStr">
        <is>
          <t>01a1212c-992c-75a9-b49a-81c992e61072</t>
        </is>
      </c>
      <c r="D782" s="5" t="inlineStr">
        <is>
          <t>01a1212c-4b57-70cf-80fd-c2192cb3bf81</t>
        </is>
      </c>
      <c r="E782" s="4" t="n">
        <v>46304.62422866933</v>
      </c>
      <c r="F782" s="4" t="n">
        <v>46304.62422866945</v>
      </c>
      <c r="G782" t="b">
        <v>1</v>
      </c>
      <c r="H782" s="3" t="inlineStr">
        <is>
          <t>Added fraction 0.01709259803232906337671404914 of cost base adjustment 01a1212c-981b-74a7-bdd8-ec219dc8c198 | 2022-06-30 | Adjustment of VGS | Cost base increase = A$189.54</t>
        </is>
      </c>
      <c r="I782" t="inlineStr">
        <is>
          <t>cost base adjustment allocation</t>
        </is>
      </c>
      <c r="J782" s="5" t="inlineStr">
        <is>
          <t>01a1212c-9927-74b6-9d3e-f7564c9c93b8</t>
        </is>
      </c>
    </row>
    <row r="783">
      <c r="A783" s="5" t="inlineStr">
        <is>
          <t>01a1212c-9934-7428-9ddc-597cc0ee21da</t>
        </is>
      </c>
      <c r="D783" s="5" t="inlineStr">
        <is>
          <t>01a1212c-4b57-70cf-80fd-c2192cb3bf81</t>
        </is>
      </c>
      <c r="E783" s="4" t="n">
        <v>46304.62422875323</v>
      </c>
      <c r="F783" s="4" t="n">
        <v>46304.62422875335</v>
      </c>
      <c r="G783" t="b">
        <v>1</v>
      </c>
      <c r="H783" s="3" t="inlineStr">
        <is>
          <t>Added fraction 0.01709259803232906337671404914 of cost base adjustment 01a1212c-981b-74a7-bdd8-ec219dc8c198 | 2022-06-30 | Adjustment of VGS | Cost base increase = A$189.54</t>
        </is>
      </c>
      <c r="I783" t="inlineStr">
        <is>
          <t>cost base adjustment allocation</t>
        </is>
      </c>
      <c r="J783" s="5" t="inlineStr">
        <is>
          <t>01a1212c-992d-77cd-9482-2181a9938d86</t>
        </is>
      </c>
    </row>
    <row r="784">
      <c r="A784" s="5" t="inlineStr">
        <is>
          <t>01a1212c-993a-706f-ab0a-7e1ab768ed7e</t>
        </is>
      </c>
      <c r="D784" s="5" t="inlineStr">
        <is>
          <t>01a1212c-4b57-70cf-80fd-c2192cb3bf81</t>
        </is>
      </c>
      <c r="E784" s="4" t="n">
        <v>46304.62422883116</v>
      </c>
      <c r="F784" s="4" t="n">
        <v>46304.62422883127</v>
      </c>
      <c r="G784" t="b">
        <v>1</v>
      </c>
      <c r="H784" s="3" t="inlineStr">
        <is>
          <t>Added fraction 0.01709259803232906337671404914 of cost base adjustment 01a1212c-981b-74a7-bdd8-ec219dc8c198 | 2022-06-30 | Adjustment of VGS | Cost base increase = A$189.54</t>
        </is>
      </c>
      <c r="I784" t="inlineStr">
        <is>
          <t>cost base adjustment allocation</t>
        </is>
      </c>
      <c r="J784" s="5" t="inlineStr">
        <is>
          <t>01a1212c-9934-7428-9ddc-597df7832642</t>
        </is>
      </c>
    </row>
    <row r="785">
      <c r="A785" s="5" t="inlineStr">
        <is>
          <t>01a1212c-9942-71e9-a95a-699dabe4ffcf</t>
        </is>
      </c>
      <c r="D785" s="5" t="inlineStr">
        <is>
          <t>01a1212c-4b57-70cf-80fd-c2192cb3bf81</t>
        </is>
      </c>
      <c r="E785" s="4" t="n">
        <v>46304.62422892352</v>
      </c>
      <c r="F785" s="4" t="n">
        <v>46304.62422892363</v>
      </c>
      <c r="G785" t="b">
        <v>1</v>
      </c>
      <c r="H785" s="3" t="inlineStr">
        <is>
          <t>Added fraction 0.01709259803232906337671404914 of cost base adjustment 01a1212c-981b-74a7-bdd8-ec219dc8c198 | 2022-06-30 | Adjustment of VGS | Cost base increase = A$189.54</t>
        </is>
      </c>
      <c r="I785" t="inlineStr">
        <is>
          <t>cost base adjustment allocation</t>
        </is>
      </c>
      <c r="J785" s="5" t="inlineStr">
        <is>
          <t>01a1212c-993b-760e-8f90-6a5bd6c45f3e</t>
        </is>
      </c>
    </row>
    <row r="786">
      <c r="A786" s="5" t="inlineStr">
        <is>
          <t>01a1212c-9949-74fd-bedd-ca35a6682949</t>
        </is>
      </c>
      <c r="D786" s="5" t="inlineStr">
        <is>
          <t>01a1212c-4b57-70cf-80fd-c2192cb3bf81</t>
        </is>
      </c>
      <c r="E786" s="4" t="n">
        <v>46304.62422899908</v>
      </c>
      <c r="F786" s="4" t="n">
        <v>46304.62422899916</v>
      </c>
      <c r="G786" t="b">
        <v>1</v>
      </c>
      <c r="H786" s="3" t="inlineStr">
        <is>
          <t>Added fraction 0.01786953430652583898474650592 of cost base adjustment 01a1212c-981b-74a7-bdd8-ec219dc8c198 | 2022-06-30 | Adjustment of VGS | Cost base increase = A$189.54</t>
        </is>
      </c>
      <c r="I786" t="inlineStr">
        <is>
          <t>cost base adjustment allocation</t>
        </is>
      </c>
      <c r="J786" s="5" t="inlineStr">
        <is>
          <t>01a1212c-9943-7436-8072-d814d5a6abd8</t>
        </is>
      </c>
    </row>
    <row r="787">
      <c r="A787" s="5" t="inlineStr">
        <is>
          <t>01a1212c-9950-772b-9412-4d039b4c217c</t>
        </is>
      </c>
      <c r="D787" s="5" t="inlineStr">
        <is>
          <t>01a1212c-4b57-70cf-80fd-c2192cb3bf81</t>
        </is>
      </c>
      <c r="E787" s="4" t="n">
        <v>46304.62422907588</v>
      </c>
      <c r="F787" s="4" t="n">
        <v>46304.62422907597</v>
      </c>
      <c r="G787" t="b">
        <v>1</v>
      </c>
      <c r="H787" s="3" t="inlineStr">
        <is>
          <t>Added fraction 0.01786953430652583898474650592 of cost base adjustment 01a1212c-981b-74a7-bdd8-ec219dc8c198 | 2022-06-30 | Adjustment of VGS | Cost base increase = A$189.54</t>
        </is>
      </c>
      <c r="I787" t="inlineStr">
        <is>
          <t>cost base adjustment allocation</t>
        </is>
      </c>
      <c r="J787" s="5" t="inlineStr">
        <is>
          <t>01a1212c-994a-7501-bda2-4676f24f2398</t>
        </is>
      </c>
    </row>
    <row r="788">
      <c r="A788" s="5" t="inlineStr">
        <is>
          <t>01a1212c-9956-713a-9b09-ad0d1a510d40</t>
        </is>
      </c>
      <c r="D788" s="5" t="inlineStr">
        <is>
          <t>01a1212c-4b57-70cf-80fd-c2192cb3bf81</t>
        </is>
      </c>
      <c r="E788" s="4" t="n">
        <v>46304.62422914863</v>
      </c>
      <c r="F788" s="4" t="n">
        <v>46304.62422914871</v>
      </c>
      <c r="G788" t="b">
        <v>1</v>
      </c>
      <c r="H788" s="3" t="inlineStr">
        <is>
          <t>Added fraction 0.01786953430652583898474650592 of cost base adjustment 01a1212c-981b-74a7-bdd8-ec219dc8c198 | 2022-06-30 | Adjustment of VGS | Cost base increase = A$189.54</t>
        </is>
      </c>
      <c r="I788" t="inlineStr">
        <is>
          <t>cost base adjustment allocation</t>
        </is>
      </c>
      <c r="J788" s="5" t="inlineStr">
        <is>
          <t>01a1212c-9950-772b-9412-4d04224390b5</t>
        </is>
      </c>
    </row>
    <row r="789">
      <c r="A789" s="5" t="inlineStr">
        <is>
          <t>01a1212c-995c-70ca-b203-51db6260da99</t>
        </is>
      </c>
      <c r="D789" s="5" t="inlineStr">
        <is>
          <t>01a1212c-4b57-70cf-80fd-c2192cb3bf81</t>
        </is>
      </c>
      <c r="E789" s="4" t="n">
        <v>46304.62422921546</v>
      </c>
      <c r="F789" s="4" t="n">
        <v>46304.62422921553</v>
      </c>
      <c r="G789" t="b">
        <v>1</v>
      </c>
      <c r="H789" s="3" t="inlineStr">
        <is>
          <t>Added fraction 0.01786953430652583898474650592 of cost base adjustment 01a1212c-981b-74a7-bdd8-ec219dc8c198 | 2022-06-30 | Adjustment of VGS | Cost base increase = A$189.54</t>
        </is>
      </c>
      <c r="I789" t="inlineStr">
        <is>
          <t>cost base adjustment allocation</t>
        </is>
      </c>
      <c r="J789" s="5" t="inlineStr">
        <is>
          <t>01a1212c-9957-7301-8abc-35d98640a420</t>
        </is>
      </c>
    </row>
    <row r="790">
      <c r="A790" s="5" t="inlineStr">
        <is>
          <t>01a1212c-9962-72b0-b445-277cbf864315</t>
        </is>
      </c>
      <c r="D790" s="5" t="inlineStr">
        <is>
          <t>01a1212c-4b57-70cf-80fd-c2192cb3bf81</t>
        </is>
      </c>
      <c r="E790" s="4" t="n">
        <v>46304.62422929478</v>
      </c>
      <c r="F790" s="4" t="n">
        <v>46304.62422929488</v>
      </c>
      <c r="G790" t="b">
        <v>1</v>
      </c>
      <c r="H790" s="3" t="inlineStr">
        <is>
          <t>Added fraction 0.01864647058072261459277896269 of cost base adjustment 01a1212c-981b-74a7-bdd8-ec219dc8c198 | 2022-06-30 | Adjustment of VGS | Cost base increase = A$189.54</t>
        </is>
      </c>
      <c r="I790" t="inlineStr">
        <is>
          <t>cost base adjustment allocation</t>
        </is>
      </c>
      <c r="J790" s="5" t="inlineStr">
        <is>
          <t>01a1212c-995c-70ca-b203-51dc8b08e6f7</t>
        </is>
      </c>
    </row>
    <row r="791">
      <c r="A791" s="5" t="inlineStr">
        <is>
          <t>01a1212c-9969-72a2-9e06-3ebce118cd76</t>
        </is>
      </c>
      <c r="D791" s="5" t="inlineStr">
        <is>
          <t>01a1212c-4b57-70cf-80fd-c2192cb3bf81</t>
        </is>
      </c>
      <c r="E791" s="4" t="n">
        <v>46304.62422937238</v>
      </c>
      <c r="F791" s="4" t="n">
        <v>46304.62422937246</v>
      </c>
      <c r="G791" t="b">
        <v>1</v>
      </c>
      <c r="H791" s="3" t="inlineStr">
        <is>
          <t>Added fraction 0.01864647058072261459277896269 of cost base adjustment 01a1212c-981b-74a7-bdd8-ec219dc8c198 | 2022-06-30 | Adjustment of VGS | Cost base increase = A$189.54</t>
        </is>
      </c>
      <c r="I791" t="inlineStr">
        <is>
          <t>cost base adjustment allocation</t>
        </is>
      </c>
      <c r="J791" s="5" t="inlineStr">
        <is>
          <t>01a1212c-9963-7291-9d56-1af1ff901cfb</t>
        </is>
      </c>
    </row>
    <row r="792">
      <c r="A792" s="5" t="inlineStr">
        <is>
          <t>01a1212c-9970-767b-9c59-52fdeb2f2cdd</t>
        </is>
      </c>
      <c r="D792" s="5" t="inlineStr">
        <is>
          <t>01a1212c-4b57-70cf-80fd-c2192cb3bf81</t>
        </is>
      </c>
      <c r="E792" s="4" t="n">
        <v>46304.62422945155</v>
      </c>
      <c r="F792" s="4" t="n">
        <v>46304.62422945163</v>
      </c>
      <c r="G792" t="b">
        <v>1</v>
      </c>
      <c r="H792" s="3" t="inlineStr">
        <is>
          <t>Added fraction 0.01864647058072261459277896269 of cost base adjustment 01a1212c-981b-74a7-bdd8-ec219dc8c198 | 2022-06-30 | Adjustment of VGS | Cost base increase = A$189.54</t>
        </is>
      </c>
      <c r="I792" t="inlineStr">
        <is>
          <t>cost base adjustment allocation</t>
        </is>
      </c>
      <c r="J792" s="5" t="inlineStr">
        <is>
          <t>01a1212c-996a-72ed-aca4-f718e141ce34</t>
        </is>
      </c>
    </row>
    <row r="793">
      <c r="A793" s="5" t="inlineStr">
        <is>
          <t>01a1212c-9977-7356-96ba-5d177cce044b</t>
        </is>
      </c>
      <c r="D793" s="5" t="inlineStr">
        <is>
          <t>01a1212c-4b57-70cf-80fd-c2192cb3bf81</t>
        </is>
      </c>
      <c r="E793" s="4" t="n">
        <v>46304.62422953184</v>
      </c>
      <c r="F793" s="4" t="n">
        <v>46304.62422953192</v>
      </c>
      <c r="G793" t="b">
        <v>1</v>
      </c>
      <c r="H793" s="3" t="inlineStr">
        <is>
          <t>Added fraction 0.01942340685491939020081141947 of cost base adjustment 01a1212c-981b-74a7-bdd8-ec219dc8c198 | 2022-06-30 | Adjustment of VGS | Cost base increase = A$189.54</t>
        </is>
      </c>
      <c r="I793" t="inlineStr">
        <is>
          <t>cost base adjustment allocation</t>
        </is>
      </c>
      <c r="J793" s="5" t="inlineStr">
        <is>
          <t>01a1212c-9971-717b-9aeb-f847c9add7c3</t>
        </is>
      </c>
    </row>
    <row r="794">
      <c r="A794" s="5" t="inlineStr">
        <is>
          <t>01a1212c-997d-706e-8df0-b57f5f02f11d</t>
        </is>
      </c>
      <c r="D794" s="5" t="inlineStr">
        <is>
          <t>01a1212c-4b57-70cf-80fd-c2192cb3bf81</t>
        </is>
      </c>
      <c r="E794" s="4" t="n">
        <v>46304.62422960054</v>
      </c>
      <c r="F794" s="4" t="n">
        <v>46304.62422960062</v>
      </c>
      <c r="G794" t="b">
        <v>1</v>
      </c>
      <c r="H794" s="3" t="inlineStr">
        <is>
          <t>Added fraction 0.01942340685491939020081141947 of cost base adjustment 01a1212c-981b-74a7-bdd8-ec219dc8c198 | 2022-06-30 | Adjustment of VGS | Cost base increase = A$189.54</t>
        </is>
      </c>
      <c r="I794" t="inlineStr">
        <is>
          <t>cost base adjustment allocation</t>
        </is>
      </c>
      <c r="J794" s="5" t="inlineStr">
        <is>
          <t>01a1212c-9978-755d-9be9-c80627d24f9c</t>
        </is>
      </c>
    </row>
    <row r="795">
      <c r="A795" s="5" t="inlineStr">
        <is>
          <t>01a1212c-9983-7428-93ef-3f40ee484151</t>
        </is>
      </c>
      <c r="D795" s="5" t="inlineStr">
        <is>
          <t>01a1212c-4b57-70cf-80fd-c2192cb3bf81</t>
        </is>
      </c>
      <c r="E795" s="4" t="n">
        <v>46304.62422966663</v>
      </c>
      <c r="F795" s="4" t="n">
        <v>46304.6242296667</v>
      </c>
      <c r="G795" t="b">
        <v>1</v>
      </c>
      <c r="H795" s="3" t="inlineStr">
        <is>
          <t>Added fraction 0.02020034312911616580884387625 of cost base adjustment 01a1212c-981b-74a7-bdd8-ec219dc8c198 | 2022-06-30 | Adjustment of VGS | Cost base increase = A$189.54</t>
        </is>
      </c>
      <c r="I795" t="inlineStr">
        <is>
          <t>cost base adjustment allocation</t>
        </is>
      </c>
      <c r="J795" s="5" t="inlineStr">
        <is>
          <t>01a1212c-997e-737f-81fb-9021aaaa007b</t>
        </is>
      </c>
    </row>
    <row r="796">
      <c r="A796" s="5" t="inlineStr">
        <is>
          <t>01a1212c-9989-76e9-a859-3e07e3913282</t>
        </is>
      </c>
      <c r="D796" s="5" t="inlineStr">
        <is>
          <t>01a1212c-4b57-70cf-80fd-c2192cb3bf81</t>
        </is>
      </c>
      <c r="E796" s="4" t="n">
        <v>46304.62422973503</v>
      </c>
      <c r="F796" s="4" t="n">
        <v>46304.62422973511</v>
      </c>
      <c r="G796" t="b">
        <v>1</v>
      </c>
      <c r="H796" s="3" t="inlineStr">
        <is>
          <t>Added fraction 0.02020034312911616580884387625 of cost base adjustment 01a1212c-981b-74a7-bdd8-ec219dc8c198 | 2022-06-30 | Adjustment of VGS | Cost base increase = A$189.54</t>
        </is>
      </c>
      <c r="I796" t="inlineStr">
        <is>
          <t>cost base adjustment allocation</t>
        </is>
      </c>
      <c r="J796" s="5" t="inlineStr">
        <is>
          <t>01a1212c-9983-7428-93ef-3f41a67e5ecd</t>
        </is>
      </c>
    </row>
    <row r="797">
      <c r="A797" s="5" t="inlineStr">
        <is>
          <t>01a1212c-998e-70e4-ad45-1a9b29e2ac8f</t>
        </is>
      </c>
      <c r="D797" s="5" t="inlineStr">
        <is>
          <t>01a1212c-4b57-70cf-80fd-c2192cb3bf81</t>
        </is>
      </c>
      <c r="E797" s="4" t="n">
        <v>46304.62422980231</v>
      </c>
      <c r="F797" s="4" t="n">
        <v>46304.62422980239</v>
      </c>
      <c r="G797" t="b">
        <v>1</v>
      </c>
      <c r="H797" s="3" t="inlineStr">
        <is>
          <t>Added fraction 0.02020034312911616580884387625 of cost base adjustment 01a1212c-981b-74a7-bdd8-ec219dc8c198 | 2022-06-30 | Adjustment of VGS | Cost base increase = A$189.54</t>
        </is>
      </c>
      <c r="I797" t="inlineStr">
        <is>
          <t>cost base adjustment allocation</t>
        </is>
      </c>
      <c r="J797" s="5" t="inlineStr">
        <is>
          <t>01a1212c-9989-76e9-a859-3e0853220db1</t>
        </is>
      </c>
    </row>
    <row r="798">
      <c r="A798" s="5" t="inlineStr">
        <is>
          <t>01a1212c-9994-711b-aea9-9a70aa0492dc</t>
        </is>
      </c>
      <c r="D798" s="5" t="inlineStr">
        <is>
          <t>01a1212c-4b57-70cf-80fd-c2192cb3bf81</t>
        </is>
      </c>
      <c r="E798" s="4" t="n">
        <v>46304.62422987332</v>
      </c>
      <c r="F798" s="4" t="n">
        <v>46304.6242298734</v>
      </c>
      <c r="G798" t="b">
        <v>1</v>
      </c>
      <c r="H798" s="3" t="inlineStr">
        <is>
          <t>Added fraction 0.02020034312911616580884387625 of cost base adjustment 01a1212c-981b-74a7-bdd8-ec219dc8c198 | 2022-06-30 | Adjustment of VGS | Cost base increase = A$189.54</t>
        </is>
      </c>
      <c r="I798" t="inlineStr">
        <is>
          <t>cost base adjustment allocation</t>
        </is>
      </c>
      <c r="J798" s="5" t="inlineStr">
        <is>
          <t>01a1212c-998f-735e-a148-e9a0df571c4c</t>
        </is>
      </c>
    </row>
    <row r="799">
      <c r="A799" s="5" t="inlineStr">
        <is>
          <t>01a1212c-999a-753d-9b10-e9e3d83b9b43</t>
        </is>
      </c>
      <c r="D799" s="5" t="inlineStr">
        <is>
          <t>01a1212c-4b57-70cf-80fd-c2192cb3bf81</t>
        </is>
      </c>
      <c r="E799" s="4" t="n">
        <v>46304.62422994168</v>
      </c>
      <c r="F799" s="4" t="n">
        <v>46304.62422994175</v>
      </c>
      <c r="G799" t="b">
        <v>1</v>
      </c>
      <c r="H799" s="3" t="inlineStr">
        <is>
          <t>Added fraction 0.02097727940331294141687633303 of cost base adjustment 01a1212c-981b-74a7-bdd8-ec219dc8c198 | 2022-06-30 | Adjustment of VGS | Cost base increase = A$189.54</t>
        </is>
      </c>
      <c r="I799" t="inlineStr">
        <is>
          <t>cost base adjustment allocation</t>
        </is>
      </c>
      <c r="J799" s="5" t="inlineStr">
        <is>
          <t>01a1212c-9995-7684-95d5-6d1914efd65d</t>
        </is>
      </c>
    </row>
    <row r="800">
      <c r="A800" s="5" t="inlineStr">
        <is>
          <t>01a1212c-99a0-777a-8108-306b690c60a4</t>
        </is>
      </c>
      <c r="D800" s="5" t="inlineStr">
        <is>
          <t>01a1212c-4b57-70cf-80fd-c2192cb3bf81</t>
        </is>
      </c>
      <c r="E800" s="4" t="n">
        <v>46304.62423000915</v>
      </c>
      <c r="F800" s="4" t="n">
        <v>46304.62423000923</v>
      </c>
      <c r="G800" t="b">
        <v>1</v>
      </c>
      <c r="H800" s="3" t="inlineStr">
        <is>
          <t>Added fraction 0.02097727940331294141687633303 of cost base adjustment 01a1212c-981b-74a7-bdd8-ec219dc8c198 | 2022-06-30 | Adjustment of VGS | Cost base increase = A$189.54</t>
        </is>
      </c>
      <c r="I800" t="inlineStr">
        <is>
          <t>cost base adjustment allocation</t>
        </is>
      </c>
      <c r="J800" s="5" t="inlineStr">
        <is>
          <t>01a1212c-999b-7621-baaf-d4b0dc754f3b</t>
        </is>
      </c>
    </row>
    <row r="801">
      <c r="A801" s="5" t="inlineStr">
        <is>
          <t>01a1212c-99a7-71eb-9207-0f30d00750cc</t>
        </is>
      </c>
      <c r="D801" s="5" t="inlineStr">
        <is>
          <t>01a1212c-4b57-70cf-80fd-c2192cb3bf81</t>
        </is>
      </c>
      <c r="E801" s="4" t="n">
        <v>46304.62423008719</v>
      </c>
      <c r="F801" s="4" t="n">
        <v>46304.62423008727</v>
      </c>
      <c r="G801" t="b">
        <v>1</v>
      </c>
      <c r="H801" s="3" t="inlineStr">
        <is>
          <t>Added fraction 0.02175421567750971702490878981 of cost base adjustment 01a1212c-981b-74a7-bdd8-ec219dc8c198 | 2022-06-30 | Adjustment of VGS | Cost base increase = A$189.54</t>
        </is>
      </c>
      <c r="I801" t="inlineStr">
        <is>
          <t>cost base adjustment allocation</t>
        </is>
      </c>
      <c r="J801" s="5" t="inlineStr">
        <is>
          <t>01a1212c-99a1-76eb-8a0c-52001607ca29</t>
        </is>
      </c>
    </row>
    <row r="802">
      <c r="A802" s="5" t="inlineStr">
        <is>
          <t>01a1212c-99ad-761e-9386-98d37058590d</t>
        </is>
      </c>
      <c r="D802" s="5" t="inlineStr">
        <is>
          <t>01a1212c-4b57-70cf-80fd-c2192cb3bf81</t>
        </is>
      </c>
      <c r="E802" s="4" t="n">
        <v>46304.62423015463</v>
      </c>
      <c r="F802" s="4" t="n">
        <v>46304.62423015471</v>
      </c>
      <c r="G802" t="b">
        <v>1</v>
      </c>
      <c r="H802" s="3" t="inlineStr">
        <is>
          <t>Added fraction 0.02175421567750971702490878981 of cost base adjustment 01a1212c-981b-74a7-bdd8-ec219dc8c198 | 2022-06-30 | Adjustment of VGS | Cost base increase = A$189.54</t>
        </is>
      </c>
      <c r="I802" t="inlineStr">
        <is>
          <t>cost base adjustment allocation</t>
        </is>
      </c>
      <c r="J802" s="5" t="inlineStr">
        <is>
          <t>01a1212c-99a8-77e6-8501-12102fa8f617</t>
        </is>
      </c>
    </row>
    <row r="803">
      <c r="A803" s="5" t="inlineStr">
        <is>
          <t>01a1212c-99b3-7046-9cf6-bbf41388fe2e</t>
        </is>
      </c>
      <c r="D803" s="5" t="inlineStr">
        <is>
          <t>01a1212c-4b57-70cf-80fd-c2192cb3bf81</t>
        </is>
      </c>
      <c r="E803" s="4" t="n">
        <v>46304.62423022464</v>
      </c>
      <c r="F803" s="4" t="n">
        <v>46304.62423022472</v>
      </c>
      <c r="G803" t="b">
        <v>1</v>
      </c>
      <c r="H803" s="3" t="inlineStr">
        <is>
          <t>Added fraction 0.02253115195170649263294124659 of cost base adjustment 01a1212c-981b-74a7-bdd8-ec219dc8c198 | 2022-06-30 | Adjustment of VGS | Cost base increase = A$189.54</t>
        </is>
      </c>
      <c r="I803" t="inlineStr">
        <is>
          <t>cost base adjustment allocation</t>
        </is>
      </c>
      <c r="J803" s="5" t="inlineStr">
        <is>
          <t>01a1212c-99ad-761e-9386-98d42a7bf841</t>
        </is>
      </c>
    </row>
    <row r="804">
      <c r="A804" s="5" t="inlineStr">
        <is>
          <t>01a1212c-99b9-7261-bc6a-f23a917705a9</t>
        </is>
      </c>
      <c r="D804" s="5" t="inlineStr">
        <is>
          <t>01a1212c-4b57-70cf-80fd-c2192cb3bf81</t>
        </is>
      </c>
      <c r="E804" s="4" t="n">
        <v>46304.62423029339</v>
      </c>
      <c r="F804" s="4" t="n">
        <v>46304.62423029347</v>
      </c>
      <c r="G804" t="b">
        <v>1</v>
      </c>
      <c r="H804" s="3" t="inlineStr">
        <is>
          <t>Added fraction 0.02330808822590326824097370337 of cost base adjustment 01a1212c-981b-74a7-bdd8-ec219dc8c198 | 2022-06-30 | Adjustment of VGS | Cost base increase = A$189.54</t>
        </is>
      </c>
      <c r="I804" t="inlineStr">
        <is>
          <t>cost base adjustment allocation</t>
        </is>
      </c>
      <c r="J804" s="5" t="inlineStr">
        <is>
          <t>01a1212c-99b4-7531-8795-d63a730e186e</t>
        </is>
      </c>
    </row>
    <row r="805">
      <c r="A805" s="5" t="inlineStr">
        <is>
          <t>01a1212c-99bf-72d3-b23f-0cbaf344b6d1</t>
        </is>
      </c>
      <c r="D805" s="5" t="inlineStr">
        <is>
          <t>01a1212c-4b57-70cf-80fd-c2192cb3bf81</t>
        </is>
      </c>
      <c r="E805" s="4" t="n">
        <v>46304.62423036518</v>
      </c>
      <c r="F805" s="4" t="n">
        <v>46304.62423036528</v>
      </c>
      <c r="G805" t="b">
        <v>1</v>
      </c>
      <c r="H805" s="3" t="inlineStr">
        <is>
          <t>Added fraction 0.02330808822590326824097370337 of cost base adjustment 01a1212c-981b-74a7-bdd8-ec219dc8c198 | 2022-06-30 | Adjustment of VGS | Cost base increase = A$189.54</t>
        </is>
      </c>
      <c r="I805" t="inlineStr">
        <is>
          <t>cost base adjustment allocation</t>
        </is>
      </c>
      <c r="J805" s="5" t="inlineStr">
        <is>
          <t>01a1212c-99b9-7261-bc6a-f23b88027afb</t>
        </is>
      </c>
    </row>
    <row r="806">
      <c r="A806" s="5" t="inlineStr">
        <is>
          <t>01a1212c-99c5-722d-90a7-46d9c4795479</t>
        </is>
      </c>
      <c r="D806" s="5" t="inlineStr">
        <is>
          <t>01a1212c-4b57-70cf-80fd-c2192cb3bf81</t>
        </is>
      </c>
      <c r="E806" s="4" t="n">
        <v>46304.62423043214</v>
      </c>
      <c r="F806" s="4" t="n">
        <v>46304.62423043224</v>
      </c>
      <c r="G806" t="b">
        <v>1</v>
      </c>
      <c r="H806" s="3" t="inlineStr">
        <is>
          <t>Added fraction 0.02408502450010004384900616015 of cost base adjustment 01a1212c-981b-74a7-bdd8-ec219dc8c198 | 2022-06-30 | Adjustment of VGS | Cost base increase = A$189.54</t>
        </is>
      </c>
      <c r="I806" t="inlineStr">
        <is>
          <t>cost base adjustment allocation</t>
        </is>
      </c>
      <c r="J806" s="5" t="inlineStr">
        <is>
          <t>01a1212c-99c0-70d7-9c38-e39ee66efbf3</t>
        </is>
      </c>
    </row>
    <row r="807">
      <c r="A807" s="5" t="inlineStr">
        <is>
          <t>01a1212c-99cb-761e-bbf5-91ed64e83624</t>
        </is>
      </c>
      <c r="D807" s="5" t="inlineStr">
        <is>
          <t>01a1212c-4b57-70cf-80fd-c2192cb3bf81</t>
        </is>
      </c>
      <c r="E807" s="4" t="n">
        <v>46304.62423050212</v>
      </c>
      <c r="F807" s="4" t="n">
        <v>46304.62423050221</v>
      </c>
      <c r="G807" t="b">
        <v>1</v>
      </c>
      <c r="H807" s="3" t="inlineStr">
        <is>
          <t>Added fraction 0.02486196077429681945703861693 of cost base adjustment 01a1212c-981b-74a7-bdd8-ec219dc8c198 | 2022-06-30 | Adjustment of VGS | Cost base increase = A$189.54</t>
        </is>
      </c>
      <c r="I807" t="inlineStr">
        <is>
          <t>cost base adjustment allocation</t>
        </is>
      </c>
      <c r="J807" s="5" t="inlineStr">
        <is>
          <t>01a1212c-99c5-722d-90a7-46dadae4d1a0</t>
        </is>
      </c>
    </row>
    <row r="808">
      <c r="A808" s="5" t="inlineStr">
        <is>
          <t>01a1212c-99d1-7034-9faf-809d9e0b1640</t>
        </is>
      </c>
      <c r="D808" s="5" t="inlineStr">
        <is>
          <t>01a1212c-4b57-70cf-80fd-c2192cb3bf81</t>
        </is>
      </c>
      <c r="E808" s="4" t="n">
        <v>46304.62423057896</v>
      </c>
      <c r="F808" s="4" t="n">
        <v>46304.62423057907</v>
      </c>
      <c r="G808" t="b">
        <v>1</v>
      </c>
      <c r="H808" s="3" t="inlineStr">
        <is>
          <t>residual of cost base adjustment 01a1212c-981b-74a7-bdd8-ec219dc8c198 | 2022-06-30 | Adjustment of VGS | Cost base increase = A$189.54</t>
        </is>
      </c>
      <c r="I808" t="inlineStr">
        <is>
          <t>cost base adjustment allocation</t>
        </is>
      </c>
      <c r="J808" s="5" t="inlineStr">
        <is>
          <t>01a1212c-99cc-7532-8532-539ec73017a9</t>
        </is>
      </c>
    </row>
    <row r="809">
      <c r="A809" s="5" t="inlineStr">
        <is>
          <t>01a1212c-9ada-74c7-baa8-3104676de6ef</t>
        </is>
      </c>
      <c r="D809" s="5" t="inlineStr">
        <is>
          <t>01a1212c-4b57-70cf-80fd-c2192cb3bf81</t>
        </is>
      </c>
      <c r="E809" s="4" t="n">
        <v>46304.6242336403</v>
      </c>
      <c r="F809" s="4" t="n">
        <v>46304.62423364038</v>
      </c>
      <c r="G809" t="b">
        <v>1</v>
      </c>
      <c r="H809" s="3" t="inlineStr">
        <is>
          <t>Added fraction 0.0009713770670950688603598765230 of cost base adjustment 01a1212c-9ad0-74f0-a00e-4a6eab2b410a | 2023-06-30 | Adjustment of A200 | Cost base increase = -A$416.72</t>
        </is>
      </c>
      <c r="I809" t="inlineStr">
        <is>
          <t>cost base adjustment allocation</t>
        </is>
      </c>
      <c r="J809" s="5" t="inlineStr">
        <is>
          <t>01a1212c-9ad4-7736-949d-9c158f6916d2</t>
        </is>
      </c>
    </row>
    <row r="810">
      <c r="A810" s="5" t="inlineStr">
        <is>
          <t>01a1212c-9ae0-7156-9666-fd0f9db53d7e</t>
        </is>
      </c>
      <c r="D810" s="5" t="inlineStr">
        <is>
          <t>01a1212c-4b57-70cf-80fd-c2192cb3bf81</t>
        </is>
      </c>
      <c r="E810" s="4" t="n">
        <v>46304.62423370939</v>
      </c>
      <c r="F810" s="4" t="n">
        <v>46304.62423370947</v>
      </c>
      <c r="G810" t="b">
        <v>1</v>
      </c>
      <c r="H810" s="3" t="inlineStr">
        <is>
          <t>Added fraction 0.003581952934913066422577044679 of cost base adjustment 01a1212c-9ad0-74f0-a00e-4a6eab2b410a | 2023-06-30 | Adjustment of A200 | Cost base increase = -A$416.72</t>
        </is>
      </c>
      <c r="I810" t="inlineStr">
        <is>
          <t>cost base adjustment allocation</t>
        </is>
      </c>
      <c r="J810" s="5" t="inlineStr">
        <is>
          <t>01a1212c-9adb-70de-9278-a88170be9e6d</t>
        </is>
      </c>
    </row>
    <row r="811">
      <c r="A811" s="5" t="inlineStr">
        <is>
          <t>01a1212c-9ae6-73eb-bd44-ec1d4df68a8a</t>
        </is>
      </c>
      <c r="D811" s="5" t="inlineStr">
        <is>
          <t>01a1212c-4b57-70cf-80fd-c2192cb3bf81</t>
        </is>
      </c>
      <c r="E811" s="4" t="n">
        <v>46304.62423377638</v>
      </c>
      <c r="F811" s="4" t="n">
        <v>46304.62423377645</v>
      </c>
      <c r="G811" t="b">
        <v>1</v>
      </c>
      <c r="H811" s="3" t="inlineStr">
        <is>
          <t>Added fraction 0.003922868924807008859145655189 of cost base adjustment 01a1212c-9ad0-74f0-a00e-4a6eab2b410a | 2023-06-30 | Adjustment of A200 | Cost base increase = -A$416.72</t>
        </is>
      </c>
      <c r="I811" t="inlineStr">
        <is>
          <t>cost base adjustment allocation</t>
        </is>
      </c>
      <c r="J811" s="5" t="inlineStr">
        <is>
          <t>01a1212c-9ae1-7756-bdaa-fe0cb6e806a0</t>
        </is>
      </c>
    </row>
    <row r="812">
      <c r="A812" s="5" t="inlineStr">
        <is>
          <t>01a1212c-9aeb-7208-a0ff-62cd5d81557d</t>
        </is>
      </c>
      <c r="D812" s="5" t="inlineStr">
        <is>
          <t>01a1212c-4b57-70cf-80fd-c2192cb3bf81</t>
        </is>
      </c>
      <c r="E812" s="4" t="n">
        <v>46304.62423384289</v>
      </c>
      <c r="F812" s="4" t="n">
        <v>46304.62423384297</v>
      </c>
      <c r="G812" t="b">
        <v>1</v>
      </c>
      <c r="H812" s="3" t="inlineStr">
        <is>
          <t>Added fraction 0.004062971386407259175543714303 of cost base adjustment 01a1212c-9ad0-74f0-a00e-4a6eab2b410a | 2023-06-30 | Adjustment of A200 | Cost base increase = -A$416.72</t>
        </is>
      </c>
      <c r="I812" t="inlineStr">
        <is>
          <t>cost base adjustment allocation</t>
        </is>
      </c>
      <c r="J812" s="5" t="inlineStr">
        <is>
          <t>01a1212c-9ae6-73eb-bd44-ec1eb3a67540</t>
        </is>
      </c>
    </row>
    <row r="813">
      <c r="A813" s="5" t="inlineStr">
        <is>
          <t>01a1212c-9af2-7263-95ce-1c61ecf9056c</t>
        </is>
      </c>
      <c r="D813" s="5" t="inlineStr">
        <is>
          <t>01a1212c-4b57-70cf-80fd-c2192cb3bf81</t>
        </is>
      </c>
      <c r="E813" s="4" t="n">
        <v>46304.62423391367</v>
      </c>
      <c r="F813" s="4" t="n">
        <v>46304.62423391375</v>
      </c>
      <c r="G813" t="b">
        <v>1</v>
      </c>
      <c r="H813" s="3" t="inlineStr">
        <is>
          <t>Added fraction 0.007439440710973291800736938948 of cost base adjustment 01a1212c-9ad0-74f0-a00e-4a6eab2b410a | 2023-06-30 | Adjustment of A200 | Cost base increase = -A$416.72</t>
        </is>
      </c>
      <c r="I813" t="inlineStr">
        <is>
          <t>cost base adjustment allocation</t>
        </is>
      </c>
      <c r="J813" s="5" t="inlineStr">
        <is>
          <t>01a1212c-9aec-75d3-994f-b417a47a78e1</t>
        </is>
      </c>
    </row>
    <row r="814">
      <c r="A814" s="5" t="inlineStr">
        <is>
          <t>01a1212c-9af8-74a2-a506-afe960ce545c</t>
        </is>
      </c>
      <c r="D814" s="5" t="inlineStr">
        <is>
          <t>01a1212c-4b57-70cf-80fd-c2192cb3bf81</t>
        </is>
      </c>
      <c r="E814" s="4" t="n">
        <v>46304.62423398287</v>
      </c>
      <c r="F814" s="4" t="n">
        <v>46304.62423398296</v>
      </c>
      <c r="G814" t="b">
        <v>1</v>
      </c>
      <c r="H814" s="3" t="inlineStr">
        <is>
          <t>Added fraction 0.008125942772814518351087428606 of cost base adjustment 01a1212c-9ad0-74f0-a00e-4a6eab2b410a | 2023-06-30 | Adjustment of A200 | Cost base increase = -A$416.72</t>
        </is>
      </c>
      <c r="I814" t="inlineStr">
        <is>
          <t>cost base adjustment allocation</t>
        </is>
      </c>
      <c r="J814" s="5" t="inlineStr">
        <is>
          <t>01a1212c-9af2-7263-95ce-1c625f5497d0</t>
        </is>
      </c>
    </row>
    <row r="815">
      <c r="A815" s="5" t="inlineStr">
        <is>
          <t>01a1212c-9afe-778e-8690-6fd8b6708c7b</t>
        </is>
      </c>
      <c r="D815" s="5" t="inlineStr">
        <is>
          <t>01a1212c-4b57-70cf-80fd-c2192cb3bf81</t>
        </is>
      </c>
      <c r="E815" s="4" t="n">
        <v>46304.62423405258</v>
      </c>
      <c r="F815" s="4" t="n">
        <v>46304.62423405267</v>
      </c>
      <c r="G815" t="b">
        <v>1</v>
      </c>
      <c r="H815" s="3" t="inlineStr">
        <is>
          <t>Added fraction 0.008522899747348560914215262762 of cost base adjustment 01a1212c-9ad0-74f0-a00e-4a6eab2b410a | 2023-06-30 | Adjustment of A200 | Cost base increase = -A$416.72</t>
        </is>
      </c>
      <c r="I815" t="inlineStr">
        <is>
          <t>cost base adjustment allocation</t>
        </is>
      </c>
      <c r="J815" s="5" t="inlineStr">
        <is>
          <t>01a1212c-9af8-74a2-a506-afea50beb0b7</t>
        </is>
      </c>
    </row>
    <row r="816">
      <c r="A816" s="5" t="inlineStr">
        <is>
          <t>01a1212c-9b04-73e1-81d3-dd6843eb93fd</t>
        </is>
      </c>
      <c r="D816" s="5" t="inlineStr">
        <is>
          <t>01a1212c-4b57-70cf-80fd-c2192cb3bf81</t>
        </is>
      </c>
      <c r="E816" s="4" t="n">
        <v>46304.62423412676</v>
      </c>
      <c r="F816" s="4" t="n">
        <v>46304.62423412685</v>
      </c>
      <c r="G816" t="b">
        <v>1</v>
      </c>
      <c r="H816" s="3" t="inlineStr">
        <is>
          <t>Added fraction 0.008522899747348560914215262762 of cost base adjustment 01a1212c-9ad0-74f0-a00e-4a6eab2b410a | 2023-06-30 | Adjustment of A200 | Cost base increase = -A$416.72</t>
        </is>
      </c>
      <c r="I816" t="inlineStr">
        <is>
          <t>cost base adjustment allocation</t>
        </is>
      </c>
      <c r="J816" s="5" t="inlineStr">
        <is>
          <t>01a1212c-9aff-7393-bda2-8bdd6e1375e1</t>
        </is>
      </c>
    </row>
    <row r="817">
      <c r="A817" s="5" t="inlineStr">
        <is>
          <t>01a1212c-9b0b-77bc-bcd6-306439ad1876</t>
        </is>
      </c>
      <c r="D817" s="5" t="inlineStr">
        <is>
          <t>01a1212c-4b57-70cf-80fd-c2192cb3bf81</t>
        </is>
      </c>
      <c r="E817" s="4" t="n">
        <v>46304.62423420385</v>
      </c>
      <c r="F817" s="4" t="n">
        <v>46304.62423420393</v>
      </c>
      <c r="G817" t="b">
        <v>1</v>
      </c>
      <c r="H817" s="3" t="inlineStr">
        <is>
          <t>Added fraction 0.008522899747348560914215262762 of cost base adjustment 01a1212c-9ad0-74f0-a00e-4a6eab2b410a | 2023-06-30 | Adjustment of A200 | Cost base increase = -A$416.72</t>
        </is>
      </c>
      <c r="I817" t="inlineStr">
        <is>
          <t>cost base adjustment allocation</t>
        </is>
      </c>
      <c r="J817" s="5" t="inlineStr">
        <is>
          <t>01a1212c-9b05-7727-95b6-3c3714fc0d8d</t>
        </is>
      </c>
    </row>
    <row r="818">
      <c r="A818" s="5" t="inlineStr">
        <is>
          <t>01a1212c-9b11-74e5-a946-336de744a4a3</t>
        </is>
      </c>
      <c r="D818" s="5" t="inlineStr">
        <is>
          <t>01a1212c-4b57-70cf-80fd-c2192cb3bf81</t>
        </is>
      </c>
      <c r="E818" s="4" t="n">
        <v>46304.62423427699</v>
      </c>
      <c r="F818" s="4" t="n">
        <v>46304.62423427707</v>
      </c>
      <c r="G818" t="b">
        <v>1</v>
      </c>
      <c r="H818" s="3" t="inlineStr">
        <is>
          <t>Added fraction 0.008742393603855619743238888707 of cost base adjustment 01a1212c-9ad0-74f0-a00e-4a6eab2b410a | 2023-06-30 | Adjustment of A200 | Cost base increase = -A$416.72</t>
        </is>
      </c>
      <c r="I818" t="inlineStr">
        <is>
          <t>cost base adjustment allocation</t>
        </is>
      </c>
      <c r="J818" s="5" t="inlineStr">
        <is>
          <t>01a1212c-9b0b-77bc-bcd6-30656bae0060</t>
        </is>
      </c>
    </row>
    <row r="819">
      <c r="A819" s="5" t="inlineStr">
        <is>
          <t>01a1212c-9b17-744e-8a40-af8d420d903f</t>
        </is>
      </c>
      <c r="D819" s="5" t="inlineStr">
        <is>
          <t>01a1212c-4b57-70cf-80fd-c2192cb3bf81</t>
        </is>
      </c>
      <c r="E819" s="4" t="n">
        <v>46304.62423434779</v>
      </c>
      <c r="F819" s="4" t="n">
        <v>46304.62423434787</v>
      </c>
      <c r="G819" t="b">
        <v>1</v>
      </c>
      <c r="H819" s="3" t="inlineStr">
        <is>
          <t>Added fraction 0.01022747969681827309705831531 of cost base adjustment 01a1212c-9ad0-74f0-a00e-4a6eab2b410a | 2023-06-30 | Adjustment of A200 | Cost base increase = -A$416.72</t>
        </is>
      </c>
      <c r="I819" t="inlineStr">
        <is>
          <t>cost base adjustment allocation</t>
        </is>
      </c>
      <c r="J819" s="5" t="inlineStr">
        <is>
          <t>01a1212c-9b12-76ea-a361-9a85f74efa92</t>
        </is>
      </c>
    </row>
    <row r="820">
      <c r="A820" s="5" t="inlineStr">
        <is>
          <t>01a1212c-9b1d-70f9-b594-194dcc63eb1b</t>
        </is>
      </c>
      <c r="D820" s="5" t="inlineStr">
        <is>
          <t>01a1212c-4b57-70cf-80fd-c2192cb3bf81</t>
        </is>
      </c>
      <c r="E820" s="4" t="n">
        <v>46304.62423441642</v>
      </c>
      <c r="F820" s="4" t="n">
        <v>46304.62423441651</v>
      </c>
      <c r="G820" t="b">
        <v>1</v>
      </c>
      <c r="H820" s="3" t="inlineStr">
        <is>
          <t>Added fraction 0.01022747969681827309705831531 of cost base adjustment 01a1212c-9ad0-74f0-a00e-4a6eab2b410a | 2023-06-30 | Adjustment of A200 | Cost base increase = -A$416.72</t>
        </is>
      </c>
      <c r="I820" t="inlineStr">
        <is>
          <t>cost base adjustment allocation</t>
        </is>
      </c>
      <c r="J820" s="5" t="inlineStr">
        <is>
          <t>01a1212c-9b18-732e-8448-2830a390c314</t>
        </is>
      </c>
    </row>
    <row r="821">
      <c r="A821" s="5" t="inlineStr">
        <is>
          <t>01a1212c-9b23-763d-a927-177a9d71a7ee</t>
        </is>
      </c>
      <c r="D821" s="5" t="inlineStr">
        <is>
          <t>01a1212c-4b57-70cf-80fd-c2192cb3bf81</t>
        </is>
      </c>
      <c r="E821" s="4" t="n">
        <v>46304.62423448124</v>
      </c>
      <c r="F821" s="4" t="n">
        <v>46304.62423448131</v>
      </c>
      <c r="G821" t="b">
        <v>1</v>
      </c>
      <c r="H821" s="3" t="inlineStr">
        <is>
          <t>Added fraction 0.01022747969681827309705831531 of cost base adjustment 01a1212c-9ad0-74f0-a00e-4a6eab2b410a | 2023-06-30 | Adjustment of A200 | Cost base increase = -A$416.72</t>
        </is>
      </c>
      <c r="I821" t="inlineStr">
        <is>
          <t>cost base adjustment allocation</t>
        </is>
      </c>
      <c r="J821" s="5" t="inlineStr">
        <is>
          <t>01a1212c-9b1e-72b6-b6fd-985f7917fd33</t>
        </is>
      </c>
    </row>
    <row r="822">
      <c r="A822" s="5" t="inlineStr">
        <is>
          <t>01a1212c-9b29-743d-a844-6f8fdbc5571c</t>
        </is>
      </c>
      <c r="D822" s="5" t="inlineStr">
        <is>
          <t>01a1212c-4b57-70cf-80fd-c2192cb3bf81</t>
        </is>
      </c>
      <c r="E822" s="4" t="n">
        <v>46304.62423455084</v>
      </c>
      <c r="F822" s="4" t="n">
        <v>46304.62423455092</v>
      </c>
      <c r="G822" t="b">
        <v>1</v>
      </c>
      <c r="H822" s="3" t="inlineStr">
        <is>
          <t>Added fraction 0.01139033012810035072316220596 of cost base adjustment 01a1212c-9ad0-74f0-a00e-4a6eab2b410a | 2023-06-30 | Adjustment of A200 | Cost base increase = -A$416.72</t>
        </is>
      </c>
      <c r="I822" t="inlineStr">
        <is>
          <t>cost base adjustment allocation</t>
        </is>
      </c>
      <c r="J822" s="5" t="inlineStr">
        <is>
          <t>01a1212c-9b23-763d-a927-177bc2b7d50f</t>
        </is>
      </c>
    </row>
    <row r="823">
      <c r="A823" s="5" t="inlineStr">
        <is>
          <t>01a1212c-9b2e-7652-a78c-e36001c73c65</t>
        </is>
      </c>
      <c r="D823" s="5" t="inlineStr">
        <is>
          <t>01a1212c-4b57-70cf-80fd-c2192cb3bf81</t>
        </is>
      </c>
      <c r="E823" s="4" t="n">
        <v>46304.62423461879</v>
      </c>
      <c r="F823" s="4" t="n">
        <v>46304.62423461887</v>
      </c>
      <c r="G823" t="b">
        <v>1</v>
      </c>
      <c r="H823" s="3" t="inlineStr">
        <is>
          <t>Added fraction 0.01193205964628798527990136787 of cost base adjustment 01a1212c-9ad0-74f0-a00e-4a6eab2b410a | 2023-06-30 | Adjustment of A200 | Cost base increase = -A$416.72</t>
        </is>
      </c>
      <c r="I823" t="inlineStr">
        <is>
          <t>cost base adjustment allocation</t>
        </is>
      </c>
      <c r="J823" s="5" t="inlineStr">
        <is>
          <t>01a1212c-9b29-743d-a844-6f90751a9da1</t>
        </is>
      </c>
    </row>
    <row r="824">
      <c r="A824" s="5" t="inlineStr">
        <is>
          <t>01a1212c-9b34-77a8-b767-de319ffdf3a5</t>
        </is>
      </c>
      <c r="D824" s="5" t="inlineStr">
        <is>
          <t>01a1212c-4b57-70cf-80fd-c2192cb3bf81</t>
        </is>
      </c>
      <c r="E824" s="4" t="n">
        <v>46304.62423468595</v>
      </c>
      <c r="F824" s="4" t="n">
        <v>46304.62423468602</v>
      </c>
      <c r="G824" t="b">
        <v>1</v>
      </c>
      <c r="H824" s="3" t="inlineStr">
        <is>
          <t>Added fraction 0.01363663959575769746274442042 of cost base adjustment 01a1212c-9ad0-74f0-a00e-4a6eab2b410a | 2023-06-30 | Adjustment of A200 | Cost base increase = -A$416.72</t>
        </is>
      </c>
      <c r="I824" t="inlineStr">
        <is>
          <t>cost base adjustment allocation</t>
        </is>
      </c>
      <c r="J824" s="5" t="inlineStr">
        <is>
          <t>01a1212c-9b2f-706b-8622-3054638c4e28</t>
        </is>
      </c>
    </row>
    <row r="825">
      <c r="A825" s="5" t="inlineStr">
        <is>
          <t>01a1212c-9b3a-7756-a7fd-cadc29303526</t>
        </is>
      </c>
      <c r="D825" s="5" t="inlineStr">
        <is>
          <t>01a1212c-4b57-70cf-80fd-c2192cb3bf81</t>
        </is>
      </c>
      <c r="E825" s="4" t="n">
        <v>46304.62423475366</v>
      </c>
      <c r="F825" s="4" t="n">
        <v>46304.62423475374</v>
      </c>
      <c r="G825" t="b">
        <v>1</v>
      </c>
      <c r="H825" s="3" t="inlineStr">
        <is>
          <t>Added fraction 0.01363663959575769746274442042 of cost base adjustment 01a1212c-9ad0-74f0-a00e-4a6eab2b410a | 2023-06-30 | Adjustment of A200 | Cost base increase = -A$416.72</t>
        </is>
      </c>
      <c r="I825" t="inlineStr">
        <is>
          <t>cost base adjustment allocation</t>
        </is>
      </c>
      <c r="J825" s="5" t="inlineStr">
        <is>
          <t>01a1212c-9b35-70d2-9671-7acc2e902d2c</t>
        </is>
      </c>
    </row>
    <row r="826">
      <c r="A826" s="5" t="inlineStr">
        <is>
          <t>01a1212c-9b40-7560-bd32-ee8a75fb4ab7</t>
        </is>
      </c>
      <c r="D826" s="5" t="inlineStr">
        <is>
          <t>01a1212c-4b57-70cf-80fd-c2192cb3bf81</t>
        </is>
      </c>
      <c r="E826" s="4" t="n">
        <v>46304.62423482428</v>
      </c>
      <c r="F826" s="4" t="n">
        <v>46304.62423482436</v>
      </c>
      <c r="G826" t="b">
        <v>1</v>
      </c>
      <c r="H826" s="3" t="inlineStr">
        <is>
          <t>Added fraction 0.01363663959575769746274442042 of cost base adjustment 01a1212c-9ad0-74f0-a00e-4a6eab2b410a | 2023-06-30 | Adjustment of A200 | Cost base increase = -A$416.72</t>
        </is>
      </c>
      <c r="I826" t="inlineStr">
        <is>
          <t>cost base adjustment allocation</t>
        </is>
      </c>
      <c r="J826" s="5" t="inlineStr">
        <is>
          <t>01a1212c-9b3b-70c4-8ff8-5bde2d2c4a63</t>
        </is>
      </c>
    </row>
    <row r="827">
      <c r="A827" s="5" t="inlineStr">
        <is>
          <t>01a1212c-9b46-779a-84ec-f3e2f36cb96a</t>
        </is>
      </c>
      <c r="D827" s="5" t="inlineStr">
        <is>
          <t>01a1212c-4b57-70cf-80fd-c2192cb3bf81</t>
        </is>
      </c>
      <c r="E827" s="4" t="n">
        <v>46304.62423488929</v>
      </c>
      <c r="F827" s="4" t="n">
        <v>46304.62423488937</v>
      </c>
      <c r="G827" t="b">
        <v>1</v>
      </c>
      <c r="H827" s="3" t="inlineStr">
        <is>
          <t>Added fraction 0.01363663959575769746274442042 of cost base adjustment 01a1212c-9ad0-74f0-a00e-4a6eab2b410a | 2023-06-30 | Adjustment of A200 | Cost base increase = -A$416.72</t>
        </is>
      </c>
      <c r="I827" t="inlineStr">
        <is>
          <t>cost base adjustment allocation</t>
        </is>
      </c>
      <c r="J827" s="5" t="inlineStr">
        <is>
          <t>01a1212c-9b41-7381-9190-aa0a7eaa648d</t>
        </is>
      </c>
    </row>
    <row r="828">
      <c r="A828" s="5" t="inlineStr">
        <is>
          <t>01a1212c-9b4c-7249-a6b9-838f8cbb1e9d</t>
        </is>
      </c>
      <c r="D828" s="5" t="inlineStr">
        <is>
          <t>01a1212c-4b57-70cf-80fd-c2192cb3bf81</t>
        </is>
      </c>
      <c r="E828" s="4" t="n">
        <v>46304.62423496228</v>
      </c>
      <c r="F828" s="4" t="n">
        <v>46304.62423496237</v>
      </c>
      <c r="G828" t="b">
        <v>1</v>
      </c>
      <c r="H828" s="3" t="inlineStr">
        <is>
          <t>Added fraction 0.01363663959575769746274442042 of cost base adjustment 01a1212c-9ad0-74f0-a00e-4a6eab2b410a | 2023-06-30 | Adjustment of A200 | Cost base increase = -A$416.72</t>
        </is>
      </c>
      <c r="I828" t="inlineStr">
        <is>
          <t>cost base adjustment allocation</t>
        </is>
      </c>
      <c r="J828" s="5" t="inlineStr">
        <is>
          <t>01a1212c-9b47-746d-80f8-43443e0871ac</t>
        </is>
      </c>
    </row>
    <row r="829">
      <c r="A829" s="5" t="inlineStr">
        <is>
          <t>01a1212c-9b52-7104-b4f4-4b1d8ad9093e</t>
        </is>
      </c>
      <c r="D829" s="5" t="inlineStr">
        <is>
          <t>01a1212c-4b57-70cf-80fd-c2192cb3bf81</t>
        </is>
      </c>
      <c r="E829" s="4" t="n">
        <v>46304.62423503238</v>
      </c>
      <c r="F829" s="4" t="n">
        <v>46304.62423503247</v>
      </c>
      <c r="G829" t="b">
        <v>1</v>
      </c>
      <c r="H829" s="3" t="inlineStr">
        <is>
          <t>Added fraction 0.01363663959575769746274442042 of cost base adjustment 01a1212c-9ad0-74f0-a00e-4a6eab2b410a | 2023-06-30 | Adjustment of A200 | Cost base increase = -A$416.72</t>
        </is>
      </c>
      <c r="I829" t="inlineStr">
        <is>
          <t>cost base adjustment allocation</t>
        </is>
      </c>
      <c r="J829" s="5" t="inlineStr">
        <is>
          <t>01a1212c-9b4d-77b6-ac50-39f05dd2fdd7</t>
        </is>
      </c>
    </row>
    <row r="830">
      <c r="A830" s="5" t="inlineStr">
        <is>
          <t>01a1212c-9b58-7794-ac06-aceef84451e6</t>
        </is>
      </c>
      <c r="D830" s="5" t="inlineStr">
        <is>
          <t>01a1212c-4b57-70cf-80fd-c2192cb3bf81</t>
        </is>
      </c>
      <c r="E830" s="4" t="n">
        <v>46304.6242351002</v>
      </c>
      <c r="F830" s="4" t="n">
        <v>46304.62423510028</v>
      </c>
      <c r="G830" t="b">
        <v>1</v>
      </c>
      <c r="H830" s="3" t="inlineStr">
        <is>
          <t>Added fraction 0.01363663959575769746274442042 of cost base adjustment 01a1212c-9ad0-74f0-a00e-4a6eab2b410a | 2023-06-30 | Adjustment of A200 | Cost base increase = -A$416.72</t>
        </is>
      </c>
      <c r="I830" t="inlineStr">
        <is>
          <t>cost base adjustment allocation</t>
        </is>
      </c>
      <c r="J830" s="5" t="inlineStr">
        <is>
          <t>01a1212c-9b53-7073-b865-d7dc6bb23582</t>
        </is>
      </c>
    </row>
    <row r="831">
      <c r="A831" s="5" t="inlineStr">
        <is>
          <t>01a1212c-9b5e-7218-81a7-8601894a4978</t>
        </is>
      </c>
      <c r="D831" s="5" t="inlineStr">
        <is>
          <t>01a1212c-4b57-70cf-80fd-c2192cb3bf81</t>
        </is>
      </c>
      <c r="E831" s="4" t="n">
        <v>46304.62423517002</v>
      </c>
      <c r="F831" s="4" t="n">
        <v>46304.62423517011</v>
      </c>
      <c r="G831" t="b">
        <v>1</v>
      </c>
      <c r="H831" s="3" t="inlineStr">
        <is>
          <t>Added fraction 0.01395420517538493151324668774 of cost base adjustment 01a1212c-9ad0-74f0-a00e-4a6eab2b410a | 2023-06-30 | Adjustment of A200 | Cost base increase = -A$416.72</t>
        </is>
      </c>
      <c r="I831" t="inlineStr">
        <is>
          <t>cost base adjustment allocation</t>
        </is>
      </c>
      <c r="J831" s="5" t="inlineStr">
        <is>
          <t>01a1212c-9b59-70bf-9825-abc948bfd971</t>
        </is>
      </c>
    </row>
    <row r="832">
      <c r="A832" s="5" t="inlineStr">
        <is>
          <t>01a1212c-9b64-7738-8f85-8e6a2274a42c</t>
        </is>
      </c>
      <c r="D832" s="5" t="inlineStr">
        <is>
          <t>01a1212c-4b57-70cf-80fd-c2192cb3bf81</t>
        </is>
      </c>
      <c r="E832" s="4" t="n">
        <v>46304.62423523424</v>
      </c>
      <c r="F832" s="4" t="n">
        <v>46304.62423523432</v>
      </c>
      <c r="G832" t="b">
        <v>1</v>
      </c>
      <c r="H832" s="3" t="inlineStr">
        <is>
          <t>Added fraction 0.01534121954522740964558747297 of cost base adjustment 01a1212c-9ad0-74f0-a00e-4a6eab2b410a | 2023-06-30 | Adjustment of A200 | Cost base increase = -A$416.72</t>
        </is>
      </c>
      <c r="I832" t="inlineStr">
        <is>
          <t>cost base adjustment allocation</t>
        </is>
      </c>
      <c r="J832" s="5" t="inlineStr">
        <is>
          <t>01a1212c-9b5f-7191-981a-f6effe50aa2b</t>
        </is>
      </c>
    </row>
    <row r="833">
      <c r="A833" s="5" t="inlineStr">
        <is>
          <t>01a1212c-9b69-75f7-b45b-6ff151bb902d</t>
        </is>
      </c>
      <c r="D833" s="5" t="inlineStr">
        <is>
          <t>01a1212c-4b57-70cf-80fd-c2192cb3bf81</t>
        </is>
      </c>
      <c r="E833" s="4" t="n">
        <v>46304.62423530153</v>
      </c>
      <c r="F833" s="4" t="n">
        <v>46304.6242353016</v>
      </c>
      <c r="G833" t="b">
        <v>1</v>
      </c>
      <c r="H833" s="3" t="inlineStr">
        <is>
          <t>Added fraction 0.01534121954522740964558747297 of cost base adjustment 01a1212c-9ad0-74f0-a00e-4a6eab2b410a | 2023-06-30 | Adjustment of A200 | Cost base increase = -A$416.72</t>
        </is>
      </c>
      <c r="I833" t="inlineStr">
        <is>
          <t>cost base adjustment allocation</t>
        </is>
      </c>
      <c r="J833" s="5" t="inlineStr">
        <is>
          <t>01a1212c-9b65-712a-8cdc-41f20a80280b</t>
        </is>
      </c>
    </row>
    <row r="834">
      <c r="A834" s="5" t="inlineStr">
        <is>
          <t>01a1212c-9b70-7330-a9ae-c1cef2527f0a</t>
        </is>
      </c>
      <c r="D834" s="5" t="inlineStr">
        <is>
          <t>01a1212c-4b57-70cf-80fd-c2192cb3bf81</t>
        </is>
      </c>
      <c r="E834" s="4" t="n">
        <v>46304.62423537414</v>
      </c>
      <c r="F834" s="4" t="n">
        <v>46304.62423537423</v>
      </c>
      <c r="G834" t="b">
        <v>1</v>
      </c>
      <c r="H834" s="3" t="inlineStr">
        <is>
          <t>Added fraction 0.01534121954522740964558747297 of cost base adjustment 01a1212c-9ad0-74f0-a00e-4a6eab2b410a | 2023-06-30 | Adjustment of A200 | Cost base increase = -A$416.72</t>
        </is>
      </c>
      <c r="I834" t="inlineStr">
        <is>
          <t>cost base adjustment allocation</t>
        </is>
      </c>
      <c r="J834" s="5" t="inlineStr">
        <is>
          <t>01a1212c-9b6a-764a-924c-25fd7231ba94</t>
        </is>
      </c>
    </row>
    <row r="835">
      <c r="A835" s="5" t="inlineStr">
        <is>
          <t>01a1212c-9b76-73d4-bfb8-31d9b16c4db1</t>
        </is>
      </c>
      <c r="D835" s="5" t="inlineStr">
        <is>
          <t>01a1212c-4b57-70cf-80fd-c2192cb3bf81</t>
        </is>
      </c>
      <c r="E835" s="4" t="n">
        <v>46304.62423544872</v>
      </c>
      <c r="F835" s="4" t="n">
        <v>46304.6242354488</v>
      </c>
      <c r="G835" t="b">
        <v>1</v>
      </c>
      <c r="H835" s="3" t="inlineStr">
        <is>
          <t>Added fraction 0.01534121954522740964558747297 of cost base adjustment 01a1212c-9ad0-74f0-a00e-4a6eab2b410a | 2023-06-30 | Adjustment of A200 | Cost base increase = -A$416.72</t>
        </is>
      </c>
      <c r="I835" t="inlineStr">
        <is>
          <t>cost base adjustment allocation</t>
        </is>
      </c>
      <c r="J835" s="5" t="inlineStr">
        <is>
          <t>01a1212c-9b70-7330-a9ae-c1cf90f0df09</t>
        </is>
      </c>
    </row>
    <row r="836">
      <c r="A836" s="5" t="inlineStr">
        <is>
          <t>01a1212c-9b7c-77ea-9e87-7bbb578a1c23</t>
        </is>
      </c>
      <c r="D836" s="5" t="inlineStr">
        <is>
          <t>01a1212c-4b57-70cf-80fd-c2192cb3bf81</t>
        </is>
      </c>
      <c r="E836" s="4" t="n">
        <v>46304.62423552189</v>
      </c>
      <c r="F836" s="4" t="n">
        <v>46304.62423552199</v>
      </c>
      <c r="G836" t="b">
        <v>1</v>
      </c>
      <c r="H836" s="3" t="inlineStr">
        <is>
          <t>Added fraction 0.01534121954522740964558747297 of cost base adjustment 01a1212c-9ad0-74f0-a00e-4a6eab2b410a | 2023-06-30 | Adjustment of A200 | Cost base increase = -A$416.72</t>
        </is>
      </c>
      <c r="I836" t="inlineStr">
        <is>
          <t>cost base adjustment allocation</t>
        </is>
      </c>
      <c r="J836" s="5" t="inlineStr">
        <is>
          <t>01a1212c-9b77-73b2-8d2b-db91e3759f86</t>
        </is>
      </c>
    </row>
    <row r="837">
      <c r="A837" s="5" t="inlineStr">
        <is>
          <t>01a1212c-9b83-76e8-87e4-11ef4afe8bc8</t>
        </is>
      </c>
      <c r="D837" s="5" t="inlineStr">
        <is>
          <t>01a1212c-4b57-70cf-80fd-c2192cb3bf81</t>
        </is>
      </c>
      <c r="E837" s="4" t="n">
        <v>46304.62423559473</v>
      </c>
      <c r="F837" s="4" t="n">
        <v>46304.62423559481</v>
      </c>
      <c r="G837" t="b">
        <v>1</v>
      </c>
      <c r="H837" s="3" t="inlineStr">
        <is>
          <t>Added fraction 0.01534121954522740964558747297 of cost base adjustment 01a1212c-9ad0-74f0-a00e-4a6eab2b410a | 2023-06-30 | Adjustment of A200 | Cost base increase = -A$416.72</t>
        </is>
      </c>
      <c r="I837" t="inlineStr">
        <is>
          <t>cost base adjustment allocation</t>
        </is>
      </c>
      <c r="J837" s="5" t="inlineStr">
        <is>
          <t>01a1212c-9b7d-71c9-a308-8c0832f04131</t>
        </is>
      </c>
    </row>
    <row r="838">
      <c r="A838" s="5" t="inlineStr">
        <is>
          <t>01a1212c-9b89-7415-b692-dce275f645d5</t>
        </is>
      </c>
      <c r="D838" s="5" t="inlineStr">
        <is>
          <t>01a1212c-4b57-70cf-80fd-c2192cb3bf81</t>
        </is>
      </c>
      <c r="E838" s="4" t="n">
        <v>46304.62423566254</v>
      </c>
      <c r="F838" s="4" t="n">
        <v>46304.62423566262</v>
      </c>
      <c r="G838" t="b">
        <v>1</v>
      </c>
      <c r="H838" s="3" t="inlineStr">
        <is>
          <t>Added fraction 0.01534121954522740964558747297 of cost base adjustment 01a1212c-9ad0-74f0-a00e-4a6eab2b410a | 2023-06-30 | Adjustment of A200 | Cost base increase = -A$416.72</t>
        </is>
      </c>
      <c r="I838" t="inlineStr">
        <is>
          <t>cost base adjustment allocation</t>
        </is>
      </c>
      <c r="J838" s="5" t="inlineStr">
        <is>
          <t>01a1212c-9b84-76f1-b4cd-5eb030604016</t>
        </is>
      </c>
    </row>
    <row r="839">
      <c r="A839" s="5" t="inlineStr">
        <is>
          <t>01a1212c-9b8f-71fc-b671-26dfdca36604</t>
        </is>
      </c>
      <c r="D839" s="5" t="inlineStr">
        <is>
          <t>01a1212c-4b57-70cf-80fd-c2192cb3bf81</t>
        </is>
      </c>
      <c r="E839" s="4" t="n">
        <v>46304.6242357344</v>
      </c>
      <c r="F839" s="4" t="n">
        <v>46304.62423573449</v>
      </c>
      <c r="G839" t="b">
        <v>1</v>
      </c>
      <c r="H839" s="3" t="inlineStr">
        <is>
          <t>Added fraction 0.01534121954522740964558747297 of cost base adjustment 01a1212c-9ad0-74f0-a00e-4a6eab2b410a | 2023-06-30 | Adjustment of A200 | Cost base increase = -A$416.72</t>
        </is>
      </c>
      <c r="I839" t="inlineStr">
        <is>
          <t>cost base adjustment allocation</t>
        </is>
      </c>
      <c r="J839" s="5" t="inlineStr">
        <is>
          <t>01a1212c-9b89-7415-b692-dce3097b1a00</t>
        </is>
      </c>
    </row>
    <row r="840">
      <c r="A840" s="5" t="inlineStr">
        <is>
          <t>01a1212c-9b95-7392-a90e-2d6f5e6ca1d5</t>
        </is>
      </c>
      <c r="D840" s="5" t="inlineStr">
        <is>
          <t>01a1212c-4b57-70cf-80fd-c2192cb3bf81</t>
        </is>
      </c>
      <c r="E840" s="4" t="n">
        <v>46304.62423580193</v>
      </c>
      <c r="F840" s="4" t="n">
        <v>46304.62423580202</v>
      </c>
      <c r="G840" t="b">
        <v>1</v>
      </c>
      <c r="H840" s="3" t="inlineStr">
        <is>
          <t>Added fraction 0.01653209046882953733497097544 of cost base adjustment 01a1212c-9ad0-74f0-a00e-4a6eab2b410a | 2023-06-30 | Adjustment of A200 | Cost base increase = -A$416.72</t>
        </is>
      </c>
      <c r="I840" t="inlineStr">
        <is>
          <t>cost base adjustment allocation</t>
        </is>
      </c>
      <c r="J840" s="5" t="inlineStr">
        <is>
          <t>01a1212c-9b90-7197-a5cc-7f7e296bd833</t>
        </is>
      </c>
    </row>
    <row r="841">
      <c r="A841" s="5" t="inlineStr">
        <is>
          <t>01a1212c-9b9b-7758-9a91-56d6692364b3</t>
        </is>
      </c>
      <c r="D841" s="5" t="inlineStr">
        <is>
          <t>01a1212c-4b57-70cf-80fd-c2192cb3bf81</t>
        </is>
      </c>
      <c r="E841" s="4" t="n">
        <v>46304.62423587183</v>
      </c>
      <c r="F841" s="4" t="n">
        <v>46304.62423587193</v>
      </c>
      <c r="G841" t="b">
        <v>1</v>
      </c>
      <c r="H841" s="3" t="inlineStr">
        <is>
          <t>Added fraction 0.01704579949469712182843052552 of cost base adjustment 01a1212c-9ad0-74f0-a00e-4a6eab2b410a | 2023-06-30 | Adjustment of A200 | Cost base increase = -A$416.72</t>
        </is>
      </c>
      <c r="I841" t="inlineStr">
        <is>
          <t>cost base adjustment allocation</t>
        </is>
      </c>
      <c r="J841" s="5" t="inlineStr">
        <is>
          <t>01a1212c-9b95-7392-a90e-2d701b66d257</t>
        </is>
      </c>
    </row>
    <row r="842">
      <c r="A842" s="5" t="inlineStr">
        <is>
          <t>01a1212c-9ba1-7705-8e84-26aafe4c1470</t>
        </is>
      </c>
      <c r="D842" s="5" t="inlineStr">
        <is>
          <t>01a1212c-4b57-70cf-80fd-c2192cb3bf81</t>
        </is>
      </c>
      <c r="E842" s="4" t="n">
        <v>46304.62423594552</v>
      </c>
      <c r="F842" s="4" t="n">
        <v>46304.62423594562</v>
      </c>
      <c r="G842" t="b">
        <v>1</v>
      </c>
      <c r="H842" s="3" t="inlineStr">
        <is>
          <t>Added fraction 0.01704579949469712182843052552 of cost base adjustment 01a1212c-9ad0-74f0-a00e-4a6eab2b410a | 2023-06-30 | Adjustment of A200 | Cost base increase = -A$416.72</t>
        </is>
      </c>
      <c r="I842" t="inlineStr">
        <is>
          <t>cost base adjustment allocation</t>
        </is>
      </c>
      <c r="J842" s="5" t="inlineStr">
        <is>
          <t>01a1212c-9b9c-73ef-9eb2-50542bbb15e1</t>
        </is>
      </c>
    </row>
    <row r="843">
      <c r="A843" s="5" t="inlineStr">
        <is>
          <t>01a1212c-9ba7-7093-b42e-8d384a2822c7</t>
        </is>
      </c>
      <c r="D843" s="5" t="inlineStr">
        <is>
          <t>01a1212c-4b57-70cf-80fd-c2192cb3bf81</t>
        </is>
      </c>
      <c r="E843" s="4" t="n">
        <v>46304.62423601581</v>
      </c>
      <c r="F843" s="4" t="n">
        <v>46304.62423601589</v>
      </c>
      <c r="G843" t="b">
        <v>1</v>
      </c>
      <c r="H843" s="3" t="inlineStr">
        <is>
          <t>Added fraction 0.01704579949469712182843052552 of cost base adjustment 01a1212c-9ad0-74f0-a00e-4a6eab2b410a | 2023-06-30 | Adjustment of A200 | Cost base increase = -A$416.72</t>
        </is>
      </c>
      <c r="I843" t="inlineStr">
        <is>
          <t>cost base adjustment allocation</t>
        </is>
      </c>
      <c r="J843" s="5" t="inlineStr">
        <is>
          <t>01a1212c-9ba2-737c-b660-c542f0842b4b</t>
        </is>
      </c>
    </row>
    <row r="844">
      <c r="A844" s="5" t="inlineStr">
        <is>
          <t>01a1212c-9bad-74de-9670-b417ce0a1018</t>
        </is>
      </c>
      <c r="D844" s="5" t="inlineStr">
        <is>
          <t>01a1212c-4b57-70cf-80fd-c2192cb3bf81</t>
        </is>
      </c>
      <c r="E844" s="4" t="n">
        <v>46304.62423608741</v>
      </c>
      <c r="F844" s="4" t="n">
        <v>46304.62423608749</v>
      </c>
      <c r="G844" t="b">
        <v>1</v>
      </c>
      <c r="H844" s="3" t="inlineStr">
        <is>
          <t>Added fraction 0.01704579949469712182843052552 of cost base adjustment 01a1212c-9ad0-74f0-a00e-4a6eab2b410a | 2023-06-30 | Adjustment of A200 | Cost base increase = -A$416.72</t>
        </is>
      </c>
      <c r="I844" t="inlineStr">
        <is>
          <t>cost base adjustment allocation</t>
        </is>
      </c>
      <c r="J844" s="5" t="inlineStr">
        <is>
          <t>01a1212c-9ba8-765f-a9f9-1b1581ec0571</t>
        </is>
      </c>
    </row>
    <row r="845">
      <c r="A845" s="5" t="inlineStr">
        <is>
          <t>01a1212c-9bb3-7681-9061-d3d9fc74591a</t>
        </is>
      </c>
      <c r="D845" s="5" t="inlineStr">
        <is>
          <t>01a1212c-4b57-70cf-80fd-c2192cb3bf81</t>
        </is>
      </c>
      <c r="E845" s="4" t="n">
        <v>46304.62423615383</v>
      </c>
      <c r="F845" s="4" t="n">
        <v>46304.62423615391</v>
      </c>
      <c r="G845" t="b">
        <v>1</v>
      </c>
      <c r="H845" s="3" t="inlineStr">
        <is>
          <t>Added fraction 0.01704579949469712182843052552 of cost base adjustment 01a1212c-9ad0-74f0-a00e-4a6eab2b410a | 2023-06-30 | Adjustment of A200 | Cost base increase = -A$416.72</t>
        </is>
      </c>
      <c r="I845" t="inlineStr">
        <is>
          <t>cost base adjustment allocation</t>
        </is>
      </c>
      <c r="J845" s="5" t="inlineStr">
        <is>
          <t>01a1212c-9bae-76f5-9077-27d951542111</t>
        </is>
      </c>
    </row>
    <row r="846">
      <c r="A846" s="5" t="inlineStr">
        <is>
          <t>01a1212c-9bba-77a6-951b-fcb537c39569</t>
        </is>
      </c>
      <c r="D846" s="5" t="inlineStr">
        <is>
          <t>01a1212c-4b57-70cf-80fd-c2192cb3bf81</t>
        </is>
      </c>
      <c r="E846" s="4" t="n">
        <v>46304.62423622877</v>
      </c>
      <c r="F846" s="4" t="n">
        <v>46304.62423622885</v>
      </c>
      <c r="G846" t="b">
        <v>1</v>
      </c>
      <c r="H846" s="3" t="inlineStr">
        <is>
          <t>Added fraction 0.01815260894133909932797519252 of cost base adjustment 01a1212c-9ad0-74f0-a00e-4a6eab2b410a | 2023-06-30 | Adjustment of A200 | Cost base increase = -A$416.72</t>
        </is>
      </c>
      <c r="I846" t="inlineStr">
        <is>
          <t>cost base adjustment allocation</t>
        </is>
      </c>
      <c r="J846" s="5" t="inlineStr">
        <is>
          <t>01a1212c-9bb4-7415-98be-8089f23728d5</t>
        </is>
      </c>
    </row>
    <row r="847">
      <c r="A847" s="5" t="inlineStr">
        <is>
          <t>01a1212c-9bc0-7558-917b-14684caa7a21</t>
        </is>
      </c>
      <c r="D847" s="5" t="inlineStr">
        <is>
          <t>01a1212c-4b57-70cf-80fd-c2192cb3bf81</t>
        </is>
      </c>
      <c r="E847" s="4" t="n">
        <v>46304.62423629978</v>
      </c>
      <c r="F847" s="4" t="n">
        <v>46304.62423629986</v>
      </c>
      <c r="G847" t="b">
        <v>1</v>
      </c>
      <c r="H847" s="3" t="inlineStr">
        <is>
          <t>Added fraction 0.02045495939363654619411663063 of cost base adjustment 01a1212c-9ad0-74f0-a00e-4a6eab2b410a | 2023-06-30 | Adjustment of A200 | Cost base increase = -A$416.72</t>
        </is>
      </c>
      <c r="I847" t="inlineStr">
        <is>
          <t>cost base adjustment allocation</t>
        </is>
      </c>
      <c r="J847" s="5" t="inlineStr">
        <is>
          <t>01a1212c-9bba-77a6-951b-fcb63262eec5</t>
        </is>
      </c>
    </row>
    <row r="848">
      <c r="A848" s="5" t="inlineStr">
        <is>
          <t>01a1212c-9bc6-7179-af10-ebc2a0b0802b</t>
        </is>
      </c>
      <c r="D848" s="5" t="inlineStr">
        <is>
          <t>01a1212c-4b57-70cf-80fd-c2192cb3bf81</t>
        </is>
      </c>
      <c r="E848" s="4" t="n">
        <v>46304.62423636794</v>
      </c>
      <c r="F848" s="4" t="n">
        <v>46304.62423636802</v>
      </c>
      <c r="G848" t="b">
        <v>1</v>
      </c>
      <c r="H848" s="3" t="inlineStr">
        <is>
          <t>Added fraction 0.02185598400963904935809722177 of cost base adjustment 01a1212c-9ad0-74f0-a00e-4a6eab2b410a | 2023-06-30 | Adjustment of A200 | Cost base increase = -A$416.72</t>
        </is>
      </c>
      <c r="I848" t="inlineStr">
        <is>
          <t>cost base adjustment allocation</t>
        </is>
      </c>
      <c r="J848" s="5" t="inlineStr">
        <is>
          <t>01a1212c-9bc0-7558-917b-1469e2e159c4</t>
        </is>
      </c>
    </row>
    <row r="849">
      <c r="A849" s="5" t="inlineStr">
        <is>
          <t>01a1212c-9bcc-769c-8096-9f04be1ecfa3</t>
        </is>
      </c>
      <c r="D849" s="5" t="inlineStr">
        <is>
          <t>01a1212c-4b57-70cf-80fd-c2192cb3bf81</t>
        </is>
      </c>
      <c r="E849" s="4" t="n">
        <v>46304.6242364364</v>
      </c>
      <c r="F849" s="4" t="n">
        <v>46304.62423643648</v>
      </c>
      <c r="G849" t="b">
        <v>1</v>
      </c>
      <c r="H849" s="3" t="inlineStr">
        <is>
          <t>Added fraction 0.02215953934310625837695968318 of cost base adjustment 01a1212c-9ad0-74f0-a00e-4a6eab2b410a | 2023-06-30 | Adjustment of A200 | Cost base increase = -A$416.72</t>
        </is>
      </c>
      <c r="I849" t="inlineStr">
        <is>
          <t>cost base adjustment allocation</t>
        </is>
      </c>
      <c r="J849" s="5" t="inlineStr">
        <is>
          <t>01a1212c-9bc6-7179-af10-ebc342ae7205</t>
        </is>
      </c>
    </row>
    <row r="850">
      <c r="A850" s="5" t="inlineStr">
        <is>
          <t>01a1212c-9bd2-761a-8b9d-83fc16a3b580</t>
        </is>
      </c>
      <c r="D850" s="5" t="inlineStr">
        <is>
          <t>01a1212c-4b57-70cf-80fd-c2192cb3bf81</t>
        </is>
      </c>
      <c r="E850" s="4" t="n">
        <v>46304.62423651102</v>
      </c>
      <c r="F850" s="4" t="n">
        <v>46304.6242365111</v>
      </c>
      <c r="G850" t="b">
        <v>1</v>
      </c>
      <c r="H850" s="3" t="inlineStr">
        <is>
          <t>Added fraction 0.02215953934310625837695968318 of cost base adjustment 01a1212c-9ad0-74f0-a00e-4a6eab2b410a | 2023-06-30 | Adjustment of A200 | Cost base increase = -A$416.72</t>
        </is>
      </c>
      <c r="I850" t="inlineStr">
        <is>
          <t>cost base adjustment allocation</t>
        </is>
      </c>
      <c r="J850" s="5" t="inlineStr">
        <is>
          <t>01a1212c-9bcc-769c-8096-9f054625a093</t>
        </is>
      </c>
    </row>
    <row r="851">
      <c r="A851" s="5" t="inlineStr">
        <is>
          <t>01a1212c-9bd8-7423-b4af-0a8fcc940b23</t>
        </is>
      </c>
      <c r="D851" s="5" t="inlineStr">
        <is>
          <t>01a1212c-4b57-70cf-80fd-c2192cb3bf81</t>
        </is>
      </c>
      <c r="E851" s="4" t="n">
        <v>46304.62423657608</v>
      </c>
      <c r="F851" s="4" t="n">
        <v>46304.62423657616</v>
      </c>
      <c r="G851" t="b">
        <v>1</v>
      </c>
      <c r="H851" s="3" t="inlineStr">
        <is>
          <t>Added fraction 0.02215953934310625837695968318 of cost base adjustment 01a1212c-9ad0-74f0-a00e-4a6eab2b410a | 2023-06-30 | Adjustment of A200 | Cost base increase = -A$416.72</t>
        </is>
      </c>
      <c r="I851" t="inlineStr">
        <is>
          <t>cost base adjustment allocation</t>
        </is>
      </c>
      <c r="J851" s="5" t="inlineStr">
        <is>
          <t>01a1212c-9bd3-7397-bfe4-7d3dc8fb699c</t>
        </is>
      </c>
    </row>
    <row r="852">
      <c r="A852" s="5" t="inlineStr">
        <is>
          <t>01a1212c-9bde-70ab-8fea-0d384f2c757f</t>
        </is>
      </c>
      <c r="D852" s="5" t="inlineStr">
        <is>
          <t>01a1212c-4b57-70cf-80fd-c2192cb3bf81</t>
        </is>
      </c>
      <c r="E852" s="4" t="n">
        <v>46304.62423664638</v>
      </c>
      <c r="F852" s="4" t="n">
        <v>46304.62423664646</v>
      </c>
      <c r="G852" t="b">
        <v>1</v>
      </c>
      <c r="H852" s="3" t="inlineStr">
        <is>
          <t>Added fraction 0.02215953934310625837695968318 of cost base adjustment 01a1212c-9ad0-74f0-a00e-4a6eab2b410a | 2023-06-30 | Adjustment of A200 | Cost base increase = -A$416.72</t>
        </is>
      </c>
      <c r="I852" t="inlineStr">
        <is>
          <t>cost base adjustment allocation</t>
        </is>
      </c>
      <c r="J852" s="5" t="inlineStr">
        <is>
          <t>01a1212c-9bd8-7423-b4af-0a90012fe2a3</t>
        </is>
      </c>
    </row>
    <row r="853">
      <c r="A853" s="5" t="inlineStr">
        <is>
          <t>01a1212c-9be4-74e9-ad97-35f577c80f46</t>
        </is>
      </c>
      <c r="D853" s="5" t="inlineStr">
        <is>
          <t>01a1212c-4b57-70cf-80fd-c2192cb3bf81</t>
        </is>
      </c>
      <c r="E853" s="4" t="n">
        <v>46304.62423671409</v>
      </c>
      <c r="F853" s="4" t="n">
        <v>46304.62423671417</v>
      </c>
      <c r="G853" t="b">
        <v>1</v>
      </c>
      <c r="H853" s="3" t="inlineStr">
        <is>
          <t>Added fraction 0.02215953934310625837695968318 of cost base adjustment 01a1212c-9ad0-74f0-a00e-4a6eab2b410a | 2023-06-30 | Adjustment of A200 | Cost base increase = -A$416.72</t>
        </is>
      </c>
      <c r="I853" t="inlineStr">
        <is>
          <t>cost base adjustment allocation</t>
        </is>
      </c>
      <c r="J853" s="5" t="inlineStr">
        <is>
          <t>01a1212c-9bde-70ab-8fea-0d3985f30716</t>
        </is>
      </c>
    </row>
    <row r="854">
      <c r="A854" s="5" t="inlineStr">
        <is>
          <t>01a1212c-9be9-736a-a7e3-b74f3e139fb4</t>
        </is>
      </c>
      <c r="D854" s="5" t="inlineStr">
        <is>
          <t>01a1212c-4b57-70cf-80fd-c2192cb3bf81</t>
        </is>
      </c>
      <c r="E854" s="4" t="n">
        <v>46304.62423678066</v>
      </c>
      <c r="F854" s="4" t="n">
        <v>46304.62423678074</v>
      </c>
      <c r="G854" t="b">
        <v>1</v>
      </c>
      <c r="H854" s="3" t="inlineStr">
        <is>
          <t>Added fraction 0.02215953934310625837695968318 of cost base adjustment 01a1212c-9ad0-74f0-a00e-4a6eab2b410a | 2023-06-30 | Adjustment of A200 | Cost base increase = -A$416.72</t>
        </is>
      </c>
      <c r="I854" t="inlineStr">
        <is>
          <t>cost base adjustment allocation</t>
        </is>
      </c>
      <c r="J854" s="5" t="inlineStr">
        <is>
          <t>01a1212c-9be4-74e9-ad97-35f6b1c13cec</t>
        </is>
      </c>
    </row>
    <row r="855">
      <c r="A855" s="5" t="inlineStr">
        <is>
          <t>01a1212c-9bf0-74e2-b0bc-b4f7be7ed04c</t>
        </is>
      </c>
      <c r="D855" s="5" t="inlineStr">
        <is>
          <t>01a1212c-4b57-70cf-80fd-c2192cb3bf81</t>
        </is>
      </c>
      <c r="E855" s="4" t="n">
        <v>46304.62423685518</v>
      </c>
      <c r="F855" s="4" t="n">
        <v>46304.62423685526</v>
      </c>
      <c r="G855" t="b">
        <v>1</v>
      </c>
      <c r="H855" s="3" t="inlineStr">
        <is>
          <t>Added fraction 0.02215953934310625837695968318 of cost base adjustment 01a1212c-9ad0-74f0-a00e-4a6eab2b410a | 2023-06-30 | Adjustment of A200 | Cost base increase = -A$416.72</t>
        </is>
      </c>
      <c r="I855" t="inlineStr">
        <is>
          <t>cost base adjustment allocation</t>
        </is>
      </c>
      <c r="J855" s="5" t="inlineStr">
        <is>
          <t>01a1212c-9bea-70b7-935c-8bc0107ece2a</t>
        </is>
      </c>
    </row>
    <row r="856">
      <c r="A856" s="5" t="inlineStr">
        <is>
          <t>01a1212c-9bf6-7547-a8f3-57bf7da8c96d</t>
        </is>
      </c>
      <c r="D856" s="5" t="inlineStr">
        <is>
          <t>01a1212c-4b57-70cf-80fd-c2192cb3bf81</t>
        </is>
      </c>
      <c r="E856" s="4" t="n">
        <v>46304.62423692252</v>
      </c>
      <c r="F856" s="4" t="n">
        <v>46304.6242369226</v>
      </c>
      <c r="G856" t="b">
        <v>1</v>
      </c>
      <c r="H856" s="3" t="inlineStr">
        <is>
          <t>Added fraction 0.02215953934310625837695968318 of cost base adjustment 01a1212c-9ad0-74f0-a00e-4a6eab2b410a | 2023-06-30 | Adjustment of A200 | Cost base increase = -A$416.72</t>
        </is>
      </c>
      <c r="I856" t="inlineStr">
        <is>
          <t>cost base adjustment allocation</t>
        </is>
      </c>
      <c r="J856" s="5" t="inlineStr">
        <is>
          <t>01a1212c-9bf0-74e2-b0bc-b4f8ab3d9b85</t>
        </is>
      </c>
    </row>
    <row r="857">
      <c r="A857" s="5" t="inlineStr">
        <is>
          <t>01a1212c-9bfb-705b-ae5a-882b30d0e588</t>
        </is>
      </c>
      <c r="D857" s="5" t="inlineStr">
        <is>
          <t>01a1212c-4b57-70cf-80fd-c2192cb3bf81</t>
        </is>
      </c>
      <c r="E857" s="4" t="n">
        <v>46304.62423698673</v>
      </c>
      <c r="F857" s="4" t="n">
        <v>46304.62423698681</v>
      </c>
      <c r="G857" t="b">
        <v>1</v>
      </c>
      <c r="H857" s="3" t="inlineStr">
        <is>
          <t>Added fraction 0.02215953934310625837695968318 of cost base adjustment 01a1212c-9ad0-74f0-a00e-4a6eab2b410a | 2023-06-30 | Adjustment of A200 | Cost base increase = -A$416.72</t>
        </is>
      </c>
      <c r="I857" t="inlineStr">
        <is>
          <t>cost base adjustment allocation</t>
        </is>
      </c>
      <c r="J857" s="5" t="inlineStr">
        <is>
          <t>01a1212c-9bf6-7547-a8f3-57c0b3da05d7</t>
        </is>
      </c>
    </row>
    <row r="858">
      <c r="A858" s="5" t="inlineStr">
        <is>
          <t>01a1212c-9c02-7214-bc65-3bf36b08d441</t>
        </is>
      </c>
      <c r="D858" s="5" t="inlineStr">
        <is>
          <t>01a1212c-4b57-70cf-80fd-c2192cb3bf81</t>
        </is>
      </c>
      <c r="E858" s="4" t="n">
        <v>46304.62423706326</v>
      </c>
      <c r="F858" s="4" t="n">
        <v>46304.62423706335</v>
      </c>
      <c r="G858" t="b">
        <v>1</v>
      </c>
      <c r="H858" s="3" t="inlineStr">
        <is>
          <t>Added fraction 0.02215953934310625837695968318 of cost base adjustment 01a1212c-9ad0-74f0-a00e-4a6eab2b410a | 2023-06-30 | Adjustment of A200 | Cost base increase = -A$416.72</t>
        </is>
      </c>
      <c r="I858" t="inlineStr">
        <is>
          <t>cost base adjustment allocation</t>
        </is>
      </c>
      <c r="J858" s="5" t="inlineStr">
        <is>
          <t>01a1212c-9bfc-7294-9d7b-c710020084c1</t>
        </is>
      </c>
    </row>
    <row r="859">
      <c r="A859" s="5" t="inlineStr">
        <is>
          <t>01a1212c-9c08-77d4-a013-97a9b5f0f0fd</t>
        </is>
      </c>
      <c r="D859" s="5" t="inlineStr">
        <is>
          <t>01a1212c-4b57-70cf-80fd-c2192cb3bf81</t>
        </is>
      </c>
      <c r="E859" s="4" t="n">
        <v>46304.6242371311</v>
      </c>
      <c r="F859" s="4" t="n">
        <v>46304.62423713118</v>
      </c>
      <c r="G859" t="b">
        <v>1</v>
      </c>
      <c r="H859" s="3" t="inlineStr">
        <is>
          <t>Added fraction 0.02215953934310625837695968318 of cost base adjustment 01a1212c-9ad0-74f0-a00e-4a6eab2b410a | 2023-06-30 | Adjustment of A200 | Cost base increase = -A$416.72</t>
        </is>
      </c>
      <c r="I859" t="inlineStr">
        <is>
          <t>cost base adjustment allocation</t>
        </is>
      </c>
      <c r="J859" s="5" t="inlineStr">
        <is>
          <t>01a1212c-9c02-7214-bc65-3bf4042e5549</t>
        </is>
      </c>
    </row>
    <row r="860">
      <c r="A860" s="5" t="inlineStr">
        <is>
          <t>01a1212c-9c0e-75bf-857d-ca89ab320804</t>
        </is>
      </c>
      <c r="D860" s="5" t="inlineStr">
        <is>
          <t>01a1212c-4b57-70cf-80fd-c2192cb3bf81</t>
        </is>
      </c>
      <c r="E860" s="4" t="n">
        <v>46304.62423720378</v>
      </c>
      <c r="F860" s="4" t="n">
        <v>46304.62423720387</v>
      </c>
      <c r="G860" t="b">
        <v>1</v>
      </c>
      <c r="H860" s="3" t="inlineStr">
        <is>
          <t>Added fraction 0.02215953934310625837695968318 of cost base adjustment 01a1212c-9ad0-74f0-a00e-4a6eab2b410a | 2023-06-30 | Adjustment of A200 | Cost base increase = -A$416.72</t>
        </is>
      </c>
      <c r="I860" t="inlineStr">
        <is>
          <t>cost base adjustment allocation</t>
        </is>
      </c>
      <c r="J860" s="5" t="inlineStr">
        <is>
          <t>01a1212c-9c08-77d4-a013-97aa3d3b50bb</t>
        </is>
      </c>
    </row>
    <row r="861">
      <c r="A861" s="5" t="inlineStr">
        <is>
          <t>01a1212c-9c14-75ce-90e7-1dd6702f3591</t>
        </is>
      </c>
      <c r="D861" s="5" t="inlineStr">
        <is>
          <t>01a1212c-4b57-70cf-80fd-c2192cb3bf81</t>
        </is>
      </c>
      <c r="E861" s="4" t="n">
        <v>46304.6242372717</v>
      </c>
      <c r="F861" s="4" t="n">
        <v>46304.62423727178</v>
      </c>
      <c r="G861" t="b">
        <v>1</v>
      </c>
      <c r="H861" s="3" t="inlineStr">
        <is>
          <t>Added fraction 0.02386411929257597055980273573 of cost base adjustment 01a1212c-9ad0-74f0-a00e-4a6eab2b410a | 2023-06-30 | Adjustment of A200 | Cost base increase = -A$416.72</t>
        </is>
      </c>
      <c r="I861" t="inlineStr">
        <is>
          <t>cost base adjustment allocation</t>
        </is>
      </c>
      <c r="J861" s="5" t="inlineStr">
        <is>
          <t>01a1212c-9c0f-76e7-bb36-39e918d8fecf</t>
        </is>
      </c>
    </row>
    <row r="862">
      <c r="A862" s="5" t="inlineStr">
        <is>
          <t>01a1212c-9c19-7399-862f-7c759b380418</t>
        </is>
      </c>
      <c r="D862" s="5" t="inlineStr">
        <is>
          <t>01a1212c-4b57-70cf-80fd-c2192cb3bf81</t>
        </is>
      </c>
      <c r="E862" s="4" t="n">
        <v>46304.62423733861</v>
      </c>
      <c r="F862" s="4" t="n">
        <v>46304.62423733869</v>
      </c>
      <c r="G862" t="b">
        <v>1</v>
      </c>
      <c r="H862" s="3" t="inlineStr">
        <is>
          <t>Added fraction 0.02386411929257597055980273573 of cost base adjustment 01a1212c-9ad0-74f0-a00e-4a6eab2b410a | 2023-06-30 | Adjustment of A200 | Cost base increase = -A$416.72</t>
        </is>
      </c>
      <c r="I862" t="inlineStr">
        <is>
          <t>cost base adjustment allocation</t>
        </is>
      </c>
      <c r="J862" s="5" t="inlineStr">
        <is>
          <t>01a1212c-9c14-75ce-90e7-1dd721c62d30</t>
        </is>
      </c>
    </row>
    <row r="863">
      <c r="A863" s="5" t="inlineStr">
        <is>
          <t>01a1212c-9c20-7794-b47b-a5030be2113b</t>
        </is>
      </c>
      <c r="D863" s="5" t="inlineStr">
        <is>
          <t>01a1212c-4b57-70cf-80fd-c2192cb3bf81</t>
        </is>
      </c>
      <c r="E863" s="4" t="n">
        <v>46304.62423740897</v>
      </c>
      <c r="F863" s="4" t="n">
        <v>46304.62423740907</v>
      </c>
      <c r="G863" t="b">
        <v>1</v>
      </c>
      <c r="H863" s="3" t="inlineStr">
        <is>
          <t>Added fraction 0.02386411929257597055980273573 of cost base adjustment 01a1212c-9ad0-74f0-a00e-4a6eab2b410a | 2023-06-30 | Adjustment of A200 | Cost base increase = -A$416.72</t>
        </is>
      </c>
      <c r="I863" t="inlineStr">
        <is>
          <t>cost base adjustment allocation</t>
        </is>
      </c>
      <c r="J863" s="5" t="inlineStr">
        <is>
          <t>01a1212c-9c1a-751b-991e-6a7afb7d2e49</t>
        </is>
      </c>
    </row>
    <row r="864">
      <c r="A864" s="5" t="inlineStr">
        <is>
          <t>01a1212c-9c26-7650-a699-6394f5dbf685</t>
        </is>
      </c>
      <c r="D864" s="5" t="inlineStr">
        <is>
          <t>01a1212c-4b57-70cf-80fd-c2192cb3bf81</t>
        </is>
      </c>
      <c r="E864" s="4" t="n">
        <v>46304.6242374789</v>
      </c>
      <c r="F864" s="4" t="n">
        <v>46304.62423747898</v>
      </c>
      <c r="G864" t="b">
        <v>1</v>
      </c>
      <c r="H864" s="3" t="inlineStr">
        <is>
          <t>Added fraction 0.02386411929257597055980273573 of cost base adjustment 01a1212c-9ad0-74f0-a00e-4a6eab2b410a | 2023-06-30 | Adjustment of A200 | Cost base increase = -A$416.72</t>
        </is>
      </c>
      <c r="I864" t="inlineStr">
        <is>
          <t>cost base adjustment allocation</t>
        </is>
      </c>
      <c r="J864" s="5" t="inlineStr">
        <is>
          <t>01a1212c-9c20-7794-b47b-a504a01d35ad</t>
        </is>
      </c>
    </row>
    <row r="865">
      <c r="A865" s="5" t="inlineStr">
        <is>
          <t>01a1212c-9c2c-71b2-ae22-c231000615f8</t>
        </is>
      </c>
      <c r="D865" s="5" t="inlineStr">
        <is>
          <t>01a1212c-4b57-70cf-80fd-c2192cb3bf81</t>
        </is>
      </c>
      <c r="E865" s="4" t="n">
        <v>46304.62423755061</v>
      </c>
      <c r="F865" s="4" t="n">
        <v>46304.62423755096</v>
      </c>
      <c r="G865" t="b">
        <v>1</v>
      </c>
      <c r="H865" s="3" t="inlineStr">
        <is>
          <t>Added fraction 0.02386411929257597055980273573 of cost base adjustment 01a1212c-9ad0-74f0-a00e-4a6eab2b410a | 2023-06-30 | Adjustment of A200 | Cost base increase = -A$416.72</t>
        </is>
      </c>
      <c r="I865" t="inlineStr">
        <is>
          <t>cost base adjustment allocation</t>
        </is>
      </c>
      <c r="J865" s="5" t="inlineStr">
        <is>
          <t>01a1212c-9c26-7650-a699-63952dc3a2d5</t>
        </is>
      </c>
    </row>
    <row r="866">
      <c r="A866" s="5" t="inlineStr">
        <is>
          <t>01a1212c-9c32-7250-8876-fe7ee507c8b7</t>
        </is>
      </c>
      <c r="D866" s="5" t="inlineStr">
        <is>
          <t>01a1212c-4b57-70cf-80fd-c2192cb3bf81</t>
        </is>
      </c>
      <c r="E866" s="4" t="n">
        <v>46304.62423762657</v>
      </c>
      <c r="F866" s="4" t="n">
        <v>46304.62423762667</v>
      </c>
      <c r="G866" t="b">
        <v>1</v>
      </c>
      <c r="H866" s="3" t="inlineStr">
        <is>
          <t>Added fraction 0.02556869924204568274264578829 of cost base adjustment 01a1212c-9ad0-74f0-a00e-4a6eab2b410a | 2023-06-30 | Adjustment of A200 | Cost base increase = -A$416.72</t>
        </is>
      </c>
      <c r="I866" t="inlineStr">
        <is>
          <t>cost base adjustment allocation</t>
        </is>
      </c>
      <c r="J866" s="5" t="inlineStr">
        <is>
          <t>01a1212c-9c2d-75b5-be5a-5a9e3a07a423</t>
        </is>
      </c>
    </row>
    <row r="867">
      <c r="A867" s="5" t="inlineStr">
        <is>
          <t>01a1212c-9c39-756f-ae1f-cd1db1cd5ed9</t>
        </is>
      </c>
      <c r="D867" s="5" t="inlineStr">
        <is>
          <t>01a1212c-4b57-70cf-80fd-c2192cb3bf81</t>
        </is>
      </c>
      <c r="E867" s="4" t="n">
        <v>46304.62423770439</v>
      </c>
      <c r="F867" s="4" t="n">
        <v>46304.62423770447</v>
      </c>
      <c r="G867" t="b">
        <v>1</v>
      </c>
      <c r="H867" s="3" t="inlineStr">
        <is>
          <t>Added fraction 0.02556869924204568274264578829 of cost base adjustment 01a1212c-9ad0-74f0-a00e-4a6eab2b410a | 2023-06-30 | Adjustment of A200 | Cost base increase = -A$416.72</t>
        </is>
      </c>
      <c r="I867" t="inlineStr">
        <is>
          <t>cost base adjustment allocation</t>
        </is>
      </c>
      <c r="J867" s="5" t="inlineStr">
        <is>
          <t>01a1212c-9c33-76f6-83f2-4acfd95db5a8</t>
        </is>
      </c>
    </row>
    <row r="868">
      <c r="A868" s="5" t="inlineStr">
        <is>
          <t>01a1212c-9c3f-771f-899a-051471f5a2c7</t>
        </is>
      </c>
      <c r="D868" s="5" t="inlineStr">
        <is>
          <t>01a1212c-4b57-70cf-80fd-c2192cb3bf81</t>
        </is>
      </c>
      <c r="E868" s="4" t="n">
        <v>46304.62423777146</v>
      </c>
      <c r="F868" s="4" t="n">
        <v>46304.62423777154</v>
      </c>
      <c r="G868" t="b">
        <v>1</v>
      </c>
      <c r="H868" s="3" t="inlineStr">
        <is>
          <t>Added fraction 0.02556869924204568274264578829 of cost base adjustment 01a1212c-9ad0-74f0-a00e-4a6eab2b410a | 2023-06-30 | Adjustment of A200 | Cost base increase = -A$416.72</t>
        </is>
      </c>
      <c r="I868" t="inlineStr">
        <is>
          <t>cost base adjustment allocation</t>
        </is>
      </c>
      <c r="J868" s="5" t="inlineStr">
        <is>
          <t>01a1212c-9c3a-7623-b9e9-161a8d6869d7</t>
        </is>
      </c>
    </row>
    <row r="869">
      <c r="A869" s="5" t="inlineStr">
        <is>
          <t>01a1212c-9c45-7662-9654-d8e57dfd56ce</t>
        </is>
      </c>
      <c r="D869" s="5" t="inlineStr">
        <is>
          <t>01a1212c-4b57-70cf-80fd-c2192cb3bf81</t>
        </is>
      </c>
      <c r="E869" s="4" t="n">
        <v>46304.62423783888</v>
      </c>
      <c r="F869" s="4" t="n">
        <v>46304.62423783896</v>
      </c>
      <c r="G869" t="b">
        <v>1</v>
      </c>
      <c r="H869" s="3" t="inlineStr">
        <is>
          <t>residual of cost base adjustment 01a1212c-9ad0-74f0-a00e-4a6eab2b410a | 2023-06-30 | Adjustment of A200 | Cost base increase = -A$416.72</t>
        </is>
      </c>
      <c r="I869" t="inlineStr">
        <is>
          <t>cost base adjustment allocation</t>
        </is>
      </c>
      <c r="J869" s="5" t="inlineStr">
        <is>
          <t>01a1212c-9c40-7642-8f0d-4cf878ebcfc7</t>
        </is>
      </c>
    </row>
    <row r="870">
      <c r="A870" s="5" t="inlineStr">
        <is>
          <t>01a1212c-9d38-766d-ab68-0f7ce32543d3</t>
        </is>
      </c>
      <c r="D870" s="5" t="inlineStr">
        <is>
          <t>01a1212c-4b57-70cf-80fd-c2192cb3bf81</t>
        </is>
      </c>
      <c r="E870" s="4" t="n">
        <v>46304.62424066061</v>
      </c>
      <c r="F870" s="4" t="n">
        <v>46304.6242406607</v>
      </c>
      <c r="G870" t="b">
        <v>1</v>
      </c>
      <c r="H870" s="3" t="inlineStr">
        <is>
          <t>Added fraction 0.0005842981118930884275264338713 of cost base adjustment 01a1212c-9d2e-765e-8221-1aed4db59a08 | 2023-06-30 | Adjustment of VGS | Cost base increase = -A$89.96</t>
        </is>
      </c>
      <c r="I870" t="inlineStr">
        <is>
          <t>cost base adjustment allocation</t>
        </is>
      </c>
      <c r="J870" s="5" t="inlineStr">
        <is>
          <t>01a1212c-9d33-72f3-8400-fd2c1824f175</t>
        </is>
      </c>
    </row>
    <row r="871">
      <c r="A871" s="5" t="inlineStr">
        <is>
          <t>01a1212c-9d3f-706d-a3bc-5a7a77e4b249</t>
        </is>
      </c>
      <c r="D871" s="5" t="inlineStr">
        <is>
          <t>01a1212c-4b57-70cf-80fd-c2192cb3bf81</t>
        </is>
      </c>
      <c r="E871" s="4" t="n">
        <v>46304.62424073857</v>
      </c>
      <c r="F871" s="4" t="n">
        <v>46304.62424073866</v>
      </c>
      <c r="G871" t="b">
        <v>1</v>
      </c>
      <c r="H871" s="3" t="inlineStr">
        <is>
          <t>Added fraction 0.002099353152026128613003629390 of cost base adjustment 01a1212c-9d2e-765e-8221-1aed4db59a08 | 2023-06-30 | Adjustment of VGS | Cost base increase = -A$89.96</t>
        </is>
      </c>
      <c r="I871" t="inlineStr">
        <is>
          <t>cost base adjustment allocation</t>
        </is>
      </c>
      <c r="J871" s="5" t="inlineStr">
        <is>
          <t>01a1212c-9d39-7398-8141-fef55688108f</t>
        </is>
      </c>
    </row>
    <row r="872">
      <c r="A872" s="5" t="inlineStr">
        <is>
          <t>01a1212c-9d45-722b-8514-432662c98cc4</t>
        </is>
      </c>
      <c r="D872" s="5" t="inlineStr">
        <is>
          <t>01a1212c-4b57-70cf-80fd-c2192cb3bf81</t>
        </is>
      </c>
      <c r="E872" s="4" t="n">
        <v>46304.62424080651</v>
      </c>
      <c r="F872" s="4" t="n">
        <v>46304.62424080657</v>
      </c>
      <c r="G872" t="b">
        <v>1</v>
      </c>
      <c r="H872" s="3" t="inlineStr">
        <is>
          <t>Added fraction 0.002606868499215317599733320349 of cost base adjustment 01a1212c-9d2e-765e-8221-1aed4db59a08 | 2023-06-30 | Adjustment of VGS | Cost base increase = -A$89.96</t>
        </is>
      </c>
      <c r="I872" t="inlineStr">
        <is>
          <t>cost base adjustment allocation</t>
        </is>
      </c>
      <c r="J872" s="5" t="inlineStr">
        <is>
          <t>01a1212c-9d40-76bf-8534-a35164af2c4d</t>
        </is>
      </c>
    </row>
    <row r="873">
      <c r="A873" s="5" t="inlineStr">
        <is>
          <t>01a1212c-9d4b-7564-8573-f11ed12f0693</t>
        </is>
      </c>
      <c r="D873" s="5" t="inlineStr">
        <is>
          <t>01a1212c-4b57-70cf-80fd-c2192cb3bf81</t>
        </is>
      </c>
      <c r="E873" s="4" t="n">
        <v>46304.6242408754</v>
      </c>
      <c r="F873" s="4" t="n">
        <v>46304.62424087548</v>
      </c>
      <c r="G873" t="b">
        <v>1</v>
      </c>
      <c r="H873" s="3" t="inlineStr">
        <is>
          <t>Added fraction 0.002696760516429638896275848637 of cost base adjustment 01a1212c-9d2e-765e-8221-1aed4db59a08 | 2023-06-30 | Adjustment of VGS | Cost base increase = -A$89.96</t>
        </is>
      </c>
      <c r="I873" t="inlineStr">
        <is>
          <t>cost base adjustment allocation</t>
        </is>
      </c>
      <c r="J873" s="5" t="inlineStr">
        <is>
          <t>01a1212c-9d46-7173-9b2c-ab0559d7db22</t>
        </is>
      </c>
    </row>
    <row r="874">
      <c r="A874" s="5" t="inlineStr">
        <is>
          <t>01a1212c-9d51-725f-a61d-8b2d7086e090</t>
        </is>
      </c>
      <c r="D874" s="5" t="inlineStr">
        <is>
          <t>01a1212c-4b57-70cf-80fd-c2192cb3bf81</t>
        </is>
      </c>
      <c r="E874" s="4" t="n">
        <v>46304.62424094341</v>
      </c>
      <c r="F874" s="4" t="n">
        <v>46304.62424094349</v>
      </c>
      <c r="G874" t="b">
        <v>1</v>
      </c>
      <c r="H874" s="3" t="inlineStr">
        <is>
          <t>Added fraction 0.004972152202167146715008595924 of cost base adjustment 01a1212c-9d2e-765e-8221-1aed4db59a08 | 2023-06-30 | Adjustment of VGS | Cost base increase = -A$89.96</t>
        </is>
      </c>
      <c r="I874" t="inlineStr">
        <is>
          <t>cost base adjustment allocation</t>
        </is>
      </c>
      <c r="J874" s="5" t="inlineStr">
        <is>
          <t>01a1212c-9d4c-7071-8b53-744e2e284665</t>
        </is>
      </c>
    </row>
    <row r="875">
      <c r="A875" s="5" t="inlineStr">
        <is>
          <t>01a1212c-9d57-7129-94e9-7826132b2585</t>
        </is>
      </c>
      <c r="D875" s="5" t="inlineStr">
        <is>
          <t>01a1212c-4b57-70cf-80fd-c2192cb3bf81</t>
        </is>
      </c>
      <c r="E875" s="4" t="n">
        <v>46304.62424101012</v>
      </c>
      <c r="F875" s="4" t="n">
        <v>46304.62424101018</v>
      </c>
      <c r="G875" t="b">
        <v>1</v>
      </c>
      <c r="H875" s="3" t="inlineStr">
        <is>
          <t>Added fraction 0.005159427238030316082805529857 of cost base adjustment 01a1212c-9d2e-765e-8221-1aed4db59a08 | 2023-06-30 | Adjustment of VGS | Cost base increase = -A$89.96</t>
        </is>
      </c>
      <c r="I875" t="inlineStr">
        <is>
          <t>cost base adjustment allocation</t>
        </is>
      </c>
      <c r="J875" s="5" t="inlineStr">
        <is>
          <t>01a1212c-9d52-76a8-80ee-95dffe59df27</t>
        </is>
      </c>
    </row>
    <row r="876">
      <c r="A876" s="5" t="inlineStr">
        <is>
          <t>01a1212c-9d5e-743e-885d-a8bbe26bd7ac</t>
        </is>
      </c>
      <c r="D876" s="5" t="inlineStr">
        <is>
          <t>01a1212c-4b57-70cf-80fd-c2192cb3bf81</t>
        </is>
      </c>
      <c r="E876" s="4" t="n">
        <v>46304.62424109424</v>
      </c>
      <c r="F876" s="4" t="n">
        <v>46304.62424109433</v>
      </c>
      <c r="G876" t="b">
        <v>1</v>
      </c>
      <c r="H876" s="3" t="inlineStr">
        <is>
          <t>Added fraction 0.005453449044335491990246716132 of cost base adjustment 01a1212c-9d2e-765e-8221-1aed4db59a08 | 2023-06-30 | Adjustment of VGS | Cost base increase = -A$89.96</t>
        </is>
      </c>
      <c r="I876" t="inlineStr">
        <is>
          <t>cost base adjustment allocation</t>
        </is>
      </c>
      <c r="J876" s="5" t="inlineStr">
        <is>
          <t>01a1212c-9d57-7129-94e9-782754f223e5</t>
        </is>
      </c>
    </row>
    <row r="877">
      <c r="A877" s="5" t="inlineStr">
        <is>
          <t>01a1212c-9d65-71a3-bdaf-6310f57b688b</t>
        </is>
      </c>
      <c r="D877" s="5" t="inlineStr">
        <is>
          <t>01a1212c-4b57-70cf-80fd-c2192cb3bf81</t>
        </is>
      </c>
      <c r="E877" s="4" t="n">
        <v>46304.62424117108</v>
      </c>
      <c r="F877" s="4" t="n">
        <v>46304.62424117117</v>
      </c>
      <c r="G877" t="b">
        <v>1</v>
      </c>
      <c r="H877" s="3" t="inlineStr">
        <is>
          <t>Added fraction 0.005468431047204545539670470847 of cost base adjustment 01a1212c-9d2e-765e-8221-1aed4db59a08 | 2023-06-30 | Adjustment of VGS | Cost base increase = -A$89.96</t>
        </is>
      </c>
      <c r="I877" t="inlineStr">
        <is>
          <t>cost base adjustment allocation</t>
        </is>
      </c>
      <c r="J877" s="5" t="inlineStr">
        <is>
          <t>01a1212c-9d5f-774f-970c-35549febde19</t>
        </is>
      </c>
    </row>
    <row r="878">
      <c r="A878" s="5" t="inlineStr">
        <is>
          <t>01a1212c-9d6a-71c3-979a-0b8e0919f62c</t>
        </is>
      </c>
      <c r="D878" s="5" t="inlineStr">
        <is>
          <t>01a1212c-4b57-70cf-80fd-c2192cb3bf81</t>
        </is>
      </c>
      <c r="E878" s="4" t="n">
        <v>46304.62424123913</v>
      </c>
      <c r="F878" s="4" t="n">
        <v>46304.62424123922</v>
      </c>
      <c r="G878" t="b">
        <v>1</v>
      </c>
      <c r="H878" s="3" t="inlineStr">
        <is>
          <t>Added fraction 0.006151984928105113732129279703 of cost base adjustment 01a1212c-9d2e-765e-8221-1aed4db59a08 | 2023-06-30 | Adjustment of VGS | Cost base increase = -A$89.96</t>
        </is>
      </c>
      <c r="I878" t="inlineStr">
        <is>
          <t>cost base adjustment allocation</t>
        </is>
      </c>
      <c r="J878" s="5" t="inlineStr">
        <is>
          <t>01a1212c-9d65-71a3-bdaf-6311fdd4ee26</t>
        </is>
      </c>
    </row>
    <row r="879">
      <c r="A879" s="5" t="inlineStr">
        <is>
          <t>01a1212c-9d71-75fa-bc51-b8d5b3112e5e</t>
        </is>
      </c>
      <c r="D879" s="5" t="inlineStr">
        <is>
          <t>01a1212c-4b57-70cf-80fd-c2192cb3bf81</t>
        </is>
      </c>
      <c r="E879" s="4" t="n">
        <v>46304.62424131436</v>
      </c>
      <c r="F879" s="4" t="n">
        <v>46304.62424131446</v>
      </c>
      <c r="G879" t="b">
        <v>1</v>
      </c>
      <c r="H879" s="3" t="inlineStr">
        <is>
          <t>Added fraction 0.006151984928105113732129279703 of cost base adjustment 01a1212c-9d2e-765e-8221-1aed4db59a08 | 2023-06-30 | Adjustment of VGS | Cost base increase = -A$89.96</t>
        </is>
      </c>
      <c r="I879" t="inlineStr">
        <is>
          <t>cost base adjustment allocation</t>
        </is>
      </c>
      <c r="J879" s="5" t="inlineStr">
        <is>
          <t>01a1212c-9d6b-7799-88c3-28ea3814a776</t>
        </is>
      </c>
    </row>
    <row r="880">
      <c r="A880" s="5" t="inlineStr">
        <is>
          <t>01a1212c-9d78-77e6-84d2-1d4cb2f0105c</t>
        </is>
      </c>
      <c r="D880" s="5" t="inlineStr">
        <is>
          <t>01a1212c-4b57-70cf-80fd-c2192cb3bf81</t>
        </is>
      </c>
      <c r="E880" s="4" t="n">
        <v>46304.62424139048</v>
      </c>
      <c r="F880" s="4" t="n">
        <v>46304.62424139056</v>
      </c>
      <c r="G880" t="b">
        <v>1</v>
      </c>
      <c r="H880" s="3" t="inlineStr">
        <is>
          <t>Added fraction 0.006151984928105113732129279703 of cost base adjustment 01a1212c-9d2e-765e-8221-1aed4db59a08 | 2023-06-30 | Adjustment of VGS | Cost base increase = -A$89.96</t>
        </is>
      </c>
      <c r="I880" t="inlineStr">
        <is>
          <t>cost base adjustment allocation</t>
        </is>
      </c>
      <c r="J880" s="5" t="inlineStr">
        <is>
          <t>01a1212c-9d72-72a4-bffc-9eec671eb182</t>
        </is>
      </c>
    </row>
    <row r="881">
      <c r="A881" s="5" t="inlineStr">
        <is>
          <t>01a1212c-9d7e-75d8-920a-ea8d05efc242</t>
        </is>
      </c>
      <c r="D881" s="5" t="inlineStr">
        <is>
          <t>01a1212c-4b57-70cf-80fd-c2192cb3bf81</t>
        </is>
      </c>
      <c r="E881" s="4" t="n">
        <v>46304.62424146121</v>
      </c>
      <c r="F881" s="4" t="n">
        <v>46304.62424146127</v>
      </c>
      <c r="G881" t="b">
        <v>1</v>
      </c>
      <c r="H881" s="3" t="inlineStr">
        <is>
          <t>Added fraction 0.006597699513459456827485982464 of cost base adjustment 01a1212c-9d2e-765e-8221-1aed4db59a08 | 2023-06-30 | Adjustment of VGS | Cost base increase = -A$89.96</t>
        </is>
      </c>
      <c r="I881" t="inlineStr">
        <is>
          <t>cost base adjustment allocation</t>
        </is>
      </c>
      <c r="J881" s="5" t="inlineStr">
        <is>
          <t>01a1212c-9d78-77e6-84d2-1d4d1e380743</t>
        </is>
      </c>
    </row>
    <row r="882">
      <c r="A882" s="5" t="inlineStr">
        <is>
          <t>01a1212c-9d84-7569-9a8f-2782c262fb33</t>
        </is>
      </c>
      <c r="D882" s="5" t="inlineStr">
        <is>
          <t>01a1212c-4b57-70cf-80fd-c2192cb3bf81</t>
        </is>
      </c>
      <c r="E882" s="4" t="n">
        <v>46304.6242415352</v>
      </c>
      <c r="F882" s="4" t="n">
        <v>46304.62424153528</v>
      </c>
      <c r="G882" t="b">
        <v>1</v>
      </c>
      <c r="H882" s="3" t="inlineStr">
        <is>
          <t>Added fraction 0.006835538809005681924588088559 of cost base adjustment 01a1212c-9d2e-765e-8221-1aed4db59a08 | 2023-06-30 | Adjustment of VGS | Cost base increase = -A$89.96</t>
        </is>
      </c>
      <c r="I882" t="inlineStr">
        <is>
          <t>cost base adjustment allocation</t>
        </is>
      </c>
      <c r="J882" s="5" t="inlineStr">
        <is>
          <t>01a1212c-9d7e-75d8-920a-ea8ea096c2a3</t>
        </is>
      </c>
    </row>
    <row r="883">
      <c r="A883" s="5" t="inlineStr">
        <is>
          <t>01a1212c-9d8a-75f7-a79f-aeb25a3e9500</t>
        </is>
      </c>
      <c r="D883" s="5" t="inlineStr">
        <is>
          <t>01a1212c-4b57-70cf-80fd-c2192cb3bf81</t>
        </is>
      </c>
      <c r="E883" s="4" t="n">
        <v>46304.62424160467</v>
      </c>
      <c r="F883" s="4" t="n">
        <v>46304.62424160473</v>
      </c>
      <c r="G883" t="b">
        <v>1</v>
      </c>
      <c r="H883" s="3" t="inlineStr">
        <is>
          <t>Added fraction 0.006835538809005681924588088559 of cost base adjustment 01a1212c-9d2e-765e-8221-1aed4db59a08 | 2023-06-30 | Adjustment of VGS | Cost base increase = -A$89.96</t>
        </is>
      </c>
      <c r="I883" t="inlineStr">
        <is>
          <t>cost base adjustment allocation</t>
        </is>
      </c>
      <c r="J883" s="5" t="inlineStr">
        <is>
          <t>01a1212c-9d85-7464-a749-571e53970603</t>
        </is>
      </c>
    </row>
    <row r="884">
      <c r="A884" s="5" t="inlineStr">
        <is>
          <t>01a1212c-9d90-735c-86dc-871a35806dfe</t>
        </is>
      </c>
      <c r="D884" s="5" t="inlineStr">
        <is>
          <t>01a1212c-4b57-70cf-80fd-c2192cb3bf81</t>
        </is>
      </c>
      <c r="E884" s="4" t="n">
        <v>46304.62424167583</v>
      </c>
      <c r="F884" s="4" t="n">
        <v>46304.62424167593</v>
      </c>
      <c r="G884" t="b">
        <v>1</v>
      </c>
      <c r="H884" s="3" t="inlineStr">
        <is>
          <t>Added fraction 0.007519092689906250117046897414 of cost base adjustment 01a1212c-9d2e-765e-8221-1aed4db59a08 | 2023-06-30 | Adjustment of VGS | Cost base increase = -A$89.96</t>
        </is>
      </c>
      <c r="I884" t="inlineStr">
        <is>
          <t>cost base adjustment allocation</t>
        </is>
      </c>
      <c r="J884" s="5" t="inlineStr">
        <is>
          <t>01a1212c-9d8b-7065-b9c7-0e06f30ee2a8</t>
        </is>
      </c>
    </row>
    <row r="885">
      <c r="A885" s="5" t="inlineStr">
        <is>
          <t>01a1212c-9d97-7294-86ab-9a221b660438</t>
        </is>
      </c>
      <c r="D885" s="5" t="inlineStr">
        <is>
          <t>01a1212c-4b57-70cf-80fd-c2192cb3bf81</t>
        </is>
      </c>
      <c r="E885" s="4" t="n">
        <v>46304.6242417558</v>
      </c>
      <c r="F885" s="4" t="n">
        <v>46304.62424175588</v>
      </c>
      <c r="G885" t="b">
        <v>1</v>
      </c>
      <c r="H885" s="3" t="inlineStr">
        <is>
          <t>Added fraction 0.008082790547854389914115668553 of cost base adjustment 01a1212c-9d2e-765e-8221-1aed4db59a08 | 2023-06-30 | Adjustment of VGS | Cost base increase = -A$89.96</t>
        </is>
      </c>
      <c r="I885" t="inlineStr">
        <is>
          <t>cost base adjustment allocation</t>
        </is>
      </c>
      <c r="J885" s="5" t="inlineStr">
        <is>
          <t>01a1212c-9d91-77d5-945d-aedcc6744a63</t>
        </is>
      </c>
    </row>
    <row r="886">
      <c r="A886" s="5" t="inlineStr">
        <is>
          <t>01a1212c-9d9d-72f5-b186-29ed49104e82</t>
        </is>
      </c>
      <c r="D886" s="5" t="inlineStr">
        <is>
          <t>01a1212c-4b57-70cf-80fd-c2192cb3bf81</t>
        </is>
      </c>
      <c r="E886" s="4" t="n">
        <v>46304.62424182393</v>
      </c>
      <c r="F886" s="4" t="n">
        <v>46304.62424182401</v>
      </c>
      <c r="G886" t="b">
        <v>1</v>
      </c>
      <c r="H886" s="3" t="inlineStr">
        <is>
          <t>Added fraction 0.008202646570806818309505706270 of cost base adjustment 01a1212c-9d2e-765e-8221-1aed4db59a08 | 2023-06-30 | Adjustment of VGS | Cost base increase = -A$89.96</t>
        </is>
      </c>
      <c r="I886" t="inlineStr">
        <is>
          <t>cost base adjustment allocation</t>
        </is>
      </c>
      <c r="J886" s="5" t="inlineStr">
        <is>
          <t>01a1212c-9d98-733f-b838-f1f0816ea71d</t>
        </is>
      </c>
    </row>
    <row r="887">
      <c r="A887" s="5" t="inlineStr">
        <is>
          <t>01a1212c-9da3-7634-8d42-ea6060c03dfd</t>
        </is>
      </c>
      <c r="D887" s="5" t="inlineStr">
        <is>
          <t>01a1212c-4b57-70cf-80fd-c2192cb3bf81</t>
        </is>
      </c>
      <c r="E887" s="4" t="n">
        <v>46304.62424189705</v>
      </c>
      <c r="F887" s="4" t="n">
        <v>46304.62424189714</v>
      </c>
      <c r="G887" t="b">
        <v>1</v>
      </c>
      <c r="H887" s="3" t="inlineStr">
        <is>
          <t>Added fraction 0.008202646570806818309505706270 of cost base adjustment 01a1212c-9d2e-765e-8221-1aed4db59a08 | 2023-06-30 | Adjustment of VGS | Cost base increase = -A$89.96</t>
        </is>
      </c>
      <c r="I887" t="inlineStr">
        <is>
          <t>cost base adjustment allocation</t>
        </is>
      </c>
      <c r="J887" s="5" t="inlineStr">
        <is>
          <t>01a1212c-9d9e-74cf-af48-c73e34da2b8e</t>
        </is>
      </c>
    </row>
    <row r="888">
      <c r="A888" s="5" t="inlineStr">
        <is>
          <t>01a1212c-9da9-76f1-998c-f5e334ccda57</t>
        </is>
      </c>
      <c r="D888" s="5" t="inlineStr">
        <is>
          <t>01a1212c-4b57-70cf-80fd-c2192cb3bf81</t>
        </is>
      </c>
      <c r="E888" s="4" t="n">
        <v>46304.62424196812</v>
      </c>
      <c r="F888" s="4" t="n">
        <v>46304.62424196821</v>
      </c>
      <c r="G888" t="b">
        <v>1</v>
      </c>
      <c r="H888" s="3" t="inlineStr">
        <is>
          <t>Added fraction 0.008886200451707386501964515126 of cost base adjustment 01a1212c-9d2e-765e-8221-1aed4db59a08 | 2023-06-30 | Adjustment of VGS | Cost base increase = -A$89.96</t>
        </is>
      </c>
      <c r="I888" t="inlineStr">
        <is>
          <t>cost base adjustment allocation</t>
        </is>
      </c>
      <c r="J888" s="5" t="inlineStr">
        <is>
          <t>01a1212c-9da4-7648-871f-6b220f43e83e</t>
        </is>
      </c>
    </row>
    <row r="889">
      <c r="A889" s="5" t="inlineStr">
        <is>
          <t>01a1212c-9db0-74d6-a4a5-37aed7160e65</t>
        </is>
      </c>
      <c r="D889" s="5" t="inlineStr">
        <is>
          <t>01a1212c-4b57-70cf-80fd-c2192cb3bf81</t>
        </is>
      </c>
      <c r="E889" s="4" t="n">
        <v>46304.62424204312</v>
      </c>
      <c r="F889" s="4" t="n">
        <v>46304.6242420432</v>
      </c>
      <c r="G889" t="b">
        <v>1</v>
      </c>
      <c r="H889" s="3" t="inlineStr">
        <is>
          <t>Added fraction 0.009569754332607954694423323982 of cost base adjustment 01a1212c-9d2e-765e-8221-1aed4db59a08 | 2023-06-30 | Adjustment of VGS | Cost base increase = -A$89.96</t>
        </is>
      </c>
      <c r="I889" t="inlineStr">
        <is>
          <t>cost base adjustment allocation</t>
        </is>
      </c>
      <c r="J889" s="5" t="inlineStr">
        <is>
          <t>01a1212c-9daa-7321-8f46-a6859cabb7d1</t>
        </is>
      </c>
    </row>
    <row r="890">
      <c r="A890" s="5" t="inlineStr">
        <is>
          <t>01a1212c-9db6-7277-b02c-c801a0223742</t>
        </is>
      </c>
      <c r="D890" s="5" t="inlineStr">
        <is>
          <t>01a1212c-4b57-70cf-80fd-c2192cb3bf81</t>
        </is>
      </c>
      <c r="E890" s="4" t="n">
        <v>46304.62424211024</v>
      </c>
      <c r="F890" s="4" t="n">
        <v>46304.62424211032</v>
      </c>
      <c r="G890" t="b">
        <v>1</v>
      </c>
      <c r="H890" s="3" t="inlineStr">
        <is>
          <t>Added fraction 0.009569754332607954694423323982 of cost base adjustment 01a1212c-9d2e-765e-8221-1aed4db59a08 | 2023-06-30 | Adjustment of VGS | Cost base increase = -A$89.96</t>
        </is>
      </c>
      <c r="I890" t="inlineStr">
        <is>
          <t>cost base adjustment allocation</t>
        </is>
      </c>
      <c r="J890" s="5" t="inlineStr">
        <is>
          <t>01a1212c-9db1-7663-ae26-dececbc4299f</t>
        </is>
      </c>
    </row>
    <row r="891">
      <c r="A891" s="5" t="inlineStr">
        <is>
          <t>01a1212c-9dbc-737c-b3bd-e5df0af1aa3a</t>
        </is>
      </c>
      <c r="D891" s="5" t="inlineStr">
        <is>
          <t>01a1212c-4b57-70cf-80fd-c2192cb3bf81</t>
        </is>
      </c>
      <c r="E891" s="4" t="n">
        <v>46304.62424217739</v>
      </c>
      <c r="F891" s="4" t="n">
        <v>46304.62424217747</v>
      </c>
      <c r="G891" t="b">
        <v>1</v>
      </c>
      <c r="H891" s="3" t="inlineStr">
        <is>
          <t>Added fraction 0.009569754332607954694423323982 of cost base adjustment 01a1212c-9d2e-765e-8221-1aed4db59a08 | 2023-06-30 | Adjustment of VGS | Cost base increase = -A$89.96</t>
        </is>
      </c>
      <c r="I891" t="inlineStr">
        <is>
          <t>cost base adjustment allocation</t>
        </is>
      </c>
      <c r="J891" s="5" t="inlineStr">
        <is>
          <t>01a1212c-9db6-7277-b02c-c80231a20185</t>
        </is>
      </c>
    </row>
    <row r="892">
      <c r="A892" s="5" t="inlineStr">
        <is>
          <t>01a1212c-9dc2-738e-9eb6-b398f32fd343</t>
        </is>
      </c>
      <c r="D892" s="5" t="inlineStr">
        <is>
          <t>01a1212c-4b57-70cf-80fd-c2192cb3bf81</t>
        </is>
      </c>
      <c r="E892" s="4" t="n">
        <v>46304.6242422502</v>
      </c>
      <c r="F892" s="4" t="n">
        <v>46304.62424225029</v>
      </c>
      <c r="G892" t="b">
        <v>1</v>
      </c>
      <c r="H892" s="3" t="inlineStr">
        <is>
          <t>Added fraction 0.009569754332607954694423323982 of cost base adjustment 01a1212c-9d2e-765e-8221-1aed4db59a08 | 2023-06-30 | Adjustment of VGS | Cost base increase = -A$89.96</t>
        </is>
      </c>
      <c r="I892" t="inlineStr">
        <is>
          <t>cost base adjustment allocation</t>
        </is>
      </c>
      <c r="J892" s="5" t="inlineStr">
        <is>
          <t>01a1212c-9dbc-737c-b3bd-e5e0de64b8d6</t>
        </is>
      </c>
    </row>
    <row r="893">
      <c r="A893" s="5" t="inlineStr">
        <is>
          <t>01a1212c-9dc8-72c9-b118-b244659282b7</t>
        </is>
      </c>
      <c r="D893" s="5" t="inlineStr">
        <is>
          <t>01a1212c-4b57-70cf-80fd-c2192cb3bf81</t>
        </is>
      </c>
      <c r="E893" s="4" t="n">
        <v>46304.62424231817</v>
      </c>
      <c r="F893" s="4" t="n">
        <v>46304.62424231826</v>
      </c>
      <c r="G893" t="b">
        <v>1</v>
      </c>
      <c r="H893" s="3" t="inlineStr">
        <is>
          <t>Added fraction 0.009569754332607954694423323982 of cost base adjustment 01a1212c-9d2e-765e-8221-1aed4db59a08 | 2023-06-30 | Adjustment of VGS | Cost base increase = -A$89.96</t>
        </is>
      </c>
      <c r="I893" t="inlineStr">
        <is>
          <t>cost base adjustment allocation</t>
        </is>
      </c>
      <c r="J893" s="5" t="inlineStr">
        <is>
          <t>01a1212c-9dc3-7488-be69-052d1739cf59</t>
        </is>
      </c>
    </row>
    <row r="894">
      <c r="A894" s="5" t="inlineStr">
        <is>
          <t>01a1212c-9dcd-728e-a843-195fbed67171</t>
        </is>
      </c>
      <c r="D894" s="5" t="inlineStr">
        <is>
          <t>01a1212c-4b57-70cf-80fd-c2192cb3bf81</t>
        </is>
      </c>
      <c r="E894" s="4" t="n">
        <v>46304.6242423845</v>
      </c>
      <c r="F894" s="4" t="n">
        <v>46304.62424238458</v>
      </c>
      <c r="G894" t="b">
        <v>1</v>
      </c>
      <c r="H894" s="3" t="inlineStr">
        <is>
          <t>Added fraction 0.009569754332607954694423323982 of cost base adjustment 01a1212c-9d2e-765e-8221-1aed4db59a08 | 2023-06-30 | Adjustment of VGS | Cost base increase = -A$89.96</t>
        </is>
      </c>
      <c r="I894" t="inlineStr">
        <is>
          <t>cost base adjustment allocation</t>
        </is>
      </c>
      <c r="J894" s="5" t="inlineStr">
        <is>
          <t>01a1212c-9dc8-72c9-b118-b245d8822eef</t>
        </is>
      </c>
    </row>
    <row r="895">
      <c r="A895" s="5" t="inlineStr">
        <is>
          <t>01a1212c-9dd3-7716-88de-c0550db29e40</t>
        </is>
      </c>
      <c r="D895" s="5" t="inlineStr">
        <is>
          <t>01a1212c-4b57-70cf-80fd-c2192cb3bf81</t>
        </is>
      </c>
      <c r="E895" s="4" t="n">
        <v>46304.6242424528</v>
      </c>
      <c r="F895" s="4" t="n">
        <v>46304.62424245288</v>
      </c>
      <c r="G895" t="b">
        <v>1</v>
      </c>
      <c r="H895" s="3" t="inlineStr">
        <is>
          <t>Added fraction 0.009569754332607954694423323982 of cost base adjustment 01a1212c-9d2e-765e-8221-1aed4db59a08 | 2023-06-30 | Adjustment of VGS | Cost base increase = -A$89.96</t>
        </is>
      </c>
      <c r="I895" t="inlineStr">
        <is>
          <t>cost base adjustment allocation</t>
        </is>
      </c>
      <c r="J895" s="5" t="inlineStr">
        <is>
          <t>01a1212c-9dce-73b7-b4dc-662ce918281f</t>
        </is>
      </c>
    </row>
    <row r="896">
      <c r="A896" s="5" t="inlineStr">
        <is>
          <t>01a1212c-9dd9-734b-9cfe-1cca5a912eb8</t>
        </is>
      </c>
      <c r="D896" s="5" t="inlineStr">
        <is>
          <t>01a1212c-4b57-70cf-80fd-c2192cb3bf81</t>
        </is>
      </c>
      <c r="E896" s="4" t="n">
        <v>46304.62424251978</v>
      </c>
      <c r="F896" s="4" t="n">
        <v>46304.62424251986</v>
      </c>
      <c r="G896" t="b">
        <v>1</v>
      </c>
      <c r="H896" s="3" t="inlineStr">
        <is>
          <t>Added fraction 0.01016528894665283328401757389 of cost base adjustment 01a1212c-9d2e-765e-8221-1aed4db59a08 | 2023-06-30 | Adjustment of VGS | Cost base increase = -A$89.96</t>
        </is>
      </c>
      <c r="I896" t="inlineStr">
        <is>
          <t>cost base adjustment allocation</t>
        </is>
      </c>
      <c r="J896" s="5" t="inlineStr">
        <is>
          <t>01a1212c-9dd4-7033-9ef8-97c9f9973386</t>
        </is>
      </c>
    </row>
    <row r="897">
      <c r="A897" s="5" t="inlineStr">
        <is>
          <t>01a1212c-9ddf-7451-9b46-45ca6c3cbb21</t>
        </is>
      </c>
      <c r="D897" s="5" t="inlineStr">
        <is>
          <t>01a1212c-4b57-70cf-80fd-c2192cb3bf81</t>
        </is>
      </c>
      <c r="E897" s="4" t="n">
        <v>46304.62424258662</v>
      </c>
      <c r="F897" s="4" t="n">
        <v>46304.6242425867</v>
      </c>
      <c r="G897" t="b">
        <v>1</v>
      </c>
      <c r="H897" s="3" t="inlineStr">
        <is>
          <t>Added fraction 0.01025330821350852288688213284 of cost base adjustment 01a1212c-9d2e-765e-8221-1aed4db59a08 | 2023-06-30 | Adjustment of VGS | Cost base increase = -A$89.96</t>
        </is>
      </c>
      <c r="I897" t="inlineStr">
        <is>
          <t>cost base adjustment allocation</t>
        </is>
      </c>
      <c r="J897" s="5" t="inlineStr">
        <is>
          <t>01a1212c-9dda-7428-886c-2532295154e0</t>
        </is>
      </c>
    </row>
    <row r="898">
      <c r="A898" s="5" t="inlineStr">
        <is>
          <t>01a1212c-9de5-7716-b2ec-19621d49c53d</t>
        </is>
      </c>
      <c r="D898" s="5" t="inlineStr">
        <is>
          <t>01a1212c-4b57-70cf-80fd-c2192cb3bf81</t>
        </is>
      </c>
      <c r="E898" s="4" t="n">
        <v>46304.62424265671</v>
      </c>
      <c r="F898" s="4" t="n">
        <v>46304.62424265678</v>
      </c>
      <c r="G898" t="b">
        <v>1</v>
      </c>
      <c r="H898" s="3" t="inlineStr">
        <is>
          <t>Added fraction 0.01025330821350852288688213284 of cost base adjustment 01a1212c-9d2e-765e-8221-1aed4db59a08 | 2023-06-30 | Adjustment of VGS | Cost base increase = -A$89.96</t>
        </is>
      </c>
      <c r="I898" t="inlineStr">
        <is>
          <t>cost base adjustment allocation</t>
        </is>
      </c>
      <c r="J898" s="5" t="inlineStr">
        <is>
          <t>01a1212c-9de0-721f-9761-77afabf40411</t>
        </is>
      </c>
    </row>
    <row r="899">
      <c r="A899" s="5" t="inlineStr">
        <is>
          <t>01a1212c-9deb-777d-82c2-80e46f06fa0b</t>
        </is>
      </c>
      <c r="D899" s="5" t="inlineStr">
        <is>
          <t>01a1212c-4b57-70cf-80fd-c2192cb3bf81</t>
        </is>
      </c>
      <c r="E899" s="4" t="n">
        <v>46304.62424272449</v>
      </c>
      <c r="F899" s="4" t="n">
        <v>46304.62424272457</v>
      </c>
      <c r="G899" t="b">
        <v>1</v>
      </c>
      <c r="H899" s="3" t="inlineStr">
        <is>
          <t>Added fraction 0.01025330821350852288688213284 of cost base adjustment 01a1212c-9d2e-765e-8221-1aed4db59a08 | 2023-06-30 | Adjustment of VGS | Cost base increase = -A$89.96</t>
        </is>
      </c>
      <c r="I899" t="inlineStr">
        <is>
          <t>cost base adjustment allocation</t>
        </is>
      </c>
      <c r="J899" s="5" t="inlineStr">
        <is>
          <t>01a1212c-9de6-7565-98b3-4c55e76e4de3</t>
        </is>
      </c>
    </row>
    <row r="900">
      <c r="A900" s="5" t="inlineStr">
        <is>
          <t>01a1212c-9df1-715d-b7cf-bb7c6a2116f5</t>
        </is>
      </c>
      <c r="D900" s="5" t="inlineStr">
        <is>
          <t>01a1212c-4b57-70cf-80fd-c2192cb3bf81</t>
        </is>
      </c>
      <c r="E900" s="4" t="n">
        <v>46304.62424279116</v>
      </c>
      <c r="F900" s="4" t="n">
        <v>46304.62424279124</v>
      </c>
      <c r="G900" t="b">
        <v>1</v>
      </c>
      <c r="H900" s="3" t="inlineStr">
        <is>
          <t>Added fraction 0.01025330821350852288688213284 of cost base adjustment 01a1212c-9d2e-765e-8221-1aed4db59a08 | 2023-06-30 | Adjustment of VGS | Cost base increase = -A$89.96</t>
        </is>
      </c>
      <c r="I900" t="inlineStr">
        <is>
          <t>cost base adjustment allocation</t>
        </is>
      </c>
      <c r="J900" s="5" t="inlineStr">
        <is>
          <t>01a1212c-9dec-72c2-8175-92d89bb78edc</t>
        </is>
      </c>
    </row>
    <row r="901">
      <c r="A901" s="5" t="inlineStr">
        <is>
          <t>01a1212c-9df7-71b5-8994-46ab013648ef</t>
        </is>
      </c>
      <c r="D901" s="5" t="inlineStr">
        <is>
          <t>01a1212c-4b57-70cf-80fd-c2192cb3bf81</t>
        </is>
      </c>
      <c r="E901" s="4" t="n">
        <v>46304.62424286702</v>
      </c>
      <c r="F901" s="4" t="n">
        <v>46304.6242428671</v>
      </c>
      <c r="G901" t="b">
        <v>1</v>
      </c>
      <c r="H901" s="3" t="inlineStr">
        <is>
          <t>Added fraction 0.01025330821350852288688213284 of cost base adjustment 01a1212c-9d2e-765e-8221-1aed4db59a08 | 2023-06-30 | Adjustment of VGS | Cost base increase = -A$89.96</t>
        </is>
      </c>
      <c r="I901" t="inlineStr">
        <is>
          <t>cost base adjustment allocation</t>
        </is>
      </c>
      <c r="J901" s="5" t="inlineStr">
        <is>
          <t>01a1212c-9df1-715d-b7cf-bb7d54b4ecac</t>
        </is>
      </c>
    </row>
    <row r="902">
      <c r="A902" s="5" t="inlineStr">
        <is>
          <t>01a1212c-9dfd-75d1-afb3-3398ebd656f5</t>
        </is>
      </c>
      <c r="D902" s="5" t="inlineStr">
        <is>
          <t>01a1212c-4b57-70cf-80fd-c2192cb3bf81</t>
        </is>
      </c>
      <c r="E902" s="4" t="n">
        <v>46304.62424293492</v>
      </c>
      <c r="F902" s="4" t="n">
        <v>46304.624242935</v>
      </c>
      <c r="G902" t="b">
        <v>1</v>
      </c>
      <c r="H902" s="3" t="inlineStr">
        <is>
          <t>Added fraction 0.01025330821350852288688213284 of cost base adjustment 01a1212c-9d2e-765e-8221-1aed4db59a08 | 2023-06-30 | Adjustment of VGS | Cost base increase = -A$89.96</t>
        </is>
      </c>
      <c r="I902" t="inlineStr">
        <is>
          <t>cost base adjustment allocation</t>
        </is>
      </c>
      <c r="J902" s="5" t="inlineStr">
        <is>
          <t>01a1212c-9df8-7065-9ffe-8c60b798b3e1</t>
        </is>
      </c>
    </row>
    <row r="903">
      <c r="A903" s="5" t="inlineStr">
        <is>
          <t>01a1212c-9e03-7464-99f0-337b362327d3</t>
        </is>
      </c>
      <c r="D903" s="5" t="inlineStr">
        <is>
          <t>01a1212c-4b57-70cf-80fd-c2192cb3bf81</t>
        </is>
      </c>
      <c r="E903" s="4" t="n">
        <v>46304.62424300954</v>
      </c>
      <c r="F903" s="4" t="n">
        <v>46304.62424300964</v>
      </c>
      <c r="G903" t="b">
        <v>1</v>
      </c>
      <c r="H903" s="3" t="inlineStr">
        <is>
          <t>Added fraction 0.01025330821350852288688213284 of cost base adjustment 01a1212c-9d2e-765e-8221-1aed4db59a08 | 2023-06-30 | Adjustment of VGS | Cost base increase = -A$89.96</t>
        </is>
      </c>
      <c r="I903" t="inlineStr">
        <is>
          <t>cost base adjustment allocation</t>
        </is>
      </c>
      <c r="J903" s="5" t="inlineStr">
        <is>
          <t>01a1212c-9dfe-71da-9f01-97e20a3706fe</t>
        </is>
      </c>
    </row>
    <row r="904">
      <c r="A904" s="5" t="inlineStr">
        <is>
          <t>01a1212c-9e0a-7319-8e02-67e7e345b131</t>
        </is>
      </c>
      <c r="D904" s="5" t="inlineStr">
        <is>
          <t>01a1212c-4b57-70cf-80fd-c2192cb3bf81</t>
        </is>
      </c>
      <c r="E904" s="4" t="n">
        <v>46304.62424308162</v>
      </c>
      <c r="F904" s="4" t="n">
        <v>46304.62424308171</v>
      </c>
      <c r="G904" t="b">
        <v>1</v>
      </c>
      <c r="H904" s="3" t="inlineStr">
        <is>
          <t>Added fraction 0.01093686209440909107934094169 of cost base adjustment 01a1212c-9d2e-765e-8221-1aed4db59a08 | 2023-06-30 | Adjustment of VGS | Cost base increase = -A$89.96</t>
        </is>
      </c>
      <c r="I904" t="inlineStr">
        <is>
          <t>cost base adjustment allocation</t>
        </is>
      </c>
      <c r="J904" s="5" t="inlineStr">
        <is>
          <t>01a1212c-9e04-76e7-b13e-6efaa6b02e72</t>
        </is>
      </c>
    </row>
    <row r="905">
      <c r="A905" s="5" t="inlineStr">
        <is>
          <t>01a1212c-9e10-7495-ba43-a71892ac6205</t>
        </is>
      </c>
      <c r="D905" s="5" t="inlineStr">
        <is>
          <t>01a1212c-4b57-70cf-80fd-c2192cb3bf81</t>
        </is>
      </c>
      <c r="E905" s="4" t="n">
        <v>46304.62424315017</v>
      </c>
      <c r="F905" s="4" t="n">
        <v>46304.62424315025</v>
      </c>
      <c r="G905" t="b">
        <v>1</v>
      </c>
      <c r="H905" s="3" t="inlineStr">
        <is>
          <t>Added fraction 0.01093686209440909107934094169 of cost base adjustment 01a1212c-9d2e-765e-8221-1aed4db59a08 | 2023-06-30 | Adjustment of VGS | Cost base increase = -A$89.96</t>
        </is>
      </c>
      <c r="I905" t="inlineStr">
        <is>
          <t>cost base adjustment allocation</t>
        </is>
      </c>
      <c r="J905" s="5" t="inlineStr">
        <is>
          <t>01a1212c-9e0a-7319-8e02-67e84290c280</t>
        </is>
      </c>
    </row>
    <row r="906">
      <c r="A906" s="5" t="inlineStr">
        <is>
          <t>01a1212c-9e16-72d1-a6d4-c65a3cf7fdc6</t>
        </is>
      </c>
      <c r="D906" s="5" t="inlineStr">
        <is>
          <t>01a1212c-4b57-70cf-80fd-c2192cb3bf81</t>
        </is>
      </c>
      <c r="E906" s="4" t="n">
        <v>46304.62424322331</v>
      </c>
      <c r="F906" s="4" t="n">
        <v>46304.62424322339</v>
      </c>
      <c r="G906" t="b">
        <v>1</v>
      </c>
      <c r="H906" s="3" t="inlineStr">
        <is>
          <t>Added fraction 0.01119904714461752819425664920 of cost base adjustment 01a1212c-9d2e-765e-8221-1aed4db59a08 | 2023-06-30 | Adjustment of VGS | Cost base increase = -A$89.96</t>
        </is>
      </c>
      <c r="I906" t="inlineStr">
        <is>
          <t>cost base adjustment allocation</t>
        </is>
      </c>
      <c r="J906" s="5" t="inlineStr">
        <is>
          <t>01a1212c-9e10-7495-ba43-a7190e13e5e8</t>
        </is>
      </c>
    </row>
    <row r="907">
      <c r="A907" s="5" t="inlineStr">
        <is>
          <t>01a1212c-9e1c-7616-a307-801e7d00d8f4</t>
        </is>
      </c>
      <c r="D907" s="5" t="inlineStr">
        <is>
          <t>01a1212c-4b57-70cf-80fd-c2192cb3bf81</t>
        </is>
      </c>
      <c r="E907" s="4" t="n">
        <v>46304.62424328889</v>
      </c>
      <c r="F907" s="4" t="n">
        <v>46304.62424328896</v>
      </c>
      <c r="G907" t="b">
        <v>1</v>
      </c>
      <c r="H907" s="3" t="inlineStr">
        <is>
          <t>Added fraction 0.01162041597530965927179975055 of cost base adjustment 01a1212c-9d2e-765e-8221-1aed4db59a08 | 2023-06-30 | Adjustment of VGS | Cost base increase = -A$89.96</t>
        </is>
      </c>
      <c r="I907" t="inlineStr">
        <is>
          <t>cost base adjustment allocation</t>
        </is>
      </c>
      <c r="J907" s="5" t="inlineStr">
        <is>
          <t>01a1212c-9e17-7292-87d7-e103ed29a3f0</t>
        </is>
      </c>
    </row>
    <row r="908">
      <c r="A908" s="5" t="inlineStr">
        <is>
          <t>01a1212c-9e21-7085-bdc9-89863465c0fc</t>
        </is>
      </c>
      <c r="D908" s="5" t="inlineStr">
        <is>
          <t>01a1212c-4b57-70cf-80fd-c2192cb3bf81</t>
        </is>
      </c>
      <c r="E908" s="4" t="n">
        <v>46304.62424335616</v>
      </c>
      <c r="F908" s="4" t="n">
        <v>46304.62424335625</v>
      </c>
      <c r="G908" t="b">
        <v>1</v>
      </c>
      <c r="H908" s="3" t="inlineStr">
        <is>
          <t>Added fraction 0.01162041597530965927179975055 of cost base adjustment 01a1212c-9d2e-765e-8221-1aed4db59a08 | 2023-06-30 | Adjustment of VGS | Cost base increase = -A$89.96</t>
        </is>
      </c>
      <c r="I908" t="inlineStr">
        <is>
          <t>cost base adjustment allocation</t>
        </is>
      </c>
      <c r="J908" s="5" t="inlineStr">
        <is>
          <t>01a1212c-9e1c-7616-a307-801f144c2fd9</t>
        </is>
      </c>
    </row>
    <row r="909">
      <c r="A909" s="5" t="inlineStr">
        <is>
          <t>01a1212c-9e27-7201-b1c2-2a17e9ab2427</t>
        </is>
      </c>
      <c r="D909" s="5" t="inlineStr">
        <is>
          <t>01a1212c-4b57-70cf-80fd-c2192cb3bf81</t>
        </is>
      </c>
      <c r="E909" s="4" t="n">
        <v>46304.62424342392</v>
      </c>
      <c r="F909" s="4" t="n">
        <v>46304.62424342399</v>
      </c>
      <c r="G909" t="b">
        <v>1</v>
      </c>
      <c r="H909" s="3" t="inlineStr">
        <is>
          <t>Added fraction 0.01230396985621022746425855941 of cost base adjustment 01a1212c-9d2e-765e-8221-1aed4db59a08 | 2023-06-30 | Adjustment of VGS | Cost base increase = -A$89.96</t>
        </is>
      </c>
      <c r="I909" t="inlineStr">
        <is>
          <t>cost base adjustment allocation</t>
        </is>
      </c>
      <c r="J909" s="5" t="inlineStr">
        <is>
          <t>01a1212c-9e22-70b1-8f76-90c4eb1e674a</t>
        </is>
      </c>
    </row>
    <row r="910">
      <c r="A910" s="5" t="inlineStr">
        <is>
          <t>01a1212c-9e2d-77c7-85ab-1969c9d728a9</t>
        </is>
      </c>
      <c r="D910" s="5" t="inlineStr">
        <is>
          <t>01a1212c-4b57-70cf-80fd-c2192cb3bf81</t>
        </is>
      </c>
      <c r="E910" s="4" t="n">
        <v>46304.62424349129</v>
      </c>
      <c r="F910" s="4" t="n">
        <v>46304.62424349137</v>
      </c>
      <c r="G910" t="b">
        <v>1</v>
      </c>
      <c r="H910" s="3" t="inlineStr">
        <is>
          <t>Added fraction 0.01230396985621022746425855941 of cost base adjustment 01a1212c-9d2e-765e-8221-1aed4db59a08 | 2023-06-30 | Adjustment of VGS | Cost base increase = -A$89.96</t>
        </is>
      </c>
      <c r="I910" t="inlineStr">
        <is>
          <t>cost base adjustment allocation</t>
        </is>
      </c>
      <c r="J910" s="5" t="inlineStr">
        <is>
          <t>01a1212c-9e28-702e-b2ff-107bf3c0f144</t>
        </is>
      </c>
    </row>
    <row r="911">
      <c r="A911" s="5" t="inlineStr">
        <is>
          <t>01a1212c-9e33-74a8-a138-b7f79d5f750c</t>
        </is>
      </c>
      <c r="D911" s="5" t="inlineStr">
        <is>
          <t>01a1212c-4b57-70cf-80fd-c2192cb3bf81</t>
        </is>
      </c>
      <c r="E911" s="4" t="n">
        <v>46304.62424356097</v>
      </c>
      <c r="F911" s="4" t="n">
        <v>46304.62424356105</v>
      </c>
      <c r="G911" t="b">
        <v>1</v>
      </c>
      <c r="H911" s="3" t="inlineStr">
        <is>
          <t>Added fraction 0.01230396985621022746425855941 of cost base adjustment 01a1212c-9d2e-765e-8221-1aed4db59a08 | 2023-06-30 | Adjustment of VGS | Cost base increase = -A$89.96</t>
        </is>
      </c>
      <c r="I911" t="inlineStr">
        <is>
          <t>cost base adjustment allocation</t>
        </is>
      </c>
      <c r="J911" s="5" t="inlineStr">
        <is>
          <t>01a1212c-9e2e-71ce-ad0b-cc4bf3a1e218</t>
        </is>
      </c>
    </row>
    <row r="912">
      <c r="A912" s="5" t="inlineStr">
        <is>
          <t>01a1212c-9e39-76e6-bb00-e37005de20aa</t>
        </is>
      </c>
      <c r="D912" s="5" t="inlineStr">
        <is>
          <t>01a1212c-4b57-70cf-80fd-c2192cb3bf81</t>
        </is>
      </c>
      <c r="E912" s="4" t="n">
        <v>46304.62424362975</v>
      </c>
      <c r="F912" s="4" t="n">
        <v>46304.62424362983</v>
      </c>
      <c r="G912" t="b">
        <v>1</v>
      </c>
      <c r="H912" s="3" t="inlineStr">
        <is>
          <t>Added fraction 0.01298752373711079565671736826 of cost base adjustment 01a1212c-9d2e-765e-8221-1aed4db59a08 | 2023-06-30 | Adjustment of VGS | Cost base increase = -A$89.96</t>
        </is>
      </c>
      <c r="I912" t="inlineStr">
        <is>
          <t>cost base adjustment allocation</t>
        </is>
      </c>
      <c r="J912" s="5" t="inlineStr">
        <is>
          <t>01a1212c-9e34-7143-bcad-0f348a37c982</t>
        </is>
      </c>
    </row>
    <row r="913">
      <c r="A913" s="5" t="inlineStr">
        <is>
          <t>01a1212c-9e3f-7411-be29-3455af38ba11</t>
        </is>
      </c>
      <c r="D913" s="5" t="inlineStr">
        <is>
          <t>01a1212c-4b57-70cf-80fd-c2192cb3bf81</t>
        </is>
      </c>
      <c r="E913" s="4" t="n">
        <v>46304.62424369464</v>
      </c>
      <c r="F913" s="4" t="n">
        <v>46304.62424369472</v>
      </c>
      <c r="G913" t="b">
        <v>1</v>
      </c>
      <c r="H913" s="3" t="inlineStr">
        <is>
          <t>Added fraction 0.01348380258214819448137924318 of cost base adjustment 01a1212c-9d2e-765e-8221-1aed4db59a08 | 2023-06-30 | Adjustment of VGS | Cost base increase = -A$89.96</t>
        </is>
      </c>
      <c r="I913" t="inlineStr">
        <is>
          <t>cost base adjustment allocation</t>
        </is>
      </c>
      <c r="J913" s="5" t="inlineStr">
        <is>
          <t>01a1212c-9e3a-76cf-a4c5-2e9fc4f1f4d5</t>
        </is>
      </c>
    </row>
    <row r="914">
      <c r="A914" s="5" t="inlineStr">
        <is>
          <t>01a1212c-9e45-7455-aa29-3793e9ceee8e</t>
        </is>
      </c>
      <c r="D914" s="5" t="inlineStr">
        <is>
          <t>01a1212c-4b57-70cf-80fd-c2192cb3bf81</t>
        </is>
      </c>
      <c r="E914" s="4" t="n">
        <v>46304.62424376333</v>
      </c>
      <c r="F914" s="4" t="n">
        <v>46304.62424376341</v>
      </c>
      <c r="G914" t="b">
        <v>1</v>
      </c>
      <c r="H914" s="3" t="inlineStr">
        <is>
          <t>Added fraction 0.01367107761801136384917617712 of cost base adjustment 01a1212c-9d2e-765e-8221-1aed4db59a08 | 2023-06-30 | Adjustment of VGS | Cost base increase = -A$89.96</t>
        </is>
      </c>
      <c r="I914" t="inlineStr">
        <is>
          <t>cost base adjustment allocation</t>
        </is>
      </c>
      <c r="J914" s="5" t="inlineStr">
        <is>
          <t>01a1212c-9e3f-7411-be29-34569d90910c</t>
        </is>
      </c>
    </row>
    <row r="915">
      <c r="A915" s="5" t="inlineStr">
        <is>
          <t>01a1212c-9e4b-70bf-9295-11ed5d451d51</t>
        </is>
      </c>
      <c r="D915" s="5" t="inlineStr">
        <is>
          <t>01a1212c-4b57-70cf-80fd-c2192cb3bf81</t>
        </is>
      </c>
      <c r="E915" s="4" t="n">
        <v>46304.62424383351</v>
      </c>
      <c r="F915" s="4" t="n">
        <v>46304.62424383359</v>
      </c>
      <c r="G915" t="b">
        <v>1</v>
      </c>
      <c r="H915" s="3" t="inlineStr">
        <is>
          <t>Added fraction 0.01367107761801136384917617712 of cost base adjustment 01a1212c-9d2e-765e-8221-1aed4db59a08 | 2023-06-30 | Adjustment of VGS | Cost base increase = -A$89.96</t>
        </is>
      </c>
      <c r="I915" t="inlineStr">
        <is>
          <t>cost base adjustment allocation</t>
        </is>
      </c>
      <c r="J915" s="5" t="inlineStr">
        <is>
          <t>01a1212c-9e45-7455-aa29-379485421f04</t>
        </is>
      </c>
    </row>
    <row r="916">
      <c r="A916" s="5" t="inlineStr">
        <is>
          <t>01a1212c-9e51-7025-a871-873f68805ca2</t>
        </is>
      </c>
      <c r="D916" s="5" t="inlineStr">
        <is>
          <t>01a1212c-4b57-70cf-80fd-c2192cb3bf81</t>
        </is>
      </c>
      <c r="E916" s="4" t="n">
        <v>46304.62424390466</v>
      </c>
      <c r="F916" s="4" t="n">
        <v>46304.62424390476</v>
      </c>
      <c r="G916" t="b">
        <v>1</v>
      </c>
      <c r="H916" s="3" t="inlineStr">
        <is>
          <t>Added fraction 0.01367107761801136384917617712 of cost base adjustment 01a1212c-9d2e-765e-8221-1aed4db59a08 | 2023-06-30 | Adjustment of VGS | Cost base increase = -A$89.96</t>
        </is>
      </c>
      <c r="I916" t="inlineStr">
        <is>
          <t>cost base adjustment allocation</t>
        </is>
      </c>
      <c r="J916" s="5" t="inlineStr">
        <is>
          <t>01a1212c-9e4b-70bf-9295-11ee39fe112d</t>
        </is>
      </c>
    </row>
    <row r="917">
      <c r="A917" s="5" t="inlineStr">
        <is>
          <t>01a1212c-9e57-76da-b99f-7894b338390d</t>
        </is>
      </c>
      <c r="D917" s="5" t="inlineStr">
        <is>
          <t>01a1212c-4b57-70cf-80fd-c2192cb3bf81</t>
        </is>
      </c>
      <c r="E917" s="4" t="n">
        <v>46304.62424397457</v>
      </c>
      <c r="F917" s="4" t="n">
        <v>46304.62424397465</v>
      </c>
      <c r="G917" t="b">
        <v>1</v>
      </c>
      <c r="H917" s="3" t="inlineStr">
        <is>
          <t>Added fraction 0.01367107761801136384917617712 of cost base adjustment 01a1212c-9d2e-765e-8221-1aed4db59a08 | 2023-06-30 | Adjustment of VGS | Cost base increase = -A$89.96</t>
        </is>
      </c>
      <c r="I917" t="inlineStr">
        <is>
          <t>cost base adjustment allocation</t>
        </is>
      </c>
      <c r="J917" s="5" t="inlineStr">
        <is>
          <t>01a1212c-9e52-75ca-8224-38dc5b0c97b9</t>
        </is>
      </c>
    </row>
    <row r="918">
      <c r="A918" s="5" t="inlineStr">
        <is>
          <t>01a1212c-9e5d-70f7-aae2-c0880fd94afd</t>
        </is>
      </c>
      <c r="D918" s="5" t="inlineStr">
        <is>
          <t>01a1212c-4b57-70cf-80fd-c2192cb3bf81</t>
        </is>
      </c>
      <c r="E918" s="4" t="n">
        <v>46304.62424404312</v>
      </c>
      <c r="F918" s="4" t="n">
        <v>46304.6242440432</v>
      </c>
      <c r="G918" t="b">
        <v>1</v>
      </c>
      <c r="H918" s="3" t="inlineStr">
        <is>
          <t>Added fraction 0.01435463149891193204163498597 of cost base adjustment 01a1212c-9d2e-765e-8221-1aed4db59a08 | 2023-06-30 | Adjustment of VGS | Cost base increase = -A$89.96</t>
        </is>
      </c>
      <c r="I918" t="inlineStr">
        <is>
          <t>cost base adjustment allocation</t>
        </is>
      </c>
      <c r="J918" s="5" t="inlineStr">
        <is>
          <t>01a1212c-9e58-77a3-a47b-6896f3d1073e</t>
        </is>
      </c>
    </row>
    <row r="919">
      <c r="A919" s="5" t="inlineStr">
        <is>
          <t>01a1212c-9e62-7594-92ec-1b280f319d72</t>
        </is>
      </c>
      <c r="D919" s="5" t="inlineStr">
        <is>
          <t>01a1212c-4b57-70cf-80fd-c2192cb3bf81</t>
        </is>
      </c>
      <c r="E919" s="4" t="n">
        <v>46304.6242441076</v>
      </c>
      <c r="F919" s="4" t="n">
        <v>46304.62424410768</v>
      </c>
      <c r="G919" t="b">
        <v>1</v>
      </c>
      <c r="H919" s="3" t="inlineStr">
        <is>
          <t>Added fraction 0.01435463149891193204163498597 of cost base adjustment 01a1212c-9d2e-765e-8221-1aed4db59a08 | 2023-06-30 | Adjustment of VGS | Cost base increase = -A$89.96</t>
        </is>
      </c>
      <c r="I919" t="inlineStr">
        <is>
          <t>cost base adjustment allocation</t>
        </is>
      </c>
      <c r="J919" s="5" t="inlineStr">
        <is>
          <t>01a1212c-9e5d-70f7-aae2-c089747900c0</t>
        </is>
      </c>
    </row>
    <row r="920">
      <c r="A920" s="5" t="inlineStr">
        <is>
          <t>01a1212c-9e69-7608-828c-0c64b0369f83</t>
        </is>
      </c>
      <c r="D920" s="5" t="inlineStr">
        <is>
          <t>01a1212c-4b57-70cf-80fd-c2192cb3bf81</t>
        </is>
      </c>
      <c r="E920" s="4" t="n">
        <v>46304.62424418805</v>
      </c>
      <c r="F920" s="4" t="n">
        <v>46304.62424418813</v>
      </c>
      <c r="G920" t="b">
        <v>1</v>
      </c>
      <c r="H920" s="3" t="inlineStr">
        <is>
          <t>Added fraction 0.01435463149891193204163498597 of cost base adjustment 01a1212c-9d2e-765e-8221-1aed4db59a08 | 2023-06-30 | Adjustment of VGS | Cost base increase = -A$89.96</t>
        </is>
      </c>
      <c r="I920" t="inlineStr">
        <is>
          <t>cost base adjustment allocation</t>
        </is>
      </c>
      <c r="J920" s="5" t="inlineStr">
        <is>
          <t>01a1212c-9e63-7555-8efe-5375b9e4ceff</t>
        </is>
      </c>
    </row>
    <row r="921">
      <c r="A921" s="5" t="inlineStr">
        <is>
          <t>01a1212c-9e6f-759e-9335-430043ec385f</t>
        </is>
      </c>
      <c r="D921" s="5" t="inlineStr">
        <is>
          <t>01a1212c-4b57-70cf-80fd-c2192cb3bf81</t>
        </is>
      </c>
      <c r="E921" s="4" t="n">
        <v>46304.62424425795</v>
      </c>
      <c r="F921" s="4" t="n">
        <v>46304.62424425803</v>
      </c>
      <c r="G921" t="b">
        <v>1</v>
      </c>
      <c r="H921" s="3" t="inlineStr">
        <is>
          <t>Added fraction 0.01435463149891193204163498597 of cost base adjustment 01a1212c-9d2e-765e-8221-1aed4db59a08 | 2023-06-30 | Adjustment of VGS | Cost base increase = -A$89.96</t>
        </is>
      </c>
      <c r="I921" t="inlineStr">
        <is>
          <t>cost base adjustment allocation</t>
        </is>
      </c>
      <c r="J921" s="5" t="inlineStr">
        <is>
          <t>01a1212c-9e6a-721d-8d56-b56e4eb82982</t>
        </is>
      </c>
    </row>
    <row r="922">
      <c r="A922" s="5" t="inlineStr">
        <is>
          <t>01a1212c-9e75-7575-a17b-97cf8d515e75</t>
        </is>
      </c>
      <c r="D922" s="5" t="inlineStr">
        <is>
          <t>01a1212c-4b57-70cf-80fd-c2192cb3bf81</t>
        </is>
      </c>
      <c r="E922" s="4" t="n">
        <v>46304.6242443251</v>
      </c>
      <c r="F922" s="4" t="n">
        <v>46304.62424432518</v>
      </c>
      <c r="G922" t="b">
        <v>1</v>
      </c>
      <c r="H922" s="3" t="inlineStr">
        <is>
          <t>Added fraction 0.01435463149891193204163498597 of cost base adjustment 01a1212c-9d2e-765e-8221-1aed4db59a08 | 2023-06-30 | Adjustment of VGS | Cost base increase = -A$89.96</t>
        </is>
      </c>
      <c r="I922" t="inlineStr">
        <is>
          <t>cost base adjustment allocation</t>
        </is>
      </c>
      <c r="J922" s="5" t="inlineStr">
        <is>
          <t>01a1212c-9e70-71c7-a3ad-0a616127496c</t>
        </is>
      </c>
    </row>
    <row r="923">
      <c r="A923" s="5" t="inlineStr">
        <is>
          <t>01a1212c-9e7c-727f-8ccf-09278dc3aab7</t>
        </is>
      </c>
      <c r="D923" s="5" t="inlineStr">
        <is>
          <t>01a1212c-4b57-70cf-80fd-c2192cb3bf81</t>
        </is>
      </c>
      <c r="E923" s="4" t="n">
        <v>46304.62424440322</v>
      </c>
      <c r="F923" s="4" t="n">
        <v>46304.6242444033</v>
      </c>
      <c r="G923" t="b">
        <v>1</v>
      </c>
      <c r="H923" s="3" t="inlineStr">
        <is>
          <t>Added fraction 0.01435463149891193204163498597 of cost base adjustment 01a1212c-9d2e-765e-8221-1aed4db59a08 | 2023-06-30 | Adjustment of VGS | Cost base increase = -A$89.96</t>
        </is>
      </c>
      <c r="I923" t="inlineStr">
        <is>
          <t>cost base adjustment allocation</t>
        </is>
      </c>
      <c r="J923" s="5" t="inlineStr">
        <is>
          <t>01a1212c-9e76-707e-a56d-063079b3f61e</t>
        </is>
      </c>
    </row>
    <row r="924">
      <c r="A924" s="5" t="inlineStr">
        <is>
          <t>01a1212c-9e82-73b9-a4d6-c265412077f3</t>
        </is>
      </c>
      <c r="D924" s="5" t="inlineStr">
        <is>
          <t>01a1212c-4b57-70cf-80fd-c2192cb3bf81</t>
        </is>
      </c>
      <c r="E924" s="4" t="n">
        <v>46304.62424447303</v>
      </c>
      <c r="F924" s="4" t="n">
        <v>46304.62424447315</v>
      </c>
      <c r="G924" t="b">
        <v>1</v>
      </c>
      <c r="H924" s="3" t="inlineStr">
        <is>
          <t>Added fraction 0.01503818537981250023409379483 of cost base adjustment 01a1212c-9d2e-765e-8221-1aed4db59a08 | 2023-06-30 | Adjustment of VGS | Cost base increase = -A$89.96</t>
        </is>
      </c>
      <c r="I924" t="inlineStr">
        <is>
          <t>cost base adjustment allocation</t>
        </is>
      </c>
      <c r="J924" s="5" t="inlineStr">
        <is>
          <t>01a1212c-9e7d-742a-8800-c99d2e4fc6de</t>
        </is>
      </c>
    </row>
    <row r="925">
      <c r="A925" s="5" t="inlineStr">
        <is>
          <t>01a1212c-9e88-71b9-baa0-12e8814e3321</t>
        </is>
      </c>
      <c r="D925" s="5" t="inlineStr">
        <is>
          <t>01a1212c-4b57-70cf-80fd-c2192cb3bf81</t>
        </is>
      </c>
      <c r="E925" s="4" t="n">
        <v>46304.62424454676</v>
      </c>
      <c r="F925" s="4" t="n">
        <v>46304.62424454685</v>
      </c>
      <c r="G925" t="b">
        <v>1</v>
      </c>
      <c r="H925" s="3" t="inlineStr">
        <is>
          <t>Added fraction 0.01503818537981250023409379483 of cost base adjustment 01a1212c-9d2e-765e-8221-1aed4db59a08 | 2023-06-30 | Adjustment of VGS | Cost base increase = -A$89.96</t>
        </is>
      </c>
      <c r="I925" t="inlineStr">
        <is>
          <t>cost base adjustment allocation</t>
        </is>
      </c>
      <c r="J925" s="5" t="inlineStr">
        <is>
          <t>01a1212c-9e83-726e-836d-e123bac21db8</t>
        </is>
      </c>
    </row>
    <row r="926">
      <c r="A926" s="5" t="inlineStr">
        <is>
          <t>01a1212c-9e8e-7008-a24b-c428ac68573e</t>
        </is>
      </c>
      <c r="D926" s="5" t="inlineStr">
        <is>
          <t>01a1212c-4b57-70cf-80fd-c2192cb3bf81</t>
        </is>
      </c>
      <c r="E926" s="4" t="n">
        <v>46304.62424461868</v>
      </c>
      <c r="F926" s="4" t="n">
        <v>46304.62424461878</v>
      </c>
      <c r="G926" t="b">
        <v>1</v>
      </c>
      <c r="H926" s="3" t="inlineStr">
        <is>
          <t>Added fraction 0.01503818537981250023409379483 of cost base adjustment 01a1212c-9d2e-765e-8221-1aed4db59a08 | 2023-06-30 | Adjustment of VGS | Cost base increase = -A$89.96</t>
        </is>
      </c>
      <c r="I926" t="inlineStr">
        <is>
          <t>cost base adjustment allocation</t>
        </is>
      </c>
      <c r="J926" s="5" t="inlineStr">
        <is>
          <t>01a1212c-9e89-729e-aeb9-933dc0251702</t>
        </is>
      </c>
    </row>
    <row r="927">
      <c r="A927" s="5" t="inlineStr">
        <is>
          <t>01a1212c-9e95-74dc-93d2-faf412508721</t>
        </is>
      </c>
      <c r="D927" s="5" t="inlineStr">
        <is>
          <t>01a1212c-4b57-70cf-80fd-c2192cb3bf81</t>
        </is>
      </c>
      <c r="E927" s="4" t="n">
        <v>46304.62424468973</v>
      </c>
      <c r="F927" s="4" t="n">
        <v>46304.62424468982</v>
      </c>
      <c r="G927" t="b">
        <v>1</v>
      </c>
      <c r="H927" s="3" t="inlineStr">
        <is>
          <t>Added fraction 0.01503818537981250023409379483 of cost base adjustment 01a1212c-9d2e-765e-8221-1aed4db59a08 | 2023-06-30 | Adjustment of VGS | Cost base increase = -A$89.96</t>
        </is>
      </c>
      <c r="I927" t="inlineStr">
        <is>
          <t>cost base adjustment allocation</t>
        </is>
      </c>
      <c r="J927" s="5" t="inlineStr">
        <is>
          <t>01a1212c-9e8f-7105-a2e5-ca74994afaf5</t>
        </is>
      </c>
    </row>
    <row r="928">
      <c r="A928" s="5" t="inlineStr">
        <is>
          <t>01a1212c-9e9b-749b-82d8-7a372f0230f5</t>
        </is>
      </c>
      <c r="D928" s="5" t="inlineStr">
        <is>
          <t>01a1212c-4b57-70cf-80fd-c2192cb3bf81</t>
        </is>
      </c>
      <c r="E928" s="4" t="n">
        <v>46304.62424476888</v>
      </c>
      <c r="F928" s="4" t="n">
        <v>46304.62424476898</v>
      </c>
      <c r="G928" t="b">
        <v>1</v>
      </c>
      <c r="H928" s="3" t="inlineStr">
        <is>
          <t>Added fraction 0.01572173926071306842655260368 of cost base adjustment 01a1212c-9d2e-765e-8221-1aed4db59a08 | 2023-06-30 | Adjustment of VGS | Cost base increase = -A$89.96</t>
        </is>
      </c>
      <c r="I928" t="inlineStr">
        <is>
          <t>cost base adjustment allocation</t>
        </is>
      </c>
      <c r="J928" s="5" t="inlineStr">
        <is>
          <t>01a1212c-9e95-74dc-93d2-faf5aaeb85b1</t>
        </is>
      </c>
    </row>
    <row r="929">
      <c r="A929" s="5" t="inlineStr">
        <is>
          <t>01a1212c-9ea2-7731-968c-d43cc7cc0581</t>
        </is>
      </c>
      <c r="D929" s="5" t="inlineStr">
        <is>
          <t>01a1212c-4b57-70cf-80fd-c2192cb3bf81</t>
        </is>
      </c>
      <c r="E929" s="4" t="n">
        <v>46304.62424483963</v>
      </c>
      <c r="F929" s="4" t="n">
        <v>46304.62424483971</v>
      </c>
      <c r="G929" t="b">
        <v>1</v>
      </c>
      <c r="H929" s="3" t="inlineStr">
        <is>
          <t>Added fraction 0.01572173926071306842655260368 of cost base adjustment 01a1212c-9d2e-765e-8221-1aed4db59a08 | 2023-06-30 | Adjustment of VGS | Cost base increase = -A$89.96</t>
        </is>
      </c>
      <c r="I929" t="inlineStr">
        <is>
          <t>cost base adjustment allocation</t>
        </is>
      </c>
      <c r="J929" s="5" t="inlineStr">
        <is>
          <t>01a1212c-9e9c-7641-848c-687dd8013266</t>
        </is>
      </c>
    </row>
    <row r="930">
      <c r="A930" s="5" t="inlineStr">
        <is>
          <t>01a1212c-9ea8-73c8-8588-f1d996e6a9b6</t>
        </is>
      </c>
      <c r="D930" s="5" t="inlineStr">
        <is>
          <t>01a1212c-4b57-70cf-80fd-c2192cb3bf81</t>
        </is>
      </c>
      <c r="E930" s="4" t="n">
        <v>46304.62424490926</v>
      </c>
      <c r="F930" s="4" t="n">
        <v>46304.62424490934</v>
      </c>
      <c r="G930" t="b">
        <v>1</v>
      </c>
      <c r="H930" s="3" t="inlineStr">
        <is>
          <t>Added fraction 0.01572173926071306842655260368 of cost base adjustment 01a1212c-9d2e-765e-8221-1aed4db59a08 | 2023-06-30 | Adjustment of VGS | Cost base increase = -A$89.96</t>
        </is>
      </c>
      <c r="I930" t="inlineStr">
        <is>
          <t>cost base adjustment allocation</t>
        </is>
      </c>
      <c r="J930" s="5" t="inlineStr">
        <is>
          <t>01a1212c-9ea2-7731-968c-d43de0711f64</t>
        </is>
      </c>
    </row>
    <row r="931">
      <c r="A931" s="5" t="inlineStr">
        <is>
          <t>01a1212c-9eae-712f-92e4-f49ed887bb1e</t>
        </is>
      </c>
      <c r="D931" s="5" t="inlineStr">
        <is>
          <t>01a1212c-4b57-70cf-80fd-c2192cb3bf81</t>
        </is>
      </c>
      <c r="E931" s="4" t="n">
        <v>46304.62424497819</v>
      </c>
      <c r="F931" s="4" t="n">
        <v>46304.62424497827</v>
      </c>
      <c r="G931" t="b">
        <v>1</v>
      </c>
      <c r="H931" s="3" t="inlineStr">
        <is>
          <t>Added fraction 0.01572173926071306842655260368 of cost base adjustment 01a1212c-9d2e-765e-8221-1aed4db59a08 | 2023-06-30 | Adjustment of VGS | Cost base increase = -A$89.96</t>
        </is>
      </c>
      <c r="I931" t="inlineStr">
        <is>
          <t>cost base adjustment allocation</t>
        </is>
      </c>
      <c r="J931" s="5" t="inlineStr">
        <is>
          <t>01a1212c-9ea8-73c8-8588-f1da7bc19e25</t>
        </is>
      </c>
    </row>
    <row r="932">
      <c r="A932" s="5" t="inlineStr">
        <is>
          <t>01a1212c-9eb3-77ed-b272-b4e9c0ee0365</t>
        </is>
      </c>
      <c r="D932" s="5" t="inlineStr">
        <is>
          <t>01a1212c-4b57-70cf-80fd-c2192cb3bf81</t>
        </is>
      </c>
      <c r="E932" s="4" t="n">
        <v>46304.62424504633</v>
      </c>
      <c r="F932" s="4" t="n">
        <v>46304.62424504641</v>
      </c>
      <c r="G932" t="b">
        <v>1</v>
      </c>
      <c r="H932" s="3" t="inlineStr">
        <is>
          <t>Added fraction 0.01640529314161363661901141254 of cost base adjustment 01a1212c-9d2e-765e-8221-1aed4db59a08 | 2023-06-30 | Adjustment of VGS | Cost base increase = -A$89.96</t>
        </is>
      </c>
      <c r="I932" t="inlineStr">
        <is>
          <t>cost base adjustment allocation</t>
        </is>
      </c>
      <c r="J932" s="5" t="inlineStr">
        <is>
          <t>01a1212c-9eae-712f-92e4-f49f240e18ea</t>
        </is>
      </c>
    </row>
    <row r="933">
      <c r="A933" s="5" t="inlineStr">
        <is>
          <t>01a1212c-9eb9-7618-9046-c5125aed95d4</t>
        </is>
      </c>
      <c r="D933" s="5" t="inlineStr">
        <is>
          <t>01a1212c-4b57-70cf-80fd-c2192cb3bf81</t>
        </is>
      </c>
      <c r="E933" s="4" t="n">
        <v>46304.62424511485</v>
      </c>
      <c r="F933" s="4" t="n">
        <v>46304.62424511505</v>
      </c>
      <c r="G933" t="b">
        <v>1</v>
      </c>
      <c r="H933" s="3" t="inlineStr">
        <is>
          <t>Added fraction 0.01640529314161363661901141254 of cost base adjustment 01a1212c-9d2e-765e-8221-1aed4db59a08 | 2023-06-30 | Adjustment of VGS | Cost base increase = -A$89.96</t>
        </is>
      </c>
      <c r="I933" t="inlineStr">
        <is>
          <t>cost base adjustment allocation</t>
        </is>
      </c>
      <c r="J933" s="5" t="inlineStr">
        <is>
          <t>01a1212c-9eb4-71db-acea-5733f2c5f884</t>
        </is>
      </c>
    </row>
    <row r="934">
      <c r="A934" s="5" t="inlineStr">
        <is>
          <t>01a1212c-9ebf-708f-a643-a99d3617b753</t>
        </is>
      </c>
      <c r="D934" s="5" t="inlineStr">
        <is>
          <t>01a1212c-4b57-70cf-80fd-c2192cb3bf81</t>
        </is>
      </c>
      <c r="E934" s="4" t="n">
        <v>46304.62424518271</v>
      </c>
      <c r="F934" s="4" t="n">
        <v>46304.62424518279</v>
      </c>
      <c r="G934" t="b">
        <v>1</v>
      </c>
      <c r="H934" s="3" t="inlineStr">
        <is>
          <t>Added fraction 0.01640529314161363661901141254 of cost base adjustment 01a1212c-9d2e-765e-8221-1aed4db59a08 | 2023-06-30 | Adjustment of VGS | Cost base increase = -A$89.96</t>
        </is>
      </c>
      <c r="I934" t="inlineStr">
        <is>
          <t>cost base adjustment allocation</t>
        </is>
      </c>
      <c r="J934" s="5" t="inlineStr">
        <is>
          <t>01a1212c-9eba-70d5-a7d1-01607696dad1</t>
        </is>
      </c>
    </row>
    <row r="935">
      <c r="A935" s="5" t="inlineStr">
        <is>
          <t>01a1212c-9ec5-7723-9375-5b85331119d8</t>
        </is>
      </c>
      <c r="D935" s="5" t="inlineStr">
        <is>
          <t>01a1212c-4b57-70cf-80fd-c2192cb3bf81</t>
        </is>
      </c>
      <c r="E935" s="4" t="n">
        <v>46304.62424525373</v>
      </c>
      <c r="F935" s="4" t="n">
        <v>46304.62424525382</v>
      </c>
      <c r="G935" t="b">
        <v>1</v>
      </c>
      <c r="H935" s="3" t="inlineStr">
        <is>
          <t>Added fraction 0.01708884702251420481147022140 of cost base adjustment 01a1212c-9d2e-765e-8221-1aed4db59a08 | 2023-06-30 | Adjustment of VGS | Cost base increase = -A$89.96</t>
        </is>
      </c>
      <c r="I935" t="inlineStr">
        <is>
          <t>cost base adjustment allocation</t>
        </is>
      </c>
      <c r="J935" s="5" t="inlineStr">
        <is>
          <t>01a1212c-9ec0-72ef-943e-79ca8c354d8a</t>
        </is>
      </c>
    </row>
    <row r="936">
      <c r="A936" s="5" t="inlineStr">
        <is>
          <t>01a1212c-9ecb-77ec-8d9e-0b749a4195b6</t>
        </is>
      </c>
      <c r="D936" s="5" t="inlineStr">
        <is>
          <t>01a1212c-4b57-70cf-80fd-c2192cb3bf81</t>
        </is>
      </c>
      <c r="E936" s="4" t="n">
        <v>46304.62424532016</v>
      </c>
      <c r="F936" s="4" t="n">
        <v>46304.62424532024</v>
      </c>
      <c r="G936" t="b">
        <v>1</v>
      </c>
      <c r="H936" s="3" t="inlineStr">
        <is>
          <t>Added fraction 0.01708884702251420481147022140 of cost base adjustment 01a1212c-9d2e-765e-8221-1aed4db59a08 | 2023-06-30 | Adjustment of VGS | Cost base increase = -A$89.96</t>
        </is>
      </c>
      <c r="I936" t="inlineStr">
        <is>
          <t>cost base adjustment allocation</t>
        </is>
      </c>
      <c r="J936" s="5" t="inlineStr">
        <is>
          <t>01a1212c-9ec6-734f-be3a-5a1ae6e3e460</t>
        </is>
      </c>
    </row>
    <row r="937">
      <c r="A937" s="5" t="inlineStr">
        <is>
          <t>01a1212c-9ed1-710f-921d-c790e660f1e1</t>
        </is>
      </c>
      <c r="D937" s="5" t="inlineStr">
        <is>
          <t>01a1212c-4b57-70cf-80fd-c2192cb3bf81</t>
        </is>
      </c>
      <c r="E937" s="4" t="n">
        <v>46304.62424538758</v>
      </c>
      <c r="F937" s="4" t="n">
        <v>46304.62424538766</v>
      </c>
      <c r="G937" t="b">
        <v>1</v>
      </c>
      <c r="H937" s="3" t="inlineStr">
        <is>
          <t>Added fraction 0.01777240090341477300392903025 of cost base adjustment 01a1212c-9d2e-765e-8221-1aed4db59a08 | 2023-06-30 | Adjustment of VGS | Cost base increase = -A$89.96</t>
        </is>
      </c>
      <c r="I937" t="inlineStr">
        <is>
          <t>cost base adjustment allocation</t>
        </is>
      </c>
      <c r="J937" s="5" t="inlineStr">
        <is>
          <t>01a1212c-9ecc-7160-a05c-8fa91d55ec07</t>
        </is>
      </c>
    </row>
    <row r="938">
      <c r="A938" s="5" t="inlineStr">
        <is>
          <t>01a1212c-9ed7-72de-ba4c-5bfeed56cb2f</t>
        </is>
      </c>
      <c r="D938" s="5" t="inlineStr">
        <is>
          <t>01a1212c-4b57-70cf-80fd-c2192cb3bf81</t>
        </is>
      </c>
      <c r="E938" s="4" t="n">
        <v>46304.62424545868</v>
      </c>
      <c r="F938" s="4" t="n">
        <v>46304.62424545876</v>
      </c>
      <c r="G938" t="b">
        <v>1</v>
      </c>
      <c r="H938" s="3" t="inlineStr">
        <is>
          <t>Added fraction 0.01777240090341477300392903025 of cost base adjustment 01a1212c-9d2e-765e-8221-1aed4db59a08 | 2023-06-30 | Adjustment of VGS | Cost base increase = -A$89.96</t>
        </is>
      </c>
      <c r="I938" t="inlineStr">
        <is>
          <t>cost base adjustment allocation</t>
        </is>
      </c>
      <c r="J938" s="5" t="inlineStr">
        <is>
          <t>01a1212c-9ed2-7727-abb4-c81f1f575961</t>
        </is>
      </c>
    </row>
    <row r="939">
      <c r="A939" s="5" t="inlineStr">
        <is>
          <t>01a1212c-9edd-7126-bf71-862f21fb57ac</t>
        </is>
      </c>
      <c r="D939" s="5" t="inlineStr">
        <is>
          <t>01a1212c-4b57-70cf-80fd-c2192cb3bf81</t>
        </is>
      </c>
      <c r="E939" s="4" t="n">
        <v>46304.62424552777</v>
      </c>
      <c r="F939" s="4" t="n">
        <v>46304.62424552785</v>
      </c>
      <c r="G939" t="b">
        <v>1</v>
      </c>
      <c r="H939" s="3" t="inlineStr">
        <is>
          <t>Added fraction 0.01777240090341477300392903025 of cost base adjustment 01a1212c-9d2e-765e-8221-1aed4db59a08 | 2023-06-30 | Adjustment of VGS | Cost base increase = -A$89.96</t>
        </is>
      </c>
      <c r="I939" t="inlineStr">
        <is>
          <t>cost base adjustment allocation</t>
        </is>
      </c>
      <c r="J939" s="5" t="inlineStr">
        <is>
          <t>01a1212c-9ed8-724b-bf58-078d425d5d08</t>
        </is>
      </c>
    </row>
    <row r="940">
      <c r="A940" s="5" t="inlineStr">
        <is>
          <t>01a1212c-9ee3-74b8-94e6-2b8a4ee9cf90</t>
        </is>
      </c>
      <c r="D940" s="5" t="inlineStr">
        <is>
          <t>01a1212c-4b57-70cf-80fd-c2192cb3bf81</t>
        </is>
      </c>
      <c r="E940" s="4" t="n">
        <v>46304.62424559599</v>
      </c>
      <c r="F940" s="4" t="n">
        <v>46304.62424559607</v>
      </c>
      <c r="G940" t="b">
        <v>1</v>
      </c>
      <c r="H940" s="3" t="inlineStr">
        <is>
          <t>Added fraction 0.01777240090341477300392903025 of cost base adjustment 01a1212c-9d2e-765e-8221-1aed4db59a08 | 2023-06-30 | Adjustment of VGS | Cost base increase = -A$89.96</t>
        </is>
      </c>
      <c r="I940" t="inlineStr">
        <is>
          <t>cost base adjustment allocation</t>
        </is>
      </c>
      <c r="J940" s="5" t="inlineStr">
        <is>
          <t>01a1212c-9ede-726f-8896-70a0c12b93dc</t>
        </is>
      </c>
    </row>
    <row r="941">
      <c r="A941" s="5" t="inlineStr">
        <is>
          <t>01a1212c-9eea-710a-b264-4024d5d7ff4a</t>
        </is>
      </c>
      <c r="D941" s="5" t="inlineStr">
        <is>
          <t>01a1212c-4b57-70cf-80fd-c2192cb3bf81</t>
        </is>
      </c>
      <c r="E941" s="4" t="n">
        <v>46304.62424567655</v>
      </c>
      <c r="F941" s="4" t="n">
        <v>46304.62424567663</v>
      </c>
      <c r="G941" t="b">
        <v>1</v>
      </c>
      <c r="H941" s="3" t="inlineStr">
        <is>
          <t>Added fraction 0.01845595478431534119638783911 of cost base adjustment 01a1212c-9d2e-765e-8221-1aed4db59a08 | 2023-06-30 | Adjustment of VGS | Cost base increase = -A$89.96</t>
        </is>
      </c>
      <c r="I941" t="inlineStr">
        <is>
          <t>cost base adjustment allocation</t>
        </is>
      </c>
      <c r="J941" s="5" t="inlineStr">
        <is>
          <t>01a1212c-9ee4-721a-ae9a-9631602157c5</t>
        </is>
      </c>
    </row>
    <row r="942">
      <c r="A942" s="5" t="inlineStr">
        <is>
          <t>01a1212c-9ef0-72d4-aa2d-041a71529f92</t>
        </is>
      </c>
      <c r="D942" s="5" t="inlineStr">
        <is>
          <t>01a1212c-4b57-70cf-80fd-c2192cb3bf81</t>
        </is>
      </c>
      <c r="E942" s="4" t="n">
        <v>46304.62424574198</v>
      </c>
      <c r="F942" s="4" t="n">
        <v>46304.62424574206</v>
      </c>
      <c r="G942" t="b">
        <v>1</v>
      </c>
      <c r="H942" s="3" t="inlineStr">
        <is>
          <t>Added fraction 0.01845595478431534119638783911 of cost base adjustment 01a1212c-9d2e-765e-8221-1aed4db59a08 | 2023-06-30 | Adjustment of VGS | Cost base increase = -A$89.96</t>
        </is>
      </c>
      <c r="I942" t="inlineStr">
        <is>
          <t>cost base adjustment allocation</t>
        </is>
      </c>
      <c r="J942" s="5" t="inlineStr">
        <is>
          <t>01a1212c-9eeb-76a1-a221-dde5ae16c73e</t>
        </is>
      </c>
    </row>
    <row r="943">
      <c r="A943" s="5" t="inlineStr">
        <is>
          <t>01a1212c-9ef6-732f-a45f-4bba0d10b82a</t>
        </is>
      </c>
      <c r="D943" s="5" t="inlineStr">
        <is>
          <t>01a1212c-4b57-70cf-80fd-c2192cb3bf81</t>
        </is>
      </c>
      <c r="E943" s="4" t="n">
        <v>46304.62424581514</v>
      </c>
      <c r="F943" s="4" t="n">
        <v>46304.62424581523</v>
      </c>
      <c r="G943" t="b">
        <v>1</v>
      </c>
      <c r="H943" s="3" t="inlineStr">
        <is>
          <t>Added fraction 0.01913950866521590938884664796 of cost base adjustment 01a1212c-9d2e-765e-8221-1aed4db59a08 | 2023-06-30 | Adjustment of VGS | Cost base increase = -A$89.96</t>
        </is>
      </c>
      <c r="I943" t="inlineStr">
        <is>
          <t>cost base adjustment allocation</t>
        </is>
      </c>
      <c r="J943" s="5" t="inlineStr">
        <is>
          <t>01a1212c-9ef0-72d4-aa2d-041bc93378fd</t>
        </is>
      </c>
    </row>
    <row r="944">
      <c r="A944" s="5" t="inlineStr">
        <is>
          <t>01a1212c-9efc-7608-a1bf-12facd43b7d3</t>
        </is>
      </c>
      <c r="D944" s="5" t="inlineStr">
        <is>
          <t>01a1212c-4b57-70cf-80fd-c2192cb3bf81</t>
        </is>
      </c>
      <c r="E944" s="4" t="n">
        <v>46304.62424588859</v>
      </c>
      <c r="F944" s="4" t="n">
        <v>46304.62424588867</v>
      </c>
      <c r="G944" t="b">
        <v>1</v>
      </c>
      <c r="H944" s="3" t="inlineStr">
        <is>
          <t>Added fraction 0.01913950866521590938884664796 of cost base adjustment 01a1212c-9d2e-765e-8221-1aed4db59a08 | 2023-06-30 | Adjustment of VGS | Cost base increase = -A$89.96</t>
        </is>
      </c>
      <c r="I944" t="inlineStr">
        <is>
          <t>cost base adjustment allocation</t>
        </is>
      </c>
      <c r="J944" s="5" t="inlineStr">
        <is>
          <t>01a1212c-9ef7-749f-93ee-3f4af49f9d73</t>
        </is>
      </c>
    </row>
    <row r="945">
      <c r="A945" s="5" t="inlineStr">
        <is>
          <t>01a1212c-9f02-775e-8c4a-3f9ddf3df74a</t>
        </is>
      </c>
      <c r="D945" s="5" t="inlineStr">
        <is>
          <t>01a1212c-4b57-70cf-80fd-c2192cb3bf81</t>
        </is>
      </c>
      <c r="E945" s="4" t="n">
        <v>46304.62424595568</v>
      </c>
      <c r="F945" s="4" t="n">
        <v>46304.62424595575</v>
      </c>
      <c r="G945" t="b">
        <v>1</v>
      </c>
      <c r="H945" s="3" t="inlineStr">
        <is>
          <t>Added fraction 0.01982306254611647758130545682 of cost base adjustment 01a1212c-9d2e-765e-8221-1aed4db59a08 | 2023-06-30 | Adjustment of VGS | Cost base increase = -A$89.96</t>
        </is>
      </c>
      <c r="I945" t="inlineStr">
        <is>
          <t>cost base adjustment allocation</t>
        </is>
      </c>
      <c r="J945" s="5" t="inlineStr">
        <is>
          <t>01a1212c-9efd-7709-b609-ead0bed07d08</t>
        </is>
      </c>
    </row>
    <row r="946">
      <c r="A946" s="5" t="inlineStr">
        <is>
          <t>01a1212c-9f08-7354-bd62-fa8870280a9c</t>
        </is>
      </c>
      <c r="D946" s="5" t="inlineStr">
        <is>
          <t>01a1212c-4b57-70cf-80fd-c2192cb3bf81</t>
        </is>
      </c>
      <c r="E946" s="4" t="n">
        <v>46304.62424602458</v>
      </c>
      <c r="F946" s="4" t="n">
        <v>46304.62424602468</v>
      </c>
      <c r="G946" t="b">
        <v>1</v>
      </c>
      <c r="H946" s="3" t="inlineStr">
        <is>
          <t>Added fraction 0.02050661642701704577376426568 of cost base adjustment 01a1212c-9d2e-765e-8221-1aed4db59a08 | 2023-06-30 | Adjustment of VGS | Cost base increase = -A$89.96</t>
        </is>
      </c>
      <c r="I946" t="inlineStr">
        <is>
          <t>cost base adjustment allocation</t>
        </is>
      </c>
      <c r="J946" s="5" t="inlineStr">
        <is>
          <t>01a1212c-9f03-7240-b4ad-b5c72665019b</t>
        </is>
      </c>
    </row>
    <row r="947">
      <c r="A947" s="5" t="inlineStr">
        <is>
          <t>01a1212c-9f0e-732f-aa73-8b49a3175573</t>
        </is>
      </c>
      <c r="D947" s="5" t="inlineStr">
        <is>
          <t>01a1212c-4b57-70cf-80fd-c2192cb3bf81</t>
        </is>
      </c>
      <c r="E947" s="4" t="n">
        <v>46304.62424609263</v>
      </c>
      <c r="F947" s="4" t="n">
        <v>46304.62424609271</v>
      </c>
      <c r="G947" t="b">
        <v>1</v>
      </c>
      <c r="H947" s="3" t="inlineStr">
        <is>
          <t>Added fraction 0.02050661642701704577376426568 of cost base adjustment 01a1212c-9d2e-765e-8221-1aed4db59a08 | 2023-06-30 | Adjustment of VGS | Cost base increase = -A$89.96</t>
        </is>
      </c>
      <c r="I947" t="inlineStr">
        <is>
          <t>cost base adjustment allocation</t>
        </is>
      </c>
      <c r="J947" s="5" t="inlineStr">
        <is>
          <t>01a1212c-9f09-75d8-93ec-ff7536ded48b</t>
        </is>
      </c>
    </row>
    <row r="948">
      <c r="A948" s="5" t="inlineStr">
        <is>
          <t>01a1212c-9f13-72ab-a81a-724718ecca85</t>
        </is>
      </c>
      <c r="D948" s="5" t="inlineStr">
        <is>
          <t>01a1212c-4b57-70cf-80fd-c2192cb3bf81</t>
        </is>
      </c>
      <c r="E948" s="4" t="n">
        <v>46304.62424615739</v>
      </c>
      <c r="F948" s="4" t="n">
        <v>46304.62424615747</v>
      </c>
      <c r="G948" t="b">
        <v>1</v>
      </c>
      <c r="H948" s="3" t="inlineStr">
        <is>
          <t>Added fraction 0.02119017030791761396622307453 of cost base adjustment 01a1212c-9d2e-765e-8221-1aed4db59a08 | 2023-06-30 | Adjustment of VGS | Cost base increase = -A$89.96</t>
        </is>
      </c>
      <c r="I948" t="inlineStr">
        <is>
          <t>cost base adjustment allocation</t>
        </is>
      </c>
      <c r="J948" s="5" t="inlineStr">
        <is>
          <t>01a1212c-9f0f-7388-ae8f-f10b9827aa6d</t>
        </is>
      </c>
    </row>
    <row r="949">
      <c r="A949" s="5" t="inlineStr">
        <is>
          <t>01a1212c-9f19-729b-aafe-424da9040273</t>
        </is>
      </c>
      <c r="D949" s="5" t="inlineStr">
        <is>
          <t>01a1212c-4b57-70cf-80fd-c2192cb3bf81</t>
        </is>
      </c>
      <c r="E949" s="4" t="n">
        <v>46304.62424622706</v>
      </c>
      <c r="F949" s="4" t="n">
        <v>46304.62424622714</v>
      </c>
      <c r="G949" t="b">
        <v>1</v>
      </c>
      <c r="H949" s="3" t="inlineStr">
        <is>
          <t>Added fraction 0.02187372418881818215868188339 of cost base adjustment 01a1212c-9d2e-765e-8221-1aed4db59a08 | 2023-06-30 | Adjustment of VGS | Cost base increase = -A$89.96</t>
        </is>
      </c>
      <c r="I949" t="inlineStr">
        <is>
          <t>cost base adjustment allocation</t>
        </is>
      </c>
      <c r="J949" s="5" t="inlineStr">
        <is>
          <t>01a1212c-9f14-768c-a971-b928683baec3</t>
        </is>
      </c>
    </row>
    <row r="950">
      <c r="A950" s="5" t="inlineStr">
        <is>
          <t>01a1212c-9f20-73ac-9d79-202a53f64c3a</t>
        </is>
      </c>
      <c r="D950" s="5" t="inlineStr">
        <is>
          <t>01a1212c-4b57-70cf-80fd-c2192cb3bf81</t>
        </is>
      </c>
      <c r="E950" s="4" t="n">
        <v>46304.624246302</v>
      </c>
      <c r="F950" s="4" t="n">
        <v>46304.6242463021</v>
      </c>
      <c r="G950" t="b">
        <v>1</v>
      </c>
      <c r="H950" s="3" t="inlineStr">
        <is>
          <t>residual of cost base adjustment 01a1212c-9d2e-765e-8221-1aed4db59a08 | 2023-06-30 | Adjustment of VGS | Cost base increase = -A$89.96</t>
        </is>
      </c>
      <c r="I950" t="inlineStr">
        <is>
          <t>cost base adjustment allocation</t>
        </is>
      </c>
      <c r="J950" s="5" t="inlineStr">
        <is>
          <t>01a1212c-9f1a-76e0-8d13-72034e64fbb4</t>
        </is>
      </c>
    </row>
    <row r="951">
      <c r="A951" s="5" t="inlineStr">
        <is>
          <t>01a1212c-a052-728f-8374-22033a964ac8</t>
        </is>
      </c>
      <c r="D951" s="5" t="inlineStr">
        <is>
          <t>01a1212c-4b57-70cf-80fd-c2192cb3bf81</t>
        </is>
      </c>
      <c r="E951" s="4" t="n">
        <v>46304.62424984038</v>
      </c>
      <c r="F951" s="4" t="n">
        <v>46304.62424984048</v>
      </c>
      <c r="G951" t="b">
        <v>1</v>
      </c>
      <c r="H951" s="3" t="inlineStr">
        <is>
          <t>Added fraction 0.0006530663017788282124642368454 of cost base adjustment 01a1212c-a047-707f-a63b-12a2e2f2c961 | 2024-06-30 | Adjustment of A200 | Cost base increase = A$117.92</t>
        </is>
      </c>
      <c r="I951" t="inlineStr">
        <is>
          <t>cost base adjustment allocation</t>
        </is>
      </c>
      <c r="J951" s="5" t="inlineStr">
        <is>
          <t>01a1212c-a04c-73b8-86cd-3ec1f132f9d6</t>
        </is>
      </c>
    </row>
    <row r="952">
      <c r="A952" s="5" t="inlineStr">
        <is>
          <t>01a1212c-a058-746f-8d5f-95f6769b7bb1</t>
        </is>
      </c>
      <c r="D952" s="5" t="inlineStr">
        <is>
          <t>01a1212c-4b57-70cf-80fd-c2192cb3bf81</t>
        </is>
      </c>
      <c r="E952" s="4" t="n">
        <v>46304.62424991113</v>
      </c>
      <c r="F952" s="4" t="n">
        <v>46304.62424991123</v>
      </c>
      <c r="G952" t="b">
        <v>1</v>
      </c>
      <c r="H952" s="3" t="inlineStr">
        <is>
          <t>Added fraction 0.001523821370817265829083219306 of cost base adjustment 01a1212c-a047-707f-a63b-12a2e2f2c961 | 2024-06-30 | Adjustment of A200 | Cost base increase = A$117.92</t>
        </is>
      </c>
      <c r="I952" t="inlineStr">
        <is>
          <t>cost base adjustment allocation</t>
        </is>
      </c>
      <c r="J952" s="5" t="inlineStr">
        <is>
          <t>01a1212c-a052-728f-8374-2204747c9a93</t>
        </is>
      </c>
    </row>
    <row r="953">
      <c r="A953" s="5" t="inlineStr">
        <is>
          <t>01a1212c-a05e-70a1-9c1e-64e6c7b48ba0</t>
        </is>
      </c>
      <c r="D953" s="5" t="inlineStr">
        <is>
          <t>01a1212c-4b57-70cf-80fd-c2192cb3bf81</t>
        </is>
      </c>
      <c r="E953" s="4" t="n">
        <v>46304.62424998256</v>
      </c>
      <c r="F953" s="4" t="n">
        <v>46304.62424998268</v>
      </c>
      <c r="G953" t="b">
        <v>1</v>
      </c>
      <c r="H953" s="3" t="inlineStr">
        <is>
          <t>Added fraction 0.001710411742754073889787286976 of cost base adjustment 01a1212c-a047-707f-a63b-12a2e2f2c961 | 2024-06-30 | Adjustment of A200 | Cost base increase = A$117.92</t>
        </is>
      </c>
      <c r="I953" t="inlineStr">
        <is>
          <t>cost base adjustment allocation</t>
        </is>
      </c>
      <c r="J953" s="5" t="inlineStr">
        <is>
          <t>01a1212c-a058-746f-8d5f-95f7c22279e1</t>
        </is>
      </c>
    </row>
    <row r="954">
      <c r="A954" s="5" t="inlineStr">
        <is>
          <t>01a1212c-a064-74a5-886c-3eb12b24c82c</t>
        </is>
      </c>
      <c r="D954" s="5" t="inlineStr">
        <is>
          <t>01a1212c-4b57-70cf-80fd-c2192cb3bf81</t>
        </is>
      </c>
      <c r="E954" s="4" t="n">
        <v>46304.62425005813</v>
      </c>
      <c r="F954" s="4" t="n">
        <v>46304.62425005822</v>
      </c>
      <c r="G954" t="b">
        <v>1</v>
      </c>
      <c r="H954" s="3" t="inlineStr">
        <is>
          <t>Added fraction 0.004000031098395322801343450678 of cost base adjustment 01a1212c-a047-707f-a63b-12a2e2f2c961 | 2024-06-30 | Adjustment of A200 | Cost base increase = A$117.92</t>
        </is>
      </c>
      <c r="I954" t="inlineStr">
        <is>
          <t>cost base adjustment allocation</t>
        </is>
      </c>
      <c r="J954" s="5" t="inlineStr">
        <is>
          <t>01a1212c-a05f-7406-a479-fae9706fab3d</t>
        </is>
      </c>
    </row>
    <row r="955">
      <c r="A955" s="5" t="inlineStr">
        <is>
          <t>01a1212c-a06a-711b-a4f2-5a8772f64578</t>
        </is>
      </c>
      <c r="D955" s="5" t="inlineStr">
        <is>
          <t>01a1212c-4b57-70cf-80fd-c2192cb3bf81</t>
        </is>
      </c>
      <c r="E955" s="4" t="n">
        <v>46304.62425012775</v>
      </c>
      <c r="F955" s="4" t="n">
        <v>46304.62425012783</v>
      </c>
      <c r="G955" t="b">
        <v>1</v>
      </c>
      <c r="H955" s="3" t="inlineStr">
        <is>
          <t>Added fraction 0.005088474934693369822117178754 of cost base adjustment 01a1212c-a047-707f-a63b-12a2e2f2c961 | 2024-06-30 | Adjustment of A200 | Cost base increase = A$117.92</t>
        </is>
      </c>
      <c r="I955" t="inlineStr">
        <is>
          <t>cost base adjustment allocation</t>
        </is>
      </c>
      <c r="J955" s="5" t="inlineStr">
        <is>
          <t>01a1212c-a065-7077-85db-9d890efcb828</t>
        </is>
      </c>
    </row>
    <row r="956">
      <c r="A956" s="5" t="inlineStr">
        <is>
          <t>01a1212c-a070-76c6-8eef-4c0cba577001</t>
        </is>
      </c>
      <c r="D956" s="5" t="inlineStr">
        <is>
          <t>01a1212c-4b57-70cf-80fd-c2192cb3bf81</t>
        </is>
      </c>
      <c r="E956" s="4" t="n">
        <v>46304.62425019517</v>
      </c>
      <c r="F956" s="4" t="n">
        <v>46304.62425019525</v>
      </c>
      <c r="G956" t="b">
        <v>1</v>
      </c>
      <c r="H956" s="3" t="inlineStr">
        <is>
          <t>Added fraction 0.006997138947630302276402537629 of cost base adjustment 01a1212c-a047-707f-a63b-12a2e2f2c961 | 2024-06-30 | Adjustment of A200 | Cost base increase = A$117.92</t>
        </is>
      </c>
      <c r="I956" t="inlineStr">
        <is>
          <t>cost base adjustment allocation</t>
        </is>
      </c>
      <c r="J956" s="5" t="inlineStr">
        <is>
          <t>01a1212c-a06b-77f7-9798-9eb3e59ee05d</t>
        </is>
      </c>
    </row>
    <row r="957">
      <c r="A957" s="5" t="inlineStr">
        <is>
          <t>01a1212c-a078-7281-b899-09ebe13a584d</t>
        </is>
      </c>
      <c r="D957" s="5" t="inlineStr">
        <is>
          <t>01a1212c-4b57-70cf-80fd-c2192cb3bf81</t>
        </is>
      </c>
      <c r="E957" s="4" t="n">
        <v>46304.62425028559</v>
      </c>
      <c r="F957" s="4" t="n">
        <v>46304.62425028572</v>
      </c>
      <c r="G957" t="b">
        <v>1</v>
      </c>
      <c r="H957" s="3" t="inlineStr">
        <is>
          <t>Added fraction 0.007113757930090807314342579923 of cost base adjustment 01a1212c-a047-707f-a63b-12a2e2f2c961 | 2024-06-30 | Adjustment of A200 | Cost base increase = A$117.92</t>
        </is>
      </c>
      <c r="I957" t="inlineStr">
        <is>
          <t>cost base adjustment allocation</t>
        </is>
      </c>
      <c r="J957" s="5" t="inlineStr">
        <is>
          <t>01a1212c-a071-711e-bcb6-baaffee4e01a</t>
        </is>
      </c>
    </row>
    <row r="958">
      <c r="A958" s="5" t="inlineStr">
        <is>
          <t>01a1212c-a07e-729d-b016-4099f9d0d0ab</t>
        </is>
      </c>
      <c r="D958" s="5" t="inlineStr">
        <is>
          <t>01a1212c-4b57-70cf-80fd-c2192cb3bf81</t>
        </is>
      </c>
      <c r="E958" s="4" t="n">
        <v>46304.62425035617</v>
      </c>
      <c r="F958" s="4" t="n">
        <v>46304.62425035625</v>
      </c>
      <c r="G958" t="b">
        <v>1</v>
      </c>
      <c r="H958" s="3" t="inlineStr">
        <is>
          <t>Added fraction 0.007113757930090807314342579923 of cost base adjustment 01a1212c-a047-707f-a63b-12a2e2f2c961 | 2024-06-30 | Adjustment of A200 | Cost base increase = A$117.92</t>
        </is>
      </c>
      <c r="I958" t="inlineStr">
        <is>
          <t>cost base adjustment allocation</t>
        </is>
      </c>
      <c r="J958" s="5" t="inlineStr">
        <is>
          <t>01a1212c-a079-74a1-96cd-fa6ac96a69b4</t>
        </is>
      </c>
    </row>
    <row r="959">
      <c r="A959" s="5" t="inlineStr">
        <is>
          <t>01a1212c-a085-725a-9e7e-b0cd537c6866</t>
        </is>
      </c>
      <c r="D959" s="5" t="inlineStr">
        <is>
          <t>01a1212c-4b57-70cf-80fd-c2192cb3bf81</t>
        </is>
      </c>
      <c r="E959" s="4" t="n">
        <v>46304.6242504382</v>
      </c>
      <c r="F959" s="4" t="n">
        <v>46304.62425043829</v>
      </c>
      <c r="G959" t="b">
        <v>1</v>
      </c>
      <c r="H959" s="3" t="inlineStr">
        <is>
          <t>Added fraction 0.007113757930090807314342579923 of cost base adjustment 01a1212c-a047-707f-a63b-12a2e2f2c961 | 2024-06-30 | Adjustment of A200 | Cost base increase = A$117.92</t>
        </is>
      </c>
      <c r="I959" t="inlineStr">
        <is>
          <t>cost base adjustment allocation</t>
        </is>
      </c>
      <c r="J959" s="5" t="inlineStr">
        <is>
          <t>01a1212c-a07f-7079-83b4-92aefe438be4</t>
        </is>
      </c>
    </row>
    <row r="960">
      <c r="A960" s="5" t="inlineStr">
        <is>
          <t>01a1212c-a08b-7454-bf8e-1890e7369728</t>
        </is>
      </c>
      <c r="D960" s="5" t="inlineStr">
        <is>
          <t>01a1212c-4b57-70cf-80fd-c2192cb3bf81</t>
        </is>
      </c>
      <c r="E960" s="4" t="n">
        <v>46304.62425050724</v>
      </c>
      <c r="F960" s="4" t="n">
        <v>46304.62425050732</v>
      </c>
      <c r="G960" t="b">
        <v>1</v>
      </c>
      <c r="H960" s="3" t="inlineStr">
        <is>
          <t>Added fraction 0.007319784799104366214703321309 of cost base adjustment 01a1212c-a047-707f-a63b-12a2e2f2c961 | 2024-06-30 | Adjustment of A200 | Cost base increase = A$117.92</t>
        </is>
      </c>
      <c r="I960" t="inlineStr">
        <is>
          <t>cost base adjustment allocation</t>
        </is>
      </c>
      <c r="J960" s="5" t="inlineStr">
        <is>
          <t>01a1212c-a086-7724-b5b2-ffa725069ac4</t>
        </is>
      </c>
    </row>
    <row r="961">
      <c r="A961" s="5" t="inlineStr">
        <is>
          <t>01a1212c-a091-7486-a521-0291642ca836</t>
        </is>
      </c>
      <c r="D961" s="5" t="inlineStr">
        <is>
          <t>01a1212c-4b57-70cf-80fd-c2192cb3bf81</t>
        </is>
      </c>
      <c r="E961" s="4" t="n">
        <v>46304.62425057533</v>
      </c>
      <c r="F961" s="4" t="n">
        <v>46304.62425057541</v>
      </c>
      <c r="G961" t="b">
        <v>1</v>
      </c>
      <c r="H961" s="3" t="inlineStr">
        <is>
          <t>Added fraction 0.008536509516108968777211095907 of cost base adjustment 01a1212c-a047-707f-a63b-12a2e2f2c961 | 2024-06-30 | Adjustment of A200 | Cost base increase = A$117.92</t>
        </is>
      </c>
      <c r="I961" t="inlineStr">
        <is>
          <t>cost base adjustment allocation</t>
        </is>
      </c>
      <c r="J961" s="5" t="inlineStr">
        <is>
          <t>01a1212c-a08c-776d-8e3d-2e7bc70bae2b</t>
        </is>
      </c>
    </row>
    <row r="962">
      <c r="A962" s="5" t="inlineStr">
        <is>
          <t>01a1212c-a097-733f-a5ef-587b6caf8398</t>
        </is>
      </c>
      <c r="D962" s="5" t="inlineStr">
        <is>
          <t>01a1212c-4b57-70cf-80fd-c2192cb3bf81</t>
        </is>
      </c>
      <c r="E962" s="4" t="n">
        <v>46304.62425064688</v>
      </c>
      <c r="F962" s="4" t="n">
        <v>46304.62425064696</v>
      </c>
      <c r="G962" t="b">
        <v>1</v>
      </c>
      <c r="H962" s="3" t="inlineStr">
        <is>
          <t>Added fraction 0.008536509516108968777211095907 of cost base adjustment 01a1212c-a047-707f-a63b-12a2e2f2c961 | 2024-06-30 | Adjustment of A200 | Cost base increase = A$117.92</t>
        </is>
      </c>
      <c r="I962" t="inlineStr">
        <is>
          <t>cost base adjustment allocation</t>
        </is>
      </c>
      <c r="J962" s="5" t="inlineStr">
        <is>
          <t>01a1212c-a092-709e-9512-e2768b7a081a</t>
        </is>
      </c>
    </row>
    <row r="963">
      <c r="A963" s="5" t="inlineStr">
        <is>
          <t>01a1212c-a09d-76fd-bddb-0c711793b596</t>
        </is>
      </c>
      <c r="D963" s="5" t="inlineStr">
        <is>
          <t>01a1212c-4b57-70cf-80fd-c2192cb3bf81</t>
        </is>
      </c>
      <c r="E963" s="4" t="n">
        <v>46304.62425071414</v>
      </c>
      <c r="F963" s="4" t="n">
        <v>46304.62425071422</v>
      </c>
      <c r="G963" t="b">
        <v>1</v>
      </c>
      <c r="H963" s="3" t="inlineStr">
        <is>
          <t>Added fraction 0.008536509516108968777211095907 of cost base adjustment 01a1212c-a047-707f-a63b-12a2e2f2c961 | 2024-06-30 | Adjustment of A200 | Cost base increase = A$117.92</t>
        </is>
      </c>
      <c r="I963" t="inlineStr">
        <is>
          <t>cost base adjustment allocation</t>
        </is>
      </c>
      <c r="J963" s="5" t="inlineStr">
        <is>
          <t>01a1212c-a098-7655-9794-d8aed1bcb0c7</t>
        </is>
      </c>
    </row>
    <row r="964">
      <c r="A964" s="5" t="inlineStr">
        <is>
          <t>01a1212c-a0a3-7227-b770-77b2018f80e6</t>
        </is>
      </c>
      <c r="D964" s="5" t="inlineStr">
        <is>
          <t>01a1212c-4b57-70cf-80fd-c2192cb3bf81</t>
        </is>
      </c>
      <c r="E964" s="4" t="n">
        <v>46304.62425078803</v>
      </c>
      <c r="F964" s="4" t="n">
        <v>46304.62425078811</v>
      </c>
      <c r="G964" t="b">
        <v>1</v>
      </c>
      <c r="H964" s="3" t="inlineStr">
        <is>
          <t>Added fraction 0.009795994526682423186963552681 of cost base adjustment 01a1212c-a047-707f-a63b-12a2e2f2c961 | 2024-06-30 | Adjustment of A200 | Cost base increase = A$117.92</t>
        </is>
      </c>
      <c r="I964" t="inlineStr">
        <is>
          <t>cost base adjustment allocation</t>
        </is>
      </c>
      <c r="J964" s="5" t="inlineStr">
        <is>
          <t>01a1212c-a09e-70fb-b5e8-3c47b717cefb</t>
        </is>
      </c>
    </row>
    <row r="965">
      <c r="A965" s="5" t="inlineStr">
        <is>
          <t>01a1212c-a0a9-729c-b44d-05577ba21ffb</t>
        </is>
      </c>
      <c r="D965" s="5" t="inlineStr">
        <is>
          <t>01a1212c-4b57-70cf-80fd-c2192cb3bf81</t>
        </is>
      </c>
      <c r="E965" s="4" t="n">
        <v>46304.6242508533</v>
      </c>
      <c r="F965" s="4" t="n">
        <v>46304.62425085337</v>
      </c>
      <c r="G965" t="b">
        <v>1</v>
      </c>
      <c r="H965" s="3" t="inlineStr">
        <is>
          <t>Added fraction 0.009823205622589874362482895883 of cost base adjustment 01a1212c-a047-707f-a63b-12a2e2f2c961 | 2024-06-30 | Adjustment of A200 | Cost base increase = A$117.92</t>
        </is>
      </c>
      <c r="I965" t="inlineStr">
        <is>
          <t>cost base adjustment allocation</t>
        </is>
      </c>
      <c r="J965" s="5" t="inlineStr">
        <is>
          <t>01a1212c-a0a4-740c-9e5a-483464dff0ba</t>
        </is>
      </c>
    </row>
    <row r="966">
      <c r="A966" s="5" t="inlineStr">
        <is>
          <t>01a1212c-a0af-772d-8d88-2912545775bf</t>
        </is>
      </c>
      <c r="D966" s="5" t="inlineStr">
        <is>
          <t>01a1212c-4b57-70cf-80fd-c2192cb3bf81</t>
        </is>
      </c>
      <c r="E966" s="4" t="n">
        <v>46304.62425091998</v>
      </c>
      <c r="F966" s="4" t="n">
        <v>46304.62425092006</v>
      </c>
      <c r="G966" t="b">
        <v>1</v>
      </c>
      <c r="H966" s="3" t="inlineStr">
        <is>
          <t>Added fraction 0.009959261102127130240079611892 of cost base adjustment 01a1212c-a047-707f-a63b-12a2e2f2c961 | 2024-06-30 | Adjustment of A200 | Cost base increase = A$117.92</t>
        </is>
      </c>
      <c r="I966" t="inlineStr">
        <is>
          <t>cost base adjustment allocation</t>
        </is>
      </c>
      <c r="J966" s="5" t="inlineStr">
        <is>
          <t>01a1212c-a0aa-7076-9c4b-9a847959832e</t>
        </is>
      </c>
    </row>
    <row r="967">
      <c r="A967" s="5" t="inlineStr">
        <is>
          <t>01a1212c-a0b5-778d-8931-d623728e5d12</t>
        </is>
      </c>
      <c r="D967" s="5" t="inlineStr">
        <is>
          <t>01a1212c-4b57-70cf-80fd-c2192cb3bf81</t>
        </is>
      </c>
      <c r="E967" s="4" t="n">
        <v>46304.62425099263</v>
      </c>
      <c r="F967" s="4" t="n">
        <v>46304.62425099271</v>
      </c>
      <c r="G967" t="b">
        <v>1</v>
      </c>
      <c r="H967" s="3" t="inlineStr">
        <is>
          <t>Added fraction 0.009959261102127130240079611892 of cost base adjustment 01a1212c-a047-707f-a63b-12a2e2f2c961 | 2024-06-30 | Adjustment of A200 | Cost base increase = A$117.92</t>
        </is>
      </c>
      <c r="I967" t="inlineStr">
        <is>
          <t>cost base adjustment allocation</t>
        </is>
      </c>
      <c r="J967" s="5" t="inlineStr">
        <is>
          <t>01a1212c-a0b0-7080-a43b-27490f868090</t>
        </is>
      </c>
    </row>
    <row r="968">
      <c r="A968" s="5" t="inlineStr">
        <is>
          <t>01a1212c-a0bb-719a-a00c-4aa88d6b3b33</t>
        </is>
      </c>
      <c r="D968" s="5" t="inlineStr">
        <is>
          <t>01a1212c-4b57-70cf-80fd-c2192cb3bf81</t>
        </is>
      </c>
      <c r="E968" s="4" t="n">
        <v>46304.62425106245</v>
      </c>
      <c r="F968" s="4" t="n">
        <v>46304.62425106254</v>
      </c>
      <c r="G968" t="b">
        <v>1</v>
      </c>
      <c r="H968" s="3" t="inlineStr">
        <is>
          <t>Added fraction 0.01138201268814529170294812788 of cost base adjustment 01a1212c-a047-707f-a63b-12a2e2f2c961 | 2024-06-30 | Adjustment of A200 | Cost base increase = A$117.92</t>
        </is>
      </c>
      <c r="I968" t="inlineStr">
        <is>
          <t>cost base adjustment allocation</t>
        </is>
      </c>
      <c r="J968" s="5" t="inlineStr">
        <is>
          <t>01a1212c-a0b6-7135-b978-29873ce637b9</t>
        </is>
      </c>
    </row>
    <row r="969">
      <c r="A969" s="5" t="inlineStr">
        <is>
          <t>01a1212c-a0c2-7275-b0de-fd101db5a00b</t>
        </is>
      </c>
      <c r="D969" s="5" t="inlineStr">
        <is>
          <t>01a1212c-4b57-70cf-80fd-c2192cb3bf81</t>
        </is>
      </c>
      <c r="E969" s="4" t="n">
        <v>46304.62425114189</v>
      </c>
      <c r="F969" s="4" t="n">
        <v>46304.62425114198</v>
      </c>
      <c r="G969" t="b">
        <v>1</v>
      </c>
      <c r="H969" s="3" t="inlineStr">
        <is>
          <t>Added fraction 0.01138201268814529170294812788 of cost base adjustment 01a1212c-a047-707f-a63b-12a2e2f2c961 | 2024-06-30 | Adjustment of A200 | Cost base increase = A$117.92</t>
        </is>
      </c>
      <c r="I969" t="inlineStr">
        <is>
          <t>cost base adjustment allocation</t>
        </is>
      </c>
      <c r="J969" s="5" t="inlineStr">
        <is>
          <t>01a1212c-a0bc-7327-b558-da92f6fe980b</t>
        </is>
      </c>
    </row>
    <row r="970">
      <c r="A970" s="5" t="inlineStr">
        <is>
          <t>01a1212c-a0c8-75ec-882b-de4a4a572a17</t>
        </is>
      </c>
      <c r="D970" s="5" t="inlineStr">
        <is>
          <t>01a1212c-4b57-70cf-80fd-c2192cb3bf81</t>
        </is>
      </c>
      <c r="E970" s="4" t="n">
        <v>46304.62425121131</v>
      </c>
      <c r="F970" s="4" t="n">
        <v>46304.62425121139</v>
      </c>
      <c r="G970" t="b">
        <v>1</v>
      </c>
      <c r="H970" s="3" t="inlineStr">
        <is>
          <t>Added fraction 0.01138201268814529170294812788 of cost base adjustment 01a1212c-a047-707f-a63b-12a2e2f2c961 | 2024-06-30 | Adjustment of A200 | Cost base increase = A$117.92</t>
        </is>
      </c>
      <c r="I970" t="inlineStr">
        <is>
          <t>cost base adjustment allocation</t>
        </is>
      </c>
      <c r="J970" s="5" t="inlineStr">
        <is>
          <t>01a1212c-a0c3-753f-9427-3947033e80c9</t>
        </is>
      </c>
    </row>
    <row r="971">
      <c r="A971" s="5" t="inlineStr">
        <is>
          <t>01a1212c-a0ce-7492-90df-c48deae0c212</t>
        </is>
      </c>
      <c r="D971" s="5" t="inlineStr">
        <is>
          <t>01a1212c-4b57-70cf-80fd-c2192cb3bf81</t>
        </is>
      </c>
      <c r="E971" s="4" t="n">
        <v>46304.62425127759</v>
      </c>
      <c r="F971" s="4" t="n">
        <v>46304.62425127766</v>
      </c>
      <c r="G971" t="b">
        <v>1</v>
      </c>
      <c r="H971" s="3" t="inlineStr">
        <is>
          <t>Added fraction 0.01138201268814529170294812788 of cost base adjustment 01a1212c-a047-707f-a63b-12a2e2f2c961 | 2024-06-30 | Adjustment of A200 | Cost base increase = A$117.92</t>
        </is>
      </c>
      <c r="I971" t="inlineStr">
        <is>
          <t>cost base adjustment allocation</t>
        </is>
      </c>
      <c r="J971" s="5" t="inlineStr">
        <is>
          <t>01a1212c-a0c9-762b-b08d-0a7741e78508</t>
        </is>
      </c>
    </row>
    <row r="972">
      <c r="A972" s="5" t="inlineStr">
        <is>
          <t>01a1212c-a0d5-7027-b7cf-f1cc62c10ce2</t>
        </is>
      </c>
      <c r="D972" s="5" t="inlineStr">
        <is>
          <t>01a1212c-4b57-70cf-80fd-c2192cb3bf81</t>
        </is>
      </c>
      <c r="E972" s="4" t="n">
        <v>46304.62425135534</v>
      </c>
      <c r="F972" s="4" t="n">
        <v>46304.62425135544</v>
      </c>
      <c r="G972" t="b">
        <v>1</v>
      </c>
      <c r="H972" s="3" t="inlineStr">
        <is>
          <t>Added fraction 0.01138201268814529170294812788 of cost base adjustment 01a1212c-a047-707f-a63b-12a2e2f2c961 | 2024-06-30 | Adjustment of A200 | Cost base increase = A$117.92</t>
        </is>
      </c>
      <c r="I972" t="inlineStr">
        <is>
          <t>cost base adjustment allocation</t>
        </is>
      </c>
      <c r="J972" s="5" t="inlineStr">
        <is>
          <t>01a1212c-a0ce-7492-90df-c48eb11f7167</t>
        </is>
      </c>
    </row>
    <row r="973">
      <c r="A973" s="5" t="inlineStr">
        <is>
          <t>01a1212c-a0da-748e-8546-a612d60adbcc</t>
        </is>
      </c>
      <c r="D973" s="5" t="inlineStr">
        <is>
          <t>01a1212c-4b57-70cf-80fd-c2192cb3bf81</t>
        </is>
      </c>
      <c r="E973" s="4" t="n">
        <v>46304.62425142309</v>
      </c>
      <c r="F973" s="4" t="n">
        <v>46304.62425142317</v>
      </c>
      <c r="G973" t="b">
        <v>1</v>
      </c>
      <c r="H973" s="3" t="inlineStr">
        <is>
          <t>Added fraction 0.01138201268814529170294812788 of cost base adjustment 01a1212c-a047-707f-a63b-12a2e2f2c961 | 2024-06-30 | Adjustment of A200 | Cost base increase = A$117.92</t>
        </is>
      </c>
      <c r="I973" t="inlineStr">
        <is>
          <t>cost base adjustment allocation</t>
        </is>
      </c>
      <c r="J973" s="5" t="inlineStr">
        <is>
          <t>01a1212c-a0d5-7027-b7cf-f1cda21cb018</t>
        </is>
      </c>
    </row>
    <row r="974">
      <c r="A974" s="5" t="inlineStr">
        <is>
          <t>01a1212c-a0e0-7267-b6b4-54460db68776</t>
        </is>
      </c>
      <c r="D974" s="5" t="inlineStr">
        <is>
          <t>01a1212c-4b57-70cf-80fd-c2192cb3bf81</t>
        </is>
      </c>
      <c r="E974" s="4" t="n">
        <v>46304.62425149176</v>
      </c>
      <c r="F974" s="4" t="n">
        <v>46304.62425149184</v>
      </c>
      <c r="G974" t="b">
        <v>1</v>
      </c>
      <c r="H974" s="3" t="inlineStr">
        <is>
          <t>Added fraction 0.01138201268814529170294812788 of cost base adjustment 01a1212c-a047-707f-a63b-12a2e2f2c961 | 2024-06-30 | Adjustment of A200 | Cost base increase = A$117.92</t>
        </is>
      </c>
      <c r="I974" t="inlineStr">
        <is>
          <t>cost base adjustment allocation</t>
        </is>
      </c>
      <c r="J974" s="5" t="inlineStr">
        <is>
          <t>01a1212c-a0db-7777-9d9a-53c10eb39381</t>
        </is>
      </c>
    </row>
    <row r="975">
      <c r="A975" s="5" t="inlineStr">
        <is>
          <t>01a1212c-a0e6-74e5-b4ad-e41fec1326d5</t>
        </is>
      </c>
      <c r="D975" s="5" t="inlineStr">
        <is>
          <t>01a1212c-4b57-70cf-80fd-c2192cb3bf81</t>
        </is>
      </c>
      <c r="E975" s="4" t="n">
        <v>46304.62425156199</v>
      </c>
      <c r="F975" s="4" t="n">
        <v>46304.62425156208</v>
      </c>
      <c r="G975" t="b">
        <v>1</v>
      </c>
      <c r="H975" s="3" t="inlineStr">
        <is>
          <t>Added fraction 0.01138201268814529170294812788 of cost base adjustment 01a1212c-a047-707f-a63b-12a2e2f2c961 | 2024-06-30 | Adjustment of A200 | Cost base increase = A$117.92</t>
        </is>
      </c>
      <c r="I975" t="inlineStr">
        <is>
          <t>cost base adjustment allocation</t>
        </is>
      </c>
      <c r="J975" s="5" t="inlineStr">
        <is>
          <t>01a1212c-a0e1-7043-898f-78b0d741cb9d</t>
        </is>
      </c>
    </row>
    <row r="976">
      <c r="A976" s="5" t="inlineStr">
        <is>
          <t>01a1212c-a0ec-744c-88b0-b47cee1d91a7</t>
        </is>
      </c>
      <c r="D976" s="5" t="inlineStr">
        <is>
          <t>01a1212c-4b57-70cf-80fd-c2192cb3bf81</t>
        </is>
      </c>
      <c r="E976" s="4" t="n">
        <v>46304.62425162909</v>
      </c>
      <c r="F976" s="4" t="n">
        <v>46304.62425162917</v>
      </c>
      <c r="G976" t="b">
        <v>1</v>
      </c>
      <c r="H976" s="3" t="inlineStr">
        <is>
          <t>Added fraction 0.01170077124020400547331757681 of cost base adjustment 01a1212c-a047-707f-a63b-12a2e2f2c961 | 2024-06-30 | Adjustment of A200 | Cost base increase = A$117.92</t>
        </is>
      </c>
      <c r="I976" t="inlineStr">
        <is>
          <t>cost base adjustment allocation</t>
        </is>
      </c>
      <c r="J976" s="5" t="inlineStr">
        <is>
          <t>01a1212c-a0e7-77b2-b5e9-2ecbba184ffc</t>
        </is>
      </c>
    </row>
    <row r="977">
      <c r="A977" s="5" t="inlineStr">
        <is>
          <t>01a1212c-a0f3-7415-b675-79521be99a7b</t>
        </is>
      </c>
      <c r="D977" s="5" t="inlineStr">
        <is>
          <t>01a1212c-4b57-70cf-80fd-c2192cb3bf81</t>
        </is>
      </c>
      <c r="E977" s="4" t="n">
        <v>46304.62425170472</v>
      </c>
      <c r="F977" s="4" t="n">
        <v>46304.62425170482</v>
      </c>
      <c r="G977" t="b">
        <v>1</v>
      </c>
      <c r="H977" s="3" t="inlineStr">
        <is>
          <t>Added fraction 0.01222944396069162831197910188 of cost base adjustment 01a1212c-a047-707f-a63b-12a2e2f2c961 | 2024-06-30 | Adjustment of A200 | Cost base increase = A$117.92</t>
        </is>
      </c>
      <c r="I977" t="inlineStr">
        <is>
          <t>cost base adjustment allocation</t>
        </is>
      </c>
      <c r="J977" s="5" t="inlineStr">
        <is>
          <t>01a1212c-a0ed-7794-9685-2b4711c2c289</t>
        </is>
      </c>
    </row>
    <row r="978">
      <c r="A978" s="5" t="inlineStr">
        <is>
          <t>01a1212c-a0f9-70b6-bcdb-0bbb1f601ba9</t>
        </is>
      </c>
      <c r="D978" s="5" t="inlineStr">
        <is>
          <t>01a1212c-4b57-70cf-80fd-c2192cb3bf81</t>
        </is>
      </c>
      <c r="E978" s="4" t="n">
        <v>46304.62425177723</v>
      </c>
      <c r="F978" s="4" t="n">
        <v>46304.62425177731</v>
      </c>
      <c r="G978" t="b">
        <v>1</v>
      </c>
      <c r="H978" s="3" t="inlineStr">
        <is>
          <t>Added fraction 0.01280476427416345316581664386 of cost base adjustment 01a1212c-a047-707f-a63b-12a2e2f2c961 | 2024-06-30 | Adjustment of A200 | Cost base increase = A$117.92</t>
        </is>
      </c>
      <c r="I978" t="inlineStr">
        <is>
          <t>cost base adjustment allocation</t>
        </is>
      </c>
      <c r="J978" s="5" t="inlineStr">
        <is>
          <t>01a1212c-a0f3-7415-b675-7953c7532350</t>
        </is>
      </c>
    </row>
    <row r="979">
      <c r="A979" s="5" t="inlineStr">
        <is>
          <t>01a1212c-a0ff-756a-8d0b-32b6fcea14bb</t>
        </is>
      </c>
      <c r="D979" s="5" t="inlineStr">
        <is>
          <t>01a1212c-4b57-70cf-80fd-c2192cb3bf81</t>
        </is>
      </c>
      <c r="E979" s="4" t="n">
        <v>46304.62425185202</v>
      </c>
      <c r="F979" s="4" t="n">
        <v>46304.6242518521</v>
      </c>
      <c r="G979" t="b">
        <v>1</v>
      </c>
      <c r="H979" s="3" t="inlineStr">
        <is>
          <t>Added fraction 0.01280476427416345316581664386 of cost base adjustment 01a1212c-a047-707f-a63b-12a2e2f2c961 | 2024-06-30 | Adjustment of A200 | Cost base increase = A$117.92</t>
        </is>
      </c>
      <c r="I979" t="inlineStr">
        <is>
          <t>cost base adjustment allocation</t>
        </is>
      </c>
      <c r="J979" s="5" t="inlineStr">
        <is>
          <t>01a1212c-a0fa-734e-8bcb-10bf2ca8b32c</t>
        </is>
      </c>
    </row>
    <row r="980">
      <c r="A980" s="5" t="inlineStr">
        <is>
          <t>01a1212c-a106-70ad-9ff4-ff651ad1e774</t>
        </is>
      </c>
      <c r="D980" s="5" t="inlineStr">
        <is>
          <t>01a1212c-4b57-70cf-80fd-c2192cb3bf81</t>
        </is>
      </c>
      <c r="E980" s="4" t="n">
        <v>46304.62425192443</v>
      </c>
      <c r="F980" s="4" t="n">
        <v>46304.62425192451</v>
      </c>
      <c r="G980" t="b">
        <v>1</v>
      </c>
      <c r="H980" s="3" t="inlineStr">
        <is>
          <t>Added fraction 0.01280476427416345316581664386 of cost base adjustment 01a1212c-a047-707f-a63b-12a2e2f2c961 | 2024-06-30 | Adjustment of A200 | Cost base increase = A$117.92</t>
        </is>
      </c>
      <c r="I980" t="inlineStr">
        <is>
          <t>cost base adjustment allocation</t>
        </is>
      </c>
      <c r="J980" s="5" t="inlineStr">
        <is>
          <t>01a1212c-a100-77e8-b1a8-b5817fa250ea</t>
        </is>
      </c>
    </row>
    <row r="981">
      <c r="A981" s="5" t="inlineStr">
        <is>
          <t>01a1212c-a10b-7792-84bb-e8700816d303</t>
        </is>
      </c>
      <c r="D981" s="5" t="inlineStr">
        <is>
          <t>01a1212c-4b57-70cf-80fd-c2192cb3bf81</t>
        </is>
      </c>
      <c r="E981" s="4" t="n">
        <v>46304.6242519915</v>
      </c>
      <c r="F981" s="4" t="n">
        <v>46304.62425199158</v>
      </c>
      <c r="G981" t="b">
        <v>1</v>
      </c>
      <c r="H981" s="3" t="inlineStr">
        <is>
          <t>Added fraction 0.01280476427416345316581664386 of cost base adjustment 01a1212c-a047-707f-a63b-12a2e2f2c961 | 2024-06-30 | Adjustment of A200 | Cost base increase = A$117.92</t>
        </is>
      </c>
      <c r="I981" t="inlineStr">
        <is>
          <t>cost base adjustment allocation</t>
        </is>
      </c>
      <c r="J981" s="5" t="inlineStr">
        <is>
          <t>01a1212c-a106-70ad-9ff4-ff6661ecccb4</t>
        </is>
      </c>
    </row>
    <row r="982">
      <c r="A982" s="5" t="inlineStr">
        <is>
          <t>01a1212c-a112-7280-a1ba-c9d8290457cd</t>
        </is>
      </c>
      <c r="D982" s="5" t="inlineStr">
        <is>
          <t>01a1212c-4b57-70cf-80fd-c2192cb3bf81</t>
        </is>
      </c>
      <c r="E982" s="4" t="n">
        <v>46304.62425206532</v>
      </c>
      <c r="F982" s="4" t="n">
        <v>46304.62425206542</v>
      </c>
      <c r="G982" t="b">
        <v>1</v>
      </c>
      <c r="H982" s="3" t="inlineStr">
        <is>
          <t>Added fraction 0.01280476427416345316581664386 of cost base adjustment 01a1212c-a047-707f-a63b-12a2e2f2c961 | 2024-06-30 | Adjustment of A200 | Cost base increase = A$117.92</t>
        </is>
      </c>
      <c r="I982" t="inlineStr">
        <is>
          <t>cost base adjustment allocation</t>
        </is>
      </c>
      <c r="J982" s="5" t="inlineStr">
        <is>
          <t>01a1212c-a10c-71a6-84c3-ebe9c6e42f58</t>
        </is>
      </c>
    </row>
    <row r="983">
      <c r="A983" s="5" t="inlineStr">
        <is>
          <t>01a1212c-a119-771a-af49-9cc128efe951</t>
        </is>
      </c>
      <c r="D983" s="5" t="inlineStr">
        <is>
          <t>01a1212c-4b57-70cf-80fd-c2192cb3bf81</t>
        </is>
      </c>
      <c r="E983" s="4" t="n">
        <v>46304.62425214297</v>
      </c>
      <c r="F983" s="4" t="n">
        <v>46304.62425214305</v>
      </c>
      <c r="G983" t="b">
        <v>1</v>
      </c>
      <c r="H983" s="3" t="inlineStr">
        <is>
          <t>Added fraction 0.01280476427416345316581664386 of cost base adjustment 01a1212c-a047-707f-a63b-12a2e2f2c961 | 2024-06-30 | Adjustment of A200 | Cost base increase = A$117.92</t>
        </is>
      </c>
      <c r="I983" t="inlineStr">
        <is>
          <t>cost base adjustment allocation</t>
        </is>
      </c>
      <c r="J983" s="5" t="inlineStr">
        <is>
          <t>01a1212c-a113-716d-a26f-a3c6c0e3e36f</t>
        </is>
      </c>
    </row>
    <row r="984">
      <c r="A984" s="5" t="inlineStr">
        <is>
          <t>01a1212c-a11e-73eb-b1eb-f2a9db4e56ce</t>
        </is>
      </c>
      <c r="D984" s="5" t="inlineStr">
        <is>
          <t>01a1212c-4b57-70cf-80fd-c2192cb3bf81</t>
        </is>
      </c>
      <c r="E984" s="4" t="n">
        <v>46304.62425220985</v>
      </c>
      <c r="F984" s="4" t="n">
        <v>46304.62425220994</v>
      </c>
      <c r="G984" t="b">
        <v>1</v>
      </c>
      <c r="H984" s="3" t="inlineStr">
        <is>
          <t>Added fraction 0.01280476427416345316581664386 of cost base adjustment 01a1212c-a047-707f-a63b-12a2e2f2c961 | 2024-06-30 | Adjustment of A200 | Cost base increase = A$117.92</t>
        </is>
      </c>
      <c r="I984" t="inlineStr">
        <is>
          <t>cost base adjustment allocation</t>
        </is>
      </c>
      <c r="J984" s="5" t="inlineStr">
        <is>
          <t>01a1212c-a119-771a-af49-9cc249ad7334</t>
        </is>
      </c>
    </row>
    <row r="985">
      <c r="A985" s="5" t="inlineStr">
        <is>
          <t>01a1212c-a124-77eb-a414-1d005ceb9bd2</t>
        </is>
      </c>
      <c r="D985" s="5" t="inlineStr">
        <is>
          <t>01a1212c-4b57-70cf-80fd-c2192cb3bf81</t>
        </is>
      </c>
      <c r="E985" s="4" t="n">
        <v>46304.62425228083</v>
      </c>
      <c r="F985" s="4" t="n">
        <v>46304.62425228091</v>
      </c>
      <c r="G985" t="b">
        <v>1</v>
      </c>
      <c r="H985" s="3" t="inlineStr">
        <is>
          <t>Added fraction 0.01280476427416345316581664386 of cost base adjustment 01a1212c-a047-707f-a63b-12a2e2f2c961 | 2024-06-30 | Adjustment of A200 | Cost base increase = A$117.92</t>
        </is>
      </c>
      <c r="I985" t="inlineStr">
        <is>
          <t>cost base adjustment allocation</t>
        </is>
      </c>
      <c r="J985" s="5" t="inlineStr">
        <is>
          <t>01a1212c-a11f-71dd-a91a-59ba6b017712</t>
        </is>
      </c>
    </row>
    <row r="986">
      <c r="A986" s="5" t="inlineStr">
        <is>
          <t>01a1212c-a12a-75b6-bbd9-e5288c6afc15</t>
        </is>
      </c>
      <c r="D986" s="5" t="inlineStr">
        <is>
          <t>01a1212c-4b57-70cf-80fd-c2192cb3bf81</t>
        </is>
      </c>
      <c r="E986" s="4" t="n">
        <v>46304.62425234821</v>
      </c>
      <c r="F986" s="4" t="n">
        <v>46304.62425234829</v>
      </c>
      <c r="G986" t="b">
        <v>1</v>
      </c>
      <c r="H986" s="3" t="inlineStr">
        <is>
          <t>Added fraction 0.01280476427416345316581664386 of cost base adjustment 01a1212c-a047-707f-a63b-12a2e2f2c961 | 2024-06-30 | Adjustment of A200 | Cost base increase = A$117.92</t>
        </is>
      </c>
      <c r="I986" t="inlineStr">
        <is>
          <t>cost base adjustment allocation</t>
        </is>
      </c>
      <c r="J986" s="5" t="inlineStr">
        <is>
          <t>01a1212c-a125-7775-a32f-2c9de0e8a968</t>
        </is>
      </c>
    </row>
    <row r="987">
      <c r="A987" s="5" t="inlineStr">
        <is>
          <t>01a1212c-a130-76c7-ba9b-cfe5a9417b7b</t>
        </is>
      </c>
      <c r="D987" s="5" t="inlineStr">
        <is>
          <t>01a1212c-4b57-70cf-80fd-c2192cb3bf81</t>
        </is>
      </c>
      <c r="E987" s="4" t="n">
        <v>46304.62425241248</v>
      </c>
      <c r="F987" s="4" t="n">
        <v>46304.62425241255</v>
      </c>
      <c r="G987" t="b">
        <v>1</v>
      </c>
      <c r="H987" s="3" t="inlineStr">
        <is>
          <t>Added fraction 0.01280476427416345316581664386 of cost base adjustment 01a1212c-a047-707f-a63b-12a2e2f2c961 | 2024-06-30 | Adjustment of A200 | Cost base increase = A$117.92</t>
        </is>
      </c>
      <c r="I987" t="inlineStr">
        <is>
          <t>cost base adjustment allocation</t>
        </is>
      </c>
      <c r="J987" s="5" t="inlineStr">
        <is>
          <t>01a1212c-a12b-7230-96b8-a7ef5257125c</t>
        </is>
      </c>
    </row>
    <row r="988">
      <c r="A988" s="5" t="inlineStr">
        <is>
          <t>01a1212c-a137-76fb-a684-a0328c5c86f7</t>
        </is>
      </c>
      <c r="D988" s="5" t="inlineStr">
        <is>
          <t>01a1212c-4b57-70cf-80fd-c2192cb3bf81</t>
        </is>
      </c>
      <c r="E988" s="4" t="n">
        <v>46304.62425249229</v>
      </c>
      <c r="F988" s="4" t="n">
        <v>46304.62425249237</v>
      </c>
      <c r="G988" t="b">
        <v>1</v>
      </c>
      <c r="H988" s="3" t="inlineStr">
        <is>
          <t>Added fraction 0.01280476427416345316581664386 of cost base adjustment 01a1212c-a047-707f-a63b-12a2e2f2c961 | 2024-06-30 | Adjustment of A200 | Cost base increase = A$117.92</t>
        </is>
      </c>
      <c r="I988" t="inlineStr">
        <is>
          <t>cost base adjustment allocation</t>
        </is>
      </c>
      <c r="J988" s="5" t="inlineStr">
        <is>
          <t>01a1212c-a131-7445-abd3-28a577b08ce1</t>
        </is>
      </c>
    </row>
    <row r="989">
      <c r="A989" s="5" t="inlineStr">
        <is>
          <t>01a1212c-a13d-73a4-a000-38684597cb0c</t>
        </is>
      </c>
      <c r="D989" s="5" t="inlineStr">
        <is>
          <t>01a1212c-4b57-70cf-80fd-c2192cb3bf81</t>
        </is>
      </c>
      <c r="E989" s="4" t="n">
        <v>46304.62425255927</v>
      </c>
      <c r="F989" s="4" t="n">
        <v>46304.62425255936</v>
      </c>
      <c r="G989" t="b">
        <v>1</v>
      </c>
      <c r="H989" s="3" t="inlineStr">
        <is>
          <t>Added fraction 0.01280476427416345316581664386 of cost base adjustment 01a1212c-a047-707f-a63b-12a2e2f2c961 | 2024-06-30 | Adjustment of A200 | Cost base increase = A$117.92</t>
        </is>
      </c>
      <c r="I989" t="inlineStr">
        <is>
          <t>cost base adjustment allocation</t>
        </is>
      </c>
      <c r="J989" s="5" t="inlineStr">
        <is>
          <t>01a1212c-a137-76fb-a684-a03329b9e58e</t>
        </is>
      </c>
    </row>
    <row r="990">
      <c r="A990" s="5" t="inlineStr">
        <is>
          <t>01a1212c-a143-70e9-995c-6b1414315a4f</t>
        </is>
      </c>
      <c r="D990" s="5" t="inlineStr">
        <is>
          <t>01a1212c-4b57-70cf-80fd-c2192cb3bf81</t>
        </is>
      </c>
      <c r="E990" s="4" t="n">
        <v>46304.6242526288</v>
      </c>
      <c r="F990" s="4" t="n">
        <v>46304.62425262889</v>
      </c>
      <c r="G990" t="b">
        <v>1</v>
      </c>
      <c r="H990" s="3" t="inlineStr">
        <is>
          <t>Added fraction 0.01290583405896255753203134718 of cost base adjustment 01a1212c-a047-707f-a63b-12a2e2f2c961 | 2024-06-30 | Adjustment of A200 | Cost base increase = A$117.92</t>
        </is>
      </c>
      <c r="I990" t="inlineStr">
        <is>
          <t>cost base adjustment allocation</t>
        </is>
      </c>
      <c r="J990" s="5" t="inlineStr">
        <is>
          <t>01a1212c-a13d-73a4-a000-3869771ada48</t>
        </is>
      </c>
    </row>
    <row r="991">
      <c r="A991" s="5" t="inlineStr">
        <is>
          <t>01a1212c-a149-74eb-9ab7-91906f935334</t>
        </is>
      </c>
      <c r="D991" s="5" t="inlineStr">
        <is>
          <t>01a1212c-4b57-70cf-80fd-c2192cb3bf81</t>
        </is>
      </c>
      <c r="E991" s="4" t="n">
        <v>46304.62425269976</v>
      </c>
      <c r="F991" s="4" t="n">
        <v>46304.62425269984</v>
      </c>
      <c r="G991" t="b">
        <v>1</v>
      </c>
      <c r="H991" s="3" t="inlineStr">
        <is>
          <t>Added fraction 0.01422751586018161462868515985 of cost base adjustment 01a1212c-a047-707f-a63b-12a2e2f2c961 | 2024-06-30 | Adjustment of A200 | Cost base increase = A$117.92</t>
        </is>
      </c>
      <c r="I991" t="inlineStr">
        <is>
          <t>cost base adjustment allocation</t>
        </is>
      </c>
      <c r="J991" s="5" t="inlineStr">
        <is>
          <t>01a1212c-a143-70e9-995c-6b15510f438b</t>
        </is>
      </c>
    </row>
    <row r="992">
      <c r="A992" s="5" t="inlineStr">
        <is>
          <t>01a1212c-a151-75ab-8d1c-2c8b5d443e05</t>
        </is>
      </c>
      <c r="D992" s="5" t="inlineStr">
        <is>
          <t>01a1212c-4b57-70cf-80fd-c2192cb3bf81</t>
        </is>
      </c>
      <c r="E992" s="4" t="n">
        <v>46304.62425280098</v>
      </c>
      <c r="F992" s="4" t="n">
        <v>46304.62425280117</v>
      </c>
      <c r="G992" t="b">
        <v>1</v>
      </c>
      <c r="H992" s="3" t="inlineStr">
        <is>
          <t>Added fraction 0.01422751586018161462868515985 of cost base adjustment 01a1212c-a047-707f-a63b-12a2e2f2c961 | 2024-06-30 | Adjustment of A200 | Cost base increase = A$117.92</t>
        </is>
      </c>
      <c r="I992" t="inlineStr">
        <is>
          <t>cost base adjustment allocation</t>
        </is>
      </c>
      <c r="J992" s="5" t="inlineStr">
        <is>
          <t>01a1212c-a149-74eb-9ab7-9191ff340eb2</t>
        </is>
      </c>
    </row>
    <row r="993">
      <c r="A993" s="5" t="inlineStr">
        <is>
          <t>01a1212c-a15b-7656-bd6f-b4d467c579f8</t>
        </is>
      </c>
      <c r="D993" s="5" t="inlineStr">
        <is>
          <t>01a1212c-4b57-70cf-80fd-c2192cb3bf81</t>
        </is>
      </c>
      <c r="E993" s="4" t="n">
        <v>46304.62425291572</v>
      </c>
      <c r="F993" s="4" t="n">
        <v>46304.62425291587</v>
      </c>
      <c r="G993" t="b">
        <v>1</v>
      </c>
      <c r="H993" s="3" t="inlineStr">
        <is>
          <t>Added fraction 0.01422751586018161462868515985 of cost base adjustment 01a1212c-a047-707f-a63b-12a2e2f2c961 | 2024-06-30 | Adjustment of A200 | Cost base increase = A$117.92</t>
        </is>
      </c>
      <c r="I993" t="inlineStr">
        <is>
          <t>cost base adjustment allocation</t>
        </is>
      </c>
      <c r="J993" s="5" t="inlineStr">
        <is>
          <t>01a1212c-a153-7017-9ebd-6949179cf1ac</t>
        </is>
      </c>
    </row>
    <row r="994">
      <c r="A994" s="5" t="inlineStr">
        <is>
          <t>01a1212c-a163-751d-b172-c78a49dfd25a</t>
        </is>
      </c>
      <c r="D994" s="5" t="inlineStr">
        <is>
          <t>01a1212c-4b57-70cf-80fd-c2192cb3bf81</t>
        </is>
      </c>
      <c r="E994" s="4" t="n">
        <v>46304.62425300731</v>
      </c>
      <c r="F994" s="4" t="n">
        <v>46304.62425300742</v>
      </c>
      <c r="G994" t="b">
        <v>1</v>
      </c>
      <c r="H994" s="3" t="inlineStr">
        <is>
          <t>Added fraction 0.01422751586018161462868515985 of cost base adjustment 01a1212c-a047-707f-a63b-12a2e2f2c961 | 2024-06-30 | Adjustment of A200 | Cost base increase = A$117.92</t>
        </is>
      </c>
      <c r="I994" t="inlineStr">
        <is>
          <t>cost base adjustment allocation</t>
        </is>
      </c>
      <c r="J994" s="5" t="inlineStr">
        <is>
          <t>01a1212c-a15c-7401-a437-83156662360b</t>
        </is>
      </c>
    </row>
    <row r="995">
      <c r="A995" s="5" t="inlineStr">
        <is>
          <t>01a1212c-a169-71dc-8146-dc7ea7712a0e</t>
        </is>
      </c>
      <c r="D995" s="5" t="inlineStr">
        <is>
          <t>01a1212c-4b57-70cf-80fd-c2192cb3bf81</t>
        </is>
      </c>
      <c r="E995" s="4" t="n">
        <v>46304.62425307928</v>
      </c>
      <c r="F995" s="4" t="n">
        <v>46304.62425307938</v>
      </c>
      <c r="G995" t="b">
        <v>1</v>
      </c>
      <c r="H995" s="3" t="inlineStr">
        <is>
          <t>Added fraction 0.01422751586018161462868515985 of cost base adjustment 01a1212c-a047-707f-a63b-12a2e2f2c961 | 2024-06-30 | Adjustment of A200 | Cost base increase = A$117.92</t>
        </is>
      </c>
      <c r="I995" t="inlineStr">
        <is>
          <t>cost base adjustment allocation</t>
        </is>
      </c>
      <c r="J995" s="5" t="inlineStr">
        <is>
          <t>01a1212c-a164-7388-add2-33ebcbdd92e8</t>
        </is>
      </c>
    </row>
    <row r="996">
      <c r="A996" s="5" t="inlineStr">
        <is>
          <t>01a1212c-a16f-7610-9fe1-705be11ec597</t>
        </is>
      </c>
      <c r="D996" s="5" t="inlineStr">
        <is>
          <t>01a1212c-4b57-70cf-80fd-c2192cb3bf81</t>
        </is>
      </c>
      <c r="E996" s="4" t="n">
        <v>46304.62425314867</v>
      </c>
      <c r="F996" s="4" t="n">
        <v>46304.62425314875</v>
      </c>
      <c r="G996" t="b">
        <v>1</v>
      </c>
      <c r="H996" s="3" t="inlineStr">
        <is>
          <t>Added fraction 0.01422751586018161462868515985 of cost base adjustment 01a1212c-a047-707f-a63b-12a2e2f2c961 | 2024-06-30 | Adjustment of A200 | Cost base increase = A$117.92</t>
        </is>
      </c>
      <c r="I996" t="inlineStr">
        <is>
          <t>cost base adjustment allocation</t>
        </is>
      </c>
      <c r="J996" s="5" t="inlineStr">
        <is>
          <t>01a1212c-a16a-77f5-901d-d528bb5cc234</t>
        </is>
      </c>
    </row>
    <row r="997">
      <c r="A997" s="5" t="inlineStr">
        <is>
          <t>01a1212c-a175-72bb-88e2-2a40e8cec242</t>
        </is>
      </c>
      <c r="D997" s="5" t="inlineStr">
        <is>
          <t>01a1212c-4b57-70cf-80fd-c2192cb3bf81</t>
        </is>
      </c>
      <c r="E997" s="4" t="n">
        <v>46304.62425321584</v>
      </c>
      <c r="F997" s="4" t="n">
        <v>46304.6242532159</v>
      </c>
      <c r="G997" t="b">
        <v>1</v>
      </c>
      <c r="H997" s="3" t="inlineStr">
        <is>
          <t>Added fraction 0.01707301903221793755442219181 of cost base adjustment 01a1212c-a047-707f-a63b-12a2e2f2c961 | 2024-06-30 | Adjustment of A200 | Cost base increase = A$117.92</t>
        </is>
      </c>
      <c r="I997" t="inlineStr">
        <is>
          <t>cost base adjustment allocation</t>
        </is>
      </c>
      <c r="J997" s="5" t="inlineStr">
        <is>
          <t>01a1212c-a170-7643-aa78-232903441f1c</t>
        </is>
      </c>
    </row>
    <row r="998">
      <c r="A998" s="5" t="inlineStr">
        <is>
          <t>01a1212c-a17b-7744-96da-a3665dab197c</t>
        </is>
      </c>
      <c r="D998" s="5" t="inlineStr">
        <is>
          <t>01a1212c-4b57-70cf-80fd-c2192cb3bf81</t>
        </is>
      </c>
      <c r="E998" s="4" t="n">
        <v>46304.62425328714</v>
      </c>
      <c r="F998" s="4" t="n">
        <v>46304.62425328722</v>
      </c>
      <c r="G998" t="b">
        <v>1</v>
      </c>
      <c r="H998" s="3" t="inlineStr">
        <is>
          <t>Added fraction 0.01707301903221793755442219181 of cost base adjustment 01a1212c-a047-707f-a63b-12a2e2f2c961 | 2024-06-30 | Adjustment of A200 | Cost base increase = A$117.92</t>
        </is>
      </c>
      <c r="I998" t="inlineStr">
        <is>
          <t>cost base adjustment allocation</t>
        </is>
      </c>
      <c r="J998" s="5" t="inlineStr">
        <is>
          <t>01a1212c-a176-7574-85ed-3d749ddcc4a1</t>
        </is>
      </c>
    </row>
    <row r="999">
      <c r="A999" s="5" t="inlineStr">
        <is>
          <t>01a1212c-a181-769e-baa3-5e0075fcfced</t>
        </is>
      </c>
      <c r="D999" s="5" t="inlineStr">
        <is>
          <t>01a1212c-4b57-70cf-80fd-c2192cb3bf81</t>
        </is>
      </c>
      <c r="E999" s="4" t="n">
        <v>46304.62425335426</v>
      </c>
      <c r="F999" s="4" t="n">
        <v>46304.62425335433</v>
      </c>
      <c r="G999" t="b">
        <v>1</v>
      </c>
      <c r="H999" s="3" t="inlineStr">
        <is>
          <t>Added fraction 0.01849577061823609901729070780 of cost base adjustment 01a1212c-a047-707f-a63b-12a2e2f2c961 | 2024-06-30 | Adjustment of A200 | Cost base increase = A$117.92</t>
        </is>
      </c>
      <c r="I999" t="inlineStr">
        <is>
          <t>cost base adjustment allocation</t>
        </is>
      </c>
      <c r="J999" s="5" t="inlineStr">
        <is>
          <t>01a1212c-a17c-76b2-a34b-c66ad9291763</t>
        </is>
      </c>
    </row>
    <row r="1000">
      <c r="A1000" s="5" t="inlineStr">
        <is>
          <t>01a1212c-a188-76dd-bde5-561b221a84ba</t>
        </is>
      </c>
      <c r="D1000" s="5" t="inlineStr">
        <is>
          <t>01a1212c-4b57-70cf-80fd-c2192cb3bf81</t>
        </is>
      </c>
      <c r="E1000" s="4" t="n">
        <v>46304.62425342991</v>
      </c>
      <c r="F1000" s="4" t="n">
        <v>46304.62425343</v>
      </c>
      <c r="G1000" t="b">
        <v>1</v>
      </c>
      <c r="H1000" s="3" t="inlineStr">
        <is>
          <t>Added fraction 0.01849577061823609901729070780 of cost base adjustment 01a1212c-a047-707f-a63b-12a2e2f2c961 | 2024-06-30 | Adjustment of A200 | Cost base increase = A$117.92</t>
        </is>
      </c>
      <c r="I1000" t="inlineStr">
        <is>
          <t>cost base adjustment allocation</t>
        </is>
      </c>
      <c r="J1000" s="5" t="inlineStr">
        <is>
          <t>01a1212c-a182-73eb-bcbd-164eea37adaf</t>
        </is>
      </c>
    </row>
    <row r="1001">
      <c r="A1001" s="5" t="inlineStr">
        <is>
          <t>01a1212c-a18f-73de-b23b-80c84622a4d1</t>
        </is>
      </c>
      <c r="D1001" s="5" t="inlineStr">
        <is>
          <t>01a1212c-4b57-70cf-80fd-c2192cb3bf81</t>
        </is>
      </c>
      <c r="E1001" s="4" t="n">
        <v>46304.62425351368</v>
      </c>
      <c r="F1001" s="4" t="n">
        <v>46304.62425351379</v>
      </c>
      <c r="G1001" t="b">
        <v>1</v>
      </c>
      <c r="H1001" s="3" t="inlineStr">
        <is>
          <t>Added fraction 0.01849577061823609901729070780 of cost base adjustment 01a1212c-a047-707f-a63b-12a2e2f2c961 | 2024-06-30 | Adjustment of A200 | Cost base increase = A$117.92</t>
        </is>
      </c>
      <c r="I1001" t="inlineStr">
        <is>
          <t>cost base adjustment allocation</t>
        </is>
      </c>
      <c r="J1001" s="5" t="inlineStr">
        <is>
          <t>01a1212c-a189-77bb-870e-b95d5dca4e23</t>
        </is>
      </c>
    </row>
    <row r="1002">
      <c r="A1002" s="5" t="inlineStr">
        <is>
          <t>01a1212c-a195-7356-9494-e95d5e958617</t>
        </is>
      </c>
      <c r="D1002" s="5" t="inlineStr">
        <is>
          <t>01a1212c-4b57-70cf-80fd-c2192cb3bf81</t>
        </is>
      </c>
      <c r="E1002" s="4" t="n">
        <v>46304.62425358602</v>
      </c>
      <c r="F1002" s="4" t="n">
        <v>46304.6242535861</v>
      </c>
      <c r="G1002" t="b">
        <v>1</v>
      </c>
      <c r="H1002" s="3" t="inlineStr">
        <is>
          <t>Added fraction 0.01849577061823609901729070780 of cost base adjustment 01a1212c-a047-707f-a63b-12a2e2f2c961 | 2024-06-30 | Adjustment of A200 | Cost base increase = A$117.92</t>
        </is>
      </c>
      <c r="I1002" t="inlineStr">
        <is>
          <t>cost base adjustment allocation</t>
        </is>
      </c>
      <c r="J1002" s="5" t="inlineStr">
        <is>
          <t>01a1212c-a190-76a8-8cd7-6f7678d37300</t>
        </is>
      </c>
    </row>
    <row r="1003">
      <c r="A1003" s="5" t="inlineStr">
        <is>
          <t>01a1212c-a19c-7399-b78e-0ec59c4a38d3</t>
        </is>
      </c>
      <c r="D1003" s="5" t="inlineStr">
        <is>
          <t>01a1212c-4b57-70cf-80fd-c2192cb3bf81</t>
        </is>
      </c>
      <c r="E1003" s="4" t="n">
        <v>46304.62425366008</v>
      </c>
      <c r="F1003" s="4" t="n">
        <v>46304.62425366016</v>
      </c>
      <c r="G1003" t="b">
        <v>1</v>
      </c>
      <c r="H1003" s="3" t="inlineStr">
        <is>
          <t>Added fraction 0.01849577061823609901729070780 of cost base adjustment 01a1212c-a047-707f-a63b-12a2e2f2c961 | 2024-06-30 | Adjustment of A200 | Cost base increase = A$117.92</t>
        </is>
      </c>
      <c r="I1003" t="inlineStr">
        <is>
          <t>cost base adjustment allocation</t>
        </is>
      </c>
      <c r="J1003" s="5" t="inlineStr">
        <is>
          <t>01a1212c-a196-774d-8765-e2efd4699bc2</t>
        </is>
      </c>
    </row>
    <row r="1004">
      <c r="A1004" s="5" t="inlineStr">
        <is>
          <t>01a1212c-a1a2-743b-afbf-ef3edc4f3e09</t>
        </is>
      </c>
      <c r="D1004" s="5" t="inlineStr">
        <is>
          <t>01a1212c-4b57-70cf-80fd-c2192cb3bf81</t>
        </is>
      </c>
      <c r="E1004" s="4" t="n">
        <v>46304.62425373564</v>
      </c>
      <c r="F1004" s="4" t="n">
        <v>46304.62425373574</v>
      </c>
      <c r="G1004" t="b">
        <v>1</v>
      </c>
      <c r="H1004" s="3" t="inlineStr">
        <is>
          <t>Added fraction 0.01849577061823609901729070780 of cost base adjustment 01a1212c-a047-707f-a63b-12a2e2f2c961 | 2024-06-30 | Adjustment of A200 | Cost base increase = A$117.92</t>
        </is>
      </c>
      <c r="I1004" t="inlineStr">
        <is>
          <t>cost base adjustment allocation</t>
        </is>
      </c>
      <c r="J1004" s="5" t="inlineStr">
        <is>
          <t>01a1212c-a19d-705c-8994-d131f3050d7a</t>
        </is>
      </c>
    </row>
    <row r="1005">
      <c r="A1005" s="5" t="inlineStr">
        <is>
          <t>01a1212c-a1a8-75c4-bc66-50af9ffb49b5</t>
        </is>
      </c>
      <c r="D1005" s="5" t="inlineStr">
        <is>
          <t>01a1212c-4b57-70cf-80fd-c2192cb3bf81</t>
        </is>
      </c>
      <c r="E1005" s="4" t="n">
        <v>46304.62425380235</v>
      </c>
      <c r="F1005" s="4" t="n">
        <v>46304.62425380243</v>
      </c>
      <c r="G1005" t="b">
        <v>1</v>
      </c>
      <c r="H1005" s="3" t="inlineStr">
        <is>
          <t>Added fraction 0.01849577061823609901729070780 of cost base adjustment 01a1212c-a047-707f-a63b-12a2e2f2c961 | 2024-06-30 | Adjustment of A200 | Cost base increase = A$117.92</t>
        </is>
      </c>
      <c r="I1005" t="inlineStr">
        <is>
          <t>cost base adjustment allocation</t>
        </is>
      </c>
      <c r="J1005" s="5" t="inlineStr">
        <is>
          <t>01a1212c-a1a3-74a1-bdb7-7f2959d559e3</t>
        </is>
      </c>
    </row>
    <row r="1006">
      <c r="A1006" s="5" t="inlineStr">
        <is>
          <t>01a1212c-a1ae-7109-ae66-9fb521896d9a</t>
        </is>
      </c>
      <c r="D1006" s="5" t="inlineStr">
        <is>
          <t>01a1212c-4b57-70cf-80fd-c2192cb3bf81</t>
        </is>
      </c>
      <c r="E1006" s="4" t="n">
        <v>46304.62425387161</v>
      </c>
      <c r="F1006" s="4" t="n">
        <v>46304.62425387169</v>
      </c>
      <c r="G1006" t="b">
        <v>1</v>
      </c>
      <c r="H1006" s="3" t="inlineStr">
        <is>
          <t>Added fraction 0.01849577061823609901729070780 of cost base adjustment 01a1212c-a047-707f-a63b-12a2e2f2c961 | 2024-06-30 | Adjustment of A200 | Cost base increase = A$117.92</t>
        </is>
      </c>
      <c r="I1006" t="inlineStr">
        <is>
          <t>cost base adjustment allocation</t>
        </is>
      </c>
      <c r="J1006" s="5" t="inlineStr">
        <is>
          <t>01a1212c-a1a9-73a5-ad31-d748f25f59da</t>
        </is>
      </c>
    </row>
    <row r="1007">
      <c r="A1007" s="5" t="inlineStr">
        <is>
          <t>01a1212c-a1b5-7103-9737-5cf656bfc3fe</t>
        </is>
      </c>
      <c r="D1007" s="5" t="inlineStr">
        <is>
          <t>01a1212c-4b57-70cf-80fd-c2192cb3bf81</t>
        </is>
      </c>
      <c r="E1007" s="4" t="n">
        <v>46304.62425395073</v>
      </c>
      <c r="F1007" s="4" t="n">
        <v>46304.62425395082</v>
      </c>
      <c r="G1007" t="b">
        <v>1</v>
      </c>
      <c r="H1007" s="3" t="inlineStr">
        <is>
          <t>Added fraction 0.01849577061823609901729070780 of cost base adjustment 01a1212c-a047-707f-a63b-12a2e2f2c961 | 2024-06-30 | Adjustment of A200 | Cost base increase = A$117.92</t>
        </is>
      </c>
      <c r="I1007" t="inlineStr">
        <is>
          <t>cost base adjustment allocation</t>
        </is>
      </c>
      <c r="J1007" s="5" t="inlineStr">
        <is>
          <t>01a1212c-a1af-7206-a686-89a4b3fe90da</t>
        </is>
      </c>
    </row>
    <row r="1008">
      <c r="A1008" s="5" t="inlineStr">
        <is>
          <t>01a1212c-a1bb-7623-99e2-0eb4fe54bbc9</t>
        </is>
      </c>
      <c r="D1008" s="5" t="inlineStr">
        <is>
          <t>01a1212c-4b57-70cf-80fd-c2192cb3bf81</t>
        </is>
      </c>
      <c r="E1008" s="4" t="n">
        <v>46304.62425402352</v>
      </c>
      <c r="F1008" s="4" t="n">
        <v>46304.6242540236</v>
      </c>
      <c r="G1008" t="b">
        <v>1</v>
      </c>
      <c r="H1008" s="3" t="inlineStr">
        <is>
          <t>Added fraction 0.01849577061823609901729070780 of cost base adjustment 01a1212c-a047-707f-a63b-12a2e2f2c961 | 2024-06-30 | Adjustment of A200 | Cost base increase = A$117.92</t>
        </is>
      </c>
      <c r="I1008" t="inlineStr">
        <is>
          <t>cost base adjustment allocation</t>
        </is>
      </c>
      <c r="J1008" s="5" t="inlineStr">
        <is>
          <t>01a1212c-a1b5-7103-9737-5cf7df67517f</t>
        </is>
      </c>
    </row>
    <row r="1009">
      <c r="A1009" s="5" t="inlineStr">
        <is>
          <t>01a1212c-a1c1-75b3-9475-1c54cc5d568b</t>
        </is>
      </c>
      <c r="D1009" s="5" t="inlineStr">
        <is>
          <t>01a1212c-4b57-70cf-80fd-c2192cb3bf81</t>
        </is>
      </c>
      <c r="E1009" s="4" t="n">
        <v>46304.62425409096</v>
      </c>
      <c r="F1009" s="4" t="n">
        <v>46304.62425409104</v>
      </c>
      <c r="G1009" t="b">
        <v>1</v>
      </c>
      <c r="H1009" s="3" t="inlineStr">
        <is>
          <t>Added fraction 0.01849577061823609901729070780 of cost base adjustment 01a1212c-a047-707f-a63b-12a2e2f2c961 | 2024-06-30 | Adjustment of A200 | Cost base increase = A$117.92</t>
        </is>
      </c>
      <c r="I1009" t="inlineStr">
        <is>
          <t>cost base adjustment allocation</t>
        </is>
      </c>
      <c r="J1009" s="5" t="inlineStr">
        <is>
          <t>01a1212c-a1bc-73db-878f-6a0d3f30c918</t>
        </is>
      </c>
    </row>
    <row r="1010">
      <c r="A1010" s="5" t="inlineStr">
        <is>
          <t>01a1212c-a1c7-75b9-a1e1-7ad242a9f4b6</t>
        </is>
      </c>
      <c r="D1010" s="5" t="inlineStr">
        <is>
          <t>01a1212c-4b57-70cf-80fd-c2192cb3bf81</t>
        </is>
      </c>
      <c r="E1010" s="4" t="n">
        <v>46304.62425415738</v>
      </c>
      <c r="F1010" s="4" t="n">
        <v>46304.62425415747</v>
      </c>
      <c r="G1010" t="b">
        <v>1</v>
      </c>
      <c r="H1010" s="3" t="inlineStr">
        <is>
          <t>Added fraction 0.01849577061823609901729070780 of cost base adjustment 01a1212c-a047-707f-a63b-12a2e2f2c961 | 2024-06-30 | Adjustment of A200 | Cost base increase = A$117.92</t>
        </is>
      </c>
      <c r="I1010" t="inlineStr">
        <is>
          <t>cost base adjustment allocation</t>
        </is>
      </c>
      <c r="J1010" s="5" t="inlineStr">
        <is>
          <t>01a1212c-a1c2-7328-a05c-643aa0e3c6a9</t>
        </is>
      </c>
    </row>
    <row r="1011">
      <c r="A1011" s="5" t="inlineStr">
        <is>
          <t>01a1212c-a1cd-7300-b7aa-ae8c6ccc678d</t>
        </is>
      </c>
      <c r="D1011" s="5" t="inlineStr">
        <is>
          <t>01a1212c-4b57-70cf-80fd-c2192cb3bf81</t>
        </is>
      </c>
      <c r="E1011" s="4" t="n">
        <v>46304.62425422817</v>
      </c>
      <c r="F1011" s="4" t="n">
        <v>46304.62425422825</v>
      </c>
      <c r="G1011" t="b">
        <v>1</v>
      </c>
      <c r="H1011" s="3" t="inlineStr">
        <is>
          <t>Added fraction 0.01849577061823609901729070780 of cost base adjustment 01a1212c-a047-707f-a63b-12a2e2f2c961 | 2024-06-30 | Adjustment of A200 | Cost base increase = A$117.92</t>
        </is>
      </c>
      <c r="I1011" t="inlineStr">
        <is>
          <t>cost base adjustment allocation</t>
        </is>
      </c>
      <c r="J1011" s="5" t="inlineStr">
        <is>
          <t>01a1212c-a1c7-75b9-a1e1-7ad3579651a0</t>
        </is>
      </c>
    </row>
    <row r="1012">
      <c r="A1012" s="5" t="inlineStr">
        <is>
          <t>01a1212c-a1d3-7500-bcd0-ec8d72e448c2</t>
        </is>
      </c>
      <c r="D1012" s="5" t="inlineStr">
        <is>
          <t>01a1212c-4b57-70cf-80fd-c2192cb3bf81</t>
        </is>
      </c>
      <c r="E1012" s="4" t="n">
        <v>46304.62425429645</v>
      </c>
      <c r="F1012" s="4" t="n">
        <v>46304.62425429653</v>
      </c>
      <c r="G1012" t="b">
        <v>1</v>
      </c>
      <c r="H1012" s="3" t="inlineStr">
        <is>
          <t>Added fraction 0.01849577061823609901729070780 of cost base adjustment 01a1212c-a047-707f-a63b-12a2e2f2c961 | 2024-06-30 | Adjustment of A200 | Cost base increase = A$117.92</t>
        </is>
      </c>
      <c r="I1012" t="inlineStr">
        <is>
          <t>cost base adjustment allocation</t>
        </is>
      </c>
      <c r="J1012" s="5" t="inlineStr">
        <is>
          <t>01a1212c-a1cd-7300-b7aa-ae8d991f8400</t>
        </is>
      </c>
    </row>
    <row r="1013">
      <c r="A1013" s="5" t="inlineStr">
        <is>
          <t>01a1212c-a1d9-7319-91e4-2ec496ddee80</t>
        </is>
      </c>
      <c r="D1013" s="5" t="inlineStr">
        <is>
          <t>01a1212c-4b57-70cf-80fd-c2192cb3bf81</t>
        </is>
      </c>
      <c r="E1013" s="4" t="n">
        <v>46304.624254369</v>
      </c>
      <c r="F1013" s="4" t="n">
        <v>46304.62425436908</v>
      </c>
      <c r="G1013" t="b">
        <v>1</v>
      </c>
      <c r="H1013" s="3" t="inlineStr">
        <is>
          <t>Added fraction 0.01849577061823609901729070780 of cost base adjustment 01a1212c-a047-707f-a63b-12a2e2f2c961 | 2024-06-30 | Adjustment of A200 | Cost base increase = A$117.92</t>
        </is>
      </c>
      <c r="I1013" t="inlineStr">
        <is>
          <t>cost base adjustment allocation</t>
        </is>
      </c>
      <c r="J1013" s="5" t="inlineStr">
        <is>
          <t>01a1212c-a1d3-7500-bcd0-ec8e8214a640</t>
        </is>
      </c>
    </row>
    <row r="1014">
      <c r="A1014" s="5" t="inlineStr">
        <is>
          <t>01a1212c-a1df-74da-b6e3-fd4577919c32</t>
        </is>
      </c>
      <c r="D1014" s="5" t="inlineStr">
        <is>
          <t>01a1212c-4b57-70cf-80fd-c2192cb3bf81</t>
        </is>
      </c>
      <c r="E1014" s="4" t="n">
        <v>46304.62425443822</v>
      </c>
      <c r="F1014" s="4" t="n">
        <v>46304.6242544383</v>
      </c>
      <c r="G1014" t="b">
        <v>1</v>
      </c>
      <c r="H1014" s="3" t="inlineStr">
        <is>
          <t>Added fraction 0.01991852220425426048015922378 of cost base adjustment 01a1212c-a047-707f-a63b-12a2e2f2c961 | 2024-06-30 | Adjustment of A200 | Cost base increase = A$117.92</t>
        </is>
      </c>
      <c r="I1014" t="inlineStr">
        <is>
          <t>cost base adjustment allocation</t>
        </is>
      </c>
      <c r="J1014" s="5" t="inlineStr">
        <is>
          <t>01a1212c-a1da-7414-be40-dcd9aa98e47f</t>
        </is>
      </c>
    </row>
    <row r="1015">
      <c r="A1015" s="5" t="inlineStr">
        <is>
          <t>01a1212c-a1e5-7699-b20a-5eb19c21d47d</t>
        </is>
      </c>
      <c r="D1015" s="5" t="inlineStr">
        <is>
          <t>01a1212c-4b57-70cf-80fd-c2192cb3bf81</t>
        </is>
      </c>
      <c r="E1015" s="4" t="n">
        <v>46304.6242545058</v>
      </c>
      <c r="F1015" s="4" t="n">
        <v>46304.62425450587</v>
      </c>
      <c r="G1015" t="b">
        <v>1</v>
      </c>
      <c r="H1015" s="3" t="inlineStr">
        <is>
          <t>Added fraction 0.01991852220425426048015922378 of cost base adjustment 01a1212c-a047-707f-a63b-12a2e2f2c961 | 2024-06-30 | Adjustment of A200 | Cost base increase = A$117.92</t>
        </is>
      </c>
      <c r="I1015" t="inlineStr">
        <is>
          <t>cost base adjustment allocation</t>
        </is>
      </c>
      <c r="J1015" s="5" t="inlineStr">
        <is>
          <t>01a1212c-a1e0-7261-966a-b6a03ad9aa4f</t>
        </is>
      </c>
    </row>
    <row r="1016">
      <c r="A1016" s="5" t="inlineStr">
        <is>
          <t>01a1212c-a1ea-7441-ab30-7f82333b3402</t>
        </is>
      </c>
      <c r="D1016" s="5" t="inlineStr">
        <is>
          <t>01a1212c-4b57-70cf-80fd-c2192cb3bf81</t>
        </is>
      </c>
      <c r="E1016" s="4" t="n">
        <v>46304.62425457285</v>
      </c>
      <c r="F1016" s="4" t="n">
        <v>46304.62425457294</v>
      </c>
      <c r="G1016" t="b">
        <v>1</v>
      </c>
      <c r="H1016" s="3" t="inlineStr">
        <is>
          <t>Added fraction 0.01991852220425426048015922378 of cost base adjustment 01a1212c-a047-707f-a63b-12a2e2f2c961 | 2024-06-30 | Adjustment of A200 | Cost base increase = A$117.92</t>
        </is>
      </c>
      <c r="I1016" t="inlineStr">
        <is>
          <t>cost base adjustment allocation</t>
        </is>
      </c>
      <c r="J1016" s="5" t="inlineStr">
        <is>
          <t>01a1212c-a1e5-7699-b20a-5eb271b6d7f7</t>
        </is>
      </c>
    </row>
    <row r="1017">
      <c r="A1017" s="5" t="inlineStr">
        <is>
          <t>01a1212c-a1f0-7096-8912-8f811eac03e2</t>
        </is>
      </c>
      <c r="D1017" s="5" t="inlineStr">
        <is>
          <t>01a1212c-4b57-70cf-80fd-c2192cb3bf81</t>
        </is>
      </c>
      <c r="E1017" s="4" t="n">
        <v>46304.62425464199</v>
      </c>
      <c r="F1017" s="4" t="n">
        <v>46304.62425464207</v>
      </c>
      <c r="G1017" t="b">
        <v>1</v>
      </c>
      <c r="H1017" s="3" t="inlineStr">
        <is>
          <t>Added fraction 0.01991852220425426048015922378 of cost base adjustment 01a1212c-a047-707f-a63b-12a2e2f2c961 | 2024-06-30 | Adjustment of A200 | Cost base increase = A$117.92</t>
        </is>
      </c>
      <c r="I1017" t="inlineStr">
        <is>
          <t>cost base adjustment allocation</t>
        </is>
      </c>
      <c r="J1017" s="5" t="inlineStr">
        <is>
          <t>01a1212c-a1eb-70df-ae6c-6d4703f8534f</t>
        </is>
      </c>
    </row>
    <row r="1018">
      <c r="A1018" s="5" t="inlineStr">
        <is>
          <t>01a1212c-a1f7-71c0-9529-7239e18e590c</t>
        </is>
      </c>
      <c r="D1018" s="5" t="inlineStr">
        <is>
          <t>01a1212c-4b57-70cf-80fd-c2192cb3bf81</t>
        </is>
      </c>
      <c r="E1018" s="4" t="n">
        <v>46304.62425471246</v>
      </c>
      <c r="F1018" s="4" t="n">
        <v>46304.62425471257</v>
      </c>
      <c r="G1018" t="b">
        <v>1</v>
      </c>
      <c r="H1018" s="3" t="inlineStr">
        <is>
          <t>Added fraction 0.01991852220425426048015922378 of cost base adjustment 01a1212c-a047-707f-a63b-12a2e2f2c961 | 2024-06-30 | Adjustment of A200 | Cost base increase = A$117.92</t>
        </is>
      </c>
      <c r="I1018" t="inlineStr">
        <is>
          <t>cost base adjustment allocation</t>
        </is>
      </c>
      <c r="J1018" s="5" t="inlineStr">
        <is>
          <t>01a1212c-a1f1-7393-a6a1-fe4287760f45</t>
        </is>
      </c>
    </row>
    <row r="1019">
      <c r="A1019" s="5" t="inlineStr">
        <is>
          <t>01a1212c-a1fd-73f2-b4d5-a4acf198392f</t>
        </is>
      </c>
      <c r="D1019" s="5" t="inlineStr">
        <is>
          <t>01a1212c-4b57-70cf-80fd-c2192cb3bf81</t>
        </is>
      </c>
      <c r="E1019" s="4" t="n">
        <v>46304.62425478668</v>
      </c>
      <c r="F1019" s="4" t="n">
        <v>46304.62425478676</v>
      </c>
      <c r="G1019" t="b">
        <v>1</v>
      </c>
      <c r="H1019" s="3" t="inlineStr">
        <is>
          <t>Added fraction 0.02134127379027242194302773977 of cost base adjustment 01a1212c-a047-707f-a63b-12a2e2f2c961 | 2024-06-30 | Adjustment of A200 | Cost base increase = A$117.92</t>
        </is>
      </c>
      <c r="I1019" t="inlineStr">
        <is>
          <t>cost base adjustment allocation</t>
        </is>
      </c>
      <c r="J1019" s="5" t="inlineStr">
        <is>
          <t>01a1212c-a1f7-71c0-9529-723a3170172a</t>
        </is>
      </c>
    </row>
    <row r="1020">
      <c r="A1020" s="5" t="inlineStr">
        <is>
          <t>01a1212c-a203-70a6-beb2-bdbf9088fa98</t>
        </is>
      </c>
      <c r="D1020" s="5" t="inlineStr">
        <is>
          <t>01a1212c-4b57-70cf-80fd-c2192cb3bf81</t>
        </is>
      </c>
      <c r="E1020" s="4" t="n">
        <v>46304.62425485381</v>
      </c>
      <c r="F1020" s="4" t="n">
        <v>46304.62425485388</v>
      </c>
      <c r="G1020" t="b">
        <v>1</v>
      </c>
      <c r="H1020" s="3" t="inlineStr">
        <is>
          <t>Added fraction 0.02134127379027242194302773977 of cost base adjustment 01a1212c-a047-707f-a63b-12a2e2f2c961 | 2024-06-30 | Adjustment of A200 | Cost base increase = A$117.92</t>
        </is>
      </c>
      <c r="I1020" t="inlineStr">
        <is>
          <t>cost base adjustment allocation</t>
        </is>
      </c>
      <c r="J1020" s="5" t="inlineStr">
        <is>
          <t>01a1212c-a1fe-7675-ac1f-2650a4ccecdb</t>
        </is>
      </c>
    </row>
    <row r="1021">
      <c r="A1021" s="5" t="inlineStr">
        <is>
          <t>01a1212c-a209-70a2-921f-ff43dac898f2</t>
        </is>
      </c>
      <c r="D1021" s="5" t="inlineStr">
        <is>
          <t>01a1212c-4b57-70cf-80fd-c2192cb3bf81</t>
        </is>
      </c>
      <c r="E1021" s="4" t="n">
        <v>46304.62425492381</v>
      </c>
      <c r="F1021" s="4" t="n">
        <v>46304.62425492389</v>
      </c>
      <c r="G1021" t="b">
        <v>1</v>
      </c>
      <c r="H1021" s="3" t="inlineStr">
        <is>
          <t>Added fraction 0.02134127379027242194302773977 of cost base adjustment 01a1212c-a047-707f-a63b-12a2e2f2c961 | 2024-06-30 | Adjustment of A200 | Cost base increase = A$117.92</t>
        </is>
      </c>
      <c r="I1021" t="inlineStr">
        <is>
          <t>cost base adjustment allocation</t>
        </is>
      </c>
      <c r="J1021" s="5" t="inlineStr">
        <is>
          <t>01a1212c-a203-70a6-beb2-bdc0e49596f3</t>
        </is>
      </c>
    </row>
    <row r="1022">
      <c r="A1022" s="5" t="inlineStr">
        <is>
          <t>01a1212c-a20e-7603-801e-9bbadd602110</t>
        </is>
      </c>
      <c r="D1022" s="5" t="inlineStr">
        <is>
          <t>01a1212c-4b57-70cf-80fd-c2192cb3bf81</t>
        </is>
      </c>
      <c r="E1022" s="4" t="n">
        <v>46304.62425498913</v>
      </c>
      <c r="F1022" s="4" t="n">
        <v>46304.6242549892</v>
      </c>
      <c r="G1022" t="b">
        <v>1</v>
      </c>
      <c r="H1022" s="3" t="inlineStr">
        <is>
          <t>Added fraction 0.02134127379027242194302773977 of cost base adjustment 01a1212c-a047-707f-a63b-12a2e2f2c961 | 2024-06-30 | Adjustment of A200 | Cost base increase = A$117.92</t>
        </is>
      </c>
      <c r="I1022" t="inlineStr">
        <is>
          <t>cost base adjustment allocation</t>
        </is>
      </c>
      <c r="J1022" s="5" t="inlineStr">
        <is>
          <t>01a1212c-a20a-7285-83fe-ad6668424944</t>
        </is>
      </c>
    </row>
    <row r="1023">
      <c r="A1023" s="5" t="inlineStr">
        <is>
          <t>01a1212c-a214-71b2-a8c2-479453e84ca1</t>
        </is>
      </c>
      <c r="D1023" s="5" t="inlineStr">
        <is>
          <t>01a1212c-4b57-70cf-80fd-c2192cb3bf81</t>
        </is>
      </c>
      <c r="E1023" s="4" t="n">
        <v>46304.62425505828</v>
      </c>
      <c r="F1023" s="4" t="n">
        <v>46304.62425505835</v>
      </c>
      <c r="G1023" t="b">
        <v>1</v>
      </c>
      <c r="H1023" s="3" t="inlineStr">
        <is>
          <t>residual of cost base adjustment 01a1212c-a047-707f-a63b-12a2e2f2c961 | 2024-06-30 | Adjustment of A200 | Cost base increase = A$117.92</t>
        </is>
      </c>
      <c r="I1023" t="inlineStr">
        <is>
          <t>cost base adjustment allocation</t>
        </is>
      </c>
      <c r="J1023" s="5" t="inlineStr">
        <is>
          <t>01a1212c-a20f-779e-83d4-f6333a63d619</t>
        </is>
      </c>
    </row>
    <row r="1024">
      <c r="A1024" s="5" t="inlineStr">
        <is>
          <t>01a1212c-a32a-725d-9911-0001decad71a</t>
        </is>
      </c>
      <c r="D1024" s="5" t="inlineStr">
        <is>
          <t>01a1212c-4b57-70cf-80fd-c2192cb3bf81</t>
        </is>
      </c>
      <c r="E1024" s="4" t="n">
        <v>46304.6242582695</v>
      </c>
      <c r="F1024" s="4" t="n">
        <v>46304.62425826958</v>
      </c>
      <c r="G1024" t="b">
        <v>1</v>
      </c>
      <c r="H1024" s="3" t="inlineStr">
        <is>
          <t>Added fraction 0.0003752074947697080249177977330 of cost base adjustment 01a1212c-a31f-7418-b8c4-7e234f854ae3 | 2024-06-30 | Adjustment of VGS | Cost base increase = A$609.24</t>
        </is>
      </c>
      <c r="I1024" t="inlineStr">
        <is>
          <t>cost base adjustment allocation</t>
        </is>
      </c>
      <c r="J1024" s="5" t="inlineStr">
        <is>
          <t>01a1212c-a324-7052-b8f0-af9ee0a763f6</t>
        </is>
      </c>
    </row>
    <row r="1025">
      <c r="A1025" s="5" t="inlineStr">
        <is>
          <t>01a1212c-a330-7089-b530-fb8bd77f4c29</t>
        </is>
      </c>
      <c r="D1025" s="5" t="inlineStr">
        <is>
          <t>01a1212c-4b57-70cf-80fd-c2192cb3bf81</t>
        </is>
      </c>
      <c r="E1025" s="4" t="n">
        <v>46304.62425833743</v>
      </c>
      <c r="F1025" s="4" t="n">
        <v>46304.62425833751</v>
      </c>
      <c r="G1025" t="b">
        <v>1</v>
      </c>
      <c r="H1025" s="3" t="inlineStr">
        <is>
          <t>Added fraction 0.0009380187369242700622944943325 of cost base adjustment 01a1212c-a31f-7418-b8c4-7e234f854ae3 | 2024-06-30 | Adjustment of VGS | Cost base increase = A$609.24</t>
        </is>
      </c>
      <c r="I1025" t="inlineStr">
        <is>
          <t>cost base adjustment allocation</t>
        </is>
      </c>
      <c r="J1025" s="5" t="inlineStr">
        <is>
          <t>01a1212c-a32b-722a-8975-3b87d4d9224f</t>
        </is>
      </c>
    </row>
    <row r="1026">
      <c r="A1026" s="5" t="inlineStr">
        <is>
          <t>01a1212c-a337-7589-8144-0a07c3e07af0</t>
        </is>
      </c>
      <c r="D1026" s="5" t="inlineStr">
        <is>
          <t>01a1212c-4b57-70cf-80fd-c2192cb3bf81</t>
        </is>
      </c>
      <c r="E1026" s="4" t="n">
        <v>46304.62425841758</v>
      </c>
      <c r="F1026" s="4" t="n">
        <v>46304.62425841767</v>
      </c>
      <c r="G1026" t="b">
        <v>1</v>
      </c>
      <c r="H1026" s="3" t="inlineStr">
        <is>
          <t>Added fraction 0.001031820610616697068523943766 of cost base adjustment 01a1212c-a31f-7418-b8c4-7e234f854ae3 | 2024-06-30 | Adjustment of VGS | Cost base increase = A$609.24</t>
        </is>
      </c>
      <c r="I1026" t="inlineStr">
        <is>
          <t>cost base adjustment allocation</t>
        </is>
      </c>
      <c r="J1026" s="5" t="inlineStr">
        <is>
          <t>01a1212c-a330-7089-b530-fb8c087ae641</t>
        </is>
      </c>
    </row>
    <row r="1027">
      <c r="A1027" s="5" t="inlineStr">
        <is>
          <t>01a1212c-a33d-709d-8b24-a4cc91406b73</t>
        </is>
      </c>
      <c r="D1027" s="5" t="inlineStr">
        <is>
          <t>01a1212c-4b57-70cf-80fd-c2192cb3bf81</t>
        </is>
      </c>
      <c r="E1027" s="4" t="n">
        <v>46304.62425848955</v>
      </c>
      <c r="F1027" s="4" t="n">
        <v>46304.62425848963</v>
      </c>
      <c r="G1027" t="b">
        <v>1</v>
      </c>
      <c r="H1027" s="3" t="inlineStr">
        <is>
          <t>Added fraction 0.002462299184426208913523047623 of cost base adjustment 01a1212c-a31f-7418-b8c4-7e234f854ae3 | 2024-06-30 | Adjustment of VGS | Cost base increase = A$609.24</t>
        </is>
      </c>
      <c r="I1027" t="inlineStr">
        <is>
          <t>cost base adjustment allocation</t>
        </is>
      </c>
      <c r="J1027" s="5" t="inlineStr">
        <is>
          <t>01a1212c-a337-7589-8144-0a082db7738d</t>
        </is>
      </c>
    </row>
    <row r="1028">
      <c r="A1028" s="5" t="inlineStr">
        <is>
          <t>01a1212c-a343-77e8-993c-dc5a41d31a47</t>
        </is>
      </c>
      <c r="D1028" s="5" t="inlineStr">
        <is>
          <t>01a1212c-4b57-70cf-80fd-c2192cb3bf81</t>
        </is>
      </c>
      <c r="E1028" s="4" t="n">
        <v>46304.62425855784</v>
      </c>
      <c r="F1028" s="4" t="n">
        <v>46304.62425855793</v>
      </c>
      <c r="G1028" t="b">
        <v>1</v>
      </c>
      <c r="H1028" s="3" t="inlineStr">
        <is>
          <t>Added fraction 0.002989934723946110823563700685 of cost base adjustment 01a1212c-a31f-7418-b8c4-7e234f854ae3 | 2024-06-30 | Adjustment of VGS | Cost base increase = A$609.24</t>
        </is>
      </c>
      <c r="I1028" t="inlineStr">
        <is>
          <t>cost base adjustment allocation</t>
        </is>
      </c>
      <c r="J1028" s="5" t="inlineStr">
        <is>
          <t>01a1212c-a33e-767d-971e-2989e375328d</t>
        </is>
      </c>
    </row>
    <row r="1029">
      <c r="A1029" s="5" t="inlineStr">
        <is>
          <t>01a1212c-a34a-76d3-9576-298b12e76ab9</t>
        </is>
      </c>
      <c r="D1029" s="5" t="inlineStr">
        <is>
          <t>01a1212c-4b57-70cf-80fd-c2192cb3bf81</t>
        </is>
      </c>
      <c r="E1029" s="4" t="n">
        <v>46304.62425864636</v>
      </c>
      <c r="F1029" s="4" t="n">
        <v>46304.62425864644</v>
      </c>
      <c r="G1029" t="b">
        <v>1</v>
      </c>
      <c r="H1029" s="3" t="inlineStr">
        <is>
          <t>Added fraction 0.003919578293576414188873422747 of cost base adjustment 01a1212c-a31f-7418-b8c4-7e234f854ae3 | 2024-06-30 | Adjustment of VGS | Cost base increase = A$609.24</t>
        </is>
      </c>
      <c r="I1029" t="inlineStr">
        <is>
          <t>cost base adjustment allocation</t>
        </is>
      </c>
      <c r="J1029" s="5" t="inlineStr">
        <is>
          <t>01a1212c-a344-70ae-b4a8-fc85c1ace0dd</t>
        </is>
      </c>
    </row>
    <row r="1030">
      <c r="A1030" s="5" t="inlineStr">
        <is>
          <t>01a1212c-a378-7449-b4b0-3164f6c86e79</t>
        </is>
      </c>
      <c r="D1030" s="5" t="inlineStr">
        <is>
          <t>01a1212c-4b57-70cf-80fd-c2192cb3bf81</t>
        </is>
      </c>
      <c r="E1030" s="4" t="n">
        <v>46304.62425917444</v>
      </c>
      <c r="F1030" s="4" t="n">
        <v>46304.62425917458</v>
      </c>
      <c r="G1030" t="b">
        <v>1</v>
      </c>
      <c r="H1030" s="3" t="inlineStr">
        <is>
          <t>Added fraction 0.004055256003738674680026733534 of cost base adjustment 01a1212c-a31f-7418-b8c4-7e234f854ae3 | 2024-06-30 | Adjustment of VGS | Cost base increase = A$609.24</t>
        </is>
      </c>
      <c r="I1030" t="inlineStr">
        <is>
          <t>cost base adjustment allocation</t>
        </is>
      </c>
      <c r="J1030" s="5" t="inlineStr">
        <is>
          <t>01a1212c-a34b-73b2-b3e1-0eda400e0e35</t>
        </is>
      </c>
    </row>
    <row r="1031">
      <c r="A1031" s="5" t="inlineStr">
        <is>
          <t>01a1212c-a37e-71b3-b36e-7682d31452f2</t>
        </is>
      </c>
      <c r="D1031" s="5" t="inlineStr">
        <is>
          <t>01a1212c-4b57-70cf-80fd-c2192cb3bf81</t>
        </is>
      </c>
      <c r="E1031" s="4" t="n">
        <v>46304.62425924434</v>
      </c>
      <c r="F1031" s="4" t="n">
        <v>46304.62425924442</v>
      </c>
      <c r="G1031" t="b">
        <v>1</v>
      </c>
      <c r="H1031" s="3" t="inlineStr">
        <is>
          <t>Added fraction 0.004904497967346897754282641796 of cost base adjustment 01a1212c-a31f-7418-b8c4-7e234f854ae3 | 2024-06-30 | Adjustment of VGS | Cost base increase = A$609.24</t>
        </is>
      </c>
      <c r="I1031" t="inlineStr">
        <is>
          <t>cost base adjustment allocation</t>
        </is>
      </c>
      <c r="J1031" s="5" t="inlineStr">
        <is>
          <t>01a1212c-a379-77ab-960f-a4a76bde8a0f</t>
        </is>
      </c>
    </row>
    <row r="1032">
      <c r="A1032" s="5" t="inlineStr">
        <is>
          <t>01a1212c-a384-774b-9805-b0de43689852</t>
        </is>
      </c>
      <c r="D1032" s="5" t="inlineStr">
        <is>
          <t>01a1212c-4b57-70cf-80fd-c2192cb3bf81</t>
        </is>
      </c>
      <c r="E1032" s="4" t="n">
        <v>46304.62425931083</v>
      </c>
      <c r="F1032" s="4" t="n">
        <v>46304.62425931091</v>
      </c>
      <c r="G1032" t="b">
        <v>1</v>
      </c>
      <c r="H1032" s="3" t="inlineStr">
        <is>
          <t>Added fraction 0.005517560213265259973567972020 of cost base adjustment 01a1212c-a31f-7418-b8c4-7e234f854ae3 | 2024-06-30 | Adjustment of VGS | Cost base increase = A$609.24</t>
        </is>
      </c>
      <c r="I1032" t="inlineStr">
        <is>
          <t>cost base adjustment allocation</t>
        </is>
      </c>
      <c r="J1032" s="5" t="inlineStr">
        <is>
          <t>01a1212c-a37f-750c-905b-b70822251257</t>
        </is>
      </c>
    </row>
    <row r="1033">
      <c r="A1033" s="5" t="inlineStr">
        <is>
          <t>01a1212c-a38a-7737-9552-4fa84b6c8f46</t>
        </is>
      </c>
      <c r="D1033" s="5" t="inlineStr">
        <is>
          <t>01a1212c-4b57-70cf-80fd-c2192cb3bf81</t>
        </is>
      </c>
      <c r="E1033" s="4" t="n">
        <v>46304.62425938401</v>
      </c>
      <c r="F1033" s="4" t="n">
        <v>46304.62425938409</v>
      </c>
      <c r="G1033" t="b">
        <v>1</v>
      </c>
      <c r="H1033" s="3" t="inlineStr">
        <is>
          <t>Added fraction 0.005517560213265259973567972020 of cost base adjustment 01a1212c-a31f-7418-b8c4-7e234f854ae3 | 2024-06-30 | Adjustment of VGS | Cost base increase = A$609.24</t>
        </is>
      </c>
      <c r="I1033" t="inlineStr">
        <is>
          <t>cost base adjustment allocation</t>
        </is>
      </c>
      <c r="J1033" s="5" t="inlineStr">
        <is>
          <t>01a1212c-a385-7360-a195-5814e0d0e327</t>
        </is>
      </c>
    </row>
    <row r="1034">
      <c r="A1034" s="5" t="inlineStr">
        <is>
          <t>01a1212c-a390-7798-b212-0cc0d396c663</t>
        </is>
      </c>
      <c r="D1034" s="5" t="inlineStr">
        <is>
          <t>01a1212c-4b57-70cf-80fd-c2192cb3bf81</t>
        </is>
      </c>
      <c r="E1034" s="4" t="n">
        <v>46304.62425945143</v>
      </c>
      <c r="F1034" s="4" t="n">
        <v>46304.62425945151</v>
      </c>
      <c r="G1034" t="b">
        <v>1</v>
      </c>
      <c r="H1034" s="3" t="inlineStr">
        <is>
          <t>Added fraction 0.005517560213265259973567972020 of cost base adjustment 01a1212c-a31f-7418-b8c4-7e234f854ae3 | 2024-06-30 | Adjustment of VGS | Cost base increase = A$609.24</t>
        </is>
      </c>
      <c r="I1034" t="inlineStr">
        <is>
          <t>cost base adjustment allocation</t>
        </is>
      </c>
      <c r="J1034" s="5" t="inlineStr">
        <is>
          <t>01a1212c-a38b-704e-82c0-055ac468b722</t>
        </is>
      </c>
    </row>
    <row r="1035">
      <c r="A1035" s="5" t="inlineStr">
        <is>
          <t>01a1212c-a396-7346-a0ef-47956224df09</t>
        </is>
      </c>
      <c r="D1035" s="5" t="inlineStr">
        <is>
          <t>01a1212c-4b57-70cf-80fd-c2192cb3bf81</t>
        </is>
      </c>
      <c r="E1035" s="4" t="n">
        <v>46304.62425951771</v>
      </c>
      <c r="F1035" s="4" t="n">
        <v>46304.62425951779</v>
      </c>
      <c r="G1035" t="b">
        <v>1</v>
      </c>
      <c r="H1035" s="3" t="inlineStr">
        <is>
          <t>Added fraction 0.005628112421545620373766965995 of cost base adjustment 01a1212c-a31f-7418-b8c4-7e234f854ae3 | 2024-06-30 | Adjustment of VGS | Cost base increase = A$609.24</t>
        </is>
      </c>
      <c r="I1035" t="inlineStr">
        <is>
          <t>cost base adjustment allocation</t>
        </is>
      </c>
      <c r="J1035" s="5" t="inlineStr">
        <is>
          <t>01a1212c-a391-7033-a7cd-742afae4ae63</t>
        </is>
      </c>
    </row>
    <row r="1036">
      <c r="A1036" s="5" t="inlineStr">
        <is>
          <t>01a1212c-a39c-7753-86f1-e6ce2954a064</t>
        </is>
      </c>
      <c r="D1036" s="5" t="inlineStr">
        <is>
          <t>01a1212c-4b57-70cf-80fd-c2192cb3bf81</t>
        </is>
      </c>
      <c r="E1036" s="4" t="n">
        <v>46304.62425958458</v>
      </c>
      <c r="F1036" s="4" t="n">
        <v>46304.62425958466</v>
      </c>
      <c r="G1036" t="b">
        <v>1</v>
      </c>
      <c r="H1036" s="3" t="inlineStr">
        <is>
          <t>Added fraction 0.006046870786243955223005579536 of cost base adjustment 01a1212c-a31f-7418-b8c4-7e234f854ae3 | 2024-06-30 | Adjustment of VGS | Cost base increase = A$609.24</t>
        </is>
      </c>
      <c r="I1036" t="inlineStr">
        <is>
          <t>cost base adjustment allocation</t>
        </is>
      </c>
      <c r="J1036" s="5" t="inlineStr">
        <is>
          <t>01a1212c-a396-7346-a0ef-47966dd83296</t>
        </is>
      </c>
    </row>
    <row r="1037">
      <c r="A1037" s="5" t="inlineStr">
        <is>
          <t>01a1212c-a3a1-74d8-8cff-871577829097</t>
        </is>
      </c>
      <c r="D1037" s="5" t="inlineStr">
        <is>
          <t>01a1212c-4b57-70cf-80fd-c2192cb3bf81</t>
        </is>
      </c>
      <c r="E1037" s="4" t="n">
        <v>46304.62425965111</v>
      </c>
      <c r="F1037" s="4" t="n">
        <v>46304.62425965119</v>
      </c>
      <c r="G1037" t="b">
        <v>1</v>
      </c>
      <c r="H1037" s="3" t="inlineStr">
        <is>
          <t>Added fraction 0.006130622459183622192853302245 of cost base adjustment 01a1212c-a31f-7418-b8c4-7e234f854ae3 | 2024-06-30 | Adjustment of VGS | Cost base increase = A$609.24</t>
        </is>
      </c>
      <c r="I1037" t="inlineStr">
        <is>
          <t>cost base adjustment allocation</t>
        </is>
      </c>
      <c r="J1037" s="5" t="inlineStr">
        <is>
          <t>01a1212c-a39c-7753-86f1-e6cf84aa5f75</t>
        </is>
      </c>
    </row>
    <row r="1038">
      <c r="A1038" s="5" t="inlineStr">
        <is>
          <t>01a1212c-a3a8-70ce-b499-8bcd5479f8b0</t>
        </is>
      </c>
      <c r="D1038" s="5" t="inlineStr">
        <is>
          <t>01a1212c-4b57-70cf-80fd-c2192cb3bf81</t>
        </is>
      </c>
      <c r="E1038" s="4" t="n">
        <v>46304.62425972351</v>
      </c>
      <c r="F1038" s="4" t="n">
        <v>46304.62425972359</v>
      </c>
      <c r="G1038" t="b">
        <v>1</v>
      </c>
      <c r="H1038" s="3" t="inlineStr">
        <is>
          <t>Added fraction 0.006130622459183622192853302245 of cost base adjustment 01a1212c-a31f-7418-b8c4-7e234f854ae3 | 2024-06-30 | Adjustment of VGS | Cost base increase = A$609.24</t>
        </is>
      </c>
      <c r="I1038" t="inlineStr">
        <is>
          <t>cost base adjustment allocation</t>
        </is>
      </c>
      <c r="J1038" s="5" t="inlineStr">
        <is>
          <t>01a1212c-a3a2-7049-a60e-8f45821e58b7</t>
        </is>
      </c>
    </row>
    <row r="1039">
      <c r="A1039" s="5" t="inlineStr">
        <is>
          <t>01a1212c-a3ad-70ac-a165-9e73bf4cf49d</t>
        </is>
      </c>
      <c r="D1039" s="5" t="inlineStr">
        <is>
          <t>01a1212c-4b57-70cf-80fd-c2192cb3bf81</t>
        </is>
      </c>
      <c r="E1039" s="4" t="n">
        <v>46304.62425979038</v>
      </c>
      <c r="F1039" s="4" t="n">
        <v>46304.62425979046</v>
      </c>
      <c r="G1039" t="b">
        <v>1</v>
      </c>
      <c r="H1039" s="3" t="inlineStr">
        <is>
          <t>Added fraction 0.006554405924258337060282779149 of cost base adjustment 01a1212c-a31f-7418-b8c4-7e234f854ae3 | 2024-06-30 | Adjustment of VGS | Cost base increase = A$609.24</t>
        </is>
      </c>
      <c r="I1039" t="inlineStr">
        <is>
          <t>cost base adjustment allocation</t>
        </is>
      </c>
      <c r="J1039" s="5" t="inlineStr">
        <is>
          <t>01a1212c-a3a8-70ce-b499-8bce4935a359</t>
        </is>
      </c>
    </row>
    <row r="1040">
      <c r="A1040" s="5" t="inlineStr">
        <is>
          <t>01a1212c-a3b3-70b1-9327-7cbee9eb9c9b</t>
        </is>
      </c>
      <c r="D1040" s="5" t="inlineStr">
        <is>
          <t>01a1212c-4b57-70cf-80fd-c2192cb3bf81</t>
        </is>
      </c>
      <c r="E1040" s="4" t="n">
        <v>46304.62425985708</v>
      </c>
      <c r="F1040" s="4" t="n">
        <v>46304.62425985716</v>
      </c>
      <c r="G1040" t="b">
        <v>1</v>
      </c>
      <c r="H1040" s="3" t="inlineStr">
        <is>
          <t>Added fraction 0.006743684705101984412138632469 of cost base adjustment 01a1212c-a31f-7418-b8c4-7e234f854ae3 | 2024-06-30 | Adjustment of VGS | Cost base increase = A$609.24</t>
        </is>
      </c>
      <c r="I1040" t="inlineStr">
        <is>
          <t>cost base adjustment allocation</t>
        </is>
      </c>
      <c r="J1040" s="5" t="inlineStr">
        <is>
          <t>01a1212c-a3ae-76c3-917c-e606e6be4568</t>
        </is>
      </c>
    </row>
    <row r="1041">
      <c r="A1041" s="5" t="inlineStr">
        <is>
          <t>01a1212c-a3ba-73d9-ac66-23ba55d33c7c</t>
        </is>
      </c>
      <c r="D1041" s="5" t="inlineStr">
        <is>
          <t>01a1212c-4b57-70cf-80fd-c2192cb3bf81</t>
        </is>
      </c>
      <c r="E1041" s="4" t="n">
        <v>46304.62425993192</v>
      </c>
      <c r="F1041" s="4" t="n">
        <v>46304.624259932</v>
      </c>
      <c r="G1041" t="b">
        <v>1</v>
      </c>
      <c r="H1041" s="3" t="inlineStr">
        <is>
          <t>Added fraction 0.007229444408152052837255424177 of cost base adjustment 01a1212c-a31f-7418-b8c4-7e234f854ae3 | 2024-06-30 | Adjustment of VGS | Cost base increase = A$609.24</t>
        </is>
      </c>
      <c r="I1041" t="inlineStr">
        <is>
          <t>cost base adjustment allocation</t>
        </is>
      </c>
      <c r="J1041" s="5" t="inlineStr">
        <is>
          <t>01a1212c-a3b4-7501-83f4-072f7b7d1943</t>
        </is>
      </c>
    </row>
    <row r="1042">
      <c r="A1042" s="5" t="inlineStr">
        <is>
          <t>01a1212c-a3bf-7516-9d7c-190eac881ff3</t>
        </is>
      </c>
      <c r="D1042" s="5" t="inlineStr">
        <is>
          <t>01a1212c-4b57-70cf-80fd-c2192cb3bf81</t>
        </is>
      </c>
      <c r="E1042" s="4" t="n">
        <v>46304.62426000019</v>
      </c>
      <c r="F1042" s="4" t="n">
        <v>46304.62426000025</v>
      </c>
      <c r="G1042" t="b">
        <v>1</v>
      </c>
      <c r="H1042" s="3" t="inlineStr">
        <is>
          <t>Added fraction 0.007296445746503786413133602344 of cost base adjustment 01a1212c-a31f-7418-b8c4-7e234f854ae3 | 2024-06-30 | Adjustment of VGS | Cost base increase = A$609.24</t>
        </is>
      </c>
      <c r="I1042" t="inlineStr">
        <is>
          <t>cost base adjustment allocation</t>
        </is>
      </c>
      <c r="J1042" s="5" t="inlineStr">
        <is>
          <t>01a1212c-a3ba-73d9-ac66-23bbbd0b8539</t>
        </is>
      </c>
    </row>
    <row r="1043">
      <c r="A1043" s="5" t="inlineStr">
        <is>
          <t>01a1212c-a3c5-72f3-916b-6336b408ce05</t>
        </is>
      </c>
      <c r="D1043" s="5" t="inlineStr">
        <is>
          <t>01a1212c-4b57-70cf-80fd-c2192cb3bf81</t>
        </is>
      </c>
      <c r="E1043" s="4" t="n">
        <v>46304.62426006929</v>
      </c>
      <c r="F1043" s="4" t="n">
        <v>46304.62426006937</v>
      </c>
      <c r="G1043" t="b">
        <v>1</v>
      </c>
      <c r="H1043" s="3" t="inlineStr">
        <is>
          <t>Added fraction 0.007356746951020346631423962694 of cost base adjustment 01a1212c-a31f-7418-b8c4-7e234f854ae3 | 2024-06-30 | Adjustment of VGS | Cost base increase = A$609.24</t>
        </is>
      </c>
      <c r="I1043" t="inlineStr">
        <is>
          <t>cost base adjustment allocation</t>
        </is>
      </c>
      <c r="J1043" s="5" t="inlineStr">
        <is>
          <t>01a1212c-a3c0-721a-b00f-cb9ad473384b</t>
        </is>
      </c>
    </row>
    <row r="1044">
      <c r="A1044" s="5" t="inlineStr">
        <is>
          <t>01a1212c-a3cc-731d-a3fc-7b43553669e9</t>
        </is>
      </c>
      <c r="D1044" s="5" t="inlineStr">
        <is>
          <t>01a1212c-4b57-70cf-80fd-c2192cb3bf81</t>
        </is>
      </c>
      <c r="E1044" s="4" t="n">
        <v>46304.62426014022</v>
      </c>
      <c r="F1044" s="4" t="n">
        <v>46304.6242601403</v>
      </c>
      <c r="G1044" t="b">
        <v>1</v>
      </c>
      <c r="H1044" s="3" t="inlineStr">
        <is>
          <t>Added fraction 0.007356746951020346631423962694 of cost base adjustment 01a1212c-a31f-7418-b8c4-7e234f854ae3 | 2024-06-30 | Adjustment of VGS | Cost base increase = A$609.24</t>
        </is>
      </c>
      <c r="I1044" t="inlineStr">
        <is>
          <t>cost base adjustment allocation</t>
        </is>
      </c>
      <c r="J1044" s="5" t="inlineStr">
        <is>
          <t>01a1212c-a3c6-74c4-8ff9-405603a4bf28</t>
        </is>
      </c>
    </row>
    <row r="1045">
      <c r="A1045" s="5" t="inlineStr">
        <is>
          <t>01a1212c-a3d2-70d5-acc4-18a854497f0f</t>
        </is>
      </c>
      <c r="D1045" s="5" t="inlineStr">
        <is>
          <t>01a1212c-4b57-70cf-80fd-c2192cb3bf81</t>
        </is>
      </c>
      <c r="E1045" s="4" t="n">
        <v>46304.62426021159</v>
      </c>
      <c r="F1045" s="4" t="n">
        <v>46304.62426021167</v>
      </c>
      <c r="G1045" t="b">
        <v>1</v>
      </c>
      <c r="H1045" s="3" t="inlineStr">
        <is>
          <t>Added fraction 0.007356746951020346631423962694 of cost base adjustment 01a1212c-a31f-7418-b8c4-7e234f854ae3 | 2024-06-30 | Adjustment of VGS | Cost base increase = A$609.24</t>
        </is>
      </c>
      <c r="I1045" t="inlineStr">
        <is>
          <t>cost base adjustment allocation</t>
        </is>
      </c>
      <c r="J1045" s="5" t="inlineStr">
        <is>
          <t>01a1212c-a3cc-731d-a3fc-7b44f0855b78</t>
        </is>
      </c>
    </row>
    <row r="1046">
      <c r="A1046" s="5" t="inlineStr">
        <is>
          <t>01a1212c-a3d8-753e-8690-71ea1f7511f6</t>
        </is>
      </c>
      <c r="D1046" s="5" t="inlineStr">
        <is>
          <t>01a1212c-4b57-70cf-80fd-c2192cb3bf81</t>
        </is>
      </c>
      <c r="E1046" s="4" t="n">
        <v>46304.62426027968</v>
      </c>
      <c r="F1046" s="4" t="n">
        <v>46304.62426027976</v>
      </c>
      <c r="G1046" t="b">
        <v>1</v>
      </c>
      <c r="H1046" s="3" t="inlineStr">
        <is>
          <t>Added fraction 0.007356746951020346631423962694 of cost base adjustment 01a1212c-a31f-7418-b8c4-7e234f854ae3 | 2024-06-30 | Adjustment of VGS | Cost base increase = A$609.24</t>
        </is>
      </c>
      <c r="I1046" t="inlineStr">
        <is>
          <t>cost base adjustment allocation</t>
        </is>
      </c>
      <c r="J1046" s="5" t="inlineStr">
        <is>
          <t>01a1212c-a3d2-70d5-acc4-18a94efa5642</t>
        </is>
      </c>
    </row>
    <row r="1047">
      <c r="A1047" s="5" t="inlineStr">
        <is>
          <t>01a1212c-a3dd-766d-98c0-48ccc450a017</t>
        </is>
      </c>
      <c r="D1047" s="5" t="inlineStr">
        <is>
          <t>01a1212c-4b57-70cf-80fd-c2192cb3bf81</t>
        </is>
      </c>
      <c r="E1047" s="4" t="n">
        <v>46304.62426034728</v>
      </c>
      <c r="F1047" s="4" t="n">
        <v>46304.62426034735</v>
      </c>
      <c r="G1047" t="b">
        <v>1</v>
      </c>
      <c r="H1047" s="3" t="inlineStr">
        <is>
          <t>Added fraction 0.007969809196938708850709292918 of cost base adjustment 01a1212c-a31f-7418-b8c4-7e234f854ae3 | 2024-06-30 | Adjustment of VGS | Cost base increase = A$609.24</t>
        </is>
      </c>
      <c r="I1047" t="inlineStr">
        <is>
          <t>cost base adjustment allocation</t>
        </is>
      </c>
      <c r="J1047" s="5" t="inlineStr">
        <is>
          <t>01a1212c-a3d8-753e-8690-71eb2935ec0c</t>
        </is>
      </c>
    </row>
    <row r="1048">
      <c r="A1048" s="5" t="inlineStr">
        <is>
          <t>01a1212c-a3e3-745a-b369-1adb5f86def2</t>
        </is>
      </c>
      <c r="D1048" s="5" t="inlineStr">
        <is>
          <t>01a1212c-4b57-70cf-80fd-c2192cb3bf81</t>
        </is>
      </c>
      <c r="E1048" s="4" t="n">
        <v>46304.62426041735</v>
      </c>
      <c r="F1048" s="4" t="n">
        <v>46304.62426041743</v>
      </c>
      <c r="G1048" t="b">
        <v>1</v>
      </c>
      <c r="H1048" s="3" t="inlineStr">
        <is>
          <t>Added fraction 0.007969809196938708850709292918 of cost base adjustment 01a1212c-a31f-7418-b8c4-7e234f854ae3 | 2024-06-30 | Adjustment of VGS | Cost base increase = A$609.24</t>
        </is>
      </c>
      <c r="I1048" t="inlineStr">
        <is>
          <t>cost base adjustment allocation</t>
        </is>
      </c>
      <c r="J1048" s="5" t="inlineStr">
        <is>
          <t>01a1212c-a3de-75e7-a72f-31c3c727a533</t>
        </is>
      </c>
    </row>
    <row r="1049">
      <c r="A1049" s="5" t="inlineStr">
        <is>
          <t>01a1212c-a3e9-7341-b79a-aec3b93ac6f7</t>
        </is>
      </c>
      <c r="D1049" s="5" t="inlineStr">
        <is>
          <t>01a1212c-4b57-70cf-80fd-c2192cb3bf81</t>
        </is>
      </c>
      <c r="E1049" s="4" t="n">
        <v>46304.6242604869</v>
      </c>
      <c r="F1049" s="4" t="n">
        <v>46304.62426048698</v>
      </c>
      <c r="G1049" t="b">
        <v>1</v>
      </c>
      <c r="H1049" s="3" t="inlineStr">
        <is>
          <t>Added fraction 0.007969809196938708850709292918 of cost base adjustment 01a1212c-a31f-7418-b8c4-7e234f854ae3 | 2024-06-30 | Adjustment of VGS | Cost base increase = A$609.24</t>
        </is>
      </c>
      <c r="I1049" t="inlineStr">
        <is>
          <t>cost base adjustment allocation</t>
        </is>
      </c>
      <c r="J1049" s="5" t="inlineStr">
        <is>
          <t>01a1212c-a3e4-77d4-8380-157f4887f3b6</t>
        </is>
      </c>
    </row>
    <row r="1050">
      <c r="A1050" s="5" t="inlineStr">
        <is>
          <t>01a1212c-a3f0-75b3-991a-3e7b51d5a3d6</t>
        </is>
      </c>
      <c r="D1050" s="5" t="inlineStr">
        <is>
          <t>01a1212c-4b57-70cf-80fd-c2192cb3bf81</t>
        </is>
      </c>
      <c r="E1050" s="4" t="n">
        <v>46304.62426055913</v>
      </c>
      <c r="F1050" s="4" t="n">
        <v>46304.62426055923</v>
      </c>
      <c r="G1050" t="b">
        <v>1</v>
      </c>
      <c r="H1050" s="3" t="inlineStr">
        <is>
          <t>Added fraction 0.008582871442857071069994623143 of cost base adjustment 01a1212c-a31f-7418-b8c4-7e234f854ae3 | 2024-06-30 | Adjustment of VGS | Cost base increase = A$609.24</t>
        </is>
      </c>
      <c r="I1050" t="inlineStr">
        <is>
          <t>cost base adjustment allocation</t>
        </is>
      </c>
      <c r="J1050" s="5" t="inlineStr">
        <is>
          <t>01a1212c-a3ea-7093-9eb2-076cae5f91c1</t>
        </is>
      </c>
    </row>
    <row r="1051">
      <c r="A1051" s="5" t="inlineStr">
        <is>
          <t>01a1212c-a3f7-71ff-93e2-89e534a46e2a</t>
        </is>
      </c>
      <c r="D1051" s="5" t="inlineStr">
        <is>
          <t>01a1212c-4b57-70cf-80fd-c2192cb3bf81</t>
        </is>
      </c>
      <c r="E1051" s="4" t="n">
        <v>46304.62426064007</v>
      </c>
      <c r="F1051" s="4" t="n">
        <v>46304.62426064017</v>
      </c>
      <c r="G1051" t="b">
        <v>1</v>
      </c>
      <c r="H1051" s="3" t="inlineStr">
        <is>
          <t>Added fraction 0.008582871442857071069994623143 of cost base adjustment 01a1212c-a31f-7418-b8c4-7e234f854ae3 | 2024-06-30 | Adjustment of VGS | Cost base increase = A$609.24</t>
        </is>
      </c>
      <c r="I1051" t="inlineStr">
        <is>
          <t>cost base adjustment allocation</t>
        </is>
      </c>
      <c r="J1051" s="5" t="inlineStr">
        <is>
          <t>01a1212c-a3f0-75b3-991a-3e7c20d7d8b9</t>
        </is>
      </c>
    </row>
    <row r="1052">
      <c r="A1052" s="5" t="inlineStr">
        <is>
          <t>01a1212c-a3fd-7515-92f7-830aefb2ad74</t>
        </is>
      </c>
      <c r="D1052" s="5" t="inlineStr">
        <is>
          <t>01a1212c-4b57-70cf-80fd-c2192cb3bf81</t>
        </is>
      </c>
      <c r="E1052" s="4" t="n">
        <v>46304.62426071378</v>
      </c>
      <c r="F1052" s="4" t="n">
        <v>46304.62426071389</v>
      </c>
      <c r="G1052" t="b">
        <v>1</v>
      </c>
      <c r="H1052" s="3" t="inlineStr">
        <is>
          <t>Added fraction 0.008582871442857071069994623143 of cost base adjustment 01a1212c-a31f-7418-b8c4-7e234f854ae3 | 2024-06-30 | Adjustment of VGS | Cost base increase = A$609.24</t>
        </is>
      </c>
      <c r="I1052" t="inlineStr">
        <is>
          <t>cost base adjustment allocation</t>
        </is>
      </c>
      <c r="J1052" s="5" t="inlineStr">
        <is>
          <t>01a1212c-a3f7-71ff-93e2-89e6398e940f</t>
        </is>
      </c>
    </row>
    <row r="1053">
      <c r="A1053" s="5" t="inlineStr">
        <is>
          <t>01a1212c-a403-73f2-9ace-9ad03b5b0875</t>
        </is>
      </c>
      <c r="D1053" s="5" t="inlineStr">
        <is>
          <t>01a1212c-4b57-70cf-80fd-c2192cb3bf81</t>
        </is>
      </c>
      <c r="E1053" s="4" t="n">
        <v>46304.62426078061</v>
      </c>
      <c r="F1053" s="4" t="n">
        <v>46304.62426078069</v>
      </c>
      <c r="G1053" t="b">
        <v>1</v>
      </c>
      <c r="H1053" s="3" t="inlineStr">
        <is>
          <t>Added fraction 0.008582871442857071069994623143 of cost base adjustment 01a1212c-a31f-7418-b8c4-7e234f854ae3 | 2024-06-30 | Adjustment of VGS | Cost base increase = A$609.24</t>
        </is>
      </c>
      <c r="I1053" t="inlineStr">
        <is>
          <t>cost base adjustment allocation</t>
        </is>
      </c>
      <c r="J1053" s="5" t="inlineStr">
        <is>
          <t>01a1212c-a3fe-7439-aad8-9a908224044a</t>
        </is>
      </c>
    </row>
    <row r="1054">
      <c r="A1054" s="5" t="inlineStr">
        <is>
          <t>01a1212c-a40a-7518-92ca-b2e98a7cc9ba</t>
        </is>
      </c>
      <c r="D1054" s="5" t="inlineStr">
        <is>
          <t>01a1212c-4b57-70cf-80fd-c2192cb3bf81</t>
        </is>
      </c>
      <c r="E1054" s="4" t="n">
        <v>46304.62426086231</v>
      </c>
      <c r="F1054" s="4" t="n">
        <v>46304.62426086239</v>
      </c>
      <c r="G1054" t="b">
        <v>1</v>
      </c>
      <c r="H1054" s="3" t="inlineStr">
        <is>
          <t>Added fraction 0.008582871442857071069994623143 of cost base adjustment 01a1212c-a31f-7418-b8c4-7e234f854ae3 | 2024-06-30 | Adjustment of VGS | Cost base increase = A$609.24</t>
        </is>
      </c>
      <c r="I1054" t="inlineStr">
        <is>
          <t>cost base adjustment allocation</t>
        </is>
      </c>
      <c r="J1054" s="5" t="inlineStr">
        <is>
          <t>01a1212c-a404-76e3-81a8-ae98c7f2c6d0</t>
        </is>
      </c>
    </row>
    <row r="1055">
      <c r="A1055" s="5" t="inlineStr">
        <is>
          <t>01a1212c-a410-7788-ad92-c04e028b2164</t>
        </is>
      </c>
      <c r="D1055" s="5" t="inlineStr">
        <is>
          <t>01a1212c-4b57-70cf-80fd-c2192cb3bf81</t>
        </is>
      </c>
      <c r="E1055" s="4" t="n">
        <v>46304.6242609309</v>
      </c>
      <c r="F1055" s="4" t="n">
        <v>46304.62426093098</v>
      </c>
      <c r="G1055" t="b">
        <v>1</v>
      </c>
      <c r="H1055" s="3" t="inlineStr">
        <is>
          <t>Added fraction 0.008582871442857071069994623143 of cost base adjustment 01a1212c-a31f-7418-b8c4-7e234f854ae3 | 2024-06-30 | Adjustment of VGS | Cost base increase = A$609.24</t>
        </is>
      </c>
      <c r="I1055" t="inlineStr">
        <is>
          <t>cost base adjustment allocation</t>
        </is>
      </c>
      <c r="J1055" s="5" t="inlineStr">
        <is>
          <t>01a1212c-a40b-77b5-8d0b-3ad78d3a6e91</t>
        </is>
      </c>
    </row>
    <row r="1056">
      <c r="A1056" s="5" t="inlineStr">
        <is>
          <t>01a1212c-a416-74bf-84d5-9fa5b44d6406</t>
        </is>
      </c>
      <c r="D1056" s="5" t="inlineStr">
        <is>
          <t>01a1212c-4b57-70cf-80fd-c2192cb3bf81</t>
        </is>
      </c>
      <c r="E1056" s="4" t="n">
        <v>46304.62426100742</v>
      </c>
      <c r="F1056" s="4" t="n">
        <v>46304.6242610075</v>
      </c>
      <c r="G1056" t="b">
        <v>1</v>
      </c>
      <c r="H1056" s="3" t="inlineStr">
        <is>
          <t>Added fraction 0.008582871442857071069994623143 of cost base adjustment 01a1212c-a31f-7418-b8c4-7e234f854ae3 | 2024-06-30 | Adjustment of VGS | Cost base increase = A$609.24</t>
        </is>
      </c>
      <c r="I1056" t="inlineStr">
        <is>
          <t>cost base adjustment allocation</t>
        </is>
      </c>
      <c r="J1056" s="5" t="inlineStr">
        <is>
          <t>01a1212c-a411-773e-8790-2ca511fdf94c</t>
        </is>
      </c>
    </row>
    <row r="1057">
      <c r="A1057" s="5" t="inlineStr">
        <is>
          <t>01a1212c-a41c-70d3-be7a-4d731375e81d</t>
        </is>
      </c>
      <c r="D1057" s="5" t="inlineStr">
        <is>
          <t>01a1212c-4b57-70cf-80fd-c2192cb3bf81</t>
        </is>
      </c>
      <c r="E1057" s="4" t="n">
        <v>46304.62426107401</v>
      </c>
      <c r="F1057" s="4" t="n">
        <v>46304.62426107409</v>
      </c>
      <c r="G1057" t="b">
        <v>1</v>
      </c>
      <c r="H1057" s="3" t="inlineStr">
        <is>
          <t>Added fraction 0.008582871442857071069994623143 of cost base adjustment 01a1212c-a31f-7418-b8c4-7e234f854ae3 | 2024-06-30 | Adjustment of VGS | Cost base increase = A$609.24</t>
        </is>
      </c>
      <c r="I1057" t="inlineStr">
        <is>
          <t>cost base adjustment allocation</t>
        </is>
      </c>
      <c r="J1057" s="5" t="inlineStr">
        <is>
          <t>01a1212c-a417-7393-898e-b6cb0d0d7b5b</t>
        </is>
      </c>
    </row>
    <row r="1058">
      <c r="A1058" s="5" t="inlineStr">
        <is>
          <t>01a1212c-a422-76f3-890a-baa8d37e8bd4</t>
        </is>
      </c>
      <c r="D1058" s="5" t="inlineStr">
        <is>
          <t>01a1212c-4b57-70cf-80fd-c2192cb3bf81</t>
        </is>
      </c>
      <c r="E1058" s="4" t="n">
        <v>46304.62426114339</v>
      </c>
      <c r="F1058" s="4" t="n">
        <v>46304.62426114347</v>
      </c>
      <c r="G1058" t="b">
        <v>1</v>
      </c>
      <c r="H1058" s="3" t="inlineStr">
        <is>
          <t>Added fraction 0.009195933688775433289279953367 of cost base adjustment 01a1212c-a31f-7418-b8c4-7e234f854ae3 | 2024-06-30 | Adjustment of VGS | Cost base increase = A$609.24</t>
        </is>
      </c>
      <c r="I1058" t="inlineStr">
        <is>
          <t>cost base adjustment allocation</t>
        </is>
      </c>
      <c r="J1058" s="5" t="inlineStr">
        <is>
          <t>01a1212c-a41d-75d5-a150-815101d4da88</t>
        </is>
      </c>
    </row>
    <row r="1059">
      <c r="A1059" s="5" t="inlineStr">
        <is>
          <t>01a1212c-a428-729e-90b5-9044382b371d</t>
        </is>
      </c>
      <c r="D1059" s="5" t="inlineStr">
        <is>
          <t>01a1212c-4b57-70cf-80fd-c2192cb3bf81</t>
        </is>
      </c>
      <c r="E1059" s="4" t="n">
        <v>46304.62426120997</v>
      </c>
      <c r="F1059" s="4" t="n">
        <v>46304.62426121006</v>
      </c>
      <c r="G1059" t="b">
        <v>1</v>
      </c>
      <c r="H1059" s="3" t="inlineStr">
        <is>
          <t>Added fraction 0.009195933688775433289279953367 of cost base adjustment 01a1212c-a31f-7418-b8c4-7e234f854ae3 | 2024-06-30 | Adjustment of VGS | Cost base increase = A$609.24</t>
        </is>
      </c>
      <c r="I1059" t="inlineStr">
        <is>
          <t>cost base adjustment allocation</t>
        </is>
      </c>
      <c r="J1059" s="5" t="inlineStr">
        <is>
          <t>01a1212c-a423-74e5-a925-b8e8afaab231</t>
        </is>
      </c>
    </row>
    <row r="1060">
      <c r="A1060" s="5" t="inlineStr">
        <is>
          <t>01a1212c-a42e-703d-ab64-657f72d0593c</t>
        </is>
      </c>
      <c r="D1060" s="5" t="inlineStr">
        <is>
          <t>01a1212c-4b57-70cf-80fd-c2192cb3bf81</t>
        </is>
      </c>
      <c r="E1060" s="4" t="n">
        <v>46304.62426127776</v>
      </c>
      <c r="F1060" s="4" t="n">
        <v>46304.62426127784</v>
      </c>
      <c r="G1060" t="b">
        <v>1</v>
      </c>
      <c r="H1060" s="3" t="inlineStr">
        <is>
          <t>Added fraction 0.009195933688775433289279953367 of cost base adjustment 01a1212c-a31f-7418-b8c4-7e234f854ae3 | 2024-06-30 | Adjustment of VGS | Cost base increase = A$609.24</t>
        </is>
      </c>
      <c r="I1060" t="inlineStr">
        <is>
          <t>cost base adjustment allocation</t>
        </is>
      </c>
      <c r="J1060" s="5" t="inlineStr">
        <is>
          <t>01a1212c-a429-73f6-b8dd-6cc6f1ee49bb</t>
        </is>
      </c>
    </row>
    <row r="1061">
      <c r="A1061" s="5" t="inlineStr">
        <is>
          <t>01a1212c-a434-711e-9431-ede2ddf7d4f8</t>
        </is>
      </c>
      <c r="D1061" s="5" t="inlineStr">
        <is>
          <t>01a1212c-4b57-70cf-80fd-c2192cb3bf81</t>
        </is>
      </c>
      <c r="E1061" s="4" t="n">
        <v>46304.62426134702</v>
      </c>
      <c r="F1061" s="4" t="n">
        <v>46304.62426134715</v>
      </c>
      <c r="G1061" t="b">
        <v>1</v>
      </c>
      <c r="H1061" s="3" t="inlineStr">
        <is>
          <t>Added fraction 0.009195933688775433289279953367 of cost base adjustment 01a1212c-a31f-7418-b8c4-7e234f854ae3 | 2024-06-30 | Adjustment of VGS | Cost base increase = A$609.24</t>
        </is>
      </c>
      <c r="I1061" t="inlineStr">
        <is>
          <t>cost base adjustment allocation</t>
        </is>
      </c>
      <c r="J1061" s="5" t="inlineStr">
        <is>
          <t>01a1212c-a42f-7639-b6af-02cec192ef43</t>
        </is>
      </c>
    </row>
    <row r="1062">
      <c r="A1062" s="5" t="inlineStr">
        <is>
          <t>01a1212c-a43b-72bc-a11c-2e4c5988583a</t>
        </is>
      </c>
      <c r="D1062" s="5" t="inlineStr">
        <is>
          <t>01a1212c-4b57-70cf-80fd-c2192cb3bf81</t>
        </is>
      </c>
      <c r="E1062" s="4" t="n">
        <v>46304.62426143215</v>
      </c>
      <c r="F1062" s="4" t="n">
        <v>46304.62426143225</v>
      </c>
      <c r="G1062" t="b">
        <v>1</v>
      </c>
      <c r="H1062" s="3" t="inlineStr">
        <is>
          <t>Added fraction 0.009195933688775433289279953367 of cost base adjustment 01a1212c-a31f-7418-b8c4-7e234f854ae3 | 2024-06-30 | Adjustment of VGS | Cost base increase = A$609.24</t>
        </is>
      </c>
      <c r="I1062" t="inlineStr">
        <is>
          <t>cost base adjustment allocation</t>
        </is>
      </c>
      <c r="J1062" s="5" t="inlineStr">
        <is>
          <t>01a1212c-a435-746d-9651-a3909ef15c8b</t>
        </is>
      </c>
    </row>
    <row r="1063">
      <c r="A1063" s="5" t="inlineStr">
        <is>
          <t>01a1212c-a442-766c-89c0-8f16913fef54</t>
        </is>
      </c>
      <c r="D1063" s="5" t="inlineStr">
        <is>
          <t>01a1212c-4b57-70cf-80fd-c2192cb3bf81</t>
        </is>
      </c>
      <c r="E1063" s="4" t="n">
        <v>46304.62426150653</v>
      </c>
      <c r="F1063" s="4" t="n">
        <v>46304.62426150667</v>
      </c>
      <c r="G1063" t="b">
        <v>1</v>
      </c>
      <c r="H1063" s="3" t="inlineStr">
        <is>
          <t>Added fraction 0.009195933688775433289279953367 of cost base adjustment 01a1212c-a31f-7418-b8c4-7e234f854ae3 | 2024-06-30 | Adjustment of VGS | Cost base increase = A$609.24</t>
        </is>
      </c>
      <c r="I1063" t="inlineStr">
        <is>
          <t>cost base adjustment allocation</t>
        </is>
      </c>
      <c r="J1063" s="5" t="inlineStr">
        <is>
          <t>01a1212c-a43c-72f8-802b-ea5d05050a40</t>
        </is>
      </c>
    </row>
    <row r="1064">
      <c r="A1064" s="5" t="inlineStr">
        <is>
          <t>01a1212c-a449-77a4-ab21-19e4d16d15b2</t>
        </is>
      </c>
      <c r="D1064" s="5" t="inlineStr">
        <is>
          <t>01a1212c-4b57-70cf-80fd-c2192cb3bf81</t>
        </is>
      </c>
      <c r="E1064" s="4" t="n">
        <v>46304.62426159634</v>
      </c>
      <c r="F1064" s="4" t="n">
        <v>46304.62426159649</v>
      </c>
      <c r="G1064" t="b">
        <v>1</v>
      </c>
      <c r="H1064" s="3" t="inlineStr">
        <is>
          <t>Added fraction 0.009195933688775433289279953367 of cost base adjustment 01a1212c-a31f-7418-b8c4-7e234f854ae3 | 2024-06-30 | Adjustment of VGS | Cost base increase = A$609.24</t>
        </is>
      </c>
      <c r="I1064" t="inlineStr">
        <is>
          <t>cost base adjustment allocation</t>
        </is>
      </c>
      <c r="J1064" s="5" t="inlineStr">
        <is>
          <t>01a1212c-a443-7199-84e7-08f7417761e9</t>
        </is>
      </c>
    </row>
    <row r="1065">
      <c r="A1065" s="5" t="inlineStr">
        <is>
          <t>01a1212c-a44f-739f-92c1-1e27f3540098</t>
        </is>
      </c>
      <c r="D1065" s="5" t="inlineStr">
        <is>
          <t>01a1212c-4b57-70cf-80fd-c2192cb3bf81</t>
        </is>
      </c>
      <c r="E1065" s="4" t="n">
        <v>46304.62426166413</v>
      </c>
      <c r="F1065" s="4" t="n">
        <v>46304.62426166421</v>
      </c>
      <c r="G1065" t="b">
        <v>1</v>
      </c>
      <c r="H1065" s="3" t="inlineStr">
        <is>
          <t>Added fraction 0.009195933688775433289279953367 of cost base adjustment 01a1212c-a31f-7418-b8c4-7e234f854ae3 | 2024-06-30 | Adjustment of VGS | Cost base increase = A$609.24</t>
        </is>
      </c>
      <c r="I1065" t="inlineStr">
        <is>
          <t>cost base adjustment allocation</t>
        </is>
      </c>
      <c r="J1065" s="5" t="inlineStr">
        <is>
          <t>01a1212c-a44a-7657-a25c-2d4ed568fc89</t>
        </is>
      </c>
    </row>
    <row r="1066">
      <c r="A1066" s="5" t="inlineStr">
        <is>
          <t>01a1212c-a456-71db-8516-a6910904f151</t>
        </is>
      </c>
      <c r="D1066" s="5" t="inlineStr">
        <is>
          <t>01a1212c-4b57-70cf-80fd-c2192cb3bf81</t>
        </is>
      </c>
      <c r="E1066" s="4" t="n">
        <v>46304.62426174235</v>
      </c>
      <c r="F1066" s="4" t="n">
        <v>46304.62426174243</v>
      </c>
      <c r="G1066" t="b">
        <v>1</v>
      </c>
      <c r="H1066" s="3" t="inlineStr">
        <is>
          <t>Added fraction 0.009808995934693795508565283592 of cost base adjustment 01a1212c-a31f-7418-b8c4-7e234f854ae3 | 2024-06-30 | Adjustment of VGS | Cost base increase = A$609.24</t>
        </is>
      </c>
      <c r="I1066" t="inlineStr">
        <is>
          <t>cost base adjustment allocation</t>
        </is>
      </c>
      <c r="J1066" s="5" t="inlineStr">
        <is>
          <t>01a1212c-a450-72ce-b769-c287d553f107</t>
        </is>
      </c>
    </row>
    <row r="1067">
      <c r="A1067" s="5" t="inlineStr">
        <is>
          <t>01a1212c-a45c-7227-b9fa-fa9a5d3c1eee</t>
        </is>
      </c>
      <c r="D1067" s="5" t="inlineStr">
        <is>
          <t>01a1212c-4b57-70cf-80fd-c2192cb3bf81</t>
        </is>
      </c>
      <c r="E1067" s="4" t="n">
        <v>46304.62426181242</v>
      </c>
      <c r="F1067" s="4" t="n">
        <v>46304.62426181249</v>
      </c>
      <c r="G1067" t="b">
        <v>1</v>
      </c>
      <c r="H1067" s="3" t="inlineStr">
        <is>
          <t>Added fraction 0.009808995934693795508565283592 of cost base adjustment 01a1212c-a31f-7418-b8c4-7e234f854ae3 | 2024-06-30 | Adjustment of VGS | Cost base increase = A$609.24</t>
        </is>
      </c>
      <c r="I1067" t="inlineStr">
        <is>
          <t>cost base adjustment allocation</t>
        </is>
      </c>
      <c r="J1067" s="5" t="inlineStr">
        <is>
          <t>01a1212c-a457-771e-89e8-cd3e824c32db</t>
        </is>
      </c>
    </row>
    <row r="1068">
      <c r="A1068" s="5" t="inlineStr">
        <is>
          <t>01a1212c-a462-746e-a77b-da47b94fbd64</t>
        </is>
      </c>
      <c r="D1068" s="5" t="inlineStr">
        <is>
          <t>01a1212c-4b57-70cf-80fd-c2192cb3bf81</t>
        </is>
      </c>
      <c r="E1068" s="4" t="n">
        <v>46304.62426187954</v>
      </c>
      <c r="F1068" s="4" t="n">
        <v>46304.62426187967</v>
      </c>
      <c r="G1068" t="b">
        <v>1</v>
      </c>
      <c r="H1068" s="3" t="inlineStr">
        <is>
          <t>Added fraction 0.009808995934693795508565283592 of cost base adjustment 01a1212c-a31f-7418-b8c4-7e234f854ae3 | 2024-06-30 | Adjustment of VGS | Cost base increase = A$609.24</t>
        </is>
      </c>
      <c r="I1068" t="inlineStr">
        <is>
          <t>cost base adjustment allocation</t>
        </is>
      </c>
      <c r="J1068" s="5" t="inlineStr">
        <is>
          <t>01a1212c-a45d-7298-852c-5b4c63214b48</t>
        </is>
      </c>
    </row>
    <row r="1069">
      <c r="A1069" s="5" t="inlineStr">
        <is>
          <t>01a1212c-a468-7306-aee3-46f0a8ef8bea</t>
        </is>
      </c>
      <c r="D1069" s="5" t="inlineStr">
        <is>
          <t>01a1212c-4b57-70cf-80fd-c2192cb3bf81</t>
        </is>
      </c>
      <c r="E1069" s="4" t="n">
        <v>46304.62426194595</v>
      </c>
      <c r="F1069" s="4" t="n">
        <v>46304.62426194602</v>
      </c>
      <c r="G1069" t="b">
        <v>1</v>
      </c>
      <c r="H1069" s="3" t="inlineStr">
        <is>
          <t>Added fraction 0.01042205818061215772785061382 of cost base adjustment 01a1212c-a31f-7418-b8c4-7e234f854ae3 | 2024-06-30 | Adjustment of VGS | Cost base increase = A$609.24</t>
        </is>
      </c>
      <c r="I1069" t="inlineStr">
        <is>
          <t>cost base adjustment allocation</t>
        </is>
      </c>
      <c r="J1069" s="5" t="inlineStr">
        <is>
          <t>01a1212c-a463-72fd-bc66-c83aff198f01</t>
        </is>
      </c>
    </row>
    <row r="1070">
      <c r="A1070" s="5" t="inlineStr">
        <is>
          <t>01a1212c-a46d-71c9-b76e-8f6467a55f5d</t>
        </is>
      </c>
      <c r="D1070" s="5" t="inlineStr">
        <is>
          <t>01a1212c-4b57-70cf-80fd-c2192cb3bf81</t>
        </is>
      </c>
      <c r="E1070" s="4" t="n">
        <v>46304.62426201067</v>
      </c>
      <c r="F1070" s="4" t="n">
        <v>46304.62426201075</v>
      </c>
      <c r="G1070" t="b">
        <v>1</v>
      </c>
      <c r="H1070" s="3" t="inlineStr">
        <is>
          <t>Added fraction 0.01042205818061215772785061382 of cost base adjustment 01a1212c-a31f-7418-b8c4-7e234f854ae3 | 2024-06-30 | Adjustment of VGS | Cost base increase = A$609.24</t>
        </is>
      </c>
      <c r="I1070" t="inlineStr">
        <is>
          <t>cost base adjustment allocation</t>
        </is>
      </c>
      <c r="J1070" s="5" t="inlineStr">
        <is>
          <t>01a1212c-a468-7306-aee3-46f158549d9c</t>
        </is>
      </c>
    </row>
    <row r="1071">
      <c r="A1071" s="5" t="inlineStr">
        <is>
          <t>01a1212c-a473-71be-94e1-6978bb929ef9</t>
        </is>
      </c>
      <c r="D1071" s="5" t="inlineStr">
        <is>
          <t>01a1212c-4b57-70cf-80fd-c2192cb3bf81</t>
        </is>
      </c>
      <c r="E1071" s="4" t="n">
        <v>46304.62426208366</v>
      </c>
      <c r="F1071" s="4" t="n">
        <v>46304.62426208375</v>
      </c>
      <c r="G1071" t="b">
        <v>1</v>
      </c>
      <c r="H1071" s="3" t="inlineStr">
        <is>
          <t>Added fraction 0.01103512042653051994713594404 of cost base adjustment 01a1212c-a31f-7418-b8c4-7e234f854ae3 | 2024-06-30 | Adjustment of VGS | Cost base increase = A$609.24</t>
        </is>
      </c>
      <c r="I1071" t="inlineStr">
        <is>
          <t>cost base adjustment allocation</t>
        </is>
      </c>
      <c r="J1071" s="5" t="inlineStr">
        <is>
          <t>01a1212c-a46e-7245-a0ae-6def1f7b4688</t>
        </is>
      </c>
    </row>
    <row r="1072">
      <c r="A1072" s="5" t="inlineStr">
        <is>
          <t>01a1212c-a47a-73a0-965f-60c8edac0dbd</t>
        </is>
      </c>
      <c r="D1072" s="5" t="inlineStr">
        <is>
          <t>01a1212c-4b57-70cf-80fd-c2192cb3bf81</t>
        </is>
      </c>
      <c r="E1072" s="4" t="n">
        <v>46304.6242621603</v>
      </c>
      <c r="F1072" s="4" t="n">
        <v>46304.62426216038</v>
      </c>
      <c r="G1072" t="b">
        <v>1</v>
      </c>
      <c r="H1072" s="3" t="inlineStr">
        <is>
          <t>Added fraction 0.01103512042653051994713594404 of cost base adjustment 01a1212c-a31f-7418-b8c4-7e234f854ae3 | 2024-06-30 | Adjustment of VGS | Cost base increase = A$609.24</t>
        </is>
      </c>
      <c r="I1072" t="inlineStr">
        <is>
          <t>cost base adjustment allocation</t>
        </is>
      </c>
      <c r="J1072" s="5" t="inlineStr">
        <is>
          <t>01a1212c-a474-70d6-834d-4e904a92bf22</t>
        </is>
      </c>
    </row>
    <row r="1073">
      <c r="A1073" s="5" t="inlineStr">
        <is>
          <t>01a1212c-a480-70a8-82c8-99d0e925c890</t>
        </is>
      </c>
      <c r="D1073" s="5" t="inlineStr">
        <is>
          <t>01a1212c-4b57-70cf-80fd-c2192cb3bf81</t>
        </is>
      </c>
      <c r="E1073" s="4" t="n">
        <v>46304.62426223172</v>
      </c>
      <c r="F1073" s="4" t="n">
        <v>46304.62426223183</v>
      </c>
      <c r="G1073" t="b">
        <v>1</v>
      </c>
      <c r="H1073" s="3" t="inlineStr">
        <is>
          <t>Added fraction 0.01103512042653051994713594404 of cost base adjustment 01a1212c-a31f-7418-b8c4-7e234f854ae3 | 2024-06-30 | Adjustment of VGS | Cost base increase = A$609.24</t>
        </is>
      </c>
      <c r="I1073" t="inlineStr">
        <is>
          <t>cost base adjustment allocation</t>
        </is>
      </c>
      <c r="J1073" s="5" t="inlineStr">
        <is>
          <t>01a1212c-a47b-7388-83fd-eac69897988e</t>
        </is>
      </c>
    </row>
    <row r="1074">
      <c r="A1074" s="5" t="inlineStr">
        <is>
          <t>01a1212c-a487-772a-9954-034ed7905b08</t>
        </is>
      </c>
      <c r="D1074" s="5" t="inlineStr">
        <is>
          <t>01a1212c-4b57-70cf-80fd-c2192cb3bf81</t>
        </is>
      </c>
      <c r="E1074" s="4" t="n">
        <v>46304.6242623049</v>
      </c>
      <c r="F1074" s="4" t="n">
        <v>46304.62426230498</v>
      </c>
      <c r="G1074" t="b">
        <v>1</v>
      </c>
      <c r="H1074" s="3" t="inlineStr">
        <is>
          <t>Added fraction 0.01164818267244888216642127426 of cost base adjustment 01a1212c-a31f-7418-b8c4-7e234f854ae3 | 2024-06-30 | Adjustment of VGS | Cost base increase = A$609.24</t>
        </is>
      </c>
      <c r="I1074" t="inlineStr">
        <is>
          <t>cost base adjustment allocation</t>
        </is>
      </c>
      <c r="J1074" s="5" t="inlineStr">
        <is>
          <t>01a1212c-a481-73e4-9d73-95dbcaacfe71</t>
        </is>
      </c>
    </row>
    <row r="1075">
      <c r="A1075" s="5" t="inlineStr">
        <is>
          <t>01a1212c-a48c-71f5-9078-eb74c988ec13</t>
        </is>
      </c>
      <c r="D1075" s="5" t="inlineStr">
        <is>
          <t>01a1212c-4b57-70cf-80fd-c2192cb3bf81</t>
        </is>
      </c>
      <c r="E1075" s="4" t="n">
        <v>46304.62426237377</v>
      </c>
      <c r="F1075" s="4" t="n">
        <v>46304.62426237387</v>
      </c>
      <c r="G1075" t="b">
        <v>1</v>
      </c>
      <c r="H1075" s="3" t="inlineStr">
        <is>
          <t>Added fraction 0.01164818267244888216642127426 of cost base adjustment 01a1212c-a31f-7418-b8c4-7e234f854ae3 | 2024-06-30 | Adjustment of VGS | Cost base increase = A$609.24</t>
        </is>
      </c>
      <c r="I1075" t="inlineStr">
        <is>
          <t>cost base adjustment allocation</t>
        </is>
      </c>
      <c r="J1075" s="5" t="inlineStr">
        <is>
          <t>01a1212c-a487-772a-9954-034f2bfb075b</t>
        </is>
      </c>
    </row>
    <row r="1076">
      <c r="A1076" s="5" t="inlineStr">
        <is>
          <t>01a1212c-a493-77a4-a728-445aa6a5ad6d</t>
        </is>
      </c>
      <c r="D1076" s="5" t="inlineStr">
        <is>
          <t>01a1212c-4b57-70cf-80fd-c2192cb3bf81</t>
        </is>
      </c>
      <c r="E1076" s="4" t="n">
        <v>46304.62426244767</v>
      </c>
      <c r="F1076" s="4" t="n">
        <v>46304.62426244777</v>
      </c>
      <c r="G1076" t="b">
        <v>1</v>
      </c>
      <c r="H1076" s="3" t="inlineStr">
        <is>
          <t>Added fraction 0.01164818267244888216642127426 of cost base adjustment 01a1212c-a31f-7418-b8c4-7e234f854ae3 | 2024-06-30 | Adjustment of VGS | Cost base increase = A$609.24</t>
        </is>
      </c>
      <c r="I1076" t="inlineStr">
        <is>
          <t>cost base adjustment allocation</t>
        </is>
      </c>
      <c r="J1076" s="5" t="inlineStr">
        <is>
          <t>01a1212c-a48d-76e2-b12a-619718f29244</t>
        </is>
      </c>
    </row>
    <row r="1077">
      <c r="A1077" s="5" t="inlineStr">
        <is>
          <t>01a1212c-a499-72e5-81bd-124e55a73f59</t>
        </is>
      </c>
      <c r="D1077" s="5" t="inlineStr">
        <is>
          <t>01a1212c-4b57-70cf-80fd-c2192cb3bf81</t>
        </is>
      </c>
      <c r="E1077" s="4" t="n">
        <v>46304.62426252045</v>
      </c>
      <c r="F1077" s="4" t="n">
        <v>46304.62426252053</v>
      </c>
      <c r="G1077" t="b">
        <v>1</v>
      </c>
      <c r="H1077" s="3" t="inlineStr">
        <is>
          <t>Added fraction 0.01226124491836724438570660449 of cost base adjustment 01a1212c-a31f-7418-b8c4-7e234f854ae3 | 2024-06-30 | Adjustment of VGS | Cost base increase = A$609.24</t>
        </is>
      </c>
      <c r="I1077" t="inlineStr">
        <is>
          <t>cost base adjustment allocation</t>
        </is>
      </c>
      <c r="J1077" s="5" t="inlineStr">
        <is>
          <t>01a1212c-a494-7351-ac42-c3178fd1c90f</t>
        </is>
      </c>
    </row>
    <row r="1078">
      <c r="A1078" s="5" t="inlineStr">
        <is>
          <t>01a1212c-a49f-7161-9155-15868127fa50</t>
        </is>
      </c>
      <c r="D1078" s="5" t="inlineStr">
        <is>
          <t>01a1212c-4b57-70cf-80fd-c2192cb3bf81</t>
        </is>
      </c>
      <c r="E1078" s="4" t="n">
        <v>46304.62426259117</v>
      </c>
      <c r="F1078" s="4" t="n">
        <v>46304.62426259125</v>
      </c>
      <c r="G1078" t="b">
        <v>1</v>
      </c>
      <c r="H1078" s="3" t="inlineStr">
        <is>
          <t>Added fraction 0.01226124491836724438570660449 of cost base adjustment 01a1212c-a31f-7418-b8c4-7e234f854ae3 | 2024-06-30 | Adjustment of VGS | Cost base increase = A$609.24</t>
        </is>
      </c>
      <c r="I1078" t="inlineStr">
        <is>
          <t>cost base adjustment allocation</t>
        </is>
      </c>
      <c r="J1078" s="5" t="inlineStr">
        <is>
          <t>01a1212c-a49a-753c-a45b-b119bb4b3179</t>
        </is>
      </c>
    </row>
    <row r="1079">
      <c r="A1079" s="5" t="inlineStr">
        <is>
          <t>01a1212c-a4a5-74d1-ae5c-3849c8df5edb</t>
        </is>
      </c>
      <c r="D1079" s="5" t="inlineStr">
        <is>
          <t>01a1212c-4b57-70cf-80fd-c2192cb3bf81</t>
        </is>
      </c>
      <c r="E1079" s="4" t="n">
        <v>46304.62426266053</v>
      </c>
      <c r="F1079" s="4" t="n">
        <v>46304.62426266061</v>
      </c>
      <c r="G1079" t="b">
        <v>1</v>
      </c>
      <c r="H1079" s="3" t="inlineStr">
        <is>
          <t>Added fraction 0.01226124491836724438570660449 of cost base adjustment 01a1212c-a31f-7418-b8c4-7e234f854ae3 | 2024-06-30 | Adjustment of VGS | Cost base increase = A$609.24</t>
        </is>
      </c>
      <c r="I1079" t="inlineStr">
        <is>
          <t>cost base adjustment allocation</t>
        </is>
      </c>
      <c r="J1079" s="5" t="inlineStr">
        <is>
          <t>01a1212c-a4a0-76de-b040-ee891afde323</t>
        </is>
      </c>
    </row>
    <row r="1080">
      <c r="A1080" s="5" t="inlineStr">
        <is>
          <t>01a1212c-a4ab-760a-8d0a-7af31e6d60ac</t>
        </is>
      </c>
      <c r="D1080" s="5" t="inlineStr">
        <is>
          <t>01a1212c-4b57-70cf-80fd-c2192cb3bf81</t>
        </is>
      </c>
      <c r="E1080" s="4" t="n">
        <v>46304.62426272906</v>
      </c>
      <c r="F1080" s="4" t="n">
        <v>46304.62426272913</v>
      </c>
      <c r="G1080" t="b">
        <v>1</v>
      </c>
      <c r="H1080" s="3" t="inlineStr">
        <is>
          <t>Added fraction 0.01226124491836724438570660449 of cost base adjustment 01a1212c-a31f-7418-b8c4-7e234f854ae3 | 2024-06-30 | Adjustment of VGS | Cost base increase = A$609.24</t>
        </is>
      </c>
      <c r="I1080" t="inlineStr">
        <is>
          <t>cost base adjustment allocation</t>
        </is>
      </c>
      <c r="J1080" s="5" t="inlineStr">
        <is>
          <t>01a1212c-a4a6-77e0-831c-59aecfab37c8</t>
        </is>
      </c>
    </row>
    <row r="1081">
      <c r="A1081" s="5" t="inlineStr">
        <is>
          <t>01a1212c-a4b1-7323-88ce-af44ae5c35da</t>
        </is>
      </c>
      <c r="D1081" s="5" t="inlineStr">
        <is>
          <t>01a1212c-4b57-70cf-80fd-c2192cb3bf81</t>
        </is>
      </c>
      <c r="E1081" s="4" t="n">
        <v>46304.62426279827</v>
      </c>
      <c r="F1081" s="4" t="n">
        <v>46304.62426279836</v>
      </c>
      <c r="G1081" t="b">
        <v>1</v>
      </c>
      <c r="H1081" s="3" t="inlineStr">
        <is>
          <t>Added fraction 0.01226124491836724438570660449 of cost base adjustment 01a1212c-a31f-7418-b8c4-7e234f854ae3 | 2024-06-30 | Adjustment of VGS | Cost base increase = A$609.24</t>
        </is>
      </c>
      <c r="I1081" t="inlineStr">
        <is>
          <t>cost base adjustment allocation</t>
        </is>
      </c>
      <c r="J1081" s="5" t="inlineStr">
        <is>
          <t>01a1212c-a4ac-7000-af04-65d1278380d2</t>
        </is>
      </c>
    </row>
    <row r="1082">
      <c r="A1082" s="5" t="inlineStr">
        <is>
          <t>01a1212c-a4b7-7524-80bb-decdf4dad375</t>
        </is>
      </c>
      <c r="D1082" s="5" t="inlineStr">
        <is>
          <t>01a1212c-4b57-70cf-80fd-c2192cb3bf81</t>
        </is>
      </c>
      <c r="E1082" s="4" t="n">
        <v>46304.62426286381</v>
      </c>
      <c r="F1082" s="4" t="n">
        <v>46304.62426286389</v>
      </c>
      <c r="G1082" t="b">
        <v>1</v>
      </c>
      <c r="H1082" s="3" t="inlineStr">
        <is>
          <t>Added fraction 0.01226124491836724438570660449 of cost base adjustment 01a1212c-a31f-7418-b8c4-7e234f854ae3 | 2024-06-30 | Adjustment of VGS | Cost base increase = A$609.24</t>
        </is>
      </c>
      <c r="I1082" t="inlineStr">
        <is>
          <t>cost base adjustment allocation</t>
        </is>
      </c>
      <c r="J1082" s="5" t="inlineStr">
        <is>
          <t>01a1212c-a4b2-769d-bbf8-fceeb6f9696b</t>
        </is>
      </c>
    </row>
    <row r="1083">
      <c r="A1083" s="5" t="inlineStr">
        <is>
          <t>01a1212c-a4bd-749f-96b5-ffbe4b8e16d7</t>
        </is>
      </c>
      <c r="D1083" s="5" t="inlineStr">
        <is>
          <t>01a1212c-4b57-70cf-80fd-c2192cb3bf81</t>
        </is>
      </c>
      <c r="E1083" s="4" t="n">
        <v>46304.6242629313</v>
      </c>
      <c r="F1083" s="4" t="n">
        <v>46304.62426293138</v>
      </c>
      <c r="G1083" t="b">
        <v>1</v>
      </c>
      <c r="H1083" s="3" t="inlineStr">
        <is>
          <t>Added fraction 0.01287430716428560660499193471 of cost base adjustment 01a1212c-a31f-7418-b8c4-7e234f854ae3 | 2024-06-30 | Adjustment of VGS | Cost base increase = A$609.24</t>
        </is>
      </c>
      <c r="I1083" t="inlineStr">
        <is>
          <t>cost base adjustment allocation</t>
        </is>
      </c>
      <c r="J1083" s="5" t="inlineStr">
        <is>
          <t>01a1212c-a4b8-732a-a93e-1ac0e4377f38</t>
        </is>
      </c>
    </row>
    <row r="1084">
      <c r="A1084" s="5" t="inlineStr">
        <is>
          <t>01a1212c-a4c3-7677-b9ce-6803f79afd66</t>
        </is>
      </c>
      <c r="D1084" s="5" t="inlineStr">
        <is>
          <t>01a1212c-4b57-70cf-80fd-c2192cb3bf81</t>
        </is>
      </c>
      <c r="E1084" s="4" t="n">
        <v>46304.62426300316</v>
      </c>
      <c r="F1084" s="4" t="n">
        <v>46304.62426300324</v>
      </c>
      <c r="G1084" t="b">
        <v>1</v>
      </c>
      <c r="H1084" s="3" t="inlineStr">
        <is>
          <t>Added fraction 0.01287430716428560660499193471 of cost base adjustment 01a1212c-a31f-7418-b8c4-7e234f854ae3 | 2024-06-30 | Adjustment of VGS | Cost base increase = A$609.24</t>
        </is>
      </c>
      <c r="I1084" t="inlineStr">
        <is>
          <t>cost base adjustment allocation</t>
        </is>
      </c>
      <c r="J1084" s="5" t="inlineStr">
        <is>
          <t>01a1212c-a4bd-749f-96b5-ffbf8026f5bd</t>
        </is>
      </c>
    </row>
    <row r="1085">
      <c r="A1085" s="5" t="inlineStr">
        <is>
          <t>01a1212c-a4c9-7033-9c64-894881fd4381</t>
        </is>
      </c>
      <c r="D1085" s="5" t="inlineStr">
        <is>
          <t>01a1212c-4b57-70cf-80fd-c2192cb3bf81</t>
        </is>
      </c>
      <c r="E1085" s="4" t="n">
        <v>46304.62426307175</v>
      </c>
      <c r="F1085" s="4" t="n">
        <v>46304.62426307183</v>
      </c>
      <c r="G1085" t="b">
        <v>1</v>
      </c>
      <c r="H1085" s="3" t="inlineStr">
        <is>
          <t>Added fraction 0.01287430716428560660499193471 of cost base adjustment 01a1212c-a31f-7418-b8c4-7e234f854ae3 | 2024-06-30 | Adjustment of VGS | Cost base increase = A$609.24</t>
        </is>
      </c>
      <c r="I1085" t="inlineStr">
        <is>
          <t>cost base adjustment allocation</t>
        </is>
      </c>
      <c r="J1085" s="5" t="inlineStr">
        <is>
          <t>01a1212c-a4c4-73bf-98e0-9ceed0b0921e</t>
        </is>
      </c>
    </row>
    <row r="1086">
      <c r="A1086" s="5" t="inlineStr">
        <is>
          <t>01a1212c-a4cf-7101-955d-8bd6d8bcfd8a</t>
        </is>
      </c>
      <c r="D1086" s="5" t="inlineStr">
        <is>
          <t>01a1212c-4b57-70cf-80fd-c2192cb3bf81</t>
        </is>
      </c>
      <c r="E1086" s="4" t="n">
        <v>46304.62426313999</v>
      </c>
      <c r="F1086" s="4" t="n">
        <v>46304.62426314007</v>
      </c>
      <c r="G1086" t="b">
        <v>1</v>
      </c>
      <c r="H1086" s="3" t="inlineStr">
        <is>
          <t>Added fraction 0.01287430716428560660499193471 of cost base adjustment 01a1212c-a31f-7418-b8c4-7e234f854ae3 | 2024-06-30 | Adjustment of VGS | Cost base increase = A$609.24</t>
        </is>
      </c>
      <c r="I1086" t="inlineStr">
        <is>
          <t>cost base adjustment allocation</t>
        </is>
      </c>
      <c r="J1086" s="5" t="inlineStr">
        <is>
          <t>01a1212c-a4ca-7110-97a6-54e914a6c34e</t>
        </is>
      </c>
    </row>
    <row r="1087">
      <c r="A1087" s="5" t="inlineStr">
        <is>
          <t>01a1212c-a4d5-76bc-9edc-c9827ed77ea4</t>
        </is>
      </c>
      <c r="D1087" s="5" t="inlineStr">
        <is>
          <t>01a1212c-4b57-70cf-80fd-c2192cb3bf81</t>
        </is>
      </c>
      <c r="E1087" s="4" t="n">
        <v>46304.62426320966</v>
      </c>
      <c r="F1087" s="4" t="n">
        <v>46304.62426320974</v>
      </c>
      <c r="G1087" t="b">
        <v>1</v>
      </c>
      <c r="H1087" s="3" t="inlineStr">
        <is>
          <t>Added fraction 0.01287430716428560660499193471 of cost base adjustment 01a1212c-a31f-7418-b8c4-7e234f854ae3 | 2024-06-30 | Adjustment of VGS | Cost base increase = A$609.24</t>
        </is>
      </c>
      <c r="I1087" t="inlineStr">
        <is>
          <t>cost base adjustment allocation</t>
        </is>
      </c>
      <c r="J1087" s="5" t="inlineStr">
        <is>
          <t>01a1212c-a4cf-7101-955d-8bd7336394d3</t>
        </is>
      </c>
    </row>
    <row r="1088">
      <c r="A1088" s="5" t="inlineStr">
        <is>
          <t>01a1212c-a4da-77e1-802c-47730acf938f</t>
        </is>
      </c>
      <c r="D1088" s="5" t="inlineStr">
        <is>
          <t>01a1212c-4b57-70cf-80fd-c2192cb3bf81</t>
        </is>
      </c>
      <c r="E1088" s="4" t="n">
        <v>46304.62426327616</v>
      </c>
      <c r="F1088" s="4" t="n">
        <v>46304.62426327624</v>
      </c>
      <c r="G1088" t="b">
        <v>1</v>
      </c>
      <c r="H1088" s="3" t="inlineStr">
        <is>
          <t>Added fraction 0.01287430716428560660499193471 of cost base adjustment 01a1212c-a31f-7418-b8c4-7e234f854ae3 | 2024-06-30 | Adjustment of VGS | Cost base increase = A$609.24</t>
        </is>
      </c>
      <c r="I1088" t="inlineStr">
        <is>
          <t>cost base adjustment allocation</t>
        </is>
      </c>
      <c r="J1088" s="5" t="inlineStr">
        <is>
          <t>01a1212c-a4d5-76bc-9edc-c983d7ec1f1c</t>
        </is>
      </c>
    </row>
    <row r="1089">
      <c r="A1089" s="5" t="inlineStr">
        <is>
          <t>01a1212c-a4e1-756a-90c8-29d1a28a0bd0</t>
        </is>
      </c>
      <c r="D1089" s="5" t="inlineStr">
        <is>
          <t>01a1212c-4b57-70cf-80fd-c2192cb3bf81</t>
        </is>
      </c>
      <c r="E1089" s="4" t="n">
        <v>46304.62426334884</v>
      </c>
      <c r="F1089" s="4" t="n">
        <v>46304.62426334892</v>
      </c>
      <c r="G1089" t="b">
        <v>1</v>
      </c>
      <c r="H1089" s="3" t="inlineStr">
        <is>
          <t>Added fraction 0.01348736941020396882427726494 of cost base adjustment 01a1212c-a31f-7418-b8c4-7e234f854ae3 | 2024-06-30 | Adjustment of VGS | Cost base increase = A$609.24</t>
        </is>
      </c>
      <c r="I1089" t="inlineStr">
        <is>
          <t>cost base adjustment allocation</t>
        </is>
      </c>
      <c r="J1089" s="5" t="inlineStr">
        <is>
          <t>01a1212c-a4db-703f-8e2a-4f47b618ac5e</t>
        </is>
      </c>
    </row>
    <row r="1090">
      <c r="A1090" s="5" t="inlineStr">
        <is>
          <t>01a1212c-a4e7-720b-9644-c9805efba258</t>
        </is>
      </c>
      <c r="D1090" s="5" t="inlineStr">
        <is>
          <t>01a1212c-4b57-70cf-80fd-c2192cb3bf81</t>
        </is>
      </c>
      <c r="E1090" s="4" t="n">
        <v>46304.62426341802</v>
      </c>
      <c r="F1090" s="4" t="n">
        <v>46304.6242634181</v>
      </c>
      <c r="G1090" t="b">
        <v>1</v>
      </c>
      <c r="H1090" s="3" t="inlineStr">
        <is>
          <t>Added fraction 0.01348736941020396882427726494 of cost base adjustment 01a1212c-a31f-7418-b8c4-7e234f854ae3 | 2024-06-30 | Adjustment of VGS | Cost base increase = A$609.24</t>
        </is>
      </c>
      <c r="I1090" t="inlineStr">
        <is>
          <t>cost base adjustment allocation</t>
        </is>
      </c>
      <c r="J1090" s="5" t="inlineStr">
        <is>
          <t>01a1212c-a4e1-756a-90c8-29d23e7ef694</t>
        </is>
      </c>
    </row>
    <row r="1091">
      <c r="A1091" s="5" t="inlineStr">
        <is>
          <t>01a1212c-a4ed-75cd-ac43-b629fd82bc9c</t>
        </is>
      </c>
      <c r="D1091" s="5" t="inlineStr">
        <is>
          <t>01a1212c-4b57-70cf-80fd-c2192cb3bf81</t>
        </is>
      </c>
      <c r="E1091" s="4" t="n">
        <v>46304.62426348609</v>
      </c>
      <c r="F1091" s="4" t="n">
        <v>46304.62426348616</v>
      </c>
      <c r="G1091" t="b">
        <v>1</v>
      </c>
      <c r="H1091" s="3" t="inlineStr">
        <is>
          <t>Added fraction 0.01348736941020396882427726494 of cost base adjustment 01a1212c-a31f-7418-b8c4-7e234f854ae3 | 2024-06-30 | Adjustment of VGS | Cost base increase = A$609.24</t>
        </is>
      </c>
      <c r="I1091" t="inlineStr">
        <is>
          <t>cost base adjustment allocation</t>
        </is>
      </c>
      <c r="J1091" s="5" t="inlineStr">
        <is>
          <t>01a1212c-a4e7-720b-9644-c981ee81b52f</t>
        </is>
      </c>
    </row>
    <row r="1092">
      <c r="A1092" s="5" t="inlineStr">
        <is>
          <t>01a1212c-a4f3-7792-b6d1-c5014468ce4c</t>
        </is>
      </c>
      <c r="D1092" s="5" t="inlineStr">
        <is>
          <t>01a1212c-4b57-70cf-80fd-c2192cb3bf81</t>
        </is>
      </c>
      <c r="E1092" s="4" t="n">
        <v>46304.62426355727</v>
      </c>
      <c r="F1092" s="4" t="n">
        <v>46304.62426355734</v>
      </c>
      <c r="G1092" t="b">
        <v>1</v>
      </c>
      <c r="H1092" s="3" t="inlineStr">
        <is>
          <t>Added fraction 0.01348736941020396882427726494 of cost base adjustment 01a1212c-a31f-7418-b8c4-7e234f854ae3 | 2024-06-30 | Adjustment of VGS | Cost base increase = A$609.24</t>
        </is>
      </c>
      <c r="I1092" t="inlineStr">
        <is>
          <t>cost base adjustment allocation</t>
        </is>
      </c>
      <c r="J1092" s="5" t="inlineStr">
        <is>
          <t>01a1212c-a4ed-75cd-ac43-b62a4b9a7eef</t>
        </is>
      </c>
    </row>
    <row r="1093">
      <c r="A1093" s="5" t="inlineStr">
        <is>
          <t>01a1212c-a4f9-70ae-9d5c-189abadd764f</t>
        </is>
      </c>
      <c r="D1093" s="5" t="inlineStr">
        <is>
          <t>01a1212c-4b57-70cf-80fd-c2192cb3bf81</t>
        </is>
      </c>
      <c r="E1093" s="4" t="n">
        <v>46304.62426362589</v>
      </c>
      <c r="F1093" s="4" t="n">
        <v>46304.62426362597</v>
      </c>
      <c r="G1093" t="b">
        <v>1</v>
      </c>
      <c r="H1093" s="3" t="inlineStr">
        <is>
          <t>Added fraction 0.01410043165612233104356259516 of cost base adjustment 01a1212c-a31f-7418-b8c4-7e234f854ae3 | 2024-06-30 | Adjustment of VGS | Cost base increase = A$609.24</t>
        </is>
      </c>
      <c r="I1093" t="inlineStr">
        <is>
          <t>cost base adjustment allocation</t>
        </is>
      </c>
      <c r="J1093" s="5" t="inlineStr">
        <is>
          <t>01a1212c-a4f3-7792-b6d1-c5020b585054</t>
        </is>
      </c>
    </row>
    <row r="1094">
      <c r="A1094" s="5" t="inlineStr">
        <is>
          <t>01a1212c-a4ff-730d-be10-7fb159581c10</t>
        </is>
      </c>
      <c r="D1094" s="5" t="inlineStr">
        <is>
          <t>01a1212c-4b57-70cf-80fd-c2192cb3bf81</t>
        </is>
      </c>
      <c r="E1094" s="4" t="n">
        <v>46304.62426369631</v>
      </c>
      <c r="F1094" s="4" t="n">
        <v>46304.6242636964</v>
      </c>
      <c r="G1094" t="b">
        <v>1</v>
      </c>
      <c r="H1094" s="3" t="inlineStr">
        <is>
          <t>Added fraction 0.01410043165612233104356259516 of cost base adjustment 01a1212c-a31f-7418-b8c4-7e234f854ae3 | 2024-06-30 | Adjustment of VGS | Cost base increase = A$609.24</t>
        </is>
      </c>
      <c r="I1094" t="inlineStr">
        <is>
          <t>cost base adjustment allocation</t>
        </is>
      </c>
      <c r="J1094" s="5" t="inlineStr">
        <is>
          <t>01a1212c-a4f9-70ae-9d5c-189bf95c6d1c</t>
        </is>
      </c>
    </row>
    <row r="1095">
      <c r="A1095" s="5" t="inlineStr">
        <is>
          <t>01a1212c-a506-71df-9c19-5c41ee5f4138</t>
        </is>
      </c>
      <c r="D1095" s="5" t="inlineStr">
        <is>
          <t>01a1212c-4b57-70cf-80fd-c2192cb3bf81</t>
        </is>
      </c>
      <c r="E1095" s="4" t="n">
        <v>46304.62426377774</v>
      </c>
      <c r="F1095" s="4" t="n">
        <v>46304.62426377808</v>
      </c>
      <c r="G1095" t="b">
        <v>1</v>
      </c>
      <c r="H1095" s="3" t="inlineStr">
        <is>
          <t>Added fraction 0.01410043165612233104356259516 of cost base adjustment 01a1212c-a31f-7418-b8c4-7e234f854ae3 | 2024-06-30 | Adjustment of VGS | Cost base increase = A$609.24</t>
        </is>
      </c>
      <c r="I1095" t="inlineStr">
        <is>
          <t>cost base adjustment allocation</t>
        </is>
      </c>
      <c r="J1095" s="5" t="inlineStr">
        <is>
          <t>01a1212c-a500-76e2-b185-8aee726a0d51</t>
        </is>
      </c>
    </row>
    <row r="1096">
      <c r="A1096" s="5" t="inlineStr">
        <is>
          <t>01a1212c-a50c-7085-9008-875f880a287f</t>
        </is>
      </c>
      <c r="D1096" s="5" t="inlineStr">
        <is>
          <t>01a1212c-4b57-70cf-80fd-c2192cb3bf81</t>
        </is>
      </c>
      <c r="E1096" s="4" t="n">
        <v>46304.62426385131</v>
      </c>
      <c r="F1096" s="4" t="n">
        <v>46304.62426385138</v>
      </c>
      <c r="G1096" t="b">
        <v>1</v>
      </c>
      <c r="H1096" s="3" t="inlineStr">
        <is>
          <t>Added fraction 0.01410043165612233104356259516 of cost base adjustment 01a1212c-a31f-7418-b8c4-7e234f854ae3 | 2024-06-30 | Adjustment of VGS | Cost base increase = A$609.24</t>
        </is>
      </c>
      <c r="I1096" t="inlineStr">
        <is>
          <t>cost base adjustment allocation</t>
        </is>
      </c>
      <c r="J1096" s="5" t="inlineStr">
        <is>
          <t>01a1212c-a507-708c-9624-73e66ee562c6</t>
        </is>
      </c>
    </row>
    <row r="1097">
      <c r="A1097" s="5" t="inlineStr">
        <is>
          <t>01a1212c-a513-7125-ae20-d4409e91b8d7</t>
        </is>
      </c>
      <c r="D1097" s="5" t="inlineStr">
        <is>
          <t>01a1212c-4b57-70cf-80fd-c2192cb3bf81</t>
        </is>
      </c>
      <c r="E1097" s="4" t="n">
        <v>46304.62426393311</v>
      </c>
      <c r="F1097" s="4" t="n">
        <v>46304.62426393323</v>
      </c>
      <c r="G1097" t="b">
        <v>1</v>
      </c>
      <c r="H1097" s="3" t="inlineStr">
        <is>
          <t>Added fraction 0.01410043165612233104356259516 of cost base adjustment 01a1212c-a31f-7418-b8c4-7e234f854ae3 | 2024-06-30 | Adjustment of VGS | Cost base increase = A$609.24</t>
        </is>
      </c>
      <c r="I1097" t="inlineStr">
        <is>
          <t>cost base adjustment allocation</t>
        </is>
      </c>
      <c r="J1097" s="5" t="inlineStr">
        <is>
          <t>01a1212c-a50d-7119-8251-9e46938ba7dd</t>
        </is>
      </c>
    </row>
    <row r="1098">
      <c r="A1098" s="5" t="inlineStr">
        <is>
          <t>01a1212c-a51a-7718-9f67-0b541d741817</t>
        </is>
      </c>
      <c r="D1098" s="5" t="inlineStr">
        <is>
          <t>01a1212c-4b57-70cf-80fd-c2192cb3bf81</t>
        </is>
      </c>
      <c r="E1098" s="4" t="n">
        <v>46304.62426401271</v>
      </c>
      <c r="F1098" s="4" t="n">
        <v>46304.62426401281</v>
      </c>
      <c r="G1098" t="b">
        <v>1</v>
      </c>
      <c r="H1098" s="3" t="inlineStr">
        <is>
          <t>Added fraction 0.01471349390204069326284792539 of cost base adjustment 01a1212c-a31f-7418-b8c4-7e234f854ae3 | 2024-06-30 | Adjustment of VGS | Cost base increase = A$609.24</t>
        </is>
      </c>
      <c r="I1098" t="inlineStr">
        <is>
          <t>cost base adjustment allocation</t>
        </is>
      </c>
      <c r="J1098" s="5" t="inlineStr">
        <is>
          <t>01a1212c-a514-77e8-a410-7eeb242d411c</t>
        </is>
      </c>
    </row>
    <row r="1099">
      <c r="A1099" s="5" t="inlineStr">
        <is>
          <t>01a1212c-a521-72a9-bee1-834333e55a24</t>
        </is>
      </c>
      <c r="D1099" s="5" t="inlineStr">
        <is>
          <t>01a1212c-4b57-70cf-80fd-c2192cb3bf81</t>
        </is>
      </c>
      <c r="E1099" s="4" t="n">
        <v>46304.6242640903</v>
      </c>
      <c r="F1099" s="4" t="n">
        <v>46304.62426409042</v>
      </c>
      <c r="G1099" t="b">
        <v>1</v>
      </c>
      <c r="H1099" s="3" t="inlineStr">
        <is>
          <t>Added fraction 0.01471349390204069326284792539 of cost base adjustment 01a1212c-a31f-7418-b8c4-7e234f854ae3 | 2024-06-30 | Adjustment of VGS | Cost base increase = A$609.24</t>
        </is>
      </c>
      <c r="I1099" t="inlineStr">
        <is>
          <t>cost base adjustment allocation</t>
        </is>
      </c>
      <c r="J1099" s="5" t="inlineStr">
        <is>
          <t>01a1212c-a51b-76eb-aba2-c987e46e8c3c</t>
        </is>
      </c>
    </row>
    <row r="1100">
      <c r="A1100" s="5" t="inlineStr">
        <is>
          <t>01a1212c-a528-769f-9deb-9ef36f0c5c7a</t>
        </is>
      </c>
      <c r="D1100" s="5" t="inlineStr">
        <is>
          <t>01a1212c-4b57-70cf-80fd-c2192cb3bf81</t>
        </is>
      </c>
      <c r="E1100" s="4" t="n">
        <v>46304.62426417663</v>
      </c>
      <c r="F1100" s="4" t="n">
        <v>46304.62426417675</v>
      </c>
      <c r="G1100" t="b">
        <v>1</v>
      </c>
      <c r="H1100" s="3" t="inlineStr">
        <is>
          <t>Added fraction 0.01471349390204069326284792539 of cost base adjustment 01a1212c-a31f-7418-b8c4-7e234f854ae3 | 2024-06-30 | Adjustment of VGS | Cost base increase = A$609.24</t>
        </is>
      </c>
      <c r="I1100" t="inlineStr">
        <is>
          <t>cost base adjustment allocation</t>
        </is>
      </c>
      <c r="J1100" s="5" t="inlineStr">
        <is>
          <t>01a1212c-a522-7796-bc82-f7998f46a313</t>
        </is>
      </c>
    </row>
    <row r="1101">
      <c r="A1101" s="5" t="inlineStr">
        <is>
          <t>01a1212c-a52f-76cd-a0ed-828acb81f2c0</t>
        </is>
      </c>
      <c r="D1101" s="5" t="inlineStr">
        <is>
          <t>01a1212c-4b57-70cf-80fd-c2192cb3bf81</t>
        </is>
      </c>
      <c r="E1101" s="4" t="n">
        <v>46304.62426425423</v>
      </c>
      <c r="F1101" s="4" t="n">
        <v>46304.62426425437</v>
      </c>
      <c r="G1101" t="b">
        <v>1</v>
      </c>
      <c r="H1101" s="3" t="inlineStr">
        <is>
          <t>Added fraction 0.01532655614795905548213325561 of cost base adjustment 01a1212c-a31f-7418-b8c4-7e234f854ae3 | 2024-06-30 | Adjustment of VGS | Cost base increase = A$609.24</t>
        </is>
      </c>
      <c r="I1101" t="inlineStr">
        <is>
          <t>cost base adjustment allocation</t>
        </is>
      </c>
      <c r="J1101" s="5" t="inlineStr">
        <is>
          <t>01a1212c-a529-755e-9134-0afaf77e956b</t>
        </is>
      </c>
    </row>
    <row r="1102">
      <c r="A1102" s="5" t="inlineStr">
        <is>
          <t>01a1212c-a536-707f-8295-a109d3ae0f90</t>
        </is>
      </c>
      <c r="D1102" s="5" t="inlineStr">
        <is>
          <t>01a1212c-4b57-70cf-80fd-c2192cb3bf81</t>
        </is>
      </c>
      <c r="E1102" s="4" t="n">
        <v>46304.62426433868</v>
      </c>
      <c r="F1102" s="4" t="n">
        <v>46304.62426433881</v>
      </c>
      <c r="G1102" t="b">
        <v>1</v>
      </c>
      <c r="H1102" s="3" t="inlineStr">
        <is>
          <t>Added fraction 0.01532655614795905548213325561 of cost base adjustment 01a1212c-a31f-7418-b8c4-7e234f854ae3 | 2024-06-30 | Adjustment of VGS | Cost base increase = A$609.24</t>
        </is>
      </c>
      <c r="I1102" t="inlineStr">
        <is>
          <t>cost base adjustment allocation</t>
        </is>
      </c>
      <c r="J1102" s="5" t="inlineStr">
        <is>
          <t>01a1212c-a530-7075-8c6c-48f6729e4387</t>
        </is>
      </c>
    </row>
    <row r="1103">
      <c r="A1103" s="5" t="inlineStr">
        <is>
          <t>01a1212c-a53d-72e9-90c8-bf54d5f5a768</t>
        </is>
      </c>
      <c r="D1103" s="5" t="inlineStr">
        <is>
          <t>01a1212c-4b57-70cf-80fd-c2192cb3bf81</t>
        </is>
      </c>
      <c r="E1103" s="4" t="n">
        <v>46304.62426441364</v>
      </c>
      <c r="F1103" s="4" t="n">
        <v>46304.62426441374</v>
      </c>
      <c r="G1103" t="b">
        <v>1</v>
      </c>
      <c r="H1103" s="3" t="inlineStr">
        <is>
          <t>Added fraction 0.01593961839387741770141858584 of cost base adjustment 01a1212c-a31f-7418-b8c4-7e234f854ae3 | 2024-06-30 | Adjustment of VGS | Cost base increase = A$609.24</t>
        </is>
      </c>
      <c r="I1103" t="inlineStr">
        <is>
          <t>cost base adjustment allocation</t>
        </is>
      </c>
      <c r="J1103" s="5" t="inlineStr">
        <is>
          <t>01a1212c-a537-7280-9b60-c6508104fe17</t>
        </is>
      </c>
    </row>
    <row r="1104">
      <c r="A1104" s="5" t="inlineStr">
        <is>
          <t>01a1212c-a544-720b-a0ac-edf2468ebd9b</t>
        </is>
      </c>
      <c r="D1104" s="5" t="inlineStr">
        <is>
          <t>01a1212c-4b57-70cf-80fd-c2192cb3bf81</t>
        </is>
      </c>
      <c r="E1104" s="4" t="n">
        <v>46304.62426449769</v>
      </c>
      <c r="F1104" s="4" t="n">
        <v>46304.62426449783</v>
      </c>
      <c r="G1104" t="b">
        <v>1</v>
      </c>
      <c r="H1104" s="3" t="inlineStr">
        <is>
          <t>Added fraction 0.01593961839387741770141858584 of cost base adjustment 01a1212c-a31f-7418-b8c4-7e234f854ae3 | 2024-06-30 | Adjustment of VGS | Cost base increase = A$609.24</t>
        </is>
      </c>
      <c r="I1104" t="inlineStr">
        <is>
          <t>cost base adjustment allocation</t>
        </is>
      </c>
      <c r="J1104" s="5" t="inlineStr">
        <is>
          <t>01a1212c-a53d-72e9-90c8-bf553cbbaadd</t>
        </is>
      </c>
    </row>
    <row r="1105">
      <c r="A1105" s="5" t="inlineStr">
        <is>
          <t>01a1212c-a54b-73bb-b4d8-a42a464b34c1</t>
        </is>
      </c>
      <c r="D1105" s="5" t="inlineStr">
        <is>
          <t>01a1212c-4b57-70cf-80fd-c2192cb3bf81</t>
        </is>
      </c>
      <c r="E1105" s="4" t="n">
        <v>46304.62426457572</v>
      </c>
      <c r="F1105" s="4" t="n">
        <v>46304.62426457582</v>
      </c>
      <c r="G1105" t="b">
        <v>1</v>
      </c>
      <c r="H1105" s="3" t="inlineStr">
        <is>
          <t>Added fraction 0.01593961839387741770141858584 of cost base adjustment 01a1212c-a31f-7418-b8c4-7e234f854ae3 | 2024-06-30 | Adjustment of VGS | Cost base increase = A$609.24</t>
        </is>
      </c>
      <c r="I1105" t="inlineStr">
        <is>
          <t>cost base adjustment allocation</t>
        </is>
      </c>
      <c r="J1105" s="5" t="inlineStr">
        <is>
          <t>01a1212c-a545-72bc-ac97-09164e485c42</t>
        </is>
      </c>
    </row>
    <row r="1106">
      <c r="A1106" s="5" t="inlineStr">
        <is>
          <t>01a1212c-a552-75d6-a69a-d8d1aff0584e</t>
        </is>
      </c>
      <c r="D1106" s="5" t="inlineStr">
        <is>
          <t>01a1212c-4b57-70cf-80fd-c2192cb3bf81</t>
        </is>
      </c>
      <c r="E1106" s="4" t="n">
        <v>46304.62426465885</v>
      </c>
      <c r="F1106" s="4" t="n">
        <v>46304.62426465896</v>
      </c>
      <c r="G1106" t="b">
        <v>1</v>
      </c>
      <c r="H1106" s="3" t="inlineStr">
        <is>
          <t>Added fraction 0.01593961839387741770141858584 of cost base adjustment 01a1212c-a31f-7418-b8c4-7e234f854ae3 | 2024-06-30 | Adjustment of VGS | Cost base increase = A$609.24</t>
        </is>
      </c>
      <c r="I1106" t="inlineStr">
        <is>
          <t>cost base adjustment allocation</t>
        </is>
      </c>
      <c r="J1106" s="5" t="inlineStr">
        <is>
          <t>01a1212c-a54c-7469-8d4d-0b8bad168e63</t>
        </is>
      </c>
    </row>
    <row r="1107">
      <c r="A1107" s="5" t="inlineStr">
        <is>
          <t>01a1212c-a558-75c8-9ded-b03c63817c85</t>
        </is>
      </c>
      <c r="D1107" s="5" t="inlineStr">
        <is>
          <t>01a1212c-4b57-70cf-80fd-c2192cb3bf81</t>
        </is>
      </c>
      <c r="E1107" s="4" t="n">
        <v>46304.62426473181</v>
      </c>
      <c r="F1107" s="4" t="n">
        <v>46304.6242647319</v>
      </c>
      <c r="G1107" t="b">
        <v>1</v>
      </c>
      <c r="H1107" s="3" t="inlineStr">
        <is>
          <t>Added fraction 0.01655268063979577992070391606 of cost base adjustment 01a1212c-a31f-7418-b8c4-7e234f854ae3 | 2024-06-30 | Adjustment of VGS | Cost base increase = A$609.24</t>
        </is>
      </c>
      <c r="I1107" t="inlineStr">
        <is>
          <t>cost base adjustment allocation</t>
        </is>
      </c>
      <c r="J1107" s="5" t="inlineStr">
        <is>
          <t>01a1212c-a553-72bb-9f7a-161d9e0a86e5</t>
        </is>
      </c>
    </row>
    <row r="1108">
      <c r="A1108" s="5" t="inlineStr">
        <is>
          <t>01a1212c-a55e-7011-98ff-074c739f05a8</t>
        </is>
      </c>
      <c r="D1108" s="5" t="inlineStr">
        <is>
          <t>01a1212c-4b57-70cf-80fd-c2192cb3bf81</t>
        </is>
      </c>
      <c r="E1108" s="4" t="n">
        <v>46304.62426480056</v>
      </c>
      <c r="F1108" s="4" t="n">
        <v>46304.62426480064</v>
      </c>
      <c r="G1108" t="b">
        <v>1</v>
      </c>
      <c r="H1108" s="3" t="inlineStr">
        <is>
          <t>Added fraction 0.01655268063979577992070391606 of cost base adjustment 01a1212c-a31f-7418-b8c4-7e234f854ae3 | 2024-06-30 | Adjustment of VGS | Cost base increase = A$609.24</t>
        </is>
      </c>
      <c r="I1108" t="inlineStr">
        <is>
          <t>cost base adjustment allocation</t>
        </is>
      </c>
      <c r="J1108" s="5" t="inlineStr">
        <is>
          <t>01a1212c-a559-726f-9e95-cc5065bf106b</t>
        </is>
      </c>
    </row>
    <row r="1109">
      <c r="A1109" s="5" t="inlineStr">
        <is>
          <t>01a1212c-a564-7030-b3b2-51f135962615</t>
        </is>
      </c>
      <c r="D1109" s="5" t="inlineStr">
        <is>
          <t>01a1212c-4b57-70cf-80fd-c2192cb3bf81</t>
        </is>
      </c>
      <c r="E1109" s="4" t="n">
        <v>46304.62426487324</v>
      </c>
      <c r="F1109" s="4" t="n">
        <v>46304.62426487332</v>
      </c>
      <c r="G1109" t="b">
        <v>1</v>
      </c>
      <c r="H1109" s="3" t="inlineStr">
        <is>
          <t>Added fraction 0.01716574288571414213998924629 of cost base adjustment 01a1212c-a31f-7418-b8c4-7e234f854ae3 | 2024-06-30 | Adjustment of VGS | Cost base increase = A$609.24</t>
        </is>
      </c>
      <c r="I1109" t="inlineStr">
        <is>
          <t>cost base adjustment allocation</t>
        </is>
      </c>
      <c r="J1109" s="5" t="inlineStr">
        <is>
          <t>01a1212c-a55f-7761-87f0-1cef39528673</t>
        </is>
      </c>
    </row>
    <row r="1110">
      <c r="A1110" s="5" t="inlineStr">
        <is>
          <t>01a1212c-a56a-71ea-93a9-ef10d6d49ff7</t>
        </is>
      </c>
      <c r="D1110" s="5" t="inlineStr">
        <is>
          <t>01a1212c-4b57-70cf-80fd-c2192cb3bf81</t>
        </is>
      </c>
      <c r="E1110" s="4" t="n">
        <v>46304.62426494192</v>
      </c>
      <c r="F1110" s="4" t="n">
        <v>46304.624264942</v>
      </c>
      <c r="G1110" t="b">
        <v>1</v>
      </c>
      <c r="H1110" s="3" t="inlineStr">
        <is>
          <t>Added fraction 0.01716574288571414213998924629 of cost base adjustment 01a1212c-a31f-7418-b8c4-7e234f854ae3 | 2024-06-30 | Adjustment of VGS | Cost base increase = A$609.24</t>
        </is>
      </c>
      <c r="I1110" t="inlineStr">
        <is>
          <t>cost base adjustment allocation</t>
        </is>
      </c>
      <c r="J1110" s="5" t="inlineStr">
        <is>
          <t>01a1212c-a565-734d-853d-e3e4dcd58c3e</t>
        </is>
      </c>
    </row>
    <row r="1111">
      <c r="A1111" s="5" t="inlineStr">
        <is>
          <t>01a1212c-a571-77d5-9aa4-38ff154f9aee</t>
        </is>
      </c>
      <c r="D1111" s="5" t="inlineStr">
        <is>
          <t>01a1212c-4b57-70cf-80fd-c2192cb3bf81</t>
        </is>
      </c>
      <c r="E1111" s="4" t="n">
        <v>46304.62426501495</v>
      </c>
      <c r="F1111" s="4" t="n">
        <v>46304.62426501505</v>
      </c>
      <c r="G1111" t="b">
        <v>1</v>
      </c>
      <c r="H1111" s="3" t="inlineStr">
        <is>
          <t>Added fraction 0.01777880513163250435927457651 of cost base adjustment 01a1212c-a31f-7418-b8c4-7e234f854ae3 | 2024-06-30 | Adjustment of VGS | Cost base increase = A$609.24</t>
        </is>
      </c>
      <c r="I1111" t="inlineStr">
        <is>
          <t>cost base adjustment allocation</t>
        </is>
      </c>
      <c r="J1111" s="5" t="inlineStr">
        <is>
          <t>01a1212c-a56b-70da-a2ec-c7058f0ebba3</t>
        </is>
      </c>
    </row>
    <row r="1112">
      <c r="A1112" s="5" t="inlineStr">
        <is>
          <t>01a1212c-a577-762a-97dd-92e7271e0644</t>
        </is>
      </c>
      <c r="D1112" s="5" t="inlineStr">
        <is>
          <t>01a1212c-4b57-70cf-80fd-c2192cb3bf81</t>
        </is>
      </c>
      <c r="E1112" s="4" t="n">
        <v>46304.62426508368</v>
      </c>
      <c r="F1112" s="4" t="n">
        <v>46304.62426508376</v>
      </c>
      <c r="G1112" t="b">
        <v>1</v>
      </c>
      <c r="H1112" s="3" t="inlineStr">
        <is>
          <t>Added fraction 0.01839186737755086657855990673 of cost base adjustment 01a1212c-a31f-7418-b8c4-7e234f854ae3 | 2024-06-30 | Adjustment of VGS | Cost base increase = A$609.24</t>
        </is>
      </c>
      <c r="I1112" t="inlineStr">
        <is>
          <t>cost base adjustment allocation</t>
        </is>
      </c>
      <c r="J1112" s="5" t="inlineStr">
        <is>
          <t>01a1212c-a571-77d5-9aa4-390073792e57</t>
        </is>
      </c>
    </row>
    <row r="1113">
      <c r="A1113" s="5" t="inlineStr">
        <is>
          <t>01a1212c-a57c-7041-a0ec-0cc5ca6c28b2</t>
        </is>
      </c>
      <c r="D1113" s="5" t="inlineStr">
        <is>
          <t>01a1212c-4b57-70cf-80fd-c2192cb3bf81</t>
        </is>
      </c>
      <c r="E1113" s="4" t="n">
        <v>46304.62426515115</v>
      </c>
      <c r="F1113" s="4" t="n">
        <v>46304.62426515123</v>
      </c>
      <c r="G1113" t="b">
        <v>1</v>
      </c>
      <c r="H1113" s="3" t="inlineStr">
        <is>
          <t>Added fraction 0.01839186737755086657855990673 of cost base adjustment 01a1212c-a31f-7418-b8c4-7e234f854ae3 | 2024-06-30 | Adjustment of VGS | Cost base increase = A$609.24</t>
        </is>
      </c>
      <c r="I1113" t="inlineStr">
        <is>
          <t>cost base adjustment allocation</t>
        </is>
      </c>
      <c r="J1113" s="5" t="inlineStr">
        <is>
          <t>01a1212c-a577-762a-97dd-92e87dc89926</t>
        </is>
      </c>
    </row>
    <row r="1114">
      <c r="A1114" s="5" t="inlineStr">
        <is>
          <t>01a1212c-a583-7648-81e8-dc852f375ff2</t>
        </is>
      </c>
      <c r="D1114" s="5" t="inlineStr">
        <is>
          <t>01a1212c-4b57-70cf-80fd-c2192cb3bf81</t>
        </is>
      </c>
      <c r="E1114" s="4" t="n">
        <v>46304.62426523219</v>
      </c>
      <c r="F1114" s="4" t="n">
        <v>46304.62426523228</v>
      </c>
      <c r="G1114" t="b">
        <v>1</v>
      </c>
      <c r="H1114" s="3" t="inlineStr">
        <is>
          <t>Added fraction 0.01900492962346922879784523696 of cost base adjustment 01a1212c-a31f-7418-b8c4-7e234f854ae3 | 2024-06-30 | Adjustment of VGS | Cost base increase = A$609.24</t>
        </is>
      </c>
      <c r="I1114" t="inlineStr">
        <is>
          <t>cost base adjustment allocation</t>
        </is>
      </c>
      <c r="J1114" s="5" t="inlineStr">
        <is>
          <t>01a1212c-a57d-763d-8682-c638fe2c50d3</t>
        </is>
      </c>
    </row>
    <row r="1115">
      <c r="A1115" s="5" t="inlineStr">
        <is>
          <t>01a1212c-a58a-7205-a1b2-047327a894e3</t>
        </is>
      </c>
      <c r="D1115" s="5" t="inlineStr">
        <is>
          <t>01a1212c-4b57-70cf-80fd-c2192cb3bf81</t>
        </is>
      </c>
      <c r="E1115" s="4" t="n">
        <v>46304.62426530523</v>
      </c>
      <c r="F1115" s="4" t="n">
        <v>46304.62426530531</v>
      </c>
      <c r="G1115" t="b">
        <v>1</v>
      </c>
      <c r="H1115" s="3" t="inlineStr">
        <is>
          <t>Added fraction 0.01961799186938759101713056718 of cost base adjustment 01a1212c-a31f-7418-b8c4-7e234f854ae3 | 2024-06-30 | Adjustment of VGS | Cost base increase = A$609.24</t>
        </is>
      </c>
      <c r="I1115" t="inlineStr">
        <is>
          <t>cost base adjustment allocation</t>
        </is>
      </c>
      <c r="J1115" s="5" t="inlineStr">
        <is>
          <t>01a1212c-a584-733a-96f2-d404eb3230f6</t>
        </is>
      </c>
    </row>
    <row r="1116">
      <c r="A1116" s="5" t="inlineStr">
        <is>
          <t>01a1212c-a590-74ad-a861-0baf26522c32</t>
        </is>
      </c>
      <c r="D1116" s="5" t="inlineStr">
        <is>
          <t>01a1212c-4b57-70cf-80fd-c2192cb3bf81</t>
        </is>
      </c>
      <c r="E1116" s="4" t="n">
        <v>46304.62426537767</v>
      </c>
      <c r="F1116" s="4" t="n">
        <v>46304.62426537777</v>
      </c>
      <c r="G1116" t="b">
        <v>1</v>
      </c>
      <c r="H1116" s="3" t="inlineStr">
        <is>
          <t>residual of cost base adjustment 01a1212c-a31f-7418-b8c4-7e234f854ae3 | 2024-06-30 | Adjustment of VGS | Cost base increase = A$609.24</t>
        </is>
      </c>
      <c r="I1116" t="inlineStr">
        <is>
          <t>cost base adjustment allocation</t>
        </is>
      </c>
      <c r="J1116" s="5" t="inlineStr">
        <is>
          <t>01a1212c-a58a-7205-a1b2-0474cdf0d07b</t>
        </is>
      </c>
    </row>
    <row r="1117">
      <c r="A1117" s="5" t="inlineStr">
        <is>
          <t>01a1212c-a7e0-7284-94df-2bd948e1e090</t>
        </is>
      </c>
      <c r="D1117" s="5" t="inlineStr">
        <is>
          <t>01a1212c-4b57-70cf-80fd-c2192cb3bf81</t>
        </is>
      </c>
      <c r="E1117" s="4" t="n">
        <v>46304.6242722336</v>
      </c>
      <c r="F1117" s="4" t="n">
        <v>46304.62427223368</v>
      </c>
      <c r="G1117" t="b">
        <v>1</v>
      </c>
      <c r="H1117" s="3" t="inlineStr">
        <is>
          <t>This parcel was created by splitting parcel 01a1212c-712d-7791-bf63-8cb9a725a863 into two separate parcels.</t>
        </is>
      </c>
      <c r="I1117" t="inlineStr">
        <is>
          <t>parcel</t>
        </is>
      </c>
      <c r="J1117" s="5" t="inlineStr">
        <is>
          <t>01a1212c-a7dc-72bc-aa73-197f788ae91a</t>
        </is>
      </c>
    </row>
    <row r="1118">
      <c r="A1118" s="5" t="inlineStr">
        <is>
          <t>01a1212c-a7e6-74ca-8cba-815688c885c8</t>
        </is>
      </c>
      <c r="D1118" s="5" t="inlineStr">
        <is>
          <t>01a1212c-4b57-70cf-80fd-c2192cb3bf81</t>
        </is>
      </c>
      <c r="E1118" s="4" t="n">
        <v>46304.62427229911</v>
      </c>
      <c r="F1118" s="4" t="n">
        <v>46304.62427229919</v>
      </c>
      <c r="G1118" t="b">
        <v>1</v>
      </c>
      <c r="H1118" s="3" t="inlineStr">
        <is>
          <t>This parcel was created by splitting parcel 01a1212c-712d-7791-bf63-8cb9a725a863 into two separate parcels.</t>
        </is>
      </c>
      <c r="I1118" t="inlineStr">
        <is>
          <t>parcel</t>
        </is>
      </c>
      <c r="J1118" s="5" t="inlineStr">
        <is>
          <t>01a1212c-a7e2-7597-b6aa-f3ed2da0f9b2</t>
        </is>
      </c>
    </row>
    <row r="1119">
      <c r="A1119" s="5" t="inlineStr">
        <is>
          <t>01a1212c-a7e7-71d2-a0ed-2177945354a0</t>
        </is>
      </c>
      <c r="D1119" s="5" t="inlineStr">
        <is>
          <t>01a1212c-4b57-70cf-80fd-c2192cb3bf81</t>
        </is>
      </c>
      <c r="E1119" s="4" t="n">
        <v>46304.62427230934</v>
      </c>
      <c r="F1119" s="4" t="n">
        <v>46304.6242723094</v>
      </c>
      <c r="G1119" t="b">
        <v>1</v>
      </c>
      <c r="H1119" s="3" t="inlineStr">
        <is>
          <t>This parcel was split into 01a1212c-a7dc-72bc-aa73-197f788ae91a and 01a1212c-a7e2-7597-b6aa-f3ed2da0f9b2, then marked as INACTIVE</t>
        </is>
      </c>
      <c r="I1119" t="inlineStr">
        <is>
          <t>parcel</t>
        </is>
      </c>
      <c r="J1119" s="5" t="inlineStr">
        <is>
          <t>01a1212c-712d-7791-bf63-8cb9a725a863</t>
        </is>
      </c>
    </row>
    <row r="1120">
      <c r="A1120" s="5" t="inlineStr">
        <is>
          <t>01a1212c-a812-7001-944e-8b18daef5f1a</t>
        </is>
      </c>
      <c r="D1120" s="5" t="inlineStr">
        <is>
          <t>01a1212c-4b57-70cf-80fd-c2192cb3bf81</t>
        </is>
      </c>
      <c r="E1120" s="4" t="n">
        <v>46304.62427280356</v>
      </c>
      <c r="F1120" s="4" t="n">
        <v>46304.62427280367</v>
      </c>
      <c r="G1120" t="b">
        <v>1</v>
      </c>
      <c r="H1120" s="3" t="inlineStr">
        <is>
          <t>Added fraction 0.0004996244202633882116202303096 of cost base adjustment 01a1212c-a805-700c-af80-50bada88a708 | 2025-06-30 | Adjustment of A200 | Cost base increase = A$288.25</t>
        </is>
      </c>
      <c r="I1120" t="inlineStr">
        <is>
          <t>cost base adjustment allocation</t>
        </is>
      </c>
      <c r="J1120" s="5" t="inlineStr">
        <is>
          <t>01a1212c-a80b-73af-8df6-d2fede92fbdb</t>
        </is>
      </c>
    </row>
    <row r="1121">
      <c r="A1121" s="5" t="inlineStr">
        <is>
          <t>01a1212c-a818-7039-9adc-2f11b46f60cd</t>
        </is>
      </c>
      <c r="D1121" s="5" t="inlineStr">
        <is>
          <t>01a1212c-4b57-70cf-80fd-c2192cb3bf81</t>
        </is>
      </c>
      <c r="E1121" s="4" t="n">
        <v>46304.62427287825</v>
      </c>
      <c r="F1121" s="4" t="n">
        <v>46304.62427287837</v>
      </c>
      <c r="G1121" t="b">
        <v>1</v>
      </c>
      <c r="H1121" s="3" t="inlineStr">
        <is>
          <t>Added fraction 0.0009820204122418320021501078500 of cost base adjustment 01a1212c-a805-700c-af80-50bada88a708 | 2025-06-30 | Adjustment of A200 | Cost base increase = A$288.25</t>
        </is>
      </c>
      <c r="I1121" t="inlineStr">
        <is>
          <t>cost base adjustment allocation</t>
        </is>
      </c>
      <c r="J1121" s="5" t="inlineStr">
        <is>
          <t>01a1212c-a812-7001-944e-8b1911f93e69</t>
        </is>
      </c>
    </row>
    <row r="1122">
      <c r="A1122" s="5" t="inlineStr">
        <is>
          <t>01a1212c-a81f-7309-bdd5-84099dd3baef</t>
        </is>
      </c>
      <c r="D1122" s="5" t="inlineStr">
        <is>
          <t>01a1212c-4b57-70cf-80fd-c2192cb3bf81</t>
        </is>
      </c>
      <c r="E1122" s="4" t="n">
        <v>46304.62427296409</v>
      </c>
      <c r="F1122" s="4" t="n">
        <v>46304.62427296423</v>
      </c>
      <c r="G1122" t="b">
        <v>1</v>
      </c>
      <c r="H1122" s="3" t="inlineStr">
        <is>
          <t>Added fraction 0.002480893673031996637010798779 of cost base adjustment 01a1212c-a805-700c-af80-50bada88a708 | 2025-06-30 | Adjustment of A200 | Cost base increase = A$288.25</t>
        </is>
      </c>
      <c r="I1122" t="inlineStr">
        <is>
          <t>cost base adjustment allocation</t>
        </is>
      </c>
      <c r="J1122" s="5" t="inlineStr">
        <is>
          <t>01a1212c-a819-7112-bcf8-d2411d7546be</t>
        </is>
      </c>
    </row>
    <row r="1123">
      <c r="A1123" s="5" t="inlineStr">
        <is>
          <t>01a1212c-a827-7313-94ae-52cb77be61d7</t>
        </is>
      </c>
      <c r="D1123" s="5" t="inlineStr">
        <is>
          <t>01a1212c-4b57-70cf-80fd-c2192cb3bf81</t>
        </is>
      </c>
      <c r="E1123" s="4" t="n">
        <v>46304.62427304573</v>
      </c>
      <c r="F1123" s="4" t="n">
        <v>46304.62427304585</v>
      </c>
      <c r="G1123" t="b">
        <v>1</v>
      </c>
      <c r="H1123" s="3" t="inlineStr">
        <is>
          <t>Added fraction 0.003032203378150218111902087396 of cost base adjustment 01a1212c-a805-700c-af80-50bada88a708 | 2025-06-30 | Adjustment of A200 | Cost base increase = A$288.25</t>
        </is>
      </c>
      <c r="I1123" t="inlineStr">
        <is>
          <t>cost base adjustment allocation</t>
        </is>
      </c>
      <c r="J1123" s="5" t="inlineStr">
        <is>
          <t>01a1212c-a820-7137-abfe-1d058669cc59</t>
        </is>
      </c>
    </row>
    <row r="1124">
      <c r="A1124" s="5" t="inlineStr">
        <is>
          <t>01a1212c-a82d-707b-ba1f-df21e0940a04</t>
        </is>
      </c>
      <c r="D1124" s="5" t="inlineStr">
        <is>
          <t>01a1212c-4b57-70cf-80fd-c2192cb3bf81</t>
        </is>
      </c>
      <c r="E1124" s="4" t="n">
        <v>46304.62427311817</v>
      </c>
      <c r="F1124" s="4" t="n">
        <v>46304.62427311827</v>
      </c>
      <c r="G1124" t="b">
        <v>1</v>
      </c>
      <c r="H1124" s="3" t="inlineStr">
        <is>
          <t>Added fraction 0.003059768863406129185646651827 of cost base adjustment 01a1212c-a805-700c-af80-50bada88a708 | 2025-06-30 | Adjustment of A200 | Cost base increase = A$288.25</t>
        </is>
      </c>
      <c r="I1124" t="inlineStr">
        <is>
          <t>cost base adjustment allocation</t>
        </is>
      </c>
      <c r="J1124" s="5" t="inlineStr">
        <is>
          <t>01a1212c-a827-7313-94ae-52ccdd7556dc</t>
        </is>
      </c>
    </row>
    <row r="1125">
      <c r="A1125" s="5" t="inlineStr">
        <is>
          <t>01a1212c-a834-7700-83f1-248b8ccbfdeb</t>
        </is>
      </c>
      <c r="D1125" s="5" t="inlineStr">
        <is>
          <t>01a1212c-4b57-70cf-80fd-c2192cb3bf81</t>
        </is>
      </c>
      <c r="E1125" s="4" t="n">
        <v>46304.6242732071</v>
      </c>
      <c r="F1125" s="4" t="n">
        <v>46304.62427320721</v>
      </c>
      <c r="G1125" t="b">
        <v>1</v>
      </c>
      <c r="H1125" s="3" t="inlineStr">
        <is>
          <t>Added fraction 0.003514599370128661902431964937 of cost base adjustment 01a1212c-a805-700c-af80-50bada88a708 | 2025-06-30 | Adjustment of A200 | Cost base increase = A$288.25</t>
        </is>
      </c>
      <c r="I1125" t="inlineStr">
        <is>
          <t>cost base adjustment allocation</t>
        </is>
      </c>
      <c r="J1125" s="5" t="inlineStr">
        <is>
          <t>01a1212c-a82e-73a4-a93b-d4785ba12e86</t>
        </is>
      </c>
    </row>
    <row r="1126">
      <c r="A1126" s="5" t="inlineStr">
        <is>
          <t>01a1212c-a83c-70c1-8da5-6fbf4571458f</t>
        </is>
      </c>
      <c r="D1126" s="5" t="inlineStr">
        <is>
          <t>01a1212c-4b57-70cf-80fd-c2192cb3bf81</t>
        </is>
      </c>
      <c r="E1126" s="4" t="n">
        <v>46304.62427329762</v>
      </c>
      <c r="F1126" s="4" t="n">
        <v>46304.62427329774</v>
      </c>
      <c r="G1126" t="b">
        <v>1</v>
      </c>
      <c r="H1126" s="3" t="inlineStr">
        <is>
          <t>Added fraction 0.005041038116174737611037220296 of cost base adjustment 01a1212c-a805-700c-af80-50bada88a708 | 2025-06-30 | Adjustment of A200 | Cost base increase = A$288.25</t>
        </is>
      </c>
      <c r="I1126" t="inlineStr">
        <is>
          <t>cost base adjustment allocation</t>
        </is>
      </c>
      <c r="J1126" s="5" t="inlineStr">
        <is>
          <t>01a1212c-a835-734a-af28-129187ec4232</t>
        </is>
      </c>
    </row>
    <row r="1127">
      <c r="A1127" s="5" t="inlineStr">
        <is>
          <t>01a1212c-a846-7250-825b-cc7d8548784c</t>
        </is>
      </c>
      <c r="D1127" s="5" t="inlineStr">
        <is>
          <t>01a1212c-4b57-70cf-80fd-c2192cb3bf81</t>
        </is>
      </c>
      <c r="E1127" s="4" t="n">
        <v>46304.62427340905</v>
      </c>
      <c r="F1127" s="4" t="n">
        <v>46304.62427340916</v>
      </c>
      <c r="G1127" t="b">
        <v>1</v>
      </c>
      <c r="H1127" s="3" t="inlineStr">
        <is>
          <t>Added fraction 0.005134071628913437484925125251 of cost base adjustment 01a1212c-a805-700c-af80-50bada88a708 | 2025-06-30 | Adjustment of A200 | Cost base increase = A$288.25</t>
        </is>
      </c>
      <c r="I1127" t="inlineStr">
        <is>
          <t>cost base adjustment allocation</t>
        </is>
      </c>
      <c r="J1127" s="5" t="inlineStr">
        <is>
          <t>01a1212c-a83d-7746-8214-fa47490e6c7c</t>
        </is>
      </c>
    </row>
    <row r="1128">
      <c r="A1128" s="5" t="inlineStr">
        <is>
          <t>01a1212c-a84c-771d-9624-d6a49fab00b2</t>
        </is>
      </c>
      <c r="D1128" s="5" t="inlineStr">
        <is>
          <t>01a1212c-4b57-70cf-80fd-c2192cb3bf81</t>
        </is>
      </c>
      <c r="E1128" s="4" t="n">
        <v>46304.6242734843</v>
      </c>
      <c r="F1128" s="4" t="n">
        <v>46304.62427348438</v>
      </c>
      <c r="G1128" t="b">
        <v>1</v>
      </c>
      <c r="H1128" s="3" t="inlineStr">
        <is>
          <t>Added fraction 0.005519988422496192517349027283 of cost base adjustment 01a1212c-a805-700c-af80-50bada88a708 | 2025-06-30 | Adjustment of A200 | Cost base increase = A$288.25</t>
        </is>
      </c>
      <c r="I1128" t="inlineStr">
        <is>
          <t>cost base adjustment allocation</t>
        </is>
      </c>
      <c r="J1128" s="5" t="inlineStr">
        <is>
          <t>01a1212c-a847-72c0-9a50-e4b78e5b98c0</t>
        </is>
      </c>
    </row>
    <row r="1129">
      <c r="A1129" s="5" t="inlineStr">
        <is>
          <t>01a1212c-a854-75dd-a72e-180f9a43bb30</t>
        </is>
      </c>
      <c r="D1129" s="5" t="inlineStr">
        <is>
          <t>01a1212c-4b57-70cf-80fd-c2192cb3bf81</t>
        </is>
      </c>
      <c r="E1129" s="4" t="n">
        <v>46304.62427357267</v>
      </c>
      <c r="F1129" s="4" t="n">
        <v>46304.6242735728</v>
      </c>
      <c r="G1129" t="b">
        <v>1</v>
      </c>
      <c r="H1129" s="3" t="inlineStr">
        <is>
          <t>Added fraction 0.006288376324004713697978760794 of cost base adjustment 01a1212c-a805-700c-af80-50bada88a708 | 2025-06-30 | Adjustment of A200 | Cost base increase = A$288.25</t>
        </is>
      </c>
      <c r="I1129" t="inlineStr">
        <is>
          <t>cost base adjustment allocation</t>
        </is>
      </c>
      <c r="J1129" s="5" t="inlineStr">
        <is>
          <t>01a1212c-a84d-7410-9759-823b26d34db2</t>
        </is>
      </c>
    </row>
    <row r="1130">
      <c r="A1130" s="5" t="inlineStr">
        <is>
          <t>01a1212c-a85b-723f-a857-8fa14f333d1d</t>
        </is>
      </c>
      <c r="D1130" s="5" t="inlineStr">
        <is>
          <t>01a1212c-4b57-70cf-80fd-c2192cb3bf81</t>
        </is>
      </c>
      <c r="E1130" s="4" t="n">
        <v>46304.62427365664</v>
      </c>
      <c r="F1130" s="4" t="n">
        <v>46304.62427365675</v>
      </c>
      <c r="G1130" t="b">
        <v>1</v>
      </c>
      <c r="H1130" s="3" t="inlineStr">
        <is>
          <t>Added fraction 0.006288376324004713697978760794 of cost base adjustment 01a1212c-a805-700c-af80-50bada88a708 | 2025-06-30 | Adjustment of A200 | Cost base increase = A$288.25</t>
        </is>
      </c>
      <c r="I1130" t="inlineStr">
        <is>
          <t>cost base adjustment allocation</t>
        </is>
      </c>
      <c r="J1130" s="5" t="inlineStr">
        <is>
          <t>01a1212c-a855-74c0-953e-31a566af783d</t>
        </is>
      </c>
    </row>
    <row r="1131">
      <c r="A1131" s="5" t="inlineStr">
        <is>
          <t>01a1212c-a863-742e-b7a8-bc88640db096</t>
        </is>
      </c>
      <c r="D1131" s="5" t="inlineStr">
        <is>
          <t>01a1212c-4b57-70cf-80fd-c2192cb3bf81</t>
        </is>
      </c>
      <c r="E1131" s="4" t="n">
        <v>46304.62427374079</v>
      </c>
      <c r="F1131" s="4" t="n">
        <v>46304.62427374089</v>
      </c>
      <c r="G1131" t="b">
        <v>1</v>
      </c>
      <c r="H1131" s="3" t="inlineStr">
        <is>
          <t>Added fraction 0.006288376324004713697978760794 of cost base adjustment 01a1212c-a805-700c-af80-50bada88a708 | 2025-06-30 | Adjustment of A200 | Cost base increase = A$288.25</t>
        </is>
      </c>
      <c r="I1131" t="inlineStr">
        <is>
          <t>cost base adjustment allocation</t>
        </is>
      </c>
      <c r="J1131" s="5" t="inlineStr">
        <is>
          <t>01a1212c-a85c-7081-822f-aa59b1ba7630</t>
        </is>
      </c>
    </row>
    <row r="1132">
      <c r="A1132" s="5" t="inlineStr">
        <is>
          <t>01a1212c-a869-7283-ac05-e80226f105e9</t>
        </is>
      </c>
      <c r="D1132" s="5" t="inlineStr">
        <is>
          <t>01a1212c-4b57-70cf-80fd-c2192cb3bf81</t>
        </is>
      </c>
      <c r="E1132" s="4" t="n">
        <v>46304.62427381618</v>
      </c>
      <c r="F1132" s="4" t="n">
        <v>46304.62427381626</v>
      </c>
      <c r="G1132" t="b">
        <v>1</v>
      </c>
      <c r="H1132" s="3" t="inlineStr">
        <is>
          <t>Added fraction 0.006288376324004713697978760794 of cost base adjustment 01a1212c-a805-700c-af80-50bada88a708 | 2025-06-30 | Adjustment of A200 | Cost base increase = A$288.25</t>
        </is>
      </c>
      <c r="I1132" t="inlineStr">
        <is>
          <t>cost base adjustment allocation</t>
        </is>
      </c>
      <c r="J1132" s="5" t="inlineStr">
        <is>
          <t>01a1212c-a863-742e-b7a8-bc895148865e</t>
        </is>
      </c>
    </row>
    <row r="1133">
      <c r="A1133" s="5" t="inlineStr">
        <is>
          <t>01a1212c-a870-70d0-942f-27d1a5f2b2a5</t>
        </is>
      </c>
      <c r="D1133" s="5" t="inlineStr">
        <is>
          <t>01a1212c-4b57-70cf-80fd-c2192cb3bf81</t>
        </is>
      </c>
      <c r="E1133" s="4" t="n">
        <v>46304.62427389294</v>
      </c>
      <c r="F1133" s="4" t="n">
        <v>46304.62427389308</v>
      </c>
      <c r="G1133" t="b">
        <v>1</v>
      </c>
      <c r="H1133" s="3" t="inlineStr">
        <is>
          <t>Added fraction 0.007546051588805656437574512952 of cost base adjustment 01a1212c-a805-700c-af80-50bada88a708 | 2025-06-30 | Adjustment of A200 | Cost base increase = A$288.25</t>
        </is>
      </c>
      <c r="I1133" t="inlineStr">
        <is>
          <t>cost base adjustment allocation</t>
        </is>
      </c>
      <c r="J1133" s="5" t="inlineStr">
        <is>
          <t>01a1212c-a86a-7243-89ea-76af656d80f4</t>
        </is>
      </c>
    </row>
    <row r="1134">
      <c r="A1134" s="5" t="inlineStr">
        <is>
          <t>01a1212c-a878-70e3-b4c5-15fac5840d7b</t>
        </is>
      </c>
      <c r="D1134" s="5" t="inlineStr">
        <is>
          <t>01a1212c-4b57-70cf-80fd-c2192cb3bf81</t>
        </is>
      </c>
      <c r="E1134" s="4" t="n">
        <v>46304.62427398686</v>
      </c>
      <c r="F1134" s="4" t="n">
        <v>46304.62427398697</v>
      </c>
      <c r="G1134" t="b">
        <v>1</v>
      </c>
      <c r="H1134" s="3" t="inlineStr">
        <is>
          <t>Added fraction 0.007546051588805656437574512952 of cost base adjustment 01a1212c-a805-700c-af80-50bada88a708 | 2025-06-30 | Adjustment of A200 | Cost base increase = A$288.25</t>
        </is>
      </c>
      <c r="I1134" t="inlineStr">
        <is>
          <t>cost base adjustment allocation</t>
        </is>
      </c>
      <c r="J1134" s="5" t="inlineStr">
        <is>
          <t>01a1212c-a871-72f3-83f9-d843ca56991f</t>
        </is>
      </c>
    </row>
    <row r="1135">
      <c r="A1135" s="5" t="inlineStr">
        <is>
          <t>01a1212c-a87f-71c9-8fb6-86a2d15eb615</t>
        </is>
      </c>
      <c r="D1135" s="5" t="inlineStr">
        <is>
          <t>01a1212c-4b57-70cf-80fd-c2192cb3bf81</t>
        </is>
      </c>
      <c r="E1135" s="4" t="n">
        <v>46304.62427406431</v>
      </c>
      <c r="F1135" s="4" t="n">
        <v>46304.62427406442</v>
      </c>
      <c r="G1135" t="b">
        <v>1</v>
      </c>
      <c r="H1135" s="3" t="inlineStr">
        <is>
          <t>Added fraction 0.007546051588805656437574512952 of cost base adjustment 01a1212c-a805-700c-af80-50bada88a708 | 2025-06-30 | Adjustment of A200 | Cost base increase = A$288.25</t>
        </is>
      </c>
      <c r="I1135" t="inlineStr">
        <is>
          <t>cost base adjustment allocation</t>
        </is>
      </c>
      <c r="J1135" s="5" t="inlineStr">
        <is>
          <t>01a1212c-a879-7153-acab-ad10b0ac7841</t>
        </is>
      </c>
    </row>
    <row r="1136">
      <c r="A1136" s="5" t="inlineStr">
        <is>
          <t>01a1212c-a885-7441-adca-3d7c9dd1bc42</t>
        </is>
      </c>
      <c r="D1136" s="5" t="inlineStr">
        <is>
          <t>01a1212c-4b57-70cf-80fd-c2192cb3bf81</t>
        </is>
      </c>
      <c r="E1136" s="4" t="n">
        <v>46304.62427413722</v>
      </c>
      <c r="F1136" s="4" t="n">
        <v>46304.62427413731</v>
      </c>
      <c r="G1136" t="b">
        <v>1</v>
      </c>
      <c r="H1136" s="3" t="inlineStr">
        <is>
          <t>Added fraction 0.007546051588805656437574512952 of cost base adjustment 01a1212c-a805-700c-af80-50bada88a708 | 2025-06-30 | Adjustment of A200 | Cost base increase = A$288.25</t>
        </is>
      </c>
      <c r="I1136" t="inlineStr">
        <is>
          <t>cost base adjustment allocation</t>
        </is>
      </c>
      <c r="J1136" s="5" t="inlineStr">
        <is>
          <t>01a1212c-a87f-71c9-8fb6-86a3032c4216</t>
        </is>
      </c>
    </row>
    <row r="1137">
      <c r="A1137" s="5" t="inlineStr">
        <is>
          <t>01a1212c-a88b-7374-809f-80a6b4718c4a</t>
        </is>
      </c>
      <c r="D1137" s="5" t="inlineStr">
        <is>
          <t>01a1212c-4b57-70cf-80fd-c2192cb3bf81</t>
        </is>
      </c>
      <c r="E1137" s="4" t="n">
        <v>46304.62427421165</v>
      </c>
      <c r="F1137" s="4" t="n">
        <v>46304.62427421174</v>
      </c>
      <c r="G1137" t="b">
        <v>1</v>
      </c>
      <c r="H1137" s="3" t="inlineStr">
        <is>
          <t>Added fraction 0.007959533867644322543742979415 of cost base adjustment 01a1212c-a805-700c-af80-50bada88a708 | 2025-06-30 | Adjustment of A200 | Cost base increase = A$288.25</t>
        </is>
      </c>
      <c r="I1137" t="inlineStr">
        <is>
          <t>cost base adjustment allocation</t>
        </is>
      </c>
      <c r="J1137" s="5" t="inlineStr">
        <is>
          <t>01a1212c-a886-73d8-8819-4fc3c8d5489d</t>
        </is>
      </c>
    </row>
    <row r="1138">
      <c r="A1138" s="5" t="inlineStr">
        <is>
          <t>01a1212c-a892-72a8-8bc7-7e222b291af8</t>
        </is>
      </c>
      <c r="D1138" s="5" t="inlineStr">
        <is>
          <t>01a1212c-4b57-70cf-80fd-c2192cb3bf81</t>
        </is>
      </c>
      <c r="E1138" s="4" t="n">
        <v>46304.62427428422</v>
      </c>
      <c r="F1138" s="4" t="n">
        <v>46304.62427428433</v>
      </c>
      <c r="G1138" t="b">
        <v>1</v>
      </c>
      <c r="H1138" s="3" t="inlineStr">
        <is>
          <t>Added fraction 0.008235188720203433281188623724 of cost base adjustment 01a1212c-a805-700c-af80-50bada88a708 | 2025-06-30 | Adjustment of A200 | Cost base increase = A$288.25</t>
        </is>
      </c>
      <c r="I1138" t="inlineStr">
        <is>
          <t>cost base adjustment allocation</t>
        </is>
      </c>
      <c r="J1138" s="5" t="inlineStr">
        <is>
          <t>01a1212c-a88c-71f4-a59c-f363cb0bf191</t>
        </is>
      </c>
    </row>
    <row r="1139">
      <c r="A1139" s="5" t="inlineStr">
        <is>
          <t>01a1212c-a89a-7673-8ebd-622d7827a6dd</t>
        </is>
      </c>
      <c r="D1139" s="5" t="inlineStr">
        <is>
          <t>01a1212c-4b57-70cf-80fd-c2192cb3bf81</t>
        </is>
      </c>
      <c r="E1139" s="4" t="n">
        <v>46304.62427437954</v>
      </c>
      <c r="F1139" s="4" t="n">
        <v>46304.62427437971</v>
      </c>
      <c r="G1139" t="b">
        <v>1</v>
      </c>
      <c r="H1139" s="3" t="inlineStr">
        <is>
          <t>Added fraction 0.008803726853606599177170265111 of cost base adjustment 01a1212c-a805-700c-af80-50bada88a708 | 2025-06-30 | Adjustment of A200 | Cost base increase = A$288.25</t>
        </is>
      </c>
      <c r="I1139" t="inlineStr">
        <is>
          <t>cost base adjustment allocation</t>
        </is>
      </c>
      <c r="J1139" s="5" t="inlineStr">
        <is>
          <t>01a1212c-a892-72a8-8bc7-7e23abafc271</t>
        </is>
      </c>
    </row>
    <row r="1140">
      <c r="A1140" s="5" t="inlineStr">
        <is>
          <t>01a1212c-a8a4-77d9-b212-d5b9b33e4be7</t>
        </is>
      </c>
      <c r="D1140" s="5" t="inlineStr">
        <is>
          <t>01a1212c-4b57-70cf-80fd-c2192cb3bf81</t>
        </is>
      </c>
      <c r="E1140" s="4" t="n">
        <v>46304.62427450347</v>
      </c>
      <c r="F1140" s="4" t="n">
        <v>46304.62427450362</v>
      </c>
      <c r="G1140" t="b">
        <v>1</v>
      </c>
      <c r="H1140" s="3" t="inlineStr">
        <is>
          <t>Added fraction 0.008803726853606599177170265111 of cost base adjustment 01a1212c-a805-700c-af80-50bada88a708 | 2025-06-30 | Adjustment of A200 | Cost base increase = A$288.25</t>
        </is>
      </c>
      <c r="I1140" t="inlineStr">
        <is>
          <t>cost base adjustment allocation</t>
        </is>
      </c>
      <c r="J1140" s="5" t="inlineStr">
        <is>
          <t>01a1212c-a89b-775d-a61c-26e73d8df562</t>
        </is>
      </c>
    </row>
    <row r="1141">
      <c r="A1141" s="5" t="inlineStr">
        <is>
          <t>01a1212c-a8ae-73da-9bd2-ac3c5c752e2b</t>
        </is>
      </c>
      <c r="D1141" s="5" t="inlineStr">
        <is>
          <t>01a1212c-4b57-70cf-80fd-c2192cb3bf81</t>
        </is>
      </c>
      <c r="E1141" s="4" t="n">
        <v>46304.62427461953</v>
      </c>
      <c r="F1141" s="4" t="n">
        <v>46304.62427462002</v>
      </c>
      <c r="G1141" t="b">
        <v>1</v>
      </c>
      <c r="H1141" s="3" t="inlineStr">
        <is>
          <t>Added fraction 0.008803726853606599177170265111 of cost base adjustment 01a1212c-a805-700c-af80-50bada88a708 | 2025-06-30 | Adjustment of A200 | Cost base increase = A$288.25</t>
        </is>
      </c>
      <c r="I1141" t="inlineStr">
        <is>
          <t>cost base adjustment allocation</t>
        </is>
      </c>
      <c r="J1141" s="5" t="inlineStr">
        <is>
          <t>01a1212c-a8a6-746f-806c-9e2d52337840</t>
        </is>
      </c>
    </row>
    <row r="1142">
      <c r="A1142" s="5" t="inlineStr">
        <is>
          <t>01a1212c-a8b7-7712-807f-0f66782ff6ff</t>
        </is>
      </c>
      <c r="D1142" s="5" t="inlineStr">
        <is>
          <t>01a1212c-4b57-70cf-80fd-c2192cb3bf81</t>
        </is>
      </c>
      <c r="E1142" s="4" t="n">
        <v>46304.62427471217</v>
      </c>
      <c r="F1142" s="4" t="n">
        <v>46304.62427471228</v>
      </c>
      <c r="G1142" t="b">
        <v>1</v>
      </c>
      <c r="H1142" s="3" t="inlineStr">
        <is>
          <t>Added fraction 0.008803726853606599177170265111 of cost base adjustment 01a1212c-a805-700c-af80-50bada88a708 | 2025-06-30 | Adjustment of A200 | Cost base increase = A$288.25</t>
        </is>
      </c>
      <c r="I1142" t="inlineStr">
        <is>
          <t>cost base adjustment allocation</t>
        </is>
      </c>
      <c r="J1142" s="5" t="inlineStr">
        <is>
          <t>01a1212c-a8b0-76a8-b901-73680104c9a0</t>
        </is>
      </c>
    </row>
    <row r="1143">
      <c r="A1143" s="5" t="inlineStr">
        <is>
          <t>01a1212c-a8be-7583-ab7e-1342a6b3b248</t>
        </is>
      </c>
      <c r="D1143" s="5" t="inlineStr">
        <is>
          <t>01a1212c-4b57-70cf-80fd-c2192cb3bf81</t>
        </is>
      </c>
      <c r="E1143" s="4" t="n">
        <v>46304.62427479577</v>
      </c>
      <c r="F1143" s="4" t="n">
        <v>46304.62427479585</v>
      </c>
      <c r="G1143" t="b">
        <v>1</v>
      </c>
      <c r="H1143" s="3" t="inlineStr">
        <is>
          <t>Added fraction 0.008803726853606599177170265111 of cost base adjustment 01a1212c-a805-700c-af80-50bada88a708 | 2025-06-30 | Adjustment of A200 | Cost base increase = A$288.25</t>
        </is>
      </c>
      <c r="I1143" t="inlineStr">
        <is>
          <t>cost base adjustment allocation</t>
        </is>
      </c>
      <c r="J1143" s="5" t="inlineStr">
        <is>
          <t>01a1212c-a8b7-7712-807f-0f679db89003</t>
        </is>
      </c>
    </row>
    <row r="1144">
      <c r="A1144" s="5" t="inlineStr">
        <is>
          <t>01a1212c-a8c4-7011-808a-6649a1a79d34</t>
        </is>
      </c>
      <c r="D1144" s="5" t="inlineStr">
        <is>
          <t>01a1212c-4b57-70cf-80fd-c2192cb3bf81</t>
        </is>
      </c>
      <c r="E1144" s="4" t="n">
        <v>46304.62427486907</v>
      </c>
      <c r="F1144" s="4" t="n">
        <v>46304.62427486917</v>
      </c>
      <c r="G1144" t="b">
        <v>1</v>
      </c>
      <c r="H1144" s="3" t="inlineStr">
        <is>
          <t>Added fraction 0.008803726853606599177170265111 of cost base adjustment 01a1212c-a805-700c-af80-50bada88a708 | 2025-06-30 | Adjustment of A200 | Cost base increase = A$288.25</t>
        </is>
      </c>
      <c r="I1144" t="inlineStr">
        <is>
          <t>cost base adjustment allocation</t>
        </is>
      </c>
      <c r="J1144" s="5" t="inlineStr">
        <is>
          <t>01a1212c-a8bf-757e-8486-c0229831791f</t>
        </is>
      </c>
    </row>
    <row r="1145">
      <c r="A1145" s="5" t="inlineStr">
        <is>
          <t>01a1212c-a8ca-7441-8682-36ddcb024709</t>
        </is>
      </c>
      <c r="D1145" s="5" t="inlineStr">
        <is>
          <t>01a1212c-4b57-70cf-80fd-c2192cb3bf81</t>
        </is>
      </c>
      <c r="E1145" s="4" t="n">
        <v>46304.62427494145</v>
      </c>
      <c r="F1145" s="4" t="n">
        <v>46304.62427494154</v>
      </c>
      <c r="G1145" t="b">
        <v>1</v>
      </c>
      <c r="H1145" s="3" t="inlineStr">
        <is>
          <t>Added fraction 0.01006140211840754191676601727 of cost base adjustment 01a1212c-a805-700c-af80-50bada88a708 | 2025-06-30 | Adjustment of A200 | Cost base increase = A$288.25</t>
        </is>
      </c>
      <c r="I1145" t="inlineStr">
        <is>
          <t>cost base adjustment allocation</t>
        </is>
      </c>
      <c r="J1145" s="5" t="inlineStr">
        <is>
          <t>01a1212c-a8c5-7616-b408-ab37e7f69092</t>
        </is>
      </c>
    </row>
    <row r="1146">
      <c r="A1146" s="5" t="inlineStr">
        <is>
          <t>01a1212c-a8d1-734c-aa47-0a22ba55ea8f</t>
        </is>
      </c>
      <c r="D1146" s="5" t="inlineStr">
        <is>
          <t>01a1212c-4b57-70cf-80fd-c2192cb3bf81</t>
        </is>
      </c>
      <c r="E1146" s="4" t="n">
        <v>46304.62427502294</v>
      </c>
      <c r="F1146" s="4" t="n">
        <v>46304.62427502305</v>
      </c>
      <c r="G1146" t="b">
        <v>1</v>
      </c>
      <c r="H1146" s="3" t="inlineStr">
        <is>
          <t>Added fraction 0.01006140211840754191676601727 of cost base adjustment 01a1212c-a805-700c-af80-50bada88a708 | 2025-06-30 | Adjustment of A200 | Cost base increase = A$288.25</t>
        </is>
      </c>
      <c r="I1146" t="inlineStr">
        <is>
          <t>cost base adjustment allocation</t>
        </is>
      </c>
      <c r="J1146" s="5" t="inlineStr">
        <is>
          <t>01a1212c-a8cb-7260-839c-ef74f02fa4a1</t>
        </is>
      </c>
    </row>
    <row r="1147">
      <c r="A1147" s="5" t="inlineStr">
        <is>
          <t>01a1212c-a8d7-746f-ae07-fa33d2ceb91d</t>
        </is>
      </c>
      <c r="D1147" s="5" t="inlineStr">
        <is>
          <t>01a1212c-4b57-70cf-80fd-c2192cb3bf81</t>
        </is>
      </c>
      <c r="E1147" s="4" t="n">
        <v>46304.62427509279</v>
      </c>
      <c r="F1147" s="4" t="n">
        <v>46304.62427509287</v>
      </c>
      <c r="G1147" t="b">
        <v>1</v>
      </c>
      <c r="H1147" s="3" t="inlineStr">
        <is>
          <t>Added fraction 0.01006140211840754191676601727 of cost base adjustment 01a1212c-a805-700c-af80-50bada88a708 | 2025-06-30 | Adjustment of A200 | Cost base increase = A$288.25</t>
        </is>
      </c>
      <c r="I1147" t="inlineStr">
        <is>
          <t>cost base adjustment allocation</t>
        </is>
      </c>
      <c r="J1147" s="5" t="inlineStr">
        <is>
          <t>01a1212c-a8d2-73e5-9255-39fa8d3a5a1f</t>
        </is>
      </c>
    </row>
    <row r="1148">
      <c r="A1148" s="5" t="inlineStr">
        <is>
          <t>01a1212c-a8dd-734d-9003-45dfcd08af38</t>
        </is>
      </c>
      <c r="D1148" s="5" t="inlineStr">
        <is>
          <t>01a1212c-4b57-70cf-80fd-c2192cb3bf81</t>
        </is>
      </c>
      <c r="E1148" s="4" t="n">
        <v>46304.62427516287</v>
      </c>
      <c r="F1148" s="4" t="n">
        <v>46304.62427516295</v>
      </c>
      <c r="G1148" t="b">
        <v>1</v>
      </c>
      <c r="H1148" s="3" t="inlineStr">
        <is>
          <t>Added fraction 0.01006140211840754191676601727 of cost base adjustment 01a1212c-a805-700c-af80-50bada88a708 | 2025-06-30 | Adjustment of A200 | Cost base increase = A$288.25</t>
        </is>
      </c>
      <c r="I1148" t="inlineStr">
        <is>
          <t>cost base adjustment allocation</t>
        </is>
      </c>
      <c r="J1148" s="5" t="inlineStr">
        <is>
          <t>01a1212c-a8d8-76b2-ab03-ff8c283d3ed1</t>
        </is>
      </c>
    </row>
    <row r="1149">
      <c r="A1149" s="5" t="inlineStr">
        <is>
          <t>01a1212c-a8e4-75db-b335-90c32b55a68f</t>
        </is>
      </c>
      <c r="D1149" s="5" t="inlineStr">
        <is>
          <t>01a1212c-4b57-70cf-80fd-c2192cb3bf81</t>
        </is>
      </c>
      <c r="E1149" s="4" t="n">
        <v>46304.62427523606</v>
      </c>
      <c r="F1149" s="4" t="n">
        <v>46304.62427523614</v>
      </c>
      <c r="G1149" t="b">
        <v>1</v>
      </c>
      <c r="H1149" s="3" t="inlineStr">
        <is>
          <t>Added fraction 0.01006140211840754191676601727 of cost base adjustment 01a1212c-a805-700c-af80-50bada88a708 | 2025-06-30 | Adjustment of A200 | Cost base increase = A$288.25</t>
        </is>
      </c>
      <c r="I1149" t="inlineStr">
        <is>
          <t>cost base adjustment allocation</t>
        </is>
      </c>
      <c r="J1149" s="5" t="inlineStr">
        <is>
          <t>01a1212c-a8de-7014-bcc0-8027c0915534</t>
        </is>
      </c>
    </row>
    <row r="1150">
      <c r="A1150" s="5" t="inlineStr">
        <is>
          <t>01a1212c-a8ea-71aa-aef6-16c7c2a0a84a</t>
        </is>
      </c>
      <c r="D1150" s="5" t="inlineStr">
        <is>
          <t>01a1212c-4b57-70cf-80fd-c2192cb3bf81</t>
        </is>
      </c>
      <c r="E1150" s="4" t="n">
        <v>46304.62427530537</v>
      </c>
      <c r="F1150" s="4" t="n">
        <v>46304.62427530545</v>
      </c>
      <c r="G1150" t="b">
        <v>1</v>
      </c>
      <c r="H1150" s="3" t="inlineStr">
        <is>
          <t>Added fraction 0.01006140211840754191676601727 of cost base adjustment 01a1212c-a805-700c-af80-50bada88a708 | 2025-06-30 | Adjustment of A200 | Cost base increase = A$288.25</t>
        </is>
      </c>
      <c r="I1150" t="inlineStr">
        <is>
          <t>cost base adjustment allocation</t>
        </is>
      </c>
      <c r="J1150" s="5" t="inlineStr">
        <is>
          <t>01a1212c-a8e5-7140-be02-cbeaa2b1ff69</t>
        </is>
      </c>
    </row>
    <row r="1151">
      <c r="A1151" s="5" t="inlineStr">
        <is>
          <t>01a1212c-a8f0-71e2-b603-612955196931</t>
        </is>
      </c>
      <c r="D1151" s="5" t="inlineStr">
        <is>
          <t>01a1212c-4b57-70cf-80fd-c2192cb3bf81</t>
        </is>
      </c>
      <c r="E1151" s="4" t="n">
        <v>46304.62427538291</v>
      </c>
      <c r="F1151" s="4" t="n">
        <v>46304.62427538301</v>
      </c>
      <c r="G1151" t="b">
        <v>1</v>
      </c>
      <c r="H1151" s="3" t="inlineStr">
        <is>
          <t>Added fraction 0.01006140211840754191676601727 of cost base adjustment 01a1212c-a805-700c-af80-50bada88a708 | 2025-06-30 | Adjustment of A200 | Cost base increase = A$288.25</t>
        </is>
      </c>
      <c r="I1151" t="inlineStr">
        <is>
          <t>cost base adjustment allocation</t>
        </is>
      </c>
      <c r="J1151" s="5" t="inlineStr">
        <is>
          <t>01a1212c-a8ea-71aa-aef6-16c8e55a4e38</t>
        </is>
      </c>
    </row>
    <row r="1152">
      <c r="A1152" s="5" t="inlineStr">
        <is>
          <t>01a1212c-a8f6-74c0-a829-2c8a8c0678a3</t>
        </is>
      </c>
      <c r="D1152" s="5" t="inlineStr">
        <is>
          <t>01a1212c-4b57-70cf-80fd-c2192cb3bf81</t>
        </is>
      </c>
      <c r="E1152" s="4" t="n">
        <v>46304.62427545129</v>
      </c>
      <c r="F1152" s="4" t="n">
        <v>46304.62427545137</v>
      </c>
      <c r="G1152" t="b">
        <v>1</v>
      </c>
      <c r="H1152" s="3" t="inlineStr">
        <is>
          <t>Added fraction 0.01006140211840754191676601727 of cost base adjustment 01a1212c-a805-700c-af80-50bada88a708 | 2025-06-30 | Adjustment of A200 | Cost base increase = A$288.25</t>
        </is>
      </c>
      <c r="I1152" t="inlineStr">
        <is>
          <t>cost base adjustment allocation</t>
        </is>
      </c>
      <c r="J1152" s="5" t="inlineStr">
        <is>
          <t>01a1212c-a8f1-7184-85ff-5d41c12958bd</t>
        </is>
      </c>
    </row>
    <row r="1153">
      <c r="A1153" s="5" t="inlineStr">
        <is>
          <t>01a1212c-a8fc-711c-858d-d819e768e2eb</t>
        </is>
      </c>
      <c r="D1153" s="5" t="inlineStr">
        <is>
          <t>01a1212c-4b57-70cf-80fd-c2192cb3bf81</t>
        </is>
      </c>
      <c r="E1153" s="4" t="n">
        <v>46304.62427551667</v>
      </c>
      <c r="F1153" s="4" t="n">
        <v>46304.62427551675</v>
      </c>
      <c r="G1153" t="b">
        <v>1</v>
      </c>
      <c r="H1153" s="3" t="inlineStr">
        <is>
          <t>Added fraction 0.01131907738320848465636176943 of cost base adjustment 01a1212c-a805-700c-af80-50bada88a708 | 2025-06-30 | Adjustment of A200 | Cost base increase = A$288.25</t>
        </is>
      </c>
      <c r="I1153" t="inlineStr">
        <is>
          <t>cost base adjustment allocation</t>
        </is>
      </c>
      <c r="J1153" s="5" t="inlineStr">
        <is>
          <t>01a1212c-a8f7-710b-a8e6-935a132a89ed</t>
        </is>
      </c>
    </row>
    <row r="1154">
      <c r="A1154" s="5" t="inlineStr">
        <is>
          <t>01a1212c-a902-730a-9456-81d798a17cbe</t>
        </is>
      </c>
      <c r="D1154" s="5" t="inlineStr">
        <is>
          <t>01a1212c-4b57-70cf-80fd-c2192cb3bf81</t>
        </is>
      </c>
      <c r="E1154" s="4" t="n">
        <v>46304.62427558853</v>
      </c>
      <c r="F1154" s="4" t="n">
        <v>46304.62427558862</v>
      </c>
      <c r="G1154" t="b">
        <v>1</v>
      </c>
      <c r="H1154" s="3" t="inlineStr">
        <is>
          <t>Added fraction 0.01131907738320848465636176943 of cost base adjustment 01a1212c-a805-700c-af80-50bada88a708 | 2025-06-30 | Adjustment of A200 | Cost base increase = A$288.25</t>
        </is>
      </c>
      <c r="I1154" t="inlineStr">
        <is>
          <t>cost base adjustment allocation</t>
        </is>
      </c>
      <c r="J1154" s="5" t="inlineStr">
        <is>
          <t>01a1212c-a8fd-7671-89a2-64a1f08ca00e</t>
        </is>
      </c>
    </row>
    <row r="1155">
      <c r="A1155" s="5" t="inlineStr">
        <is>
          <t>01a1212c-a908-7071-90cb-14fe711418cc</t>
        </is>
      </c>
      <c r="D1155" s="5" t="inlineStr">
        <is>
          <t>01a1212c-4b57-70cf-80fd-c2192cb3bf81</t>
        </is>
      </c>
      <c r="E1155" s="4" t="n">
        <v>46304.624275658</v>
      </c>
      <c r="F1155" s="4" t="n">
        <v>46304.62427565808</v>
      </c>
      <c r="G1155" t="b">
        <v>1</v>
      </c>
      <c r="H1155" s="3" t="inlineStr">
        <is>
          <t>Added fraction 0.01131907738320848465636176943 of cost base adjustment 01a1212c-a805-700c-af80-50bada88a708 | 2025-06-30 | Adjustment of A200 | Cost base increase = A$288.25</t>
        </is>
      </c>
      <c r="I1155" t="inlineStr">
        <is>
          <t>cost base adjustment allocation</t>
        </is>
      </c>
      <c r="J1155" s="5" t="inlineStr">
        <is>
          <t>01a1212c-a903-7380-a00a-a2ee6aee5579</t>
        </is>
      </c>
    </row>
    <row r="1156">
      <c r="A1156" s="5" t="inlineStr">
        <is>
          <t>01a1212c-a90e-72a6-bd8b-88796326ade4</t>
        </is>
      </c>
      <c r="D1156" s="5" t="inlineStr">
        <is>
          <t>01a1212c-4b57-70cf-80fd-c2192cb3bf81</t>
        </is>
      </c>
      <c r="E1156" s="4" t="n">
        <v>46304.62427572702</v>
      </c>
      <c r="F1156" s="4" t="n">
        <v>46304.62427572713</v>
      </c>
      <c r="G1156" t="b">
        <v>1</v>
      </c>
      <c r="H1156" s="3" t="inlineStr">
        <is>
          <t>Added fraction 0.01131907738320848465636176943 of cost base adjustment 01a1212c-a805-700c-af80-50bada88a708 | 2025-06-30 | Adjustment of A200 | Cost base increase = A$288.25</t>
        </is>
      </c>
      <c r="I1156" t="inlineStr">
        <is>
          <t>cost base adjustment allocation</t>
        </is>
      </c>
      <c r="J1156" s="5" t="inlineStr">
        <is>
          <t>01a1212c-a909-7090-b7d5-288809f83e1a</t>
        </is>
      </c>
    </row>
    <row r="1157">
      <c r="A1157" s="5" t="inlineStr">
        <is>
          <t>01a1212c-a914-74d7-9b60-b6d94f7fc229</t>
        </is>
      </c>
      <c r="D1157" s="5" t="inlineStr">
        <is>
          <t>01a1212c-4b57-70cf-80fd-c2192cb3bf81</t>
        </is>
      </c>
      <c r="E1157" s="4" t="n">
        <v>46304.62427579732</v>
      </c>
      <c r="F1157" s="4" t="n">
        <v>46304.6242757974</v>
      </c>
      <c r="G1157" t="b">
        <v>1</v>
      </c>
      <c r="H1157" s="3" t="inlineStr">
        <is>
          <t>Added fraction 0.01131907738320848465636176943 of cost base adjustment 01a1212c-a805-700c-af80-50bada88a708 | 2025-06-30 | Adjustment of A200 | Cost base increase = A$288.25</t>
        </is>
      </c>
      <c r="I1157" t="inlineStr">
        <is>
          <t>cost base adjustment allocation</t>
        </is>
      </c>
      <c r="J1157" s="5" t="inlineStr">
        <is>
          <t>01a1212c-a90f-7794-89e8-a2a187ba2076</t>
        </is>
      </c>
    </row>
    <row r="1158">
      <c r="A1158" s="5" t="inlineStr">
        <is>
          <t>01a1212c-a91a-701e-af42-f55c8c47d267</t>
        </is>
      </c>
      <c r="D1158" s="5" t="inlineStr">
        <is>
          <t>01a1212c-4b57-70cf-80fd-c2192cb3bf81</t>
        </is>
      </c>
      <c r="E1158" s="4" t="n">
        <v>46304.62427586818</v>
      </c>
      <c r="F1158" s="4" t="n">
        <v>46304.62427586826</v>
      </c>
      <c r="G1158" t="b">
        <v>1</v>
      </c>
      <c r="H1158" s="3" t="inlineStr">
        <is>
          <t>Added fraction 0.01131907738320848465636176943 of cost base adjustment 01a1212c-a805-700c-af80-50bada88a708 | 2025-06-30 | Adjustment of A200 | Cost base increase = A$288.25</t>
        </is>
      </c>
      <c r="I1158" t="inlineStr">
        <is>
          <t>cost base adjustment allocation</t>
        </is>
      </c>
      <c r="J1158" s="5" t="inlineStr">
        <is>
          <t>01a1212c-a915-7009-92e4-adc39c89bd58</t>
        </is>
      </c>
    </row>
    <row r="1159">
      <c r="A1159" s="5" t="inlineStr">
        <is>
          <t>01a1212c-a920-71e1-b259-880ea6f0bf1b</t>
        </is>
      </c>
      <c r="D1159" s="5" t="inlineStr">
        <is>
          <t>01a1212c-4b57-70cf-80fd-c2192cb3bf81</t>
        </is>
      </c>
      <c r="E1159" s="4" t="n">
        <v>46304.62427593547</v>
      </c>
      <c r="F1159" s="4" t="n">
        <v>46304.62427593556</v>
      </c>
      <c r="G1159" t="b">
        <v>1</v>
      </c>
      <c r="H1159" s="3" t="inlineStr">
        <is>
          <t>Added fraction 0.01131907738320848465636176943 of cost base adjustment 01a1212c-a805-700c-af80-50bada88a708 | 2025-06-30 | Adjustment of A200 | Cost base increase = A$288.25</t>
        </is>
      </c>
      <c r="I1159" t="inlineStr">
        <is>
          <t>cost base adjustment allocation</t>
        </is>
      </c>
      <c r="J1159" s="5" t="inlineStr">
        <is>
          <t>01a1212c-a91b-7285-8686-241f05d9ce6b</t>
        </is>
      </c>
    </row>
    <row r="1160">
      <c r="A1160" s="5" t="inlineStr">
        <is>
          <t>01a1212c-a926-72a7-8087-820ccf03fb93</t>
        </is>
      </c>
      <c r="D1160" s="5" t="inlineStr">
        <is>
          <t>01a1212c-4b57-70cf-80fd-c2192cb3bf81</t>
        </is>
      </c>
      <c r="E1160" s="4" t="n">
        <v>46304.62427600318</v>
      </c>
      <c r="F1160" s="4" t="n">
        <v>46304.62427600326</v>
      </c>
      <c r="G1160" t="b">
        <v>1</v>
      </c>
      <c r="H1160" s="3" t="inlineStr">
        <is>
          <t>Added fraction 0.01131907738320848465636176943 of cost base adjustment 01a1212c-a805-700c-af80-50bada88a708 | 2025-06-30 | Adjustment of A200 | Cost base increase = A$288.25</t>
        </is>
      </c>
      <c r="I1160" t="inlineStr">
        <is>
          <t>cost base adjustment allocation</t>
        </is>
      </c>
      <c r="J1160" s="5" t="inlineStr">
        <is>
          <t>01a1212c-a921-7625-b035-100387045ba6</t>
        </is>
      </c>
    </row>
    <row r="1161">
      <c r="A1161" s="5" t="inlineStr">
        <is>
          <t>01a1212c-a92c-7715-93f7-f92a1ffb2fc0</t>
        </is>
      </c>
      <c r="D1161" s="5" t="inlineStr">
        <is>
          <t>01a1212c-4b57-70cf-80fd-c2192cb3bf81</t>
        </is>
      </c>
      <c r="E1161" s="4" t="n">
        <v>46304.62427607626</v>
      </c>
      <c r="F1161" s="4" t="n">
        <v>46304.62427607634</v>
      </c>
      <c r="G1161" t="b">
        <v>1</v>
      </c>
      <c r="H1161" s="3" t="inlineStr">
        <is>
          <t>Added fraction 0.01131907738320848465636176943 of cost base adjustment 01a1212c-a805-700c-af80-50bada88a708 | 2025-06-30 | Adjustment of A200 | Cost base increase = A$288.25</t>
        </is>
      </c>
      <c r="I1161" t="inlineStr">
        <is>
          <t>cost base adjustment allocation</t>
        </is>
      </c>
      <c r="J1161" s="5" t="inlineStr">
        <is>
          <t>01a1212c-a927-71aa-9227-a6164b8f47c3</t>
        </is>
      </c>
    </row>
    <row r="1162">
      <c r="A1162" s="5" t="inlineStr">
        <is>
          <t>01a1212c-a932-7227-9ceb-d564e08291a4</t>
        </is>
      </c>
      <c r="D1162" s="5" t="inlineStr">
        <is>
          <t>01a1212c-4b57-70cf-80fd-c2192cb3bf81</t>
        </is>
      </c>
      <c r="E1162" s="4" t="n">
        <v>46304.62427614464</v>
      </c>
      <c r="F1162" s="4" t="n">
        <v>46304.62427614474</v>
      </c>
      <c r="G1162" t="b">
        <v>1</v>
      </c>
      <c r="H1162" s="3" t="inlineStr">
        <is>
          <t>Added fraction 0.01131907738320848465636176943 of cost base adjustment 01a1212c-a805-700c-af80-50bada88a708 | 2025-06-30 | Adjustment of A200 | Cost base increase = A$288.25</t>
        </is>
      </c>
      <c r="I1162" t="inlineStr">
        <is>
          <t>cost base adjustment allocation</t>
        </is>
      </c>
      <c r="J1162" s="5" t="inlineStr">
        <is>
          <t>01a1212c-a92d-72f0-b5f2-e6e5baf8396d</t>
        </is>
      </c>
    </row>
    <row r="1163">
      <c r="A1163" s="5" t="inlineStr">
        <is>
          <t>01a1212c-a938-702d-9c00-398e13e0daf6</t>
        </is>
      </c>
      <c r="D1163" s="5" t="inlineStr">
        <is>
          <t>01a1212c-4b57-70cf-80fd-c2192cb3bf81</t>
        </is>
      </c>
      <c r="E1163" s="4" t="n">
        <v>46304.62427621197</v>
      </c>
      <c r="F1163" s="4" t="n">
        <v>46304.62427621205</v>
      </c>
      <c r="G1163" t="b">
        <v>1</v>
      </c>
      <c r="H1163" s="3" t="inlineStr">
        <is>
          <t>Added fraction 0.01131907738320848465636176943 of cost base adjustment 01a1212c-a805-700c-af80-50bada88a708 | 2025-06-30 | Adjustment of A200 | Cost base increase = A$288.25</t>
        </is>
      </c>
      <c r="I1163" t="inlineStr">
        <is>
          <t>cost base adjustment allocation</t>
        </is>
      </c>
      <c r="J1163" s="5" t="inlineStr">
        <is>
          <t>01a1212c-a933-73d3-9b17-bf4116c503a3</t>
        </is>
      </c>
    </row>
    <row r="1164">
      <c r="A1164" s="5" t="inlineStr">
        <is>
          <t>01a1212c-a93e-705d-abc2-5ca740bdd86a</t>
        </is>
      </c>
      <c r="D1164" s="5" t="inlineStr">
        <is>
          <t>01a1212c-4b57-70cf-80fd-c2192cb3bf81</t>
        </is>
      </c>
      <c r="E1164" s="4" t="n">
        <v>46304.62427628376</v>
      </c>
      <c r="F1164" s="4" t="n">
        <v>46304.62427628385</v>
      </c>
      <c r="G1164" t="b">
        <v>1</v>
      </c>
      <c r="H1164" s="3" t="inlineStr">
        <is>
          <t>Added fraction 0.01131907738320848465636176943 of cost base adjustment 01a1212c-a805-700c-af80-50bada88a708 | 2025-06-30 | Adjustment of A200 | Cost base increase = A$288.25</t>
        </is>
      </c>
      <c r="I1164" t="inlineStr">
        <is>
          <t>cost base adjustment allocation</t>
        </is>
      </c>
      <c r="J1164" s="5" t="inlineStr">
        <is>
          <t>01a1212c-a939-73bf-ada5-fd7aa8d5f872</t>
        </is>
      </c>
    </row>
    <row r="1165">
      <c r="A1165" s="5" t="inlineStr">
        <is>
          <t>01a1212c-a944-71f5-92ab-92b119d54269</t>
        </is>
      </c>
      <c r="D1165" s="5" t="inlineStr">
        <is>
          <t>01a1212c-4b57-70cf-80fd-c2192cb3bf81</t>
        </is>
      </c>
      <c r="E1165" s="4" t="n">
        <v>46304.62427634986</v>
      </c>
      <c r="F1165" s="4" t="n">
        <v>46304.62427634994</v>
      </c>
      <c r="G1165" t="b">
        <v>1</v>
      </c>
      <c r="H1165" s="3" t="inlineStr">
        <is>
          <t>Added fraction 0.01254229579143953855377681605 of cost base adjustment 01a1212c-a805-700c-af80-50bada88a708 | 2025-06-30 | Adjustment of A200 | Cost base increase = A$288.25</t>
        </is>
      </c>
      <c r="I1165" t="inlineStr">
        <is>
          <t>cost base adjustment allocation</t>
        </is>
      </c>
      <c r="J1165" s="5" t="inlineStr">
        <is>
          <t>01a1212c-a93f-76e6-961c-691873e3b82b</t>
        </is>
      </c>
    </row>
    <row r="1166">
      <c r="A1166" s="5" t="inlineStr">
        <is>
          <t>01a1212c-a94a-7356-a11a-390bc8f2890b</t>
        </is>
      </c>
      <c r="D1166" s="5" t="inlineStr">
        <is>
          <t>01a1212c-4b57-70cf-80fd-c2192cb3bf81</t>
        </is>
      </c>
      <c r="E1166" s="4" t="n">
        <v>46304.62427642049</v>
      </c>
      <c r="F1166" s="4" t="n">
        <v>46304.62427642055</v>
      </c>
      <c r="G1166" t="b">
        <v>1</v>
      </c>
      <c r="H1166" s="3" t="inlineStr">
        <is>
          <t>Added fraction 0.01257675264800942739595752159 of cost base adjustment 01a1212c-a805-700c-af80-50bada88a708 | 2025-06-30 | Adjustment of A200 | Cost base increase = A$288.25</t>
        </is>
      </c>
      <c r="I1166" t="inlineStr">
        <is>
          <t>cost base adjustment allocation</t>
        </is>
      </c>
      <c r="J1166" s="5" t="inlineStr">
        <is>
          <t>01a1212c-a945-701a-8985-aff3631a1004</t>
        </is>
      </c>
    </row>
    <row r="1167">
      <c r="A1167" s="5" t="inlineStr">
        <is>
          <t>01a1212c-a950-721c-88ab-ba8e82af8e6c</t>
        </is>
      </c>
      <c r="D1167" s="5" t="inlineStr">
        <is>
          <t>01a1212c-4b57-70cf-80fd-c2192cb3bf81</t>
        </is>
      </c>
      <c r="E1167" s="4" t="n">
        <v>46304.62427649309</v>
      </c>
      <c r="F1167" s="4" t="n">
        <v>46304.62427649317</v>
      </c>
      <c r="G1167" t="b">
        <v>1</v>
      </c>
      <c r="H1167" s="3" t="inlineStr">
        <is>
          <t>Added fraction 0.01257675264800942739595752159 of cost base adjustment 01a1212c-a805-700c-af80-50bada88a708 | 2025-06-30 | Adjustment of A200 | Cost base increase = A$288.25</t>
        </is>
      </c>
      <c r="I1167" t="inlineStr">
        <is>
          <t>cost base adjustment allocation</t>
        </is>
      </c>
      <c r="J1167" s="5" t="inlineStr">
        <is>
          <t>01a1212c-a94b-736d-b549-1bca90001fff</t>
        </is>
      </c>
    </row>
    <row r="1168">
      <c r="A1168" s="5" t="inlineStr">
        <is>
          <t>01a1212c-a957-74a6-8cd6-5c62ea34d2d9</t>
        </is>
      </c>
      <c r="D1168" s="5" t="inlineStr">
        <is>
          <t>01a1212c-4b57-70cf-80fd-c2192cb3bf81</t>
        </is>
      </c>
      <c r="E1168" s="4" t="n">
        <v>46304.6242765653</v>
      </c>
      <c r="F1168" s="4" t="n">
        <v>46304.6242765654</v>
      </c>
      <c r="G1168" t="b">
        <v>1</v>
      </c>
      <c r="H1168" s="3" t="inlineStr">
        <is>
          <t>Added fraction 0.01257675264800942739595752159 of cost base adjustment 01a1212c-a805-700c-af80-50bada88a708 | 2025-06-30 | Adjustment of A200 | Cost base increase = A$288.25</t>
        </is>
      </c>
      <c r="I1168" t="inlineStr">
        <is>
          <t>cost base adjustment allocation</t>
        </is>
      </c>
      <c r="J1168" s="5" t="inlineStr">
        <is>
          <t>01a1212c-a951-70bf-86e7-a5b60b373eb5</t>
        </is>
      </c>
    </row>
    <row r="1169">
      <c r="A1169" s="5" t="inlineStr">
        <is>
          <t>01a1212c-a95d-7314-99b0-5c87cbafec19</t>
        </is>
      </c>
      <c r="D1169" s="5" t="inlineStr">
        <is>
          <t>01a1212c-4b57-70cf-80fd-c2192cb3bf81</t>
        </is>
      </c>
      <c r="E1169" s="4" t="n">
        <v>46304.62427664147</v>
      </c>
      <c r="F1169" s="4" t="n">
        <v>46304.62427664161</v>
      </c>
      <c r="G1169" t="b">
        <v>1</v>
      </c>
      <c r="H1169" s="3" t="inlineStr">
        <is>
          <t>Added fraction 0.01257675264800942739595752159 of cost base adjustment 01a1212c-a805-700c-af80-50bada88a708 | 2025-06-30 | Adjustment of A200 | Cost base increase = A$288.25</t>
        </is>
      </c>
      <c r="I1169" t="inlineStr">
        <is>
          <t>cost base adjustment allocation</t>
        </is>
      </c>
      <c r="J1169" s="5" t="inlineStr">
        <is>
          <t>01a1212c-a957-74a6-8cd6-5c635615d4ec</t>
        </is>
      </c>
    </row>
    <row r="1170">
      <c r="A1170" s="5" t="inlineStr">
        <is>
          <t>01a1212c-a964-7067-bcd4-27ec6257cc50</t>
        </is>
      </c>
      <c r="D1170" s="5" t="inlineStr">
        <is>
          <t>01a1212c-4b57-70cf-80fd-c2192cb3bf81</t>
        </is>
      </c>
      <c r="E1170" s="4" t="n">
        <v>46304.62427671775</v>
      </c>
      <c r="F1170" s="4" t="n">
        <v>46304.62427671786</v>
      </c>
      <c r="G1170" t="b">
        <v>1</v>
      </c>
      <c r="H1170" s="3" t="inlineStr">
        <is>
          <t>Added fraction 0.01257675264800942739595752159 of cost base adjustment 01a1212c-a805-700c-af80-50bada88a708 | 2025-06-30 | Adjustment of A200 | Cost base increase = A$288.25</t>
        </is>
      </c>
      <c r="I1170" t="inlineStr">
        <is>
          <t>cost base adjustment allocation</t>
        </is>
      </c>
      <c r="J1170" s="5" t="inlineStr">
        <is>
          <t>01a1212c-a95e-75e1-8ae8-89ffe6d12d01</t>
        </is>
      </c>
    </row>
    <row r="1171">
      <c r="A1171" s="5" t="inlineStr">
        <is>
          <t>01a1212c-a96a-7612-903c-9bcdd8a6ce3b</t>
        </is>
      </c>
      <c r="D1171" s="5" t="inlineStr">
        <is>
          <t>01a1212c-4b57-70cf-80fd-c2192cb3bf81</t>
        </is>
      </c>
      <c r="E1171" s="4" t="n">
        <v>46304.62427679232</v>
      </c>
      <c r="F1171" s="4" t="n">
        <v>46304.62427679243</v>
      </c>
      <c r="G1171" t="b">
        <v>1</v>
      </c>
      <c r="H1171" s="3" t="inlineStr">
        <is>
          <t>Added fraction 0.01257675264800942739595752159 of cost base adjustment 01a1212c-a805-700c-af80-50bada88a708 | 2025-06-30 | Adjustment of A200 | Cost base increase = A$288.25</t>
        </is>
      </c>
      <c r="I1171" t="inlineStr">
        <is>
          <t>cost base adjustment allocation</t>
        </is>
      </c>
      <c r="J1171" s="5" t="inlineStr">
        <is>
          <t>01a1212c-a965-77a9-9cb1-eb2257499727</t>
        </is>
      </c>
    </row>
    <row r="1172">
      <c r="A1172" s="5" t="inlineStr">
        <is>
          <t>01a1212c-a971-7708-aa75-50dcdd2cf928</t>
        </is>
      </c>
      <c r="D1172" s="5" t="inlineStr">
        <is>
          <t>01a1212c-4b57-70cf-80fd-c2192cb3bf81</t>
        </is>
      </c>
      <c r="E1172" s="4" t="n">
        <v>46304.62427686682</v>
      </c>
      <c r="F1172" s="4" t="n">
        <v>46304.6242768669</v>
      </c>
      <c r="G1172" t="b">
        <v>1</v>
      </c>
      <c r="H1172" s="3" t="inlineStr">
        <is>
          <t>Added fraction 0.01257675264800942739595752159 of cost base adjustment 01a1212c-a805-700c-af80-50bada88a708 | 2025-06-30 | Adjustment of A200 | Cost base increase = A$288.25</t>
        </is>
      </c>
      <c r="I1172" t="inlineStr">
        <is>
          <t>cost base adjustment allocation</t>
        </is>
      </c>
      <c r="J1172" s="5" t="inlineStr">
        <is>
          <t>01a1212c-a96b-717c-8aad-edd6186eaa05</t>
        </is>
      </c>
    </row>
    <row r="1173">
      <c r="A1173" s="5" t="inlineStr">
        <is>
          <t>01a1212c-a977-76a6-ba38-ab18d10816cf</t>
        </is>
      </c>
      <c r="D1173" s="5" t="inlineStr">
        <is>
          <t>01a1212c-4b57-70cf-80fd-c2192cb3bf81</t>
        </is>
      </c>
      <c r="E1173" s="4" t="n">
        <v>46304.62427694505</v>
      </c>
      <c r="F1173" s="4" t="n">
        <v>46304.62427694514</v>
      </c>
      <c r="G1173" t="b">
        <v>1</v>
      </c>
      <c r="H1173" s="3" t="inlineStr">
        <is>
          <t>Added fraction 0.01257675264800942739595752159 of cost base adjustment 01a1212c-a805-700c-af80-50bada88a708 | 2025-06-30 | Adjustment of A200 | Cost base increase = A$288.25</t>
        </is>
      </c>
      <c r="I1173" t="inlineStr">
        <is>
          <t>cost base adjustment allocation</t>
        </is>
      </c>
      <c r="J1173" s="5" t="inlineStr">
        <is>
          <t>01a1212c-a972-773c-bff8-1f6587cdc268</t>
        </is>
      </c>
    </row>
    <row r="1174">
      <c r="A1174" s="5" t="inlineStr">
        <is>
          <t>01a1212c-a97e-7648-84fe-d34a1631bbeb</t>
        </is>
      </c>
      <c r="D1174" s="5" t="inlineStr">
        <is>
          <t>01a1212c-4b57-70cf-80fd-c2192cb3bf81</t>
        </is>
      </c>
      <c r="E1174" s="4" t="n">
        <v>46304.62427701511</v>
      </c>
      <c r="F1174" s="4" t="n">
        <v>46304.62427701519</v>
      </c>
      <c r="G1174" t="b">
        <v>1</v>
      </c>
      <c r="H1174" s="3" t="inlineStr">
        <is>
          <t>Added fraction 0.01257675264800942739595752159 of cost base adjustment 01a1212c-a805-700c-af80-50bada88a708 | 2025-06-30 | Adjustment of A200 | Cost base increase = A$288.25</t>
        </is>
      </c>
      <c r="I1174" t="inlineStr">
        <is>
          <t>cost base adjustment allocation</t>
        </is>
      </c>
      <c r="J1174" s="5" t="inlineStr">
        <is>
          <t>01a1212c-a978-75fb-afc6-f9159848b8be</t>
        </is>
      </c>
    </row>
    <row r="1175">
      <c r="A1175" s="5" t="inlineStr">
        <is>
          <t>01a1212c-a984-71d6-a9af-b33cfbcd0e2c</t>
        </is>
      </c>
      <c r="D1175" s="5" t="inlineStr">
        <is>
          <t>01a1212c-4b57-70cf-80fd-c2192cb3bf81</t>
        </is>
      </c>
      <c r="E1175" s="4" t="n">
        <v>46304.62427708904</v>
      </c>
      <c r="F1175" s="4" t="n">
        <v>46304.62427708913</v>
      </c>
      <c r="G1175" t="b">
        <v>1</v>
      </c>
      <c r="H1175" s="3" t="inlineStr">
        <is>
          <t>Added fraction 0.01383442791281037013555327375 of cost base adjustment 01a1212c-a805-700c-af80-50bada88a708 | 2025-06-30 | Adjustment of A200 | Cost base increase = A$288.25</t>
        </is>
      </c>
      <c r="I1175" t="inlineStr">
        <is>
          <t>cost base adjustment allocation</t>
        </is>
      </c>
      <c r="J1175" s="5" t="inlineStr">
        <is>
          <t>01a1212c-a97e-7648-84fe-d34b9cd07876</t>
        </is>
      </c>
    </row>
    <row r="1176">
      <c r="A1176" s="5" t="inlineStr">
        <is>
          <t>01a1212c-a98a-7319-9bb8-f594cb303572</t>
        </is>
      </c>
      <c r="D1176" s="5" t="inlineStr">
        <is>
          <t>01a1212c-4b57-70cf-80fd-c2192cb3bf81</t>
        </is>
      </c>
      <c r="E1176" s="4" t="n">
        <v>46304.62427715991</v>
      </c>
      <c r="F1176" s="4" t="n">
        <v>46304.62427715999</v>
      </c>
      <c r="G1176" t="b">
        <v>1</v>
      </c>
      <c r="H1176" s="3" t="inlineStr">
        <is>
          <t>Added fraction 0.01509210317761131287514902590 of cost base adjustment 01a1212c-a805-700c-af80-50bada88a708 | 2025-06-30 | Adjustment of A200 | Cost base increase = A$288.25</t>
        </is>
      </c>
      <c r="I1176" t="inlineStr">
        <is>
          <t>cost base adjustment allocation</t>
        </is>
      </c>
      <c r="J1176" s="5" t="inlineStr">
        <is>
          <t>01a1212c-a985-7145-a6f0-8b244f33383e</t>
        </is>
      </c>
    </row>
    <row r="1177">
      <c r="A1177" s="5" t="inlineStr">
        <is>
          <t>01a1212c-a990-7658-bb38-344194cf14a6</t>
        </is>
      </c>
      <c r="D1177" s="5" t="inlineStr">
        <is>
          <t>01a1212c-4b57-70cf-80fd-c2192cb3bf81</t>
        </is>
      </c>
      <c r="E1177" s="4" t="n">
        <v>46304.62427722726</v>
      </c>
      <c r="F1177" s="4" t="n">
        <v>46304.62427722734</v>
      </c>
      <c r="G1177" t="b">
        <v>1</v>
      </c>
      <c r="H1177" s="3" t="inlineStr">
        <is>
          <t>Added fraction 0.01509210317761131287514902590 of cost base adjustment 01a1212c-a805-700c-af80-50bada88a708 | 2025-06-30 | Adjustment of A200 | Cost base increase = A$288.25</t>
        </is>
      </c>
      <c r="I1177" t="inlineStr">
        <is>
          <t>cost base adjustment allocation</t>
        </is>
      </c>
      <c r="J1177" s="5" t="inlineStr">
        <is>
          <t>01a1212c-a98b-7430-8a6f-f4c7c93301e1</t>
        </is>
      </c>
    </row>
    <row r="1178">
      <c r="A1178" s="5" t="inlineStr">
        <is>
          <t>01a1212c-a996-732a-89f2-9e61532e5fc7</t>
        </is>
      </c>
      <c r="D1178" s="5" t="inlineStr">
        <is>
          <t>01a1212c-4b57-70cf-80fd-c2192cb3bf81</t>
        </is>
      </c>
      <c r="E1178" s="4" t="n">
        <v>46304.62427729605</v>
      </c>
      <c r="F1178" s="4" t="n">
        <v>46304.62427729613</v>
      </c>
      <c r="G1178" t="b">
        <v>1</v>
      </c>
      <c r="H1178" s="3" t="inlineStr">
        <is>
          <t>Added fraction 0.01509210317761131287514902590 of cost base adjustment 01a1212c-a805-700c-af80-50bada88a708 | 2025-06-30 | Adjustment of A200 | Cost base increase = A$288.25</t>
        </is>
      </c>
      <c r="I1178" t="inlineStr">
        <is>
          <t>cost base adjustment allocation</t>
        </is>
      </c>
      <c r="J1178" s="5" t="inlineStr">
        <is>
          <t>01a1212c-a991-746d-84e7-c60995ec7c39</t>
        </is>
      </c>
    </row>
    <row r="1179">
      <c r="A1179" s="5" t="inlineStr">
        <is>
          <t>01a1212c-a99c-7258-a1c5-ea09e9491f27</t>
        </is>
      </c>
      <c r="D1179" s="5" t="inlineStr">
        <is>
          <t>01a1212c-4b57-70cf-80fd-c2192cb3bf81</t>
        </is>
      </c>
      <c r="E1179" s="4" t="n">
        <v>46304.62427736443</v>
      </c>
      <c r="F1179" s="4" t="n">
        <v>46304.62427736451</v>
      </c>
      <c r="G1179" t="b">
        <v>1</v>
      </c>
      <c r="H1179" s="3" t="inlineStr">
        <is>
          <t>Added fraction 0.01634977844241225561474477806 of cost base adjustment 01a1212c-a805-700c-af80-50bada88a708 | 2025-06-30 | Adjustment of A200 | Cost base increase = A$288.25</t>
        </is>
      </c>
      <c r="I1179" t="inlineStr">
        <is>
          <t>cost base adjustment allocation</t>
        </is>
      </c>
      <c r="J1179" s="5" t="inlineStr">
        <is>
          <t>01a1212c-a996-732a-89f2-9e626f88f7f4</t>
        </is>
      </c>
    </row>
    <row r="1180">
      <c r="A1180" s="5" t="inlineStr">
        <is>
          <t>01a1212c-a9a2-742e-ac92-dfe141bf369a</t>
        </is>
      </c>
      <c r="D1180" s="5" t="inlineStr">
        <is>
          <t>01a1212c-4b57-70cf-80fd-c2192cb3bf81</t>
        </is>
      </c>
      <c r="E1180" s="4" t="n">
        <v>46304.62427743692</v>
      </c>
      <c r="F1180" s="4" t="n">
        <v>46304.624277437</v>
      </c>
      <c r="G1180" t="b">
        <v>1</v>
      </c>
      <c r="H1180" s="3" t="inlineStr">
        <is>
          <t>Added fraction 0.01634977844241225561474477806 of cost base adjustment 01a1212c-a805-700c-af80-50bada88a708 | 2025-06-30 | Adjustment of A200 | Cost base increase = A$288.25</t>
        </is>
      </c>
      <c r="I1180" t="inlineStr">
        <is>
          <t>cost base adjustment allocation</t>
        </is>
      </c>
      <c r="J1180" s="5" t="inlineStr">
        <is>
          <t>01a1212c-a99c-7258-a1c5-ea0a87d2bc3e</t>
        </is>
      </c>
    </row>
    <row r="1181">
      <c r="A1181" s="5" t="inlineStr">
        <is>
          <t>01a1212c-a9a8-727c-a90a-a8397e3b98f7</t>
        </is>
      </c>
      <c r="D1181" s="5" t="inlineStr">
        <is>
          <t>01a1212c-4b57-70cf-80fd-c2192cb3bf81</t>
        </is>
      </c>
      <c r="E1181" s="4" t="n">
        <v>46304.6242775061</v>
      </c>
      <c r="F1181" s="4" t="n">
        <v>46304.62427750618</v>
      </c>
      <c r="G1181" t="b">
        <v>1</v>
      </c>
      <c r="H1181" s="3" t="inlineStr">
        <is>
          <t>Added fraction 0.01634977844241225561474477806 of cost base adjustment 01a1212c-a805-700c-af80-50bada88a708 | 2025-06-30 | Adjustment of A200 | Cost base increase = A$288.25</t>
        </is>
      </c>
      <c r="I1181" t="inlineStr">
        <is>
          <t>cost base adjustment allocation</t>
        </is>
      </c>
      <c r="J1181" s="5" t="inlineStr">
        <is>
          <t>01a1212c-a9a3-72d5-803a-8753f07fb8ee</t>
        </is>
      </c>
    </row>
    <row r="1182">
      <c r="A1182" s="5" t="inlineStr">
        <is>
          <t>01a1212c-a9ae-73e5-9782-cb1e3712d423</t>
        </is>
      </c>
      <c r="D1182" s="5" t="inlineStr">
        <is>
          <t>01a1212c-4b57-70cf-80fd-c2192cb3bf81</t>
        </is>
      </c>
      <c r="E1182" s="4" t="n">
        <v>46304.624277573</v>
      </c>
      <c r="F1182" s="4" t="n">
        <v>46304.62427757308</v>
      </c>
      <c r="G1182" t="b">
        <v>1</v>
      </c>
      <c r="H1182" s="3" t="inlineStr">
        <is>
          <t>Added fraction 0.01634977844241225561474477806 of cost base adjustment 01a1212c-a805-700c-af80-50bada88a708 | 2025-06-30 | Adjustment of A200 | Cost base increase = A$288.25</t>
        </is>
      </c>
      <c r="I1182" t="inlineStr">
        <is>
          <t>cost base adjustment allocation</t>
        </is>
      </c>
      <c r="J1182" s="5" t="inlineStr">
        <is>
          <t>01a1212c-a9a9-7483-9630-e9f09a213dcf</t>
        </is>
      </c>
    </row>
    <row r="1183">
      <c r="A1183" s="5" t="inlineStr">
        <is>
          <t>01a1212c-a9b4-765a-a7af-872cadd233c7</t>
        </is>
      </c>
      <c r="D1183" s="5" t="inlineStr">
        <is>
          <t>01a1212c-4b57-70cf-80fd-c2192cb3bf81</t>
        </is>
      </c>
      <c r="E1183" s="4" t="n">
        <v>46304.62427764526</v>
      </c>
      <c r="F1183" s="4" t="n">
        <v>46304.62427764534</v>
      </c>
      <c r="G1183" t="b">
        <v>1</v>
      </c>
      <c r="H1183" s="3" t="inlineStr">
        <is>
          <t>Added fraction 0.01634977844241225561474477806 of cost base adjustment 01a1212c-a805-700c-af80-50bada88a708 | 2025-06-30 | Adjustment of A200 | Cost base increase = A$288.25</t>
        </is>
      </c>
      <c r="I1183" t="inlineStr">
        <is>
          <t>cost base adjustment allocation</t>
        </is>
      </c>
      <c r="J1183" s="5" t="inlineStr">
        <is>
          <t>01a1212c-a9af-72e2-8474-14eb053dde37</t>
        </is>
      </c>
    </row>
    <row r="1184">
      <c r="A1184" s="5" t="inlineStr">
        <is>
          <t>01a1212c-a9ba-7556-a6ed-f4c5f3c2282a</t>
        </is>
      </c>
      <c r="D1184" s="5" t="inlineStr">
        <is>
          <t>01a1212c-4b57-70cf-80fd-c2192cb3bf81</t>
        </is>
      </c>
      <c r="E1184" s="4" t="n">
        <v>46304.62427771356</v>
      </c>
      <c r="F1184" s="4" t="n">
        <v>46304.62427771364</v>
      </c>
      <c r="G1184" t="b">
        <v>1</v>
      </c>
      <c r="H1184" s="3" t="inlineStr">
        <is>
          <t>Added fraction 0.01634977844241225561474477806 of cost base adjustment 01a1212c-a805-700c-af80-50bada88a708 | 2025-06-30 | Adjustment of A200 | Cost base increase = A$288.25</t>
        </is>
      </c>
      <c r="I1184" t="inlineStr">
        <is>
          <t>cost base adjustment allocation</t>
        </is>
      </c>
      <c r="J1184" s="5" t="inlineStr">
        <is>
          <t>01a1212c-a9b5-734f-9985-32ef8d8bb15c</t>
        </is>
      </c>
    </row>
    <row r="1185">
      <c r="A1185" s="5" t="inlineStr">
        <is>
          <t>01a1212c-a9c0-705f-ad67-c1a488aebe63</t>
        </is>
      </c>
      <c r="D1185" s="5" t="inlineStr">
        <is>
          <t>01a1212c-4b57-70cf-80fd-c2192cb3bf81</t>
        </is>
      </c>
      <c r="E1185" s="4" t="n">
        <v>46304.62427778368</v>
      </c>
      <c r="F1185" s="4" t="n">
        <v>46304.62427778376</v>
      </c>
      <c r="G1185" t="b">
        <v>1</v>
      </c>
      <c r="H1185" s="3" t="inlineStr">
        <is>
          <t>Added fraction 0.01634977844241225561474477806 of cost base adjustment 01a1212c-a805-700c-af80-50bada88a708 | 2025-06-30 | Adjustment of A200 | Cost base increase = A$288.25</t>
        </is>
      </c>
      <c r="I1185" t="inlineStr">
        <is>
          <t>cost base adjustment allocation</t>
        </is>
      </c>
      <c r="J1185" s="5" t="inlineStr">
        <is>
          <t>01a1212c-a9bb-77a1-a725-5158db0e0234</t>
        </is>
      </c>
    </row>
    <row r="1186">
      <c r="A1186" s="5" t="inlineStr">
        <is>
          <t>01a1212c-a9c6-71c5-83fb-6b528320aff2</t>
        </is>
      </c>
      <c r="D1186" s="5" t="inlineStr">
        <is>
          <t>01a1212c-4b57-70cf-80fd-c2192cb3bf81</t>
        </is>
      </c>
      <c r="E1186" s="4" t="n">
        <v>46304.62427785258</v>
      </c>
      <c r="F1186" s="4" t="n">
        <v>46304.62427785265</v>
      </c>
      <c r="G1186" t="b">
        <v>1</v>
      </c>
      <c r="H1186" s="3" t="inlineStr">
        <is>
          <t>Added fraction 0.01634977844241225561474477806 of cost base adjustment 01a1212c-a805-700c-af80-50bada88a708 | 2025-06-30 | Adjustment of A200 | Cost base increase = A$288.25</t>
        </is>
      </c>
      <c r="I1186" t="inlineStr">
        <is>
          <t>cost base adjustment allocation</t>
        </is>
      </c>
      <c r="J1186" s="5" t="inlineStr">
        <is>
          <t>01a1212c-a9c1-708d-8f6f-2f49c0467524</t>
        </is>
      </c>
    </row>
    <row r="1187">
      <c r="A1187" s="5" t="inlineStr">
        <is>
          <t>01a1212c-a9cc-77b4-a216-1c97b9e24c98</t>
        </is>
      </c>
      <c r="D1187" s="5" t="inlineStr">
        <is>
          <t>01a1212c-4b57-70cf-80fd-c2192cb3bf81</t>
        </is>
      </c>
      <c r="E1187" s="4" t="n">
        <v>46304.62427792059</v>
      </c>
      <c r="F1187" s="4" t="n">
        <v>46304.62427792066</v>
      </c>
      <c r="G1187" t="b">
        <v>1</v>
      </c>
      <c r="H1187" s="3" t="inlineStr">
        <is>
          <t>Added fraction 0.01634977844241225561474477806 of cost base adjustment 01a1212c-a805-700c-af80-50bada88a708 | 2025-06-30 | Adjustment of A200 | Cost base increase = A$288.25</t>
        </is>
      </c>
      <c r="I1187" t="inlineStr">
        <is>
          <t>cost base adjustment allocation</t>
        </is>
      </c>
      <c r="J1187" s="5" t="inlineStr">
        <is>
          <t>01a1212c-a9c7-70be-be88-a3193c7125bb</t>
        </is>
      </c>
    </row>
    <row r="1188">
      <c r="A1188" s="5" t="inlineStr">
        <is>
          <t>01a1212c-a9d2-72d3-a5df-bf235fea00e2</t>
        </is>
      </c>
      <c r="D1188" s="5" t="inlineStr">
        <is>
          <t>01a1212c-4b57-70cf-80fd-c2192cb3bf81</t>
        </is>
      </c>
      <c r="E1188" s="4" t="n">
        <v>46304.62427798977</v>
      </c>
      <c r="F1188" s="4" t="n">
        <v>46304.62427798985</v>
      </c>
      <c r="G1188" t="b">
        <v>1</v>
      </c>
      <c r="H1188" s="3" t="inlineStr">
        <is>
          <t>Added fraction 0.01634977844241225561474477806 of cost base adjustment 01a1212c-a805-700c-af80-50bada88a708 | 2025-06-30 | Adjustment of A200 | Cost base increase = A$288.25</t>
        </is>
      </c>
      <c r="I1188" t="inlineStr">
        <is>
          <t>cost base adjustment allocation</t>
        </is>
      </c>
      <c r="J1188" s="5" t="inlineStr">
        <is>
          <t>01a1212c-a9cc-77b4-a216-1c985c98215f</t>
        </is>
      </c>
    </row>
    <row r="1189">
      <c r="A1189" s="5" t="inlineStr">
        <is>
          <t>01a1212c-a9d8-76ee-9ea3-bd1348abee05</t>
        </is>
      </c>
      <c r="D1189" s="5" t="inlineStr">
        <is>
          <t>01a1212c-4b57-70cf-80fd-c2192cb3bf81</t>
        </is>
      </c>
      <c r="E1189" s="4" t="n">
        <v>46304.62427805692</v>
      </c>
      <c r="F1189" s="4" t="n">
        <v>46304.624278057</v>
      </c>
      <c r="G1189" t="b">
        <v>1</v>
      </c>
      <c r="H1189" s="3" t="inlineStr">
        <is>
          <t>Added fraction 0.01634977844241225561474477806 of cost base adjustment 01a1212c-a805-700c-af80-50bada88a708 | 2025-06-30 | Adjustment of A200 | Cost base increase = A$288.25</t>
        </is>
      </c>
      <c r="I1189" t="inlineStr">
        <is>
          <t>cost base adjustment allocation</t>
        </is>
      </c>
      <c r="J1189" s="5" t="inlineStr">
        <is>
          <t>01a1212c-a9d2-72d3-a5df-bf2486f4304e</t>
        </is>
      </c>
    </row>
    <row r="1190">
      <c r="A1190" s="5" t="inlineStr">
        <is>
          <t>01a1212c-a9dd-75cb-a49b-085c75e47024</t>
        </is>
      </c>
      <c r="D1190" s="5" t="inlineStr">
        <is>
          <t>01a1212c-4b57-70cf-80fd-c2192cb3bf81</t>
        </is>
      </c>
      <c r="E1190" s="4" t="n">
        <v>46304.62427812548</v>
      </c>
      <c r="F1190" s="4" t="n">
        <v>46304.62427812556</v>
      </c>
      <c r="G1190" t="b">
        <v>1</v>
      </c>
      <c r="H1190" s="3" t="inlineStr">
        <is>
          <t>Added fraction 0.01634977844241225561474477806 of cost base adjustment 01a1212c-a805-700c-af80-50bada88a708 | 2025-06-30 | Adjustment of A200 | Cost base increase = A$288.25</t>
        </is>
      </c>
      <c r="I1190" t="inlineStr">
        <is>
          <t>cost base adjustment allocation</t>
        </is>
      </c>
      <c r="J1190" s="5" t="inlineStr">
        <is>
          <t>01a1212c-a9d8-76ee-9ea3-bd14c7eb1d27</t>
        </is>
      </c>
    </row>
    <row r="1191">
      <c r="A1191" s="5" t="inlineStr">
        <is>
          <t>01a1212c-a9e4-7371-acdf-4c2ba9484219</t>
        </is>
      </c>
      <c r="D1191" s="5" t="inlineStr">
        <is>
          <t>01a1212c-4b57-70cf-80fd-c2192cb3bf81</t>
        </is>
      </c>
      <c r="E1191" s="4" t="n">
        <v>46304.62427820633</v>
      </c>
      <c r="F1191" s="4" t="n">
        <v>46304.62427820642</v>
      </c>
      <c r="G1191" t="b">
        <v>1</v>
      </c>
      <c r="H1191" s="3" t="inlineStr">
        <is>
          <t>Added fraction 0.01634977844241225561474477806 of cost base adjustment 01a1212c-a805-700c-af80-50bada88a708 | 2025-06-30 | Adjustment of A200 | Cost base increase = A$288.25</t>
        </is>
      </c>
      <c r="I1191" t="inlineStr">
        <is>
          <t>cost base adjustment allocation</t>
        </is>
      </c>
      <c r="J1191" s="5" t="inlineStr">
        <is>
          <t>01a1212c-a9de-726f-8cb2-75a3d73bf60f</t>
        </is>
      </c>
    </row>
    <row r="1192">
      <c r="A1192" s="5" t="inlineStr">
        <is>
          <t>01a1212c-a9eb-7144-a5a7-368a4f809fb1</t>
        </is>
      </c>
      <c r="D1192" s="5" t="inlineStr">
        <is>
          <t>01a1212c-4b57-70cf-80fd-c2192cb3bf81</t>
        </is>
      </c>
      <c r="E1192" s="4" t="n">
        <v>46304.62427828501</v>
      </c>
      <c r="F1192" s="4" t="n">
        <v>46304.62427828514</v>
      </c>
      <c r="G1192" t="b">
        <v>1</v>
      </c>
      <c r="H1192" s="3" t="inlineStr">
        <is>
          <t>Added fraction 0.01634977844241225561474477806 of cost base adjustment 01a1212c-a805-700c-af80-50bada88a708 | 2025-06-30 | Adjustment of A200 | Cost base increase = A$288.25</t>
        </is>
      </c>
      <c r="I1192" t="inlineStr">
        <is>
          <t>cost base adjustment allocation</t>
        </is>
      </c>
      <c r="J1192" s="5" t="inlineStr">
        <is>
          <t>01a1212c-a9e5-7130-a5fd-512a10b4a9ca</t>
        </is>
      </c>
    </row>
    <row r="1193">
      <c r="A1193" s="5" t="inlineStr">
        <is>
          <t>01a1212c-a9f2-7328-8f4e-9d41d700ef8d</t>
        </is>
      </c>
      <c r="D1193" s="5" t="inlineStr">
        <is>
          <t>01a1212c-4b57-70cf-80fd-c2192cb3bf81</t>
        </is>
      </c>
      <c r="E1193" s="4" t="n">
        <v>46304.62427836894</v>
      </c>
      <c r="F1193" s="4" t="n">
        <v>46304.62427836908</v>
      </c>
      <c r="G1193" t="b">
        <v>1</v>
      </c>
      <c r="H1193" s="3" t="inlineStr">
        <is>
          <t>Added fraction 0.01634977844241225561474477806 of cost base adjustment 01a1212c-a805-700c-af80-50bada88a708 | 2025-06-30 | Adjustment of A200 | Cost base increase = A$288.25</t>
        </is>
      </c>
      <c r="I1193" t="inlineStr">
        <is>
          <t>cost base adjustment allocation</t>
        </is>
      </c>
      <c r="J1193" s="5" t="inlineStr">
        <is>
          <t>01a1212c-a9ec-76e6-a899-03aed8008640</t>
        </is>
      </c>
    </row>
    <row r="1194">
      <c r="A1194" s="5" t="inlineStr">
        <is>
          <t>01a1212c-a9f9-72aa-9297-9c35fcaa4281</t>
        </is>
      </c>
      <c r="D1194" s="5" t="inlineStr">
        <is>
          <t>01a1212c-4b57-70cf-80fd-c2192cb3bf81</t>
        </is>
      </c>
      <c r="E1194" s="4" t="n">
        <v>46304.62427844537</v>
      </c>
      <c r="F1194" s="4" t="n">
        <v>46304.62427844549</v>
      </c>
      <c r="G1194" t="b">
        <v>1</v>
      </c>
      <c r="H1194" s="3" t="inlineStr">
        <is>
          <t>Added fraction 0.01634977844241225561474477806 of cost base adjustment 01a1212c-a805-700c-af80-50bada88a708 | 2025-06-30 | Adjustment of A200 | Cost base increase = A$288.25</t>
        </is>
      </c>
      <c r="I1194" t="inlineStr">
        <is>
          <t>cost base adjustment allocation</t>
        </is>
      </c>
      <c r="J1194" s="5" t="inlineStr">
        <is>
          <t>01a1212c-a9f3-76bf-b1dd-f2de44e6e6d3</t>
        </is>
      </c>
    </row>
    <row r="1195">
      <c r="A1195" s="5" t="inlineStr">
        <is>
          <t>01a1212c-aa00-7589-ace5-d43402b1e4cf</t>
        </is>
      </c>
      <c r="D1195" s="5" t="inlineStr">
        <is>
          <t>01a1212c-4b57-70cf-80fd-c2192cb3bf81</t>
        </is>
      </c>
      <c r="E1195" s="4" t="n">
        <v>46304.62427852551</v>
      </c>
      <c r="F1195" s="4" t="n">
        <v>46304.62427852566</v>
      </c>
      <c r="G1195" t="b">
        <v>1</v>
      </c>
      <c r="H1195" s="3" t="inlineStr">
        <is>
          <t>Added fraction 0.01760745370721319835434053022 of cost base adjustment 01a1212c-a805-700c-af80-50bada88a708 | 2025-06-30 | Adjustment of A200 | Cost base increase = A$288.25</t>
        </is>
      </c>
      <c r="I1195" t="inlineStr">
        <is>
          <t>cost base adjustment allocation</t>
        </is>
      </c>
      <c r="J1195" s="5" t="inlineStr">
        <is>
          <t>01a1212c-a9fa-76bd-8227-589128e2c66f</t>
        </is>
      </c>
    </row>
    <row r="1196">
      <c r="A1196" s="5" t="inlineStr">
        <is>
          <t>01a1212c-aa06-73ab-8b3f-3872e0ca3701</t>
        </is>
      </c>
      <c r="D1196" s="5" t="inlineStr">
        <is>
          <t>01a1212c-4b57-70cf-80fd-c2192cb3bf81</t>
        </is>
      </c>
      <c r="E1196" s="4" t="n">
        <v>46304.624278599</v>
      </c>
      <c r="F1196" s="4" t="n">
        <v>46304.62427859908</v>
      </c>
      <c r="G1196" t="b">
        <v>1</v>
      </c>
      <c r="H1196" s="3" t="inlineStr">
        <is>
          <t>Added fraction 0.01760745370721319835434053022 of cost base adjustment 01a1212c-a805-700c-af80-50bada88a708 | 2025-06-30 | Adjustment of A200 | Cost base increase = A$288.25</t>
        </is>
      </c>
      <c r="I1196" t="inlineStr">
        <is>
          <t>cost base adjustment allocation</t>
        </is>
      </c>
      <c r="J1196" s="5" t="inlineStr">
        <is>
          <t>01a1212c-aa01-7455-9cdc-9ad78594061c</t>
        </is>
      </c>
    </row>
    <row r="1197">
      <c r="A1197" s="5" t="inlineStr">
        <is>
          <t>01a1212c-aa0d-7198-b5a7-b3752a8f3c93</t>
        </is>
      </c>
      <c r="D1197" s="5" t="inlineStr">
        <is>
          <t>01a1212c-4b57-70cf-80fd-c2192cb3bf81</t>
        </is>
      </c>
      <c r="E1197" s="4" t="n">
        <v>46304.62427867036</v>
      </c>
      <c r="F1197" s="4" t="n">
        <v>46304.62427867044</v>
      </c>
      <c r="G1197" t="b">
        <v>1</v>
      </c>
      <c r="H1197" s="3" t="inlineStr">
        <is>
          <t>Added fraction 0.01760745370721319835434053022 of cost base adjustment 01a1212c-a805-700c-af80-50bada88a708 | 2025-06-30 | Adjustment of A200 | Cost base increase = A$288.25</t>
        </is>
      </c>
      <c r="I1197" t="inlineStr">
        <is>
          <t>cost base adjustment allocation</t>
        </is>
      </c>
      <c r="J1197" s="5" t="inlineStr">
        <is>
          <t>01a1212c-aa07-701b-9682-e76decb47567</t>
        </is>
      </c>
    </row>
    <row r="1198">
      <c r="A1198" s="5" t="inlineStr">
        <is>
          <t>01a1212c-aa13-7040-bf7a-36a74efb105d</t>
        </is>
      </c>
      <c r="D1198" s="5" t="inlineStr">
        <is>
          <t>01a1212c-4b57-70cf-80fd-c2192cb3bf81</t>
        </is>
      </c>
      <c r="E1198" s="4" t="n">
        <v>46304.62427874946</v>
      </c>
      <c r="F1198" s="4" t="n">
        <v>46304.62427874956</v>
      </c>
      <c r="G1198" t="b">
        <v>1</v>
      </c>
      <c r="H1198" s="3" t="inlineStr">
        <is>
          <t>Added fraction 0.01760745370721319835434053022 of cost base adjustment 01a1212c-a805-700c-af80-50bada88a708 | 2025-06-30 | Adjustment of A200 | Cost base increase = A$288.25</t>
        </is>
      </c>
      <c r="I1198" t="inlineStr">
        <is>
          <t>cost base adjustment allocation</t>
        </is>
      </c>
      <c r="J1198" s="5" t="inlineStr">
        <is>
          <t>01a1212c-aa0d-7198-b5a7-b376dda558a6</t>
        </is>
      </c>
    </row>
    <row r="1199">
      <c r="A1199" s="5" t="inlineStr">
        <is>
          <t>01a1212c-aa1a-7235-8f66-e9999a0d5482</t>
        </is>
      </c>
      <c r="D1199" s="5" t="inlineStr">
        <is>
          <t>01a1212c-4b57-70cf-80fd-c2192cb3bf81</t>
        </is>
      </c>
      <c r="E1199" s="4" t="n">
        <v>46304.62427882058</v>
      </c>
      <c r="F1199" s="4" t="n">
        <v>46304.62427882066</v>
      </c>
      <c r="G1199" t="b">
        <v>1</v>
      </c>
      <c r="H1199" s="3" t="inlineStr">
        <is>
          <t>Added fraction 0.01760745370721319835434053022 of cost base adjustment 01a1212c-a805-700c-af80-50bada88a708 | 2025-06-30 | Adjustment of A200 | Cost base increase = A$288.25</t>
        </is>
      </c>
      <c r="I1199" t="inlineStr">
        <is>
          <t>cost base adjustment allocation</t>
        </is>
      </c>
      <c r="J1199" s="5" t="inlineStr">
        <is>
          <t>01a1212c-aa14-72ba-8360-cba9ae8b2e98</t>
        </is>
      </c>
    </row>
    <row r="1200">
      <c r="A1200" s="5" t="inlineStr">
        <is>
          <t>01a1212c-aa20-7000-a09c-4cd7045cb54e</t>
        </is>
      </c>
      <c r="D1200" s="5" t="inlineStr">
        <is>
          <t>01a1212c-4b57-70cf-80fd-c2192cb3bf81</t>
        </is>
      </c>
      <c r="E1200" s="4" t="n">
        <v>46304.62427889609</v>
      </c>
      <c r="F1200" s="4" t="n">
        <v>46304.62427889618</v>
      </c>
      <c r="G1200" t="b">
        <v>1</v>
      </c>
      <c r="H1200" s="3" t="inlineStr">
        <is>
          <t>Added fraction 0.01886512897201414109393628238 of cost base adjustment 01a1212c-a805-700c-af80-50bada88a708 | 2025-06-30 | Adjustment of A200 | Cost base increase = A$288.25</t>
        </is>
      </c>
      <c r="I1200" t="inlineStr">
        <is>
          <t>cost base adjustment allocation</t>
        </is>
      </c>
      <c r="J1200" s="5" t="inlineStr">
        <is>
          <t>01a1212c-aa1a-7235-8f66-e99a2ad87ff6</t>
        </is>
      </c>
    </row>
    <row r="1201">
      <c r="A1201" s="5" t="inlineStr">
        <is>
          <t>01a1212c-aa26-7336-9c89-f8f1912c0734</t>
        </is>
      </c>
      <c r="D1201" s="5" t="inlineStr">
        <is>
          <t>01a1212c-4b57-70cf-80fd-c2192cb3bf81</t>
        </is>
      </c>
      <c r="E1201" s="4" t="n">
        <v>46304.62427896412</v>
      </c>
      <c r="F1201" s="4" t="n">
        <v>46304.6242789642</v>
      </c>
      <c r="G1201" t="b">
        <v>1</v>
      </c>
      <c r="H1201" s="3" t="inlineStr">
        <is>
          <t>Added fraction 0.01886512897201414109393628238 of cost base adjustment 01a1212c-a805-700c-af80-50bada88a708 | 2025-06-30 | Adjustment of A200 | Cost base increase = A$288.25</t>
        </is>
      </c>
      <c r="I1201" t="inlineStr">
        <is>
          <t>cost base adjustment allocation</t>
        </is>
      </c>
      <c r="J1201" s="5" t="inlineStr">
        <is>
          <t>01a1212c-aa21-7125-b22a-e7e1a672815f</t>
        </is>
      </c>
    </row>
    <row r="1202">
      <c r="A1202" s="5" t="inlineStr">
        <is>
          <t>01a1212c-aa2c-743a-8bd1-6359d69de550</t>
        </is>
      </c>
      <c r="D1202" s="5" t="inlineStr">
        <is>
          <t>01a1212c-4b57-70cf-80fd-c2192cb3bf81</t>
        </is>
      </c>
      <c r="E1202" s="4" t="n">
        <v>46304.62427903367</v>
      </c>
      <c r="F1202" s="4" t="n">
        <v>46304.62427903375</v>
      </c>
      <c r="G1202" t="b">
        <v>1</v>
      </c>
      <c r="H1202" s="3" t="inlineStr">
        <is>
          <t>Added fraction 0.01886512897201414109393628238 of cost base adjustment 01a1212c-a805-700c-af80-50bada88a708 | 2025-06-30 | Adjustment of A200 | Cost base increase = A$288.25</t>
        </is>
      </c>
      <c r="I1202" t="inlineStr">
        <is>
          <t>cost base adjustment allocation</t>
        </is>
      </c>
      <c r="J1202" s="5" t="inlineStr">
        <is>
          <t>01a1212c-aa27-7353-9900-4399e2cb4a82</t>
        </is>
      </c>
    </row>
    <row r="1203">
      <c r="A1203" s="5" t="inlineStr">
        <is>
          <t>01a1212c-aa32-77c3-97f8-5c82aeffaa6a</t>
        </is>
      </c>
      <c r="D1203" s="5" t="inlineStr">
        <is>
          <t>01a1212c-4b57-70cf-80fd-c2192cb3bf81</t>
        </is>
      </c>
      <c r="E1203" s="4" t="n">
        <v>46304.62427910654</v>
      </c>
      <c r="F1203" s="4" t="n">
        <v>46304.62427910663</v>
      </c>
      <c r="G1203" t="b">
        <v>1</v>
      </c>
      <c r="H1203" s="3" t="inlineStr">
        <is>
          <t>Added fraction 0.01886512897201414109393628238 of cost base adjustment 01a1212c-a805-700c-af80-50bada88a708 | 2025-06-30 | Adjustment of A200 | Cost base increase = A$288.25</t>
        </is>
      </c>
      <c r="I1203" t="inlineStr">
        <is>
          <t>cost base adjustment allocation</t>
        </is>
      </c>
      <c r="J1203" s="5" t="inlineStr">
        <is>
          <t>01a1212c-aa2d-768b-bdf9-b762c7d6037b</t>
        </is>
      </c>
    </row>
    <row r="1204">
      <c r="A1204" s="5" t="inlineStr">
        <is>
          <t>01a1212c-aa38-7422-8be9-21e91f9a89cd</t>
        </is>
      </c>
      <c r="D1204" s="5" t="inlineStr">
        <is>
          <t>01a1212c-4b57-70cf-80fd-c2192cb3bf81</t>
        </is>
      </c>
      <c r="E1204" s="4" t="n">
        <v>46304.62427917632</v>
      </c>
      <c r="F1204" s="4" t="n">
        <v>46304.6242791764</v>
      </c>
      <c r="G1204" t="b">
        <v>1</v>
      </c>
      <c r="H1204" s="3" t="inlineStr">
        <is>
          <t>residual of cost base adjustment 01a1212c-a805-700c-af80-50bada88a708 | 2025-06-30 | Adjustment of A200 | Cost base increase = A$288.25</t>
        </is>
      </c>
      <c r="I1204" t="inlineStr">
        <is>
          <t>cost base adjustment allocation</t>
        </is>
      </c>
      <c r="J1204" s="5" t="inlineStr">
        <is>
          <t>01a1212c-aa33-7357-a6de-62b890f2d73d</t>
        </is>
      </c>
    </row>
    <row r="1205">
      <c r="A1205" s="5" t="inlineStr">
        <is>
          <t>01a1212c-ab7c-7561-b372-1a510902c9a8</t>
        </is>
      </c>
      <c r="D1205" s="5" t="inlineStr">
        <is>
          <t>01a1212c-4b57-70cf-80fd-c2192cb3bf81</t>
        </is>
      </c>
      <c r="E1205" s="4" t="n">
        <v>46304.62428292399</v>
      </c>
      <c r="F1205" s="4" t="n">
        <v>46304.62428292407</v>
      </c>
      <c r="G1205" t="b">
        <v>1</v>
      </c>
      <c r="H1205" s="3" t="inlineStr">
        <is>
          <t>Added fraction 0.0003172603707414046663843101462 of cost base adjustment 01a1212c-ab70-70ef-b386-0646b6e677c5 | 2025-06-30 | Adjustment of VGS | Cost base increase = A$701.45</t>
        </is>
      </c>
      <c r="I1205" t="inlineStr">
        <is>
          <t>cost base adjustment allocation</t>
        </is>
      </c>
      <c r="J1205" s="5" t="inlineStr">
        <is>
          <t>01a1212c-ab76-76d8-8cb5-22efd3c75192</t>
        </is>
      </c>
    </row>
    <row r="1206">
      <c r="A1206" s="5" t="inlineStr">
        <is>
          <t>01a1212c-ab82-734b-bfc5-95950460fd35</t>
        </is>
      </c>
      <c r="D1206" s="5" t="inlineStr">
        <is>
          <t>01a1212c-4b57-70cf-80fd-c2192cb3bf81</t>
        </is>
      </c>
      <c r="E1206" s="4" t="n">
        <v>46304.62428299265</v>
      </c>
      <c r="F1206" s="4" t="n">
        <v>46304.62428299272</v>
      </c>
      <c r="G1206" t="b">
        <v>1</v>
      </c>
      <c r="H1206" s="3" t="inlineStr">
        <is>
          <t>Added fraction 0.0006235807286986229649622647702 of cost base adjustment 01a1212c-ab70-70ef-b386-0646b6e677c5 | 2025-06-30 | Adjustment of VGS | Cost base increase = A$701.45</t>
        </is>
      </c>
      <c r="I1206" t="inlineStr">
        <is>
          <t>cost base adjustment allocation</t>
        </is>
      </c>
      <c r="J1206" s="5" t="inlineStr">
        <is>
          <t>01a1212c-ab7d-70e4-be35-e27c8ec69fba</t>
        </is>
      </c>
    </row>
    <row r="1207">
      <c r="A1207" s="5" t="inlineStr">
        <is>
          <t>01a1212c-ab88-70e7-afc4-7e599a1a051c</t>
        </is>
      </c>
      <c r="D1207" s="5" t="inlineStr">
        <is>
          <t>01a1212c-4b57-70cf-80fd-c2192cb3bf81</t>
        </is>
      </c>
      <c r="E1207" s="4" t="n">
        <v>46304.62428306083</v>
      </c>
      <c r="F1207" s="4" t="n">
        <v>46304.62428306091</v>
      </c>
      <c r="G1207" t="b">
        <v>1</v>
      </c>
      <c r="H1207" s="3" t="inlineStr">
        <is>
          <t>Added fraction 0.001500344610402701870585900199 of cost base adjustment 01a1212c-ab70-70ef-b386-0646b6e677c5 | 2025-06-30 | Adjustment of VGS | Cost base increase = A$701.45</t>
        </is>
      </c>
      <c r="I1207" t="inlineStr">
        <is>
          <t>cost base adjustment allocation</t>
        </is>
      </c>
      <c r="J1207" s="5" t="inlineStr">
        <is>
          <t>01a1212c-ab83-70c1-9cf1-a36f97141060</t>
        </is>
      </c>
    </row>
    <row r="1208">
      <c r="A1208" s="5" t="inlineStr">
        <is>
          <t>01a1212c-ab8e-76da-83b4-b2537e3b5c1c</t>
        </is>
      </c>
      <c r="D1208" s="5" t="inlineStr">
        <is>
          <t>01a1212c-4b57-70cf-80fd-c2192cb3bf81</t>
        </is>
      </c>
      <c r="E1208" s="4" t="n">
        <v>46304.62428312778</v>
      </c>
      <c r="F1208" s="4" t="n">
        <v>46304.62428312785</v>
      </c>
      <c r="G1208" t="b">
        <v>1</v>
      </c>
      <c r="H1208" s="3" t="inlineStr">
        <is>
          <t>Added fraction 0.001619121892059582435340617298 of cost base adjustment 01a1212c-ab70-70ef-b386-0646b6e677c5 | 2025-06-30 | Adjustment of VGS | Cost base increase = A$701.45</t>
        </is>
      </c>
      <c r="I1208" t="inlineStr">
        <is>
          <t>cost base adjustment allocation</t>
        </is>
      </c>
      <c r="J1208" s="5" t="inlineStr">
        <is>
          <t>01a1212c-ab89-715f-bc88-5b43307136eb</t>
        </is>
      </c>
    </row>
    <row r="1209">
      <c r="A1209" s="5" t="inlineStr">
        <is>
          <t>01a1212c-ab93-74c7-a909-d1f8af9cb9ab</t>
        </is>
      </c>
      <c r="D1209" s="5" t="inlineStr">
        <is>
          <t>01a1212c-4b57-70cf-80fd-c2192cb3bf81</t>
        </is>
      </c>
      <c r="E1209" s="4" t="n">
        <v>46304.62428319318</v>
      </c>
      <c r="F1209" s="4" t="n">
        <v>46304.62428319326</v>
      </c>
      <c r="G1209" t="b">
        <v>1</v>
      </c>
      <c r="H1209" s="3" t="inlineStr">
        <is>
          <t>Added fraction 0.001650379071442972057644490219 of cost base adjustment 01a1212c-ab70-70ef-b386-0646b6e677c5 | 2025-06-30 | Adjustment of VGS | Cost base increase = A$701.45</t>
        </is>
      </c>
      <c r="I1209" t="inlineStr">
        <is>
          <t>cost base adjustment allocation</t>
        </is>
      </c>
      <c r="J1209" s="5" t="inlineStr">
        <is>
          <t>01a1212c-ab8e-76da-83b4-b254b4afd5a4</t>
        </is>
      </c>
    </row>
    <row r="1210">
      <c r="A1210" s="5" t="inlineStr">
        <is>
          <t>01a1212c-ab9a-7398-b2eb-eb65ffe86857</t>
        </is>
      </c>
      <c r="D1210" s="5" t="inlineStr">
        <is>
          <t>01a1212c-4b57-70cf-80fd-c2192cb3bf81</t>
        </is>
      </c>
      <c r="E1210" s="4" t="n">
        <v>46304.62428326505</v>
      </c>
      <c r="F1210" s="4" t="n">
        <v>46304.62428326513</v>
      </c>
      <c r="G1210" t="b">
        <v>1</v>
      </c>
      <c r="H1210" s="3" t="inlineStr">
        <is>
          <t>Added fraction 0.001992645185691088421871898702 of cost base adjustment 01a1212c-ab70-70ef-b386-0646b6e677c5 | 2025-06-30 | Adjustment of VGS | Cost base increase = A$701.45</t>
        </is>
      </c>
      <c r="I1210" t="inlineStr">
        <is>
          <t>cost base adjustment allocation</t>
        </is>
      </c>
      <c r="J1210" s="5" t="inlineStr">
        <is>
          <t>01a1212c-ab94-74e4-862a-d6713f6849cc</t>
        </is>
      </c>
    </row>
    <row r="1211">
      <c r="A1211" s="5" t="inlineStr">
        <is>
          <t>01a1212c-aba0-776c-ba5a-10fe79ebf89d</t>
        </is>
      </c>
      <c r="D1211" s="5" t="inlineStr">
        <is>
          <t>01a1212c-4b57-70cf-80fd-c2192cb3bf81</t>
        </is>
      </c>
      <c r="E1211" s="4" t="n">
        <v>46304.62428333615</v>
      </c>
      <c r="F1211" s="4" t="n">
        <v>46304.62428333624</v>
      </c>
      <c r="G1211" t="b">
        <v>1</v>
      </c>
      <c r="H1211" s="3" t="inlineStr">
        <is>
          <t>Added fraction 0.002794391836875032233966239121 of cost base adjustment 01a1212c-ab70-70ef-b386-0646b6e677c5 | 2025-06-30 | Adjustment of VGS | Cost base increase = A$701.45</t>
        </is>
      </c>
      <c r="I1211" t="inlineStr">
        <is>
          <t>cost base adjustment allocation</t>
        </is>
      </c>
      <c r="J1211" s="5" t="inlineStr">
        <is>
          <t>01a1212c-ab9a-7398-b2eb-eb66cb5a6f74</t>
        </is>
      </c>
    </row>
    <row r="1212">
      <c r="A1212" s="5" t="inlineStr">
        <is>
          <t>01a1212c-aba6-7764-b971-c7b4c9674037</t>
        </is>
      </c>
      <c r="D1212" s="5" t="inlineStr">
        <is>
          <t>01a1212c-4b57-70cf-80fd-c2192cb3bf81</t>
        </is>
      </c>
      <c r="E1212" s="4" t="n">
        <v>46304.62428340936</v>
      </c>
      <c r="F1212" s="4" t="n">
        <v>46304.62428340944</v>
      </c>
      <c r="G1212" t="b">
        <v>1</v>
      </c>
      <c r="H1212" s="3" t="inlineStr">
        <is>
          <t>Added fraction 0.002939737721007793977679248202 of cost base adjustment 01a1212c-ab70-70ef-b386-0646b6e677c5 | 2025-06-30 | Adjustment of VGS | Cost base increase = A$701.45</t>
        </is>
      </c>
      <c r="I1212" t="inlineStr">
        <is>
          <t>cost base adjustment allocation</t>
        </is>
      </c>
      <c r="J1212" s="5" t="inlineStr">
        <is>
          <t>01a1212c-aba0-776c-ba5a-10ff01920a98</t>
        </is>
      </c>
    </row>
    <row r="1213">
      <c r="A1213" s="5" t="inlineStr">
        <is>
          <t>01a1212c-abac-7060-9af9-922ae5735f70</t>
        </is>
      </c>
      <c r="D1213" s="5" t="inlineStr">
        <is>
          <t>01a1212c-4b57-70cf-80fd-c2192cb3bf81</t>
        </is>
      </c>
      <c r="E1213" s="4" t="n">
        <v>46304.62428348002</v>
      </c>
      <c r="F1213" s="4" t="n">
        <v>46304.62428348012</v>
      </c>
      <c r="G1213" t="b">
        <v>1</v>
      </c>
      <c r="H1213" s="3" t="inlineStr">
        <is>
          <t>Added fraction 0.003338266758146011662053627943 of cost base adjustment 01a1212c-ab70-70ef-b386-0646b6e677c5 | 2025-06-30 | Adjustment of VGS | Cost base increase = A$701.45</t>
        </is>
      </c>
      <c r="I1213" t="inlineStr">
        <is>
          <t>cost base adjustment allocation</t>
        </is>
      </c>
      <c r="J1213" s="5" t="inlineStr">
        <is>
          <t>01a1212c-aba7-71b0-949d-bd6fcf624969</t>
        </is>
      </c>
    </row>
    <row r="1214">
      <c r="A1214" s="5" t="inlineStr">
        <is>
          <t>01a1212c-abb2-76a5-877b-b5d22b45b0ed</t>
        </is>
      </c>
      <c r="D1214" s="5" t="inlineStr">
        <is>
          <t>01a1212c-4b57-70cf-80fd-c2192cb3bf81</t>
        </is>
      </c>
      <c r="E1214" s="4" t="n">
        <v>46304.62428355157</v>
      </c>
      <c r="F1214" s="4" t="n">
        <v>46304.62428355167</v>
      </c>
      <c r="G1214" t="b">
        <v>1</v>
      </c>
      <c r="H1214" s="3" t="inlineStr">
        <is>
          <t>Added fraction 0.003993104666228024249319765634 of cost base adjustment 01a1212c-ab70-70ef-b386-0646b6e677c5 | 2025-06-30 | Adjustment of VGS | Cost base increase = A$701.45</t>
        </is>
      </c>
      <c r="I1214" t="inlineStr">
        <is>
          <t>cost base adjustment allocation</t>
        </is>
      </c>
      <c r="J1214" s="5" t="inlineStr">
        <is>
          <t>01a1212c-abad-7490-8556-9d70ee2c47a3</t>
        </is>
      </c>
    </row>
    <row r="1215">
      <c r="A1215" s="5" t="inlineStr">
        <is>
          <t>01a1212c-abba-740a-a0c6-70608de7ca7f</t>
        </is>
      </c>
      <c r="D1215" s="5" t="inlineStr">
        <is>
          <t>01a1212c-4b57-70cf-80fd-c2192cb3bf81</t>
        </is>
      </c>
      <c r="E1215" s="4" t="n">
        <v>46304.6242836427</v>
      </c>
      <c r="F1215" s="4" t="n">
        <v>46304.62428364281</v>
      </c>
      <c r="G1215" t="b">
        <v>1</v>
      </c>
      <c r="H1215" s="3" t="inlineStr">
        <is>
          <t>Added fraction 0.004563548189974884856365446438 of cost base adjustment 01a1212c-ab70-70ef-b386-0646b6e677c5 | 2025-06-30 | Adjustment of VGS | Cost base increase = A$701.45</t>
        </is>
      </c>
      <c r="I1215" t="inlineStr">
        <is>
          <t>cost base adjustment allocation</t>
        </is>
      </c>
      <c r="J1215" s="5" t="inlineStr">
        <is>
          <t>01a1212c-abb3-7710-99be-a263098e54ab</t>
        </is>
      </c>
    </row>
    <row r="1216">
      <c r="A1216" s="5" t="inlineStr">
        <is>
          <t>01a1212c-abc1-7246-b50f-724c7314c007</t>
        </is>
      </c>
      <c r="D1216" s="5" t="inlineStr">
        <is>
          <t>01a1212c-4b57-70cf-80fd-c2192cb3bf81</t>
        </is>
      </c>
      <c r="E1216" s="4" t="n">
        <v>46304.62428371946</v>
      </c>
      <c r="F1216" s="4" t="n">
        <v>46304.62428371955</v>
      </c>
      <c r="G1216" t="b">
        <v>1</v>
      </c>
      <c r="H1216" s="3" t="inlineStr">
        <is>
          <t>Added fraction 0.004563548189974884856365446438 of cost base adjustment 01a1212c-ab70-70ef-b386-0646b6e677c5 | 2025-06-30 | Adjustment of VGS | Cost base increase = A$701.45</t>
        </is>
      </c>
      <c r="I1216" t="inlineStr">
        <is>
          <t>cost base adjustment allocation</t>
        </is>
      </c>
      <c r="J1216" s="5" t="inlineStr">
        <is>
          <t>01a1212c-abbb-7465-8fe9-b174cb21672e</t>
        </is>
      </c>
    </row>
    <row r="1217">
      <c r="A1217" s="5" t="inlineStr">
        <is>
          <t>01a1212c-abc8-72cc-8b3c-d44020e25894</t>
        </is>
      </c>
      <c r="D1217" s="5" t="inlineStr">
        <is>
          <t>01a1212c-4b57-70cf-80fd-c2192cb3bf81</t>
        </is>
      </c>
      <c r="E1217" s="4" t="n">
        <v>46304.62428380142</v>
      </c>
      <c r="F1217" s="4" t="n">
        <v>46304.6242838015</v>
      </c>
      <c r="G1217" t="b">
        <v>1</v>
      </c>
      <c r="H1217" s="3" t="inlineStr">
        <is>
          <t>Added fraction 0.004641691138433358912125128741 of cost base adjustment 01a1212c-ab70-70ef-b386-0646b6e677c5 | 2025-06-30 | Adjustment of VGS | Cost base increase = A$701.45</t>
        </is>
      </c>
      <c r="I1217" t="inlineStr">
        <is>
          <t>cost base adjustment allocation</t>
        </is>
      </c>
      <c r="J1217" s="5" t="inlineStr">
        <is>
          <t>01a1212c-abc2-7766-9464-859ebc910ec9</t>
        </is>
      </c>
    </row>
    <row r="1218">
      <c r="A1218" s="5" t="inlineStr">
        <is>
          <t>01a1212c-abce-755e-ac79-62b6cb22da01</t>
        </is>
      </c>
      <c r="D1218" s="5" t="inlineStr">
        <is>
          <t>01a1212c-4b57-70cf-80fd-c2192cb3bf81</t>
        </is>
      </c>
      <c r="E1218" s="4" t="n">
        <v>46304.62428387288</v>
      </c>
      <c r="F1218" s="4" t="n">
        <v>46304.62428387296</v>
      </c>
      <c r="G1218" t="b">
        <v>1</v>
      </c>
      <c r="H1218" s="3" t="inlineStr">
        <is>
          <t>Added fraction 0.004855802817209577824906658248 of cost base adjustment 01a1212c-ab70-70ef-b386-0646b6e677c5 | 2025-06-30 | Adjustment of VGS | Cost base increase = A$701.45</t>
        </is>
      </c>
      <c r="I1218" t="inlineStr">
        <is>
          <t>cost base adjustment allocation</t>
        </is>
      </c>
      <c r="J1218" s="5" t="inlineStr">
        <is>
          <t>01a1212c-abc9-718c-9d05-25ad3369c662</t>
        </is>
      </c>
    </row>
    <row r="1219">
      <c r="A1219" s="5" t="inlineStr">
        <is>
          <t>01a1212c-abd4-701e-aa85-f5f58a522056</t>
        </is>
      </c>
      <c r="D1219" s="5" t="inlineStr">
        <is>
          <t>01a1212c-4b57-70cf-80fd-c2192cb3bf81</t>
        </is>
      </c>
      <c r="E1219" s="4" t="n">
        <v>46304.62428394535</v>
      </c>
      <c r="F1219" s="4" t="n">
        <v>46304.62428394543</v>
      </c>
      <c r="G1219" t="b">
        <v>1</v>
      </c>
      <c r="H1219" s="3" t="inlineStr">
        <is>
          <t>Added fraction 0.005133991713721745463411127243 of cost base adjustment 01a1212c-ab70-70ef-b386-0646b6e677c5 | 2025-06-30 | Adjustment of VGS | Cost base increase = A$701.45</t>
        </is>
      </c>
      <c r="I1219" t="inlineStr">
        <is>
          <t>cost base adjustment allocation</t>
        </is>
      </c>
      <c r="J1219" s="5" t="inlineStr">
        <is>
          <t>01a1212c-abcf-73bb-a426-12eb9a95657f</t>
        </is>
      </c>
    </row>
    <row r="1220">
      <c r="A1220" s="5" t="inlineStr">
        <is>
          <t>01a1212c-abdb-7241-93a5-9c320246a717</t>
        </is>
      </c>
      <c r="D1220" s="5" t="inlineStr">
        <is>
          <t>01a1212c-4b57-70cf-80fd-c2192cb3bf81</t>
        </is>
      </c>
      <c r="E1220" s="4" t="n">
        <v>46304.62428401793</v>
      </c>
      <c r="F1220" s="4" t="n">
        <v>46304.62428401801</v>
      </c>
      <c r="G1220" t="b">
        <v>1</v>
      </c>
      <c r="H1220" s="3" t="inlineStr">
        <is>
          <t>Added fraction 0.005133991713721745463411127243 of cost base adjustment 01a1212c-ab70-70ef-b386-0646b6e677c5 | 2025-06-30 | Adjustment of VGS | Cost base increase = A$701.45</t>
        </is>
      </c>
      <c r="I1220" t="inlineStr">
        <is>
          <t>cost base adjustment allocation</t>
        </is>
      </c>
      <c r="J1220" s="5" t="inlineStr">
        <is>
          <t>01a1212c-abd5-769d-9012-d9ebf00098f6</t>
        </is>
      </c>
    </row>
    <row r="1221">
      <c r="A1221" s="5" t="inlineStr">
        <is>
          <t>01a1212c-abe0-71fb-b351-506ab717e545</t>
        </is>
      </c>
      <c r="D1221" s="5" t="inlineStr">
        <is>
          <t>01a1212c-4b57-70cf-80fd-c2192cb3bf81</t>
        </is>
      </c>
      <c r="E1221" s="4" t="n">
        <v>46304.62428408512</v>
      </c>
      <c r="F1221" s="4" t="n">
        <v>46304.6242840852</v>
      </c>
      <c r="G1221" t="b">
        <v>1</v>
      </c>
      <c r="H1221" s="3" t="inlineStr">
        <is>
          <t>Added fraction 0.005133991713721745463411127243 of cost base adjustment 01a1212c-ab70-70ef-b386-0646b6e677c5 | 2025-06-30 | Adjustment of VGS | Cost base increase = A$701.45</t>
        </is>
      </c>
      <c r="I1221" t="inlineStr">
        <is>
          <t>cost base adjustment allocation</t>
        </is>
      </c>
      <c r="J1221" s="5" t="inlineStr">
        <is>
          <t>01a1212c-abdb-7241-93a5-9c338b991cbb</t>
        </is>
      </c>
    </row>
    <row r="1222">
      <c r="A1222" s="5" t="inlineStr">
        <is>
          <t>01a1212c-abe7-7414-95d7-9da3d5f730f5</t>
        </is>
      </c>
      <c r="D1222" s="5" t="inlineStr">
        <is>
          <t>01a1212c-4b57-70cf-80fd-c2192cb3bf81</t>
        </is>
      </c>
      <c r="E1222" s="4" t="n">
        <v>46304.62428415647</v>
      </c>
      <c r="F1222" s="4" t="n">
        <v>46304.62428415656</v>
      </c>
      <c r="G1222" t="b">
        <v>1</v>
      </c>
      <c r="H1222" s="3" t="inlineStr">
        <is>
          <t>Added fraction 0.005133991713721745463411127243 of cost base adjustment 01a1212c-ab70-70ef-b386-0646b6e677c5 | 2025-06-30 | Adjustment of VGS | Cost base increase = A$701.45</t>
        </is>
      </c>
      <c r="I1222" t="inlineStr">
        <is>
          <t>cost base adjustment allocation</t>
        </is>
      </c>
      <c r="J1222" s="5" t="inlineStr">
        <is>
          <t>01a1212c-abe1-746e-b25f-2e1b61bea4cd</t>
        </is>
      </c>
    </row>
    <row r="1223">
      <c r="A1223" s="5" t="inlineStr">
        <is>
          <t>01a1212c-abed-749f-b96c-6b608e69b6bd</t>
        </is>
      </c>
      <c r="D1223" s="5" t="inlineStr">
        <is>
          <t>01a1212c-4b57-70cf-80fd-c2192cb3bf81</t>
        </is>
      </c>
      <c r="E1223" s="4" t="n">
        <v>46304.62428422648</v>
      </c>
      <c r="F1223" s="4" t="n">
        <v>46304.62428422655</v>
      </c>
      <c r="G1223" t="b">
        <v>1</v>
      </c>
      <c r="H1223" s="3" t="inlineStr">
        <is>
          <t>Added fraction 0.005704435237468606070456808048 of cost base adjustment 01a1212c-ab70-70ef-b386-0646b6e677c5 | 2025-06-30 | Adjustment of VGS | Cost base increase = A$701.45</t>
        </is>
      </c>
      <c r="I1223" t="inlineStr">
        <is>
          <t>cost base adjustment allocation</t>
        </is>
      </c>
      <c r="J1223" s="5" t="inlineStr">
        <is>
          <t>01a1212c-abe7-7414-95d7-9da4bb424aed</t>
        </is>
      </c>
    </row>
    <row r="1224">
      <c r="A1224" s="5" t="inlineStr">
        <is>
          <t>01a1212c-abf2-743c-8b38-b5139bdb4854</t>
        </is>
      </c>
      <c r="D1224" s="5" t="inlineStr">
        <is>
          <t>01a1212c-4b57-70cf-80fd-c2192cb3bf81</t>
        </is>
      </c>
      <c r="E1224" s="4" t="n">
        <v>46304.62428429457</v>
      </c>
      <c r="F1224" s="4" t="n">
        <v>46304.62428429465</v>
      </c>
      <c r="G1224" t="b">
        <v>1</v>
      </c>
      <c r="H1224" s="3" t="inlineStr">
        <is>
          <t>Added fraction 0.005704435237468606070456808048 of cost base adjustment 01a1212c-ab70-70ef-b386-0646b6e677c5 | 2025-06-30 | Adjustment of VGS | Cost base increase = A$701.45</t>
        </is>
      </c>
      <c r="I1224" t="inlineStr">
        <is>
          <t>cost base adjustment allocation</t>
        </is>
      </c>
      <c r="J1224" s="5" t="inlineStr">
        <is>
          <t>01a1212c-abed-749f-b96c-6b61b567a365</t>
        </is>
      </c>
    </row>
    <row r="1225">
      <c r="A1225" s="5" t="inlineStr">
        <is>
          <t>01a1212c-abf9-7156-aed9-abff68039678</t>
        </is>
      </c>
      <c r="D1225" s="5" t="inlineStr">
        <is>
          <t>01a1212c-4b57-70cf-80fd-c2192cb3bf81</t>
        </is>
      </c>
      <c r="E1225" s="4" t="n">
        <v>46304.62428436575</v>
      </c>
      <c r="F1225" s="4" t="n">
        <v>46304.62428436583</v>
      </c>
      <c r="G1225" t="b">
        <v>1</v>
      </c>
      <c r="H1225" s="3" t="inlineStr">
        <is>
          <t>Added fraction 0.005704435237468606070456808048 of cost base adjustment 01a1212c-ab70-70ef-b386-0646b6e677c5 | 2025-06-30 | Adjustment of VGS | Cost base increase = A$701.45</t>
        </is>
      </c>
      <c r="I1225" t="inlineStr">
        <is>
          <t>cost base adjustment allocation</t>
        </is>
      </c>
      <c r="J1225" s="5" t="inlineStr">
        <is>
          <t>01a1212c-abf3-7682-8013-284c7423cb1e</t>
        </is>
      </c>
    </row>
    <row r="1226">
      <c r="A1226" s="5" t="inlineStr">
        <is>
          <t>01a1212c-abfe-76d0-a487-43ad7cf04d1d</t>
        </is>
      </c>
      <c r="D1226" s="5" t="inlineStr">
        <is>
          <t>01a1212c-4b57-70cf-80fd-c2192cb3bf81</t>
        </is>
      </c>
      <c r="E1226" s="4" t="n">
        <v>46304.62428443168</v>
      </c>
      <c r="F1226" s="4" t="n">
        <v>46304.62428443175</v>
      </c>
      <c r="G1226" t="b">
        <v>1</v>
      </c>
      <c r="H1226" s="3" t="inlineStr">
        <is>
          <t>Added fraction 0.005704435237468606070456808048 of cost base adjustment 01a1212c-ab70-70ef-b386-0646b6e677c5 | 2025-06-30 | Adjustment of VGS | Cost base increase = A$701.45</t>
        </is>
      </c>
      <c r="I1226" t="inlineStr">
        <is>
          <t>cost base adjustment allocation</t>
        </is>
      </c>
      <c r="J1226" s="5" t="inlineStr">
        <is>
          <t>01a1212c-abf9-7156-aed9-ac00bff33ca6</t>
        </is>
      </c>
    </row>
    <row r="1227">
      <c r="A1227" s="5" t="inlineStr">
        <is>
          <t>01a1212c-ac04-7325-a733-d65f201dcf16</t>
        </is>
      </c>
      <c r="D1227" s="5" t="inlineStr">
        <is>
          <t>01a1212c-4b57-70cf-80fd-c2192cb3bf81</t>
        </is>
      </c>
      <c r="E1227" s="4" t="n">
        <v>46304.62428449984</v>
      </c>
      <c r="F1227" s="4" t="n">
        <v>46304.62428449992</v>
      </c>
      <c r="G1227" t="b">
        <v>1</v>
      </c>
      <c r="H1227" s="3" t="inlineStr">
        <is>
          <t>Added fraction 0.005704435237468606070456808048 of cost base adjustment 01a1212c-ab70-70ef-b386-0646b6e677c5 | 2025-06-30 | Adjustment of VGS | Cost base increase = A$701.45</t>
        </is>
      </c>
      <c r="I1227" t="inlineStr">
        <is>
          <t>cost base adjustment allocation</t>
        </is>
      </c>
      <c r="J1227" s="5" t="inlineStr">
        <is>
          <t>01a1212c-abff-7735-a936-5cd6cba962be</t>
        </is>
      </c>
    </row>
    <row r="1228">
      <c r="A1228" s="5" t="inlineStr">
        <is>
          <t>01a1212c-ac0b-716f-b35a-aaaa31c2a4e8</t>
        </is>
      </c>
      <c r="D1228" s="5" t="inlineStr">
        <is>
          <t>01a1212c-4b57-70cf-80fd-c2192cb3bf81</t>
        </is>
      </c>
      <c r="E1228" s="4" t="n">
        <v>46304.62428458228</v>
      </c>
      <c r="F1228" s="4" t="n">
        <v>46304.62428458239</v>
      </c>
      <c r="G1228" t="b">
        <v>1</v>
      </c>
      <c r="H1228" s="3" t="inlineStr">
        <is>
          <t>Added fraction 0.006274878761215466677502488853 of cost base adjustment 01a1212c-ab70-70ef-b386-0646b6e677c5 | 2025-06-30 | Adjustment of VGS | Cost base increase = A$701.45</t>
        </is>
      </c>
      <c r="I1228" t="inlineStr">
        <is>
          <t>cost base adjustment allocation</t>
        </is>
      </c>
      <c r="J1228" s="5" t="inlineStr">
        <is>
          <t>01a1212c-ac05-736d-92d9-a25e51cee47e</t>
        </is>
      </c>
    </row>
    <row r="1229">
      <c r="A1229" s="5" t="inlineStr">
        <is>
          <t>01a1212c-ac11-75e3-827a-686759bec342</t>
        </is>
      </c>
      <c r="D1229" s="5" t="inlineStr">
        <is>
          <t>01a1212c-4b57-70cf-80fd-c2192cb3bf81</t>
        </is>
      </c>
      <c r="E1229" s="4" t="n">
        <v>46304.62428465354</v>
      </c>
      <c r="F1229" s="4" t="n">
        <v>46304.62428465363</v>
      </c>
      <c r="G1229" t="b">
        <v>1</v>
      </c>
      <c r="H1229" s="3" t="inlineStr">
        <is>
          <t>Added fraction 0.006845322284962327284548169658 of cost base adjustment 01a1212c-ab70-70ef-b386-0646b6e677c5 | 2025-06-30 | Adjustment of VGS | Cost base increase = A$701.45</t>
        </is>
      </c>
      <c r="I1229" t="inlineStr">
        <is>
          <t>cost base adjustment allocation</t>
        </is>
      </c>
      <c r="J1229" s="5" t="inlineStr">
        <is>
          <t>01a1212c-ac0c-74d3-9fa0-e7bbfc074f61</t>
        </is>
      </c>
    </row>
    <row r="1230">
      <c r="A1230" s="5" t="inlineStr">
        <is>
          <t>01a1212c-ac18-7137-be05-8f0738f40012</t>
        </is>
      </c>
      <c r="D1230" s="5" t="inlineStr">
        <is>
          <t>01a1212c-4b57-70cf-80fd-c2192cb3bf81</t>
        </is>
      </c>
      <c r="E1230" s="4" t="n">
        <v>46304.62428472687</v>
      </c>
      <c r="F1230" s="4" t="n">
        <v>46304.62428472697</v>
      </c>
      <c r="G1230" t="b">
        <v>1</v>
      </c>
      <c r="H1230" s="3" t="inlineStr">
        <is>
          <t>Added fraction 0.006845322284962327284548169658 of cost base adjustment 01a1212c-ab70-70ef-b386-0646b6e677c5 | 2025-06-30 | Adjustment of VGS | Cost base increase = A$701.45</t>
        </is>
      </c>
      <c r="I1230" t="inlineStr">
        <is>
          <t>cost base adjustment allocation</t>
        </is>
      </c>
      <c r="J1230" s="5" t="inlineStr">
        <is>
          <t>01a1212c-ac12-70d3-b8b6-530cbdd8b9c5</t>
        </is>
      </c>
    </row>
    <row r="1231">
      <c r="A1231" s="5" t="inlineStr">
        <is>
          <t>01a1212c-ac1e-777e-aef5-2a5cbf0c9414</t>
        </is>
      </c>
      <c r="D1231" s="5" t="inlineStr">
        <is>
          <t>01a1212c-4b57-70cf-80fd-c2192cb3bf81</t>
        </is>
      </c>
      <c r="E1231" s="4" t="n">
        <v>46304.6242847992</v>
      </c>
      <c r="F1231" s="4" t="n">
        <v>46304.62428479928</v>
      </c>
      <c r="G1231" t="b">
        <v>1</v>
      </c>
      <c r="H1231" s="3" t="inlineStr">
        <is>
          <t>Added fraction 0.006845322284962327284548169658 of cost base adjustment 01a1212c-ab70-70ef-b386-0646b6e677c5 | 2025-06-30 | Adjustment of VGS | Cost base increase = A$701.45</t>
        </is>
      </c>
      <c r="I1231" t="inlineStr">
        <is>
          <t>cost base adjustment allocation</t>
        </is>
      </c>
      <c r="J1231" s="5" t="inlineStr">
        <is>
          <t>01a1212c-ac19-7551-aca0-05f7b1de20ea</t>
        </is>
      </c>
    </row>
    <row r="1232">
      <c r="A1232" s="5" t="inlineStr">
        <is>
          <t>01a1212c-ac24-748f-a8c2-4b02fa8b6de9</t>
        </is>
      </c>
      <c r="D1232" s="5" t="inlineStr">
        <is>
          <t>01a1212c-4b57-70cf-80fd-c2192cb3bf81</t>
        </is>
      </c>
      <c r="E1232" s="4" t="n">
        <v>46304.62428486745</v>
      </c>
      <c r="F1232" s="4" t="n">
        <v>46304.62428486753</v>
      </c>
      <c r="G1232" t="b">
        <v>1</v>
      </c>
      <c r="H1232" s="3" t="inlineStr">
        <is>
          <t>Added fraction 0.006845322284962327284548169658 of cost base adjustment 01a1212c-ab70-70ef-b386-0646b6e677c5 | 2025-06-30 | Adjustment of VGS | Cost base increase = A$701.45</t>
        </is>
      </c>
      <c r="I1232" t="inlineStr">
        <is>
          <t>cost base adjustment allocation</t>
        </is>
      </c>
      <c r="J1232" s="5" t="inlineStr">
        <is>
          <t>01a1212c-ac1f-714c-abcc-d3ffac245e2e</t>
        </is>
      </c>
    </row>
    <row r="1233">
      <c r="A1233" s="5" t="inlineStr">
        <is>
          <t>01a1212c-ac2b-779b-9a01-9ade7b3dbe7a</t>
        </is>
      </c>
      <c r="D1233" s="5" t="inlineStr">
        <is>
          <t>01a1212c-4b57-70cf-80fd-c2192cb3bf81</t>
        </is>
      </c>
      <c r="E1233" s="4" t="n">
        <v>46304.62428494372</v>
      </c>
      <c r="F1233" s="4" t="n">
        <v>46304.6242849438</v>
      </c>
      <c r="G1233" t="b">
        <v>1</v>
      </c>
      <c r="H1233" s="3" t="inlineStr">
        <is>
          <t>Added fraction 0.007395448642109984637096333064 of cost base adjustment 01a1212c-ab70-70ef-b386-0646b6e677c5 | 2025-06-30 | Adjustment of VGS | Cost base increase = A$701.45</t>
        </is>
      </c>
      <c r="I1233" t="inlineStr">
        <is>
          <t>cost base adjustment allocation</t>
        </is>
      </c>
      <c r="J1233" s="5" t="inlineStr">
        <is>
          <t>01a1212c-ac25-75d1-803b-56209b5b1163</t>
        </is>
      </c>
    </row>
    <row r="1234">
      <c r="A1234" s="5" t="inlineStr">
        <is>
          <t>01a1212c-ac31-76e8-8b13-50f76b4bf4a1</t>
        </is>
      </c>
      <c r="D1234" s="5" t="inlineStr">
        <is>
          <t>01a1212c-4b57-70cf-80fd-c2192cb3bf81</t>
        </is>
      </c>
      <c r="E1234" s="4" t="n">
        <v>46304.62428501414</v>
      </c>
      <c r="F1234" s="4" t="n">
        <v>46304.62428501422</v>
      </c>
      <c r="G1234" t="b">
        <v>1</v>
      </c>
      <c r="H1234" s="3" t="inlineStr">
        <is>
          <t>Added fraction 0.007415765808709187891593850463 of cost base adjustment 01a1212c-ab70-70ef-b386-0646b6e677c5 | 2025-06-30 | Adjustment of VGS | Cost base increase = A$701.45</t>
        </is>
      </c>
      <c r="I1234" t="inlineStr">
        <is>
          <t>cost base adjustment allocation</t>
        </is>
      </c>
      <c r="J1234" s="5" t="inlineStr">
        <is>
          <t>01a1212c-ac2b-779b-9a01-9adf97bbb33a</t>
        </is>
      </c>
    </row>
    <row r="1235">
      <c r="A1235" s="5" t="inlineStr">
        <is>
          <t>01a1212c-ac37-77c5-b2ea-2fbacf8f48b1</t>
        </is>
      </c>
      <c r="D1235" s="5" t="inlineStr">
        <is>
          <t>01a1212c-4b57-70cf-80fd-c2192cb3bf81</t>
        </is>
      </c>
      <c r="E1235" s="4" t="n">
        <v>46304.62428508372</v>
      </c>
      <c r="F1235" s="4" t="n">
        <v>46304.6242850838</v>
      </c>
      <c r="G1235" t="b">
        <v>1</v>
      </c>
      <c r="H1235" s="3" t="inlineStr">
        <is>
          <t>Added fraction 0.007415765808709187891593850463 of cost base adjustment 01a1212c-ab70-70ef-b386-0646b6e677c5 | 2025-06-30 | Adjustment of VGS | Cost base increase = A$701.45</t>
        </is>
      </c>
      <c r="I1235" t="inlineStr">
        <is>
          <t>cost base adjustment allocation</t>
        </is>
      </c>
      <c r="J1235" s="5" t="inlineStr">
        <is>
          <t>01a1212c-ac31-76e8-8b13-50f88949bf1e</t>
        </is>
      </c>
    </row>
    <row r="1236">
      <c r="A1236" s="5" t="inlineStr">
        <is>
          <t>01a1212c-ac3d-7312-9872-13631cd2513b</t>
        </is>
      </c>
      <c r="D1236" s="5" t="inlineStr">
        <is>
          <t>01a1212c-4b57-70cf-80fd-c2192cb3bf81</t>
        </is>
      </c>
      <c r="E1236" s="4" t="n">
        <v>46304.62428515205</v>
      </c>
      <c r="F1236" s="4" t="n">
        <v>46304.62428515213</v>
      </c>
      <c r="G1236" t="b">
        <v>1</v>
      </c>
      <c r="H1236" s="3" t="inlineStr">
        <is>
          <t>Added fraction 0.007415765808709187891593850463 of cost base adjustment 01a1212c-ab70-70ef-b386-0646b6e677c5 | 2025-06-30 | Adjustment of VGS | Cost base increase = A$701.45</t>
        </is>
      </c>
      <c r="I1236" t="inlineStr">
        <is>
          <t>cost base adjustment allocation</t>
        </is>
      </c>
      <c r="J1236" s="5" t="inlineStr">
        <is>
          <t>01a1212c-ac37-77c5-b2ea-2fbb8626cb28</t>
        </is>
      </c>
    </row>
    <row r="1237">
      <c r="A1237" s="5" t="inlineStr">
        <is>
          <t>01a1212c-ac42-75b5-ae1d-19d1b54c2c31</t>
        </is>
      </c>
      <c r="D1237" s="5" t="inlineStr">
        <is>
          <t>01a1212c-4b57-70cf-80fd-c2192cb3bf81</t>
        </is>
      </c>
      <c r="E1237" s="4" t="n">
        <v>46304.62428521969</v>
      </c>
      <c r="F1237" s="4" t="n">
        <v>46304.62428521977</v>
      </c>
      <c r="G1237" t="b">
        <v>1</v>
      </c>
      <c r="H1237" s="3" t="inlineStr">
        <is>
          <t>Added fraction 0.007415765808709187891593850463 of cost base adjustment 01a1212c-ab70-70ef-b386-0646b6e677c5 | 2025-06-30 | Adjustment of VGS | Cost base increase = A$701.45</t>
        </is>
      </c>
      <c r="I1237" t="inlineStr">
        <is>
          <t>cost base adjustment allocation</t>
        </is>
      </c>
      <c r="J1237" s="5" t="inlineStr">
        <is>
          <t>01a1212c-ac3d-7312-9872-13643f0ae3a6</t>
        </is>
      </c>
    </row>
    <row r="1238">
      <c r="A1238" s="5" t="inlineStr">
        <is>
          <t>01a1212c-ac48-77d7-8c2c-727f9ac102a5</t>
        </is>
      </c>
      <c r="D1238" s="5" t="inlineStr">
        <is>
          <t>01a1212c-4b57-70cf-80fd-c2192cb3bf81</t>
        </is>
      </c>
      <c r="E1238" s="4" t="n">
        <v>46304.62428528962</v>
      </c>
      <c r="F1238" s="4" t="n">
        <v>46304.6242852897</v>
      </c>
      <c r="G1238" t="b">
        <v>1</v>
      </c>
      <c r="H1238" s="3" t="inlineStr">
        <is>
          <t>Added fraction 0.007415765808709187891593850463 of cost base adjustment 01a1212c-ab70-70ef-b386-0646b6e677c5 | 2025-06-30 | Adjustment of VGS | Cost base increase = A$701.45</t>
        </is>
      </c>
      <c r="I1238" t="inlineStr">
        <is>
          <t>cost base adjustment allocation</t>
        </is>
      </c>
      <c r="J1238" s="5" t="inlineStr">
        <is>
          <t>01a1212c-ac43-7255-8d6a-71dd909f54ac</t>
        </is>
      </c>
    </row>
    <row r="1239">
      <c r="A1239" s="5" t="inlineStr">
        <is>
          <t>01a1212c-ac4f-7623-a7f6-218cdb5767d4</t>
        </is>
      </c>
      <c r="D1239" s="5" t="inlineStr">
        <is>
          <t>01a1212c-4b57-70cf-80fd-c2192cb3bf81</t>
        </is>
      </c>
      <c r="E1239" s="4" t="n">
        <v>46304.62428536305</v>
      </c>
      <c r="F1239" s="4" t="n">
        <v>46304.62428536313</v>
      </c>
      <c r="G1239" t="b">
        <v>1</v>
      </c>
      <c r="H1239" s="3" t="inlineStr">
        <is>
          <t>Added fraction 0.007415765808709187891593850463 of cost base adjustment 01a1212c-ab70-70ef-b386-0646b6e677c5 | 2025-06-30 | Adjustment of VGS | Cost base increase = A$701.45</t>
        </is>
      </c>
      <c r="I1239" t="inlineStr">
        <is>
          <t>cost base adjustment allocation</t>
        </is>
      </c>
      <c r="J1239" s="5" t="inlineStr">
        <is>
          <t>01a1212c-ac49-77db-9432-08b2f5d02c94</t>
        </is>
      </c>
    </row>
    <row r="1240">
      <c r="A1240" s="5" t="inlineStr">
        <is>
          <t>01a1212c-ac55-70b0-8fd4-a4a971dc9f5f</t>
        </is>
      </c>
      <c r="D1240" s="5" t="inlineStr">
        <is>
          <t>01a1212c-4b57-70cf-80fd-c2192cb3bf81</t>
        </is>
      </c>
      <c r="E1240" s="4" t="n">
        <v>46304.62428543509</v>
      </c>
      <c r="F1240" s="4" t="n">
        <v>46304.62428543519</v>
      </c>
      <c r="G1240" t="b">
        <v>1</v>
      </c>
      <c r="H1240" s="3" t="inlineStr">
        <is>
          <t>Added fraction 0.007986209332456048498639531267 of cost base adjustment 01a1212c-ab70-70ef-b386-0646b6e677c5 | 2025-06-30 | Adjustment of VGS | Cost base increase = A$701.45</t>
        </is>
      </c>
      <c r="I1240" t="inlineStr">
        <is>
          <t>cost base adjustment allocation</t>
        </is>
      </c>
      <c r="J1240" s="5" t="inlineStr">
        <is>
          <t>01a1212c-ac50-709b-944a-02568e219b3a</t>
        </is>
      </c>
    </row>
    <row r="1241">
      <c r="A1241" s="5" t="inlineStr">
        <is>
          <t>01a1212c-ac5c-7784-a75c-2446fcefd2bd</t>
        </is>
      </c>
      <c r="D1241" s="5" t="inlineStr">
        <is>
          <t>01a1212c-4b57-70cf-80fd-c2192cb3bf81</t>
        </is>
      </c>
      <c r="E1241" s="4" t="n">
        <v>46304.6242855146</v>
      </c>
      <c r="F1241" s="4" t="n">
        <v>46304.6242855147</v>
      </c>
      <c r="G1241" t="b">
        <v>1</v>
      </c>
      <c r="H1241" s="3" t="inlineStr">
        <is>
          <t>Added fraction 0.007986209332456048498639531267 of cost base adjustment 01a1212c-ab70-70ef-b386-0646b6e677c5 | 2025-06-30 | Adjustment of VGS | Cost base increase = A$701.45</t>
        </is>
      </c>
      <c r="I1241" t="inlineStr">
        <is>
          <t>cost base adjustment allocation</t>
        </is>
      </c>
      <c r="J1241" s="5" t="inlineStr">
        <is>
          <t>01a1212c-ac56-734b-8fab-96f97dd29afc</t>
        </is>
      </c>
    </row>
    <row r="1242">
      <c r="A1242" s="5" t="inlineStr">
        <is>
          <t>01a1212c-ac62-737f-b4de-8b01155c015c</t>
        </is>
      </c>
      <c r="D1242" s="5" t="inlineStr">
        <is>
          <t>01a1212c-4b57-70cf-80fd-c2192cb3bf81</t>
        </is>
      </c>
      <c r="E1242" s="4" t="n">
        <v>46304.6242855856</v>
      </c>
      <c r="F1242" s="4" t="n">
        <v>46304.62428558568</v>
      </c>
      <c r="G1242" t="b">
        <v>1</v>
      </c>
      <c r="H1242" s="3" t="inlineStr">
        <is>
          <t>Added fraction 0.007986209332456048498639531267 of cost base adjustment 01a1212c-ab70-70ef-b386-0646b6e677c5 | 2025-06-30 | Adjustment of VGS | Cost base increase = A$701.45</t>
        </is>
      </c>
      <c r="I1242" t="inlineStr">
        <is>
          <t>cost base adjustment allocation</t>
        </is>
      </c>
      <c r="J1242" s="5" t="inlineStr">
        <is>
          <t>01a1212c-ac5d-76d8-8d2e-4cb559d05498</t>
        </is>
      </c>
    </row>
    <row r="1243">
      <c r="A1243" s="5" t="inlineStr">
        <is>
          <t>01a1212c-ac68-75c6-bdbe-70017a9b8ed2</t>
        </is>
      </c>
      <c r="D1243" s="5" t="inlineStr">
        <is>
          <t>01a1212c-4b57-70cf-80fd-c2192cb3bf81</t>
        </is>
      </c>
      <c r="E1243" s="4" t="n">
        <v>46304.62428565585</v>
      </c>
      <c r="F1243" s="4" t="n">
        <v>46304.62428565594</v>
      </c>
      <c r="G1243" t="b">
        <v>1</v>
      </c>
      <c r="H1243" s="3" t="inlineStr">
        <is>
          <t>Added fraction 0.007986209332456048498639531267 of cost base adjustment 01a1212c-ab70-70ef-b386-0646b6e677c5 | 2025-06-30 | Adjustment of VGS | Cost base increase = A$701.45</t>
        </is>
      </c>
      <c r="I1243" t="inlineStr">
        <is>
          <t>cost base adjustment allocation</t>
        </is>
      </c>
      <c r="J1243" s="5" t="inlineStr">
        <is>
          <t>01a1212c-ac63-772d-be02-ba3d032b0021</t>
        </is>
      </c>
    </row>
    <row r="1244">
      <c r="A1244" s="5" t="inlineStr">
        <is>
          <t>01a1212c-ac6e-76a5-bf9a-d71829868330</t>
        </is>
      </c>
      <c r="D1244" s="5" t="inlineStr">
        <is>
          <t>01a1212c-4b57-70cf-80fd-c2192cb3bf81</t>
        </is>
      </c>
      <c r="E1244" s="4" t="n">
        <v>46304.62428572395</v>
      </c>
      <c r="F1244" s="4" t="n">
        <v>46304.62428572403</v>
      </c>
      <c r="G1244" t="b">
        <v>1</v>
      </c>
      <c r="H1244" s="3" t="inlineStr">
        <is>
          <t>Added fraction 0.007986209332456048498639531267 of cost base adjustment 01a1212c-ab70-70ef-b386-0646b6e677c5 | 2025-06-30 | Adjustment of VGS | Cost base increase = A$701.45</t>
        </is>
      </c>
      <c r="I1244" t="inlineStr">
        <is>
          <t>cost base adjustment allocation</t>
        </is>
      </c>
      <c r="J1244" s="5" t="inlineStr">
        <is>
          <t>01a1212c-ac69-75b6-92cd-9687bce754fd</t>
        </is>
      </c>
    </row>
    <row r="1245">
      <c r="A1245" s="5" t="inlineStr">
        <is>
          <t>01a1212c-ac74-7148-9833-a6d173882093</t>
        </is>
      </c>
      <c r="D1245" s="5" t="inlineStr">
        <is>
          <t>01a1212c-4b57-70cf-80fd-c2192cb3bf81</t>
        </is>
      </c>
      <c r="E1245" s="4" t="n">
        <v>46304.62428579415</v>
      </c>
      <c r="F1245" s="4" t="n">
        <v>46304.62428579423</v>
      </c>
      <c r="G1245" t="b">
        <v>1</v>
      </c>
      <c r="H1245" s="3" t="inlineStr">
        <is>
          <t>Added fraction 0.007986209332456048498639531267 of cost base adjustment 01a1212c-ab70-70ef-b386-0646b6e677c5 | 2025-06-30 | Adjustment of VGS | Cost base increase = A$701.45</t>
        </is>
      </c>
      <c r="I1245" t="inlineStr">
        <is>
          <t>cost base adjustment allocation</t>
        </is>
      </c>
      <c r="J1245" s="5" t="inlineStr">
        <is>
          <t>01a1212c-ac6f-750c-9a70-64392c936970</t>
        </is>
      </c>
    </row>
    <row r="1246">
      <c r="A1246" s="5" t="inlineStr">
        <is>
          <t>01a1212c-ac7b-7777-8caa-7d97b14fa507</t>
        </is>
      </c>
      <c r="D1246" s="5" t="inlineStr">
        <is>
          <t>01a1212c-4b57-70cf-80fd-c2192cb3bf81</t>
        </is>
      </c>
      <c r="E1246" s="4" t="n">
        <v>46304.6242858756</v>
      </c>
      <c r="F1246" s="4" t="n">
        <v>46304.6242858757</v>
      </c>
      <c r="G1246" t="b">
        <v>1</v>
      </c>
      <c r="H1246" s="3" t="inlineStr">
        <is>
          <t>Added fraction 0.007986209332456048498639531267 of cost base adjustment 01a1212c-ab70-70ef-b386-0646b6e677c5 | 2025-06-30 | Adjustment of VGS | Cost base increase = A$701.45</t>
        </is>
      </c>
      <c r="I1246" t="inlineStr">
        <is>
          <t>cost base adjustment allocation</t>
        </is>
      </c>
      <c r="J1246" s="5" t="inlineStr">
        <is>
          <t>01a1212c-ac75-75e8-bddd-8ba662c64eb7</t>
        </is>
      </c>
    </row>
    <row r="1247">
      <c r="A1247" s="5" t="inlineStr">
        <is>
          <t>01a1212c-ac81-7648-97af-5eb7c85916c3</t>
        </is>
      </c>
      <c r="D1247" s="5" t="inlineStr">
        <is>
          <t>01a1212c-4b57-70cf-80fd-c2192cb3bf81</t>
        </is>
      </c>
      <c r="E1247" s="4" t="n">
        <v>46304.62428594741</v>
      </c>
      <c r="F1247" s="4" t="n">
        <v>46304.62428594747</v>
      </c>
      <c r="G1247" t="b">
        <v>1</v>
      </c>
      <c r="H1247" s="3" t="inlineStr">
        <is>
          <t>Added fraction 0.007986209332456048498639531267 of cost base adjustment 01a1212c-ab70-70ef-b386-0646b6e677c5 | 2025-06-30 | Adjustment of VGS | Cost base increase = A$701.45</t>
        </is>
      </c>
      <c r="I1247" t="inlineStr">
        <is>
          <t>cost base adjustment allocation</t>
        </is>
      </c>
      <c r="J1247" s="5" t="inlineStr">
        <is>
          <t>01a1212c-ac7c-761a-b39e-dfb2628dc128</t>
        </is>
      </c>
    </row>
    <row r="1248">
      <c r="A1248" s="5" t="inlineStr">
        <is>
          <t>01a1212c-ac88-71b6-b5cb-98534beba13e</t>
        </is>
      </c>
      <c r="D1248" s="5" t="inlineStr">
        <is>
          <t>01a1212c-4b57-70cf-80fd-c2192cb3bf81</t>
        </is>
      </c>
      <c r="E1248" s="4" t="n">
        <v>46304.62428602358</v>
      </c>
      <c r="F1248" s="4" t="n">
        <v>46304.62428602367</v>
      </c>
      <c r="G1248" t="b">
        <v>1</v>
      </c>
      <c r="H1248" s="3" t="inlineStr">
        <is>
          <t>Added fraction 0.008556652856202909105685212072 of cost base adjustment 01a1212c-ab70-70ef-b386-0646b6e677c5 | 2025-06-30 | Adjustment of VGS | Cost base increase = A$701.45</t>
        </is>
      </c>
      <c r="I1248" t="inlineStr">
        <is>
          <t>cost base adjustment allocation</t>
        </is>
      </c>
      <c r="J1248" s="5" t="inlineStr">
        <is>
          <t>01a1212c-ac82-7167-a2a7-a5b2725d8ad3</t>
        </is>
      </c>
    </row>
    <row r="1249">
      <c r="A1249" s="5" t="inlineStr">
        <is>
          <t>01a1212c-ac8e-77d3-bc66-f306ad6ac8fb</t>
        </is>
      </c>
      <c r="D1249" s="5" t="inlineStr">
        <is>
          <t>01a1212c-4b57-70cf-80fd-c2192cb3bf81</t>
        </is>
      </c>
      <c r="E1249" s="4" t="n">
        <v>46304.62428609659</v>
      </c>
      <c r="F1249" s="4" t="n">
        <v>46304.62428609668</v>
      </c>
      <c r="G1249" t="b">
        <v>1</v>
      </c>
      <c r="H1249" s="3" t="inlineStr">
        <is>
          <t>Added fraction 0.008556652856202909105685212072 of cost base adjustment 01a1212c-ab70-70ef-b386-0646b6e677c5 | 2025-06-30 | Adjustment of VGS | Cost base increase = A$701.45</t>
        </is>
      </c>
      <c r="I1249" t="inlineStr">
        <is>
          <t>cost base adjustment allocation</t>
        </is>
      </c>
      <c r="J1249" s="5" t="inlineStr">
        <is>
          <t>01a1212c-ac89-723c-943b-294255e3271e</t>
        </is>
      </c>
    </row>
    <row r="1250">
      <c r="A1250" s="5" t="inlineStr">
        <is>
          <t>01a1212c-ac94-74ba-ac80-292d189cee3f</t>
        </is>
      </c>
      <c r="D1250" s="5" t="inlineStr">
        <is>
          <t>01a1212c-4b57-70cf-80fd-c2192cb3bf81</t>
        </is>
      </c>
      <c r="E1250" s="4" t="n">
        <v>46304.62428616421</v>
      </c>
      <c r="F1250" s="4" t="n">
        <v>46304.6242861643</v>
      </c>
      <c r="G1250" t="b">
        <v>1</v>
      </c>
      <c r="H1250" s="3" t="inlineStr">
        <is>
          <t>Added fraction 0.008556652856202909105685212072 of cost base adjustment 01a1212c-ab70-70ef-b386-0646b6e677c5 | 2025-06-30 | Adjustment of VGS | Cost base increase = A$701.45</t>
        </is>
      </c>
      <c r="I1250" t="inlineStr">
        <is>
          <t>cost base adjustment allocation</t>
        </is>
      </c>
      <c r="J1250" s="5" t="inlineStr">
        <is>
          <t>01a1212c-ac8f-7577-bf38-758de7c6d7cb</t>
        </is>
      </c>
    </row>
    <row r="1251">
      <c r="A1251" s="5" t="inlineStr">
        <is>
          <t>01a1212c-ac9b-72fd-a0af-3bdba623f767</t>
        </is>
      </c>
      <c r="D1251" s="5" t="inlineStr">
        <is>
          <t>01a1212c-4b57-70cf-80fd-c2192cb3bf81</t>
        </is>
      </c>
      <c r="E1251" s="4" t="n">
        <v>46304.62428624317</v>
      </c>
      <c r="F1251" s="4" t="n">
        <v>46304.62428624326</v>
      </c>
      <c r="G1251" t="b">
        <v>1</v>
      </c>
      <c r="H1251" s="3" t="inlineStr">
        <is>
          <t>Added fraction 0.008556652856202909105685212072 of cost base adjustment 01a1212c-ab70-70ef-b386-0646b6e677c5 | 2025-06-30 | Adjustment of VGS | Cost base increase = A$701.45</t>
        </is>
      </c>
      <c r="I1251" t="inlineStr">
        <is>
          <t>cost base adjustment allocation</t>
        </is>
      </c>
      <c r="J1251" s="5" t="inlineStr">
        <is>
          <t>01a1212c-ac95-71d6-8ef1-a75e2c500d54</t>
        </is>
      </c>
    </row>
    <row r="1252">
      <c r="A1252" s="5" t="inlineStr">
        <is>
          <t>01a1212c-aca1-715a-b015-5468ea462b91</t>
        </is>
      </c>
      <c r="D1252" s="5" t="inlineStr">
        <is>
          <t>01a1212c-4b57-70cf-80fd-c2192cb3bf81</t>
        </is>
      </c>
      <c r="E1252" s="4" t="n">
        <v>46304.62428631186</v>
      </c>
      <c r="F1252" s="4" t="n">
        <v>46304.62428631193</v>
      </c>
      <c r="G1252" t="b">
        <v>1</v>
      </c>
      <c r="H1252" s="3" t="inlineStr">
        <is>
          <t>Added fraction 0.008556652856202909105685212072 of cost base adjustment 01a1212c-ab70-70ef-b386-0646b6e677c5 | 2025-06-30 | Adjustment of VGS | Cost base increase = A$701.45</t>
        </is>
      </c>
      <c r="I1252" t="inlineStr">
        <is>
          <t>cost base adjustment allocation</t>
        </is>
      </c>
      <c r="J1252" s="5" t="inlineStr">
        <is>
          <t>01a1212c-ac9c-727a-b489-fa2c991ce088</t>
        </is>
      </c>
    </row>
    <row r="1253">
      <c r="A1253" s="5" t="inlineStr">
        <is>
          <t>01a1212c-aca7-7257-9177-04540ae39861</t>
        </is>
      </c>
      <c r="D1253" s="5" t="inlineStr">
        <is>
          <t>01a1212c-4b57-70cf-80fd-c2192cb3bf81</t>
        </is>
      </c>
      <c r="E1253" s="4" t="n">
        <v>46304.62428638058</v>
      </c>
      <c r="F1253" s="4" t="n">
        <v>46304.62428638066</v>
      </c>
      <c r="G1253" t="b">
        <v>1</v>
      </c>
      <c r="H1253" s="3" t="inlineStr">
        <is>
          <t>Added fraction 0.008556652856202909105685212072 of cost base adjustment 01a1212c-ab70-70ef-b386-0646b6e677c5 | 2025-06-30 | Adjustment of VGS | Cost base increase = A$701.45</t>
        </is>
      </c>
      <c r="I1253" t="inlineStr">
        <is>
          <t>cost base adjustment allocation</t>
        </is>
      </c>
      <c r="J1253" s="5" t="inlineStr">
        <is>
          <t>01a1212c-aca1-715a-b015-5469b0050051</t>
        </is>
      </c>
    </row>
    <row r="1254">
      <c r="A1254" s="5" t="inlineStr">
        <is>
          <t>01a1212c-acae-70a2-b2cc-5b2234a45b20</t>
        </is>
      </c>
      <c r="D1254" s="5" t="inlineStr">
        <is>
          <t>01a1212c-4b57-70cf-80fd-c2192cb3bf81</t>
        </is>
      </c>
      <c r="E1254" s="4" t="n">
        <v>46304.62428646009</v>
      </c>
      <c r="F1254" s="4" t="n">
        <v>46304.62428646017</v>
      </c>
      <c r="G1254" t="b">
        <v>1</v>
      </c>
      <c r="H1254" s="3" t="inlineStr">
        <is>
          <t>Added fraction 0.008556652856202909105685212072 of cost base adjustment 01a1212c-ab70-70ef-b386-0646b6e677c5 | 2025-06-30 | Adjustment of VGS | Cost base increase = A$701.45</t>
        </is>
      </c>
      <c r="I1254" t="inlineStr">
        <is>
          <t>cost base adjustment allocation</t>
        </is>
      </c>
      <c r="J1254" s="5" t="inlineStr">
        <is>
          <t>01a1212c-aca8-7277-bcf8-91d0dcc4ad64</t>
        </is>
      </c>
    </row>
    <row r="1255">
      <c r="A1255" s="5" t="inlineStr">
        <is>
          <t>01a1212c-acb4-756a-8b62-aa8300c670fd</t>
        </is>
      </c>
      <c r="D1255" s="5" t="inlineStr">
        <is>
          <t>01a1212c-4b57-70cf-80fd-c2192cb3bf81</t>
        </is>
      </c>
      <c r="E1255" s="4" t="n">
        <v>46304.62428652918</v>
      </c>
      <c r="F1255" s="4" t="n">
        <v>46304.62428652926</v>
      </c>
      <c r="G1255" t="b">
        <v>1</v>
      </c>
      <c r="H1255" s="3" t="inlineStr">
        <is>
          <t>Added fraction 0.008556652856202909105685212072 of cost base adjustment 01a1212c-ab70-70ef-b386-0646b6e677c5 | 2025-06-30 | Adjustment of VGS | Cost base increase = A$701.45</t>
        </is>
      </c>
      <c r="I1255" t="inlineStr">
        <is>
          <t>cost base adjustment allocation</t>
        </is>
      </c>
      <c r="J1255" s="5" t="inlineStr">
        <is>
          <t>01a1212c-acae-70a2-b2cc-5b23a3233caf</t>
        </is>
      </c>
    </row>
    <row r="1256">
      <c r="A1256" s="5" t="inlineStr">
        <is>
          <t>01a1212c-acba-7701-bbd7-59fd18d0f32f</t>
        </is>
      </c>
      <c r="D1256" s="5" t="inlineStr">
        <is>
          <t>01a1212c-4b57-70cf-80fd-c2192cb3bf81</t>
        </is>
      </c>
      <c r="E1256" s="4" t="n">
        <v>46304.62428660651</v>
      </c>
      <c r="F1256" s="4" t="n">
        <v>46304.62428660659</v>
      </c>
      <c r="G1256" t="b">
        <v>1</v>
      </c>
      <c r="H1256" s="3" t="inlineStr">
        <is>
          <t>Added fraction 0.008556652856202909105685212072 of cost base adjustment 01a1212c-ab70-70ef-b386-0646b6e677c5 | 2025-06-30 | Adjustment of VGS | Cost base increase = A$701.45</t>
        </is>
      </c>
      <c r="I1256" t="inlineStr">
        <is>
          <t>cost base adjustment allocation</t>
        </is>
      </c>
      <c r="J1256" s="5" t="inlineStr">
        <is>
          <t>01a1212c-acb4-756a-8b62-aa841707f66e</t>
        </is>
      </c>
    </row>
    <row r="1257">
      <c r="A1257" s="5" t="inlineStr">
        <is>
          <t>01a1212c-acc0-7587-a3bf-303ec4fc115f</t>
        </is>
      </c>
      <c r="D1257" s="5" t="inlineStr">
        <is>
          <t>01a1212c-4b57-70cf-80fd-c2192cb3bf81</t>
        </is>
      </c>
      <c r="E1257" s="4" t="n">
        <v>46304.62428667447</v>
      </c>
      <c r="F1257" s="4" t="n">
        <v>46304.62428667455</v>
      </c>
      <c r="G1257" t="b">
        <v>1</v>
      </c>
      <c r="H1257" s="3" t="inlineStr">
        <is>
          <t>Added fraction 0.009127096379949769712730892877 of cost base adjustment 01a1212c-ab70-70ef-b386-0646b6e677c5 | 2025-06-30 | Adjustment of VGS | Cost base increase = A$701.45</t>
        </is>
      </c>
      <c r="I1257" t="inlineStr">
        <is>
          <t>cost base adjustment allocation</t>
        </is>
      </c>
      <c r="J1257" s="5" t="inlineStr">
        <is>
          <t>01a1212c-acbb-7657-a655-bd67492f8809</t>
        </is>
      </c>
    </row>
    <row r="1258">
      <c r="A1258" s="5" t="inlineStr">
        <is>
          <t>01a1212c-acc6-71a5-92a1-e1b3d7e25acd</t>
        </is>
      </c>
      <c r="D1258" s="5" t="inlineStr">
        <is>
          <t>01a1212c-4b57-70cf-80fd-c2192cb3bf81</t>
        </is>
      </c>
      <c r="E1258" s="4" t="n">
        <v>46304.62428674151</v>
      </c>
      <c r="F1258" s="4" t="n">
        <v>46304.6242867416</v>
      </c>
      <c r="G1258" t="b">
        <v>1</v>
      </c>
      <c r="H1258" s="3" t="inlineStr">
        <is>
          <t>Added fraction 0.009127096379949769712730892877 of cost base adjustment 01a1212c-ab70-70ef-b386-0646b6e677c5 | 2025-06-30 | Adjustment of VGS | Cost base increase = A$701.45</t>
        </is>
      </c>
      <c r="I1258" t="inlineStr">
        <is>
          <t>cost base adjustment allocation</t>
        </is>
      </c>
      <c r="J1258" s="5" t="inlineStr">
        <is>
          <t>01a1212c-acc1-75bf-949b-e82deee5ea76</t>
        </is>
      </c>
    </row>
    <row r="1259">
      <c r="A1259" s="5" t="inlineStr">
        <is>
          <t>01a1212c-accc-7732-ba14-d418e3b15421</t>
        </is>
      </c>
      <c r="D1259" s="5" t="inlineStr">
        <is>
          <t>01a1212c-4b57-70cf-80fd-c2192cb3bf81</t>
        </is>
      </c>
      <c r="E1259" s="4" t="n">
        <v>46304.62428681373</v>
      </c>
      <c r="F1259" s="4" t="n">
        <v>46304.62428681381</v>
      </c>
      <c r="G1259" t="b">
        <v>1</v>
      </c>
      <c r="H1259" s="3" t="inlineStr">
        <is>
          <t>Added fraction 0.009127096379949769712730892877 of cost base adjustment 01a1212c-ab70-70ef-b386-0646b6e677c5 | 2025-06-30 | Adjustment of VGS | Cost base increase = A$701.45</t>
        </is>
      </c>
      <c r="I1259" t="inlineStr">
        <is>
          <t>cost base adjustment allocation</t>
        </is>
      </c>
      <c r="J1259" s="5" t="inlineStr">
        <is>
          <t>01a1212c-acc7-7796-96e2-3b5cf6b7de4a</t>
        </is>
      </c>
    </row>
    <row r="1260">
      <c r="A1260" s="5" t="inlineStr">
        <is>
          <t>01a1212c-acd2-75ff-a491-f0fe67b0eebd</t>
        </is>
      </c>
      <c r="D1260" s="5" t="inlineStr">
        <is>
          <t>01a1212c-4b57-70cf-80fd-c2192cb3bf81</t>
        </is>
      </c>
      <c r="E1260" s="4" t="n">
        <v>46304.62428688216</v>
      </c>
      <c r="F1260" s="4" t="n">
        <v>46304.62428688224</v>
      </c>
      <c r="G1260" t="b">
        <v>1</v>
      </c>
      <c r="H1260" s="3" t="inlineStr">
        <is>
          <t>Added fraction 0.009127096379949769712730892877 of cost base adjustment 01a1212c-ab70-70ef-b386-0646b6e677c5 | 2025-06-30 | Adjustment of VGS | Cost base increase = A$701.45</t>
        </is>
      </c>
      <c r="I1260" t="inlineStr">
        <is>
          <t>cost base adjustment allocation</t>
        </is>
      </c>
      <c r="J1260" s="5" t="inlineStr">
        <is>
          <t>01a1212c-accd-76ca-94c0-ec296ec0d4a6</t>
        </is>
      </c>
    </row>
    <row r="1261">
      <c r="A1261" s="5" t="inlineStr">
        <is>
          <t>01a1212c-acd8-7029-b74a-61a17c6643fd</t>
        </is>
      </c>
      <c r="D1261" s="5" t="inlineStr">
        <is>
          <t>01a1212c-4b57-70cf-80fd-c2192cb3bf81</t>
        </is>
      </c>
      <c r="E1261" s="4" t="n">
        <v>46304.62428694945</v>
      </c>
      <c r="F1261" s="4" t="n">
        <v>46304.62428694953</v>
      </c>
      <c r="G1261" t="b">
        <v>1</v>
      </c>
      <c r="H1261" s="3" t="inlineStr">
        <is>
          <t>Added fraction 0.009697539903696630319776573682 of cost base adjustment 01a1212c-ab70-70ef-b386-0646b6e677c5 | 2025-06-30 | Adjustment of VGS | Cost base increase = A$701.45</t>
        </is>
      </c>
      <c r="I1261" t="inlineStr">
        <is>
          <t>cost base adjustment allocation</t>
        </is>
      </c>
      <c r="J1261" s="5" t="inlineStr">
        <is>
          <t>01a1212c-acd3-7542-a067-3970b6efbc40</t>
        </is>
      </c>
    </row>
    <row r="1262">
      <c r="A1262" s="5" t="inlineStr">
        <is>
          <t>01a1212c-acdd-72bd-aee2-fa7c987a6b41</t>
        </is>
      </c>
      <c r="D1262" s="5" t="inlineStr">
        <is>
          <t>01a1212c-4b57-70cf-80fd-c2192cb3bf81</t>
        </is>
      </c>
      <c r="E1262" s="4" t="n">
        <v>46304.62428701426</v>
      </c>
      <c r="F1262" s="4" t="n">
        <v>46304.62428701434</v>
      </c>
      <c r="G1262" t="b">
        <v>1</v>
      </c>
      <c r="H1262" s="3" t="inlineStr">
        <is>
          <t>Added fraction 0.009697539903696630319776573682 of cost base adjustment 01a1212c-ab70-70ef-b386-0646b6e677c5 | 2025-06-30 | Adjustment of VGS | Cost base increase = A$701.45</t>
        </is>
      </c>
      <c r="I1262" t="inlineStr">
        <is>
          <t>cost base adjustment allocation</t>
        </is>
      </c>
      <c r="J1262" s="5" t="inlineStr">
        <is>
          <t>01a1212c-acd9-74b6-b7a1-ffc3c8084c05</t>
        </is>
      </c>
    </row>
    <row r="1263">
      <c r="A1263" s="5" t="inlineStr">
        <is>
          <t>01a1212c-ace4-72a1-8c47-659d147fc0de</t>
        </is>
      </c>
      <c r="D1263" s="5" t="inlineStr">
        <is>
          <t>01a1212c-4b57-70cf-80fd-c2192cb3bf81</t>
        </is>
      </c>
      <c r="E1263" s="4" t="n">
        <v>46304.6242870876</v>
      </c>
      <c r="F1263" s="4" t="n">
        <v>46304.62428708769</v>
      </c>
      <c r="G1263" t="b">
        <v>1</v>
      </c>
      <c r="H1263" s="3" t="inlineStr">
        <is>
          <t>Added fraction 0.01026798342744349092682225449 of cost base adjustment 01a1212c-ab70-70ef-b386-0646b6e677c5 | 2025-06-30 | Adjustment of VGS | Cost base increase = A$701.45</t>
        </is>
      </c>
      <c r="I1263" t="inlineStr">
        <is>
          <t>cost base adjustment allocation</t>
        </is>
      </c>
      <c r="J1263" s="5" t="inlineStr">
        <is>
          <t>01a1212c-acde-734f-8f0f-d8ec101324ae</t>
        </is>
      </c>
    </row>
    <row r="1264">
      <c r="A1264" s="5" t="inlineStr">
        <is>
          <t>01a1212c-acea-77f9-b1a5-2330ac81529c</t>
        </is>
      </c>
      <c r="D1264" s="5" t="inlineStr">
        <is>
          <t>01a1212c-4b57-70cf-80fd-c2192cb3bf81</t>
        </is>
      </c>
      <c r="E1264" s="4" t="n">
        <v>46304.62428715817</v>
      </c>
      <c r="F1264" s="4" t="n">
        <v>46304.62428715825</v>
      </c>
      <c r="G1264" t="b">
        <v>1</v>
      </c>
      <c r="H1264" s="3" t="inlineStr">
        <is>
          <t>Added fraction 0.01026798342744349092682225449 of cost base adjustment 01a1212c-ab70-70ef-b386-0646b6e677c5 | 2025-06-30 | Adjustment of VGS | Cost base increase = A$701.45</t>
        </is>
      </c>
      <c r="I1264" t="inlineStr">
        <is>
          <t>cost base adjustment allocation</t>
        </is>
      </c>
      <c r="J1264" s="5" t="inlineStr">
        <is>
          <t>01a1212c-ace5-73bc-a34e-84b0a7780101</t>
        </is>
      </c>
    </row>
    <row r="1265">
      <c r="A1265" s="5" t="inlineStr">
        <is>
          <t>01a1212c-acf0-74a6-afd2-e33aac0b2994</t>
        </is>
      </c>
      <c r="D1265" s="5" t="inlineStr">
        <is>
          <t>01a1212c-4b57-70cf-80fd-c2192cb3bf81</t>
        </is>
      </c>
      <c r="E1265" s="4" t="n">
        <v>46304.62428723039</v>
      </c>
      <c r="F1265" s="4" t="n">
        <v>46304.62428723049</v>
      </c>
      <c r="G1265" t="b">
        <v>1</v>
      </c>
      <c r="H1265" s="3" t="inlineStr">
        <is>
          <t>Added fraction 0.01026798342744349092682225449 of cost base adjustment 01a1212c-ab70-70ef-b386-0646b6e677c5 | 2025-06-30 | Adjustment of VGS | Cost base increase = A$701.45</t>
        </is>
      </c>
      <c r="I1265" t="inlineStr">
        <is>
          <t>cost base adjustment allocation</t>
        </is>
      </c>
      <c r="J1265" s="5" t="inlineStr">
        <is>
          <t>01a1212c-aceb-7731-a673-6423000c8358</t>
        </is>
      </c>
    </row>
    <row r="1266">
      <c r="A1266" s="5" t="inlineStr">
        <is>
          <t>01a1212c-acf6-7543-9651-c4fb5ad9bf33</t>
        </is>
      </c>
      <c r="D1266" s="5" t="inlineStr">
        <is>
          <t>01a1212c-4b57-70cf-80fd-c2192cb3bf81</t>
        </is>
      </c>
      <c r="E1266" s="4" t="n">
        <v>46304.62428730384</v>
      </c>
      <c r="F1266" s="4" t="n">
        <v>46304.62428730394</v>
      </c>
      <c r="G1266" t="b">
        <v>1</v>
      </c>
      <c r="H1266" s="3" t="inlineStr">
        <is>
          <t>Added fraction 0.01026798342744349092682225449 of cost base adjustment 01a1212c-ab70-70ef-b386-0646b6e677c5 | 2025-06-30 | Adjustment of VGS | Cost base increase = A$701.45</t>
        </is>
      </c>
      <c r="I1266" t="inlineStr">
        <is>
          <t>cost base adjustment allocation</t>
        </is>
      </c>
      <c r="J1266" s="5" t="inlineStr">
        <is>
          <t>01a1212c-acf1-75a1-9b16-0beea9cbf8fc</t>
        </is>
      </c>
    </row>
    <row r="1267">
      <c r="A1267" s="5" t="inlineStr">
        <is>
          <t>01a1212c-acfd-70eb-bbaa-b52c31973370</t>
        </is>
      </c>
      <c r="D1267" s="5" t="inlineStr">
        <is>
          <t>01a1212c-4b57-70cf-80fd-c2192cb3bf81</t>
        </is>
      </c>
      <c r="E1267" s="4" t="n">
        <v>46304.6242873753</v>
      </c>
      <c r="F1267" s="4" t="n">
        <v>46304.6242873754</v>
      </c>
      <c r="G1267" t="b">
        <v>1</v>
      </c>
      <c r="H1267" s="3" t="inlineStr">
        <is>
          <t>Added fraction 0.01083842695119035153386793529 of cost base adjustment 01a1212c-ab70-70ef-b386-0646b6e677c5 | 2025-06-30 | Adjustment of VGS | Cost base increase = A$701.45</t>
        </is>
      </c>
      <c r="I1267" t="inlineStr">
        <is>
          <t>cost base adjustment allocation</t>
        </is>
      </c>
      <c r="J1267" s="5" t="inlineStr">
        <is>
          <t>01a1212c-acf7-70b4-84b5-602673466f84</t>
        </is>
      </c>
    </row>
    <row r="1268">
      <c r="A1268" s="5" t="inlineStr">
        <is>
          <t>01a1212c-ad03-75d2-ae59-ccc201882b10</t>
        </is>
      </c>
      <c r="D1268" s="5" t="inlineStr">
        <is>
          <t>01a1212c-4b57-70cf-80fd-c2192cb3bf81</t>
        </is>
      </c>
      <c r="E1268" s="4" t="n">
        <v>46304.62428744935</v>
      </c>
      <c r="F1268" s="4" t="n">
        <v>46304.62428744943</v>
      </c>
      <c r="G1268" t="b">
        <v>1</v>
      </c>
      <c r="H1268" s="3" t="inlineStr">
        <is>
          <t>Added fraction 0.01083842695119035153386793529 of cost base adjustment 01a1212c-ab70-70ef-b386-0646b6e677c5 | 2025-06-30 | Adjustment of VGS | Cost base increase = A$701.45</t>
        </is>
      </c>
      <c r="I1268" t="inlineStr">
        <is>
          <t>cost base adjustment allocation</t>
        </is>
      </c>
      <c r="J1268" s="5" t="inlineStr">
        <is>
          <t>01a1212c-acfd-70eb-bbaa-b52dd3673376</t>
        </is>
      </c>
    </row>
    <row r="1269">
      <c r="A1269" s="5" t="inlineStr">
        <is>
          <t>01a1212c-ad09-7673-bd32-e4e555a697be</t>
        </is>
      </c>
      <c r="D1269" s="5" t="inlineStr">
        <is>
          <t>01a1212c-4b57-70cf-80fd-c2192cb3bf81</t>
        </is>
      </c>
      <c r="E1269" s="4" t="n">
        <v>46304.62428751872</v>
      </c>
      <c r="F1269" s="4" t="n">
        <v>46304.62428751881</v>
      </c>
      <c r="G1269" t="b">
        <v>1</v>
      </c>
      <c r="H1269" s="3" t="inlineStr">
        <is>
          <t>Added fraction 0.01083842695119035153386793529 of cost base adjustment 01a1212c-ab70-70ef-b386-0646b6e677c5 | 2025-06-30 | Adjustment of VGS | Cost base increase = A$701.45</t>
        </is>
      </c>
      <c r="I1269" t="inlineStr">
        <is>
          <t>cost base adjustment allocation</t>
        </is>
      </c>
      <c r="J1269" s="5" t="inlineStr">
        <is>
          <t>01a1212c-ad04-7780-8c7a-1a07a75b7bc0</t>
        </is>
      </c>
    </row>
    <row r="1270">
      <c r="A1270" s="5" t="inlineStr">
        <is>
          <t>01a1212c-ad0f-771d-88e4-ba2413b6ec7c</t>
        </is>
      </c>
      <c r="D1270" s="5" t="inlineStr">
        <is>
          <t>01a1212c-4b57-70cf-80fd-c2192cb3bf81</t>
        </is>
      </c>
      <c r="E1270" s="4" t="n">
        <v>46304.62428758821</v>
      </c>
      <c r="F1270" s="4" t="n">
        <v>46304.62428758829</v>
      </c>
      <c r="G1270" t="b">
        <v>1</v>
      </c>
      <c r="H1270" s="3" t="inlineStr">
        <is>
          <t>Added fraction 0.01140887047493721214091361610 of cost base adjustment 01a1212c-ab70-70ef-b386-0646b6e677c5 | 2025-06-30 | Adjustment of VGS | Cost base increase = A$701.45</t>
        </is>
      </c>
      <c r="I1270" t="inlineStr">
        <is>
          <t>cost base adjustment allocation</t>
        </is>
      </c>
      <c r="J1270" s="5" t="inlineStr">
        <is>
          <t>01a1212c-ad0a-739f-9b02-0e5c614bc454</t>
        </is>
      </c>
    </row>
    <row r="1271">
      <c r="A1271" s="5" t="inlineStr">
        <is>
          <t>01a1212c-ad16-7376-80b1-cc7318cc720b</t>
        </is>
      </c>
      <c r="D1271" s="5" t="inlineStr">
        <is>
          <t>01a1212c-4b57-70cf-80fd-c2192cb3bf81</t>
        </is>
      </c>
      <c r="E1271" s="4" t="n">
        <v>46304.62428766422</v>
      </c>
      <c r="F1271" s="4" t="n">
        <v>46304.62428766431</v>
      </c>
      <c r="G1271" t="b">
        <v>1</v>
      </c>
      <c r="H1271" s="3" t="inlineStr">
        <is>
          <t>Added fraction 0.01140887047493721214091361610 of cost base adjustment 01a1212c-ab70-70ef-b386-0646b6e677c5 | 2025-06-30 | Adjustment of VGS | Cost base increase = A$701.45</t>
        </is>
      </c>
      <c r="I1271" t="inlineStr">
        <is>
          <t>cost base adjustment allocation</t>
        </is>
      </c>
      <c r="J1271" s="5" t="inlineStr">
        <is>
          <t>01a1212c-ad10-7773-872a-3178352ea54b</t>
        </is>
      </c>
    </row>
    <row r="1272">
      <c r="A1272" s="5" t="inlineStr">
        <is>
          <t>01a1212c-ad1c-7053-ae10-beba37d3c86b</t>
        </is>
      </c>
      <c r="D1272" s="5" t="inlineStr">
        <is>
          <t>01a1212c-4b57-70cf-80fd-c2192cb3bf81</t>
        </is>
      </c>
      <c r="E1272" s="4" t="n">
        <v>46304.62428773277</v>
      </c>
      <c r="F1272" s="4" t="n">
        <v>46304.62428773285</v>
      </c>
      <c r="G1272" t="b">
        <v>1</v>
      </c>
      <c r="H1272" s="3" t="inlineStr">
        <is>
          <t>Added fraction 0.01140887047493721214091361610 of cost base adjustment 01a1212c-ab70-70ef-b386-0646b6e677c5 | 2025-06-30 | Adjustment of VGS | Cost base increase = A$701.45</t>
        </is>
      </c>
      <c r="I1272" t="inlineStr">
        <is>
          <t>cost base adjustment allocation</t>
        </is>
      </c>
      <c r="J1272" s="5" t="inlineStr">
        <is>
          <t>01a1212c-ad16-7376-80b1-cc7481bc8079</t>
        </is>
      </c>
    </row>
    <row r="1273">
      <c r="A1273" s="5" t="inlineStr">
        <is>
          <t>01a1212c-ad22-718e-b62e-5dd08d063376</t>
        </is>
      </c>
      <c r="D1273" s="5" t="inlineStr">
        <is>
          <t>01a1212c-4b57-70cf-80fd-c2192cb3bf81</t>
        </is>
      </c>
      <c r="E1273" s="4" t="n">
        <v>46304.62428780348</v>
      </c>
      <c r="F1273" s="4" t="n">
        <v>46304.62428780358</v>
      </c>
      <c r="G1273" t="b">
        <v>1</v>
      </c>
      <c r="H1273" s="3" t="inlineStr">
        <is>
          <t>Added fraction 0.01140887047493721214091361610 of cost base adjustment 01a1212c-ab70-70ef-b386-0646b6e677c5 | 2025-06-30 | Adjustment of VGS | Cost base increase = A$701.45</t>
        </is>
      </c>
      <c r="I1273" t="inlineStr">
        <is>
          <t>cost base adjustment allocation</t>
        </is>
      </c>
      <c r="J1273" s="5" t="inlineStr">
        <is>
          <t>01a1212c-ad1c-7053-ae10-bebb6e422fca</t>
        </is>
      </c>
    </row>
    <row r="1274">
      <c r="A1274" s="5" t="inlineStr">
        <is>
          <t>01a1212c-ad27-73c3-9ab9-32fc06222930</t>
        </is>
      </c>
      <c r="D1274" s="5" t="inlineStr">
        <is>
          <t>01a1212c-4b57-70cf-80fd-c2192cb3bf81</t>
        </is>
      </c>
      <c r="E1274" s="4" t="n">
        <v>46304.62428787113</v>
      </c>
      <c r="F1274" s="4" t="n">
        <v>46304.6242878712</v>
      </c>
      <c r="G1274" t="b">
        <v>1</v>
      </c>
      <c r="H1274" s="3" t="inlineStr">
        <is>
          <t>Added fraction 0.01140887047493721214091361610 of cost base adjustment 01a1212c-ab70-70ef-b386-0646b6e677c5 | 2025-06-30 | Adjustment of VGS | Cost base increase = A$701.45</t>
        </is>
      </c>
      <c r="I1274" t="inlineStr">
        <is>
          <t>cost base adjustment allocation</t>
        </is>
      </c>
      <c r="J1274" s="5" t="inlineStr">
        <is>
          <t>01a1212c-ad22-718e-b62e-5dd10ab59f31</t>
        </is>
      </c>
    </row>
    <row r="1275">
      <c r="A1275" s="5" t="inlineStr">
        <is>
          <t>01a1212c-ad2d-765d-a2f9-f08bb32fda8a</t>
        </is>
      </c>
      <c r="D1275" s="5" t="inlineStr">
        <is>
          <t>01a1212c-4b57-70cf-80fd-c2192cb3bf81</t>
        </is>
      </c>
      <c r="E1275" s="4" t="n">
        <v>46304.62428793834</v>
      </c>
      <c r="F1275" s="4" t="n">
        <v>46304.62428793842</v>
      </c>
      <c r="G1275" t="b">
        <v>1</v>
      </c>
      <c r="H1275" s="3" t="inlineStr">
        <is>
          <t>Added fraction 0.01140887047493721214091361610 of cost base adjustment 01a1212c-ab70-70ef-b386-0646b6e677c5 | 2025-06-30 | Adjustment of VGS | Cost base increase = A$701.45</t>
        </is>
      </c>
      <c r="I1275" t="inlineStr">
        <is>
          <t>cost base adjustment allocation</t>
        </is>
      </c>
      <c r="J1275" s="5" t="inlineStr">
        <is>
          <t>01a1212c-ad28-7436-b8f9-19115d035f3e</t>
        </is>
      </c>
    </row>
    <row r="1276">
      <c r="A1276" s="5" t="inlineStr">
        <is>
          <t>01a1212c-ad34-708f-b268-4f3ff085e46d</t>
        </is>
      </c>
      <c r="D1276" s="5" t="inlineStr">
        <is>
          <t>01a1212c-4b57-70cf-80fd-c2192cb3bf81</t>
        </is>
      </c>
      <c r="E1276" s="4" t="n">
        <v>46304.62428801061</v>
      </c>
      <c r="F1276" s="4" t="n">
        <v>46304.62428801069</v>
      </c>
      <c r="G1276" t="b">
        <v>1</v>
      </c>
      <c r="H1276" s="3" t="inlineStr">
        <is>
          <t>Added fraction 0.01197931399868407274795929690 of cost base adjustment 01a1212c-ab70-70ef-b386-0646b6e677c5 | 2025-06-30 | Adjustment of VGS | Cost base increase = A$701.45</t>
        </is>
      </c>
      <c r="I1276" t="inlineStr">
        <is>
          <t>cost base adjustment allocation</t>
        </is>
      </c>
      <c r="J1276" s="5" t="inlineStr">
        <is>
          <t>01a1212c-ad2e-7759-814d-b894de98646f</t>
        </is>
      </c>
    </row>
    <row r="1277">
      <c r="A1277" s="5" t="inlineStr">
        <is>
          <t>01a1212c-ad3a-7043-87c1-729adc7e956e</t>
        </is>
      </c>
      <c r="D1277" s="5" t="inlineStr">
        <is>
          <t>01a1212c-4b57-70cf-80fd-c2192cb3bf81</t>
        </is>
      </c>
      <c r="E1277" s="4" t="n">
        <v>46304.62428808073</v>
      </c>
      <c r="F1277" s="4" t="n">
        <v>46304.62428808081</v>
      </c>
      <c r="G1277" t="b">
        <v>1</v>
      </c>
      <c r="H1277" s="3" t="inlineStr">
        <is>
          <t>Added fraction 0.01197931399868407274795929690 of cost base adjustment 01a1212c-ab70-70ef-b386-0646b6e677c5 | 2025-06-30 | Adjustment of VGS | Cost base increase = A$701.45</t>
        </is>
      </c>
      <c r="I1277" t="inlineStr">
        <is>
          <t>cost base adjustment allocation</t>
        </is>
      </c>
      <c r="J1277" s="5" t="inlineStr">
        <is>
          <t>01a1212c-ad34-708f-b268-4f40dc219e04</t>
        </is>
      </c>
    </row>
    <row r="1278">
      <c r="A1278" s="5" t="inlineStr">
        <is>
          <t>01a1212c-ad3f-7566-9f0e-3a7f199db02f</t>
        </is>
      </c>
      <c r="D1278" s="5" t="inlineStr">
        <is>
          <t>01a1212c-4b57-70cf-80fd-c2192cb3bf81</t>
        </is>
      </c>
      <c r="E1278" s="4" t="n">
        <v>46304.62428814775</v>
      </c>
      <c r="F1278" s="4" t="n">
        <v>46304.62428814784</v>
      </c>
      <c r="G1278" t="b">
        <v>1</v>
      </c>
      <c r="H1278" s="3" t="inlineStr">
        <is>
          <t>Added fraction 0.01197931399868407274795929690 of cost base adjustment 01a1212c-ab70-70ef-b386-0646b6e677c5 | 2025-06-30 | Adjustment of VGS | Cost base increase = A$701.45</t>
        </is>
      </c>
      <c r="I1278" t="inlineStr">
        <is>
          <t>cost base adjustment allocation</t>
        </is>
      </c>
      <c r="J1278" s="5" t="inlineStr">
        <is>
          <t>01a1212c-ad3a-7043-87c1-729b16b420d3</t>
        </is>
      </c>
    </row>
    <row r="1279">
      <c r="A1279" s="5" t="inlineStr">
        <is>
          <t>01a1212c-ad45-736f-b213-348698024fa1</t>
        </is>
      </c>
      <c r="D1279" s="5" t="inlineStr">
        <is>
          <t>01a1212c-4b57-70cf-80fd-c2192cb3bf81</t>
        </is>
      </c>
      <c r="E1279" s="4" t="n">
        <v>46304.62428821615</v>
      </c>
      <c r="F1279" s="4" t="n">
        <v>46304.62428821623</v>
      </c>
      <c r="G1279" t="b">
        <v>1</v>
      </c>
      <c r="H1279" s="3" t="inlineStr">
        <is>
          <t>Added fraction 0.01197931399868407274795929690 of cost base adjustment 01a1212c-ab70-70ef-b386-0646b6e677c5 | 2025-06-30 | Adjustment of VGS | Cost base increase = A$701.45</t>
        </is>
      </c>
      <c r="I1279" t="inlineStr">
        <is>
          <t>cost base adjustment allocation</t>
        </is>
      </c>
      <c r="J1279" s="5" t="inlineStr">
        <is>
          <t>01a1212c-ad40-74aa-8c18-204d47995c38</t>
        </is>
      </c>
    </row>
    <row r="1280">
      <c r="A1280" s="5" t="inlineStr">
        <is>
          <t>01a1212c-ad4b-73d9-8d3b-b83f60698f0f</t>
        </is>
      </c>
      <c r="D1280" s="5" t="inlineStr">
        <is>
          <t>01a1212c-4b57-70cf-80fd-c2192cb3bf81</t>
        </is>
      </c>
      <c r="E1280" s="4" t="n">
        <v>46304.62428828156</v>
      </c>
      <c r="F1280" s="4" t="n">
        <v>46304.62428828164</v>
      </c>
      <c r="G1280" t="b">
        <v>1</v>
      </c>
      <c r="H1280" s="3" t="inlineStr">
        <is>
          <t>Added fraction 0.01197931399868407274795929690 of cost base adjustment 01a1212c-ab70-70ef-b386-0646b6e677c5 | 2025-06-30 | Adjustment of VGS | Cost base increase = A$701.45</t>
        </is>
      </c>
      <c r="I1280" t="inlineStr">
        <is>
          <t>cost base adjustment allocation</t>
        </is>
      </c>
      <c r="J1280" s="5" t="inlineStr">
        <is>
          <t>01a1212c-ad46-7178-a538-db0e7f74b937</t>
        </is>
      </c>
    </row>
    <row r="1281">
      <c r="A1281" s="5" t="inlineStr">
        <is>
          <t>01a1212c-ad51-77ad-a466-60ec0f69621f</t>
        </is>
      </c>
      <c r="D1281" s="5" t="inlineStr">
        <is>
          <t>01a1212c-4b57-70cf-80fd-c2192cb3bf81</t>
        </is>
      </c>
      <c r="E1281" s="4" t="n">
        <v>46304.62428834912</v>
      </c>
      <c r="F1281" s="4" t="n">
        <v>46304.62428834919</v>
      </c>
      <c r="G1281" t="b">
        <v>1</v>
      </c>
      <c r="H1281" s="3" t="inlineStr">
        <is>
          <t>Added fraction 0.01197931399868407274795929690 of cost base adjustment 01a1212c-ab70-70ef-b386-0646b6e677c5 | 2025-06-30 | Adjustment of VGS | Cost base increase = A$701.45</t>
        </is>
      </c>
      <c r="I1281" t="inlineStr">
        <is>
          <t>cost base adjustment allocation</t>
        </is>
      </c>
      <c r="J1281" s="5" t="inlineStr">
        <is>
          <t>01a1212c-ad4c-76ec-ac0b-1b4c3eb594e3</t>
        </is>
      </c>
    </row>
    <row r="1282">
      <c r="A1282" s="5" t="inlineStr">
        <is>
          <t>01a1212c-ad57-738f-ac78-241b61b93177</t>
        </is>
      </c>
      <c r="D1282" s="5" t="inlineStr">
        <is>
          <t>01a1212c-4b57-70cf-80fd-c2192cb3bf81</t>
        </is>
      </c>
      <c r="E1282" s="4" t="n">
        <v>46304.62428841794</v>
      </c>
      <c r="F1282" s="4" t="n">
        <v>46304.62428841802</v>
      </c>
      <c r="G1282" t="b">
        <v>1</v>
      </c>
      <c r="H1282" s="3" t="inlineStr">
        <is>
          <t>Added fraction 0.01254975752243093335500497771 of cost base adjustment 01a1212c-ab70-70ef-b386-0646b6e677c5 | 2025-06-30 | Adjustment of VGS | Cost base increase = A$701.45</t>
        </is>
      </c>
      <c r="I1282" t="inlineStr">
        <is>
          <t>cost base adjustment allocation</t>
        </is>
      </c>
      <c r="J1282" s="5" t="inlineStr">
        <is>
          <t>01a1212c-ad51-77ad-a466-60ed70d83951</t>
        </is>
      </c>
    </row>
    <row r="1283">
      <c r="A1283" s="5" t="inlineStr">
        <is>
          <t>01a1212c-ad5d-7673-9b69-281e40dd4e71</t>
        </is>
      </c>
      <c r="D1283" s="5" t="inlineStr">
        <is>
          <t>01a1212c-4b57-70cf-80fd-c2192cb3bf81</t>
        </is>
      </c>
      <c r="E1283" s="4" t="n">
        <v>46304.62428848935</v>
      </c>
      <c r="F1283" s="4" t="n">
        <v>46304.62428848943</v>
      </c>
      <c r="G1283" t="b">
        <v>1</v>
      </c>
      <c r="H1283" s="3" t="inlineStr">
        <is>
          <t>Added fraction 0.01254975752243093335500497771 of cost base adjustment 01a1212c-ab70-70ef-b386-0646b6e677c5 | 2025-06-30 | Adjustment of VGS | Cost base increase = A$701.45</t>
        </is>
      </c>
      <c r="I1283" t="inlineStr">
        <is>
          <t>cost base adjustment allocation</t>
        </is>
      </c>
      <c r="J1283" s="5" t="inlineStr">
        <is>
          <t>01a1212c-ad57-738f-ac78-241cbf990c4a</t>
        </is>
      </c>
    </row>
    <row r="1284">
      <c r="A1284" s="5" t="inlineStr">
        <is>
          <t>01a1212c-ad63-7101-9e27-46fc27fda61a</t>
        </is>
      </c>
      <c r="D1284" s="5" t="inlineStr">
        <is>
          <t>01a1212c-4b57-70cf-80fd-c2192cb3bf81</t>
        </is>
      </c>
      <c r="E1284" s="4" t="n">
        <v>46304.62428856272</v>
      </c>
      <c r="F1284" s="4" t="n">
        <v>46304.62428856281</v>
      </c>
      <c r="G1284" t="b">
        <v>1</v>
      </c>
      <c r="H1284" s="3" t="inlineStr">
        <is>
          <t>Added fraction 0.01254975752243093335500497771 of cost base adjustment 01a1212c-ab70-70ef-b386-0646b6e677c5 | 2025-06-30 | Adjustment of VGS | Cost base increase = A$701.45</t>
        </is>
      </c>
      <c r="I1284" t="inlineStr">
        <is>
          <t>cost base adjustment allocation</t>
        </is>
      </c>
      <c r="J1284" s="5" t="inlineStr">
        <is>
          <t>01a1212c-ad5e-7320-99da-db0457814b25</t>
        </is>
      </c>
    </row>
    <row r="1285">
      <c r="A1285" s="5" t="inlineStr">
        <is>
          <t>01a1212c-ad69-7218-a06d-36c91808b4dc</t>
        </is>
      </c>
      <c r="D1285" s="5" t="inlineStr">
        <is>
          <t>01a1212c-4b57-70cf-80fd-c2192cb3bf81</t>
        </is>
      </c>
      <c r="E1285" s="4" t="n">
        <v>46304.62428863249</v>
      </c>
      <c r="F1285" s="4" t="n">
        <v>46304.62428863258</v>
      </c>
      <c r="G1285" t="b">
        <v>1</v>
      </c>
      <c r="H1285" s="3" t="inlineStr">
        <is>
          <t>Added fraction 0.01254975752243093335500497771 of cost base adjustment 01a1212c-ab70-70ef-b386-0646b6e677c5 | 2025-06-30 | Adjustment of VGS | Cost base increase = A$701.45</t>
        </is>
      </c>
      <c r="I1285" t="inlineStr">
        <is>
          <t>cost base adjustment allocation</t>
        </is>
      </c>
      <c r="J1285" s="5" t="inlineStr">
        <is>
          <t>01a1212c-ad64-7749-b0c6-00ef81ac0c41</t>
        </is>
      </c>
    </row>
    <row r="1286">
      <c r="A1286" s="5" t="inlineStr">
        <is>
          <t>01a1212c-ad6f-7799-85e1-d7d9a35041c8</t>
        </is>
      </c>
      <c r="D1286" s="5" t="inlineStr">
        <is>
          <t>01a1212c-4b57-70cf-80fd-c2192cb3bf81</t>
        </is>
      </c>
      <c r="E1286" s="4" t="n">
        <v>46304.62428869898</v>
      </c>
      <c r="F1286" s="4" t="n">
        <v>46304.62428869905</v>
      </c>
      <c r="G1286" t="b">
        <v>1</v>
      </c>
      <c r="H1286" s="3" t="inlineStr">
        <is>
          <t>Added fraction 0.01312020104617779396205065851 of cost base adjustment 01a1212c-ab70-70ef-b386-0646b6e677c5 | 2025-06-30 | Adjustment of VGS | Cost base increase = A$701.45</t>
        </is>
      </c>
      <c r="I1286" t="inlineStr">
        <is>
          <t>cost base adjustment allocation</t>
        </is>
      </c>
      <c r="J1286" s="5" t="inlineStr">
        <is>
          <t>01a1212c-ad6a-758a-ad38-27ab66afd6d4</t>
        </is>
      </c>
    </row>
    <row r="1287">
      <c r="A1287" s="5" t="inlineStr">
        <is>
          <t>01a1212c-ad75-7435-bdd2-f39426a8bedc</t>
        </is>
      </c>
      <c r="D1287" s="5" t="inlineStr">
        <is>
          <t>01a1212c-4b57-70cf-80fd-c2192cb3bf81</t>
        </is>
      </c>
      <c r="E1287" s="4" t="n">
        <v>46304.62428876648</v>
      </c>
      <c r="F1287" s="4" t="n">
        <v>46304.62428876656</v>
      </c>
      <c r="G1287" t="b">
        <v>1</v>
      </c>
      <c r="H1287" s="3" t="inlineStr">
        <is>
          <t>Added fraction 0.01312020104617779396205065851 of cost base adjustment 01a1212c-ab70-70ef-b386-0646b6e677c5 | 2025-06-30 | Adjustment of VGS | Cost base increase = A$701.45</t>
        </is>
      </c>
      <c r="I1287" t="inlineStr">
        <is>
          <t>cost base adjustment allocation</t>
        </is>
      </c>
      <c r="J1287" s="5" t="inlineStr">
        <is>
          <t>01a1212c-ad70-76e2-beb2-0f3d71577581</t>
        </is>
      </c>
    </row>
    <row r="1288">
      <c r="A1288" s="5" t="inlineStr">
        <is>
          <t>01a1212c-ad7b-7280-a0dd-b6c49035319b</t>
        </is>
      </c>
      <c r="D1288" s="5" t="inlineStr">
        <is>
          <t>01a1212c-4b57-70cf-80fd-c2192cb3bf81</t>
        </is>
      </c>
      <c r="E1288" s="4" t="n">
        <v>46304.6242888429</v>
      </c>
      <c r="F1288" s="4" t="n">
        <v>46304.62428884298</v>
      </c>
      <c r="G1288" t="b">
        <v>1</v>
      </c>
      <c r="H1288" s="3" t="inlineStr">
        <is>
          <t>Added fraction 0.01312020104617779396205065851 of cost base adjustment 01a1212c-ab70-70ef-b386-0646b6e677c5 | 2025-06-30 | Adjustment of VGS | Cost base increase = A$701.45</t>
        </is>
      </c>
      <c r="I1288" t="inlineStr">
        <is>
          <t>cost base adjustment allocation</t>
        </is>
      </c>
      <c r="J1288" s="5" t="inlineStr">
        <is>
          <t>01a1212c-ad76-70ad-8153-569a7e1a541a</t>
        </is>
      </c>
    </row>
    <row r="1289">
      <c r="A1289" s="5" t="inlineStr">
        <is>
          <t>01a1212c-ad82-7459-8ad1-88b39374c0b5</t>
        </is>
      </c>
      <c r="D1289" s="5" t="inlineStr">
        <is>
          <t>01a1212c-4b57-70cf-80fd-c2192cb3bf81</t>
        </is>
      </c>
      <c r="E1289" s="4" t="n">
        <v>46304.62428891418</v>
      </c>
      <c r="F1289" s="4" t="n">
        <v>46304.62428891426</v>
      </c>
      <c r="G1289" t="b">
        <v>1</v>
      </c>
      <c r="H1289" s="3" t="inlineStr">
        <is>
          <t>Added fraction 0.01312020104617779396205065851 of cost base adjustment 01a1212c-ab70-70ef-b386-0646b6e677c5 | 2025-06-30 | Adjustment of VGS | Cost base increase = A$701.45</t>
        </is>
      </c>
      <c r="I1289" t="inlineStr">
        <is>
          <t>cost base adjustment allocation</t>
        </is>
      </c>
      <c r="J1289" s="5" t="inlineStr">
        <is>
          <t>01a1212c-ad7c-7046-b285-dc84029fd36c</t>
        </is>
      </c>
    </row>
    <row r="1290">
      <c r="A1290" s="5" t="inlineStr">
        <is>
          <t>01a1212c-ad88-74c3-bf64-07962ac08bf3</t>
        </is>
      </c>
      <c r="D1290" s="5" t="inlineStr">
        <is>
          <t>01a1212c-4b57-70cf-80fd-c2192cb3bf81</t>
        </is>
      </c>
      <c r="E1290" s="4" t="n">
        <v>46304.62428898617</v>
      </c>
      <c r="F1290" s="4" t="n">
        <v>46304.62428898626</v>
      </c>
      <c r="G1290" t="b">
        <v>1</v>
      </c>
      <c r="H1290" s="3" t="inlineStr">
        <is>
          <t>Added fraction 0.01312020104617779396205065851 of cost base adjustment 01a1212c-ab70-70ef-b386-0646b6e677c5 | 2025-06-30 | Adjustment of VGS | Cost base increase = A$701.45</t>
        </is>
      </c>
      <c r="I1290" t="inlineStr">
        <is>
          <t>cost base adjustment allocation</t>
        </is>
      </c>
      <c r="J1290" s="5" t="inlineStr">
        <is>
          <t>01a1212c-ad82-7459-8ad1-88b444f0169f</t>
        </is>
      </c>
    </row>
    <row r="1291">
      <c r="A1291" s="5" t="inlineStr">
        <is>
          <t>01a1212c-ad8e-70d4-86c0-00891659ab2a</t>
        </is>
      </c>
      <c r="D1291" s="5" t="inlineStr">
        <is>
          <t>01a1212c-4b57-70cf-80fd-c2192cb3bf81</t>
        </is>
      </c>
      <c r="E1291" s="4" t="n">
        <v>46304.62428906111</v>
      </c>
      <c r="F1291" s="4" t="n">
        <v>46304.6242890612</v>
      </c>
      <c r="G1291" t="b">
        <v>1</v>
      </c>
      <c r="H1291" s="3" t="inlineStr">
        <is>
          <t>Added fraction 0.01369064456992465456909633932 of cost base adjustment 01a1212c-ab70-70ef-b386-0646b6e677c5 | 2025-06-30 | Adjustment of VGS | Cost base increase = A$701.45</t>
        </is>
      </c>
      <c r="I1291" t="inlineStr">
        <is>
          <t>cost base adjustment allocation</t>
        </is>
      </c>
      <c r="J1291" s="5" t="inlineStr">
        <is>
          <t>01a1212c-ad89-7497-80b9-de357293b1ad</t>
        </is>
      </c>
    </row>
    <row r="1292">
      <c r="A1292" s="5" t="inlineStr">
        <is>
          <t>01a1212c-ad95-726b-a0c4-7e84096fb50e</t>
        </is>
      </c>
      <c r="D1292" s="5" t="inlineStr">
        <is>
          <t>01a1212c-4b57-70cf-80fd-c2192cb3bf81</t>
        </is>
      </c>
      <c r="E1292" s="4" t="n">
        <v>46304.6242891396</v>
      </c>
      <c r="F1292" s="4" t="n">
        <v>46304.62428913969</v>
      </c>
      <c r="G1292" t="b">
        <v>1</v>
      </c>
      <c r="H1292" s="3" t="inlineStr">
        <is>
          <t>Added fraction 0.01369064456992465456909633932 of cost base adjustment 01a1212c-ab70-70ef-b386-0646b6e677c5 | 2025-06-30 | Adjustment of VGS | Cost base increase = A$701.45</t>
        </is>
      </c>
      <c r="I1292" t="inlineStr">
        <is>
          <t>cost base adjustment allocation</t>
        </is>
      </c>
      <c r="J1292" s="5" t="inlineStr">
        <is>
          <t>01a1212c-ad8f-721a-9af9-567abf0f7b9f</t>
        </is>
      </c>
    </row>
    <row r="1293">
      <c r="A1293" s="5" t="inlineStr">
        <is>
          <t>01a1212c-ad9b-7391-a618-e6cb769b51f6</t>
        </is>
      </c>
      <c r="D1293" s="5" t="inlineStr">
        <is>
          <t>01a1212c-4b57-70cf-80fd-c2192cb3bf81</t>
        </is>
      </c>
      <c r="E1293" s="4" t="n">
        <v>46304.62428920884</v>
      </c>
      <c r="F1293" s="4" t="n">
        <v>46304.62428920892</v>
      </c>
      <c r="G1293" t="b">
        <v>1</v>
      </c>
      <c r="H1293" s="3" t="inlineStr">
        <is>
          <t>Added fraction 0.01369064456992465456909633932 of cost base adjustment 01a1212c-ab70-70ef-b386-0646b6e677c5 | 2025-06-30 | Adjustment of VGS | Cost base increase = A$701.45</t>
        </is>
      </c>
      <c r="I1293" t="inlineStr">
        <is>
          <t>cost base adjustment allocation</t>
        </is>
      </c>
      <c r="J1293" s="5" t="inlineStr">
        <is>
          <t>01a1212c-ad96-765f-8d96-79a483cd5131</t>
        </is>
      </c>
    </row>
    <row r="1294">
      <c r="A1294" s="5" t="inlineStr">
        <is>
          <t>01a1212c-ada1-7580-a149-a951c1629dc9</t>
        </is>
      </c>
      <c r="D1294" s="5" t="inlineStr">
        <is>
          <t>01a1212c-4b57-70cf-80fd-c2192cb3bf81</t>
        </is>
      </c>
      <c r="E1294" s="4" t="n">
        <v>46304.62428928084</v>
      </c>
      <c r="F1294" s="4" t="n">
        <v>46304.62428928092</v>
      </c>
      <c r="G1294" t="b">
        <v>1</v>
      </c>
      <c r="H1294" s="3" t="inlineStr">
        <is>
          <t>Added fraction 0.01426108809367151517614202012 of cost base adjustment 01a1212c-ab70-70ef-b386-0646b6e677c5 | 2025-06-30 | Adjustment of VGS | Cost base increase = A$701.45</t>
        </is>
      </c>
      <c r="I1294" t="inlineStr">
        <is>
          <t>cost base adjustment allocation</t>
        </is>
      </c>
      <c r="J1294" s="5" t="inlineStr">
        <is>
          <t>01a1212c-ad9c-73e4-a900-8270fb168054</t>
        </is>
      </c>
    </row>
    <row r="1295">
      <c r="A1295" s="5" t="inlineStr">
        <is>
          <t>01a1212c-ada7-70d7-bc56-5a774a95de44</t>
        </is>
      </c>
      <c r="D1295" s="5" t="inlineStr">
        <is>
          <t>01a1212c-4b57-70cf-80fd-c2192cb3bf81</t>
        </is>
      </c>
      <c r="E1295" s="4" t="n">
        <v>46304.62428934975</v>
      </c>
      <c r="F1295" s="4" t="n">
        <v>46304.62428934983</v>
      </c>
      <c r="G1295" t="b">
        <v>1</v>
      </c>
      <c r="H1295" s="3" t="inlineStr">
        <is>
          <t>Added fraction 0.01426108809367151517614202012 of cost base adjustment 01a1212c-ab70-70ef-b386-0646b6e677c5 | 2025-06-30 | Adjustment of VGS | Cost base increase = A$701.45</t>
        </is>
      </c>
      <c r="I1295" t="inlineStr">
        <is>
          <t>cost base adjustment allocation</t>
        </is>
      </c>
      <c r="J1295" s="5" t="inlineStr">
        <is>
          <t>01a1212c-ada2-73ce-8beb-1b241eeb0a4d</t>
        </is>
      </c>
    </row>
    <row r="1296">
      <c r="A1296" s="5" t="inlineStr">
        <is>
          <t>01a1212c-adad-7197-9d92-ec96212c2214</t>
        </is>
      </c>
      <c r="D1296" s="5" t="inlineStr">
        <is>
          <t>01a1212c-4b57-70cf-80fd-c2192cb3bf81</t>
        </is>
      </c>
      <c r="E1296" s="4" t="n">
        <v>46304.62428941824</v>
      </c>
      <c r="F1296" s="4" t="n">
        <v>46304.62428941832</v>
      </c>
      <c r="G1296" t="b">
        <v>1</v>
      </c>
      <c r="H1296" s="3" t="inlineStr">
        <is>
          <t>Added fraction 0.01483153161741837578318770093 of cost base adjustment 01a1212c-ab70-70ef-b386-0646b6e677c5 | 2025-06-30 | Adjustment of VGS | Cost base increase = A$701.45</t>
        </is>
      </c>
      <c r="I1296" t="inlineStr">
        <is>
          <t>cost base adjustment allocation</t>
        </is>
      </c>
      <c r="J1296" s="5" t="inlineStr">
        <is>
          <t>01a1212c-ada8-766a-95bc-c0272ab1ad44</t>
        </is>
      </c>
    </row>
    <row r="1297">
      <c r="A1297" s="5" t="inlineStr">
        <is>
          <t>01a1212c-adb4-7755-a853-8258a88d2409</t>
        </is>
      </c>
      <c r="D1297" s="5" t="inlineStr">
        <is>
          <t>01a1212c-4b57-70cf-80fd-c2192cb3bf81</t>
        </is>
      </c>
      <c r="E1297" s="4" t="n">
        <v>46304.62428949329</v>
      </c>
      <c r="F1297" s="4" t="n">
        <v>46304.62428949337</v>
      </c>
      <c r="G1297" t="b">
        <v>1</v>
      </c>
      <c r="H1297" s="3" t="inlineStr">
        <is>
          <t>Added fraction 0.01483153161741837578318770093 of cost base adjustment 01a1212c-ab70-70ef-b386-0646b6e677c5 | 2025-06-30 | Adjustment of VGS | Cost base increase = A$701.45</t>
        </is>
      </c>
      <c r="I1297" t="inlineStr">
        <is>
          <t>cost base adjustment allocation</t>
        </is>
      </c>
      <c r="J1297" s="5" t="inlineStr">
        <is>
          <t>01a1212c-adae-7200-9371-51246d915abd</t>
        </is>
      </c>
    </row>
    <row r="1298">
      <c r="A1298" s="5" t="inlineStr">
        <is>
          <t>01a1212c-adb9-776a-9cba-0dce17239a2f</t>
        </is>
      </c>
      <c r="D1298" s="5" t="inlineStr">
        <is>
          <t>01a1212c-4b57-70cf-80fd-c2192cb3bf81</t>
        </is>
      </c>
      <c r="E1298" s="4" t="n">
        <v>46304.62428956133</v>
      </c>
      <c r="F1298" s="4" t="n">
        <v>46304.62428956143</v>
      </c>
      <c r="G1298" t="b">
        <v>1</v>
      </c>
      <c r="H1298" s="3" t="inlineStr">
        <is>
          <t>Added fraction 0.01483153161741837578318770093 of cost base adjustment 01a1212c-ab70-70ef-b386-0646b6e677c5 | 2025-06-30 | Adjustment of VGS | Cost base increase = A$701.45</t>
        </is>
      </c>
      <c r="I1298" t="inlineStr">
        <is>
          <t>cost base adjustment allocation</t>
        </is>
      </c>
      <c r="J1298" s="5" t="inlineStr">
        <is>
          <t>01a1212c-adb4-7755-a853-8259ace35d77</t>
        </is>
      </c>
    </row>
    <row r="1299">
      <c r="A1299" s="5" t="inlineStr">
        <is>
          <t>01a1212c-adc0-7414-80de-dedbc08fb190</t>
        </is>
      </c>
      <c r="D1299" s="5" t="inlineStr">
        <is>
          <t>01a1212c-4b57-70cf-80fd-c2192cb3bf81</t>
        </is>
      </c>
      <c r="E1299" s="4" t="n">
        <v>46304.62428963171</v>
      </c>
      <c r="F1299" s="4" t="n">
        <v>46304.62428963179</v>
      </c>
      <c r="G1299" t="b">
        <v>1</v>
      </c>
      <c r="H1299" s="3" t="inlineStr">
        <is>
          <t>Added fraction 0.01483153161741837578318770093 of cost base adjustment 01a1212c-ab70-70ef-b386-0646b6e677c5 | 2025-06-30 | Adjustment of VGS | Cost base increase = A$701.45</t>
        </is>
      </c>
      <c r="I1299" t="inlineStr">
        <is>
          <t>cost base adjustment allocation</t>
        </is>
      </c>
      <c r="J1299" s="5" t="inlineStr">
        <is>
          <t>01a1212c-adba-773c-bbb4-a464cf58d886</t>
        </is>
      </c>
    </row>
    <row r="1300">
      <c r="A1300" s="5" t="inlineStr">
        <is>
          <t>01a1212c-adc6-7031-833d-59ad56af79ac</t>
        </is>
      </c>
      <c r="D1300" s="5" t="inlineStr">
        <is>
          <t>01a1212c-4b57-70cf-80fd-c2192cb3bf81</t>
        </is>
      </c>
      <c r="E1300" s="4" t="n">
        <v>46304.62428970444</v>
      </c>
      <c r="F1300" s="4" t="n">
        <v>46304.62428970452</v>
      </c>
      <c r="G1300" t="b">
        <v>1</v>
      </c>
      <c r="H1300" s="3" t="inlineStr">
        <is>
          <t>Added fraction 0.01540197514116523639023338173 of cost base adjustment 01a1212c-ab70-70ef-b386-0646b6e677c5 | 2025-06-30 | Adjustment of VGS | Cost base increase = A$701.45</t>
        </is>
      </c>
      <c r="I1300" t="inlineStr">
        <is>
          <t>cost base adjustment allocation</t>
        </is>
      </c>
      <c r="J1300" s="5" t="inlineStr">
        <is>
          <t>01a1212c-adc0-7414-80de-dedcbc7297ac</t>
        </is>
      </c>
    </row>
    <row r="1301">
      <c r="A1301" s="5" t="inlineStr">
        <is>
          <t>01a1212c-adcc-70ca-8a94-0be55b434a21</t>
        </is>
      </c>
      <c r="D1301" s="5" t="inlineStr">
        <is>
          <t>01a1212c-4b57-70cf-80fd-c2192cb3bf81</t>
        </is>
      </c>
      <c r="E1301" s="4" t="n">
        <v>46304.62428977321</v>
      </c>
      <c r="F1301" s="4" t="n">
        <v>46304.62428977329</v>
      </c>
      <c r="G1301" t="b">
        <v>1</v>
      </c>
      <c r="H1301" s="3" t="inlineStr">
        <is>
          <t>Added fraction 0.01540197514116523639023338173 of cost base adjustment 01a1212c-ab70-70ef-b386-0646b6e677c5 | 2025-06-30 | Adjustment of VGS | Cost base increase = A$701.45</t>
        </is>
      </c>
      <c r="I1301" t="inlineStr">
        <is>
          <t>cost base adjustment allocation</t>
        </is>
      </c>
      <c r="J1301" s="5" t="inlineStr">
        <is>
          <t>01a1212c-adc7-7667-b928-194e93955d16</t>
        </is>
      </c>
    </row>
    <row r="1302">
      <c r="A1302" s="5" t="inlineStr">
        <is>
          <t>01a1212c-add2-700e-b776-47648ed11c7b</t>
        </is>
      </c>
      <c r="D1302" s="5" t="inlineStr">
        <is>
          <t>01a1212c-4b57-70cf-80fd-c2192cb3bf81</t>
        </is>
      </c>
      <c r="E1302" s="4" t="n">
        <v>46304.62428984568</v>
      </c>
      <c r="F1302" s="4" t="n">
        <v>46304.62428984576</v>
      </c>
      <c r="G1302" t="b">
        <v>1</v>
      </c>
      <c r="H1302" s="3" t="inlineStr">
        <is>
          <t>Added fraction 0.01597241866491209699727906253 of cost base adjustment 01a1212c-ab70-70ef-b386-0646b6e677c5 | 2025-06-30 | Adjustment of VGS | Cost base increase = A$701.45</t>
        </is>
      </c>
      <c r="I1302" t="inlineStr">
        <is>
          <t>cost base adjustment allocation</t>
        </is>
      </c>
      <c r="J1302" s="5" t="inlineStr">
        <is>
          <t>01a1212c-adcd-71f0-a300-672f84bb8a50</t>
        </is>
      </c>
    </row>
    <row r="1303">
      <c r="A1303" s="5" t="inlineStr">
        <is>
          <t>01a1212c-add8-721c-9448-4585c86b620c</t>
        </is>
      </c>
      <c r="D1303" s="5" t="inlineStr">
        <is>
          <t>01a1212c-4b57-70cf-80fd-c2192cb3bf81</t>
        </is>
      </c>
      <c r="E1303" s="4" t="n">
        <v>46304.62428991295</v>
      </c>
      <c r="F1303" s="4" t="n">
        <v>46304.62428991302</v>
      </c>
      <c r="G1303" t="b">
        <v>1</v>
      </c>
      <c r="H1303" s="3" t="inlineStr">
        <is>
          <t>Added fraction 0.01597241866491209699727906253 of cost base adjustment 01a1212c-ab70-70ef-b386-0646b6e677c5 | 2025-06-30 | Adjustment of VGS | Cost base increase = A$701.45</t>
        </is>
      </c>
      <c r="I1303" t="inlineStr">
        <is>
          <t>cost base adjustment allocation</t>
        </is>
      </c>
      <c r="J1303" s="5" t="inlineStr">
        <is>
          <t>01a1212c-add3-7439-bb90-1cbe05c7d87d</t>
        </is>
      </c>
    </row>
    <row r="1304">
      <c r="A1304" s="5" t="inlineStr">
        <is>
          <t>01a1212c-adde-71a5-b87d-53eaffd3d8da</t>
        </is>
      </c>
      <c r="D1304" s="5" t="inlineStr">
        <is>
          <t>01a1212c-4b57-70cf-80fd-c2192cb3bf81</t>
        </is>
      </c>
      <c r="E1304" s="4" t="n">
        <v>46304.62428997903</v>
      </c>
      <c r="F1304" s="4" t="n">
        <v>46304.62428997911</v>
      </c>
      <c r="G1304" t="b">
        <v>1</v>
      </c>
      <c r="H1304" s="3" t="inlineStr">
        <is>
          <t>Added fraction 0.01654286218865895760432474334 of cost base adjustment 01a1212c-ab70-70ef-b386-0646b6e677c5 | 2025-06-30 | Adjustment of VGS | Cost base increase = A$701.45</t>
        </is>
      </c>
      <c r="I1304" t="inlineStr">
        <is>
          <t>cost base adjustment allocation</t>
        </is>
      </c>
      <c r="J1304" s="5" t="inlineStr">
        <is>
          <t>01a1212c-add9-75cf-9cdc-1fff4776b8e6</t>
        </is>
      </c>
    </row>
    <row r="1305">
      <c r="A1305" s="5" t="inlineStr">
        <is>
          <t>01a1212c-ade4-708c-a103-340728cb8405</t>
        </is>
      </c>
      <c r="D1305" s="5" t="inlineStr">
        <is>
          <t>01a1212c-4b57-70cf-80fd-c2192cb3bf81</t>
        </is>
      </c>
      <c r="E1305" s="4" t="n">
        <v>46304.62429004861</v>
      </c>
      <c r="F1305" s="4" t="n">
        <v>46304.62429004869</v>
      </c>
      <c r="G1305" t="b">
        <v>1</v>
      </c>
      <c r="H1305" s="3" t="inlineStr">
        <is>
          <t>Added fraction 0.01711330571240581821137042414 of cost base adjustment 01a1212c-ab70-70ef-b386-0646b6e677c5 | 2025-06-30 | Adjustment of VGS | Cost base increase = A$701.45</t>
        </is>
      </c>
      <c r="I1305" t="inlineStr">
        <is>
          <t>cost base adjustment allocation</t>
        </is>
      </c>
      <c r="J1305" s="5" t="inlineStr">
        <is>
          <t>01a1212c-adde-71a5-b87d-53eb136f6dd9</t>
        </is>
      </c>
    </row>
    <row r="1306">
      <c r="A1306" s="5" t="inlineStr">
        <is>
          <t>01a1212c-adea-7641-bb66-fb647d8fb12e</t>
        </is>
      </c>
      <c r="D1306" s="5" t="inlineStr">
        <is>
          <t>01a1212c-4b57-70cf-80fd-c2192cb3bf81</t>
        </is>
      </c>
      <c r="E1306" s="4" t="n">
        <v>46304.62429011824</v>
      </c>
      <c r="F1306" s="4" t="n">
        <v>46304.62429011832</v>
      </c>
      <c r="G1306" t="b">
        <v>1</v>
      </c>
      <c r="H1306" s="3" t="inlineStr">
        <is>
          <t>Added fraction 0.01711330571240581821137042414 of cost base adjustment 01a1212c-ab70-70ef-b386-0646b6e677c5 | 2025-06-30 | Adjustment of VGS | Cost base increase = A$701.45</t>
        </is>
      </c>
      <c r="I1306" t="inlineStr">
        <is>
          <t>cost base adjustment allocation</t>
        </is>
      </c>
      <c r="J1306" s="5" t="inlineStr">
        <is>
          <t>01a1212c-ade4-708c-a103-3408ba4d2ef4</t>
        </is>
      </c>
    </row>
    <row r="1307">
      <c r="A1307" s="5" t="inlineStr">
        <is>
          <t>01a1212c-adef-708a-b6db-d652215aee4c</t>
        </is>
      </c>
      <c r="D1307" s="5" t="inlineStr">
        <is>
          <t>01a1212c-4b57-70cf-80fd-c2192cb3bf81</t>
        </is>
      </c>
      <c r="E1307" s="4" t="n">
        <v>46304.62429018554</v>
      </c>
      <c r="F1307" s="4" t="n">
        <v>46304.62429018562</v>
      </c>
      <c r="G1307" t="b">
        <v>1</v>
      </c>
      <c r="H1307" s="3" t="inlineStr">
        <is>
          <t>Added fraction 0.01768374923615267881841610495 of cost base adjustment 01a1212c-ab70-70ef-b386-0646b6e677c5 | 2025-06-30 | Adjustment of VGS | Cost base increase = A$701.45</t>
        </is>
      </c>
      <c r="I1307" t="inlineStr">
        <is>
          <t>cost base adjustment allocation</t>
        </is>
      </c>
      <c r="J1307" s="5" t="inlineStr">
        <is>
          <t>01a1212c-adea-7641-bb66-fb6551329294</t>
        </is>
      </c>
    </row>
    <row r="1308">
      <c r="A1308" s="5" t="inlineStr">
        <is>
          <t>01a1212c-adf5-7221-a070-83e39b94b6ce</t>
        </is>
      </c>
      <c r="D1308" s="5" t="inlineStr">
        <is>
          <t>01a1212c-4b57-70cf-80fd-c2192cb3bf81</t>
        </is>
      </c>
      <c r="E1308" s="4" t="n">
        <v>46304.62429025406</v>
      </c>
      <c r="F1308" s="4" t="n">
        <v>46304.62429025414</v>
      </c>
      <c r="G1308" t="b">
        <v>1</v>
      </c>
      <c r="H1308" s="3" t="inlineStr">
        <is>
          <t>Added fraction 0.01825419275989953942546178575 of cost base adjustment 01a1212c-ab70-70ef-b386-0646b6e677c5 | 2025-06-30 | Adjustment of VGS | Cost base increase = A$701.45</t>
        </is>
      </c>
      <c r="I1308" t="inlineStr">
        <is>
          <t>cost base adjustment allocation</t>
        </is>
      </c>
      <c r="J1308" s="5" t="inlineStr">
        <is>
          <t>01a1212c-adf0-735c-9bc2-208aa4498e75</t>
        </is>
      </c>
    </row>
    <row r="1309">
      <c r="A1309" s="5" t="inlineStr">
        <is>
          <t>01a1212c-adfb-704b-a582-368554e10330</t>
        </is>
      </c>
      <c r="D1309" s="5" t="inlineStr">
        <is>
          <t>01a1212c-4b57-70cf-80fd-c2192cb3bf81</t>
        </is>
      </c>
      <c r="E1309" s="4" t="n">
        <v>46304.62429032167</v>
      </c>
      <c r="F1309" s="4" t="n">
        <v>46304.62429032175</v>
      </c>
      <c r="G1309" t="b">
        <v>1</v>
      </c>
      <c r="H1309" s="3" t="inlineStr">
        <is>
          <t>residual of cost base adjustment 01a1212c-ab70-70ef-b386-0646b6e677c5 | 2025-06-30 | Adjustment of VGS | Cost base increase = A$701.45</t>
        </is>
      </c>
      <c r="I1309" t="inlineStr">
        <is>
          <t>cost base adjustment allocation</t>
        </is>
      </c>
      <c r="J1309" s="5" t="inlineStr">
        <is>
          <t>01a1212c-adf6-7281-8063-f18af9114e4b</t>
        </is>
      </c>
    </row>
    <row r="1310">
      <c r="A1310" s="5" t="inlineStr">
        <is>
          <t>01a1212c-af83-771e-be53-2ad0b5aee702</t>
        </is>
      </c>
      <c r="D1310" s="5" t="inlineStr">
        <is>
          <t>01a1212c-4b57-70cf-80fd-c2192cb3bf81</t>
        </is>
      </c>
      <c r="E1310" s="4" t="n">
        <v>46304.6242948547</v>
      </c>
      <c r="F1310" s="4" t="n">
        <v>46304.62429485478</v>
      </c>
      <c r="G1310" t="b">
        <v>1</v>
      </c>
      <c r="H1310" s="3" t="inlineStr">
        <is>
          <t>Added fraction 0.0006870169412132094620969630728 of cost base adjustment 01a1212c-af76-73a3-8cc5-b6a47faf79d7 | 2026-06-30 | Adjustment of A200 | Cost base increase = A$494.99</t>
        </is>
      </c>
      <c r="I1310" t="inlineStr">
        <is>
          <t>cost base adjustment allocation</t>
        </is>
      </c>
      <c r="J1310" s="5" t="inlineStr">
        <is>
          <t>01a1212c-af7d-760a-b4df-de5a235f3939</t>
        </is>
      </c>
    </row>
    <row r="1311">
      <c r="A1311" s="5" t="inlineStr">
        <is>
          <t>01a1212c-af89-761a-a3b6-aa86d06f429d</t>
        </is>
      </c>
      <c r="D1311" s="5" t="inlineStr">
        <is>
          <t>01a1212c-4b57-70cf-80fd-c2192cb3bf81</t>
        </is>
      </c>
      <c r="E1311" s="4" t="n">
        <v>46304.62429492982</v>
      </c>
      <c r="F1311" s="4" t="n">
        <v>46304.6242949299</v>
      </c>
      <c r="G1311" t="b">
        <v>1</v>
      </c>
      <c r="H1311" s="3" t="inlineStr">
        <is>
          <t>Added fraction 0.001061753454602232805058942931 of cost base adjustment 01a1212c-af76-73a3-8cc5-b6a47faf79d7 | 2026-06-30 | Adjustment of A200 | Cost base increase = A$494.99</t>
        </is>
      </c>
      <c r="I1311" t="inlineStr">
        <is>
          <t>cost base adjustment allocation</t>
        </is>
      </c>
      <c r="J1311" s="5" t="inlineStr">
        <is>
          <t>01a1212c-af84-7704-a759-b99d6ad76d27</t>
        </is>
      </c>
    </row>
    <row r="1312">
      <c r="A1312" s="5" t="inlineStr">
        <is>
          <t>01a1212c-af90-7314-abaf-00182bc17e92</t>
        </is>
      </c>
      <c r="D1312" s="5" t="inlineStr">
        <is>
          <t>01a1212c-4b57-70cf-80fd-c2192cb3bf81</t>
        </is>
      </c>
      <c r="E1312" s="4" t="n">
        <v>46304.62429500117</v>
      </c>
      <c r="F1312" s="4" t="n">
        <v>46304.62429500125</v>
      </c>
      <c r="G1312" t="b">
        <v>1</v>
      </c>
      <c r="H1312" s="3" t="inlineStr">
        <is>
          <t>Added fraction 0.001630103833242251541884612382 of cost base adjustment 01a1212c-af76-73a3-8cc5-b6a47faf79d7 | 2026-06-30 | Adjustment of A200 | Cost base increase = A$494.99</t>
        </is>
      </c>
      <c r="I1312" t="inlineStr">
        <is>
          <t>cost base adjustment allocation</t>
        </is>
      </c>
      <c r="J1312" s="5" t="inlineStr">
        <is>
          <t>01a1212c-af8a-710d-9c78-e245375cedcd</t>
        </is>
      </c>
    </row>
    <row r="1313">
      <c r="A1313" s="5" t="inlineStr">
        <is>
          <t>01a1212c-af96-72e6-8778-ef0d7e89a224</t>
        </is>
      </c>
      <c r="D1313" s="5" t="inlineStr">
        <is>
          <t>01a1212c-4b57-70cf-80fd-c2192cb3bf81</t>
        </is>
      </c>
      <c r="E1313" s="4" t="n">
        <v>46304.6242950732</v>
      </c>
      <c r="F1313" s="4" t="n">
        <v>46304.62429507328</v>
      </c>
      <c r="G1313" t="b">
        <v>1</v>
      </c>
      <c r="H1313" s="3" t="inlineStr">
        <is>
          <t>Added fraction 0.002791787024748223905066749941 of cost base adjustment 01a1212c-af76-73a3-8cc5-b6a47faf79d7 | 2026-06-30 | Adjustment of A200 | Cost base increase = A$494.99</t>
        </is>
      </c>
      <c r="I1313" t="inlineStr">
        <is>
          <t>cost base adjustment allocation</t>
        </is>
      </c>
      <c r="J1313" s="5" t="inlineStr">
        <is>
          <t>01a1212c-af90-7314-abaf-00196bd2ad72</t>
        </is>
      </c>
    </row>
    <row r="1314">
      <c r="A1314" s="5" t="inlineStr">
        <is>
          <t>01a1212c-af9c-7448-8c65-dc12cce928e4</t>
        </is>
      </c>
      <c r="D1314" s="5" t="inlineStr">
        <is>
          <t>01a1212c-4b57-70cf-80fd-c2192cb3bf81</t>
        </is>
      </c>
      <c r="E1314" s="4" t="n">
        <v>46304.62429514113</v>
      </c>
      <c r="F1314" s="4" t="n">
        <v>46304.62429514119</v>
      </c>
      <c r="G1314" t="b">
        <v>1</v>
      </c>
      <c r="H1314" s="3" t="inlineStr">
        <is>
          <t>Added fraction 0.003716137091107814817706300258 of cost base adjustment 01a1212c-af76-73a3-8cc5-b6a47faf79d7 | 2026-06-30 | Adjustment of A200 | Cost base increase = A$494.99</t>
        </is>
      </c>
      <c r="I1314" t="inlineStr">
        <is>
          <t>cost base adjustment allocation</t>
        </is>
      </c>
      <c r="J1314" s="5" t="inlineStr">
        <is>
          <t>01a1212c-af96-72e6-8778-ef0e719786f0</t>
        </is>
      </c>
    </row>
    <row r="1315">
      <c r="A1315" s="5" t="inlineStr">
        <is>
          <t>01a1212c-afc0-75ec-9a6c-eb5d36623ecd</t>
        </is>
      </c>
      <c r="D1315" s="5" t="inlineStr">
        <is>
          <t>01a1212c-4b57-70cf-80fd-c2192cb3bf81</t>
        </is>
      </c>
      <c r="E1315" s="4" t="n">
        <v>46304.62429556021</v>
      </c>
      <c r="F1315" s="4" t="n">
        <v>46304.62429556032</v>
      </c>
      <c r="G1315" t="b">
        <v>1</v>
      </c>
      <c r="H1315" s="3" t="inlineStr">
        <is>
          <t>Added fraction 0.004134592864392224217347177766 of cost base adjustment 01a1212c-af76-73a3-8cc5-b6a47faf79d7 | 2026-06-30 | Adjustment of A200 | Cost base increase = A$494.99</t>
        </is>
      </c>
      <c r="I1315" t="inlineStr">
        <is>
          <t>cost base adjustment allocation</t>
        </is>
      </c>
      <c r="J1315" s="5" t="inlineStr">
        <is>
          <t>01a1212c-af9c-7448-8c65-dc139f9919ef</t>
        </is>
      </c>
    </row>
    <row r="1316">
      <c r="A1316" s="5" t="inlineStr">
        <is>
          <t>01a1212c-afc6-7413-98d3-82c22de0ddba</t>
        </is>
      </c>
      <c r="D1316" s="5" t="inlineStr">
        <is>
          <t>01a1212c-4b57-70cf-80fd-c2192cb3bf81</t>
        </is>
      </c>
      <c r="E1316" s="4" t="n">
        <v>46304.62429562841</v>
      </c>
      <c r="F1316" s="4" t="n">
        <v>46304.6242956285</v>
      </c>
      <c r="G1316" t="b">
        <v>1</v>
      </c>
      <c r="H1316" s="3" t="inlineStr">
        <is>
          <t>Added fraction 0.004974627215239284877820282614 of cost base adjustment 01a1212c-af76-73a3-8cc5-b6a47faf79d7 | 2026-06-30 | Adjustment of A200 | Cost base increase = A$494.99</t>
        </is>
      </c>
      <c r="I1316" t="inlineStr">
        <is>
          <t>cost base adjustment allocation</t>
        </is>
      </c>
      <c r="J1316" s="5" t="inlineStr">
        <is>
          <t>01a1212c-afc1-74f9-8d3e-e88ffe91fc80</t>
        </is>
      </c>
    </row>
    <row r="1317">
      <c r="A1317" s="5" t="inlineStr">
        <is>
          <t>01a1212c-afcc-7625-90fe-8938875199bd</t>
        </is>
      </c>
      <c r="D1317" s="5" t="inlineStr">
        <is>
          <t>01a1212c-4b57-70cf-80fd-c2192cb3bf81</t>
        </is>
      </c>
      <c r="E1317" s="4" t="n">
        <v>46304.6242956971</v>
      </c>
      <c r="F1317" s="4" t="n">
        <v>46304.62429569718</v>
      </c>
      <c r="G1317" t="b">
        <v>1</v>
      </c>
      <c r="H1317" s="3" t="inlineStr">
        <is>
          <t>Added fraction 0.005683503786400187368256694512 of cost base adjustment 01a1212c-af76-73a3-8cc5-b6a47faf79d7 | 2026-06-30 | Adjustment of A200 | Cost base increase = A$494.99</t>
        </is>
      </c>
      <c r="I1317" t="inlineStr">
        <is>
          <t>cost base adjustment allocation</t>
        </is>
      </c>
      <c r="J1317" s="5" t="inlineStr">
        <is>
          <t>01a1212c-afc6-7413-98d3-82c361c16f64</t>
        </is>
      </c>
    </row>
    <row r="1318">
      <c r="A1318" s="5" t="inlineStr">
        <is>
          <t>01a1212c-afd2-700e-943f-3c6472ca54c6</t>
        </is>
      </c>
      <c r="D1318" s="5" t="inlineStr">
        <is>
          <t>01a1212c-4b57-70cf-80fd-c2192cb3bf81</t>
        </is>
      </c>
      <c r="E1318" s="4" t="n">
        <v>46304.62429576503</v>
      </c>
      <c r="F1318" s="4" t="n">
        <v>46304.62429576512</v>
      </c>
      <c r="G1318" t="b">
        <v>1</v>
      </c>
      <c r="H1318" s="3" t="inlineStr">
        <is>
          <t>Added fraction 0.005699117807791396674213443672 of cost base adjustment 01a1212c-af76-73a3-8cc5-b6a47faf79d7 | 2026-06-30 | Adjustment of A200 | Cost base increase = A$494.99</t>
        </is>
      </c>
      <c r="I1318" t="inlineStr">
        <is>
          <t>cost base adjustment allocation</t>
        </is>
      </c>
      <c r="J1318" s="5" t="inlineStr">
        <is>
          <t>01a1212c-afcc-7625-90fe-893947733aa6</t>
        </is>
      </c>
    </row>
    <row r="1319">
      <c r="A1319" s="5" t="inlineStr">
        <is>
          <t>01a1212c-afd7-7674-97bb-61f8c2215ab7</t>
        </is>
      </c>
      <c r="D1319" s="5" t="inlineStr">
        <is>
          <t>01a1212c-4b57-70cf-80fd-c2192cb3bf81</t>
        </is>
      </c>
      <c r="E1319" s="4" t="n">
        <v>46304.62429583135</v>
      </c>
      <c r="F1319" s="4" t="n">
        <v>46304.62429583141</v>
      </c>
      <c r="G1319" t="b">
        <v>1</v>
      </c>
      <c r="H1319" s="3" t="inlineStr">
        <is>
          <t>Added fraction 0.005699117807791396674213443672 of cost base adjustment 01a1212c-af76-73a3-8cc5-b6a47faf79d7 | 2026-06-30 | Adjustment of A200 | Cost base increase = A$494.99</t>
        </is>
      </c>
      <c r="I1319" t="inlineStr">
        <is>
          <t>cost base adjustment allocation</t>
        </is>
      </c>
      <c r="J1319" s="5" t="inlineStr">
        <is>
          <t>01a1212c-afd2-700e-943f-3c6524bc7269</t>
        </is>
      </c>
    </row>
    <row r="1320">
      <c r="A1320" s="5" t="inlineStr">
        <is>
          <t>01a1212c-afdd-7491-bc47-f3079d729576</t>
        </is>
      </c>
      <c r="D1320" s="5" t="inlineStr">
        <is>
          <t>01a1212c-4b57-70cf-80fd-c2192cb3bf81</t>
        </is>
      </c>
      <c r="E1320" s="4" t="n">
        <v>46304.62429589859</v>
      </c>
      <c r="F1320" s="4" t="n">
        <v>46304.62429589865</v>
      </c>
      <c r="G1320" t="b">
        <v>1</v>
      </c>
      <c r="H1320" s="3" t="inlineStr">
        <is>
          <t>Added fraction 0.005699117807791396674213443672 of cost base adjustment 01a1212c-af76-73a3-8cc5-b6a47faf79d7 | 2026-06-30 | Adjustment of A200 | Cost base increase = A$494.99</t>
        </is>
      </c>
      <c r="I1320" t="inlineStr">
        <is>
          <t>cost base adjustment allocation</t>
        </is>
      </c>
      <c r="J1320" s="5" t="inlineStr">
        <is>
          <t>01a1212c-afd8-7528-a77d-2aa8cd922d38</t>
        </is>
      </c>
    </row>
    <row r="1321">
      <c r="A1321" s="5" t="inlineStr">
        <is>
          <t>01a1212c-afe3-72be-a4d5-298fb2c9bd7c</t>
        </is>
      </c>
      <c r="D1321" s="5" t="inlineStr">
        <is>
          <t>01a1212c-4b57-70cf-80fd-c2192cb3bf81</t>
        </is>
      </c>
      <c r="E1321" s="4" t="n">
        <v>46304.62429596439</v>
      </c>
      <c r="F1321" s="4" t="n">
        <v>46304.62429596447</v>
      </c>
      <c r="G1321" t="b">
        <v>1</v>
      </c>
      <c r="H1321" s="3" t="inlineStr">
        <is>
          <t>Added fraction 0.005699117807791396674213443672 of cost base adjustment 01a1212c-af76-73a3-8cc5-b6a47faf79d7 | 2026-06-30 | Adjustment of A200 | Cost base increase = A$494.99</t>
        </is>
      </c>
      <c r="I1321" t="inlineStr">
        <is>
          <t>cost base adjustment allocation</t>
        </is>
      </c>
      <c r="J1321" s="5" t="inlineStr">
        <is>
          <t>01a1212c-afde-722f-af7c-46befe270997</t>
        </is>
      </c>
    </row>
    <row r="1322">
      <c r="A1322" s="5" t="inlineStr">
        <is>
          <t>01a1212c-afe8-73b3-bfe1-2c47abc7bd73</t>
        </is>
      </c>
      <c r="D1322" s="5" t="inlineStr">
        <is>
          <t>01a1212c-4b57-70cf-80fd-c2192cb3bf81</t>
        </is>
      </c>
      <c r="E1322" s="4" t="n">
        <v>46304.62429602937</v>
      </c>
      <c r="F1322" s="4" t="n">
        <v>46304.62429602945</v>
      </c>
      <c r="G1322" t="b">
        <v>1</v>
      </c>
      <c r="H1322" s="3" t="inlineStr">
        <is>
          <t>Added fraction 0.005699117807791396674213443672 of cost base adjustment 01a1212c-af76-73a3-8cc5-b6a47faf79d7 | 2026-06-30 | Adjustment of A200 | Cost base increase = A$494.99</t>
        </is>
      </c>
      <c r="I1322" t="inlineStr">
        <is>
          <t>cost base adjustment allocation</t>
        </is>
      </c>
      <c r="J1322" s="5" t="inlineStr">
        <is>
          <t>01a1212c-afe3-72be-a4d5-29901684eb7b</t>
        </is>
      </c>
    </row>
    <row r="1323">
      <c r="A1323" s="5" t="inlineStr">
        <is>
          <t>01a1212c-afee-77a5-91b8-249365ed5044</t>
        </is>
      </c>
      <c r="D1323" s="5" t="inlineStr">
        <is>
          <t>01a1212c-4b57-70cf-80fd-c2192cb3bf81</t>
        </is>
      </c>
      <c r="E1323" s="4" t="n">
        <v>46304.62429609734</v>
      </c>
      <c r="F1323" s="4" t="n">
        <v>46304.62429609742</v>
      </c>
      <c r="G1323" t="b">
        <v>1</v>
      </c>
      <c r="H1323" s="3" t="inlineStr">
        <is>
          <t>Added fraction 0.005699117807791396674213443672 of cost base adjustment 01a1212c-af76-73a3-8cc5-b6a47faf79d7 | 2026-06-30 | Adjustment of A200 | Cost base increase = A$494.99</t>
        </is>
      </c>
      <c r="I1323" t="inlineStr">
        <is>
          <t>cost base adjustment allocation</t>
        </is>
      </c>
      <c r="J1323" s="5" t="inlineStr">
        <is>
          <t>01a1212c-afe9-76c4-aeeb-cb5e89c92af8</t>
        </is>
      </c>
    </row>
    <row r="1324">
      <c r="A1324" s="5" t="inlineStr">
        <is>
          <t>01a1212c-aff4-7649-be6e-6dc30a6b29ca</t>
        </is>
      </c>
      <c r="D1324" s="5" t="inlineStr">
        <is>
          <t>01a1212c-4b57-70cf-80fd-c2192cb3bf81</t>
        </is>
      </c>
      <c r="E1324" s="4" t="n">
        <v>46304.62429616693</v>
      </c>
      <c r="F1324" s="4" t="n">
        <v>46304.62429616701</v>
      </c>
      <c r="G1324" t="b">
        <v>1</v>
      </c>
      <c r="H1324" s="3" t="inlineStr">
        <is>
          <t>Added fraction 0.005699117807791396674213443672 of cost base adjustment 01a1212c-af76-73a3-8cc5-b6a47faf79d7 | 2026-06-30 | Adjustment of A200 | Cost base increase = A$494.99</t>
        </is>
      </c>
      <c r="I1324" t="inlineStr">
        <is>
          <t>cost base adjustment allocation</t>
        </is>
      </c>
      <c r="J1324" s="5" t="inlineStr">
        <is>
          <t>01a1212c-afef-7136-961b-06783d693ad8</t>
        </is>
      </c>
    </row>
    <row r="1325">
      <c r="A1325" s="5" t="inlineStr">
        <is>
          <t>01a1212c-affa-7250-97f1-464017e5cdff</t>
        </is>
      </c>
      <c r="D1325" s="5" t="inlineStr">
        <is>
          <t>01a1212c-4b57-70cf-80fd-c2192cb3bf81</t>
        </is>
      </c>
      <c r="E1325" s="4" t="n">
        <v>46304.62429623651</v>
      </c>
      <c r="F1325" s="4" t="n">
        <v>46304.62429623661</v>
      </c>
      <c r="G1325" t="b">
        <v>1</v>
      </c>
      <c r="H1325" s="3" t="inlineStr">
        <is>
          <t>Added fraction 0.005699117807791396674213443672 of cost base adjustment 01a1212c-af76-73a3-8cc5-b6a47faf79d7 | 2026-06-30 | Adjustment of A200 | Cost base increase = A$494.99</t>
        </is>
      </c>
      <c r="I1325" t="inlineStr">
        <is>
          <t>cost base adjustment allocation</t>
        </is>
      </c>
      <c r="J1325" s="5" t="inlineStr">
        <is>
          <t>01a1212c-aff5-7527-bc29-3fb24a2dfa58</t>
        </is>
      </c>
    </row>
    <row r="1326">
      <c r="A1326" s="5" t="inlineStr">
        <is>
          <t>01a1212c-b001-75fa-89bc-42bd98e2be66</t>
        </is>
      </c>
      <c r="D1326" s="5" t="inlineStr">
        <is>
          <t>01a1212c-4b57-70cf-80fd-c2192cb3bf81</t>
        </is>
      </c>
      <c r="E1326" s="4" t="n">
        <v>46304.62429631472</v>
      </c>
      <c r="F1326" s="4" t="n">
        <v>46304.62429631483</v>
      </c>
      <c r="G1326" t="b">
        <v>1</v>
      </c>
      <c r="H1326" s="3" t="inlineStr">
        <is>
          <t>Added fraction 0.005761573893356233898040440315 of cost base adjustment 01a1212c-af76-73a3-8cc5-b6a47faf79d7 | 2026-06-30 | Adjustment of A200 | Cost base increase = A$494.99</t>
        </is>
      </c>
      <c r="I1326" t="inlineStr">
        <is>
          <t>cost base adjustment allocation</t>
        </is>
      </c>
      <c r="J1326" s="5" t="inlineStr">
        <is>
          <t>01a1212c-affb-700c-a21d-747d19ce77a3</t>
        </is>
      </c>
    </row>
    <row r="1327">
      <c r="A1327" s="5" t="inlineStr">
        <is>
          <t>01a1212c-b007-7786-9695-44c7cc91bdb9</t>
        </is>
      </c>
      <c r="D1327" s="5" t="inlineStr">
        <is>
          <t>01a1212c-4b57-70cf-80fd-c2192cb3bf81</t>
        </is>
      </c>
      <c r="E1327" s="4" t="n">
        <v>46304.62429638477</v>
      </c>
      <c r="F1327" s="4" t="n">
        <v>46304.62429638485</v>
      </c>
      <c r="G1327" t="b">
        <v>1</v>
      </c>
      <c r="H1327" s="3" t="inlineStr">
        <is>
          <t>Added fraction 0.005995784214224373487391677727 of cost base adjustment 01a1212c-af76-73a3-8cc5-b6a47faf79d7 | 2026-06-30 | Adjustment of A200 | Cost base increase = A$494.99</t>
        </is>
      </c>
      <c r="I1327" t="inlineStr">
        <is>
          <t>cost base adjustment allocation</t>
        </is>
      </c>
      <c r="J1327" s="5" t="inlineStr">
        <is>
          <t>01a1212c-b002-7257-9edf-79632585a7cb</t>
        </is>
      </c>
    </row>
    <row r="1328">
      <c r="A1328" s="5" t="inlineStr">
        <is>
          <t>01a1212c-b00e-750e-b62a-56220f6fedcc</t>
        </is>
      </c>
      <c r="D1328" s="5" t="inlineStr">
        <is>
          <t>01a1212c-4b57-70cf-80fd-c2192cb3bf81</t>
        </is>
      </c>
      <c r="E1328" s="4" t="n">
        <v>46304.62429646195</v>
      </c>
      <c r="F1328" s="4" t="n">
        <v>46304.62429646204</v>
      </c>
      <c r="G1328" t="b">
        <v>1</v>
      </c>
      <c r="H1328" s="3" t="inlineStr">
        <is>
          <t>Added fraction 0.006557888984307908501834647513 of cost base adjustment 01a1212c-af76-73a3-8cc5-b6a47faf79d7 | 2026-06-30 | Adjustment of A200 | Cost base increase = A$494.99</t>
        </is>
      </c>
      <c r="I1328" t="inlineStr">
        <is>
          <t>cost base adjustment allocation</t>
        </is>
      </c>
      <c r="J1328" s="5" t="inlineStr">
        <is>
          <t>01a1212c-b008-777f-9ca9-66274ac2d05d</t>
        </is>
      </c>
    </row>
    <row r="1329">
      <c r="A1329" s="5" t="inlineStr">
        <is>
          <t>01a1212c-b014-7694-a869-1993bcc126ce</t>
        </is>
      </c>
      <c r="D1329" s="5" t="inlineStr">
        <is>
          <t>01a1212c-4b57-70cf-80fd-c2192cb3bf81</t>
        </is>
      </c>
      <c r="E1329" s="4" t="n">
        <v>46304.62429653633</v>
      </c>
      <c r="F1329" s="4" t="n">
        <v>46304.62429653642</v>
      </c>
      <c r="G1329" t="b">
        <v>1</v>
      </c>
      <c r="H1329" s="3" t="inlineStr">
        <is>
          <t>Added fraction 0.006838941369349676009056132407 of cost base adjustment 01a1212c-af76-73a3-8cc5-b6a47faf79d7 | 2026-06-30 | Adjustment of A200 | Cost base increase = A$494.99</t>
        </is>
      </c>
      <c r="I1329" t="inlineStr">
        <is>
          <t>cost base adjustment allocation</t>
        </is>
      </c>
      <c r="J1329" s="5" t="inlineStr">
        <is>
          <t>01a1212c-b00e-750e-b62a-5623b706a275</t>
        </is>
      </c>
    </row>
    <row r="1330">
      <c r="A1330" s="5" t="inlineStr">
        <is>
          <t>01a1212c-b01a-70ea-b7ea-d04cace6c52a</t>
        </is>
      </c>
      <c r="D1330" s="5" t="inlineStr">
        <is>
          <t>01a1212c-4b57-70cf-80fd-c2192cb3bf81</t>
        </is>
      </c>
      <c r="E1330" s="4" t="n">
        <v>46304.62429660521</v>
      </c>
      <c r="F1330" s="4" t="n">
        <v>46304.62429660529</v>
      </c>
      <c r="G1330" t="b">
        <v>1</v>
      </c>
      <c r="H1330" s="3" t="inlineStr">
        <is>
          <t>Added fraction 0.006838941369349676009056132407 of cost base adjustment 01a1212c-af76-73a3-8cc5-b6a47faf79d7 | 2026-06-30 | Adjustment of A200 | Cost base increase = A$494.99</t>
        </is>
      </c>
      <c r="I1330" t="inlineStr">
        <is>
          <t>cost base adjustment allocation</t>
        </is>
      </c>
      <c r="J1330" s="5" t="inlineStr">
        <is>
          <t>01a1212c-b015-7281-a387-5971b7f278b0</t>
        </is>
      </c>
    </row>
    <row r="1331">
      <c r="A1331" s="5" t="inlineStr">
        <is>
          <t>01a1212c-b020-75ee-b3e8-5c36f582a94c</t>
        </is>
      </c>
      <c r="D1331" s="5" t="inlineStr">
        <is>
          <t>01a1212c-4b57-70cf-80fd-c2192cb3bf81</t>
        </is>
      </c>
      <c r="E1331" s="4" t="n">
        <v>46304.62429667841</v>
      </c>
      <c r="F1331" s="4" t="n">
        <v>46304.62429667851</v>
      </c>
      <c r="G1331" t="b">
        <v>1</v>
      </c>
      <c r="H1331" s="3" t="inlineStr">
        <is>
          <t>Added fraction 0.006838941369349676009056132407 of cost base adjustment 01a1212c-af76-73a3-8cc5-b6a47faf79d7 | 2026-06-30 | Adjustment of A200 | Cost base increase = A$494.99</t>
        </is>
      </c>
      <c r="I1331" t="inlineStr">
        <is>
          <t>cost base adjustment allocation</t>
        </is>
      </c>
      <c r="J1331" s="5" t="inlineStr">
        <is>
          <t>01a1212c-b01b-7624-bd5d-cdadfde6edad</t>
        </is>
      </c>
    </row>
    <row r="1332">
      <c r="A1332" s="5" t="inlineStr">
        <is>
          <t>01a1212c-b026-74a4-9f7f-e29c7918496b</t>
        </is>
      </c>
      <c r="D1332" s="5" t="inlineStr">
        <is>
          <t>01a1212c-4b57-70cf-80fd-c2192cb3bf81</t>
        </is>
      </c>
      <c r="E1332" s="4" t="n">
        <v>46304.62429674596</v>
      </c>
      <c r="F1332" s="4" t="n">
        <v>46304.62429674604</v>
      </c>
      <c r="G1332" t="b">
        <v>1</v>
      </c>
      <c r="H1332" s="3" t="inlineStr">
        <is>
          <t>Added fraction 0.006838941369349676009056132407 of cost base adjustment 01a1212c-af76-73a3-8cc5-b6a47faf79d7 | 2026-06-30 | Adjustment of A200 | Cost base increase = A$494.99</t>
        </is>
      </c>
      <c r="I1332" t="inlineStr">
        <is>
          <t>cost base adjustment allocation</t>
        </is>
      </c>
      <c r="J1332" s="5" t="inlineStr">
        <is>
          <t>01a1212c-b021-777b-894d-45f1619a23ad</t>
        </is>
      </c>
    </row>
    <row r="1333">
      <c r="A1333" s="5" t="inlineStr">
        <is>
          <t>01a1212c-b02c-7207-b8e8-5cf709a55b6d</t>
        </is>
      </c>
      <c r="D1333" s="5" t="inlineStr">
        <is>
          <t>01a1212c-4b57-70cf-80fd-c2192cb3bf81</t>
        </is>
      </c>
      <c r="E1333" s="4" t="n">
        <v>46304.62429681366</v>
      </c>
      <c r="F1333" s="4" t="n">
        <v>46304.62429681374</v>
      </c>
      <c r="G1333" t="b">
        <v>1</v>
      </c>
      <c r="H1333" s="3" t="inlineStr">
        <is>
          <t>Added fraction 0.006838941369349676009056132407 of cost base adjustment 01a1212c-af76-73a3-8cc5-b6a47faf79d7 | 2026-06-30 | Adjustment of A200 | Cost base increase = A$494.99</t>
        </is>
      </c>
      <c r="I1333" t="inlineStr">
        <is>
          <t>cost base adjustment allocation</t>
        </is>
      </c>
      <c r="J1333" s="5" t="inlineStr">
        <is>
          <t>01a1212c-b027-730c-ac4b-90ab8496c668</t>
        </is>
      </c>
    </row>
    <row r="1334">
      <c r="A1334" s="5" t="inlineStr">
        <is>
          <t>01a1212c-b032-77b1-8805-a3baab1dcb32</t>
        </is>
      </c>
      <c r="D1334" s="5" t="inlineStr">
        <is>
          <t>01a1212c-4b57-70cf-80fd-c2192cb3bf81</t>
        </is>
      </c>
      <c r="E1334" s="4" t="n">
        <v>46304.62429688253</v>
      </c>
      <c r="F1334" s="4" t="n">
        <v>46304.62429688262</v>
      </c>
      <c r="G1334" t="b">
        <v>1</v>
      </c>
      <c r="H1334" s="3" t="inlineStr">
        <is>
          <t>Added fraction 0.006838941369349676009056132407 of cost base adjustment 01a1212c-af76-73a3-8cc5-b6a47faf79d7 | 2026-06-30 | Adjustment of A200 | Cost base increase = A$494.99</t>
        </is>
      </c>
      <c r="I1334" t="inlineStr">
        <is>
          <t>cost base adjustment allocation</t>
        </is>
      </c>
      <c r="J1334" s="5" t="inlineStr">
        <is>
          <t>01a1212c-b02d-72cd-8b77-4bcbf749fe30</t>
        </is>
      </c>
    </row>
    <row r="1335">
      <c r="A1335" s="5" t="inlineStr">
        <is>
          <t>01a1212c-b038-70b4-9dd7-0c2059dac2ad</t>
        </is>
      </c>
      <c r="D1335" s="5" t="inlineStr">
        <is>
          <t>01a1212c-4b57-70cf-80fd-c2192cb3bf81</t>
        </is>
      </c>
      <c r="E1335" s="4" t="n">
        <v>46304.62429695178</v>
      </c>
      <c r="F1335" s="4" t="n">
        <v>46304.62429695187</v>
      </c>
      <c r="G1335" t="b">
        <v>1</v>
      </c>
      <c r="H1335" s="3" t="inlineStr">
        <is>
          <t>Added fraction 0.006838941369349676009056132407 of cost base adjustment 01a1212c-af76-73a3-8cc5-b6a47faf79d7 | 2026-06-30 | Adjustment of A200 | Cost base increase = A$494.99</t>
        </is>
      </c>
      <c r="I1335" t="inlineStr">
        <is>
          <t>cost base adjustment allocation</t>
        </is>
      </c>
      <c r="J1335" s="5" t="inlineStr">
        <is>
          <t>01a1212c-b033-719d-a0be-588f8bc8380e</t>
        </is>
      </c>
    </row>
    <row r="1336">
      <c r="A1336" s="5" t="inlineStr">
        <is>
          <t>01a1212c-b03e-712a-b7d2-f463a9c9337c</t>
        </is>
      </c>
      <c r="D1336" s="5" t="inlineStr">
        <is>
          <t>01a1212c-4b57-70cf-80fd-c2192cb3bf81</t>
        </is>
      </c>
      <c r="E1336" s="4" t="n">
        <v>46304.6242970205</v>
      </c>
      <c r="F1336" s="4" t="n">
        <v>46304.62429702058</v>
      </c>
      <c r="G1336" t="b">
        <v>1</v>
      </c>
      <c r="H1336" s="3" t="inlineStr">
        <is>
          <t>Added fraction 0.007532203919119369193535795144 of cost base adjustment 01a1212c-af76-73a3-8cc5-b6a47faf79d7 | 2026-06-30 | Adjustment of A200 | Cost base increase = A$494.99</t>
        </is>
      </c>
      <c r="I1336" t="inlineStr">
        <is>
          <t>cost base adjustment allocation</t>
        </is>
      </c>
      <c r="J1336" s="5" t="inlineStr">
        <is>
          <t>01a1212c-b039-77e9-bb8d-7570b3f47e15</t>
        </is>
      </c>
    </row>
    <row r="1337">
      <c r="A1337" s="5" t="inlineStr">
        <is>
          <t>01a1212c-b044-77b6-b874-6aae535df741</t>
        </is>
      </c>
      <c r="D1337" s="5" t="inlineStr">
        <is>
          <t>01a1212c-4b57-70cf-80fd-c2192cb3bf81</t>
        </is>
      </c>
      <c r="E1337" s="4" t="n">
        <v>46304.62429708942</v>
      </c>
      <c r="F1337" s="4" t="n">
        <v>46304.6242970895</v>
      </c>
      <c r="G1337" t="b">
        <v>1</v>
      </c>
      <c r="H1337" s="3" t="inlineStr">
        <is>
          <t>Added fraction 0.007978764930907955343898821141 of cost base adjustment 01a1212c-af76-73a3-8cc5-b6a47faf79d7 | 2026-06-30 | Adjustment of A200 | Cost base increase = A$494.99</t>
        </is>
      </c>
      <c r="I1337" t="inlineStr">
        <is>
          <t>cost base adjustment allocation</t>
        </is>
      </c>
      <c r="J1337" s="5" t="inlineStr">
        <is>
          <t>01a1212c-b03f-77d7-b430-1e0c05a21a34</t>
        </is>
      </c>
    </row>
    <row r="1338">
      <c r="A1338" s="5" t="inlineStr">
        <is>
          <t>01a1212c-b04a-74a9-b144-9de474a311c0</t>
        </is>
      </c>
      <c r="D1338" s="5" t="inlineStr">
        <is>
          <t>01a1212c-4b57-70cf-80fd-c2192cb3bf81</t>
        </is>
      </c>
      <c r="E1338" s="4" t="n">
        <v>46304.62429715818</v>
      </c>
      <c r="F1338" s="4" t="n">
        <v>46304.62429715826</v>
      </c>
      <c r="G1338" t="b">
        <v>1</v>
      </c>
      <c r="H1338" s="3" t="inlineStr">
        <is>
          <t>Added fraction 0.007978764930907955343898821141 of cost base adjustment 01a1212c-af76-73a3-8cc5-b6a47faf79d7 | 2026-06-30 | Adjustment of A200 | Cost base increase = A$494.99</t>
        </is>
      </c>
      <c r="I1338" t="inlineStr">
        <is>
          <t>cost base adjustment allocation</t>
        </is>
      </c>
      <c r="J1338" s="5" t="inlineStr">
        <is>
          <t>01a1212c-b045-72b7-8c10-8663d4240b16</t>
        </is>
      </c>
    </row>
    <row r="1339">
      <c r="A1339" s="5" t="inlineStr">
        <is>
          <t>01a1212c-b050-7354-a909-00bbde3f3fe9</t>
        </is>
      </c>
      <c r="D1339" s="5" t="inlineStr">
        <is>
          <t>01a1212c-4b57-70cf-80fd-c2192cb3bf81</t>
        </is>
      </c>
      <c r="E1339" s="4" t="n">
        <v>46304.62429722528</v>
      </c>
      <c r="F1339" s="4" t="n">
        <v>46304.62429722536</v>
      </c>
      <c r="G1339" t="b">
        <v>1</v>
      </c>
      <c r="H1339" s="3" t="inlineStr">
        <is>
          <t>Added fraction 0.007978764930907955343898821141 of cost base adjustment 01a1212c-af76-73a3-8cc5-b6a47faf79d7 | 2026-06-30 | Adjustment of A200 | Cost base increase = A$494.99</t>
        </is>
      </c>
      <c r="I1339" t="inlineStr">
        <is>
          <t>cost base adjustment allocation</t>
        </is>
      </c>
      <c r="J1339" s="5" t="inlineStr">
        <is>
          <t>01a1212c-b04b-71bc-86e9-d19fc3f120eb</t>
        </is>
      </c>
    </row>
    <row r="1340">
      <c r="A1340" s="5" t="inlineStr">
        <is>
          <t>01a1212c-b055-7538-bc17-56e597846e36</t>
        </is>
      </c>
      <c r="D1340" s="5" t="inlineStr">
        <is>
          <t>01a1212c-4b57-70cf-80fd-c2192cb3bf81</t>
        </is>
      </c>
      <c r="E1340" s="4" t="n">
        <v>46304.6242972899</v>
      </c>
      <c r="F1340" s="4" t="n">
        <v>46304.62429728996</v>
      </c>
      <c r="G1340" t="b">
        <v>1</v>
      </c>
      <c r="H1340" s="3" t="inlineStr">
        <is>
          <t>Added fraction 0.007978764930907955343898821141 of cost base adjustment 01a1212c-af76-73a3-8cc5-b6a47faf79d7 | 2026-06-30 | Adjustment of A200 | Cost base increase = A$494.99</t>
        </is>
      </c>
      <c r="I1340" t="inlineStr">
        <is>
          <t>cost base adjustment allocation</t>
        </is>
      </c>
      <c r="J1340" s="5" t="inlineStr">
        <is>
          <t>01a1212c-b050-7354-a909-00bc3e91febf</t>
        </is>
      </c>
    </row>
    <row r="1341">
      <c r="A1341" s="5" t="inlineStr">
        <is>
          <t>01a1212c-b05b-701f-a4f2-2021e3120bfe</t>
        </is>
      </c>
      <c r="D1341" s="5" t="inlineStr">
        <is>
          <t>01a1212c-4b57-70cf-80fd-c2192cb3bf81</t>
        </is>
      </c>
      <c r="E1341" s="4" t="n">
        <v>46304.62429735671</v>
      </c>
      <c r="F1341" s="4" t="n">
        <v>46304.62429735679</v>
      </c>
      <c r="G1341" t="b">
        <v>1</v>
      </c>
      <c r="H1341" s="3" t="inlineStr">
        <is>
          <t>Added fraction 0.007978764930907955343898821141 of cost base adjustment 01a1212c-af76-73a3-8cc5-b6a47faf79d7 | 2026-06-30 | Adjustment of A200 | Cost base increase = A$494.99</t>
        </is>
      </c>
      <c r="I1341" t="inlineStr">
        <is>
          <t>cost base adjustment allocation</t>
        </is>
      </c>
      <c r="J1341" s="5" t="inlineStr">
        <is>
          <t>01a1212c-b056-7197-985b-271d52780df1</t>
        </is>
      </c>
    </row>
    <row r="1342">
      <c r="A1342" s="5" t="inlineStr">
        <is>
          <t>01a1212c-b061-7662-83fb-897ea5024b43</t>
        </is>
      </c>
      <c r="D1342" s="5" t="inlineStr">
        <is>
          <t>01a1212c-4b57-70cf-80fd-c2192cb3bf81</t>
        </is>
      </c>
      <c r="E1342" s="4" t="n">
        <v>46304.62429743032</v>
      </c>
      <c r="F1342" s="4" t="n">
        <v>46304.62429743042</v>
      </c>
      <c r="G1342" t="b">
        <v>1</v>
      </c>
      <c r="H1342" s="3" t="inlineStr">
        <is>
          <t>Added fraction 0.007978764930907955343898821141 of cost base adjustment 01a1212c-af76-73a3-8cc5-b6a47faf79d7 | 2026-06-30 | Adjustment of A200 | Cost base increase = A$494.99</t>
        </is>
      </c>
      <c r="I1342" t="inlineStr">
        <is>
          <t>cost base adjustment allocation</t>
        </is>
      </c>
      <c r="J1342" s="5" t="inlineStr">
        <is>
          <t>01a1212c-b05c-7495-b23b-0a3e1a969e43</t>
        </is>
      </c>
    </row>
    <row r="1343">
      <c r="A1343" s="5" t="inlineStr">
        <is>
          <t>01a1212c-b068-738b-9a08-2c8557464c44</t>
        </is>
      </c>
      <c r="D1343" s="5" t="inlineStr">
        <is>
          <t>01a1212c-4b57-70cf-80fd-c2192cb3bf81</t>
        </is>
      </c>
      <c r="E1343" s="4" t="n">
        <v>46304.62429750675</v>
      </c>
      <c r="F1343" s="4" t="n">
        <v>46304.62429750683</v>
      </c>
      <c r="G1343" t="b">
        <v>1</v>
      </c>
      <c r="H1343" s="3" t="inlineStr">
        <is>
          <t>Added fraction 0.007978764930907955343898821141 of cost base adjustment 01a1212c-af76-73a3-8cc5-b6a47faf79d7 | 2026-06-30 | Adjustment of A200 | Cost base increase = A$494.99</t>
        </is>
      </c>
      <c r="I1343" t="inlineStr">
        <is>
          <t>cost base adjustment allocation</t>
        </is>
      </c>
      <c r="J1343" s="5" t="inlineStr">
        <is>
          <t>01a1212c-b062-7256-994c-415e24058cc7</t>
        </is>
      </c>
    </row>
    <row r="1344">
      <c r="A1344" s="5" t="inlineStr">
        <is>
          <t>01a1212c-b06e-767c-bb89-01c806a36b35</t>
        </is>
      </c>
      <c r="D1344" s="5" t="inlineStr">
        <is>
          <t>01a1212c-4b57-70cf-80fd-c2192cb3bf81</t>
        </is>
      </c>
      <c r="E1344" s="4" t="n">
        <v>46304.6242975768</v>
      </c>
      <c r="F1344" s="4" t="n">
        <v>46304.62429757688</v>
      </c>
      <c r="G1344" t="b">
        <v>1</v>
      </c>
      <c r="H1344" s="3" t="inlineStr">
        <is>
          <t>Added fraction 0.007978764930907955343898821141 of cost base adjustment 01a1212c-af76-73a3-8cc5-b6a47faf79d7 | 2026-06-30 | Adjustment of A200 | Cost base increase = A$494.99</t>
        </is>
      </c>
      <c r="I1344" t="inlineStr">
        <is>
          <t>cost base adjustment allocation</t>
        </is>
      </c>
      <c r="J1344" s="5" t="inlineStr">
        <is>
          <t>01a1212c-b069-77f8-baae-a897f17270c5</t>
        </is>
      </c>
    </row>
    <row r="1345">
      <c r="A1345" s="5" t="inlineStr">
        <is>
          <t>01a1212c-b074-7566-b1dc-e091aaecde4a</t>
        </is>
      </c>
      <c r="D1345" s="5" t="inlineStr">
        <is>
          <t>01a1212c-4b57-70cf-80fd-c2192cb3bf81</t>
        </is>
      </c>
      <c r="E1345" s="4" t="n">
        <v>46304.624297648</v>
      </c>
      <c r="F1345" s="4" t="n">
        <v>46304.62429764808</v>
      </c>
      <c r="G1345" t="b">
        <v>1</v>
      </c>
      <c r="H1345" s="3" t="inlineStr">
        <is>
          <t>Added fraction 0.009118588492466234678741509876 of cost base adjustment 01a1212c-af76-73a3-8cc5-b6a47faf79d7 | 2026-06-30 | Adjustment of A200 | Cost base increase = A$494.99</t>
        </is>
      </c>
      <c r="I1345" t="inlineStr">
        <is>
          <t>cost base adjustment allocation</t>
        </is>
      </c>
      <c r="J1345" s="5" t="inlineStr">
        <is>
          <t>01a1212c-b06f-7567-91fb-2b4a28858884</t>
        </is>
      </c>
    </row>
    <row r="1346">
      <c r="A1346" s="5" t="inlineStr">
        <is>
          <t>01a1212c-b07a-72e0-b689-896765284a65</t>
        </is>
      </c>
      <c r="D1346" s="5" t="inlineStr">
        <is>
          <t>01a1212c-4b57-70cf-80fd-c2192cb3bf81</t>
        </is>
      </c>
      <c r="E1346" s="4" t="n">
        <v>46304.62429771401</v>
      </c>
      <c r="F1346" s="4" t="n">
        <v>46304.62429771409</v>
      </c>
      <c r="G1346" t="b">
        <v>1</v>
      </c>
      <c r="H1346" s="3" t="inlineStr">
        <is>
          <t>Added fraction 0.009118588492466234678741509876 of cost base adjustment 01a1212c-af76-73a3-8cc5-b6a47faf79d7 | 2026-06-30 | Adjustment of A200 | Cost base increase = A$494.99</t>
        </is>
      </c>
      <c r="I1346" t="inlineStr">
        <is>
          <t>cost base adjustment allocation</t>
        </is>
      </c>
      <c r="J1346" s="5" t="inlineStr">
        <is>
          <t>01a1212c-b075-77f6-a99e-d7d278e9857b</t>
        </is>
      </c>
    </row>
    <row r="1347">
      <c r="A1347" s="5" t="inlineStr">
        <is>
          <t>01a1212c-b080-73b7-825c-aefa4fdbc1f0</t>
        </is>
      </c>
      <c r="D1347" s="5" t="inlineStr">
        <is>
          <t>01a1212c-4b57-70cf-80fd-c2192cb3bf81</t>
        </is>
      </c>
      <c r="E1347" s="4" t="n">
        <v>46304.62429778146</v>
      </c>
      <c r="F1347" s="4" t="n">
        <v>46304.62429778154</v>
      </c>
      <c r="G1347" t="b">
        <v>1</v>
      </c>
      <c r="H1347" s="3" t="inlineStr">
        <is>
          <t>Added fraction 0.009118588492466234678741509876 of cost base adjustment 01a1212c-af76-73a3-8cc5-b6a47faf79d7 | 2026-06-30 | Adjustment of A200 | Cost base increase = A$494.99</t>
        </is>
      </c>
      <c r="I1347" t="inlineStr">
        <is>
          <t>cost base adjustment allocation</t>
        </is>
      </c>
      <c r="J1347" s="5" t="inlineStr">
        <is>
          <t>01a1212c-b07b-775c-af5b-0194d2b2e254</t>
        </is>
      </c>
    </row>
    <row r="1348">
      <c r="A1348" s="5" t="inlineStr">
        <is>
          <t>01a1212c-b086-771c-bcac-0fe8362be68f</t>
        </is>
      </c>
      <c r="D1348" s="5" t="inlineStr">
        <is>
          <t>01a1212c-4b57-70cf-80fd-c2192cb3bf81</t>
        </is>
      </c>
      <c r="E1348" s="4" t="n">
        <v>46304.62429785891</v>
      </c>
      <c r="F1348" s="4" t="n">
        <v>46304.62429785902</v>
      </c>
      <c r="G1348" t="b">
        <v>1</v>
      </c>
      <c r="H1348" s="3" t="inlineStr">
        <is>
          <t>Added fraction 0.009118588492466234678741509876 of cost base adjustment 01a1212c-af76-73a3-8cc5-b6a47faf79d7 | 2026-06-30 | Adjustment of A200 | Cost base increase = A$494.99</t>
        </is>
      </c>
      <c r="I1348" t="inlineStr">
        <is>
          <t>cost base adjustment allocation</t>
        </is>
      </c>
      <c r="J1348" s="5" t="inlineStr">
        <is>
          <t>01a1212c-b080-73b7-825c-aefbb96167fa</t>
        </is>
      </c>
    </row>
    <row r="1349">
      <c r="A1349" s="5" t="inlineStr">
        <is>
          <t>01a1212c-b08d-73e9-9a57-b445ce42cf10</t>
        </is>
      </c>
      <c r="D1349" s="5" t="inlineStr">
        <is>
          <t>01a1212c-4b57-70cf-80fd-c2192cb3bf81</t>
        </is>
      </c>
      <c r="E1349" s="4" t="n">
        <v>46304.62429793002</v>
      </c>
      <c r="F1349" s="4" t="n">
        <v>46304.6242979301</v>
      </c>
      <c r="G1349" t="b">
        <v>1</v>
      </c>
      <c r="H1349" s="3" t="inlineStr">
        <is>
          <t>Added fraction 0.009118588492466234678741509876 of cost base adjustment 01a1212c-af76-73a3-8cc5-b6a47faf79d7 | 2026-06-30 | Adjustment of A200 | Cost base increase = A$494.99</t>
        </is>
      </c>
      <c r="I1349" t="inlineStr">
        <is>
          <t>cost base adjustment allocation</t>
        </is>
      </c>
      <c r="J1349" s="5" t="inlineStr">
        <is>
          <t>01a1212c-b087-72b8-bdd8-a9e1ffbcdca2</t>
        </is>
      </c>
    </row>
    <row r="1350">
      <c r="A1350" s="5" t="inlineStr">
        <is>
          <t>01a1212c-b093-706e-a89b-b5a56238b713</t>
        </is>
      </c>
      <c r="D1350" s="5" t="inlineStr">
        <is>
          <t>01a1212c-4b57-70cf-80fd-c2192cb3bf81</t>
        </is>
      </c>
      <c r="E1350" s="4" t="n">
        <v>46304.62429800296</v>
      </c>
      <c r="F1350" s="4" t="n">
        <v>46304.62429800307</v>
      </c>
      <c r="G1350" t="b">
        <v>1</v>
      </c>
      <c r="H1350" s="3" t="inlineStr">
        <is>
          <t>Added fraction 0.009118588492466234678741509876 of cost base adjustment 01a1212c-af76-73a3-8cc5-b6a47faf79d7 | 2026-06-30 | Adjustment of A200 | Cost base increase = A$494.99</t>
        </is>
      </c>
      <c r="I1350" t="inlineStr">
        <is>
          <t>cost base adjustment allocation</t>
        </is>
      </c>
      <c r="J1350" s="5" t="inlineStr">
        <is>
          <t>01a1212c-b08d-73e9-9a57-b446624237a9</t>
        </is>
      </c>
    </row>
    <row r="1351">
      <c r="A1351" s="5" t="inlineStr">
        <is>
          <t>01a1212c-b099-749b-a8d6-053abacd802d</t>
        </is>
      </c>
      <c r="D1351" s="5" t="inlineStr">
        <is>
          <t>01a1212c-4b57-70cf-80fd-c2192cb3bf81</t>
        </is>
      </c>
      <c r="E1351" s="4" t="n">
        <v>46304.62429807758</v>
      </c>
      <c r="F1351" s="4" t="n">
        <v>46304.62429807767</v>
      </c>
      <c r="G1351" t="b">
        <v>1</v>
      </c>
      <c r="H1351" s="3" t="inlineStr">
        <is>
          <t>Added fraction 0.009118588492466234678741509876 of cost base adjustment 01a1212c-af76-73a3-8cc5-b6a47faf79d7 | 2026-06-30 | Adjustment of A200 | Cost base increase = A$494.99</t>
        </is>
      </c>
      <c r="I1351" t="inlineStr">
        <is>
          <t>cost base adjustment allocation</t>
        </is>
      </c>
      <c r="J1351" s="5" t="inlineStr">
        <is>
          <t>01a1212c-b094-7286-8b19-0d8de7925334</t>
        </is>
      </c>
    </row>
    <row r="1352">
      <c r="A1352" s="5" t="inlineStr">
        <is>
          <t>01a1212c-b09f-74c3-a942-6a6e54876c81</t>
        </is>
      </c>
      <c r="D1352" s="5" t="inlineStr">
        <is>
          <t>01a1212c-4b57-70cf-80fd-c2192cb3bf81</t>
        </is>
      </c>
      <c r="E1352" s="4" t="n">
        <v>46304.62429814505</v>
      </c>
      <c r="F1352" s="4" t="n">
        <v>46304.62429814513</v>
      </c>
      <c r="G1352" t="b">
        <v>1</v>
      </c>
      <c r="H1352" s="3" t="inlineStr">
        <is>
          <t>Added fraction 0.009118588492466234678741509876 of cost base adjustment 01a1212c-af76-73a3-8cc5-b6a47faf79d7 | 2026-06-30 | Adjustment of A200 | Cost base increase = A$494.99</t>
        </is>
      </c>
      <c r="I1352" t="inlineStr">
        <is>
          <t>cost base adjustment allocation</t>
        </is>
      </c>
      <c r="J1352" s="5" t="inlineStr">
        <is>
          <t>01a1212c-b09a-75c7-a2df-895b5464c261</t>
        </is>
      </c>
    </row>
    <row r="1353">
      <c r="A1353" s="5" t="inlineStr">
        <is>
          <t>01a1212c-b0a6-755e-8dca-6c1cfce57903</t>
        </is>
      </c>
      <c r="D1353" s="5" t="inlineStr">
        <is>
          <t>01a1212c-4b57-70cf-80fd-c2192cb3bf81</t>
        </is>
      </c>
      <c r="E1353" s="4" t="n">
        <v>46304.62429822336</v>
      </c>
      <c r="F1353" s="4" t="n">
        <v>46304.62429822344</v>
      </c>
      <c r="G1353" t="b">
        <v>1</v>
      </c>
      <c r="H1353" s="3" t="inlineStr">
        <is>
          <t>Added fraction 0.01025841205402451401358419861 of cost base adjustment 01a1212c-af76-73a3-8cc5-b6a47faf79d7 | 2026-06-30 | Adjustment of A200 | Cost base increase = A$494.99</t>
        </is>
      </c>
      <c r="I1353" t="inlineStr">
        <is>
          <t>cost base adjustment allocation</t>
        </is>
      </c>
      <c r="J1353" s="5" t="inlineStr">
        <is>
          <t>01a1212c-b0a0-70d6-bd95-716b1f54d96a</t>
        </is>
      </c>
    </row>
    <row r="1354">
      <c r="A1354" s="5" t="inlineStr">
        <is>
          <t>01a1212c-b0ac-7043-8523-63b2b9d61353</t>
        </is>
      </c>
      <c r="D1354" s="5" t="inlineStr">
        <is>
          <t>01a1212c-4b57-70cf-80fd-c2192cb3bf81</t>
        </is>
      </c>
      <c r="E1354" s="4" t="n">
        <v>46304.62429829216</v>
      </c>
      <c r="F1354" s="4" t="n">
        <v>46304.62429829225</v>
      </c>
      <c r="G1354" t="b">
        <v>1</v>
      </c>
      <c r="H1354" s="3" t="inlineStr">
        <is>
          <t>Added fraction 0.01025841205402451401358419861 of cost base adjustment 01a1212c-af76-73a3-8cc5-b6a47faf79d7 | 2026-06-30 | Adjustment of A200 | Cost base increase = A$494.99</t>
        </is>
      </c>
      <c r="I1354" t="inlineStr">
        <is>
          <t>cost base adjustment allocation</t>
        </is>
      </c>
      <c r="J1354" s="5" t="inlineStr">
        <is>
          <t>01a1212c-b0a7-74c7-bfae-d28b546dd775</t>
        </is>
      </c>
    </row>
    <row r="1355">
      <c r="A1355" s="5" t="inlineStr">
        <is>
          <t>01a1212c-b0b2-72ed-ad47-0b51abd39aa5</t>
        </is>
      </c>
      <c r="D1355" s="5" t="inlineStr">
        <is>
          <t>01a1212c-4b57-70cf-80fd-c2192cb3bf81</t>
        </is>
      </c>
      <c r="E1355" s="4" t="n">
        <v>46304.6242983633</v>
      </c>
      <c r="F1355" s="4" t="n">
        <v>46304.6242983634</v>
      </c>
      <c r="G1355" t="b">
        <v>1</v>
      </c>
      <c r="H1355" s="3" t="inlineStr">
        <is>
          <t>Added fraction 0.01025841205402451401358419861 of cost base adjustment 01a1212c-af76-73a3-8cc5-b6a47faf79d7 | 2026-06-30 | Adjustment of A200 | Cost base increase = A$494.99</t>
        </is>
      </c>
      <c r="I1355" t="inlineStr">
        <is>
          <t>cost base adjustment allocation</t>
        </is>
      </c>
      <c r="J1355" s="5" t="inlineStr">
        <is>
          <t>01a1212c-b0ad-75c2-bdba-c1bbfba9af7f</t>
        </is>
      </c>
    </row>
    <row r="1356">
      <c r="A1356" s="5" t="inlineStr">
        <is>
          <t>01a1212c-b0b8-74ea-b392-8c67542900d4</t>
        </is>
      </c>
      <c r="D1356" s="5" t="inlineStr">
        <is>
          <t>01a1212c-4b57-70cf-80fd-c2192cb3bf81</t>
        </is>
      </c>
      <c r="E1356" s="4" t="n">
        <v>46304.62429843313</v>
      </c>
      <c r="F1356" s="4" t="n">
        <v>46304.62429843321</v>
      </c>
      <c r="G1356" t="b">
        <v>1</v>
      </c>
      <c r="H1356" s="3" t="inlineStr">
        <is>
          <t>Added fraction 0.01025841205402451401358419861 of cost base adjustment 01a1212c-af76-73a3-8cc5-b6a47faf79d7 | 2026-06-30 | Adjustment of A200 | Cost base increase = A$494.99</t>
        </is>
      </c>
      <c r="I1356" t="inlineStr">
        <is>
          <t>cost base adjustment allocation</t>
        </is>
      </c>
      <c r="J1356" s="5" t="inlineStr">
        <is>
          <t>01a1212c-b0b3-7476-be62-2f565ba3b442</t>
        </is>
      </c>
    </row>
    <row r="1357">
      <c r="A1357" s="5" t="inlineStr">
        <is>
          <t>01a1212c-b0be-75a3-8100-9386301fb744</t>
        </is>
      </c>
      <c r="D1357" s="5" t="inlineStr">
        <is>
          <t>01a1212c-4b57-70cf-80fd-c2192cb3bf81</t>
        </is>
      </c>
      <c r="E1357" s="4" t="n">
        <v>46304.62429850305</v>
      </c>
      <c r="F1357" s="4" t="n">
        <v>46304.62429850313</v>
      </c>
      <c r="G1357" t="b">
        <v>1</v>
      </c>
      <c r="H1357" s="3" t="inlineStr">
        <is>
          <t>Added fraction 0.01025841205402451401358419861 of cost base adjustment 01a1212c-af76-73a3-8cc5-b6a47faf79d7 | 2026-06-30 | Adjustment of A200 | Cost base increase = A$494.99</t>
        </is>
      </c>
      <c r="I1357" t="inlineStr">
        <is>
          <t>cost base adjustment allocation</t>
        </is>
      </c>
      <c r="J1357" s="5" t="inlineStr">
        <is>
          <t>01a1212c-b0b9-7497-9252-7aea6c0a768c</t>
        </is>
      </c>
    </row>
    <row r="1358">
      <c r="A1358" s="5" t="inlineStr">
        <is>
          <t>01a1212c-b0c4-77df-9406-7df5fedb4029</t>
        </is>
      </c>
      <c r="D1358" s="5" t="inlineStr">
        <is>
          <t>01a1212c-4b57-70cf-80fd-c2192cb3bf81</t>
        </is>
      </c>
      <c r="E1358" s="4" t="n">
        <v>46304.62429856817</v>
      </c>
      <c r="F1358" s="4" t="n">
        <v>46304.62429856825</v>
      </c>
      <c r="G1358" t="b">
        <v>1</v>
      </c>
      <c r="H1358" s="3" t="inlineStr">
        <is>
          <t>Added fraction 0.01025841205402451401358419861 of cost base adjustment 01a1212c-af76-73a3-8cc5-b6a47faf79d7 | 2026-06-30 | Adjustment of A200 | Cost base increase = A$494.99</t>
        </is>
      </c>
      <c r="I1358" t="inlineStr">
        <is>
          <t>cost base adjustment allocation</t>
        </is>
      </c>
      <c r="J1358" s="5" t="inlineStr">
        <is>
          <t>01a1212c-b0bf-70ee-abd1-a938c840196d</t>
        </is>
      </c>
    </row>
    <row r="1359">
      <c r="A1359" s="5" t="inlineStr">
        <is>
          <t>01a1212c-b0ca-7605-b057-0c4a3dc8354a</t>
        </is>
      </c>
      <c r="D1359" s="5" t="inlineStr">
        <is>
          <t>01a1212c-4b57-70cf-80fd-c2192cb3bf81</t>
        </is>
      </c>
      <c r="E1359" s="4" t="n">
        <v>46304.6242986358</v>
      </c>
      <c r="F1359" s="4" t="n">
        <v>46304.62429863587</v>
      </c>
      <c r="G1359" t="b">
        <v>1</v>
      </c>
      <c r="H1359" s="3" t="inlineStr">
        <is>
          <t>Added fraction 0.01025841205402451401358419861 of cost base adjustment 01a1212c-af76-73a3-8cc5-b6a47faf79d7 | 2026-06-30 | Adjustment of A200 | Cost base increase = A$494.99</t>
        </is>
      </c>
      <c r="I1359" t="inlineStr">
        <is>
          <t>cost base adjustment allocation</t>
        </is>
      </c>
      <c r="J1359" s="5" t="inlineStr">
        <is>
          <t>01a1212c-b0c4-77df-9406-7df6b2bbcd99</t>
        </is>
      </c>
    </row>
    <row r="1360">
      <c r="A1360" s="5" t="inlineStr">
        <is>
          <t>01a1212c-b0cf-7279-99ea-c12ede238345</t>
        </is>
      </c>
      <c r="D1360" s="5" t="inlineStr">
        <is>
          <t>01a1212c-4b57-70cf-80fd-c2192cb3bf81</t>
        </is>
      </c>
      <c r="E1360" s="4" t="n">
        <v>46304.62429870351</v>
      </c>
      <c r="F1360" s="4" t="n">
        <v>46304.62429870359</v>
      </c>
      <c r="G1360" t="b">
        <v>1</v>
      </c>
      <c r="H1360" s="3" t="inlineStr">
        <is>
          <t>Added fraction 0.01025841205402451401358419861 of cost base adjustment 01a1212c-af76-73a3-8cc5-b6a47faf79d7 | 2026-06-30 | Adjustment of A200 | Cost base increase = A$494.99</t>
        </is>
      </c>
      <c r="I1360" t="inlineStr">
        <is>
          <t>cost base adjustment allocation</t>
        </is>
      </c>
      <c r="J1360" s="5" t="inlineStr">
        <is>
          <t>01a1212c-b0ca-7605-b057-0c4be6aad67c</t>
        </is>
      </c>
    </row>
    <row r="1361">
      <c r="A1361" s="5" t="inlineStr">
        <is>
          <t>01a1212c-b0d5-77fa-8f01-67bdf5b58cad</t>
        </is>
      </c>
      <c r="D1361" s="5" t="inlineStr">
        <is>
          <t>01a1212c-4b57-70cf-80fd-c2192cb3bf81</t>
        </is>
      </c>
      <c r="E1361" s="4" t="n">
        <v>46304.62429877117</v>
      </c>
      <c r="F1361" s="4" t="n">
        <v>46304.62429877125</v>
      </c>
      <c r="G1361" t="b">
        <v>1</v>
      </c>
      <c r="H1361" s="3" t="inlineStr">
        <is>
          <t>Added fraction 0.01025841205402451401358419861 of cost base adjustment 01a1212c-af76-73a3-8cc5-b6a47faf79d7 | 2026-06-30 | Adjustment of A200 | Cost base increase = A$494.99</t>
        </is>
      </c>
      <c r="I1361" t="inlineStr">
        <is>
          <t>cost base adjustment allocation</t>
        </is>
      </c>
      <c r="J1361" s="5" t="inlineStr">
        <is>
          <t>01a1212c-b0d0-7777-87c3-614cd3697dc7</t>
        </is>
      </c>
    </row>
    <row r="1362">
      <c r="A1362" s="5" t="inlineStr">
        <is>
          <t>01a1212c-b0db-734f-9d77-6c65f1a6b057</t>
        </is>
      </c>
      <c r="D1362" s="5" t="inlineStr">
        <is>
          <t>01a1212c-4b57-70cf-80fd-c2192cb3bf81</t>
        </is>
      </c>
      <c r="E1362" s="4" t="n">
        <v>46304.62429883827</v>
      </c>
      <c r="F1362" s="4" t="n">
        <v>46304.62429883836</v>
      </c>
      <c r="G1362" t="b">
        <v>1</v>
      </c>
      <c r="H1362" s="3" t="inlineStr">
        <is>
          <t>Added fraction 0.01025841205402451401358419861 of cost base adjustment 01a1212c-af76-73a3-8cc5-b6a47faf79d7 | 2026-06-30 | Adjustment of A200 | Cost base increase = A$494.99</t>
        </is>
      </c>
      <c r="I1362" t="inlineStr">
        <is>
          <t>cost base adjustment allocation</t>
        </is>
      </c>
      <c r="J1362" s="5" t="inlineStr">
        <is>
          <t>01a1212c-b0d6-767f-94c4-249261eb53e0</t>
        </is>
      </c>
    </row>
    <row r="1363">
      <c r="A1363" s="5" t="inlineStr">
        <is>
          <t>01a1212c-b0e1-7603-b545-c0bf5f3599c2</t>
        </is>
      </c>
      <c r="D1363" s="5" t="inlineStr">
        <is>
          <t>01a1212c-4b57-70cf-80fd-c2192cb3bf81</t>
        </is>
      </c>
      <c r="E1363" s="4" t="n">
        <v>46304.62429890669</v>
      </c>
      <c r="F1363" s="4" t="n">
        <v>46304.62429890683</v>
      </c>
      <c r="G1363" t="b">
        <v>1</v>
      </c>
      <c r="H1363" s="3" t="inlineStr">
        <is>
          <t>Added fraction 0.01025841205402451401358419861 of cost base adjustment 01a1212c-af76-73a3-8cc5-b6a47faf79d7 | 2026-06-30 | Adjustment of A200 | Cost base increase = A$494.99</t>
        </is>
      </c>
      <c r="I1363" t="inlineStr">
        <is>
          <t>cost base adjustment allocation</t>
        </is>
      </c>
      <c r="J1363" s="5" t="inlineStr">
        <is>
          <t>01a1212c-b0dc-76de-8927-79e6aeefda3c</t>
        </is>
      </c>
    </row>
    <row r="1364">
      <c r="A1364" s="5" t="inlineStr">
        <is>
          <t>01a1212c-b0e7-756b-9615-c1f6844348f6</t>
        </is>
      </c>
      <c r="D1364" s="5" t="inlineStr">
        <is>
          <t>01a1212c-4b57-70cf-80fd-c2192cb3bf81</t>
        </is>
      </c>
      <c r="E1364" s="4" t="n">
        <v>46304.62429897712</v>
      </c>
      <c r="F1364" s="4" t="n">
        <v>46304.6242989772</v>
      </c>
      <c r="G1364" t="b">
        <v>1</v>
      </c>
      <c r="H1364" s="3" t="inlineStr">
        <is>
          <t>Added fraction 0.01025841205402451401358419861 of cost base adjustment 01a1212c-af76-73a3-8cc5-b6a47faf79d7 | 2026-06-30 | Adjustment of A200 | Cost base increase = A$494.99</t>
        </is>
      </c>
      <c r="I1364" t="inlineStr">
        <is>
          <t>cost base adjustment allocation</t>
        </is>
      </c>
      <c r="J1364" s="5" t="inlineStr">
        <is>
          <t>01a1212c-b0e2-715d-ac29-2664891d6405</t>
        </is>
      </c>
    </row>
    <row r="1365">
      <c r="A1365" s="5" t="inlineStr">
        <is>
          <t>01a1212c-b0ed-7151-ba47-827cdfa6c53a</t>
        </is>
      </c>
      <c r="D1365" s="5" t="inlineStr">
        <is>
          <t>01a1212c-4b57-70cf-80fd-c2192cb3bf81</t>
        </is>
      </c>
      <c r="E1365" s="4" t="n">
        <v>46304.62429904824</v>
      </c>
      <c r="F1365" s="4" t="n">
        <v>46304.62429904833</v>
      </c>
      <c r="G1365" t="b">
        <v>1</v>
      </c>
      <c r="H1365" s="3" t="inlineStr">
        <is>
          <t>Added fraction 0.01139823561558279334842688734 of cost base adjustment 01a1212c-af76-73a3-8cc5-b6a47faf79d7 | 2026-06-30 | Adjustment of A200 | Cost base increase = A$494.99</t>
        </is>
      </c>
      <c r="I1365" t="inlineStr">
        <is>
          <t>cost base adjustment allocation</t>
        </is>
      </c>
      <c r="J1365" s="5" t="inlineStr">
        <is>
          <t>01a1212c-b0e8-745c-b96a-a701428c5c5f</t>
        </is>
      </c>
    </row>
    <row r="1366">
      <c r="A1366" s="5" t="inlineStr">
        <is>
          <t>01a1212c-b0f4-70ee-806f-314a7a68fa57</t>
        </is>
      </c>
      <c r="D1366" s="5" t="inlineStr">
        <is>
          <t>01a1212c-4b57-70cf-80fd-c2192cb3bf81</t>
        </is>
      </c>
      <c r="E1366" s="4" t="n">
        <v>46304.6242991235</v>
      </c>
      <c r="F1366" s="4" t="n">
        <v>46304.62429912358</v>
      </c>
      <c r="G1366" t="b">
        <v>1</v>
      </c>
      <c r="H1366" s="3" t="inlineStr">
        <is>
          <t>Added fraction 0.01139823561558279334842688734 of cost base adjustment 01a1212c-af76-73a3-8cc5-b6a47faf79d7 | 2026-06-30 | Adjustment of A200 | Cost base increase = A$494.99</t>
        </is>
      </c>
      <c r="I1366" t="inlineStr">
        <is>
          <t>cost base adjustment allocation</t>
        </is>
      </c>
      <c r="J1366" s="5" t="inlineStr">
        <is>
          <t>01a1212c-b0ee-7091-927a-58851513cd4f</t>
        </is>
      </c>
    </row>
    <row r="1367">
      <c r="A1367" s="5" t="inlineStr">
        <is>
          <t>01a1212c-b0fa-74cb-835f-34b69b6a3944</t>
        </is>
      </c>
      <c r="D1367" s="5" t="inlineStr">
        <is>
          <t>01a1212c-4b57-70cf-80fd-c2192cb3bf81</t>
        </is>
      </c>
      <c r="E1367" s="4" t="n">
        <v>46304.6242991998</v>
      </c>
      <c r="F1367" s="4" t="n">
        <v>46304.62429919988</v>
      </c>
      <c r="G1367" t="b">
        <v>1</v>
      </c>
      <c r="H1367" s="3" t="inlineStr">
        <is>
          <t>Added fraction 0.01139823561558279334842688734 of cost base adjustment 01a1212c-af76-73a3-8cc5-b6a47faf79d7 | 2026-06-30 | Adjustment of A200 | Cost base increase = A$494.99</t>
        </is>
      </c>
      <c r="I1367" t="inlineStr">
        <is>
          <t>cost base adjustment allocation</t>
        </is>
      </c>
      <c r="J1367" s="5" t="inlineStr">
        <is>
          <t>01a1212c-b0f4-70ee-806f-314bb5c3b00e</t>
        </is>
      </c>
    </row>
    <row r="1368">
      <c r="A1368" s="5" t="inlineStr">
        <is>
          <t>01a1212c-b100-702d-8ceb-04860016c193</t>
        </is>
      </c>
      <c r="D1368" s="5" t="inlineStr">
        <is>
          <t>01a1212c-4b57-70cf-80fd-c2192cb3bf81</t>
        </is>
      </c>
      <c r="E1368" s="4" t="n">
        <v>46304.62429927162</v>
      </c>
      <c r="F1368" s="4" t="n">
        <v>46304.6242992717</v>
      </c>
      <c r="G1368" t="b">
        <v>1</v>
      </c>
      <c r="H1368" s="3" t="inlineStr">
        <is>
          <t>Added fraction 0.01139823561558279334842688734 of cost base adjustment 01a1212c-af76-73a3-8cc5-b6a47faf79d7 | 2026-06-30 | Adjustment of A200 | Cost base increase = A$494.99</t>
        </is>
      </c>
      <c r="I1368" t="inlineStr">
        <is>
          <t>cost base adjustment allocation</t>
        </is>
      </c>
      <c r="J1368" s="5" t="inlineStr">
        <is>
          <t>01a1212c-b0fb-7601-a5ef-3848b8d212b5</t>
        </is>
      </c>
    </row>
    <row r="1369">
      <c r="A1369" s="5" t="inlineStr">
        <is>
          <t>01a1212c-b107-77fb-8098-377264286935</t>
        </is>
      </c>
      <c r="D1369" s="5" t="inlineStr">
        <is>
          <t>01a1212c-4b57-70cf-80fd-c2192cb3bf81</t>
        </is>
      </c>
      <c r="E1369" s="4" t="n">
        <v>46304.62429934233</v>
      </c>
      <c r="F1369" s="4" t="n">
        <v>46304.62429934241</v>
      </c>
      <c r="G1369" t="b">
        <v>1</v>
      </c>
      <c r="H1369" s="3" t="inlineStr">
        <is>
          <t>Added fraction 0.01139823561558279334842688734 of cost base adjustment 01a1212c-af76-73a3-8cc5-b6a47faf79d7 | 2026-06-30 | Adjustment of A200 | Cost base increase = A$494.99</t>
        </is>
      </c>
      <c r="I1369" t="inlineStr">
        <is>
          <t>cost base adjustment allocation</t>
        </is>
      </c>
      <c r="J1369" s="5" t="inlineStr">
        <is>
          <t>01a1212c-b101-7154-bbb3-8e72b6ddc32f</t>
        </is>
      </c>
    </row>
    <row r="1370">
      <c r="A1370" s="5" t="inlineStr">
        <is>
          <t>01a1212c-b10d-74df-bb30-67a28cf83b0f</t>
        </is>
      </c>
      <c r="D1370" s="5" t="inlineStr">
        <is>
          <t>01a1212c-4b57-70cf-80fd-c2192cb3bf81</t>
        </is>
      </c>
      <c r="E1370" s="4" t="n">
        <v>46304.62429941077</v>
      </c>
      <c r="F1370" s="4" t="n">
        <v>46304.62429941085</v>
      </c>
      <c r="G1370" t="b">
        <v>1</v>
      </c>
      <c r="H1370" s="3" t="inlineStr">
        <is>
          <t>Added fraction 0.01139823561558279334842688734 of cost base adjustment 01a1212c-af76-73a3-8cc5-b6a47faf79d7 | 2026-06-30 | Adjustment of A200 | Cost base increase = A$494.99</t>
        </is>
      </c>
      <c r="I1370" t="inlineStr">
        <is>
          <t>cost base adjustment allocation</t>
        </is>
      </c>
      <c r="J1370" s="5" t="inlineStr">
        <is>
          <t>01a1212c-b107-77fb-8098-377395fa9341</t>
        </is>
      </c>
    </row>
    <row r="1371">
      <c r="A1371" s="5" t="inlineStr">
        <is>
          <t>01a1212c-b112-773a-809b-612b26679fbe</t>
        </is>
      </c>
      <c r="D1371" s="5" t="inlineStr">
        <is>
          <t>01a1212c-4b57-70cf-80fd-c2192cb3bf81</t>
        </is>
      </c>
      <c r="E1371" s="4" t="n">
        <v>46304.62429947866</v>
      </c>
      <c r="F1371" s="4" t="n">
        <v>46304.62429947872</v>
      </c>
      <c r="G1371" t="b">
        <v>1</v>
      </c>
      <c r="H1371" s="3" t="inlineStr">
        <is>
          <t>Added fraction 0.01139823561558279334842688734 of cost base adjustment 01a1212c-af76-73a3-8cc5-b6a47faf79d7 | 2026-06-30 | Adjustment of A200 | Cost base increase = A$494.99</t>
        </is>
      </c>
      <c r="I1371" t="inlineStr">
        <is>
          <t>cost base adjustment allocation</t>
        </is>
      </c>
      <c r="J1371" s="5" t="inlineStr">
        <is>
          <t>01a1212c-b10d-74df-bb30-67a352bf05d5</t>
        </is>
      </c>
    </row>
    <row r="1372">
      <c r="A1372" s="5" t="inlineStr">
        <is>
          <t>01a1212c-b118-757c-b691-532e094dd3ea</t>
        </is>
      </c>
      <c r="D1372" s="5" t="inlineStr">
        <is>
          <t>01a1212c-4b57-70cf-80fd-c2192cb3bf81</t>
        </is>
      </c>
      <c r="E1372" s="4" t="n">
        <v>46304.62429954786</v>
      </c>
      <c r="F1372" s="4" t="n">
        <v>46304.62429954794</v>
      </c>
      <c r="G1372" t="b">
        <v>1</v>
      </c>
      <c r="H1372" s="3" t="inlineStr">
        <is>
          <t>Added fraction 0.01139823561558279334842688734 of cost base adjustment 01a1212c-af76-73a3-8cc5-b6a47faf79d7 | 2026-06-30 | Adjustment of A200 | Cost base increase = A$494.99</t>
        </is>
      </c>
      <c r="I1372" t="inlineStr">
        <is>
          <t>cost base adjustment allocation</t>
        </is>
      </c>
      <c r="J1372" s="5" t="inlineStr">
        <is>
          <t>01a1212c-b113-767a-9bb1-6c54b6c6e414</t>
        </is>
      </c>
    </row>
    <row r="1373">
      <c r="A1373" s="5" t="inlineStr">
        <is>
          <t>01a1212c-b11f-7457-b537-db560b6db659</t>
        </is>
      </c>
      <c r="D1373" s="5" t="inlineStr">
        <is>
          <t>01a1212c-4b57-70cf-80fd-c2192cb3bf81</t>
        </is>
      </c>
      <c r="E1373" s="4" t="n">
        <v>46304.62429961922</v>
      </c>
      <c r="F1373" s="4" t="n">
        <v>46304.6242996193</v>
      </c>
      <c r="G1373" t="b">
        <v>1</v>
      </c>
      <c r="H1373" s="3" t="inlineStr">
        <is>
          <t>Added fraction 0.01139823561558279334842688734 of cost base adjustment 01a1212c-af76-73a3-8cc5-b6a47faf79d7 | 2026-06-30 | Adjustment of A200 | Cost base increase = A$494.99</t>
        </is>
      </c>
      <c r="I1373" t="inlineStr">
        <is>
          <t>cost base adjustment allocation</t>
        </is>
      </c>
      <c r="J1373" s="5" t="inlineStr">
        <is>
          <t>01a1212c-b119-7346-8217-204e75c075c3</t>
        </is>
      </c>
    </row>
    <row r="1374">
      <c r="A1374" s="5" t="inlineStr">
        <is>
          <t>01a1212c-b125-7660-be5d-38993d0e0238</t>
        </is>
      </c>
      <c r="D1374" s="5" t="inlineStr">
        <is>
          <t>01a1212c-4b57-70cf-80fd-c2192cb3bf81</t>
        </is>
      </c>
      <c r="E1374" s="4" t="n">
        <v>46304.62429969111</v>
      </c>
      <c r="F1374" s="4" t="n">
        <v>46304.62429969119</v>
      </c>
      <c r="G1374" t="b">
        <v>1</v>
      </c>
      <c r="H1374" s="3" t="inlineStr">
        <is>
          <t>Added fraction 0.01139823561558279334842688734 of cost base adjustment 01a1212c-af76-73a3-8cc5-b6a47faf79d7 | 2026-06-30 | Adjustment of A200 | Cost base increase = A$494.99</t>
        </is>
      </c>
      <c r="I1374" t="inlineStr">
        <is>
          <t>cost base adjustment allocation</t>
        </is>
      </c>
      <c r="J1374" s="5" t="inlineStr">
        <is>
          <t>01a1212c-b11f-7457-b537-db575f1fb03e</t>
        </is>
      </c>
    </row>
    <row r="1375">
      <c r="A1375" s="5" t="inlineStr">
        <is>
          <t>01a1212c-b12b-76b8-9686-42528b5ea34f</t>
        </is>
      </c>
      <c r="D1375" s="5" t="inlineStr">
        <is>
          <t>01a1212c-4b57-70cf-80fd-c2192cb3bf81</t>
        </is>
      </c>
      <c r="E1375" s="4" t="n">
        <v>46304.62429975846</v>
      </c>
      <c r="F1375" s="4" t="n">
        <v>46304.62429975855</v>
      </c>
      <c r="G1375" t="b">
        <v>1</v>
      </c>
      <c r="H1375" s="3" t="inlineStr">
        <is>
          <t>Added fraction 0.01139823561558279334842688734 of cost base adjustment 01a1212c-af76-73a3-8cc5-b6a47faf79d7 | 2026-06-30 | Adjustment of A200 | Cost base increase = A$494.99</t>
        </is>
      </c>
      <c r="I1375" t="inlineStr">
        <is>
          <t>cost base adjustment allocation</t>
        </is>
      </c>
      <c r="J1375" s="5" t="inlineStr">
        <is>
          <t>01a1212c-b125-7660-be5d-389a89608590</t>
        </is>
      </c>
    </row>
    <row r="1376">
      <c r="A1376" s="5" t="inlineStr">
        <is>
          <t>01a1212c-b131-733a-82ff-11f1f133f518</t>
        </is>
      </c>
      <c r="D1376" s="5" t="inlineStr">
        <is>
          <t>01a1212c-4b57-70cf-80fd-c2192cb3bf81</t>
        </is>
      </c>
      <c r="E1376" s="4" t="n">
        <v>46304.62429983298</v>
      </c>
      <c r="F1376" s="4" t="n">
        <v>46304.62429983308</v>
      </c>
      <c r="G1376" t="b">
        <v>1</v>
      </c>
      <c r="H1376" s="3" t="inlineStr">
        <is>
          <t>Added fraction 0.01253805917714107268326957608 of cost base adjustment 01a1212c-af76-73a3-8cc5-b6a47faf79d7 | 2026-06-30 | Adjustment of A200 | Cost base increase = A$494.99</t>
        </is>
      </c>
      <c r="I1376" t="inlineStr">
        <is>
          <t>cost base adjustment allocation</t>
        </is>
      </c>
      <c r="J1376" s="5" t="inlineStr">
        <is>
          <t>01a1212c-b12b-76b8-9686-4253c13b1841</t>
        </is>
      </c>
    </row>
    <row r="1377">
      <c r="A1377" s="5" t="inlineStr">
        <is>
          <t>01a1212c-b137-7277-bf7d-aae315abe10d</t>
        </is>
      </c>
      <c r="D1377" s="5" t="inlineStr">
        <is>
          <t>01a1212c-4b57-70cf-80fd-c2192cb3bf81</t>
        </is>
      </c>
      <c r="E1377" s="4" t="n">
        <v>46304.62429990424</v>
      </c>
      <c r="F1377" s="4" t="n">
        <v>46304.62429990432</v>
      </c>
      <c r="G1377" t="b">
        <v>1</v>
      </c>
      <c r="H1377" s="3" t="inlineStr">
        <is>
          <t>Added fraction 0.01367788273869935201811226481 of cost base adjustment 01a1212c-af76-73a3-8cc5-b6a47faf79d7 | 2026-06-30 | Adjustment of A200 | Cost base increase = A$494.99</t>
        </is>
      </c>
      <c r="I1377" t="inlineStr">
        <is>
          <t>cost base adjustment allocation</t>
        </is>
      </c>
      <c r="J1377" s="5" t="inlineStr">
        <is>
          <t>01a1212c-b132-75df-af9a-26e3e4bcc773</t>
        </is>
      </c>
    </row>
    <row r="1378">
      <c r="A1378" s="5" t="inlineStr">
        <is>
          <t>01a1212c-b13d-7730-82e1-7b4f04e7040f</t>
        </is>
      </c>
      <c r="D1378" s="5" t="inlineStr">
        <is>
          <t>01a1212c-4b57-70cf-80fd-c2192cb3bf81</t>
        </is>
      </c>
      <c r="E1378" s="4" t="n">
        <v>46304.62429997412</v>
      </c>
      <c r="F1378" s="4" t="n">
        <v>46304.6242999742</v>
      </c>
      <c r="G1378" t="b">
        <v>1</v>
      </c>
      <c r="H1378" s="3" t="inlineStr">
        <is>
          <t>Added fraction 0.01367788273869935201811226481 of cost base adjustment 01a1212c-af76-73a3-8cc5-b6a47faf79d7 | 2026-06-30 | Adjustment of A200 | Cost base increase = A$494.99</t>
        </is>
      </c>
      <c r="I1378" t="inlineStr">
        <is>
          <t>cost base adjustment allocation</t>
        </is>
      </c>
      <c r="J1378" s="5" t="inlineStr">
        <is>
          <t>01a1212c-b138-70ab-8dd4-cf8bb86f1586</t>
        </is>
      </c>
    </row>
    <row r="1379">
      <c r="A1379" s="5" t="inlineStr">
        <is>
          <t>01a1212c-b143-7626-b206-1f0b90e6c9b7</t>
        </is>
      </c>
      <c r="D1379" s="5" t="inlineStr">
        <is>
          <t>01a1212c-4b57-70cf-80fd-c2192cb3bf81</t>
        </is>
      </c>
      <c r="E1379" s="4" t="n">
        <v>46304.62430004271</v>
      </c>
      <c r="F1379" s="4" t="n">
        <v>46304.62430004279</v>
      </c>
      <c r="G1379" t="b">
        <v>1</v>
      </c>
      <c r="H1379" s="3" t="inlineStr">
        <is>
          <t>Added fraction 0.01367788273869935201811226481 of cost base adjustment 01a1212c-af76-73a3-8cc5-b6a47faf79d7 | 2026-06-30 | Adjustment of A200 | Cost base increase = A$494.99</t>
        </is>
      </c>
      <c r="I1379" t="inlineStr">
        <is>
          <t>cost base adjustment allocation</t>
        </is>
      </c>
      <c r="J1379" s="5" t="inlineStr">
        <is>
          <t>01a1212c-b13e-7120-a7cd-b0a5cb590e90</t>
        </is>
      </c>
    </row>
    <row r="1380">
      <c r="A1380" s="5" t="inlineStr">
        <is>
          <t>01a1212c-b149-72e8-9d03-26da415737f3</t>
        </is>
      </c>
      <c r="D1380" s="5" t="inlineStr">
        <is>
          <t>01a1212c-4b57-70cf-80fd-c2192cb3bf81</t>
        </is>
      </c>
      <c r="E1380" s="4" t="n">
        <v>46304.62430011162</v>
      </c>
      <c r="F1380" s="4" t="n">
        <v>46304.6243001117</v>
      </c>
      <c r="G1380" t="b">
        <v>1</v>
      </c>
      <c r="H1380" s="3" t="inlineStr">
        <is>
          <t>Added fraction 0.01367788273869935201811226481 of cost base adjustment 01a1212c-af76-73a3-8cc5-b6a47faf79d7 | 2026-06-30 | Adjustment of A200 | Cost base increase = A$494.99</t>
        </is>
      </c>
      <c r="I1380" t="inlineStr">
        <is>
          <t>cost base adjustment allocation</t>
        </is>
      </c>
      <c r="J1380" s="5" t="inlineStr">
        <is>
          <t>01a1212c-b144-7053-9258-f46eb44357f3</t>
        </is>
      </c>
    </row>
    <row r="1381">
      <c r="A1381" s="5" t="inlineStr">
        <is>
          <t>01a1212c-b14f-71d6-99cf-afc870a70419</t>
        </is>
      </c>
      <c r="D1381" s="5" t="inlineStr">
        <is>
          <t>01a1212c-4b57-70cf-80fd-c2192cb3bf81</t>
        </is>
      </c>
      <c r="E1381" s="4" t="n">
        <v>46304.6243001801</v>
      </c>
      <c r="F1381" s="4" t="n">
        <v>46304.62430018018</v>
      </c>
      <c r="G1381" t="b">
        <v>1</v>
      </c>
      <c r="H1381" s="3" t="inlineStr">
        <is>
          <t>Added fraction 0.01481770630025763135295495355 of cost base adjustment 01a1212c-af76-73a3-8cc5-b6a47faf79d7 | 2026-06-30 | Adjustment of A200 | Cost base increase = A$494.99</t>
        </is>
      </c>
      <c r="I1381" t="inlineStr">
        <is>
          <t>cost base adjustment allocation</t>
        </is>
      </c>
      <c r="J1381" s="5" t="inlineStr">
        <is>
          <t>01a1212c-b14a-7118-a76d-5ec09fbb95d8</t>
        </is>
      </c>
    </row>
    <row r="1382">
      <c r="A1382" s="5" t="inlineStr">
        <is>
          <t>01a1212c-b155-7466-8114-2c825872368a</t>
        </is>
      </c>
      <c r="D1382" s="5" t="inlineStr">
        <is>
          <t>01a1212c-4b57-70cf-80fd-c2192cb3bf81</t>
        </is>
      </c>
      <c r="E1382" s="4" t="n">
        <v>46304.62430024635</v>
      </c>
      <c r="F1382" s="4" t="n">
        <v>46304.62430024643</v>
      </c>
      <c r="G1382" t="b">
        <v>1</v>
      </c>
      <c r="H1382" s="3" t="inlineStr">
        <is>
          <t>Added fraction 0.01481770630025763135295495355 of cost base adjustment 01a1212c-af76-73a3-8cc5-b6a47faf79d7 | 2026-06-30 | Adjustment of A200 | Cost base increase = A$494.99</t>
        </is>
      </c>
      <c r="I1382" t="inlineStr">
        <is>
          <t>cost base adjustment allocation</t>
        </is>
      </c>
      <c r="J1382" s="5" t="inlineStr">
        <is>
          <t>01a1212c-b150-73e1-9f18-204ef1ac755a</t>
        </is>
      </c>
    </row>
    <row r="1383">
      <c r="A1383" s="5" t="inlineStr">
        <is>
          <t>01a1212c-b15b-7739-b2dc-9166504097ab</t>
        </is>
      </c>
      <c r="D1383" s="5" t="inlineStr">
        <is>
          <t>01a1212c-4b57-70cf-80fd-c2192cb3bf81</t>
        </is>
      </c>
      <c r="E1383" s="4" t="n">
        <v>46304.62430031411</v>
      </c>
      <c r="F1383" s="4" t="n">
        <v>46304.62430031419</v>
      </c>
      <c r="G1383" t="b">
        <v>1</v>
      </c>
      <c r="H1383" s="3" t="inlineStr">
        <is>
          <t>Added fraction 0.01481770630025763135295495355 of cost base adjustment 01a1212c-af76-73a3-8cc5-b6a47faf79d7 | 2026-06-30 | Adjustment of A200 | Cost base increase = A$494.99</t>
        </is>
      </c>
      <c r="I1383" t="inlineStr">
        <is>
          <t>cost base adjustment allocation</t>
        </is>
      </c>
      <c r="J1383" s="5" t="inlineStr">
        <is>
          <t>01a1212c-b155-7466-8114-2c83630432bb</t>
        </is>
      </c>
    </row>
    <row r="1384">
      <c r="A1384" s="5" t="inlineStr">
        <is>
          <t>01a1212c-b161-7061-aabf-6e172b6779a2</t>
        </is>
      </c>
      <c r="D1384" s="5" t="inlineStr">
        <is>
          <t>01a1212c-4b57-70cf-80fd-c2192cb3bf81</t>
        </is>
      </c>
      <c r="E1384" s="4" t="n">
        <v>46304.62430038577</v>
      </c>
      <c r="F1384" s="4" t="n">
        <v>46304.62430038585</v>
      </c>
      <c r="G1384" t="b">
        <v>1</v>
      </c>
      <c r="H1384" s="3" t="inlineStr">
        <is>
          <t>Added fraction 0.01481770630025763135295495355 of cost base adjustment 01a1212c-af76-73a3-8cc5-b6a47faf79d7 | 2026-06-30 | Adjustment of A200 | Cost base increase = A$494.99</t>
        </is>
      </c>
      <c r="I1384" t="inlineStr">
        <is>
          <t>cost base adjustment allocation</t>
        </is>
      </c>
      <c r="J1384" s="5" t="inlineStr">
        <is>
          <t>01a1212c-b15b-7739-b2dc-9167ca594ae0</t>
        </is>
      </c>
    </row>
    <row r="1385">
      <c r="A1385" s="5" t="inlineStr">
        <is>
          <t>01a1212c-b167-7526-a998-a2d2268b8b49</t>
        </is>
      </c>
      <c r="D1385" s="5" t="inlineStr">
        <is>
          <t>01a1212c-4b57-70cf-80fd-c2192cb3bf81</t>
        </is>
      </c>
      <c r="E1385" s="4" t="n">
        <v>46304.62430045474</v>
      </c>
      <c r="F1385" s="4" t="n">
        <v>46304.62430045482</v>
      </c>
      <c r="G1385" t="b">
        <v>1</v>
      </c>
      <c r="H1385" s="3" t="inlineStr">
        <is>
          <t>Added fraction 0.01481770630025763135295495355 of cost base adjustment 01a1212c-af76-73a3-8cc5-b6a47faf79d7 | 2026-06-30 | Adjustment of A200 | Cost base increase = A$494.99</t>
        </is>
      </c>
      <c r="I1385" t="inlineStr">
        <is>
          <t>cost base adjustment allocation</t>
        </is>
      </c>
      <c r="J1385" s="5" t="inlineStr">
        <is>
          <t>01a1212c-b162-76f7-a427-e9bbe13b4d67</t>
        </is>
      </c>
    </row>
    <row r="1386">
      <c r="A1386" s="5" t="inlineStr">
        <is>
          <t>01a1212c-b16d-7571-a022-1bc7a120ad0a</t>
        </is>
      </c>
      <c r="D1386" s="5" t="inlineStr">
        <is>
          <t>01a1212c-4b57-70cf-80fd-c2192cb3bf81</t>
        </is>
      </c>
      <c r="E1386" s="4" t="n">
        <v>46304.62430052488</v>
      </c>
      <c r="F1386" s="4" t="n">
        <v>46304.62430052496</v>
      </c>
      <c r="G1386" t="b">
        <v>1</v>
      </c>
      <c r="H1386" s="3" t="inlineStr">
        <is>
          <t>Added fraction 0.01481770630025763135295495355 of cost base adjustment 01a1212c-af76-73a3-8cc5-b6a47faf79d7 | 2026-06-30 | Adjustment of A200 | Cost base increase = A$494.99</t>
        </is>
      </c>
      <c r="I1386" t="inlineStr">
        <is>
          <t>cost base adjustment allocation</t>
        </is>
      </c>
      <c r="J1386" s="5" t="inlineStr">
        <is>
          <t>01a1212c-b167-7526-a998-a2d3cfc8467e</t>
        </is>
      </c>
    </row>
    <row r="1387">
      <c r="A1387" s="5" t="inlineStr">
        <is>
          <t>01a1212c-b172-739f-800e-da00f47d35d3</t>
        </is>
      </c>
      <c r="D1387" s="5" t="inlineStr">
        <is>
          <t>01a1212c-4b57-70cf-80fd-c2192cb3bf81</t>
        </is>
      </c>
      <c r="E1387" s="4" t="n">
        <v>46304.62430059026</v>
      </c>
      <c r="F1387" s="4" t="n">
        <v>46304.62430059034</v>
      </c>
      <c r="G1387" t="b">
        <v>1</v>
      </c>
      <c r="H1387" s="3" t="inlineStr">
        <is>
          <t>Added fraction 0.01481770630025763135295495355 of cost base adjustment 01a1212c-af76-73a3-8cc5-b6a47faf79d7 | 2026-06-30 | Adjustment of A200 | Cost base increase = A$494.99</t>
        </is>
      </c>
      <c r="I1387" t="inlineStr">
        <is>
          <t>cost base adjustment allocation</t>
        </is>
      </c>
      <c r="J1387" s="5" t="inlineStr">
        <is>
          <t>01a1212c-b16d-7571-a022-1bc8de59e0dd</t>
        </is>
      </c>
    </row>
    <row r="1388">
      <c r="A1388" s="5" t="inlineStr">
        <is>
          <t>01a1212c-b178-7600-b49c-82e64ad85888</t>
        </is>
      </c>
      <c r="D1388" s="5" t="inlineStr">
        <is>
          <t>01a1212c-4b57-70cf-80fd-c2192cb3bf81</t>
        </is>
      </c>
      <c r="E1388" s="4" t="n">
        <v>46304.62430065787</v>
      </c>
      <c r="F1388" s="4" t="n">
        <v>46304.62430065795</v>
      </c>
      <c r="G1388" t="b">
        <v>1</v>
      </c>
      <c r="H1388" s="3" t="inlineStr">
        <is>
          <t>Added fraction 0.01481770630025763135295495355 of cost base adjustment 01a1212c-af76-73a3-8cc5-b6a47faf79d7 | 2026-06-30 | Adjustment of A200 | Cost base increase = A$494.99</t>
        </is>
      </c>
      <c r="I1388" t="inlineStr">
        <is>
          <t>cost base adjustment allocation</t>
        </is>
      </c>
      <c r="J1388" s="5" t="inlineStr">
        <is>
          <t>01a1212c-b173-7291-aa83-fc690d19aba5</t>
        </is>
      </c>
    </row>
    <row r="1389">
      <c r="A1389" s="5" t="inlineStr">
        <is>
          <t>01a1212c-b17e-7116-aa67-efbc58b0974c</t>
        </is>
      </c>
      <c r="D1389" s="5" t="inlineStr">
        <is>
          <t>01a1212c-4b57-70cf-80fd-c2192cb3bf81</t>
        </is>
      </c>
      <c r="E1389" s="4" t="n">
        <v>46304.62430072865</v>
      </c>
      <c r="F1389" s="4" t="n">
        <v>46304.62430072873</v>
      </c>
      <c r="G1389" t="b">
        <v>1</v>
      </c>
      <c r="H1389" s="3" t="inlineStr">
        <is>
          <t>Added fraction 0.01481770630025763135295495355 of cost base adjustment 01a1212c-af76-73a3-8cc5-b6a47faf79d7 | 2026-06-30 | Adjustment of A200 | Cost base increase = A$494.99</t>
        </is>
      </c>
      <c r="I1389" t="inlineStr">
        <is>
          <t>cost base adjustment allocation</t>
        </is>
      </c>
      <c r="J1389" s="5" t="inlineStr">
        <is>
          <t>01a1212c-b179-762c-ad20-27f8acc6842a</t>
        </is>
      </c>
    </row>
    <row r="1390">
      <c r="A1390" s="5" t="inlineStr">
        <is>
          <t>01a1212c-b184-73ec-92c4-68076aa17260</t>
        </is>
      </c>
      <c r="D1390" s="5" t="inlineStr">
        <is>
          <t>01a1212c-4b57-70cf-80fd-c2192cb3bf81</t>
        </is>
      </c>
      <c r="E1390" s="4" t="n">
        <v>46304.62430079679</v>
      </c>
      <c r="F1390" s="4" t="n">
        <v>46304.62430079687</v>
      </c>
      <c r="G1390" t="b">
        <v>1</v>
      </c>
      <c r="H1390" s="3" t="inlineStr">
        <is>
          <t>Added fraction 0.01481770630025763135295495355 of cost base adjustment 01a1212c-af76-73a3-8cc5-b6a47faf79d7 | 2026-06-30 | Adjustment of A200 | Cost base increase = A$494.99</t>
        </is>
      </c>
      <c r="I1390" t="inlineStr">
        <is>
          <t>cost base adjustment allocation</t>
        </is>
      </c>
      <c r="J1390" s="5" t="inlineStr">
        <is>
          <t>01a1212c-b17f-7039-8a76-2577507de398</t>
        </is>
      </c>
    </row>
    <row r="1391">
      <c r="A1391" s="5" t="inlineStr">
        <is>
          <t>01a1212c-b18a-76c5-9488-c58eec3407fa</t>
        </is>
      </c>
      <c r="D1391" s="5" t="inlineStr">
        <is>
          <t>01a1212c-4b57-70cf-80fd-c2192cb3bf81</t>
        </is>
      </c>
      <c r="E1391" s="4" t="n">
        <v>46304.62430086449</v>
      </c>
      <c r="F1391" s="4" t="n">
        <v>46304.62430086457</v>
      </c>
      <c r="G1391" t="b">
        <v>1</v>
      </c>
      <c r="H1391" s="3" t="inlineStr">
        <is>
          <t>Added fraction 0.01481770630025763135295495355 of cost base adjustment 01a1212c-af76-73a3-8cc5-b6a47faf79d7 | 2026-06-30 | Adjustment of A200 | Cost base increase = A$494.99</t>
        </is>
      </c>
      <c r="I1391" t="inlineStr">
        <is>
          <t>cost base adjustment allocation</t>
        </is>
      </c>
      <c r="J1391" s="5" t="inlineStr">
        <is>
          <t>01a1212c-b185-741e-894e-221b79e18740</t>
        </is>
      </c>
    </row>
    <row r="1392">
      <c r="A1392" s="5" t="inlineStr">
        <is>
          <t>01a1212c-b190-75a2-943d-a7a053edb256</t>
        </is>
      </c>
      <c r="D1392" s="5" t="inlineStr">
        <is>
          <t>01a1212c-4b57-70cf-80fd-c2192cb3bf81</t>
        </is>
      </c>
      <c r="E1392" s="4" t="n">
        <v>46304.62430093263</v>
      </c>
      <c r="F1392" s="4" t="n">
        <v>46304.62430093271</v>
      </c>
      <c r="G1392" t="b">
        <v>1</v>
      </c>
      <c r="H1392" s="3" t="inlineStr">
        <is>
          <t>Added fraction 0.01481770630025763135295495355 of cost base adjustment 01a1212c-af76-73a3-8cc5-b6a47faf79d7 | 2026-06-30 | Adjustment of A200 | Cost base increase = A$494.99</t>
        </is>
      </c>
      <c r="I1392" t="inlineStr">
        <is>
          <t>cost base adjustment allocation</t>
        </is>
      </c>
      <c r="J1392" s="5" t="inlineStr">
        <is>
          <t>01a1212c-b18b-773f-aa5b-427a6ee93748</t>
        </is>
      </c>
    </row>
    <row r="1393">
      <c r="A1393" s="5" t="inlineStr">
        <is>
          <t>01a1212c-b196-7018-8e8e-99573f4d6388</t>
        </is>
      </c>
      <c r="D1393" s="5" t="inlineStr">
        <is>
          <t>01a1212c-4b57-70cf-80fd-c2192cb3bf81</t>
        </is>
      </c>
      <c r="E1393" s="4" t="n">
        <v>46304.62430099875</v>
      </c>
      <c r="F1393" s="4" t="n">
        <v>46304.62430099882</v>
      </c>
      <c r="G1393" t="b">
        <v>1</v>
      </c>
      <c r="H1393" s="3" t="inlineStr">
        <is>
          <t>Added fraction 0.01481770630025763135295495355 of cost base adjustment 01a1212c-af76-73a3-8cc5-b6a47faf79d7 | 2026-06-30 | Adjustment of A200 | Cost base increase = A$494.99</t>
        </is>
      </c>
      <c r="I1393" t="inlineStr">
        <is>
          <t>cost base adjustment allocation</t>
        </is>
      </c>
      <c r="J1393" s="5" t="inlineStr">
        <is>
          <t>01a1212c-b191-74ca-ba52-d541b55f0a33</t>
        </is>
      </c>
    </row>
    <row r="1394">
      <c r="A1394" s="5" t="inlineStr">
        <is>
          <t>01a1212c-b19c-77c0-b092-91134aa9d737</t>
        </is>
      </c>
      <c r="D1394" s="5" t="inlineStr">
        <is>
          <t>01a1212c-4b57-70cf-80fd-c2192cb3bf81</t>
        </is>
      </c>
      <c r="E1394" s="4" t="n">
        <v>46304.62430106776</v>
      </c>
      <c r="F1394" s="4" t="n">
        <v>46304.62430106784</v>
      </c>
      <c r="G1394" t="b">
        <v>1</v>
      </c>
      <c r="H1394" s="3" t="inlineStr">
        <is>
          <t>Added fraction 0.01481770630025763135295495355 of cost base adjustment 01a1212c-af76-73a3-8cc5-b6a47faf79d7 | 2026-06-30 | Adjustment of A200 | Cost base increase = A$494.99</t>
        </is>
      </c>
      <c r="I1394" t="inlineStr">
        <is>
          <t>cost base adjustment allocation</t>
        </is>
      </c>
      <c r="J1394" s="5" t="inlineStr">
        <is>
          <t>01a1212c-b196-7018-8e8e-9958912b858f</t>
        </is>
      </c>
    </row>
    <row r="1395">
      <c r="A1395" s="5" t="inlineStr">
        <is>
          <t>01a1212c-b1a2-7072-a48d-90c3613e5c1a</t>
        </is>
      </c>
      <c r="D1395" s="5" t="inlineStr">
        <is>
          <t>01a1212c-4b57-70cf-80fd-c2192cb3bf81</t>
        </is>
      </c>
      <c r="E1395" s="4" t="n">
        <v>46304.62430113593</v>
      </c>
      <c r="F1395" s="4" t="n">
        <v>46304.62430113601</v>
      </c>
      <c r="G1395" t="b">
        <v>1</v>
      </c>
      <c r="H1395" s="3" t="inlineStr">
        <is>
          <t>Added fraction 0.01481770630025763135295495355 of cost base adjustment 01a1212c-af76-73a3-8cc5-b6a47faf79d7 | 2026-06-30 | Adjustment of A200 | Cost base increase = A$494.99</t>
        </is>
      </c>
      <c r="I1395" t="inlineStr">
        <is>
          <t>cost base adjustment allocation</t>
        </is>
      </c>
      <c r="J1395" s="5" t="inlineStr">
        <is>
          <t>01a1212c-b19c-77c0-b092-9114538cc6b6</t>
        </is>
      </c>
    </row>
    <row r="1396">
      <c r="A1396" s="5" t="inlineStr">
        <is>
          <t>01a1212c-b1a7-757d-a9f7-46adb67a546f</t>
        </is>
      </c>
      <c r="D1396" s="5" t="inlineStr">
        <is>
          <t>01a1212c-4b57-70cf-80fd-c2192cb3bf81</t>
        </is>
      </c>
      <c r="E1396" s="4" t="n">
        <v>46304.62430120326</v>
      </c>
      <c r="F1396" s="4" t="n">
        <v>46304.62430120333</v>
      </c>
      <c r="G1396" t="b">
        <v>1</v>
      </c>
      <c r="H1396" s="3" t="inlineStr">
        <is>
          <t>Added fraction 0.01481770630025763135295495355 of cost base adjustment 01a1212c-af76-73a3-8cc5-b6a47faf79d7 | 2026-06-30 | Adjustment of A200 | Cost base increase = A$494.99</t>
        </is>
      </c>
      <c r="I1396" t="inlineStr">
        <is>
          <t>cost base adjustment allocation</t>
        </is>
      </c>
      <c r="J1396" s="5" t="inlineStr">
        <is>
          <t>01a1212c-b1a2-7072-a48d-90c4e708ad78</t>
        </is>
      </c>
    </row>
    <row r="1397">
      <c r="A1397" s="5" t="inlineStr">
        <is>
          <t>01a1212c-b1ad-7466-8354-c7c7ec51200c</t>
        </is>
      </c>
      <c r="D1397" s="5" t="inlineStr">
        <is>
          <t>01a1212c-4b57-70cf-80fd-c2192cb3bf81</t>
        </is>
      </c>
      <c r="E1397" s="4" t="n">
        <v>46304.62430127167</v>
      </c>
      <c r="F1397" s="4" t="n">
        <v>46304.62430127174</v>
      </c>
      <c r="G1397" t="b">
        <v>1</v>
      </c>
      <c r="H1397" s="3" t="inlineStr">
        <is>
          <t>Added fraction 0.01595752986181591068779764228 of cost base adjustment 01a1212c-af76-73a3-8cc5-b6a47faf79d7 | 2026-06-30 | Adjustment of A200 | Cost base increase = A$494.99</t>
        </is>
      </c>
      <c r="I1397" t="inlineStr">
        <is>
          <t>cost base adjustment allocation</t>
        </is>
      </c>
      <c r="J1397" s="5" t="inlineStr">
        <is>
          <t>01a1212c-b1a8-738c-a5e7-6e8fa5c336b1</t>
        </is>
      </c>
    </row>
    <row r="1398">
      <c r="A1398" s="5" t="inlineStr">
        <is>
          <t>01a1212c-b1b3-709e-aa78-be34d2c055af</t>
        </is>
      </c>
      <c r="D1398" s="5" t="inlineStr">
        <is>
          <t>01a1212c-4b57-70cf-80fd-c2192cb3bf81</t>
        </is>
      </c>
      <c r="E1398" s="4" t="n">
        <v>46304.62430133922</v>
      </c>
      <c r="F1398" s="4" t="n">
        <v>46304.6243013393</v>
      </c>
      <c r="G1398" t="b">
        <v>1</v>
      </c>
      <c r="H1398" s="3" t="inlineStr">
        <is>
          <t>Added fraction 0.01595752986181591068779764228 of cost base adjustment 01a1212c-af76-73a3-8cc5-b6a47faf79d7 | 2026-06-30 | Adjustment of A200 | Cost base increase = A$494.99</t>
        </is>
      </c>
      <c r="I1398" t="inlineStr">
        <is>
          <t>cost base adjustment allocation</t>
        </is>
      </c>
      <c r="J1398" s="5" t="inlineStr">
        <is>
          <t>01a1212c-b1ae-7079-9f8d-ce12d2d4e926</t>
        </is>
      </c>
    </row>
    <row r="1399">
      <c r="A1399" s="5" t="inlineStr">
        <is>
          <t>01a1212c-b1b9-72ec-9048-f731c497d396</t>
        </is>
      </c>
      <c r="D1399" s="5" t="inlineStr">
        <is>
          <t>01a1212c-4b57-70cf-80fd-c2192cb3bf81</t>
        </is>
      </c>
      <c r="E1399" s="4" t="n">
        <v>46304.62430140584</v>
      </c>
      <c r="F1399" s="4" t="n">
        <v>46304.62430140591</v>
      </c>
      <c r="G1399" t="b">
        <v>1</v>
      </c>
      <c r="H1399" s="3" t="inlineStr">
        <is>
          <t>Added fraction 0.01595752986181591068779764228 of cost base adjustment 01a1212c-af76-73a3-8cc5-b6a47faf79d7 | 2026-06-30 | Adjustment of A200 | Cost base increase = A$494.99</t>
        </is>
      </c>
      <c r="I1399" t="inlineStr">
        <is>
          <t>cost base adjustment allocation</t>
        </is>
      </c>
      <c r="J1399" s="5" t="inlineStr">
        <is>
          <t>01a1212c-b1b4-71ea-b885-590127c42152</t>
        </is>
      </c>
    </row>
    <row r="1400">
      <c r="A1400" s="5" t="inlineStr">
        <is>
          <t>01a1212c-b1bf-755a-b0d4-32d048cbfcad</t>
        </is>
      </c>
      <c r="D1400" s="5" t="inlineStr">
        <is>
          <t>01a1212c-4b57-70cf-80fd-c2192cb3bf81</t>
        </is>
      </c>
      <c r="E1400" s="4" t="n">
        <v>46304.62430147923</v>
      </c>
      <c r="F1400" s="4" t="n">
        <v>46304.62430147931</v>
      </c>
      <c r="G1400" t="b">
        <v>1</v>
      </c>
      <c r="H1400" s="3" t="inlineStr">
        <is>
          <t>Added fraction 0.01595752986181591068779764228 of cost base adjustment 01a1212c-af76-73a3-8cc5-b6a47faf79d7 | 2026-06-30 | Adjustment of A200 | Cost base increase = A$494.99</t>
        </is>
      </c>
      <c r="I1400" t="inlineStr">
        <is>
          <t>cost base adjustment allocation</t>
        </is>
      </c>
      <c r="J1400" s="5" t="inlineStr">
        <is>
          <t>01a1212c-b1ba-7428-a0f6-34da57499b06</t>
        </is>
      </c>
    </row>
    <row r="1401">
      <c r="A1401" s="5" t="inlineStr">
        <is>
          <t>01a1212c-b1c6-73ca-828f-fa2318147f00</t>
        </is>
      </c>
      <c r="D1401" s="5" t="inlineStr">
        <is>
          <t>01a1212c-4b57-70cf-80fd-c2192cb3bf81</t>
        </is>
      </c>
      <c r="E1401" s="4" t="n">
        <v>46304.62430155423</v>
      </c>
      <c r="F1401" s="4" t="n">
        <v>46304.62430155432</v>
      </c>
      <c r="G1401" t="b">
        <v>1</v>
      </c>
      <c r="H1401" s="3" t="inlineStr">
        <is>
          <t>Added fraction 0.01595752986181591068779764228 of cost base adjustment 01a1212c-af76-73a3-8cc5-b6a47faf79d7 | 2026-06-30 | Adjustment of A200 | Cost base increase = A$494.99</t>
        </is>
      </c>
      <c r="I1401" t="inlineStr">
        <is>
          <t>cost base adjustment allocation</t>
        </is>
      </c>
      <c r="J1401" s="5" t="inlineStr">
        <is>
          <t>01a1212c-b1c0-7524-8249-7b7d77293f9a</t>
        </is>
      </c>
    </row>
    <row r="1402">
      <c r="A1402" s="5" t="inlineStr">
        <is>
          <t>01a1212c-b1cc-7446-b3cc-d1a12b65e5ae</t>
        </is>
      </c>
      <c r="D1402" s="5" t="inlineStr">
        <is>
          <t>01a1212c-4b57-70cf-80fd-c2192cb3bf81</t>
        </is>
      </c>
      <c r="E1402" s="4" t="n">
        <v>46304.62430162972</v>
      </c>
      <c r="F1402" s="4" t="n">
        <v>46304.62430162985</v>
      </c>
      <c r="G1402" t="b">
        <v>1</v>
      </c>
      <c r="H1402" s="3" t="inlineStr">
        <is>
          <t>Added fraction 0.01709735342337419002264033102 of cost base adjustment 01a1212c-af76-73a3-8cc5-b6a47faf79d7 | 2026-06-30 | Adjustment of A200 | Cost base increase = A$494.99</t>
        </is>
      </c>
      <c r="I1402" t="inlineStr">
        <is>
          <t>cost base adjustment allocation</t>
        </is>
      </c>
      <c r="J1402" s="5" t="inlineStr">
        <is>
          <t>01a1212c-b1c6-73ca-828f-fa2417f6461d</t>
        </is>
      </c>
    </row>
    <row r="1403">
      <c r="A1403" s="5" t="inlineStr">
        <is>
          <t>01a1212c-b1d3-748d-b994-e62b243bfcb9</t>
        </is>
      </c>
      <c r="D1403" s="5" t="inlineStr">
        <is>
          <t>01a1212c-4b57-70cf-80fd-c2192cb3bf81</t>
        </is>
      </c>
      <c r="E1403" s="4" t="n">
        <v>46304.62430170496</v>
      </c>
      <c r="F1403" s="4" t="n">
        <v>46304.62430170504</v>
      </c>
      <c r="G1403" t="b">
        <v>1</v>
      </c>
      <c r="H1403" s="3" t="inlineStr">
        <is>
          <t>Added fraction 0.01709735342337419002264033102 of cost base adjustment 01a1212c-af76-73a3-8cc5-b6a47faf79d7 | 2026-06-30 | Adjustment of A200 | Cost base increase = A$494.99</t>
        </is>
      </c>
      <c r="I1403" t="inlineStr">
        <is>
          <t>cost base adjustment allocation</t>
        </is>
      </c>
      <c r="J1403" s="5" t="inlineStr">
        <is>
          <t>01a1212c-b1cd-7268-961a-e6478995c7e3</t>
        </is>
      </c>
    </row>
    <row r="1404">
      <c r="A1404" s="5" t="inlineStr">
        <is>
          <t>01a1212c-b1d9-708a-b1dd-6ed1a5e82965</t>
        </is>
      </c>
      <c r="D1404" s="5" t="inlineStr">
        <is>
          <t>01a1212c-4b57-70cf-80fd-c2192cb3bf81</t>
        </is>
      </c>
      <c r="E1404" s="4" t="n">
        <v>46304.62430177546</v>
      </c>
      <c r="F1404" s="4" t="n">
        <v>46304.62430177554</v>
      </c>
      <c r="G1404" t="b">
        <v>1</v>
      </c>
      <c r="H1404" s="3" t="inlineStr">
        <is>
          <t>Added fraction 0.01709735342337419002264033102 of cost base adjustment 01a1212c-af76-73a3-8cc5-b6a47faf79d7 | 2026-06-30 | Adjustment of A200 | Cost base increase = A$494.99</t>
        </is>
      </c>
      <c r="I1404" t="inlineStr">
        <is>
          <t>cost base adjustment allocation</t>
        </is>
      </c>
      <c r="J1404" s="5" t="inlineStr">
        <is>
          <t>01a1212c-b1d3-748d-b994-e62c952f82dd</t>
        </is>
      </c>
    </row>
    <row r="1405">
      <c r="A1405" s="5" t="inlineStr">
        <is>
          <t>01a1212c-b1df-727f-8628-56937fe9179a</t>
        </is>
      </c>
      <c r="D1405" s="5" t="inlineStr">
        <is>
          <t>01a1212c-4b57-70cf-80fd-c2192cb3bf81</t>
        </is>
      </c>
      <c r="E1405" s="4" t="n">
        <v>46304.62430184481</v>
      </c>
      <c r="F1405" s="4" t="n">
        <v>46304.62430184491</v>
      </c>
      <c r="G1405" t="b">
        <v>1</v>
      </c>
      <c r="H1405" s="3" t="inlineStr">
        <is>
          <t>Added fraction 0.01709735342337419002264033102 of cost base adjustment 01a1212c-af76-73a3-8cc5-b6a47faf79d7 | 2026-06-30 | Adjustment of A200 | Cost base increase = A$494.99</t>
        </is>
      </c>
      <c r="I1405" t="inlineStr">
        <is>
          <t>cost base adjustment allocation</t>
        </is>
      </c>
      <c r="J1405" s="5" t="inlineStr">
        <is>
          <t>01a1212c-b1da-7386-acc5-349c353269f1</t>
        </is>
      </c>
    </row>
    <row r="1406">
      <c r="A1406" s="5" t="inlineStr">
        <is>
          <t>01a1212c-b1e5-779c-9c1a-ec4cb158b121</t>
        </is>
      </c>
      <c r="D1406" s="5" t="inlineStr">
        <is>
          <t>01a1212c-4b57-70cf-80fd-c2192cb3bf81</t>
        </is>
      </c>
      <c r="E1406" s="4" t="n">
        <v>46304.6243019142</v>
      </c>
      <c r="F1406" s="4" t="n">
        <v>46304.62430191429</v>
      </c>
      <c r="G1406" t="b">
        <v>1</v>
      </c>
      <c r="H1406" s="3" t="inlineStr">
        <is>
          <t>residual of cost base adjustment 01a1212c-af76-73a3-8cc5-b6a47faf79d7 | 2026-06-30 | Adjustment of A200 | Cost base increase = A$494.99</t>
        </is>
      </c>
      <c r="I1406" t="inlineStr">
        <is>
          <t>cost base adjustment allocation</t>
        </is>
      </c>
      <c r="J1406" s="5" t="inlineStr">
        <is>
          <t>01a1212c-b1e0-7127-a20b-0623d9c9fd00</t>
        </is>
      </c>
    </row>
    <row r="1407">
      <c r="A1407" s="5" t="inlineStr">
        <is>
          <t>01a1212c-b355-751d-ae51-66b260f131ac</t>
        </is>
      </c>
      <c r="D1407" s="5" t="inlineStr">
        <is>
          <t>01a1212c-4b57-70cf-80fd-c2192cb3bf81</t>
        </is>
      </c>
      <c r="E1407" s="4" t="n">
        <v>46304.62430617882</v>
      </c>
      <c r="F1407" s="4" t="n">
        <v>46304.6243061789</v>
      </c>
      <c r="G1407" t="b">
        <v>1</v>
      </c>
      <c r="H1407" s="3" t="inlineStr">
        <is>
          <t>Added fraction 0.0003572562132317662776707485403 of cost base adjustment 01a1212c-b349-71cd-b6ad-2d162f34bcd9 | 2026-06-30 | Adjustment of VGS | Cost base increase = A$109.68</t>
        </is>
      </c>
      <c r="I1407" t="inlineStr">
        <is>
          <t>cost base adjustment allocation</t>
        </is>
      </c>
      <c r="J1407" s="5" t="inlineStr">
        <is>
          <t>01a1212c-b350-7377-a6aa-a39162520e8f</t>
        </is>
      </c>
    </row>
    <row r="1408">
      <c r="A1408" s="5" t="inlineStr">
        <is>
          <t>01a1212c-b35b-768f-9f78-77dc067ccefa</t>
        </is>
      </c>
      <c r="D1408" s="5" t="inlineStr">
        <is>
          <t>01a1212c-4b57-70cf-80fd-c2192cb3bf81</t>
        </is>
      </c>
      <c r="E1408" s="4" t="n">
        <v>46304.62430624653</v>
      </c>
      <c r="F1408" s="4" t="n">
        <v>46304.62430624661</v>
      </c>
      <c r="G1408" t="b">
        <v>1</v>
      </c>
      <c r="H1408" s="3" t="inlineStr">
        <is>
          <t>Added fraction 0.0007528953254057884364135609734 of cost base adjustment 01a1212c-b349-71cd-b6ad-2d162f34bcd9 | 2026-06-30 | Adjustment of VGS | Cost base increase = A$109.68</t>
        </is>
      </c>
      <c r="I1408" t="inlineStr">
        <is>
          <t>cost base adjustment allocation</t>
        </is>
      </c>
      <c r="J1408" s="5" t="inlineStr">
        <is>
          <t>01a1212c-b356-71eb-ad13-87a13343b383</t>
        </is>
      </c>
    </row>
    <row r="1409">
      <c r="A1409" s="5" t="inlineStr">
        <is>
          <t>01a1212c-b361-7068-85ed-9c026759cfed</t>
        </is>
      </c>
      <c r="D1409" s="5" t="inlineStr">
        <is>
          <t>01a1212c-4b57-70cf-80fd-c2192cb3bf81</t>
        </is>
      </c>
      <c r="E1409" s="4" t="n">
        <v>46304.62430631718</v>
      </c>
      <c r="F1409" s="4" t="n">
        <v>46304.62430631726</v>
      </c>
      <c r="G1409" t="b">
        <v>1</v>
      </c>
      <c r="H1409" s="3" t="inlineStr">
        <is>
          <t>Added fraction 0.0009418572894292020047683370609 of cost base adjustment 01a1212c-b349-71cd-b6ad-2d162f34bcd9 | 2026-06-30 | Adjustment of VGS | Cost base increase = A$109.68</t>
        </is>
      </c>
      <c r="I1409" t="inlineStr">
        <is>
          <t>cost base adjustment allocation</t>
        </is>
      </c>
      <c r="J1409" s="5" t="inlineStr">
        <is>
          <t>01a1212c-b35c-753c-b311-57c1e6cd84b9</t>
        </is>
      </c>
    </row>
    <row r="1410">
      <c r="A1410" s="5" t="inlineStr">
        <is>
          <t>01a1212c-b367-7184-b7de-da2b31cc2bbd</t>
        </is>
      </c>
      <c r="D1410" s="5" t="inlineStr">
        <is>
          <t>01a1212c-4b57-70cf-80fd-c2192cb3bf81</t>
        </is>
      </c>
      <c r="E1410" s="4" t="n">
        <v>46304.62430638509</v>
      </c>
      <c r="F1410" s="4" t="n">
        <v>46304.62430638517</v>
      </c>
      <c r="G1410" t="b">
        <v>1</v>
      </c>
      <c r="H1410" s="3" t="inlineStr">
        <is>
          <t>Added fraction 0.001539744753722033998390870775 of cost base adjustment 01a1212c-b349-71cd-b6ad-2d162f34bcd9 | 2026-06-30 | Adjustment of VGS | Cost base increase = A$109.68</t>
        </is>
      </c>
      <c r="I1410" t="inlineStr">
        <is>
          <t>cost base adjustment allocation</t>
        </is>
      </c>
      <c r="J1410" s="5" t="inlineStr">
        <is>
          <t>01a1212c-b362-74bc-9ed4-7247b5051a56</t>
        </is>
      </c>
    </row>
    <row r="1411">
      <c r="A1411" s="5" t="inlineStr">
        <is>
          <t>01a1212c-b36d-730a-9f8d-7edc7659e1bf</t>
        </is>
      </c>
      <c r="D1411" s="5" t="inlineStr">
        <is>
          <t>01a1212c-4b57-70cf-80fd-c2192cb3bf81</t>
        </is>
      </c>
      <c r="E1411" s="4" t="n">
        <v>46304.62430645479</v>
      </c>
      <c r="F1411" s="4" t="n">
        <v>46304.62430645488</v>
      </c>
      <c r="G1411" t="b">
        <v>1</v>
      </c>
      <c r="H1411" s="3" t="inlineStr">
        <is>
          <t>Added fraction 0.002283782487064224923787801619 of cost base adjustment 01a1212c-b349-71cd-b6ad-2d162f34bcd9 | 2026-06-30 | Adjustment of VGS | Cost base increase = A$109.68</t>
        </is>
      </c>
      <c r="I1411" t="inlineStr">
        <is>
          <t>cost base adjustment allocation</t>
        </is>
      </c>
      <c r="J1411" s="5" t="inlineStr">
        <is>
          <t>01a1212c-b368-7709-a8ff-5fcbd7e1f441</t>
        </is>
      </c>
    </row>
    <row r="1412">
      <c r="A1412" s="5" t="inlineStr">
        <is>
          <t>01a1212c-b373-77f5-a039-485fab9873c7</t>
        </is>
      </c>
      <c r="D1412" s="5" t="inlineStr">
        <is>
          <t>01a1212c-4b57-70cf-80fd-c2192cb3bf81</t>
        </is>
      </c>
      <c r="E1412" s="4" t="n">
        <v>46304.62430652598</v>
      </c>
      <c r="F1412" s="4" t="n">
        <v>46304.62430652606</v>
      </c>
      <c r="G1412" t="b">
        <v>1</v>
      </c>
      <c r="H1412" s="3" t="inlineStr">
        <is>
          <t>Added fraction 0.002874288624637392324896476893 of cost base adjustment 01a1212c-b349-71cd-b6ad-2d162f34bcd9 | 2026-06-30 | Adjustment of VGS | Cost base increase = A$109.68</t>
        </is>
      </c>
      <c r="I1412" t="inlineStr">
        <is>
          <t>cost base adjustment allocation</t>
        </is>
      </c>
      <c r="J1412" s="5" t="inlineStr">
        <is>
          <t>01a1212c-b36e-7388-8f47-dcd63694ddbf</t>
        </is>
      </c>
    </row>
    <row r="1413">
      <c r="A1413" s="5" t="inlineStr">
        <is>
          <t>01a1212c-b379-76e3-b370-ef9a8f5378fc</t>
        </is>
      </c>
      <c r="D1413" s="5" t="inlineStr">
        <is>
          <t>01a1212c-4b57-70cf-80fd-c2192cb3bf81</t>
        </is>
      </c>
      <c r="E1413" s="4" t="n">
        <v>46304.6243065953</v>
      </c>
      <c r="F1413" s="4" t="n">
        <v>46304.6243065954</v>
      </c>
      <c r="G1413" t="b">
        <v>1</v>
      </c>
      <c r="H1413" s="3" t="inlineStr">
        <is>
          <t>Added fraction 0.002931862973050776146504572732 of cost base adjustment 01a1212c-b349-71cd-b6ad-2d162f34bcd9 | 2026-06-30 | Adjustment of VGS | Cost base increase = A$109.68</t>
        </is>
      </c>
      <c r="I1413" t="inlineStr">
        <is>
          <t>cost base adjustment allocation</t>
        </is>
      </c>
      <c r="J1413" s="5" t="inlineStr">
        <is>
          <t>01a1212c-b374-7626-b73e-eafb2c5e0245</t>
        </is>
      </c>
    </row>
    <row r="1414">
      <c r="A1414" s="5" t="inlineStr">
        <is>
          <t>01a1212c-b37f-7074-bbd3-f982f7c617d6</t>
        </is>
      </c>
      <c r="D1414" s="5" t="inlineStr">
        <is>
          <t>01a1212c-4b57-70cf-80fd-c2192cb3bf81</t>
        </is>
      </c>
      <c r="E1414" s="4" t="n">
        <v>46304.62430666359</v>
      </c>
      <c r="F1414" s="4" t="n">
        <v>46304.62430666367</v>
      </c>
      <c r="G1414" t="b">
        <v>1</v>
      </c>
      <c r="H1414" s="3" t="inlineStr">
        <is>
          <t>Added fraction 0.003026343955062482930681960776 of cost base adjustment 01a1212c-b349-71cd-b6ad-2d162f34bcd9 | 2026-06-30 | Adjustment of VGS | Cost base increase = A$109.68</t>
        </is>
      </c>
      <c r="I1414" t="inlineStr">
        <is>
          <t>cost base adjustment allocation</t>
        </is>
      </c>
      <c r="J1414" s="5" t="inlineStr">
        <is>
          <t>01a1212c-b37a-7169-b926-d1868969f3c4</t>
        </is>
      </c>
    </row>
    <row r="1415">
      <c r="A1415" s="5" t="inlineStr">
        <is>
          <t>01a1212c-b385-7516-a6bb-7d880bf2ca95</t>
        </is>
      </c>
      <c r="D1415" s="5" t="inlineStr">
        <is>
          <t>01a1212c-4b57-70cf-80fd-c2192cb3bf81</t>
        </is>
      </c>
      <c r="E1415" s="4" t="n">
        <v>46304.62430673563</v>
      </c>
      <c r="F1415" s="4" t="n">
        <v>46304.62430673571</v>
      </c>
      <c r="G1415" t="b">
        <v>1</v>
      </c>
      <c r="H1415" s="3" t="inlineStr">
        <is>
          <t>Added fraction 0.003188733142895103965986846476 of cost base adjustment 01a1212c-b349-71cd-b6ad-2d162f34bcd9 | 2026-06-30 | Adjustment of VGS | Cost base increase = A$109.68</t>
        </is>
      </c>
      <c r="I1415" t="inlineStr">
        <is>
          <t>cost base adjustment allocation</t>
        </is>
      </c>
      <c r="J1415" s="5" t="inlineStr">
        <is>
          <t>01a1212c-b380-742b-b7ed-d1a3b86a8b22</t>
        </is>
      </c>
    </row>
    <row r="1416">
      <c r="A1416" s="5" t="inlineStr">
        <is>
          <t>01a1212c-b38b-7240-9e98-c1ac5a8942b3</t>
        </is>
      </c>
      <c r="D1416" s="5" t="inlineStr">
        <is>
          <t>01a1212c-4b57-70cf-80fd-c2192cb3bf81</t>
        </is>
      </c>
      <c r="E1416" s="4" t="n">
        <v>46304.62430680648</v>
      </c>
      <c r="F1416" s="4" t="n">
        <v>46304.62430680656</v>
      </c>
      <c r="G1416" t="b">
        <v>1</v>
      </c>
      <c r="H1416" s="3" t="inlineStr">
        <is>
          <t>Added fraction 0.003224163511149494010053366992 of cost base adjustment 01a1212c-b349-71cd-b6ad-2d162f34bcd9 | 2026-06-30 | Adjustment of VGS | Cost base increase = A$109.68</t>
        </is>
      </c>
      <c r="I1416" t="inlineStr">
        <is>
          <t>cost base adjustment allocation</t>
        </is>
      </c>
      <c r="J1416" s="5" t="inlineStr">
        <is>
          <t>01a1212c-b386-7427-925a-a4af1c9a4f89</t>
        </is>
      </c>
    </row>
    <row r="1417">
      <c r="A1417" s="5" t="inlineStr">
        <is>
          <t>01a1212c-b392-7223-b59c-98a9b68a57b6</t>
        </is>
      </c>
      <c r="D1417" s="5" t="inlineStr">
        <is>
          <t>01a1212c-4b57-70cf-80fd-c2192cb3bf81</t>
        </is>
      </c>
      <c r="E1417" s="4" t="n">
        <v>46304.6243068789</v>
      </c>
      <c r="F1417" s="4" t="n">
        <v>46304.62430687898</v>
      </c>
      <c r="G1417" t="b">
        <v>1</v>
      </c>
      <c r="H1417" s="3" t="inlineStr">
        <is>
          <t>Added fraction 0.003233021103213091521069997121 of cost base adjustment 01a1212c-b349-71cd-b6ad-2d162f34bcd9 | 2026-06-30 | Adjustment of VGS | Cost base increase = A$109.68</t>
        </is>
      </c>
      <c r="I1417" t="inlineStr">
        <is>
          <t>cost base adjustment allocation</t>
        </is>
      </c>
      <c r="J1417" s="5" t="inlineStr">
        <is>
          <t>01a1212c-b38c-751c-b3ba-9af6735d0a9d</t>
        </is>
      </c>
    </row>
    <row r="1418">
      <c r="A1418" s="5" t="inlineStr">
        <is>
          <t>01a1212c-b398-7612-9522-a4b953ee1f8c</t>
        </is>
      </c>
      <c r="D1418" s="5" t="inlineStr">
        <is>
          <t>01a1212c-4b57-70cf-80fd-c2192cb3bf81</t>
        </is>
      </c>
      <c r="E1418" s="4" t="n">
        <v>46304.62430694939</v>
      </c>
      <c r="F1418" s="4" t="n">
        <v>46304.62430694948</v>
      </c>
      <c r="G1418" t="b">
        <v>1</v>
      </c>
      <c r="H1418" s="3" t="inlineStr">
        <is>
          <t>Added fraction 0.003233021103213091521069997121 of cost base adjustment 01a1212c-b349-71cd-b6ad-2d162f34bcd9 | 2026-06-30 | Adjustment of VGS | Cost base increase = A$109.68</t>
        </is>
      </c>
      <c r="I1418" t="inlineStr">
        <is>
          <t>cost base adjustment allocation</t>
        </is>
      </c>
      <c r="J1418" s="5" t="inlineStr">
        <is>
          <t>01a1212c-b392-7223-b59c-98aa1744edff</t>
        </is>
      </c>
    </row>
    <row r="1419">
      <c r="A1419" s="5" t="inlineStr">
        <is>
          <t>01a1212c-b39e-74e1-a77e-21782b0dc39c</t>
        </is>
      </c>
      <c r="D1419" s="5" t="inlineStr">
        <is>
          <t>01a1212c-4b57-70cf-80fd-c2192cb3bf81</t>
        </is>
      </c>
      <c r="E1419" s="4" t="n">
        <v>46304.62430702153</v>
      </c>
      <c r="F1419" s="4" t="n">
        <v>46304.62430702163</v>
      </c>
      <c r="G1419" t="b">
        <v>1</v>
      </c>
      <c r="H1419" s="3" t="inlineStr">
        <is>
          <t>Added fraction 0.003543036825439004406652051640 of cost base adjustment 01a1212c-b349-71cd-b6ad-2d162f34bcd9 | 2026-06-30 | Adjustment of VGS | Cost base increase = A$109.68</t>
        </is>
      </c>
      <c r="I1419" t="inlineStr">
        <is>
          <t>cost base adjustment allocation</t>
        </is>
      </c>
      <c r="J1419" s="5" t="inlineStr">
        <is>
          <t>01a1212c-b399-71a0-bbaa-76a10ed47b06</t>
        </is>
      </c>
    </row>
    <row r="1420">
      <c r="A1420" s="5" t="inlineStr">
        <is>
          <t>01a1212c-b3a4-7300-9fe6-3828a193e946</t>
        </is>
      </c>
      <c r="D1420" s="5" t="inlineStr">
        <is>
          <t>01a1212c-4b57-70cf-80fd-c2192cb3bf81</t>
        </is>
      </c>
      <c r="E1420" s="4" t="n">
        <v>46304.62430709212</v>
      </c>
      <c r="F1420" s="4" t="n">
        <v>46304.62430709221</v>
      </c>
      <c r="G1420" t="b">
        <v>1</v>
      </c>
      <c r="H1420" s="3" t="inlineStr">
        <is>
          <t>Added fraction 0.003771857953748606774581663308 of cost base adjustment 01a1212c-b349-71cd-b6ad-2d162f34bcd9 | 2026-06-30 | Adjustment of VGS | Cost base increase = A$109.68</t>
        </is>
      </c>
      <c r="I1420" t="inlineStr">
        <is>
          <t>cost base adjustment allocation</t>
        </is>
      </c>
      <c r="J1420" s="5" t="inlineStr">
        <is>
          <t>01a1212c-b39f-72e0-9300-c02c73fc63f5</t>
        </is>
      </c>
    </row>
    <row r="1421">
      <c r="A1421" s="5" t="inlineStr">
        <is>
          <t>01a1212c-b3aa-75ec-92d8-a7b8010daa2f</t>
        </is>
      </c>
      <c r="D1421" s="5" t="inlineStr">
        <is>
          <t>01a1212c-4b57-70cf-80fd-c2192cb3bf81</t>
        </is>
      </c>
      <c r="E1421" s="4" t="n">
        <v>46304.6243071615</v>
      </c>
      <c r="F1421" s="4" t="n">
        <v>46304.62430716158</v>
      </c>
      <c r="G1421" t="b">
        <v>1</v>
      </c>
      <c r="H1421" s="3" t="inlineStr">
        <is>
          <t>Added fraction 0.003771857953748606774581663308 of cost base adjustment 01a1212c-b349-71cd-b6ad-2d162f34bcd9 | 2026-06-30 | Adjustment of VGS | Cost base increase = A$109.68</t>
        </is>
      </c>
      <c r="I1421" t="inlineStr">
        <is>
          <t>cost base adjustment allocation</t>
        </is>
      </c>
      <c r="J1421" s="5" t="inlineStr">
        <is>
          <t>01a1212c-b3a5-7380-b860-19596a6d7f77</t>
        </is>
      </c>
    </row>
    <row r="1422">
      <c r="A1422" s="5" t="inlineStr">
        <is>
          <t>01a1212c-b3b1-75fd-b353-1038e06a01a7</t>
        </is>
      </c>
      <c r="D1422" s="5" t="inlineStr">
        <is>
          <t>01a1212c-4b57-70cf-80fd-c2192cb3bf81</t>
        </is>
      </c>
      <c r="E1422" s="4" t="n">
        <v>46304.6243072357</v>
      </c>
      <c r="F1422" s="4" t="n">
        <v>46304.62430723579</v>
      </c>
      <c r="G1422" t="b">
        <v>1</v>
      </c>
      <c r="H1422" s="3" t="inlineStr">
        <is>
          <t>Added fraction 0.003771857953748606774581663308 of cost base adjustment 01a1212c-b349-71cd-b6ad-2d162f34bcd9 | 2026-06-30 | Adjustment of VGS | Cost base increase = A$109.68</t>
        </is>
      </c>
      <c r="I1422" t="inlineStr">
        <is>
          <t>cost base adjustment allocation</t>
        </is>
      </c>
      <c r="J1422" s="5" t="inlineStr">
        <is>
          <t>01a1212c-b3ab-7739-a5a3-9ed3b92b780d</t>
        </is>
      </c>
    </row>
    <row r="1423">
      <c r="A1423" s="5" t="inlineStr">
        <is>
          <t>01a1212c-b3b7-7069-912b-db07263cfc0d</t>
        </is>
      </c>
      <c r="D1423" s="5" t="inlineStr">
        <is>
          <t>01a1212c-4b57-70cf-80fd-c2192cb3bf81</t>
        </is>
      </c>
      <c r="E1423" s="4" t="n">
        <v>46304.62430730499</v>
      </c>
      <c r="F1423" s="4" t="n">
        <v>46304.62430730507</v>
      </c>
      <c r="G1423" t="b">
        <v>1</v>
      </c>
      <c r="H1423" s="3" t="inlineStr">
        <is>
          <t>Added fraction 0.003771857953748606774581663308 of cost base adjustment 01a1212c-b349-71cd-b6ad-2d162f34bcd9 | 2026-06-30 | Adjustment of VGS | Cost base increase = A$109.68</t>
        </is>
      </c>
      <c r="I1423" t="inlineStr">
        <is>
          <t>cost base adjustment allocation</t>
        </is>
      </c>
      <c r="J1423" s="5" t="inlineStr">
        <is>
          <t>01a1212c-b3b1-75fd-b353-10390de1ccf4</t>
        </is>
      </c>
    </row>
    <row r="1424">
      <c r="A1424" s="5" t="inlineStr">
        <is>
          <t>01a1212c-b3bd-7693-8c66-b9f40a83e0ec</t>
        </is>
      </c>
      <c r="D1424" s="5" t="inlineStr">
        <is>
          <t>01a1212c-4b57-70cf-80fd-c2192cb3bf81</t>
        </is>
      </c>
      <c r="E1424" s="4" t="n">
        <v>46304.62430737383</v>
      </c>
      <c r="F1424" s="4" t="n">
        <v>46304.62430737392</v>
      </c>
      <c r="G1424" t="b">
        <v>1</v>
      </c>
      <c r="H1424" s="3" t="inlineStr">
        <is>
          <t>Added fraction 0.004310694804284122028093329495 of cost base adjustment 01a1212c-b349-71cd-b6ad-2d162f34bcd9 | 2026-06-30 | Adjustment of VGS | Cost base increase = A$109.68</t>
        </is>
      </c>
      <c r="I1424" t="inlineStr">
        <is>
          <t>cost base adjustment allocation</t>
        </is>
      </c>
      <c r="J1424" s="5" t="inlineStr">
        <is>
          <t>01a1212c-b3b7-7069-912b-db0834c0a2b9</t>
        </is>
      </c>
    </row>
    <row r="1425">
      <c r="A1425" s="5" t="inlineStr">
        <is>
          <t>01a1212c-b3c3-721d-aec2-29c107f504a1</t>
        </is>
      </c>
      <c r="D1425" s="5" t="inlineStr">
        <is>
          <t>01a1212c-4b57-70cf-80fd-c2192cb3bf81</t>
        </is>
      </c>
      <c r="E1425" s="4" t="n">
        <v>46304.62430744401</v>
      </c>
      <c r="F1425" s="4" t="n">
        <v>46304.62430744409</v>
      </c>
      <c r="G1425" t="b">
        <v>1</v>
      </c>
      <c r="H1425" s="3" t="inlineStr">
        <is>
          <t>Added fraction 0.004310694804284122028093329495 of cost base adjustment 01a1212c-b349-71cd-b6ad-2d162f34bcd9 | 2026-06-30 | Adjustment of VGS | Cost base increase = A$109.68</t>
        </is>
      </c>
      <c r="I1425" t="inlineStr">
        <is>
          <t>cost base adjustment allocation</t>
        </is>
      </c>
      <c r="J1425" s="5" t="inlineStr">
        <is>
          <t>01a1212c-b3bd-7693-8c66-b9f5b1751555</t>
        </is>
      </c>
    </row>
    <row r="1426">
      <c r="A1426" s="5" t="inlineStr">
        <is>
          <t>01a1212c-b3c9-7233-ab37-bfca814e0963</t>
        </is>
      </c>
      <c r="D1426" s="5" t="inlineStr">
        <is>
          <t>01a1212c-4b57-70cf-80fd-c2192cb3bf81</t>
        </is>
      </c>
      <c r="E1426" s="4" t="n">
        <v>46304.62430751415</v>
      </c>
      <c r="F1426" s="4" t="n">
        <v>46304.62430751421</v>
      </c>
      <c r="G1426" t="b">
        <v>1</v>
      </c>
      <c r="H1426" s="3" t="inlineStr">
        <is>
          <t>Added fraction 0.004310694804284122028093329495 of cost base adjustment 01a1212c-b349-71cd-b6ad-2d162f34bcd9 | 2026-06-30 | Adjustment of VGS | Cost base increase = A$109.68</t>
        </is>
      </c>
      <c r="I1426" t="inlineStr">
        <is>
          <t>cost base adjustment allocation</t>
        </is>
      </c>
      <c r="J1426" s="5" t="inlineStr">
        <is>
          <t>01a1212c-b3c3-721d-aec2-29c254cdb5c6</t>
        </is>
      </c>
    </row>
    <row r="1427">
      <c r="A1427" s="5" t="inlineStr">
        <is>
          <t>01a1212c-b3cf-726b-aed5-4816b0d5f7fa</t>
        </is>
      </c>
      <c r="D1427" s="5" t="inlineStr">
        <is>
          <t>01a1212c-4b57-70cf-80fd-c2192cb3bf81</t>
        </is>
      </c>
      <c r="E1427" s="4" t="n">
        <v>46304.62430758229</v>
      </c>
      <c r="F1427" s="4" t="n">
        <v>46304.62430758237</v>
      </c>
      <c r="G1427" t="b">
        <v>1</v>
      </c>
      <c r="H1427" s="3" t="inlineStr">
        <is>
          <t>Added fraction 0.004310694804284122028093329495 of cost base adjustment 01a1212c-b349-71cd-b6ad-2d162f34bcd9 | 2026-06-30 | Adjustment of VGS | Cost base increase = A$109.68</t>
        </is>
      </c>
      <c r="I1427" t="inlineStr">
        <is>
          <t>cost base adjustment allocation</t>
        </is>
      </c>
      <c r="J1427" s="5" t="inlineStr">
        <is>
          <t>01a1212c-b3c9-7233-ab37-bfcb0af4ef7d</t>
        </is>
      </c>
    </row>
    <row r="1428">
      <c r="A1428" s="5" t="inlineStr">
        <is>
          <t>01a1212c-b3d5-7510-9c88-c409e1f30bc6</t>
        </is>
      </c>
      <c r="D1428" s="5" t="inlineStr">
        <is>
          <t>01a1212c-4b57-70cf-80fd-c2192cb3bf81</t>
        </is>
      </c>
      <c r="E1428" s="4" t="n">
        <v>46304.62430765436</v>
      </c>
      <c r="F1428" s="4" t="n">
        <v>46304.62430765444</v>
      </c>
      <c r="G1428" t="b">
        <v>1</v>
      </c>
      <c r="H1428" s="3" t="inlineStr">
        <is>
          <t>Added fraction 0.004352030233914243746170936764 of cost base adjustment 01a1212c-b349-71cd-b6ad-2d162f34bcd9 | 2026-06-30 | Adjustment of VGS | Cost base increase = A$109.68</t>
        </is>
      </c>
      <c r="I1428" t="inlineStr">
        <is>
          <t>cost base adjustment allocation</t>
        </is>
      </c>
      <c r="J1428" s="5" t="inlineStr">
        <is>
          <t>01a1212c-b3cf-726b-aed5-481769537a0d</t>
        </is>
      </c>
    </row>
    <row r="1429">
      <c r="A1429" s="5" t="inlineStr">
        <is>
          <t>01a1212c-b3db-77db-b8f9-51fa29a5dd79</t>
        </is>
      </c>
      <c r="D1429" s="5" t="inlineStr">
        <is>
          <t>01a1212c-4b57-70cf-80fd-c2192cb3bf81</t>
        </is>
      </c>
      <c r="E1429" s="4" t="n">
        <v>46304.62430772676</v>
      </c>
      <c r="F1429" s="4" t="n">
        <v>46304.62430772685</v>
      </c>
      <c r="G1429" t="b">
        <v>1</v>
      </c>
      <c r="H1429" s="3" t="inlineStr">
        <is>
          <t>Added fraction 0.004849531654819637281604995682 of cost base adjustment 01a1212c-b349-71cd-b6ad-2d162f34bcd9 | 2026-06-30 | Adjustment of VGS | Cost base increase = A$109.68</t>
        </is>
      </c>
      <c r="I1429" t="inlineStr">
        <is>
          <t>cost base adjustment allocation</t>
        </is>
      </c>
      <c r="J1429" s="5" t="inlineStr">
        <is>
          <t>01a1212c-b3d5-7510-9c88-c40abf44ad91</t>
        </is>
      </c>
    </row>
    <row r="1430">
      <c r="A1430" s="5" t="inlineStr">
        <is>
          <t>01a1212c-b3e1-7479-89be-5723024c3399</t>
        </is>
      </c>
      <c r="D1430" s="5" t="inlineStr">
        <is>
          <t>01a1212c-4b57-70cf-80fd-c2192cb3bf81</t>
        </is>
      </c>
      <c r="E1430" s="4" t="n">
        <v>46304.62430779854</v>
      </c>
      <c r="F1430" s="4" t="n">
        <v>46304.62430779864</v>
      </c>
      <c r="G1430" t="b">
        <v>1</v>
      </c>
      <c r="H1430" s="3" t="inlineStr">
        <is>
          <t>Added fraction 0.004849531654819637281604995682 of cost base adjustment 01a1212c-b349-71cd-b6ad-2d162f34bcd9 | 2026-06-30 | Adjustment of VGS | Cost base increase = A$109.68</t>
        </is>
      </c>
      <c r="I1430" t="inlineStr">
        <is>
          <t>cost base adjustment allocation</t>
        </is>
      </c>
      <c r="J1430" s="5" t="inlineStr">
        <is>
          <t>01a1212c-b3dc-7159-8cf1-caaeab7af170</t>
        </is>
      </c>
    </row>
    <row r="1431">
      <c r="A1431" s="5" t="inlineStr">
        <is>
          <t>01a1212c-b3e7-72f9-a642-862684a31f76</t>
        </is>
      </c>
      <c r="D1431" s="5" t="inlineStr">
        <is>
          <t>01a1212c-4b57-70cf-80fd-c2192cb3bf81</t>
        </is>
      </c>
      <c r="E1431" s="4" t="n">
        <v>46304.62430786947</v>
      </c>
      <c r="F1431" s="4" t="n">
        <v>46304.62430786955</v>
      </c>
      <c r="G1431" t="b">
        <v>1</v>
      </c>
      <c r="H1431" s="3" t="inlineStr">
        <is>
          <t>Added fraction 0.004849531654819637281604995682 of cost base adjustment 01a1212c-b349-71cd-b6ad-2d162f34bcd9 | 2026-06-30 | Adjustment of VGS | Cost base increase = A$109.68</t>
        </is>
      </c>
      <c r="I1431" t="inlineStr">
        <is>
          <t>cost base adjustment allocation</t>
        </is>
      </c>
      <c r="J1431" s="5" t="inlineStr">
        <is>
          <t>01a1212c-b3e2-7098-a7d8-7252dd243abe</t>
        </is>
      </c>
    </row>
    <row r="1432">
      <c r="A1432" s="5" t="inlineStr">
        <is>
          <t>01a1212c-b3ed-729f-a54d-04b44a3ac90f</t>
        </is>
      </c>
      <c r="D1432" s="5" t="inlineStr">
        <is>
          <t>01a1212c-4b57-70cf-80fd-c2192cb3bf81</t>
        </is>
      </c>
      <c r="E1432" s="4" t="n">
        <v>46304.62430794018</v>
      </c>
      <c r="F1432" s="4" t="n">
        <v>46304.62430794026</v>
      </c>
      <c r="G1432" t="b">
        <v>1</v>
      </c>
      <c r="H1432" s="3" t="inlineStr">
        <is>
          <t>Added fraction 0.004849531654819637281604995682 of cost base adjustment 01a1212c-b349-71cd-b6ad-2d162f34bcd9 | 2026-06-30 | Adjustment of VGS | Cost base increase = A$109.68</t>
        </is>
      </c>
      <c r="I1432" t="inlineStr">
        <is>
          <t>cost base adjustment allocation</t>
        </is>
      </c>
      <c r="J1432" s="5" t="inlineStr">
        <is>
          <t>01a1212c-b3e8-74de-a6cc-ee01c18919e9</t>
        </is>
      </c>
    </row>
    <row r="1433">
      <c r="A1433" s="5" t="inlineStr">
        <is>
          <t>01a1212c-b3f3-7335-bcd3-ab1e9f99ac43</t>
        </is>
      </c>
      <c r="D1433" s="5" t="inlineStr">
        <is>
          <t>01a1212c-4b57-70cf-80fd-c2192cb3bf81</t>
        </is>
      </c>
      <c r="E1433" s="4" t="n">
        <v>46304.62430801008</v>
      </c>
      <c r="F1433" s="4" t="n">
        <v>46304.62430801016</v>
      </c>
      <c r="G1433" t="b">
        <v>1</v>
      </c>
      <c r="H1433" s="3" t="inlineStr">
        <is>
          <t>Added fraction 0.004849531654819637281604995682 of cost base adjustment 01a1212c-b349-71cd-b6ad-2d162f34bcd9 | 2026-06-30 | Adjustment of VGS | Cost base increase = A$109.68</t>
        </is>
      </c>
      <c r="I1433" t="inlineStr">
        <is>
          <t>cost base adjustment allocation</t>
        </is>
      </c>
      <c r="J1433" s="5" t="inlineStr">
        <is>
          <t>01a1212c-b3ee-76ea-a00d-d2cecc562b50</t>
        </is>
      </c>
    </row>
    <row r="1434">
      <c r="A1434" s="5" t="inlineStr">
        <is>
          <t>01a1212c-b3fa-7541-a462-1c2a525c9353</t>
        </is>
      </c>
      <c r="D1434" s="5" t="inlineStr">
        <is>
          <t>01a1212c-4b57-70cf-80fd-c2192cb3bf81</t>
        </is>
      </c>
      <c r="E1434" s="4" t="n">
        <v>46304.62430808096</v>
      </c>
      <c r="F1434" s="4" t="n">
        <v>46304.62430808104</v>
      </c>
      <c r="G1434" t="b">
        <v>1</v>
      </c>
      <c r="H1434" s="3" t="inlineStr">
        <is>
          <t>Added fraction 0.004849531654819637281604995682 of cost base adjustment 01a1212c-b349-71cd-b6ad-2d162f34bcd9 | 2026-06-30 | Adjustment of VGS | Cost base increase = A$109.68</t>
        </is>
      </c>
      <c r="I1434" t="inlineStr">
        <is>
          <t>cost base adjustment allocation</t>
        </is>
      </c>
      <c r="J1434" s="5" t="inlineStr">
        <is>
          <t>01a1212c-b3f4-7080-be5e-5495ff60fa33</t>
        </is>
      </c>
    </row>
    <row r="1435">
      <c r="A1435" s="5" t="inlineStr">
        <is>
          <t>01a1212c-b401-7759-bff9-6dbb123c77d4</t>
        </is>
      </c>
      <c r="D1435" s="5" t="inlineStr">
        <is>
          <t>01a1212c-4b57-70cf-80fd-c2192cb3bf81</t>
        </is>
      </c>
      <c r="E1435" s="4" t="n">
        <v>46304.6243081627</v>
      </c>
      <c r="F1435" s="4" t="n">
        <v>46304.62430816278</v>
      </c>
      <c r="G1435" t="b">
        <v>1</v>
      </c>
      <c r="H1435" s="3" t="inlineStr">
        <is>
          <t>Added fraction 0.005388368505355152535116661869 of cost base adjustment 01a1212c-b349-71cd-b6ad-2d162f34bcd9 | 2026-06-30 | Adjustment of VGS | Cost base increase = A$109.68</t>
        </is>
      </c>
      <c r="I1435" t="inlineStr">
        <is>
          <t>cost base adjustment allocation</t>
        </is>
      </c>
      <c r="J1435" s="5" t="inlineStr">
        <is>
          <t>01a1212c-b3fa-7541-a462-1c2bd3123be2</t>
        </is>
      </c>
    </row>
    <row r="1436">
      <c r="A1436" s="5" t="inlineStr">
        <is>
          <t>01a1212c-b407-746e-af6e-6ee1334517ee</t>
        </is>
      </c>
      <c r="D1436" s="5" t="inlineStr">
        <is>
          <t>01a1212c-4b57-70cf-80fd-c2192cb3bf81</t>
        </is>
      </c>
      <c r="E1436" s="4" t="n">
        <v>46304.62430823714</v>
      </c>
      <c r="F1436" s="4" t="n">
        <v>46304.62430823721</v>
      </c>
      <c r="G1436" t="b">
        <v>1</v>
      </c>
      <c r="H1436" s="3" t="inlineStr">
        <is>
          <t>Added fraction 0.005388368505355152535116661869 of cost base adjustment 01a1212c-b349-71cd-b6ad-2d162f34bcd9 | 2026-06-30 | Adjustment of VGS | Cost base increase = A$109.68</t>
        </is>
      </c>
      <c r="I1436" t="inlineStr">
        <is>
          <t>cost base adjustment allocation</t>
        </is>
      </c>
      <c r="J1436" s="5" t="inlineStr">
        <is>
          <t>01a1212c-b402-7193-a1c6-83d0f9046749</t>
        </is>
      </c>
    </row>
    <row r="1437">
      <c r="A1437" s="5" t="inlineStr">
        <is>
          <t>01a1212c-b40d-72fd-940f-d70cfc71e5d6</t>
        </is>
      </c>
      <c r="D1437" s="5" t="inlineStr">
        <is>
          <t>01a1212c-4b57-70cf-80fd-c2192cb3bf81</t>
        </is>
      </c>
      <c r="E1437" s="4" t="n">
        <v>46304.62430830579</v>
      </c>
      <c r="F1437" s="4" t="n">
        <v>46304.62430830587</v>
      </c>
      <c r="G1437" t="b">
        <v>1</v>
      </c>
      <c r="H1437" s="3" t="inlineStr">
        <is>
          <t>Added fraction 0.005388368505355152535116661869 of cost base adjustment 01a1212c-b349-71cd-b6ad-2d162f34bcd9 | 2026-06-30 | Adjustment of VGS | Cost base increase = A$109.68</t>
        </is>
      </c>
      <c r="I1437" t="inlineStr">
        <is>
          <t>cost base adjustment allocation</t>
        </is>
      </c>
      <c r="J1437" s="5" t="inlineStr">
        <is>
          <t>01a1212c-b408-70d4-b56c-dd9f461810aa</t>
        </is>
      </c>
    </row>
    <row r="1438">
      <c r="A1438" s="5" t="inlineStr">
        <is>
          <t>01a1212c-b413-73d2-9b8d-a25825b8e3bd</t>
        </is>
      </c>
      <c r="D1438" s="5" t="inlineStr">
        <is>
          <t>01a1212c-4b57-70cf-80fd-c2192cb3bf81</t>
        </is>
      </c>
      <c r="E1438" s="4" t="n">
        <v>46304.6243083761</v>
      </c>
      <c r="F1438" s="4" t="n">
        <v>46304.62430837618</v>
      </c>
      <c r="G1438" t="b">
        <v>1</v>
      </c>
      <c r="H1438" s="3" t="inlineStr">
        <is>
          <t>Added fraction 0.005388368505355152535116661869 of cost base adjustment 01a1212c-b349-71cd-b6ad-2d162f34bcd9 | 2026-06-30 | Adjustment of VGS | Cost base increase = A$109.68</t>
        </is>
      </c>
      <c r="I1438" t="inlineStr">
        <is>
          <t>cost base adjustment allocation</t>
        </is>
      </c>
      <c r="J1438" s="5" t="inlineStr">
        <is>
          <t>01a1212c-b40e-75c6-98e5-c6498d978c55</t>
        </is>
      </c>
    </row>
    <row r="1439">
      <c r="A1439" s="5" t="inlineStr">
        <is>
          <t>01a1212c-b419-7711-9272-1a18aa1a16f7</t>
        </is>
      </c>
      <c r="D1439" s="5" t="inlineStr">
        <is>
          <t>01a1212c-4b57-70cf-80fd-c2192cb3bf81</t>
        </is>
      </c>
      <c r="E1439" s="4" t="n">
        <v>46304.62430844368</v>
      </c>
      <c r="F1439" s="4" t="n">
        <v>46304.62430844375</v>
      </c>
      <c r="G1439" t="b">
        <v>1</v>
      </c>
      <c r="H1439" s="3" t="inlineStr">
        <is>
          <t>Added fraction 0.005388368505355152535116661869 of cost base adjustment 01a1212c-b349-71cd-b6ad-2d162f34bcd9 | 2026-06-30 | Adjustment of VGS | Cost base increase = A$109.68</t>
        </is>
      </c>
      <c r="I1439" t="inlineStr">
        <is>
          <t>cost base adjustment allocation</t>
        </is>
      </c>
      <c r="J1439" s="5" t="inlineStr">
        <is>
          <t>01a1212c-b414-73c6-8a7a-b158e1bc7c26</t>
        </is>
      </c>
    </row>
    <row r="1440">
      <c r="A1440" s="5" t="inlineStr">
        <is>
          <t>01a1212c-b41f-7337-8498-d8d56712bc4e</t>
        </is>
      </c>
      <c r="D1440" s="5" t="inlineStr">
        <is>
          <t>01a1212c-4b57-70cf-80fd-c2192cb3bf81</t>
        </is>
      </c>
      <c r="E1440" s="4" t="n">
        <v>46304.62430851484</v>
      </c>
      <c r="F1440" s="4" t="n">
        <v>46304.62430851493</v>
      </c>
      <c r="G1440" t="b">
        <v>1</v>
      </c>
      <c r="H1440" s="3" t="inlineStr">
        <is>
          <t>Added fraction 0.005927205355890667788628328056 of cost base adjustment 01a1212c-b349-71cd-b6ad-2d162f34bcd9 | 2026-06-30 | Adjustment of VGS | Cost base increase = A$109.68</t>
        </is>
      </c>
      <c r="I1440" t="inlineStr">
        <is>
          <t>cost base adjustment allocation</t>
        </is>
      </c>
      <c r="J1440" s="5" t="inlineStr">
        <is>
          <t>01a1212c-b41a-72b1-9740-f4746d4e5939</t>
        </is>
      </c>
    </row>
    <row r="1441">
      <c r="A1441" s="5" t="inlineStr">
        <is>
          <t>01a1212c-b426-7437-b720-03b2c0ec1c11</t>
        </is>
      </c>
      <c r="D1441" s="5" t="inlineStr">
        <is>
          <t>01a1212c-4b57-70cf-80fd-c2192cb3bf81</t>
        </is>
      </c>
      <c r="E1441" s="4" t="n">
        <v>46304.62430859007</v>
      </c>
      <c r="F1441" s="4" t="n">
        <v>46304.6243085902</v>
      </c>
      <c r="G1441" t="b">
        <v>1</v>
      </c>
      <c r="H1441" s="3" t="inlineStr">
        <is>
          <t>Added fraction 0.006466042206426183042139994243 of cost base adjustment 01a1212c-b349-71cd-b6ad-2d162f34bcd9 | 2026-06-30 | Adjustment of VGS | Cost base increase = A$109.68</t>
        </is>
      </c>
      <c r="I1441" t="inlineStr">
        <is>
          <t>cost base adjustment allocation</t>
        </is>
      </c>
      <c r="J1441" s="5" t="inlineStr">
        <is>
          <t>01a1212c-b420-726b-9293-cd3975f07f38</t>
        </is>
      </c>
    </row>
    <row r="1442">
      <c r="A1442" s="5" t="inlineStr">
        <is>
          <t>01a1212c-b42c-758e-9fb4-e22da87088c7</t>
        </is>
      </c>
      <c r="D1442" s="5" t="inlineStr">
        <is>
          <t>01a1212c-4b57-70cf-80fd-c2192cb3bf81</t>
        </is>
      </c>
      <c r="E1442" s="4" t="n">
        <v>46304.62430866453</v>
      </c>
      <c r="F1442" s="4" t="n">
        <v>46304.62430866464</v>
      </c>
      <c r="G1442" t="b">
        <v>1</v>
      </c>
      <c r="H1442" s="3" t="inlineStr">
        <is>
          <t>Added fraction 0.006466042206426183042139994243 of cost base adjustment 01a1212c-b349-71cd-b6ad-2d162f34bcd9 | 2026-06-30 | Adjustment of VGS | Cost base increase = A$109.68</t>
        </is>
      </c>
      <c r="I1442" t="inlineStr">
        <is>
          <t>cost base adjustment allocation</t>
        </is>
      </c>
      <c r="J1442" s="5" t="inlineStr">
        <is>
          <t>01a1212c-b426-7437-b720-03b3e2674403</t>
        </is>
      </c>
    </row>
    <row r="1443">
      <c r="A1443" s="5" t="inlineStr">
        <is>
          <t>01a1212c-b433-75ea-9ad1-3257f680fef1</t>
        </is>
      </c>
      <c r="D1443" s="5" t="inlineStr">
        <is>
          <t>01a1212c-4b57-70cf-80fd-c2192cb3bf81</t>
        </is>
      </c>
      <c r="E1443" s="4" t="n">
        <v>46304.62430874375</v>
      </c>
      <c r="F1443" s="4" t="n">
        <v>46304.62430874386</v>
      </c>
      <c r="G1443" t="b">
        <v>1</v>
      </c>
      <c r="H1443" s="3" t="inlineStr">
        <is>
          <t>Added fraction 0.006466042206426183042139994243 of cost base adjustment 01a1212c-b349-71cd-b6ad-2d162f34bcd9 | 2026-06-30 | Adjustment of VGS | Cost base increase = A$109.68</t>
        </is>
      </c>
      <c r="I1443" t="inlineStr">
        <is>
          <t>cost base adjustment allocation</t>
        </is>
      </c>
      <c r="J1443" s="5" t="inlineStr">
        <is>
          <t>01a1212c-b42d-71c2-9ce8-cef24913a469</t>
        </is>
      </c>
    </row>
    <row r="1444">
      <c r="A1444" s="5" t="inlineStr">
        <is>
          <t>01a1212c-b439-773b-8d7c-2d30c537d2fe</t>
        </is>
      </c>
      <c r="D1444" s="5" t="inlineStr">
        <is>
          <t>01a1212c-4b57-70cf-80fd-c2192cb3bf81</t>
        </is>
      </c>
      <c r="E1444" s="4" t="n">
        <v>46304.6243088152</v>
      </c>
      <c r="F1444" s="4" t="n">
        <v>46304.6243088153</v>
      </c>
      <c r="G1444" t="b">
        <v>1</v>
      </c>
      <c r="H1444" s="3" t="inlineStr">
        <is>
          <t>Added fraction 0.006466042206426183042139994243 of cost base adjustment 01a1212c-b349-71cd-b6ad-2d162f34bcd9 | 2026-06-30 | Adjustment of VGS | Cost base increase = A$109.68</t>
        </is>
      </c>
      <c r="I1444" t="inlineStr">
        <is>
          <t>cost base adjustment allocation</t>
        </is>
      </c>
      <c r="J1444" s="5" t="inlineStr">
        <is>
          <t>01a1212c-b434-7241-9bd4-80795fac0966</t>
        </is>
      </c>
    </row>
    <row r="1445">
      <c r="A1445" s="5" t="inlineStr">
        <is>
          <t>01a1212c-b43f-778c-9bb3-209332f6b084</t>
        </is>
      </c>
      <c r="D1445" s="5" t="inlineStr">
        <is>
          <t>01a1212c-4b57-70cf-80fd-c2192cb3bf81</t>
        </is>
      </c>
      <c r="E1445" s="4" t="n">
        <v>46304.62430888877</v>
      </c>
      <c r="F1445" s="4" t="n">
        <v>46304.62430888885</v>
      </c>
      <c r="G1445" t="b">
        <v>1</v>
      </c>
      <c r="H1445" s="3" t="inlineStr">
        <is>
          <t>Added fraction 0.007004879056961698295651660429 of cost base adjustment 01a1212c-b349-71cd-b6ad-2d162f34bcd9 | 2026-06-30 | Adjustment of VGS | Cost base increase = A$109.68</t>
        </is>
      </c>
      <c r="I1445" t="inlineStr">
        <is>
          <t>cost base adjustment allocation</t>
        </is>
      </c>
      <c r="J1445" s="5" t="inlineStr">
        <is>
          <t>01a1212c-b43a-716a-a8a9-40b442ce11cf</t>
        </is>
      </c>
    </row>
    <row r="1446">
      <c r="A1446" s="5" t="inlineStr">
        <is>
          <t>01a1212c-b446-7667-a00c-3eb33ddef4bb</t>
        </is>
      </c>
      <c r="D1446" s="5" t="inlineStr">
        <is>
          <t>01a1212c-4b57-70cf-80fd-c2192cb3bf81</t>
        </is>
      </c>
      <c r="E1446" s="4" t="n">
        <v>46304.62430896022</v>
      </c>
      <c r="F1446" s="4" t="n">
        <v>46304.6243089603</v>
      </c>
      <c r="G1446" t="b">
        <v>1</v>
      </c>
      <c r="H1446" s="3" t="inlineStr">
        <is>
          <t>Added fraction 0.007004879056961698295651660429 of cost base adjustment 01a1212c-b349-71cd-b6ad-2d162f34bcd9 | 2026-06-30 | Adjustment of VGS | Cost base increase = A$109.68</t>
        </is>
      </c>
      <c r="I1446" t="inlineStr">
        <is>
          <t>cost base adjustment allocation</t>
        </is>
      </c>
      <c r="J1446" s="5" t="inlineStr">
        <is>
          <t>01a1212c-b440-703e-b05c-713e7da872be</t>
        </is>
      </c>
    </row>
    <row r="1447">
      <c r="A1447" s="5" t="inlineStr">
        <is>
          <t>01a1212c-b44c-7566-9bf0-08f6003184a0</t>
        </is>
      </c>
      <c r="D1447" s="5" t="inlineStr">
        <is>
          <t>01a1212c-4b57-70cf-80fd-c2192cb3bf81</t>
        </is>
      </c>
      <c r="E1447" s="4" t="n">
        <v>46304.62430902997</v>
      </c>
      <c r="F1447" s="4" t="n">
        <v>46304.62430903005</v>
      </c>
      <c r="G1447" t="b">
        <v>1</v>
      </c>
      <c r="H1447" s="3" t="inlineStr">
        <is>
          <t>Added fraction 0.007004879056961698295651660429 of cost base adjustment 01a1212c-b349-71cd-b6ad-2d162f34bcd9 | 2026-06-30 | Adjustment of VGS | Cost base increase = A$109.68</t>
        </is>
      </c>
      <c r="I1447" t="inlineStr">
        <is>
          <t>cost base adjustment allocation</t>
        </is>
      </c>
      <c r="J1447" s="5" t="inlineStr">
        <is>
          <t>01a1212c-b446-7667-a00c-3eb4104ca7ef</t>
        </is>
      </c>
    </row>
    <row r="1448">
      <c r="A1448" s="5" t="inlineStr">
        <is>
          <t>01a1212c-b452-7265-9dc9-8c29839f57e5</t>
        </is>
      </c>
      <c r="D1448" s="5" t="inlineStr">
        <is>
          <t>01a1212c-4b57-70cf-80fd-c2192cb3bf81</t>
        </is>
      </c>
      <c r="E1448" s="4" t="n">
        <v>46304.62430910206</v>
      </c>
      <c r="F1448" s="4" t="n">
        <v>46304.62430910214</v>
      </c>
      <c r="G1448" t="b">
        <v>1</v>
      </c>
      <c r="H1448" s="3" t="inlineStr">
        <is>
          <t>Added fraction 0.007004879056961698295651660429 of cost base adjustment 01a1212c-b349-71cd-b6ad-2d162f34bcd9 | 2026-06-30 | Adjustment of VGS | Cost base increase = A$109.68</t>
        </is>
      </c>
      <c r="I1448" t="inlineStr">
        <is>
          <t>cost base adjustment allocation</t>
        </is>
      </c>
      <c r="J1448" s="5" t="inlineStr">
        <is>
          <t>01a1212c-b44c-7566-9bf0-08f7415d7b31</t>
        </is>
      </c>
    </row>
    <row r="1449">
      <c r="A1449" s="5" t="inlineStr">
        <is>
          <t>01a1212c-b458-77da-9a78-3ecc817dce15</t>
        </is>
      </c>
      <c r="D1449" s="5" t="inlineStr">
        <is>
          <t>01a1212c-4b57-70cf-80fd-c2192cb3bf81</t>
        </is>
      </c>
      <c r="E1449" s="4" t="n">
        <v>46304.62430917167</v>
      </c>
      <c r="F1449" s="4" t="n">
        <v>46304.62430917173</v>
      </c>
      <c r="G1449" t="b">
        <v>1</v>
      </c>
      <c r="H1449" s="3" t="inlineStr">
        <is>
          <t>Added fraction 0.007004879056961698295651660429 of cost base adjustment 01a1212c-b349-71cd-b6ad-2d162f34bcd9 | 2026-06-30 | Adjustment of VGS | Cost base increase = A$109.68</t>
        </is>
      </c>
      <c r="I1449" t="inlineStr">
        <is>
          <t>cost base adjustment allocation</t>
        </is>
      </c>
      <c r="J1449" s="5" t="inlineStr">
        <is>
          <t>01a1212c-b453-7346-a5a2-07a66b3a71c7</t>
        </is>
      </c>
    </row>
    <row r="1450">
      <c r="A1450" s="5" t="inlineStr">
        <is>
          <t>01a1212c-b45e-723f-89ee-213fbb50adbb</t>
        </is>
      </c>
      <c r="D1450" s="5" t="inlineStr">
        <is>
          <t>01a1212c-4b57-70cf-80fd-c2192cb3bf81</t>
        </is>
      </c>
      <c r="E1450" s="4" t="n">
        <v>46304.62430924032</v>
      </c>
      <c r="F1450" s="4" t="n">
        <v>46304.6243092404</v>
      </c>
      <c r="G1450" t="b">
        <v>1</v>
      </c>
      <c r="H1450" s="3" t="inlineStr">
        <is>
          <t>Added fraction 0.007004879056961698295651660429 of cost base adjustment 01a1212c-b349-71cd-b6ad-2d162f34bcd9 | 2026-06-30 | Adjustment of VGS | Cost base increase = A$109.68</t>
        </is>
      </c>
      <c r="I1450" t="inlineStr">
        <is>
          <t>cost base adjustment allocation</t>
        </is>
      </c>
      <c r="J1450" s="5" t="inlineStr">
        <is>
          <t>01a1212c-b459-717a-92b1-bed94dbfdeed</t>
        </is>
      </c>
    </row>
    <row r="1451">
      <c r="A1451" s="5" t="inlineStr">
        <is>
          <t>01a1212c-b464-72e4-97d3-bfb8546f61da</t>
        </is>
      </c>
      <c r="D1451" s="5" t="inlineStr">
        <is>
          <t>01a1212c-4b57-70cf-80fd-c2192cb3bf81</t>
        </is>
      </c>
      <c r="E1451" s="4" t="n">
        <v>46304.6243093119</v>
      </c>
      <c r="F1451" s="4" t="n">
        <v>46304.62430931198</v>
      </c>
      <c r="G1451" t="b">
        <v>1</v>
      </c>
      <c r="H1451" s="3" t="inlineStr">
        <is>
          <t>Added fraction 0.007004879056961698295651660429 of cost base adjustment 01a1212c-b349-71cd-b6ad-2d162f34bcd9 | 2026-06-30 | Adjustment of VGS | Cost base increase = A$109.68</t>
        </is>
      </c>
      <c r="I1451" t="inlineStr">
        <is>
          <t>cost base adjustment allocation</t>
        </is>
      </c>
      <c r="J1451" s="5" t="inlineStr">
        <is>
          <t>01a1212c-b45e-723f-89ee-21407d1b2fa9</t>
        </is>
      </c>
    </row>
    <row r="1452">
      <c r="A1452" s="5" t="inlineStr">
        <is>
          <t>01a1212c-b46a-754f-aab2-576b97908f88</t>
        </is>
      </c>
      <c r="D1452" s="5" t="inlineStr">
        <is>
          <t>01a1212c-4b57-70cf-80fd-c2192cb3bf81</t>
        </is>
      </c>
      <c r="E1452" s="4" t="n">
        <v>46304.62430938045</v>
      </c>
      <c r="F1452" s="4" t="n">
        <v>46304.62430938053</v>
      </c>
      <c r="G1452" t="b">
        <v>1</v>
      </c>
      <c r="H1452" s="3" t="inlineStr">
        <is>
          <t>Added fraction 0.007004879056961698295651660429 of cost base adjustment 01a1212c-b349-71cd-b6ad-2d162f34bcd9 | 2026-06-30 | Adjustment of VGS | Cost base increase = A$109.68</t>
        </is>
      </c>
      <c r="I1452" t="inlineStr">
        <is>
          <t>cost base adjustment allocation</t>
        </is>
      </c>
      <c r="J1452" s="5" t="inlineStr">
        <is>
          <t>01a1212c-b465-7053-8c6c-59951eb4328e</t>
        </is>
      </c>
    </row>
    <row r="1453">
      <c r="A1453" s="5" t="inlineStr">
        <is>
          <t>01a1212c-b470-7461-9aea-ce19bdc7164d</t>
        </is>
      </c>
      <c r="D1453" s="5" t="inlineStr">
        <is>
          <t>01a1212c-4b57-70cf-80fd-c2192cb3bf81</t>
        </is>
      </c>
      <c r="E1453" s="4" t="n">
        <v>46304.62430944836</v>
      </c>
      <c r="F1453" s="4" t="n">
        <v>46304.62430944844</v>
      </c>
      <c r="G1453" t="b">
        <v>1</v>
      </c>
      <c r="H1453" s="3" t="inlineStr">
        <is>
          <t>Added fraction 0.007543715907497213549163326616 of cost base adjustment 01a1212c-b349-71cd-b6ad-2d162f34bcd9 | 2026-06-30 | Adjustment of VGS | Cost base increase = A$109.68</t>
        </is>
      </c>
      <c r="I1453" t="inlineStr">
        <is>
          <t>cost base adjustment allocation</t>
        </is>
      </c>
      <c r="J1453" s="5" t="inlineStr">
        <is>
          <t>01a1212c-b46b-7019-b09d-f3c6ceb4aa6e</t>
        </is>
      </c>
    </row>
    <row r="1454">
      <c r="A1454" s="5" t="inlineStr">
        <is>
          <t>01a1212c-b476-72cf-9598-4fdb60bf7a8d</t>
        </is>
      </c>
      <c r="D1454" s="5" t="inlineStr">
        <is>
          <t>01a1212c-4b57-70cf-80fd-c2192cb3bf81</t>
        </is>
      </c>
      <c r="E1454" s="4" t="n">
        <v>46304.62430951889</v>
      </c>
      <c r="F1454" s="4" t="n">
        <v>46304.62430951897</v>
      </c>
      <c r="G1454" t="b">
        <v>1</v>
      </c>
      <c r="H1454" s="3" t="inlineStr">
        <is>
          <t>Added fraction 0.007543715907497213549163326616 of cost base adjustment 01a1212c-b349-71cd-b6ad-2d162f34bcd9 | 2026-06-30 | Adjustment of VGS | Cost base increase = A$109.68</t>
        </is>
      </c>
      <c r="I1454" t="inlineStr">
        <is>
          <t>cost base adjustment allocation</t>
        </is>
      </c>
      <c r="J1454" s="5" t="inlineStr">
        <is>
          <t>01a1212c-b470-7461-9aea-ce1a5cfc9998</t>
        </is>
      </c>
    </row>
    <row r="1455">
      <c r="A1455" s="5" t="inlineStr">
        <is>
          <t>01a1212c-b47c-71eb-817c-627e8baaa24a</t>
        </is>
      </c>
      <c r="D1455" s="5" t="inlineStr">
        <is>
          <t>01a1212c-4b57-70cf-80fd-c2192cb3bf81</t>
        </is>
      </c>
      <c r="E1455" s="4" t="n">
        <v>46304.62430958739</v>
      </c>
      <c r="F1455" s="4" t="n">
        <v>46304.62430958747</v>
      </c>
      <c r="G1455" t="b">
        <v>1</v>
      </c>
      <c r="H1455" s="3" t="inlineStr">
        <is>
          <t>Added fraction 0.007543715907497213549163326616 of cost base adjustment 01a1212c-b349-71cd-b6ad-2d162f34bcd9 | 2026-06-30 | Adjustment of VGS | Cost base increase = A$109.68</t>
        </is>
      </c>
      <c r="I1455" t="inlineStr">
        <is>
          <t>cost base adjustment allocation</t>
        </is>
      </c>
      <c r="J1455" s="5" t="inlineStr">
        <is>
          <t>01a1212c-b477-7642-958f-f6960f524e63</t>
        </is>
      </c>
    </row>
    <row r="1456">
      <c r="A1456" s="5" t="inlineStr">
        <is>
          <t>01a1212c-b481-7179-9e3d-897db96180e6</t>
        </is>
      </c>
      <c r="D1456" s="5" t="inlineStr">
        <is>
          <t>01a1212c-4b57-70cf-80fd-c2192cb3bf81</t>
        </is>
      </c>
      <c r="E1456" s="4" t="n">
        <v>46304.62430965332</v>
      </c>
      <c r="F1456" s="4" t="n">
        <v>46304.62430965339</v>
      </c>
      <c r="G1456" t="b">
        <v>1</v>
      </c>
      <c r="H1456" s="3" t="inlineStr">
        <is>
          <t>Added fraction 0.007543715907497213549163326616 of cost base adjustment 01a1212c-b349-71cd-b6ad-2d162f34bcd9 | 2026-06-30 | Adjustment of VGS | Cost base increase = A$109.68</t>
        </is>
      </c>
      <c r="I1456" t="inlineStr">
        <is>
          <t>cost base adjustment allocation</t>
        </is>
      </c>
      <c r="J1456" s="5" t="inlineStr">
        <is>
          <t>01a1212c-b47c-71eb-817c-627f90620614</t>
        </is>
      </c>
    </row>
    <row r="1457">
      <c r="A1457" s="5" t="inlineStr">
        <is>
          <t>01a1212c-b487-73c5-9292-06297f42aa93</t>
        </is>
      </c>
      <c r="D1457" s="5" t="inlineStr">
        <is>
          <t>01a1212c-4b57-70cf-80fd-c2192cb3bf81</t>
        </is>
      </c>
      <c r="E1457" s="4" t="n">
        <v>46304.62430972153</v>
      </c>
      <c r="F1457" s="4" t="n">
        <v>46304.62430972161</v>
      </c>
      <c r="G1457" t="b">
        <v>1</v>
      </c>
      <c r="H1457" s="3" t="inlineStr">
        <is>
          <t>Added fraction 0.007543715907497213549163326616 of cost base adjustment 01a1212c-b349-71cd-b6ad-2d162f34bcd9 | 2026-06-30 | Adjustment of VGS | Cost base increase = A$109.68</t>
        </is>
      </c>
      <c r="I1457" t="inlineStr">
        <is>
          <t>cost base adjustment allocation</t>
        </is>
      </c>
      <c r="J1457" s="5" t="inlineStr">
        <is>
          <t>01a1212c-b482-7428-8ab0-151409c681e7</t>
        </is>
      </c>
    </row>
    <row r="1458">
      <c r="A1458" s="5" t="inlineStr">
        <is>
          <t>01a1212c-b48d-7111-bf07-e2abfd88f8b9</t>
        </is>
      </c>
      <c r="D1458" s="5" t="inlineStr">
        <is>
          <t>01a1212c-4b57-70cf-80fd-c2192cb3bf81</t>
        </is>
      </c>
      <c r="E1458" s="4" t="n">
        <v>46304.62430979137</v>
      </c>
      <c r="F1458" s="4" t="n">
        <v>46304.62430979143</v>
      </c>
      <c r="G1458" t="b">
        <v>1</v>
      </c>
      <c r="H1458" s="3" t="inlineStr">
        <is>
          <t>Added fraction 0.007543715907497213549163326616 of cost base adjustment 01a1212c-b349-71cd-b6ad-2d162f34bcd9 | 2026-06-30 | Adjustment of VGS | Cost base increase = A$109.68</t>
        </is>
      </c>
      <c r="I1458" t="inlineStr">
        <is>
          <t>cost base adjustment allocation</t>
        </is>
      </c>
      <c r="J1458" s="5" t="inlineStr">
        <is>
          <t>01a1212c-b488-7456-9b1b-b2c1ddd0870d</t>
        </is>
      </c>
    </row>
    <row r="1459">
      <c r="A1459" s="5" t="inlineStr">
        <is>
          <t>01a1212c-b493-7204-93bb-6fd0df124538</t>
        </is>
      </c>
      <c r="D1459" s="5" t="inlineStr">
        <is>
          <t>01a1212c-4b57-70cf-80fd-c2192cb3bf81</t>
        </is>
      </c>
      <c r="E1459" s="4" t="n">
        <v>46304.62430985993</v>
      </c>
      <c r="F1459" s="4" t="n">
        <v>46304.62430986001</v>
      </c>
      <c r="G1459" t="b">
        <v>1</v>
      </c>
      <c r="H1459" s="3" t="inlineStr">
        <is>
          <t>Added fraction 0.007543715907497213549163326616 of cost base adjustment 01a1212c-b349-71cd-b6ad-2d162f34bcd9 | 2026-06-30 | Adjustment of VGS | Cost base increase = A$109.68</t>
        </is>
      </c>
      <c r="I1459" t="inlineStr">
        <is>
          <t>cost base adjustment allocation</t>
        </is>
      </c>
      <c r="J1459" s="5" t="inlineStr">
        <is>
          <t>01a1212c-b48e-7135-a72b-fba1c9bc6882</t>
        </is>
      </c>
    </row>
    <row r="1460">
      <c r="A1460" s="5" t="inlineStr">
        <is>
          <t>01a1212c-b499-74c2-ae38-6ef63d637d52</t>
        </is>
      </c>
      <c r="D1460" s="5" t="inlineStr">
        <is>
          <t>01a1212c-4b57-70cf-80fd-c2192cb3bf81</t>
        </is>
      </c>
      <c r="E1460" s="4" t="n">
        <v>46304.62430992706</v>
      </c>
      <c r="F1460" s="4" t="n">
        <v>46304.62430992714</v>
      </c>
      <c r="G1460" t="b">
        <v>1</v>
      </c>
      <c r="H1460" s="3" t="inlineStr">
        <is>
          <t>Added fraction 0.007543715907497213549163326616 of cost base adjustment 01a1212c-b349-71cd-b6ad-2d162f34bcd9 | 2026-06-30 | Adjustment of VGS | Cost base increase = A$109.68</t>
        </is>
      </c>
      <c r="I1460" t="inlineStr">
        <is>
          <t>cost base adjustment allocation</t>
        </is>
      </c>
      <c r="J1460" s="5" t="inlineStr">
        <is>
          <t>01a1212c-b494-770c-b278-b06d3de79e0e</t>
        </is>
      </c>
    </row>
    <row r="1461">
      <c r="A1461" s="5" t="inlineStr">
        <is>
          <t>01a1212c-b49f-75e3-81b8-a29a7d3a60bd</t>
        </is>
      </c>
      <c r="D1461" s="5" t="inlineStr">
        <is>
          <t>01a1212c-4b57-70cf-80fd-c2192cb3bf81</t>
        </is>
      </c>
      <c r="E1461" s="4" t="n">
        <v>46304.62430999258</v>
      </c>
      <c r="F1461" s="4" t="n">
        <v>46304.62430999267</v>
      </c>
      <c r="G1461" t="b">
        <v>1</v>
      </c>
      <c r="H1461" s="3" t="inlineStr">
        <is>
          <t>Added fraction 0.008082552758032728802674992803 of cost base adjustment 01a1212c-b349-71cd-b6ad-2d162f34bcd9 | 2026-06-30 | Adjustment of VGS | Cost base increase = A$109.68</t>
        </is>
      </c>
      <c r="I1461" t="inlineStr">
        <is>
          <t>cost base adjustment allocation</t>
        </is>
      </c>
      <c r="J1461" s="5" t="inlineStr">
        <is>
          <t>01a1212c-b49a-74c9-8d63-f6921b570e78</t>
        </is>
      </c>
    </row>
    <row r="1462">
      <c r="A1462" s="5" t="inlineStr">
        <is>
          <t>01a1212c-b4a5-7408-b4dd-efc0a489cca4</t>
        </is>
      </c>
      <c r="D1462" s="5" t="inlineStr">
        <is>
          <t>01a1212c-4b57-70cf-80fd-c2192cb3bf81</t>
        </is>
      </c>
      <c r="E1462" s="4" t="n">
        <v>46304.62431006045</v>
      </c>
      <c r="F1462" s="4" t="n">
        <v>46304.62431006054</v>
      </c>
      <c r="G1462" t="b">
        <v>1</v>
      </c>
      <c r="H1462" s="3" t="inlineStr">
        <is>
          <t>Added fraction 0.008082552758032728802674992803 of cost base adjustment 01a1212c-b349-71cd-b6ad-2d162f34bcd9 | 2026-06-30 | Adjustment of VGS | Cost base increase = A$109.68</t>
        </is>
      </c>
      <c r="I1462" t="inlineStr">
        <is>
          <t>cost base adjustment allocation</t>
        </is>
      </c>
      <c r="J1462" s="5" t="inlineStr">
        <is>
          <t>01a1212c-b49f-75e3-81b8-a29b17c7cfda</t>
        </is>
      </c>
    </row>
    <row r="1463">
      <c r="A1463" s="5" t="inlineStr">
        <is>
          <t>01a1212c-b4aa-758f-a092-3c2d000faa7d</t>
        </is>
      </c>
      <c r="D1463" s="5" t="inlineStr">
        <is>
          <t>01a1212c-4b57-70cf-80fd-c2192cb3bf81</t>
        </is>
      </c>
      <c r="E1463" s="4" t="n">
        <v>46304.62431012824</v>
      </c>
      <c r="F1463" s="4" t="n">
        <v>46304.62431012833</v>
      </c>
      <c r="G1463" t="b">
        <v>1</v>
      </c>
      <c r="H1463" s="3" t="inlineStr">
        <is>
          <t>Added fraction 0.008082552758032728802674992803 of cost base adjustment 01a1212c-b349-71cd-b6ad-2d162f34bcd9 | 2026-06-30 | Adjustment of VGS | Cost base increase = A$109.68</t>
        </is>
      </c>
      <c r="I1463" t="inlineStr">
        <is>
          <t>cost base adjustment allocation</t>
        </is>
      </c>
      <c r="J1463" s="5" t="inlineStr">
        <is>
          <t>01a1212c-b4a5-7408-b4dd-efc1a5efccac</t>
        </is>
      </c>
    </row>
    <row r="1464">
      <c r="A1464" s="5" t="inlineStr">
        <is>
          <t>01a1212c-b4b0-7572-bd0a-5d6b6859e4e6</t>
        </is>
      </c>
      <c r="D1464" s="5" t="inlineStr">
        <is>
          <t>01a1212c-4b57-70cf-80fd-c2192cb3bf81</t>
        </is>
      </c>
      <c r="E1464" s="4" t="n">
        <v>46304.6243101978</v>
      </c>
      <c r="F1464" s="4" t="n">
        <v>46304.62431019788</v>
      </c>
      <c r="G1464" t="b">
        <v>1</v>
      </c>
      <c r="H1464" s="3" t="inlineStr">
        <is>
          <t>Added fraction 0.008082552758032728802674992803 of cost base adjustment 01a1212c-b349-71cd-b6ad-2d162f34bcd9 | 2026-06-30 | Adjustment of VGS | Cost base increase = A$109.68</t>
        </is>
      </c>
      <c r="I1464" t="inlineStr">
        <is>
          <t>cost base adjustment allocation</t>
        </is>
      </c>
      <c r="J1464" s="5" t="inlineStr">
        <is>
          <t>01a1212c-b4ab-751d-898d-211bab9d54d0</t>
        </is>
      </c>
    </row>
    <row r="1465">
      <c r="A1465" s="5" t="inlineStr">
        <is>
          <t>01a1212c-b4b6-71b0-aa5f-adc162f5c583</t>
        </is>
      </c>
      <c r="D1465" s="5" t="inlineStr">
        <is>
          <t>01a1212c-4b57-70cf-80fd-c2192cb3bf81</t>
        </is>
      </c>
      <c r="E1465" s="4" t="n">
        <v>46304.6243102669</v>
      </c>
      <c r="F1465" s="4" t="n">
        <v>46304.62431026697</v>
      </c>
      <c r="G1465" t="b">
        <v>1</v>
      </c>
      <c r="H1465" s="3" t="inlineStr">
        <is>
          <t>Added fraction 0.008082552758032728802674992803 of cost base adjustment 01a1212c-b349-71cd-b6ad-2d162f34bcd9 | 2026-06-30 | Adjustment of VGS | Cost base increase = A$109.68</t>
        </is>
      </c>
      <c r="I1465" t="inlineStr">
        <is>
          <t>cost base adjustment allocation</t>
        </is>
      </c>
      <c r="J1465" s="5" t="inlineStr">
        <is>
          <t>01a1212c-b4b1-760a-b685-11321b407f76</t>
        </is>
      </c>
    </row>
    <row r="1466">
      <c r="A1466" s="5" t="inlineStr">
        <is>
          <t>01a1212c-b4bc-7235-a6da-84599cfc8459</t>
        </is>
      </c>
      <c r="D1466" s="5" t="inlineStr">
        <is>
          <t>01a1212c-4b57-70cf-80fd-c2192cb3bf81</t>
        </is>
      </c>
      <c r="E1466" s="4" t="n">
        <v>46304.62431033437</v>
      </c>
      <c r="F1466" s="4" t="n">
        <v>46304.62431033445</v>
      </c>
      <c r="G1466" t="b">
        <v>1</v>
      </c>
      <c r="H1466" s="3" t="inlineStr">
        <is>
          <t>Added fraction 0.008082552758032728802674992803 of cost base adjustment 01a1212c-b349-71cd-b6ad-2d162f34bcd9 | 2026-06-30 | Adjustment of VGS | Cost base increase = A$109.68</t>
        </is>
      </c>
      <c r="I1466" t="inlineStr">
        <is>
          <t>cost base adjustment allocation</t>
        </is>
      </c>
      <c r="J1466" s="5" t="inlineStr">
        <is>
          <t>01a1212c-b4b7-7103-9a8f-9c4532fbfb6b</t>
        </is>
      </c>
    </row>
    <row r="1467">
      <c r="A1467" s="5" t="inlineStr">
        <is>
          <t>01a1212c-b4c2-74b4-9dbb-587e5c245a8b</t>
        </is>
      </c>
      <c r="D1467" s="5" t="inlineStr">
        <is>
          <t>01a1212c-4b57-70cf-80fd-c2192cb3bf81</t>
        </is>
      </c>
      <c r="E1467" s="4" t="n">
        <v>46304.62431040318</v>
      </c>
      <c r="F1467" s="4" t="n">
        <v>46304.62431040326</v>
      </c>
      <c r="G1467" t="b">
        <v>1</v>
      </c>
      <c r="H1467" s="3" t="inlineStr">
        <is>
          <t>Added fraction 0.008082552758032728802674992803 of cost base adjustment 01a1212c-b349-71cd-b6ad-2d162f34bcd9 | 2026-06-30 | Adjustment of VGS | Cost base increase = A$109.68</t>
        </is>
      </c>
      <c r="I1467" t="inlineStr">
        <is>
          <t>cost base adjustment allocation</t>
        </is>
      </c>
      <c r="J1467" s="5" t="inlineStr">
        <is>
          <t>01a1212c-b4bd-759b-9386-7e8725d0c146</t>
        </is>
      </c>
    </row>
    <row r="1468">
      <c r="A1468" s="5" t="inlineStr">
        <is>
          <t>01a1212c-b4c8-730d-8c8b-522481c72552</t>
        </is>
      </c>
      <c r="D1468" s="5" t="inlineStr">
        <is>
          <t>01a1212c-4b57-70cf-80fd-c2192cb3bf81</t>
        </is>
      </c>
      <c r="E1468" s="4" t="n">
        <v>46304.62431047369</v>
      </c>
      <c r="F1468" s="4" t="n">
        <v>46304.62431047377</v>
      </c>
      <c r="G1468" t="b">
        <v>1</v>
      </c>
      <c r="H1468" s="3" t="inlineStr">
        <is>
          <t>Added fraction 0.008082552758032728802674992803 of cost base adjustment 01a1212c-b349-71cd-b6ad-2d162f34bcd9 | 2026-06-30 | Adjustment of VGS | Cost base increase = A$109.68</t>
        </is>
      </c>
      <c r="I1468" t="inlineStr">
        <is>
          <t>cost base adjustment allocation</t>
        </is>
      </c>
      <c r="J1468" s="5" t="inlineStr">
        <is>
          <t>01a1212c-b4c3-7756-ba8c-b921d4086147</t>
        </is>
      </c>
    </row>
    <row r="1469">
      <c r="A1469" s="5" t="inlineStr">
        <is>
          <t>01a1212c-b4ce-70d5-9500-98a862ff6d3e</t>
        </is>
      </c>
      <c r="D1469" s="5" t="inlineStr">
        <is>
          <t>01a1212c-4b57-70cf-80fd-c2192cb3bf81</t>
        </is>
      </c>
      <c r="E1469" s="4" t="n">
        <v>46304.62431054421</v>
      </c>
      <c r="F1469" s="4" t="n">
        <v>46304.62431054429</v>
      </c>
      <c r="G1469" t="b">
        <v>1</v>
      </c>
      <c r="H1469" s="3" t="inlineStr">
        <is>
          <t>Added fraction 0.008082552758032728802674992803 of cost base adjustment 01a1212c-b349-71cd-b6ad-2d162f34bcd9 | 2026-06-30 | Adjustment of VGS | Cost base increase = A$109.68</t>
        </is>
      </c>
      <c r="I1469" t="inlineStr">
        <is>
          <t>cost base adjustment allocation</t>
        </is>
      </c>
      <c r="J1469" s="5" t="inlineStr">
        <is>
          <t>01a1212c-b4c9-721e-a222-020726fdfacc</t>
        </is>
      </c>
    </row>
    <row r="1470">
      <c r="A1470" s="5" t="inlineStr">
        <is>
          <t>01a1212c-b4d5-74c0-89e4-79aeeff8c9e4</t>
        </is>
      </c>
      <c r="D1470" s="5" t="inlineStr">
        <is>
          <t>01a1212c-4b57-70cf-80fd-c2192cb3bf81</t>
        </is>
      </c>
      <c r="E1470" s="4" t="n">
        <v>46304.62431062602</v>
      </c>
      <c r="F1470" s="4" t="n">
        <v>46304.62431062613</v>
      </c>
      <c r="G1470" t="b">
        <v>1</v>
      </c>
      <c r="H1470" s="3" t="inlineStr">
        <is>
          <t>Added fraction 0.008082552758032728802674992803 of cost base adjustment 01a1212c-b349-71cd-b6ad-2d162f34bcd9 | 2026-06-30 | Adjustment of VGS | Cost base increase = A$109.68</t>
        </is>
      </c>
      <c r="I1470" t="inlineStr">
        <is>
          <t>cost base adjustment allocation</t>
        </is>
      </c>
      <c r="J1470" s="5" t="inlineStr">
        <is>
          <t>01a1212c-b4cf-7026-ba25-acc5ef6f740a</t>
        </is>
      </c>
    </row>
    <row r="1471">
      <c r="A1471" s="5" t="inlineStr">
        <is>
          <t>01a1212c-b4dc-7434-be58-ee87dca1ffe2</t>
        </is>
      </c>
      <c r="D1471" s="5" t="inlineStr">
        <is>
          <t>01a1212c-4b57-70cf-80fd-c2192cb3bf81</t>
        </is>
      </c>
      <c r="E1471" s="4" t="n">
        <v>46304.62431070005</v>
      </c>
      <c r="F1471" s="4" t="n">
        <v>46304.62431070013</v>
      </c>
      <c r="G1471" t="b">
        <v>1</v>
      </c>
      <c r="H1471" s="3" t="inlineStr">
        <is>
          <t>Added fraction 0.008621389608568244056186658990 of cost base adjustment 01a1212c-b349-71cd-b6ad-2d162f34bcd9 | 2026-06-30 | Adjustment of VGS | Cost base increase = A$109.68</t>
        </is>
      </c>
      <c r="I1471" t="inlineStr">
        <is>
          <t>cost base adjustment allocation</t>
        </is>
      </c>
      <c r="J1471" s="5" t="inlineStr">
        <is>
          <t>01a1212c-b4d6-7425-aee5-b3e804f80b58</t>
        </is>
      </c>
    </row>
    <row r="1472">
      <c r="A1472" s="5" t="inlineStr">
        <is>
          <t>01a1212c-b4e2-7246-825f-03800a491b3e</t>
        </is>
      </c>
      <c r="D1472" s="5" t="inlineStr">
        <is>
          <t>01a1212c-4b57-70cf-80fd-c2192cb3bf81</t>
        </is>
      </c>
      <c r="E1472" s="4" t="n">
        <v>46304.62431076832</v>
      </c>
      <c r="F1472" s="4" t="n">
        <v>46304.62431076841</v>
      </c>
      <c r="G1472" t="b">
        <v>1</v>
      </c>
      <c r="H1472" s="3" t="inlineStr">
        <is>
          <t>Added fraction 0.008621389608568244056186658990 of cost base adjustment 01a1212c-b349-71cd-b6ad-2d162f34bcd9 | 2026-06-30 | Adjustment of VGS | Cost base increase = A$109.68</t>
        </is>
      </c>
      <c r="I1472" t="inlineStr">
        <is>
          <t>cost base adjustment allocation</t>
        </is>
      </c>
      <c r="J1472" s="5" t="inlineStr">
        <is>
          <t>01a1212c-b4dd-726b-86e3-08d431800f88</t>
        </is>
      </c>
    </row>
    <row r="1473">
      <c r="A1473" s="5" t="inlineStr">
        <is>
          <t>01a1212c-b4e8-7386-8903-eda245ac5be6</t>
        </is>
      </c>
      <c r="D1473" s="5" t="inlineStr">
        <is>
          <t>01a1212c-4b57-70cf-80fd-c2192cb3bf81</t>
        </is>
      </c>
      <c r="E1473" s="4" t="n">
        <v>46304.62431084513</v>
      </c>
      <c r="F1473" s="4" t="n">
        <v>46304.62431084522</v>
      </c>
      <c r="G1473" t="b">
        <v>1</v>
      </c>
      <c r="H1473" s="3" t="inlineStr">
        <is>
          <t>Added fraction 0.008621389608568244056186658990 of cost base adjustment 01a1212c-b349-71cd-b6ad-2d162f34bcd9 | 2026-06-30 | Adjustment of VGS | Cost base increase = A$109.68</t>
        </is>
      </c>
      <c r="I1473" t="inlineStr">
        <is>
          <t>cost base adjustment allocation</t>
        </is>
      </c>
      <c r="J1473" s="5" t="inlineStr">
        <is>
          <t>01a1212c-b4e3-7373-90e5-9582bbcb3669</t>
        </is>
      </c>
    </row>
    <row r="1474">
      <c r="A1474" s="5" t="inlineStr">
        <is>
          <t>01a1212c-b4ef-7218-abf0-30f1cbb0f7f8</t>
        </is>
      </c>
      <c r="D1474" s="5" t="inlineStr">
        <is>
          <t>01a1212c-4b57-70cf-80fd-c2192cb3bf81</t>
        </is>
      </c>
      <c r="E1474" s="4" t="n">
        <v>46304.62431091753</v>
      </c>
      <c r="F1474" s="4" t="n">
        <v>46304.62431091761</v>
      </c>
      <c r="G1474" t="b">
        <v>1</v>
      </c>
      <c r="H1474" s="3" t="inlineStr">
        <is>
          <t>Added fraction 0.008621389608568244056186658990 of cost base adjustment 01a1212c-b349-71cd-b6ad-2d162f34bcd9 | 2026-06-30 | Adjustment of VGS | Cost base increase = A$109.68</t>
        </is>
      </c>
      <c r="I1474" t="inlineStr">
        <is>
          <t>cost base adjustment allocation</t>
        </is>
      </c>
      <c r="J1474" s="5" t="inlineStr">
        <is>
          <t>01a1212c-b4e9-75bd-897c-49bd27aa9609</t>
        </is>
      </c>
    </row>
    <row r="1475">
      <c r="A1475" s="5" t="inlineStr">
        <is>
          <t>01a1212c-b4f5-7778-8f63-9d121c202b1f</t>
        </is>
      </c>
      <c r="D1475" s="5" t="inlineStr">
        <is>
          <t>01a1212c-4b57-70cf-80fd-c2192cb3bf81</t>
        </is>
      </c>
      <c r="E1475" s="4" t="n">
        <v>46304.62431098732</v>
      </c>
      <c r="F1475" s="4" t="n">
        <v>46304.6243109874</v>
      </c>
      <c r="G1475" t="b">
        <v>1</v>
      </c>
      <c r="H1475" s="3" t="inlineStr">
        <is>
          <t>Added fraction 0.009160226459103759309698325177 of cost base adjustment 01a1212c-b349-71cd-b6ad-2d162f34bcd9 | 2026-06-30 | Adjustment of VGS | Cost base increase = A$109.68</t>
        </is>
      </c>
      <c r="I1475" t="inlineStr">
        <is>
          <t>cost base adjustment allocation</t>
        </is>
      </c>
      <c r="J1475" s="5" t="inlineStr">
        <is>
          <t>01a1212c-b4ef-7218-abf0-30f2a07e698a</t>
        </is>
      </c>
    </row>
    <row r="1476">
      <c r="A1476" s="5" t="inlineStr">
        <is>
          <t>01a1212c-b4fb-7797-a9f8-87305dd77716</t>
        </is>
      </c>
      <c r="D1476" s="5" t="inlineStr">
        <is>
          <t>01a1212c-4b57-70cf-80fd-c2192cb3bf81</t>
        </is>
      </c>
      <c r="E1476" s="4" t="n">
        <v>46304.62431105991</v>
      </c>
      <c r="F1476" s="4" t="n">
        <v>46304.62431105999</v>
      </c>
      <c r="G1476" t="b">
        <v>1</v>
      </c>
      <c r="H1476" s="3" t="inlineStr">
        <is>
          <t>Added fraction 0.009160226459103759309698325177 of cost base adjustment 01a1212c-b349-71cd-b6ad-2d162f34bcd9 | 2026-06-30 | Adjustment of VGS | Cost base increase = A$109.68</t>
        </is>
      </c>
      <c r="I1476" t="inlineStr">
        <is>
          <t>cost base adjustment allocation</t>
        </is>
      </c>
      <c r="J1476" s="5" t="inlineStr">
        <is>
          <t>01a1212c-b4f5-7778-8f63-9d13e2081e5c</t>
        </is>
      </c>
    </row>
    <row r="1477">
      <c r="A1477" s="5" t="inlineStr">
        <is>
          <t>01a1212c-b501-72e6-80ae-bebdcd8663ee</t>
        </is>
      </c>
      <c r="D1477" s="5" t="inlineStr">
        <is>
          <t>01a1212c-4b57-70cf-80fd-c2192cb3bf81</t>
        </is>
      </c>
      <c r="E1477" s="4" t="n">
        <v>46304.62431113121</v>
      </c>
      <c r="F1477" s="4" t="n">
        <v>46304.62431113129</v>
      </c>
      <c r="G1477" t="b">
        <v>1</v>
      </c>
      <c r="H1477" s="3" t="inlineStr">
        <is>
          <t>Added fraction 0.009699063309639274563209991364 of cost base adjustment 01a1212c-b349-71cd-b6ad-2d162f34bcd9 | 2026-06-30 | Adjustment of VGS | Cost base increase = A$109.68</t>
        </is>
      </c>
      <c r="I1477" t="inlineStr">
        <is>
          <t>cost base adjustment allocation</t>
        </is>
      </c>
      <c r="J1477" s="5" t="inlineStr">
        <is>
          <t>01a1212c-b4fc-724a-b87b-7e9018b5dce2</t>
        </is>
      </c>
    </row>
    <row r="1478">
      <c r="A1478" s="5" t="inlineStr">
        <is>
          <t>01a1212c-b507-765e-ab7a-2dbc9a8d33d7</t>
        </is>
      </c>
      <c r="D1478" s="5" t="inlineStr">
        <is>
          <t>01a1212c-4b57-70cf-80fd-c2192cb3bf81</t>
        </is>
      </c>
      <c r="E1478" s="4" t="n">
        <v>46304.62431119914</v>
      </c>
      <c r="F1478" s="4" t="n">
        <v>46304.62431119922</v>
      </c>
      <c r="G1478" t="b">
        <v>1</v>
      </c>
      <c r="H1478" s="3" t="inlineStr">
        <is>
          <t>Added fraction 0.009699063309639274563209991364 of cost base adjustment 01a1212c-b349-71cd-b6ad-2d162f34bcd9 | 2026-06-30 | Adjustment of VGS | Cost base increase = A$109.68</t>
        </is>
      </c>
      <c r="I1478" t="inlineStr">
        <is>
          <t>cost base adjustment allocation</t>
        </is>
      </c>
      <c r="J1478" s="5" t="inlineStr">
        <is>
          <t>01a1212c-b502-758d-b121-594d814db220</t>
        </is>
      </c>
    </row>
    <row r="1479">
      <c r="A1479" s="5" t="inlineStr">
        <is>
          <t>01a1212c-b50d-737d-97dd-201fdd6c02f6</t>
        </is>
      </c>
      <c r="D1479" s="5" t="inlineStr">
        <is>
          <t>01a1212c-4b57-70cf-80fd-c2192cb3bf81</t>
        </is>
      </c>
      <c r="E1479" s="4" t="n">
        <v>46304.62431127142</v>
      </c>
      <c r="F1479" s="4" t="n">
        <v>46304.6243112715</v>
      </c>
      <c r="G1479" t="b">
        <v>1</v>
      </c>
      <c r="H1479" s="3" t="inlineStr">
        <is>
          <t>Added fraction 0.009699063309639274563209991364 of cost base adjustment 01a1212c-b349-71cd-b6ad-2d162f34bcd9 | 2026-06-30 | Adjustment of VGS | Cost base increase = A$109.68</t>
        </is>
      </c>
      <c r="I1479" t="inlineStr">
        <is>
          <t>cost base adjustment allocation</t>
        </is>
      </c>
      <c r="J1479" s="5" t="inlineStr">
        <is>
          <t>01a1212c-b508-75d5-990b-5c6f9979e197</t>
        </is>
      </c>
    </row>
    <row r="1480">
      <c r="A1480" s="5" t="inlineStr">
        <is>
          <t>01a1212c-b513-7583-82f6-99cc5c6eaaef</t>
        </is>
      </c>
      <c r="D1480" s="5" t="inlineStr">
        <is>
          <t>01a1212c-4b57-70cf-80fd-c2192cb3bf81</t>
        </is>
      </c>
      <c r="E1480" s="4" t="n">
        <v>46304.62431134364</v>
      </c>
      <c r="F1480" s="4" t="n">
        <v>46304.62431134373</v>
      </c>
      <c r="G1480" t="b">
        <v>1</v>
      </c>
      <c r="H1480" s="3" t="inlineStr">
        <is>
          <t>Added fraction 0.009699063309639274563209991364 of cost base adjustment 01a1212c-b349-71cd-b6ad-2d162f34bcd9 | 2026-06-30 | Adjustment of VGS | Cost base increase = A$109.68</t>
        </is>
      </c>
      <c r="I1480" t="inlineStr">
        <is>
          <t>cost base adjustment allocation</t>
        </is>
      </c>
      <c r="J1480" s="5" t="inlineStr">
        <is>
          <t>01a1212c-b50e-74b8-b6ad-f887617c0589</t>
        </is>
      </c>
    </row>
    <row r="1481">
      <c r="A1481" s="5" t="inlineStr">
        <is>
          <t>01a1212c-b51a-735e-a158-429b8519ac15</t>
        </is>
      </c>
      <c r="D1481" s="5" t="inlineStr">
        <is>
          <t>01a1212c-4b57-70cf-80fd-c2192cb3bf81</t>
        </is>
      </c>
      <c r="E1481" s="4" t="n">
        <v>46304.62431141482</v>
      </c>
      <c r="F1481" s="4" t="n">
        <v>46304.62431141492</v>
      </c>
      <c r="G1481" t="b">
        <v>1</v>
      </c>
      <c r="H1481" s="3" t="inlineStr">
        <is>
          <t>Added fraction 0.01023790016017478981672165755 of cost base adjustment 01a1212c-b349-71cd-b6ad-2d162f34bcd9 | 2026-06-30 | Adjustment of VGS | Cost base increase = A$109.68</t>
        </is>
      </c>
      <c r="I1481" t="inlineStr">
        <is>
          <t>cost base adjustment allocation</t>
        </is>
      </c>
      <c r="J1481" s="5" t="inlineStr">
        <is>
          <t>01a1212c-b514-7289-82c4-27262fc6a48e</t>
        </is>
      </c>
    </row>
    <row r="1482">
      <c r="A1482" s="5" t="inlineStr">
        <is>
          <t>01a1212c-b520-703a-86a8-99943b6a8c41</t>
        </is>
      </c>
      <c r="D1482" s="5" t="inlineStr">
        <is>
          <t>01a1212c-4b57-70cf-80fd-c2192cb3bf81</t>
        </is>
      </c>
      <c r="E1482" s="4" t="n">
        <v>46304.62431148352</v>
      </c>
      <c r="F1482" s="4" t="n">
        <v>46304.6243114836</v>
      </c>
      <c r="G1482" t="b">
        <v>1</v>
      </c>
      <c r="H1482" s="3" t="inlineStr">
        <is>
          <t>Added fraction 0.01023790016017478981672165755 of cost base adjustment 01a1212c-b349-71cd-b6ad-2d162f34bcd9 | 2026-06-30 | Adjustment of VGS | Cost base increase = A$109.68</t>
        </is>
      </c>
      <c r="I1482" t="inlineStr">
        <is>
          <t>cost base adjustment allocation</t>
        </is>
      </c>
      <c r="J1482" s="5" t="inlineStr">
        <is>
          <t>01a1212c-b51a-735e-a158-429cea89e795</t>
        </is>
      </c>
    </row>
    <row r="1483">
      <c r="A1483" s="5" t="inlineStr">
        <is>
          <t>01a1212c-b526-7292-a2bb-b90d24a16f02</t>
        </is>
      </c>
      <c r="D1483" s="5" t="inlineStr">
        <is>
          <t>01a1212c-4b57-70cf-80fd-c2192cb3bf81</t>
        </is>
      </c>
      <c r="E1483" s="4" t="n">
        <v>46304.62431155227</v>
      </c>
      <c r="F1483" s="4" t="n">
        <v>46304.62431155235</v>
      </c>
      <c r="G1483" t="b">
        <v>1</v>
      </c>
      <c r="H1483" s="3" t="inlineStr">
        <is>
          <t>Added fraction 0.01023790016017478981672165755 of cost base adjustment 01a1212c-b349-71cd-b6ad-2d162f34bcd9 | 2026-06-30 | Adjustment of VGS | Cost base increase = A$109.68</t>
        </is>
      </c>
      <c r="I1483" t="inlineStr">
        <is>
          <t>cost base adjustment allocation</t>
        </is>
      </c>
      <c r="J1483" s="5" t="inlineStr">
        <is>
          <t>01a1212c-b520-703a-86a8-99959c781539</t>
        </is>
      </c>
    </row>
    <row r="1484">
      <c r="A1484" s="5" t="inlineStr">
        <is>
          <t>01a1212c-b52b-7346-86df-85334465d1eb</t>
        </is>
      </c>
      <c r="D1484" s="5" t="inlineStr">
        <is>
          <t>01a1212c-4b57-70cf-80fd-c2192cb3bf81</t>
        </is>
      </c>
      <c r="E1484" s="4" t="n">
        <v>46304.62431161833</v>
      </c>
      <c r="F1484" s="4" t="n">
        <v>46304.62431161841</v>
      </c>
      <c r="G1484" t="b">
        <v>1</v>
      </c>
      <c r="H1484" s="3" t="inlineStr">
        <is>
          <t>Added fraction 0.01077673701071030507023332374 of cost base adjustment 01a1212c-b349-71cd-b6ad-2d162f34bcd9 | 2026-06-30 | Adjustment of VGS | Cost base increase = A$109.68</t>
        </is>
      </c>
      <c r="I1484" t="inlineStr">
        <is>
          <t>cost base adjustment allocation</t>
        </is>
      </c>
      <c r="J1484" s="5" t="inlineStr">
        <is>
          <t>01a1212c-b526-7292-a2bb-b90e9f37a45c</t>
        </is>
      </c>
    </row>
    <row r="1485">
      <c r="A1485" s="5" t="inlineStr">
        <is>
          <t>01a1212c-b531-74b3-bef4-98c5656515e0</t>
        </is>
      </c>
      <c r="D1485" s="5" t="inlineStr">
        <is>
          <t>01a1212c-4b57-70cf-80fd-c2192cb3bf81</t>
        </is>
      </c>
      <c r="E1485" s="4" t="n">
        <v>46304.62431168991</v>
      </c>
      <c r="F1485" s="4" t="n">
        <v>46304.62431169002</v>
      </c>
      <c r="G1485" t="b">
        <v>1</v>
      </c>
      <c r="H1485" s="3" t="inlineStr">
        <is>
          <t>Added fraction 0.01077673701071030507023332374 of cost base adjustment 01a1212c-b349-71cd-b6ad-2d162f34bcd9 | 2026-06-30 | Adjustment of VGS | Cost base increase = A$109.68</t>
        </is>
      </c>
      <c r="I1485" t="inlineStr">
        <is>
          <t>cost base adjustment allocation</t>
        </is>
      </c>
      <c r="J1485" s="5" t="inlineStr">
        <is>
          <t>01a1212c-b52c-76a8-93d7-c5e5bd1d8ba3</t>
        </is>
      </c>
    </row>
    <row r="1486">
      <c r="A1486" s="5" t="inlineStr">
        <is>
          <t>01a1212c-b538-7577-bbc0-3746335e8c8c</t>
        </is>
      </c>
      <c r="D1486" s="5" t="inlineStr">
        <is>
          <t>01a1212c-4b57-70cf-80fd-c2192cb3bf81</t>
        </is>
      </c>
      <c r="E1486" s="4" t="n">
        <v>46304.62431176201</v>
      </c>
      <c r="F1486" s="4" t="n">
        <v>46304.6243117621</v>
      </c>
      <c r="G1486" t="b">
        <v>1</v>
      </c>
      <c r="H1486" s="3" t="inlineStr">
        <is>
          <t>Added fraction 0.01077673701071030507023332374 of cost base adjustment 01a1212c-b349-71cd-b6ad-2d162f34bcd9 | 2026-06-30 | Adjustment of VGS | Cost base increase = A$109.68</t>
        </is>
      </c>
      <c r="I1486" t="inlineStr">
        <is>
          <t>cost base adjustment allocation</t>
        </is>
      </c>
      <c r="J1486" s="5" t="inlineStr">
        <is>
          <t>01a1212c-b532-753c-92f8-06669b073dea</t>
        </is>
      </c>
    </row>
    <row r="1487">
      <c r="A1487" s="5" t="inlineStr">
        <is>
          <t>01a1212c-b53e-7666-a06e-ab3a42042840</t>
        </is>
      </c>
      <c r="D1487" s="5" t="inlineStr">
        <is>
          <t>01a1212c-4b57-70cf-80fd-c2192cb3bf81</t>
        </is>
      </c>
      <c r="E1487" s="4" t="n">
        <v>46304.62431183359</v>
      </c>
      <c r="F1487" s="4" t="n">
        <v>46304.62431183366</v>
      </c>
      <c r="G1487" t="b">
        <v>1</v>
      </c>
      <c r="H1487" s="3" t="inlineStr">
        <is>
          <t>Added fraction 0.01077673701071030507023332374 of cost base adjustment 01a1212c-b349-71cd-b6ad-2d162f34bcd9 | 2026-06-30 | Adjustment of VGS | Cost base increase = A$109.68</t>
        </is>
      </c>
      <c r="I1487" t="inlineStr">
        <is>
          <t>cost base adjustment allocation</t>
        </is>
      </c>
      <c r="J1487" s="5" t="inlineStr">
        <is>
          <t>01a1212c-b538-7577-bbc0-3747a9e58ce3</t>
        </is>
      </c>
    </row>
    <row r="1488">
      <c r="A1488" s="5" t="inlineStr">
        <is>
          <t>01a1212c-b544-77cb-80ee-597eac19f0ad</t>
        </is>
      </c>
      <c r="D1488" s="5" t="inlineStr">
        <is>
          <t>01a1212c-4b57-70cf-80fd-c2192cb3bf81</t>
        </is>
      </c>
      <c r="E1488" s="4" t="n">
        <v>46304.62431190454</v>
      </c>
      <c r="F1488" s="4" t="n">
        <v>46304.62431190463</v>
      </c>
      <c r="G1488" t="b">
        <v>1</v>
      </c>
      <c r="H1488" s="3" t="inlineStr">
        <is>
          <t>Added fraction 0.01077673701071030507023332374 of cost base adjustment 01a1212c-b349-71cd-b6ad-2d162f34bcd9 | 2026-06-30 | Adjustment of VGS | Cost base increase = A$109.68</t>
        </is>
      </c>
      <c r="I1488" t="inlineStr">
        <is>
          <t>cost base adjustment allocation</t>
        </is>
      </c>
      <c r="J1488" s="5" t="inlineStr">
        <is>
          <t>01a1212c-b53f-716b-b5f3-a7b0c5518b2e</t>
        </is>
      </c>
    </row>
    <row r="1489">
      <c r="A1489" s="5" t="inlineStr">
        <is>
          <t>01a1212c-b54a-7270-9ff4-0508eebd026d</t>
        </is>
      </c>
      <c r="D1489" s="5" t="inlineStr">
        <is>
          <t>01a1212c-4b57-70cf-80fd-c2192cb3bf81</t>
        </is>
      </c>
      <c r="E1489" s="4" t="n">
        <v>46304.62431197196</v>
      </c>
      <c r="F1489" s="4" t="n">
        <v>46304.62431197204</v>
      </c>
      <c r="G1489" t="b">
        <v>1</v>
      </c>
      <c r="H1489" s="3" t="inlineStr">
        <is>
          <t>Added fraction 0.01077673701071030507023332374 of cost base adjustment 01a1212c-b349-71cd-b6ad-2d162f34bcd9 | 2026-06-30 | Adjustment of VGS | Cost base increase = A$109.68</t>
        </is>
      </c>
      <c r="I1489" t="inlineStr">
        <is>
          <t>cost base adjustment allocation</t>
        </is>
      </c>
      <c r="J1489" s="5" t="inlineStr">
        <is>
          <t>01a1212c-b545-7474-b757-5574611ca93e</t>
        </is>
      </c>
    </row>
    <row r="1490">
      <c r="A1490" s="5" t="inlineStr">
        <is>
          <t>01a1212c-b550-76dd-8eba-8375a1c590cf</t>
        </is>
      </c>
      <c r="D1490" s="5" t="inlineStr">
        <is>
          <t>01a1212c-4b57-70cf-80fd-c2192cb3bf81</t>
        </is>
      </c>
      <c r="E1490" s="4" t="n">
        <v>46304.62431203817</v>
      </c>
      <c r="F1490" s="4" t="n">
        <v>46304.62431203825</v>
      </c>
      <c r="G1490" t="b">
        <v>1</v>
      </c>
      <c r="H1490" s="3" t="inlineStr">
        <is>
          <t>Added fraction 0.01131557386124582032374498992 of cost base adjustment 01a1212c-b349-71cd-b6ad-2d162f34bcd9 | 2026-06-30 | Adjustment of VGS | Cost base increase = A$109.68</t>
        </is>
      </c>
      <c r="I1490" t="inlineStr">
        <is>
          <t>cost base adjustment allocation</t>
        </is>
      </c>
      <c r="J1490" s="5" t="inlineStr">
        <is>
          <t>01a1212c-b54b-7144-aae4-e58770d5a761</t>
        </is>
      </c>
    </row>
    <row r="1491">
      <c r="A1491" s="5" t="inlineStr">
        <is>
          <t>01a1212c-b556-73cc-84ef-5226f3506f45</t>
        </is>
      </c>
      <c r="D1491" s="5" t="inlineStr">
        <is>
          <t>01a1212c-4b57-70cf-80fd-c2192cb3bf81</t>
        </is>
      </c>
      <c r="E1491" s="4" t="n">
        <v>46304.62431210904</v>
      </c>
      <c r="F1491" s="4" t="n">
        <v>46304.62431210912</v>
      </c>
      <c r="G1491" t="b">
        <v>1</v>
      </c>
      <c r="H1491" s="3" t="inlineStr">
        <is>
          <t>Added fraction 0.01131557386124582032374498992 of cost base adjustment 01a1212c-b349-71cd-b6ad-2d162f34bcd9 | 2026-06-30 | Adjustment of VGS | Cost base increase = A$109.68</t>
        </is>
      </c>
      <c r="I1491" t="inlineStr">
        <is>
          <t>cost base adjustment allocation</t>
        </is>
      </c>
      <c r="J1491" s="5" t="inlineStr">
        <is>
          <t>01a1212c-b550-76dd-8eba-8376415c1be9</t>
        </is>
      </c>
    </row>
    <row r="1492">
      <c r="A1492" s="5" t="inlineStr">
        <is>
          <t>01a1212c-b55b-7366-8a89-940285b0ea50</t>
        </is>
      </c>
      <c r="D1492" s="5" t="inlineStr">
        <is>
          <t>01a1212c-4b57-70cf-80fd-c2192cb3bf81</t>
        </is>
      </c>
      <c r="E1492" s="4" t="n">
        <v>46304.624312177</v>
      </c>
      <c r="F1492" s="4" t="n">
        <v>46304.62431217708</v>
      </c>
      <c r="G1492" t="b">
        <v>1</v>
      </c>
      <c r="H1492" s="3" t="inlineStr">
        <is>
          <t>Added fraction 0.01131557386124582032374498992 of cost base adjustment 01a1212c-b349-71cd-b6ad-2d162f34bcd9 | 2026-06-30 | Adjustment of VGS | Cost base increase = A$109.68</t>
        </is>
      </c>
      <c r="I1492" t="inlineStr">
        <is>
          <t>cost base adjustment allocation</t>
        </is>
      </c>
      <c r="J1492" s="5" t="inlineStr">
        <is>
          <t>01a1212c-b556-73cc-84ef-5227d979b89f</t>
        </is>
      </c>
    </row>
    <row r="1493">
      <c r="A1493" s="5" t="inlineStr">
        <is>
          <t>01a1212c-b562-746b-9a89-3cead80a376b</t>
        </is>
      </c>
      <c r="D1493" s="5" t="inlineStr">
        <is>
          <t>01a1212c-4b57-70cf-80fd-c2192cb3bf81</t>
        </is>
      </c>
      <c r="E1493" s="4" t="n">
        <v>46304.62431224724</v>
      </c>
      <c r="F1493" s="4" t="n">
        <v>46304.62431224732</v>
      </c>
      <c r="G1493" t="b">
        <v>1</v>
      </c>
      <c r="H1493" s="3" t="inlineStr">
        <is>
          <t>Added fraction 0.01131557386124582032374498992 of cost base adjustment 01a1212c-b349-71cd-b6ad-2d162f34bcd9 | 2026-06-30 | Adjustment of VGS | Cost base increase = A$109.68</t>
        </is>
      </c>
      <c r="I1493" t="inlineStr">
        <is>
          <t>cost base adjustment allocation</t>
        </is>
      </c>
      <c r="J1493" s="5" t="inlineStr">
        <is>
          <t>01a1212c-b55c-7226-b8be-642299e5b9ce</t>
        </is>
      </c>
    </row>
    <row r="1494">
      <c r="A1494" s="5" t="inlineStr">
        <is>
          <t>01a1212c-b568-7493-9343-579dcb65c328</t>
        </is>
      </c>
      <c r="D1494" s="5" t="inlineStr">
        <is>
          <t>01a1212c-4b57-70cf-80fd-c2192cb3bf81</t>
        </is>
      </c>
      <c r="E1494" s="4" t="n">
        <v>46304.62431231721</v>
      </c>
      <c r="F1494" s="4" t="n">
        <v>46304.6243123173</v>
      </c>
      <c r="G1494" t="b">
        <v>1</v>
      </c>
      <c r="H1494" s="3" t="inlineStr">
        <is>
          <t>Added fraction 0.01131557386124582032374498992 of cost base adjustment 01a1212c-b349-71cd-b6ad-2d162f34bcd9 | 2026-06-30 | Adjustment of VGS | Cost base increase = A$109.68</t>
        </is>
      </c>
      <c r="I1494" t="inlineStr">
        <is>
          <t>cost base adjustment allocation</t>
        </is>
      </c>
      <c r="J1494" s="5" t="inlineStr">
        <is>
          <t>01a1212c-b562-746b-9a89-3ceb94bfb382</t>
        </is>
      </c>
    </row>
    <row r="1495">
      <c r="A1495" s="5" t="inlineStr">
        <is>
          <t>01a1212c-b56e-7254-af3a-97c4efb6d7ec</t>
        </is>
      </c>
      <c r="D1495" s="5" t="inlineStr">
        <is>
          <t>01a1212c-4b57-70cf-80fd-c2192cb3bf81</t>
        </is>
      </c>
      <c r="E1495" s="4" t="n">
        <v>46304.62431238875</v>
      </c>
      <c r="F1495" s="4" t="n">
        <v>46304.62431238884</v>
      </c>
      <c r="G1495" t="b">
        <v>1</v>
      </c>
      <c r="H1495" s="3" t="inlineStr">
        <is>
          <t>Added fraction 0.01131557386124582032374498992 of cost base adjustment 01a1212c-b349-71cd-b6ad-2d162f34bcd9 | 2026-06-30 | Adjustment of VGS | Cost base increase = A$109.68</t>
        </is>
      </c>
      <c r="I1495" t="inlineStr">
        <is>
          <t>cost base adjustment allocation</t>
        </is>
      </c>
      <c r="J1495" s="5" t="inlineStr">
        <is>
          <t>01a1212c-b568-7493-9343-579e3c52e84c</t>
        </is>
      </c>
    </row>
    <row r="1496">
      <c r="A1496" s="5" t="inlineStr">
        <is>
          <t>01a1212c-b575-746e-a975-f1e050f227e9</t>
        </is>
      </c>
      <c r="D1496" s="5" t="inlineStr">
        <is>
          <t>01a1212c-4b57-70cf-80fd-c2192cb3bf81</t>
        </is>
      </c>
      <c r="E1496" s="4" t="n">
        <v>46304.62431247656</v>
      </c>
      <c r="F1496" s="4" t="n">
        <v>46304.62431247668</v>
      </c>
      <c r="G1496" t="b">
        <v>1</v>
      </c>
      <c r="H1496" s="3" t="inlineStr">
        <is>
          <t>Added fraction 0.01185441071178133557725665611 of cost base adjustment 01a1212c-b349-71cd-b6ad-2d162f34bcd9 | 2026-06-30 | Adjustment of VGS | Cost base increase = A$109.68</t>
        </is>
      </c>
      <c r="I1496" t="inlineStr">
        <is>
          <t>cost base adjustment allocation</t>
        </is>
      </c>
      <c r="J1496" s="5" t="inlineStr">
        <is>
          <t>01a1212c-b56f-72d9-8ae4-e21c1f08d352</t>
        </is>
      </c>
    </row>
    <row r="1497">
      <c r="A1497" s="5" t="inlineStr">
        <is>
          <t>01a1212c-b57c-756f-9e6f-116e7bb86cb7</t>
        </is>
      </c>
      <c r="D1497" s="5" t="inlineStr">
        <is>
          <t>01a1212c-4b57-70cf-80fd-c2192cb3bf81</t>
        </is>
      </c>
      <c r="E1497" s="4" t="n">
        <v>46304.62431255001</v>
      </c>
      <c r="F1497" s="4" t="n">
        <v>46304.62431255009</v>
      </c>
      <c r="G1497" t="b">
        <v>1</v>
      </c>
      <c r="H1497" s="3" t="inlineStr">
        <is>
          <t>Added fraction 0.01185441071178133557725665611 of cost base adjustment 01a1212c-b349-71cd-b6ad-2d162f34bcd9 | 2026-06-30 | Adjustment of VGS | Cost base increase = A$109.68</t>
        </is>
      </c>
      <c r="I1497" t="inlineStr">
        <is>
          <t>cost base adjustment allocation</t>
        </is>
      </c>
      <c r="J1497" s="5" t="inlineStr">
        <is>
          <t>01a1212c-b576-757a-b82b-99f0613ba7cf</t>
        </is>
      </c>
    </row>
    <row r="1498">
      <c r="A1498" s="5" t="inlineStr">
        <is>
          <t>01a1212c-b582-7194-8af6-c167e0144388</t>
        </is>
      </c>
      <c r="D1498" s="5" t="inlineStr">
        <is>
          <t>01a1212c-4b57-70cf-80fd-c2192cb3bf81</t>
        </is>
      </c>
      <c r="E1498" s="4" t="n">
        <v>46304.62431262271</v>
      </c>
      <c r="F1498" s="4" t="n">
        <v>46304.6243126228</v>
      </c>
      <c r="G1498" t="b">
        <v>1</v>
      </c>
      <c r="H1498" s="3" t="inlineStr">
        <is>
          <t>Added fraction 0.01185441071178133557725665611 of cost base adjustment 01a1212c-b349-71cd-b6ad-2d162f34bcd9 | 2026-06-30 | Adjustment of VGS | Cost base increase = A$109.68</t>
        </is>
      </c>
      <c r="I1498" t="inlineStr">
        <is>
          <t>cost base adjustment allocation</t>
        </is>
      </c>
      <c r="J1498" s="5" t="inlineStr">
        <is>
          <t>01a1212c-b57c-756f-9e6f-116f4146bd60</t>
        </is>
      </c>
    </row>
    <row r="1499">
      <c r="A1499" s="5" t="inlineStr">
        <is>
          <t>01a1212c-b588-75f5-9acb-8eb8a51fde6a</t>
        </is>
      </c>
      <c r="D1499" s="5" t="inlineStr">
        <is>
          <t>01a1212c-4b57-70cf-80fd-c2192cb3bf81</t>
        </is>
      </c>
      <c r="E1499" s="4" t="n">
        <v>46304.62431269239</v>
      </c>
      <c r="F1499" s="4" t="n">
        <v>46304.62431269247</v>
      </c>
      <c r="G1499" t="b">
        <v>1</v>
      </c>
      <c r="H1499" s="3" t="inlineStr">
        <is>
          <t>Added fraction 0.01185441071178133557725665611 of cost base adjustment 01a1212c-b349-71cd-b6ad-2d162f34bcd9 | 2026-06-30 | Adjustment of VGS | Cost base increase = A$109.68</t>
        </is>
      </c>
      <c r="I1499" t="inlineStr">
        <is>
          <t>cost base adjustment allocation</t>
        </is>
      </c>
      <c r="J1499" s="5" t="inlineStr">
        <is>
          <t>01a1212c-b583-758f-9b72-e8963b4c07ed</t>
        </is>
      </c>
    </row>
    <row r="1500">
      <c r="A1500" s="5" t="inlineStr">
        <is>
          <t>01a1212c-b58e-7188-b34d-b8ceb6cd1cb7</t>
        </is>
      </c>
      <c r="D1500" s="5" t="inlineStr">
        <is>
          <t>01a1212c-4b57-70cf-80fd-c2192cb3bf81</t>
        </is>
      </c>
      <c r="E1500" s="4" t="n">
        <v>46304.62431276207</v>
      </c>
      <c r="F1500" s="4" t="n">
        <v>46304.62431276215</v>
      </c>
      <c r="G1500" t="b">
        <v>1</v>
      </c>
      <c r="H1500" s="3" t="inlineStr">
        <is>
          <t>Added fraction 0.01239324756231685083076832230 of cost base adjustment 01a1212c-b349-71cd-b6ad-2d162f34bcd9 | 2026-06-30 | Adjustment of VGS | Cost base increase = A$109.68</t>
        </is>
      </c>
      <c r="I1500" t="inlineStr">
        <is>
          <t>cost base adjustment allocation</t>
        </is>
      </c>
      <c r="J1500" s="5" t="inlineStr">
        <is>
          <t>01a1212c-b589-72ce-b4fe-49cce0eb7fa4</t>
        </is>
      </c>
    </row>
    <row r="1501">
      <c r="A1501" s="5" t="inlineStr">
        <is>
          <t>01a1212c-b594-7272-8d6a-2cac8418a2a4</t>
        </is>
      </c>
      <c r="D1501" s="5" t="inlineStr">
        <is>
          <t>01a1212c-4b57-70cf-80fd-c2192cb3bf81</t>
        </is>
      </c>
      <c r="E1501" s="4" t="n">
        <v>46304.62431282844</v>
      </c>
      <c r="F1501" s="4" t="n">
        <v>46304.62431282852</v>
      </c>
      <c r="G1501" t="b">
        <v>1</v>
      </c>
      <c r="H1501" s="3" t="inlineStr">
        <is>
          <t>Added fraction 0.01239324756231685083076832230 of cost base adjustment 01a1212c-b349-71cd-b6ad-2d162f34bcd9 | 2026-06-30 | Adjustment of VGS | Cost base increase = A$109.68</t>
        </is>
      </c>
      <c r="I1501" t="inlineStr">
        <is>
          <t>cost base adjustment allocation</t>
        </is>
      </c>
      <c r="J1501" s="5" t="inlineStr">
        <is>
          <t>01a1212c-b58f-743e-9ff1-d6aff93dc474</t>
        </is>
      </c>
    </row>
    <row r="1502">
      <c r="A1502" s="5" t="inlineStr">
        <is>
          <t>01a1212c-b59a-75c6-83c0-5fbd03dccbcf</t>
        </is>
      </c>
      <c r="D1502" s="5" t="inlineStr">
        <is>
          <t>01a1212c-4b57-70cf-80fd-c2192cb3bf81</t>
        </is>
      </c>
      <c r="E1502" s="4" t="n">
        <v>46304.62431289862</v>
      </c>
      <c r="F1502" s="4" t="n">
        <v>46304.6243128987</v>
      </c>
      <c r="G1502" t="b">
        <v>1</v>
      </c>
      <c r="H1502" s="3" t="inlineStr">
        <is>
          <t>Added fraction 0.01239324756231685083076832230 of cost base adjustment 01a1212c-b349-71cd-b6ad-2d162f34bcd9 | 2026-06-30 | Adjustment of VGS | Cost base increase = A$109.68</t>
        </is>
      </c>
      <c r="I1502" t="inlineStr">
        <is>
          <t>cost base adjustment allocation</t>
        </is>
      </c>
      <c r="J1502" s="5" t="inlineStr">
        <is>
          <t>01a1212c-b595-7613-a898-4326865d055d</t>
        </is>
      </c>
    </row>
    <row r="1503">
      <c r="A1503" s="5" t="inlineStr">
        <is>
          <t>01a1212c-b5a0-740a-97b7-d13d3c370d57</t>
        </is>
      </c>
      <c r="D1503" s="5" t="inlineStr">
        <is>
          <t>01a1212c-4b57-70cf-80fd-c2192cb3bf81</t>
        </is>
      </c>
      <c r="E1503" s="4" t="n">
        <v>46304.624312969</v>
      </c>
      <c r="F1503" s="4" t="n">
        <v>46304.62431296908</v>
      </c>
      <c r="G1503" t="b">
        <v>1</v>
      </c>
      <c r="H1503" s="3" t="inlineStr">
        <is>
          <t>Added fraction 0.01239324756231685083076832230 of cost base adjustment 01a1212c-b349-71cd-b6ad-2d162f34bcd9 | 2026-06-30 | Adjustment of VGS | Cost base increase = A$109.68</t>
        </is>
      </c>
      <c r="I1503" t="inlineStr">
        <is>
          <t>cost base adjustment allocation</t>
        </is>
      </c>
      <c r="J1503" s="5" t="inlineStr">
        <is>
          <t>01a1212c-b59b-702f-b7cd-f0ed7e9a420f</t>
        </is>
      </c>
    </row>
    <row r="1504">
      <c r="A1504" s="5" t="inlineStr">
        <is>
          <t>01a1212c-b5a6-7601-87aa-e4c879d2a0e8</t>
        </is>
      </c>
      <c r="D1504" s="5" t="inlineStr">
        <is>
          <t>01a1212c-4b57-70cf-80fd-c2192cb3bf81</t>
        </is>
      </c>
      <c r="E1504" s="4" t="n">
        <v>46304.62431304256</v>
      </c>
      <c r="F1504" s="4" t="n">
        <v>46304.62431304264</v>
      </c>
      <c r="G1504" t="b">
        <v>1</v>
      </c>
      <c r="H1504" s="3" t="inlineStr">
        <is>
          <t>Added fraction 0.01239324756231685083076832230 of cost base adjustment 01a1212c-b349-71cd-b6ad-2d162f34bcd9 | 2026-06-30 | Adjustment of VGS | Cost base increase = A$109.68</t>
        </is>
      </c>
      <c r="I1504" t="inlineStr">
        <is>
          <t>cost base adjustment allocation</t>
        </is>
      </c>
      <c r="J1504" s="5" t="inlineStr">
        <is>
          <t>01a1212c-b5a1-7353-8a19-0719fe5cb186</t>
        </is>
      </c>
    </row>
    <row r="1505">
      <c r="A1505" s="5" t="inlineStr">
        <is>
          <t>01a1212c-b5ac-73f6-9879-f08d535df698</t>
        </is>
      </c>
      <c r="D1505" s="5" t="inlineStr">
        <is>
          <t>01a1212c-4b57-70cf-80fd-c2192cb3bf81</t>
        </is>
      </c>
      <c r="E1505" s="4" t="n">
        <v>46304.62431311268</v>
      </c>
      <c r="F1505" s="4" t="n">
        <v>46304.62431311276</v>
      </c>
      <c r="G1505" t="b">
        <v>1</v>
      </c>
      <c r="H1505" s="3" t="inlineStr">
        <is>
          <t>Added fraction 0.01293208441285236608427998849 of cost base adjustment 01a1212c-b349-71cd-b6ad-2d162f34bcd9 | 2026-06-30 | Adjustment of VGS | Cost base increase = A$109.68</t>
        </is>
      </c>
      <c r="I1505" t="inlineStr">
        <is>
          <t>cost base adjustment allocation</t>
        </is>
      </c>
      <c r="J1505" s="5" t="inlineStr">
        <is>
          <t>01a1212c-b5a7-7046-bf17-329c75300710</t>
        </is>
      </c>
    </row>
    <row r="1506">
      <c r="A1506" s="5" t="inlineStr">
        <is>
          <t>01a1212c-b5b2-7749-be53-9b596e8454ac</t>
        </is>
      </c>
      <c r="D1506" s="5" t="inlineStr">
        <is>
          <t>01a1212c-4b57-70cf-80fd-c2192cb3bf81</t>
        </is>
      </c>
      <c r="E1506" s="4" t="n">
        <v>46304.62431318119</v>
      </c>
      <c r="F1506" s="4" t="n">
        <v>46304.62431318127</v>
      </c>
      <c r="G1506" t="b">
        <v>1</v>
      </c>
      <c r="H1506" s="3" t="inlineStr">
        <is>
          <t>Added fraction 0.01293208441285236608427998849 of cost base adjustment 01a1212c-b349-71cd-b6ad-2d162f34bcd9 | 2026-06-30 | Adjustment of VGS | Cost base increase = A$109.68</t>
        </is>
      </c>
      <c r="I1506" t="inlineStr">
        <is>
          <t>cost base adjustment allocation</t>
        </is>
      </c>
      <c r="J1506" s="5" t="inlineStr">
        <is>
          <t>01a1212c-b5ad-731f-9993-c3616a4b8272</t>
        </is>
      </c>
    </row>
    <row r="1507">
      <c r="A1507" s="5" t="inlineStr">
        <is>
          <t>01a1212c-b5b8-7454-ae93-aad5c02b4591</t>
        </is>
      </c>
      <c r="D1507" s="5" t="inlineStr">
        <is>
          <t>01a1212c-4b57-70cf-80fd-c2192cb3bf81</t>
        </is>
      </c>
      <c r="E1507" s="4" t="n">
        <v>46304.62431324883</v>
      </c>
      <c r="F1507" s="4" t="n">
        <v>46304.62431324891</v>
      </c>
      <c r="G1507" t="b">
        <v>1</v>
      </c>
      <c r="H1507" s="3" t="inlineStr">
        <is>
          <t>Added fraction 0.01293208441285236608427998849 of cost base adjustment 01a1212c-b349-71cd-b6ad-2d162f34bcd9 | 2026-06-30 | Adjustment of VGS | Cost base increase = A$109.68</t>
        </is>
      </c>
      <c r="I1507" t="inlineStr">
        <is>
          <t>cost base adjustment allocation</t>
        </is>
      </c>
      <c r="J1507" s="5" t="inlineStr">
        <is>
          <t>01a1212c-b5b3-7632-aa86-c8639a73f8e3</t>
        </is>
      </c>
    </row>
    <row r="1508">
      <c r="A1508" s="5" t="inlineStr">
        <is>
          <t>01a1212c-b5be-70ad-978a-84e4b7f2a943</t>
        </is>
      </c>
      <c r="D1508" s="5" t="inlineStr">
        <is>
          <t>01a1212c-4b57-70cf-80fd-c2192cb3bf81</t>
        </is>
      </c>
      <c r="E1508" s="4" t="n">
        <v>46304.62431331773</v>
      </c>
      <c r="F1508" s="4" t="n">
        <v>46304.62431331781</v>
      </c>
      <c r="G1508" t="b">
        <v>1</v>
      </c>
      <c r="H1508" s="3" t="inlineStr">
        <is>
          <t>Added fraction 0.01347092126338788133779165467 of cost base adjustment 01a1212c-b349-71cd-b6ad-2d162f34bcd9 | 2026-06-30 | Adjustment of VGS | Cost base increase = A$109.68</t>
        </is>
      </c>
      <c r="I1508" t="inlineStr">
        <is>
          <t>cost base adjustment allocation</t>
        </is>
      </c>
      <c r="J1508" s="5" t="inlineStr">
        <is>
          <t>01a1212c-b5b9-70ba-8f6e-d52e6d7c9484</t>
        </is>
      </c>
    </row>
    <row r="1509">
      <c r="A1509" s="5" t="inlineStr">
        <is>
          <t>01a1212c-b5c4-7064-9621-a8587fcd38fc</t>
        </is>
      </c>
      <c r="D1509" s="5" t="inlineStr">
        <is>
          <t>01a1212c-4b57-70cf-80fd-c2192cb3bf81</t>
        </is>
      </c>
      <c r="E1509" s="4" t="n">
        <v>46304.62431338563</v>
      </c>
      <c r="F1509" s="4" t="n">
        <v>46304.62431338569</v>
      </c>
      <c r="G1509" t="b">
        <v>1</v>
      </c>
      <c r="H1509" s="3" t="inlineStr">
        <is>
          <t>Added fraction 0.01347092126338788133779165467 of cost base adjustment 01a1212c-b349-71cd-b6ad-2d162f34bcd9 | 2026-06-30 | Adjustment of VGS | Cost base increase = A$109.68</t>
        </is>
      </c>
      <c r="I1509" t="inlineStr">
        <is>
          <t>cost base adjustment allocation</t>
        </is>
      </c>
      <c r="J1509" s="5" t="inlineStr">
        <is>
          <t>01a1212c-b5bf-75e0-a99d-85e524c8cbb0</t>
        </is>
      </c>
    </row>
    <row r="1510">
      <c r="A1510" s="5" t="inlineStr">
        <is>
          <t>01a1212c-b5ca-72e0-a358-e74932a44be9</t>
        </is>
      </c>
      <c r="D1510" s="5" t="inlineStr">
        <is>
          <t>01a1212c-4b57-70cf-80fd-c2192cb3bf81</t>
        </is>
      </c>
      <c r="E1510" s="4" t="n">
        <v>46304.62431345371</v>
      </c>
      <c r="F1510" s="4" t="n">
        <v>46304.62431345379</v>
      </c>
      <c r="G1510" t="b">
        <v>1</v>
      </c>
      <c r="H1510" s="3" t="inlineStr">
        <is>
          <t>Added fraction 0.01400975811392339659130332086 of cost base adjustment 01a1212c-b349-71cd-b6ad-2d162f34bcd9 | 2026-06-30 | Adjustment of VGS | Cost base increase = A$109.68</t>
        </is>
      </c>
      <c r="I1510" t="inlineStr">
        <is>
          <t>cost base adjustment allocation</t>
        </is>
      </c>
      <c r="J1510" s="5" t="inlineStr">
        <is>
          <t>01a1212c-b5c5-7445-9b1b-f630b9278f27</t>
        </is>
      </c>
    </row>
    <row r="1511">
      <c r="A1511" s="5" t="inlineStr">
        <is>
          <t>01a1212c-b5d0-74b5-9646-446af0887417</t>
        </is>
      </c>
      <c r="D1511" s="5" t="inlineStr">
        <is>
          <t>01a1212c-4b57-70cf-80fd-c2192cb3bf81</t>
        </is>
      </c>
      <c r="E1511" s="4" t="n">
        <v>46304.62431352203</v>
      </c>
      <c r="F1511" s="4" t="n">
        <v>46304.62431352211</v>
      </c>
      <c r="G1511" t="b">
        <v>1</v>
      </c>
      <c r="H1511" s="3" t="inlineStr">
        <is>
          <t>Added fraction 0.01400975811392339659130332086 of cost base adjustment 01a1212c-b349-71cd-b6ad-2d162f34bcd9 | 2026-06-30 | Adjustment of VGS | Cost base increase = A$109.68</t>
        </is>
      </c>
      <c r="I1511" t="inlineStr">
        <is>
          <t>cost base adjustment allocation</t>
        </is>
      </c>
      <c r="J1511" s="5" t="inlineStr">
        <is>
          <t>01a1212c-b5cb-76e3-a7cd-9ca87ef420b8</t>
        </is>
      </c>
    </row>
    <row r="1512">
      <c r="A1512" s="5" t="inlineStr">
        <is>
          <t>01a1212c-b5d6-7729-8bc5-4b8e056f55b5</t>
        </is>
      </c>
      <c r="D1512" s="5" t="inlineStr">
        <is>
          <t>01a1212c-4b57-70cf-80fd-c2192cb3bf81</t>
        </is>
      </c>
      <c r="E1512" s="4" t="n">
        <v>46304.62431359069</v>
      </c>
      <c r="F1512" s="4" t="n">
        <v>46304.62431359078</v>
      </c>
      <c r="G1512" t="b">
        <v>1</v>
      </c>
      <c r="H1512" s="3" t="inlineStr">
        <is>
          <t>Added fraction 0.01400975811392339659130332086 of cost base adjustment 01a1212c-b349-71cd-b6ad-2d162f34bcd9 | 2026-06-30 | Adjustment of VGS | Cost base increase = A$109.68</t>
        </is>
      </c>
      <c r="I1512" t="inlineStr">
        <is>
          <t>cost base adjustment allocation</t>
        </is>
      </c>
      <c r="J1512" s="5" t="inlineStr">
        <is>
          <t>01a1212c-b5d0-74b5-9646-446b7a50e2ea</t>
        </is>
      </c>
    </row>
    <row r="1513">
      <c r="A1513" s="5" t="inlineStr">
        <is>
          <t>01a1212c-b5dc-7271-814b-19d95020ab39</t>
        </is>
      </c>
      <c r="D1513" s="5" t="inlineStr">
        <is>
          <t>01a1212c-4b57-70cf-80fd-c2192cb3bf81</t>
        </is>
      </c>
      <c r="E1513" s="4" t="n">
        <v>46304.62431365847</v>
      </c>
      <c r="F1513" s="4" t="n">
        <v>46304.62431365855</v>
      </c>
      <c r="G1513" t="b">
        <v>1</v>
      </c>
      <c r="H1513" s="3" t="inlineStr">
        <is>
          <t>Added fraction 0.01400975811392339659130332086 of cost base adjustment 01a1212c-b349-71cd-b6ad-2d162f34bcd9 | 2026-06-30 | Adjustment of VGS | Cost base increase = A$109.68</t>
        </is>
      </c>
      <c r="I1513" t="inlineStr">
        <is>
          <t>cost base adjustment allocation</t>
        </is>
      </c>
      <c r="J1513" s="5" t="inlineStr">
        <is>
          <t>01a1212c-b5d6-7729-8bc5-4b8f285475e6</t>
        </is>
      </c>
    </row>
    <row r="1514">
      <c r="A1514" s="5" t="inlineStr">
        <is>
          <t>01a1212c-b5e2-75ca-8505-a17a16fab123</t>
        </is>
      </c>
      <c r="D1514" s="5" t="inlineStr">
        <is>
          <t>01a1212c-4b57-70cf-80fd-c2192cb3bf81</t>
        </is>
      </c>
      <c r="E1514" s="4" t="n">
        <v>46304.62431372811</v>
      </c>
      <c r="F1514" s="4" t="n">
        <v>46304.62431372819</v>
      </c>
      <c r="G1514" t="b">
        <v>1</v>
      </c>
      <c r="H1514" s="3" t="inlineStr">
        <is>
          <t>Added fraction 0.01454859496445891184481498705 of cost base adjustment 01a1212c-b349-71cd-b6ad-2d162f34bcd9 | 2026-06-30 | Adjustment of VGS | Cost base increase = A$109.68</t>
        </is>
      </c>
      <c r="I1514" t="inlineStr">
        <is>
          <t>cost base adjustment allocation</t>
        </is>
      </c>
      <c r="J1514" s="5" t="inlineStr">
        <is>
          <t>01a1212c-b5dc-7271-814b-19da1f6d10e0</t>
        </is>
      </c>
    </row>
    <row r="1515">
      <c r="A1515" s="5" t="inlineStr">
        <is>
          <t>01a1212c-b5e7-7654-8f45-4a9ae6afcaf5</t>
        </is>
      </c>
      <c r="D1515" s="5" t="inlineStr">
        <is>
          <t>01a1212c-4b57-70cf-80fd-c2192cb3bf81</t>
        </is>
      </c>
      <c r="E1515" s="4" t="n">
        <v>46304.62431379712</v>
      </c>
      <c r="F1515" s="4" t="n">
        <v>46304.6243137972</v>
      </c>
      <c r="G1515" t="b">
        <v>1</v>
      </c>
      <c r="H1515" s="3" t="inlineStr">
        <is>
          <t>Added fraction 0.01454859496445891184481498705 of cost base adjustment 01a1212c-b349-71cd-b6ad-2d162f34bcd9 | 2026-06-30 | Adjustment of VGS | Cost base increase = A$109.68</t>
        </is>
      </c>
      <c r="I1515" t="inlineStr">
        <is>
          <t>cost base adjustment allocation</t>
        </is>
      </c>
      <c r="J1515" s="5" t="inlineStr">
        <is>
          <t>01a1212c-b5e2-75ca-8505-a17b75da173e</t>
        </is>
      </c>
    </row>
    <row r="1516">
      <c r="A1516" s="5" t="inlineStr">
        <is>
          <t>01a1212c-b5ee-73eb-9cf9-73612040d492</t>
        </is>
      </c>
      <c r="D1516" s="5" t="inlineStr">
        <is>
          <t>01a1212c-4b57-70cf-80fd-c2192cb3bf81</t>
        </is>
      </c>
      <c r="E1516" s="4" t="n">
        <v>46304.62431386728</v>
      </c>
      <c r="F1516" s="4" t="n">
        <v>46304.62431386735</v>
      </c>
      <c r="G1516" t="b">
        <v>1</v>
      </c>
      <c r="H1516" s="3" t="inlineStr">
        <is>
          <t>Added fraction 0.01508743181499442709832665323 of cost base adjustment 01a1212c-b349-71cd-b6ad-2d162f34bcd9 | 2026-06-30 | Adjustment of VGS | Cost base increase = A$109.68</t>
        </is>
      </c>
      <c r="I1516" t="inlineStr">
        <is>
          <t>cost base adjustment allocation</t>
        </is>
      </c>
      <c r="J1516" s="5" t="inlineStr">
        <is>
          <t>01a1212c-b5e8-77a3-b36f-8b37849f45fd</t>
        </is>
      </c>
    </row>
    <row r="1517">
      <c r="A1517" s="5" t="inlineStr">
        <is>
          <t>01a1212c-b5f4-7395-8150-c1bc54311fe7</t>
        </is>
      </c>
      <c r="D1517" s="5" t="inlineStr">
        <is>
          <t>01a1212c-4b57-70cf-80fd-c2192cb3bf81</t>
        </is>
      </c>
      <c r="E1517" s="4" t="n">
        <v>46304.62431393842</v>
      </c>
      <c r="F1517" s="4" t="n">
        <v>46304.6243139385</v>
      </c>
      <c r="G1517" t="b">
        <v>1</v>
      </c>
      <c r="H1517" s="3" t="inlineStr">
        <is>
          <t>Added fraction 0.01508743181499442709832665323 of cost base adjustment 01a1212c-b349-71cd-b6ad-2d162f34bcd9 | 2026-06-30 | Adjustment of VGS | Cost base increase = A$109.68</t>
        </is>
      </c>
      <c r="I1517" t="inlineStr">
        <is>
          <t>cost base adjustment allocation</t>
        </is>
      </c>
      <c r="J1517" s="5" t="inlineStr">
        <is>
          <t>01a1212c-b5ee-73eb-9cf9-73628af72085</t>
        </is>
      </c>
    </row>
    <row r="1518">
      <c r="A1518" s="5" t="inlineStr">
        <is>
          <t>01a1212c-b5fa-70dc-b3a2-2da21a4f742b</t>
        </is>
      </c>
      <c r="D1518" s="5" t="inlineStr">
        <is>
          <t>01a1212c-4b57-70cf-80fd-c2192cb3bf81</t>
        </is>
      </c>
      <c r="E1518" s="4" t="n">
        <v>46304.62431400649</v>
      </c>
      <c r="F1518" s="4" t="n">
        <v>46304.62431400656</v>
      </c>
      <c r="G1518" t="b">
        <v>1</v>
      </c>
      <c r="H1518" s="3" t="inlineStr">
        <is>
          <t>Added fraction 0.01562626866552994235183831942 of cost base adjustment 01a1212c-b349-71cd-b6ad-2d162f34bcd9 | 2026-06-30 | Adjustment of VGS | Cost base increase = A$109.68</t>
        </is>
      </c>
      <c r="I1518" t="inlineStr">
        <is>
          <t>cost base adjustment allocation</t>
        </is>
      </c>
      <c r="J1518" s="5" t="inlineStr">
        <is>
          <t>01a1212c-b5f4-7395-8150-c1bd5db54d66</t>
        </is>
      </c>
    </row>
    <row r="1519">
      <c r="A1519" s="5" t="inlineStr">
        <is>
          <t>01a1212c-b600-7089-b9eb-110de6d86079</t>
        </is>
      </c>
      <c r="D1519" s="5" t="inlineStr">
        <is>
          <t>01a1212c-4b57-70cf-80fd-c2192cb3bf81</t>
        </is>
      </c>
      <c r="E1519" s="4" t="n">
        <v>46304.62431407681</v>
      </c>
      <c r="F1519" s="4" t="n">
        <v>46304.62431407689</v>
      </c>
      <c r="G1519" t="b">
        <v>1</v>
      </c>
      <c r="H1519" s="3" t="inlineStr">
        <is>
          <t>Added fraction 0.01616510551606545760534998561 of cost base adjustment 01a1212c-b349-71cd-b6ad-2d162f34bcd9 | 2026-06-30 | Adjustment of VGS | Cost base increase = A$109.68</t>
        </is>
      </c>
      <c r="I1519" t="inlineStr">
        <is>
          <t>cost base adjustment allocation</t>
        </is>
      </c>
      <c r="J1519" s="5" t="inlineStr">
        <is>
          <t>01a1212c-b5fa-70dc-b3a2-2da3f412563a</t>
        </is>
      </c>
    </row>
    <row r="1520">
      <c r="A1520" s="5" t="inlineStr">
        <is>
          <t>01a1212c-b606-770e-a7ce-8efa00d756f9</t>
        </is>
      </c>
      <c r="D1520" s="5" t="inlineStr">
        <is>
          <t>01a1212c-4b57-70cf-80fd-c2192cb3bf81</t>
        </is>
      </c>
      <c r="E1520" s="4" t="n">
        <v>46304.62431414532</v>
      </c>
      <c r="F1520" s="4" t="n">
        <v>46304.6243141454</v>
      </c>
      <c r="G1520" t="b">
        <v>1</v>
      </c>
      <c r="H1520" s="3" t="inlineStr">
        <is>
          <t>Added fraction 0.01616510551606545760534998561 of cost base adjustment 01a1212c-b349-71cd-b6ad-2d162f34bcd9 | 2026-06-30 | Adjustment of VGS | Cost base increase = A$109.68</t>
        </is>
      </c>
      <c r="I1520" t="inlineStr">
        <is>
          <t>cost base adjustment allocation</t>
        </is>
      </c>
      <c r="J1520" s="5" t="inlineStr">
        <is>
          <t>01a1212c-b600-7089-b9eb-110e30077ee9</t>
        </is>
      </c>
    </row>
    <row r="1521">
      <c r="A1521" s="5" t="inlineStr">
        <is>
          <t>01a1212c-b60c-778a-ba29-22b624760fb6</t>
        </is>
      </c>
      <c r="D1521" s="5" t="inlineStr">
        <is>
          <t>01a1212c-4b57-70cf-80fd-c2192cb3bf81</t>
        </is>
      </c>
      <c r="E1521" s="4" t="n">
        <v>46304.62431421642</v>
      </c>
      <c r="F1521" s="4" t="n">
        <v>46304.62431421652</v>
      </c>
      <c r="G1521" t="b">
        <v>1</v>
      </c>
      <c r="H1521" s="3" t="inlineStr">
        <is>
          <t>Added fraction 0.01670394236660097285886165179 of cost base adjustment 01a1212c-b349-71cd-b6ad-2d162f34bcd9 | 2026-06-30 | Adjustment of VGS | Cost base increase = A$109.68</t>
        </is>
      </c>
      <c r="I1521" t="inlineStr">
        <is>
          <t>cost base adjustment allocation</t>
        </is>
      </c>
      <c r="J1521" s="5" t="inlineStr">
        <is>
          <t>01a1212c-b606-770e-a7ce-8efbeabc1121</t>
        </is>
      </c>
    </row>
    <row r="1522">
      <c r="A1522" s="5" t="inlineStr">
        <is>
          <t>01a1212c-b612-76ce-9a91-1041e38c6f53</t>
        </is>
      </c>
      <c r="D1522" s="5" t="inlineStr">
        <is>
          <t>01a1212c-4b57-70cf-80fd-c2192cb3bf81</t>
        </is>
      </c>
      <c r="E1522" s="4" t="n">
        <v>46304.6243142922</v>
      </c>
      <c r="F1522" s="4" t="n">
        <v>46304.62431429231</v>
      </c>
      <c r="G1522" t="b">
        <v>1</v>
      </c>
      <c r="H1522" s="3" t="inlineStr">
        <is>
          <t>Added fraction 0.01724277921713648811237331798 of cost base adjustment 01a1212c-b349-71cd-b6ad-2d162f34bcd9 | 2026-06-30 | Adjustment of VGS | Cost base increase = A$109.68</t>
        </is>
      </c>
      <c r="I1522" t="inlineStr">
        <is>
          <t>cost base adjustment allocation</t>
        </is>
      </c>
      <c r="J1522" s="5" t="inlineStr">
        <is>
          <t>01a1212c-b60c-778a-ba29-22b76cefc663</t>
        </is>
      </c>
    </row>
    <row r="1523">
      <c r="A1523" s="5" t="inlineStr">
        <is>
          <t>01a1212c-b618-71c7-b309-c4f9c7a3ad34</t>
        </is>
      </c>
      <c r="D1523" s="5" t="inlineStr">
        <is>
          <t>01a1212c-4b57-70cf-80fd-c2192cb3bf81</t>
        </is>
      </c>
      <c r="E1523" s="4" t="n">
        <v>46304.62431436437</v>
      </c>
      <c r="F1523" s="4" t="n">
        <v>46304.62431436445</v>
      </c>
      <c r="G1523" t="b">
        <v>1</v>
      </c>
      <c r="H1523" s="3" t="inlineStr">
        <is>
          <t>residual of cost base adjustment 01a1212c-b349-71cd-b6ad-2d162f34bcd9 | 2026-06-30 | Adjustment of VGS | Cost base increase = A$109.68</t>
        </is>
      </c>
      <c r="I1523" t="inlineStr">
        <is>
          <t>cost base adjustment allocation</t>
        </is>
      </c>
      <c r="J1523" s="5" t="inlineStr">
        <is>
          <t>01a1212c-b613-74f5-951f-8a111b0995b8</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8.2" customWidth="1" min="1" max="1"/>
    <col width="38.2" customWidth="1" min="2" max="2"/>
    <col width="28.2" customWidth="1" min="3" max="3"/>
    <col width="12.2" customWidth="1" min="4" max="4"/>
    <col width="14.2" customWidth="1" min="5" max="5"/>
    <col width="26.2" customWidth="1" min="6" max="6"/>
  </cols>
  <sheetData>
    <row r="1" ht="32" customHeight="1">
      <c r="A1" s="1" t="inlineStr">
        <is>
          <t>id</t>
        </is>
      </c>
      <c r="B1" s="1" t="inlineStr">
        <is>
          <t>account_id</t>
        </is>
      </c>
      <c r="C1" s="1" t="inlineStr">
        <is>
          <t>updated_at</t>
        </is>
      </c>
      <c r="D1" s="1" t="inlineStr">
        <is>
          <t>convert_to</t>
        </is>
      </c>
      <c r="E1" s="1" t="inlineStr">
        <is>
          <t>convert_from</t>
        </is>
      </c>
      <c r="F1" s="1" t="inlineStr">
        <is>
          <t>exchange_rate_multiplier</t>
        </is>
      </c>
    </row>
    <row r="2">
      <c r="A2" s="5" t="inlineStr">
        <is>
          <t>01a1212c-67fd-70d1-a6c2-8da383adf98d</t>
        </is>
      </c>
      <c r="B2" s="5" t="inlineStr">
        <is>
          <t>01a1212c-4b57-70cf-80fd-c2192cb3bf81</t>
        </is>
      </c>
      <c r="C2" s="4" t="n">
        <v>46304.62433313472</v>
      </c>
      <c r="D2" t="inlineStr">
        <is>
          <t>AUD</t>
        </is>
      </c>
      <c r="E2" t="inlineStr">
        <is>
          <t>USD</t>
        </is>
      </c>
      <c r="F2" t="n">
        <v>1.5</v>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I165"/>
  <sheetViews>
    <sheetView workbookViewId="0">
      <pane ySplit="1" topLeftCell="A2" activePane="bottomLeft" state="frozen"/>
      <selection pane="bottomLeft" activeCell="A1" sqref="A1"/>
    </sheetView>
  </sheetViews>
  <sheetFormatPr baseColWidth="8" defaultRowHeight="15"/>
  <cols>
    <col width="38.2" customWidth="1" min="1" max="1"/>
    <col width="38.2" customWidth="1" min="2" max="2"/>
    <col width="28.2" customWidth="1" min="3" max="3"/>
    <col width="12.2" customWidth="1" min="4" max="4"/>
    <col width="14.2" customWidth="1" min="5" max="5"/>
    <col width="26.2" customWidth="1" min="6" max="6"/>
    <col width="12.2" customWidth="1" min="7" max="7"/>
    <col width="23.2" customWidth="1" min="8" max="8"/>
    <col width="16.2" customWidth="1" min="9" max="9"/>
  </cols>
  <sheetData>
    <row r="1" ht="32" customHeight="1">
      <c r="A1" s="1" t="inlineStr">
        <is>
          <t>id</t>
        </is>
      </c>
      <c r="B1" s="1" t="inlineStr">
        <is>
          <t>account_id</t>
        </is>
      </c>
      <c r="C1" s="1" t="inlineStr">
        <is>
          <t>updated_at</t>
        </is>
      </c>
      <c r="D1" s="1" t="inlineStr">
        <is>
          <t>convert_to</t>
        </is>
      </c>
      <c r="E1" s="1" t="inlineStr">
        <is>
          <t>convert_from</t>
        </is>
      </c>
      <c r="F1" s="1" t="inlineStr">
        <is>
          <t>exchange_rate_multiplier</t>
        </is>
      </c>
      <c r="G1" s="1" t="inlineStr">
        <is>
          <t>date</t>
        </is>
      </c>
      <c r="H1" s="1" t="inlineStr">
        <is>
          <t>is_continuous_history</t>
        </is>
      </c>
      <c r="I1" s="1" t="inlineStr">
        <is>
          <t>is_placeholder</t>
        </is>
      </c>
    </row>
    <row r="2">
      <c r="A2" s="5" t="inlineStr">
        <is>
          <t>01a1212c-6944-7440-80cf-35532b173034</t>
        </is>
      </c>
      <c r="B2" s="5" t="inlineStr">
        <is>
          <t>01a1212c-4b57-70cf-80fd-c2192cb3bf81</t>
        </is>
      </c>
      <c r="C2" s="4" t="n">
        <v>46304.62408671692</v>
      </c>
      <c r="D2" t="inlineStr">
        <is>
          <t>AUD</t>
        </is>
      </c>
      <c r="E2" t="inlineStr">
        <is>
          <t>USD</t>
        </is>
      </c>
      <c r="F2" t="n">
        <v>1.5</v>
      </c>
      <c r="G2" s="6" t="n">
        <v>42755</v>
      </c>
      <c r="H2" t="b">
        <v>0</v>
      </c>
      <c r="I2" t="b">
        <v>0</v>
      </c>
    </row>
    <row r="3">
      <c r="A3" s="5" t="inlineStr">
        <is>
          <t>01a1212c-69ae-71f1-9007-6c6dbe6e55d1</t>
        </is>
      </c>
      <c r="B3" s="5" t="inlineStr">
        <is>
          <t>01a1212c-4b57-70cf-80fd-c2192cb3bf81</t>
        </is>
      </c>
      <c r="C3" s="4" t="n">
        <v>46304.62408794155</v>
      </c>
      <c r="D3" t="inlineStr">
        <is>
          <t>AUD</t>
        </is>
      </c>
      <c r="E3" t="inlineStr">
        <is>
          <t>USD</t>
        </is>
      </c>
      <c r="F3" t="n">
        <v>1.5</v>
      </c>
      <c r="G3" s="6" t="n">
        <v>42800</v>
      </c>
      <c r="H3" t="b">
        <v>0</v>
      </c>
      <c r="I3" t="b">
        <v>0</v>
      </c>
    </row>
    <row r="4">
      <c r="A4" s="5" t="inlineStr">
        <is>
          <t>01a1212c-6a02-77ca-b78d-495d87eca122</t>
        </is>
      </c>
      <c r="B4" s="5" t="inlineStr">
        <is>
          <t>01a1212c-4b57-70cf-80fd-c2192cb3bf81</t>
        </is>
      </c>
      <c r="C4" s="4" t="n">
        <v>46304.62408891635</v>
      </c>
      <c r="D4" t="inlineStr">
        <is>
          <t>AUD</t>
        </is>
      </c>
      <c r="E4" t="inlineStr">
        <is>
          <t>USD</t>
        </is>
      </c>
      <c r="F4" t="n">
        <v>1.5</v>
      </c>
      <c r="G4" s="6" t="n">
        <v>42859</v>
      </c>
      <c r="H4" t="b">
        <v>0</v>
      </c>
      <c r="I4" t="b">
        <v>0</v>
      </c>
    </row>
    <row r="5">
      <c r="A5" s="5" t="inlineStr">
        <is>
          <t>01a1212c-bab7-723d-9f86-d0011a2f7e01</t>
        </is>
      </c>
      <c r="B5" s="5" t="inlineStr">
        <is>
          <t>01a1212c-4b57-70cf-80fd-c2192cb3bf81</t>
        </is>
      </c>
      <c r="C5" s="4" t="n">
        <v>46304.62432804751</v>
      </c>
      <c r="D5" t="inlineStr">
        <is>
          <t>AUD</t>
        </is>
      </c>
      <c r="E5" t="inlineStr">
        <is>
          <t>USD</t>
        </is>
      </c>
      <c r="F5" t="n">
        <v>1.5</v>
      </c>
      <c r="G5" s="6" t="n">
        <v>42869</v>
      </c>
      <c r="H5" t="b">
        <v>0</v>
      </c>
      <c r="I5" t="b">
        <v>0</v>
      </c>
    </row>
    <row r="6">
      <c r="A6" s="5" t="inlineStr">
        <is>
          <t>01a1212c-6a58-7669-a189-9ebe8f5c6987</t>
        </is>
      </c>
      <c r="B6" s="5" t="inlineStr">
        <is>
          <t>01a1212c-4b57-70cf-80fd-c2192cb3bf81</t>
        </is>
      </c>
      <c r="C6" s="4" t="n">
        <v>46304.62408991475</v>
      </c>
      <c r="D6" t="inlineStr">
        <is>
          <t>AUD</t>
        </is>
      </c>
      <c r="E6" t="inlineStr">
        <is>
          <t>USD</t>
        </is>
      </c>
      <c r="F6" t="n">
        <v>1.5</v>
      </c>
      <c r="G6" s="6" t="n">
        <v>42877</v>
      </c>
      <c r="H6" t="b">
        <v>0</v>
      </c>
      <c r="I6" t="b">
        <v>0</v>
      </c>
    </row>
    <row r="7">
      <c r="A7" s="5" t="inlineStr">
        <is>
          <t>01a1212c-babb-7701-816d-c7b68b99f17a</t>
        </is>
      </c>
      <c r="B7" s="5" t="inlineStr">
        <is>
          <t>01a1212c-4b57-70cf-80fd-c2192cb3bf81</t>
        </is>
      </c>
      <c r="C7" s="4" t="n">
        <v>46304.62432810056</v>
      </c>
      <c r="D7" t="inlineStr">
        <is>
          <t>AUD</t>
        </is>
      </c>
      <c r="E7" t="inlineStr">
        <is>
          <t>USD</t>
        </is>
      </c>
      <c r="F7" t="n">
        <v>1.5</v>
      </c>
      <c r="G7" s="6" t="n">
        <v>42892</v>
      </c>
      <c r="H7" t="b">
        <v>0</v>
      </c>
      <c r="I7" t="b">
        <v>0</v>
      </c>
    </row>
    <row r="8">
      <c r="A8" s="5" t="inlineStr">
        <is>
          <t>01a1212c-6a98-72ec-b03b-62e893bca266</t>
        </is>
      </c>
      <c r="B8" s="5" t="inlineStr">
        <is>
          <t>01a1212c-4b57-70cf-80fd-c2192cb3bf81</t>
        </is>
      </c>
      <c r="C8" s="4" t="n">
        <v>46304.62409065259</v>
      </c>
      <c r="D8" t="inlineStr">
        <is>
          <t>AUD</t>
        </is>
      </c>
      <c r="E8" t="inlineStr">
        <is>
          <t>USD</t>
        </is>
      </c>
      <c r="F8" t="n">
        <v>1.5</v>
      </c>
      <c r="G8" s="6" t="n">
        <v>42908</v>
      </c>
      <c r="H8" t="b">
        <v>0</v>
      </c>
      <c r="I8" t="b">
        <v>0</v>
      </c>
    </row>
    <row r="9">
      <c r="A9" s="5" t="inlineStr">
        <is>
          <t>01a1212c-6ad8-7356-82af-f81886a4a2b6</t>
        </is>
      </c>
      <c r="B9" s="5" t="inlineStr">
        <is>
          <t>01a1212c-4b57-70cf-80fd-c2192cb3bf81</t>
        </is>
      </c>
      <c r="C9" s="4" t="n">
        <v>46304.62409140092</v>
      </c>
      <c r="D9" t="inlineStr">
        <is>
          <t>AUD</t>
        </is>
      </c>
      <c r="E9" t="inlineStr">
        <is>
          <t>USD</t>
        </is>
      </c>
      <c r="F9" t="n">
        <v>1.5</v>
      </c>
      <c r="G9" s="6" t="n">
        <v>42926</v>
      </c>
      <c r="H9" t="b">
        <v>0</v>
      </c>
      <c r="I9" t="b">
        <v>0</v>
      </c>
    </row>
    <row r="10">
      <c r="A10" s="5" t="inlineStr">
        <is>
          <t>01a1212c-6aef-75da-a331-6ee84ea413ac</t>
        </is>
      </c>
      <c r="B10" s="5" t="inlineStr">
        <is>
          <t>01a1212c-4b57-70cf-80fd-c2192cb3bf81</t>
        </is>
      </c>
      <c r="C10" s="4" t="n">
        <v>46304.62409166493</v>
      </c>
      <c r="D10" t="inlineStr">
        <is>
          <t>AUD</t>
        </is>
      </c>
      <c r="E10" t="inlineStr">
        <is>
          <t>USD</t>
        </is>
      </c>
      <c r="F10" t="n">
        <v>1.5</v>
      </c>
      <c r="G10" s="6" t="n">
        <v>42944</v>
      </c>
      <c r="H10" t="b">
        <v>0</v>
      </c>
      <c r="I10" t="b">
        <v>0</v>
      </c>
    </row>
    <row r="11">
      <c r="A11" s="5" t="inlineStr">
        <is>
          <t>01a1212c-babf-730c-8081-1dc9fd788c85</t>
        </is>
      </c>
      <c r="B11" s="5" t="inlineStr">
        <is>
          <t>01a1212c-4b57-70cf-80fd-c2192cb3bf81</t>
        </is>
      </c>
      <c r="C11" s="4" t="n">
        <v>46304.62432814847</v>
      </c>
      <c r="D11" t="inlineStr">
        <is>
          <t>AUD</t>
        </is>
      </c>
      <c r="E11" t="inlineStr">
        <is>
          <t>USD</t>
        </is>
      </c>
      <c r="F11" t="n">
        <v>1.5</v>
      </c>
      <c r="G11" s="6" t="n">
        <v>42960</v>
      </c>
      <c r="H11" t="b">
        <v>0</v>
      </c>
      <c r="I11" t="b">
        <v>0</v>
      </c>
    </row>
    <row r="12">
      <c r="A12" s="5" t="inlineStr">
        <is>
          <t>01a1212c-bac3-76b0-9994-b7d0e7f858a6</t>
        </is>
      </c>
      <c r="B12" s="5" t="inlineStr">
        <is>
          <t>01a1212c-4b57-70cf-80fd-c2192cb3bf81</t>
        </is>
      </c>
      <c r="C12" s="4" t="n">
        <v>46304.62432819412</v>
      </c>
      <c r="D12" t="inlineStr">
        <is>
          <t>AUD</t>
        </is>
      </c>
      <c r="E12" t="inlineStr">
        <is>
          <t>USD</t>
        </is>
      </c>
      <c r="F12" t="n">
        <v>1.5</v>
      </c>
      <c r="G12" s="6" t="n">
        <v>42983</v>
      </c>
      <c r="H12" t="b">
        <v>0</v>
      </c>
      <c r="I12" t="b">
        <v>0</v>
      </c>
    </row>
    <row r="13">
      <c r="A13" s="5" t="inlineStr">
        <is>
          <t>01a1212c-6b5a-7638-bc2a-941f08615f12</t>
        </is>
      </c>
      <c r="B13" s="5" t="inlineStr">
        <is>
          <t>01a1212c-4b57-70cf-80fd-c2192cb3bf81</t>
        </is>
      </c>
      <c r="C13" s="4" t="n">
        <v>46304.62409290599</v>
      </c>
      <c r="D13" t="inlineStr">
        <is>
          <t>AUD</t>
        </is>
      </c>
      <c r="E13" t="inlineStr">
        <is>
          <t>USD</t>
        </is>
      </c>
      <c r="F13" t="n">
        <v>1.5</v>
      </c>
      <c r="G13" s="6" t="n">
        <v>43004</v>
      </c>
      <c r="H13" t="b">
        <v>0</v>
      </c>
      <c r="I13" t="b">
        <v>0</v>
      </c>
    </row>
    <row r="14">
      <c r="A14" s="5" t="inlineStr">
        <is>
          <t>01a1212c-6b9d-75f4-8536-99fab7955506</t>
        </is>
      </c>
      <c r="B14" s="5" t="inlineStr">
        <is>
          <t>01a1212c-4b57-70cf-80fd-c2192cb3bf81</t>
        </is>
      </c>
      <c r="C14" s="4" t="n">
        <v>46304.62409367397</v>
      </c>
      <c r="D14" t="inlineStr">
        <is>
          <t>AUD</t>
        </is>
      </c>
      <c r="E14" t="inlineStr">
        <is>
          <t>USD</t>
        </is>
      </c>
      <c r="F14" t="n">
        <v>1.5</v>
      </c>
      <c r="G14" s="6" t="n">
        <v>43027</v>
      </c>
      <c r="H14" t="b">
        <v>0</v>
      </c>
      <c r="I14" t="b">
        <v>0</v>
      </c>
    </row>
    <row r="15">
      <c r="A15" s="5" t="inlineStr">
        <is>
          <t>01a1212c-bacd-701f-a448-be3268cd8b4a</t>
        </is>
      </c>
      <c r="B15" s="5" t="inlineStr">
        <is>
          <t>01a1212c-4b57-70cf-80fd-c2192cb3bf81</t>
        </is>
      </c>
      <c r="C15" s="4" t="n">
        <v>46304.62432830823</v>
      </c>
      <c r="D15" t="inlineStr">
        <is>
          <t>AUD</t>
        </is>
      </c>
      <c r="E15" t="inlineStr">
        <is>
          <t>USD</t>
        </is>
      </c>
      <c r="F15" t="n">
        <v>1.5</v>
      </c>
      <c r="G15" s="6" t="n">
        <v>43052</v>
      </c>
      <c r="H15" t="b">
        <v>0</v>
      </c>
      <c r="I15" t="b">
        <v>0</v>
      </c>
    </row>
    <row r="16">
      <c r="A16" s="5" t="inlineStr">
        <is>
          <t>01a1212c-bad1-7281-a34c-c8cb6755a8ce</t>
        </is>
      </c>
      <c r="B16" s="5" t="inlineStr">
        <is>
          <t>01a1212c-4b57-70cf-80fd-c2192cb3bf81</t>
        </is>
      </c>
      <c r="C16" s="4" t="n">
        <v>46304.62432835306</v>
      </c>
      <c r="D16" t="inlineStr">
        <is>
          <t>AUD</t>
        </is>
      </c>
      <c r="E16" t="inlineStr">
        <is>
          <t>USD</t>
        </is>
      </c>
      <c r="F16" t="n">
        <v>1.5</v>
      </c>
      <c r="G16" s="6" t="n">
        <v>43075</v>
      </c>
      <c r="H16" t="b">
        <v>0</v>
      </c>
      <c r="I16" t="b">
        <v>0</v>
      </c>
    </row>
    <row r="17">
      <c r="A17" s="5" t="inlineStr">
        <is>
          <t>01a1212c-6c32-77a2-b72d-07c791fd6f71</t>
        </is>
      </c>
      <c r="B17" s="5" t="inlineStr">
        <is>
          <t>01a1212c-4b57-70cf-80fd-c2192cb3bf81</t>
        </is>
      </c>
      <c r="C17" s="4" t="n">
        <v>46304.62409540588</v>
      </c>
      <c r="D17" t="inlineStr">
        <is>
          <t>AUD</t>
        </is>
      </c>
      <c r="E17" t="inlineStr">
        <is>
          <t>USD</t>
        </is>
      </c>
      <c r="F17" t="n">
        <v>1.5</v>
      </c>
      <c r="G17" s="6" t="n">
        <v>43119</v>
      </c>
      <c r="H17" t="b">
        <v>0</v>
      </c>
      <c r="I17" t="b">
        <v>0</v>
      </c>
    </row>
    <row r="18">
      <c r="A18" s="5" t="inlineStr">
        <is>
          <t>01a1212c-bad5-77b3-9316-0646326a9579</t>
        </is>
      </c>
      <c r="B18" s="5" t="inlineStr">
        <is>
          <t>01a1212c-4b57-70cf-80fd-c2192cb3bf81</t>
        </is>
      </c>
      <c r="C18" s="4" t="n">
        <v>46304.62432839722</v>
      </c>
      <c r="D18" t="inlineStr">
        <is>
          <t>AUD</t>
        </is>
      </c>
      <c r="E18" t="inlineStr">
        <is>
          <t>USD</t>
        </is>
      </c>
      <c r="F18" t="n">
        <v>1.5</v>
      </c>
      <c r="G18" s="6" t="n">
        <v>43143</v>
      </c>
      <c r="H18" t="b">
        <v>0</v>
      </c>
      <c r="I18" t="b">
        <v>0</v>
      </c>
    </row>
    <row r="19">
      <c r="A19" s="5" t="inlineStr">
        <is>
          <t>01a1212c-6c86-7753-8a4c-7e41768a887a</t>
        </is>
      </c>
      <c r="B19" s="5" t="inlineStr">
        <is>
          <t>01a1212c-4b57-70cf-80fd-c2192cb3bf81</t>
        </is>
      </c>
      <c r="C19" s="4" t="n">
        <v>46304.62409637552</v>
      </c>
      <c r="D19" t="inlineStr">
        <is>
          <t>AUD</t>
        </is>
      </c>
      <c r="E19" t="inlineStr">
        <is>
          <t>USD</t>
        </is>
      </c>
      <c r="F19" t="n">
        <v>1.5</v>
      </c>
      <c r="G19" s="6" t="n">
        <v>43164</v>
      </c>
      <c r="H19" t="b">
        <v>0</v>
      </c>
      <c r="I19" t="b">
        <v>0</v>
      </c>
    </row>
    <row r="20">
      <c r="A20" s="5" t="inlineStr">
        <is>
          <t>01a1212c-bad9-741c-95c6-2cb182e4f251</t>
        </is>
      </c>
      <c r="B20" s="5" t="inlineStr">
        <is>
          <t>01a1212c-4b57-70cf-80fd-c2192cb3bf81</t>
        </is>
      </c>
      <c r="C20" s="4" t="n">
        <v>46304.62432844434</v>
      </c>
      <c r="D20" t="inlineStr">
        <is>
          <t>AUD</t>
        </is>
      </c>
      <c r="E20" t="inlineStr">
        <is>
          <t>USD</t>
        </is>
      </c>
      <c r="F20" t="n">
        <v>1.5</v>
      </c>
      <c r="G20" s="6" t="n">
        <v>43166</v>
      </c>
      <c r="H20" t="b">
        <v>0</v>
      </c>
      <c r="I20" t="b">
        <v>0</v>
      </c>
    </row>
    <row r="21">
      <c r="A21" s="5" t="inlineStr">
        <is>
          <t>01a1212c-bae3-7421-9c1f-d1d1ce930cb8</t>
        </is>
      </c>
      <c r="B21" s="5" t="inlineStr">
        <is>
          <t>01a1212c-4b57-70cf-80fd-c2192cb3bf81</t>
        </is>
      </c>
      <c r="C21" s="4" t="n">
        <v>46304.62432856202</v>
      </c>
      <c r="D21" t="inlineStr">
        <is>
          <t>AUD</t>
        </is>
      </c>
      <c r="E21" t="inlineStr">
        <is>
          <t>USD</t>
        </is>
      </c>
      <c r="F21" t="n">
        <v>1.5</v>
      </c>
      <c r="G21" s="6" t="n">
        <v>43234</v>
      </c>
      <c r="H21" t="b">
        <v>0</v>
      </c>
      <c r="I21" t="b">
        <v>0</v>
      </c>
    </row>
    <row r="22">
      <c r="A22" s="5" t="inlineStr">
        <is>
          <t>01a1212c-bae7-7004-9bc7-e76db89d1de6</t>
        </is>
      </c>
      <c r="B22" s="5" t="inlineStr">
        <is>
          <t>01a1212c-4b57-70cf-80fd-c2192cb3bf81</t>
        </is>
      </c>
      <c r="C22" s="4" t="n">
        <v>46304.62432861126</v>
      </c>
      <c r="D22" t="inlineStr">
        <is>
          <t>AUD</t>
        </is>
      </c>
      <c r="E22" t="inlineStr">
        <is>
          <t>USD</t>
        </is>
      </c>
      <c r="F22" t="n">
        <v>1.5</v>
      </c>
      <c r="G22" s="6" t="n">
        <v>43257</v>
      </c>
      <c r="H22" t="b">
        <v>0</v>
      </c>
      <c r="I22" t="b">
        <v>0</v>
      </c>
    </row>
    <row r="23">
      <c r="A23" s="5" t="inlineStr">
        <is>
          <t>01a1212c-baec-773a-8f80-f9098743517c</t>
        </is>
      </c>
      <c r="B23" s="5" t="inlineStr">
        <is>
          <t>01a1212c-4b57-70cf-80fd-c2192cb3bf81</t>
        </is>
      </c>
      <c r="C23" s="4" t="n">
        <v>46304.6243286613</v>
      </c>
      <c r="D23" t="inlineStr">
        <is>
          <t>AUD</t>
        </is>
      </c>
      <c r="E23" t="inlineStr">
        <is>
          <t>USD</t>
        </is>
      </c>
      <c r="F23" t="n">
        <v>1.5</v>
      </c>
      <c r="G23" s="6" t="n">
        <v>43325</v>
      </c>
      <c r="H23" t="b">
        <v>0</v>
      </c>
      <c r="I23" t="b">
        <v>0</v>
      </c>
    </row>
    <row r="24">
      <c r="A24" s="5" t="inlineStr">
        <is>
          <t>01a1212c-6d9f-73b2-90ca-dc09a92c8d2a</t>
        </is>
      </c>
      <c r="B24" s="5" t="inlineStr">
        <is>
          <t>01a1212c-4b57-70cf-80fd-c2192cb3bf81</t>
        </is>
      </c>
      <c r="C24" s="4" t="n">
        <v>46304.62409962748</v>
      </c>
      <c r="D24" t="inlineStr">
        <is>
          <t>AUD</t>
        </is>
      </c>
      <c r="E24" t="inlineStr">
        <is>
          <t>USD</t>
        </is>
      </c>
      <c r="F24" t="n">
        <v>1.5</v>
      </c>
      <c r="G24" s="6" t="n">
        <v>43339</v>
      </c>
      <c r="H24" t="b">
        <v>0</v>
      </c>
      <c r="I24" t="b">
        <v>0</v>
      </c>
    </row>
    <row r="25">
      <c r="A25" s="5" t="inlineStr">
        <is>
          <t>01a1212c-6de2-7731-96b4-9ea58ce320d8</t>
        </is>
      </c>
      <c r="B25" s="5" t="inlineStr">
        <is>
          <t>01a1212c-4b57-70cf-80fd-c2192cb3bf81</t>
        </is>
      </c>
      <c r="C25" s="4" t="n">
        <v>46304.62410039448</v>
      </c>
      <c r="D25" t="inlineStr">
        <is>
          <t>AUD</t>
        </is>
      </c>
      <c r="E25" t="inlineStr">
        <is>
          <t>USD</t>
        </is>
      </c>
      <c r="F25" t="n">
        <v>1.5</v>
      </c>
      <c r="G25" s="6" t="n">
        <v>43347</v>
      </c>
      <c r="H25" t="b">
        <v>0</v>
      </c>
      <c r="I25" t="b">
        <v>0</v>
      </c>
    </row>
    <row r="26">
      <c r="A26" s="5" t="inlineStr">
        <is>
          <t>01a1212c-baf0-71f1-8a87-cc013ec73918</t>
        </is>
      </c>
      <c r="B26" s="5" t="inlineStr">
        <is>
          <t>01a1212c-4b57-70cf-80fd-c2192cb3bf81</t>
        </is>
      </c>
      <c r="C26" s="4" t="n">
        <v>46304.62432871112</v>
      </c>
      <c r="D26" t="inlineStr">
        <is>
          <t>AUD</t>
        </is>
      </c>
      <c r="E26" t="inlineStr">
        <is>
          <t>USD</t>
        </is>
      </c>
      <c r="F26" t="n">
        <v>1.5</v>
      </c>
      <c r="G26" s="6" t="n">
        <v>43348</v>
      </c>
      <c r="H26" t="b">
        <v>0</v>
      </c>
      <c r="I26" t="b">
        <v>0</v>
      </c>
    </row>
    <row r="27">
      <c r="A27" s="5" t="inlineStr">
        <is>
          <t>01a1212c-6e37-7795-b03f-a9a1bc42095b</t>
        </is>
      </c>
      <c r="B27" s="5" t="inlineStr">
        <is>
          <t>01a1212c-4b57-70cf-80fd-c2192cb3bf81</t>
        </is>
      </c>
      <c r="C27" s="4" t="n">
        <v>46304.62410137921</v>
      </c>
      <c r="D27" t="inlineStr">
        <is>
          <t>AUD</t>
        </is>
      </c>
      <c r="E27" t="inlineStr">
        <is>
          <t>USD</t>
        </is>
      </c>
      <c r="F27" t="n">
        <v>1.5</v>
      </c>
      <c r="G27" s="6" t="n">
        <v>43384</v>
      </c>
      <c r="H27" t="b">
        <v>0</v>
      </c>
      <c r="I27" t="b">
        <v>0</v>
      </c>
    </row>
    <row r="28">
      <c r="A28" s="5" t="inlineStr">
        <is>
          <t>01a1212c-6e4e-76f2-a4fe-07ca96a6fe9c</t>
        </is>
      </c>
      <c r="B28" s="5" t="inlineStr">
        <is>
          <t>01a1212c-4b57-70cf-80fd-c2192cb3bf81</t>
        </is>
      </c>
      <c r="C28" s="4" t="n">
        <v>46304.62410164509</v>
      </c>
      <c r="D28" t="inlineStr">
        <is>
          <t>AUD</t>
        </is>
      </c>
      <c r="E28" t="inlineStr">
        <is>
          <t>USD</t>
        </is>
      </c>
      <c r="F28" t="n">
        <v>1.5</v>
      </c>
      <c r="G28" s="6" t="n">
        <v>43385</v>
      </c>
      <c r="H28" t="b">
        <v>0</v>
      </c>
      <c r="I28" t="b">
        <v>0</v>
      </c>
    </row>
    <row r="29">
      <c r="A29" s="5" t="inlineStr">
        <is>
          <t>01a1212c-bafb-72f0-9900-abe06a66f73d</t>
        </is>
      </c>
      <c r="B29" s="5" t="inlineStr">
        <is>
          <t>01a1212c-4b57-70cf-80fd-c2192cb3bf81</t>
        </is>
      </c>
      <c r="C29" s="4" t="n">
        <v>46304.62432883495</v>
      </c>
      <c r="D29" t="inlineStr">
        <is>
          <t>AUD</t>
        </is>
      </c>
      <c r="E29" t="inlineStr">
        <is>
          <t>USD</t>
        </is>
      </c>
      <c r="F29" t="n">
        <v>1.5</v>
      </c>
      <c r="G29" s="6" t="n">
        <v>43415</v>
      </c>
      <c r="H29" t="b">
        <v>0</v>
      </c>
      <c r="I29" t="b">
        <v>0</v>
      </c>
    </row>
    <row r="30">
      <c r="A30" s="5" t="inlineStr">
        <is>
          <t>01a1212c-6ea6-7619-b8fe-0601d5b9b073</t>
        </is>
      </c>
      <c r="B30" s="5" t="inlineStr">
        <is>
          <t>01a1212c-4b57-70cf-80fd-c2192cb3bf81</t>
        </is>
      </c>
      <c r="C30" s="4" t="n">
        <v>46304.62410267177</v>
      </c>
      <c r="D30" t="inlineStr">
        <is>
          <t>AUD</t>
        </is>
      </c>
      <c r="E30" t="inlineStr">
        <is>
          <t>USD</t>
        </is>
      </c>
      <c r="F30" t="n">
        <v>1.5</v>
      </c>
      <c r="G30" s="6" t="n">
        <v>43425</v>
      </c>
      <c r="H30" t="b">
        <v>0</v>
      </c>
      <c r="I30" t="b">
        <v>0</v>
      </c>
    </row>
    <row r="31">
      <c r="A31" s="5" t="inlineStr">
        <is>
          <t>01a1212c-baff-72ee-993e-4cd699c4abeb</t>
        </is>
      </c>
      <c r="B31" s="5" t="inlineStr">
        <is>
          <t>01a1212c-4b57-70cf-80fd-c2192cb3bf81</t>
        </is>
      </c>
      <c r="C31" s="4" t="n">
        <v>46304.62432888238</v>
      </c>
      <c r="D31" t="inlineStr">
        <is>
          <t>AUD</t>
        </is>
      </c>
      <c r="E31" t="inlineStr">
        <is>
          <t>USD</t>
        </is>
      </c>
      <c r="F31" t="n">
        <v>1.5</v>
      </c>
      <c r="G31" s="6" t="n">
        <v>43439</v>
      </c>
      <c r="H31" t="b">
        <v>0</v>
      </c>
      <c r="I31" t="b">
        <v>0</v>
      </c>
    </row>
    <row r="32">
      <c r="A32" s="5" t="inlineStr">
        <is>
          <t>01a1212c-6ee6-71f9-b5cb-6bb70158d792</t>
        </is>
      </c>
      <c r="B32" s="5" t="inlineStr">
        <is>
          <t>01a1212c-4b57-70cf-80fd-c2192cb3bf81</t>
        </is>
      </c>
      <c r="C32" s="4" t="n">
        <v>46304.62410340817</v>
      </c>
      <c r="D32" t="inlineStr">
        <is>
          <t>AUD</t>
        </is>
      </c>
      <c r="E32" t="inlineStr">
        <is>
          <t>USD</t>
        </is>
      </c>
      <c r="F32" t="n">
        <v>1.5</v>
      </c>
      <c r="G32" s="6" t="n">
        <v>43451</v>
      </c>
      <c r="H32" t="b">
        <v>0</v>
      </c>
      <c r="I32" t="b">
        <v>0</v>
      </c>
    </row>
    <row r="33">
      <c r="A33" s="5" t="inlineStr">
        <is>
          <t>01a1212c-6f29-7458-819a-b33272121fd6</t>
        </is>
      </c>
      <c r="B33" s="5" t="inlineStr">
        <is>
          <t>01a1212c-4b57-70cf-80fd-c2192cb3bf81</t>
        </is>
      </c>
      <c r="C33" s="4" t="n">
        <v>46304.62410418424</v>
      </c>
      <c r="D33" t="inlineStr">
        <is>
          <t>AUD</t>
        </is>
      </c>
      <c r="E33" t="inlineStr">
        <is>
          <t>USD</t>
        </is>
      </c>
      <c r="F33" t="n">
        <v>1.5</v>
      </c>
      <c r="G33" s="6" t="n">
        <v>43472</v>
      </c>
      <c r="H33" t="b">
        <v>0</v>
      </c>
      <c r="I33" t="b">
        <v>0</v>
      </c>
    </row>
    <row r="34">
      <c r="A34" s="5" t="inlineStr">
        <is>
          <t>01a1212c-6f69-74f1-9103-f869bbe55555</t>
        </is>
      </c>
      <c r="B34" s="5" t="inlineStr">
        <is>
          <t>01a1212c-4b57-70cf-80fd-c2192cb3bf81</t>
        </is>
      </c>
      <c r="C34" s="4" t="n">
        <v>46304.62410492191</v>
      </c>
      <c r="D34" t="inlineStr">
        <is>
          <t>AUD</t>
        </is>
      </c>
      <c r="E34" t="inlineStr">
        <is>
          <t>USD</t>
        </is>
      </c>
      <c r="F34" t="n">
        <v>1.5</v>
      </c>
      <c r="G34" s="6" t="n">
        <v>43502</v>
      </c>
      <c r="H34" t="b">
        <v>0</v>
      </c>
      <c r="I34" t="b">
        <v>0</v>
      </c>
    </row>
    <row r="35">
      <c r="A35" s="5" t="inlineStr">
        <is>
          <t>01a1212c-bb06-7787-9846-91d0d1303cbf</t>
        </is>
      </c>
      <c r="B35" s="5" t="inlineStr">
        <is>
          <t>01a1212c-4b57-70cf-80fd-c2192cb3bf81</t>
        </is>
      </c>
      <c r="C35" s="4" t="n">
        <v>46304.62432897049</v>
      </c>
      <c r="D35" t="inlineStr">
        <is>
          <t>AUD</t>
        </is>
      </c>
      <c r="E35" t="inlineStr">
        <is>
          <t>USD</t>
        </is>
      </c>
      <c r="F35" t="n">
        <v>1.5</v>
      </c>
      <c r="G35" s="6" t="n">
        <v>43507</v>
      </c>
      <c r="H35" t="b">
        <v>0</v>
      </c>
      <c r="I35" t="b">
        <v>0</v>
      </c>
    </row>
    <row r="36">
      <c r="A36" s="5" t="inlineStr">
        <is>
          <t>01a1212c-6fab-7721-b2f3-45197c381659</t>
        </is>
      </c>
      <c r="B36" s="5" t="inlineStr">
        <is>
          <t>01a1212c-4b57-70cf-80fd-c2192cb3bf81</t>
        </is>
      </c>
      <c r="C36" s="4" t="n">
        <v>46304.6241056872</v>
      </c>
      <c r="D36" t="inlineStr">
        <is>
          <t>AUD</t>
        </is>
      </c>
      <c r="E36" t="inlineStr">
        <is>
          <t>USD</t>
        </is>
      </c>
      <c r="F36" t="n">
        <v>1.5</v>
      </c>
      <c r="G36" s="6" t="n">
        <v>43535</v>
      </c>
      <c r="H36" t="b">
        <v>0</v>
      </c>
      <c r="I36" t="b">
        <v>0</v>
      </c>
    </row>
    <row r="37">
      <c r="A37" s="5" t="inlineStr">
        <is>
          <t>01a1212c-bb0b-7187-bc3b-eca6b8b2ba79</t>
        </is>
      </c>
      <c r="B37" s="5" t="inlineStr">
        <is>
          <t>01a1212c-4b57-70cf-80fd-c2192cb3bf81</t>
        </is>
      </c>
      <c r="C37" s="4" t="n">
        <v>46304.62432901784</v>
      </c>
      <c r="D37" t="inlineStr">
        <is>
          <t>AUD</t>
        </is>
      </c>
      <c r="E37" t="inlineStr">
        <is>
          <t>USD</t>
        </is>
      </c>
      <c r="F37" t="n">
        <v>1.5</v>
      </c>
      <c r="G37" s="6" t="n">
        <v>43537</v>
      </c>
      <c r="H37" t="b">
        <v>0</v>
      </c>
      <c r="I37" t="b">
        <v>0</v>
      </c>
    </row>
    <row r="38">
      <c r="A38" s="5" t="inlineStr">
        <is>
          <t>01a1212c-bb1a-715b-bfb4-b37dbb9c9ab7</t>
        </is>
      </c>
      <c r="B38" s="5" t="inlineStr">
        <is>
          <t>01a1212c-4b57-70cf-80fd-c2192cb3bf81</t>
        </is>
      </c>
      <c r="C38" s="4" t="n">
        <v>46304.62432919317</v>
      </c>
      <c r="D38" t="inlineStr">
        <is>
          <t>AUD</t>
        </is>
      </c>
      <c r="E38" t="inlineStr">
        <is>
          <t>USD</t>
        </is>
      </c>
      <c r="F38" t="n">
        <v>1.5</v>
      </c>
      <c r="G38" s="6" t="n">
        <v>43598</v>
      </c>
      <c r="H38" t="b">
        <v>0</v>
      </c>
      <c r="I38" t="b">
        <v>0</v>
      </c>
    </row>
    <row r="39">
      <c r="A39" s="5" t="inlineStr">
        <is>
          <t>01a1212c-bb1e-7535-b190-240ed9536aac</t>
        </is>
      </c>
      <c r="B39" s="5" t="inlineStr">
        <is>
          <t>01a1212c-4b57-70cf-80fd-c2192cb3bf81</t>
        </is>
      </c>
      <c r="C39" s="4" t="n">
        <v>46304.62432923797</v>
      </c>
      <c r="D39" t="inlineStr">
        <is>
          <t>AUD</t>
        </is>
      </c>
      <c r="E39" t="inlineStr">
        <is>
          <t>USD</t>
        </is>
      </c>
      <c r="F39" t="n">
        <v>1.5</v>
      </c>
      <c r="G39" s="6" t="n">
        <v>43621</v>
      </c>
      <c r="H39" t="b">
        <v>0</v>
      </c>
      <c r="I39" t="b">
        <v>0</v>
      </c>
    </row>
    <row r="40">
      <c r="A40" s="5" t="inlineStr">
        <is>
          <t>01a1212c-707b-7730-883a-68990cdab9ad</t>
        </is>
      </c>
      <c r="B40" s="5" t="inlineStr">
        <is>
          <t>01a1212c-4b57-70cf-80fd-c2192cb3bf81</t>
        </is>
      </c>
      <c r="C40" s="4" t="n">
        <v>46304.62410810133</v>
      </c>
      <c r="D40" t="inlineStr">
        <is>
          <t>AUD</t>
        </is>
      </c>
      <c r="E40" t="inlineStr">
        <is>
          <t>USD</t>
        </is>
      </c>
      <c r="F40" t="n">
        <v>1.5</v>
      </c>
      <c r="G40" s="6" t="n">
        <v>43651</v>
      </c>
      <c r="H40" t="b">
        <v>0</v>
      </c>
      <c r="I40" t="b">
        <v>0</v>
      </c>
    </row>
    <row r="41">
      <c r="A41" s="5" t="inlineStr">
        <is>
          <t>01a1212c-70a8-7533-af2e-06c72c4a7852</t>
        </is>
      </c>
      <c r="B41" s="5" t="inlineStr">
        <is>
          <t>01a1212c-4b57-70cf-80fd-c2192cb3bf81</t>
        </is>
      </c>
      <c r="C41" s="4" t="n">
        <v>46304.62410861409</v>
      </c>
      <c r="D41" t="inlineStr">
        <is>
          <t>AUD</t>
        </is>
      </c>
      <c r="E41" t="inlineStr">
        <is>
          <t>USD</t>
        </is>
      </c>
      <c r="F41" t="n">
        <v>1.5</v>
      </c>
      <c r="G41" s="6" t="n">
        <v>43658</v>
      </c>
      <c r="H41" t="b">
        <v>0</v>
      </c>
      <c r="I41" t="b">
        <v>0</v>
      </c>
    </row>
    <row r="42">
      <c r="A42" s="5" t="inlineStr">
        <is>
          <t>01a1212c-70bf-766e-816a-eb3165a0aac3</t>
        </is>
      </c>
      <c r="B42" s="5" t="inlineStr">
        <is>
          <t>01a1212c-4b57-70cf-80fd-c2192cb3bf81</t>
        </is>
      </c>
      <c r="C42" s="4" t="n">
        <v>46304.62410887971</v>
      </c>
      <c r="D42" t="inlineStr">
        <is>
          <t>AUD</t>
        </is>
      </c>
      <c r="E42" t="inlineStr">
        <is>
          <t>USD</t>
        </is>
      </c>
      <c r="F42" t="n">
        <v>1.5</v>
      </c>
      <c r="G42" s="6" t="n">
        <v>43661</v>
      </c>
      <c r="H42" t="b">
        <v>0</v>
      </c>
      <c r="I42" t="b">
        <v>0</v>
      </c>
    </row>
    <row r="43">
      <c r="A43" s="5" t="inlineStr">
        <is>
          <t>01a1212c-bb21-7050-a52f-5f740bbf8063</t>
        </is>
      </c>
      <c r="B43" s="5" t="inlineStr">
        <is>
          <t>01a1212c-4b57-70cf-80fd-c2192cb3bf81</t>
        </is>
      </c>
      <c r="C43" s="4" t="n">
        <v>46304.62432928288</v>
      </c>
      <c r="D43" t="inlineStr">
        <is>
          <t>AUD</t>
        </is>
      </c>
      <c r="E43" t="inlineStr">
        <is>
          <t>USD</t>
        </is>
      </c>
      <c r="F43" t="n">
        <v>1.5</v>
      </c>
      <c r="G43" s="6" t="n">
        <v>43689</v>
      </c>
      <c r="H43" t="b">
        <v>0</v>
      </c>
      <c r="I43" t="b">
        <v>0</v>
      </c>
    </row>
    <row r="44">
      <c r="A44" s="5" t="inlineStr">
        <is>
          <t>01a1212c-bb25-7548-a3d2-380df50d217c</t>
        </is>
      </c>
      <c r="B44" s="5" t="inlineStr">
        <is>
          <t>01a1212c-4b57-70cf-80fd-c2192cb3bf81</t>
        </is>
      </c>
      <c r="C44" s="4" t="n">
        <v>46304.62432932824</v>
      </c>
      <c r="D44" t="inlineStr">
        <is>
          <t>AUD</t>
        </is>
      </c>
      <c r="E44" t="inlineStr">
        <is>
          <t>USD</t>
        </is>
      </c>
      <c r="F44" t="n">
        <v>1.5</v>
      </c>
      <c r="G44" s="6" t="n">
        <v>43712</v>
      </c>
      <c r="H44" t="b">
        <v>0</v>
      </c>
      <c r="I44" t="b">
        <v>0</v>
      </c>
    </row>
    <row r="45">
      <c r="A45" s="5" t="inlineStr">
        <is>
          <t>01a1212c-712c-75a7-9b7e-4aa03d6473a2</t>
        </is>
      </c>
      <c r="B45" s="5" t="inlineStr">
        <is>
          <t>01a1212c-4b57-70cf-80fd-c2192cb3bf81</t>
        </is>
      </c>
      <c r="C45" s="4" t="n">
        <v>46304.62411014317</v>
      </c>
      <c r="D45" t="inlineStr">
        <is>
          <t>AUD</t>
        </is>
      </c>
      <c r="E45" t="inlineStr">
        <is>
          <t>USD</t>
        </is>
      </c>
      <c r="F45" t="n">
        <v>1.5</v>
      </c>
      <c r="G45" s="6" t="n">
        <v>43738</v>
      </c>
      <c r="H45" t="b">
        <v>0</v>
      </c>
      <c r="I45" t="b">
        <v>0</v>
      </c>
    </row>
    <row r="46">
      <c r="A46" s="5" t="inlineStr">
        <is>
          <t>01a1212c-716e-76fe-8bba-dbff6021061a</t>
        </is>
      </c>
      <c r="B46" s="5" t="inlineStr">
        <is>
          <t>01a1212c-4b57-70cf-80fd-c2192cb3bf81</t>
        </is>
      </c>
      <c r="C46" s="4" t="n">
        <v>46304.62411090606</v>
      </c>
      <c r="D46" t="inlineStr">
        <is>
          <t>AUD</t>
        </is>
      </c>
      <c r="E46" t="inlineStr">
        <is>
          <t>USD</t>
        </is>
      </c>
      <c r="F46" t="n">
        <v>1.5</v>
      </c>
      <c r="G46" s="6" t="n">
        <v>43759</v>
      </c>
      <c r="H46" t="b">
        <v>0</v>
      </c>
      <c r="I46" t="b">
        <v>0</v>
      </c>
    </row>
    <row r="47">
      <c r="A47" s="5" t="inlineStr">
        <is>
          <t>01a1212c-bb34-77c9-a440-4ca1a657fbc0</t>
        </is>
      </c>
      <c r="B47" s="5" t="inlineStr">
        <is>
          <t>01a1212c-4b57-70cf-80fd-c2192cb3bf81</t>
        </is>
      </c>
      <c r="C47" s="4" t="n">
        <v>46304.62432950005</v>
      </c>
      <c r="D47" t="inlineStr">
        <is>
          <t>AUD</t>
        </is>
      </c>
      <c r="E47" t="inlineStr">
        <is>
          <t>USD</t>
        </is>
      </c>
      <c r="F47" t="n">
        <v>1.5</v>
      </c>
      <c r="G47" s="6" t="n">
        <v>43779</v>
      </c>
      <c r="H47" t="b">
        <v>0</v>
      </c>
      <c r="I47" t="b">
        <v>0</v>
      </c>
    </row>
    <row r="48">
      <c r="A48" s="5" t="inlineStr">
        <is>
          <t>01a1212c-bb39-7289-8780-d5daa60558e2</t>
        </is>
      </c>
      <c r="B48" s="5" t="inlineStr">
        <is>
          <t>01a1212c-4b57-70cf-80fd-c2192cb3bf81</t>
        </is>
      </c>
      <c r="C48" s="4" t="n">
        <v>46304.62432954952</v>
      </c>
      <c r="D48" t="inlineStr">
        <is>
          <t>AUD</t>
        </is>
      </c>
      <c r="E48" t="inlineStr">
        <is>
          <t>USD</t>
        </is>
      </c>
      <c r="F48" t="n">
        <v>1.5</v>
      </c>
      <c r="G48" s="6" t="n">
        <v>43810</v>
      </c>
      <c r="H48" t="b">
        <v>0</v>
      </c>
      <c r="I48" t="b">
        <v>0</v>
      </c>
    </row>
    <row r="49">
      <c r="A49" s="5" t="inlineStr">
        <is>
          <t>01a1212c-7204-71d8-b393-e3a7cabeb70a</t>
        </is>
      </c>
      <c r="B49" s="5" t="inlineStr">
        <is>
          <t>01a1212c-4b57-70cf-80fd-c2192cb3bf81</t>
        </is>
      </c>
      <c r="C49" s="4" t="n">
        <v>46304.62411264486</v>
      </c>
      <c r="D49" t="inlineStr">
        <is>
          <t>AUD</t>
        </is>
      </c>
      <c r="E49" t="inlineStr">
        <is>
          <t>USD</t>
        </is>
      </c>
      <c r="F49" t="n">
        <v>1.5</v>
      </c>
      <c r="G49" s="6" t="n">
        <v>43846</v>
      </c>
      <c r="H49" t="b">
        <v>0</v>
      </c>
      <c r="I49" t="b">
        <v>0</v>
      </c>
    </row>
    <row r="50">
      <c r="A50" s="5" t="inlineStr">
        <is>
          <t>01a1212c-bb3c-74f1-b5e8-8f2b143a6d7e</t>
        </is>
      </c>
      <c r="B50" s="5" t="inlineStr">
        <is>
          <t>01a1212c-4b57-70cf-80fd-c2192cb3bf81</t>
        </is>
      </c>
      <c r="C50" s="4" t="n">
        <v>46304.62432959411</v>
      </c>
      <c r="D50" t="inlineStr">
        <is>
          <t>AUD</t>
        </is>
      </c>
      <c r="E50" t="inlineStr">
        <is>
          <t>USD</t>
        </is>
      </c>
      <c r="F50" t="n">
        <v>1.5</v>
      </c>
      <c r="G50" s="6" t="n">
        <v>43871</v>
      </c>
      <c r="H50" t="b">
        <v>0</v>
      </c>
      <c r="I50" t="b">
        <v>0</v>
      </c>
    </row>
    <row r="51">
      <c r="A51" s="5" t="inlineStr">
        <is>
          <t>01a1212c-724c-747e-97ab-a918c560269a</t>
        </is>
      </c>
      <c r="B51" s="5" t="inlineStr">
        <is>
          <t>01a1212c-4b57-70cf-80fd-c2192cb3bf81</t>
        </is>
      </c>
      <c r="C51" s="4" t="n">
        <v>46304.62411347639</v>
      </c>
      <c r="D51" t="inlineStr">
        <is>
          <t>AUD</t>
        </is>
      </c>
      <c r="E51" t="inlineStr">
        <is>
          <t>USD</t>
        </is>
      </c>
      <c r="F51" t="n">
        <v>1.5</v>
      </c>
      <c r="G51" s="6" t="n">
        <v>43879</v>
      </c>
      <c r="H51" t="b">
        <v>0</v>
      </c>
      <c r="I51" t="b">
        <v>0</v>
      </c>
    </row>
    <row r="52">
      <c r="A52" s="5" t="inlineStr">
        <is>
          <t>01a1212c-bb40-76d2-a8ff-a4399d3bd043</t>
        </is>
      </c>
      <c r="B52" s="5" t="inlineStr">
        <is>
          <t>01a1212c-4b57-70cf-80fd-c2192cb3bf81</t>
        </is>
      </c>
      <c r="C52" s="4" t="n">
        <v>46304.62432963824</v>
      </c>
      <c r="D52" t="inlineStr">
        <is>
          <t>AUD</t>
        </is>
      </c>
      <c r="E52" t="inlineStr">
        <is>
          <t>USD</t>
        </is>
      </c>
      <c r="F52" t="n">
        <v>1.5</v>
      </c>
      <c r="G52" s="6" t="n">
        <v>43901</v>
      </c>
      <c r="H52" t="b">
        <v>0</v>
      </c>
      <c r="I52" t="b">
        <v>0</v>
      </c>
    </row>
    <row r="53">
      <c r="A53" s="5" t="inlineStr">
        <is>
          <t>01a1212c-72b8-739a-b1d8-848365353bda</t>
        </is>
      </c>
      <c r="B53" s="5" t="inlineStr">
        <is>
          <t>01a1212c-4b57-70cf-80fd-c2192cb3bf81</t>
        </is>
      </c>
      <c r="C53" s="4" t="n">
        <v>46304.62411472374</v>
      </c>
      <c r="D53" t="inlineStr">
        <is>
          <t>AUD</t>
        </is>
      </c>
      <c r="E53" t="inlineStr">
        <is>
          <t>USD</t>
        </is>
      </c>
      <c r="F53" t="n">
        <v>1.5</v>
      </c>
      <c r="G53" s="6" t="n">
        <v>43923</v>
      </c>
      <c r="H53" t="b">
        <v>0</v>
      </c>
      <c r="I53" t="b">
        <v>0</v>
      </c>
    </row>
    <row r="54">
      <c r="A54" s="5" t="inlineStr">
        <is>
          <t>01a1212c-bb4d-717e-bb2d-512f571c2107</t>
        </is>
      </c>
      <c r="B54" s="5" t="inlineStr">
        <is>
          <t>01a1212c-4b57-70cf-80fd-c2192cb3bf81</t>
        </is>
      </c>
      <c r="C54" s="4" t="n">
        <v>46304.62432978461</v>
      </c>
      <c r="D54" t="inlineStr">
        <is>
          <t>AUD</t>
        </is>
      </c>
      <c r="E54" t="inlineStr">
        <is>
          <t>USD</t>
        </is>
      </c>
      <c r="F54" t="n">
        <v>1.5</v>
      </c>
      <c r="G54" s="6" t="n">
        <v>43962</v>
      </c>
      <c r="H54" t="b">
        <v>0</v>
      </c>
      <c r="I54" t="b">
        <v>0</v>
      </c>
    </row>
    <row r="55">
      <c r="A55" s="5" t="inlineStr">
        <is>
          <t>01a1212c-7352-7636-b0d0-70ba468200f3</t>
        </is>
      </c>
      <c r="B55" s="5" t="inlineStr">
        <is>
          <t>01a1212c-4b57-70cf-80fd-c2192cb3bf81</t>
        </is>
      </c>
      <c r="C55" s="4" t="n">
        <v>46304.6241165101</v>
      </c>
      <c r="D55" t="inlineStr">
        <is>
          <t>AUD</t>
        </is>
      </c>
      <c r="E55" t="inlineStr">
        <is>
          <t>USD</t>
        </is>
      </c>
      <c r="F55" t="n">
        <v>1.5</v>
      </c>
      <c r="G55" s="6" t="n">
        <v>43990</v>
      </c>
      <c r="H55" t="b">
        <v>0</v>
      </c>
      <c r="I55" t="b">
        <v>0</v>
      </c>
    </row>
    <row r="56">
      <c r="A56" s="5" t="inlineStr">
        <is>
          <t>01a1212c-bb51-731a-84eb-89c8c7a16ca6</t>
        </is>
      </c>
      <c r="B56" s="5" t="inlineStr">
        <is>
          <t>01a1212c-4b57-70cf-80fd-c2192cb3bf81</t>
        </is>
      </c>
      <c r="C56" s="4" t="n">
        <v>46304.62432983136</v>
      </c>
      <c r="D56" t="inlineStr">
        <is>
          <t>AUD</t>
        </is>
      </c>
      <c r="E56" t="inlineStr">
        <is>
          <t>USD</t>
        </is>
      </c>
      <c r="F56" t="n">
        <v>1.5</v>
      </c>
      <c r="G56" s="6" t="n">
        <v>43992</v>
      </c>
      <c r="H56" t="b">
        <v>0</v>
      </c>
      <c r="I56" t="b">
        <v>0</v>
      </c>
    </row>
    <row r="57">
      <c r="A57" s="5" t="inlineStr">
        <is>
          <t>01a1212c-736a-70b9-945e-b12f4e0f5fc7</t>
        </is>
      </c>
      <c r="B57" s="5" t="inlineStr">
        <is>
          <t>01a1212c-4b57-70cf-80fd-c2192cb3bf81</t>
        </is>
      </c>
      <c r="C57" s="4" t="n">
        <v>46304.62411678742</v>
      </c>
      <c r="D57" t="inlineStr">
        <is>
          <t>AUD</t>
        </is>
      </c>
      <c r="E57" t="inlineStr">
        <is>
          <t>USD</t>
        </is>
      </c>
      <c r="F57" t="n">
        <v>1.5</v>
      </c>
      <c r="G57" s="6" t="n">
        <v>44004</v>
      </c>
      <c r="H57" t="b">
        <v>0</v>
      </c>
      <c r="I57" t="b">
        <v>0</v>
      </c>
    </row>
    <row r="58">
      <c r="A58" s="5" t="inlineStr">
        <is>
          <t>01a1212c-73ac-70a1-9e90-5fef491c115e</t>
        </is>
      </c>
      <c r="B58" s="5" t="inlineStr">
        <is>
          <t>01a1212c-4b57-70cf-80fd-c2192cb3bf81</t>
        </is>
      </c>
      <c r="C58" s="4" t="n">
        <v>46304.62411755126</v>
      </c>
      <c r="D58" t="inlineStr">
        <is>
          <t>AUD</t>
        </is>
      </c>
      <c r="E58" t="inlineStr">
        <is>
          <t>USD</t>
        </is>
      </c>
      <c r="F58" t="n">
        <v>1.5</v>
      </c>
      <c r="G58" s="6" t="n">
        <v>44025</v>
      </c>
      <c r="H58" t="b">
        <v>0</v>
      </c>
      <c r="I58" t="b">
        <v>0</v>
      </c>
    </row>
    <row r="59">
      <c r="A59" s="5" t="inlineStr">
        <is>
          <t>01a1212c-73c4-774b-8c2b-c6596f22cc3b</t>
        </is>
      </c>
      <c r="B59" s="5" t="inlineStr">
        <is>
          <t>01a1212c-4b57-70cf-80fd-c2192cb3bf81</t>
        </is>
      </c>
      <c r="C59" s="4" t="n">
        <v>46304.6241178309</v>
      </c>
      <c r="D59" t="inlineStr">
        <is>
          <t>AUD</t>
        </is>
      </c>
      <c r="E59" t="inlineStr">
        <is>
          <t>USD</t>
        </is>
      </c>
      <c r="F59" t="n">
        <v>1.5</v>
      </c>
      <c r="G59" s="6" t="n">
        <v>44039</v>
      </c>
      <c r="H59" t="b">
        <v>0</v>
      </c>
      <c r="I59" t="b">
        <v>0</v>
      </c>
    </row>
    <row r="60">
      <c r="A60" s="5" t="inlineStr">
        <is>
          <t>01a1212c-73db-762d-bc12-16a2fd6ba976</t>
        </is>
      </c>
      <c r="B60" s="5" t="inlineStr">
        <is>
          <t>01a1212c-4b57-70cf-80fd-c2192cb3bf81</t>
        </is>
      </c>
      <c r="C60" s="4" t="n">
        <v>46304.62411809537</v>
      </c>
      <c r="D60" t="inlineStr">
        <is>
          <t>AUD</t>
        </is>
      </c>
      <c r="E60" t="inlineStr">
        <is>
          <t>USD</t>
        </is>
      </c>
      <c r="F60" t="n">
        <v>1.5</v>
      </c>
      <c r="G60" s="6" t="n">
        <v>44040</v>
      </c>
      <c r="H60" t="b">
        <v>0</v>
      </c>
      <c r="I60" t="b">
        <v>0</v>
      </c>
    </row>
    <row r="61">
      <c r="A61" s="5" t="inlineStr">
        <is>
          <t>01a1212c-bb55-75c0-bcc6-cfe4f59cf064</t>
        </is>
      </c>
      <c r="B61" s="5" t="inlineStr">
        <is>
          <t>01a1212c-4b57-70cf-80fd-c2192cb3bf81</t>
        </is>
      </c>
      <c r="C61" s="4" t="n">
        <v>46304.62432987949</v>
      </c>
      <c r="D61" t="inlineStr">
        <is>
          <t>AUD</t>
        </is>
      </c>
      <c r="E61" t="inlineStr">
        <is>
          <t>USD</t>
        </is>
      </c>
      <c r="F61" t="n">
        <v>1.5</v>
      </c>
      <c r="G61" s="6" t="n">
        <v>44053</v>
      </c>
      <c r="H61" t="b">
        <v>0</v>
      </c>
      <c r="I61" t="b">
        <v>0</v>
      </c>
    </row>
    <row r="62">
      <c r="A62" s="5" t="inlineStr">
        <is>
          <t>01a1212c-7448-71d5-8111-61fffc328e2c</t>
        </is>
      </c>
      <c r="B62" s="5" t="inlineStr">
        <is>
          <t>01a1212c-4b57-70cf-80fd-c2192cb3bf81</t>
        </is>
      </c>
      <c r="C62" s="4" t="n">
        <v>46304.62411935984</v>
      </c>
      <c r="D62" t="inlineStr">
        <is>
          <t>AUD</t>
        </is>
      </c>
      <c r="E62" t="inlineStr">
        <is>
          <t>USD</t>
        </is>
      </c>
      <c r="F62" t="n">
        <v>1.5</v>
      </c>
      <c r="G62" s="6" t="n">
        <v>44083</v>
      </c>
      <c r="H62" t="b">
        <v>0</v>
      </c>
      <c r="I62" t="b">
        <v>0</v>
      </c>
    </row>
    <row r="63">
      <c r="A63" s="5" t="inlineStr">
        <is>
          <t>01a1212c-748f-70f0-97a9-24d8fdf0669a</t>
        </is>
      </c>
      <c r="B63" s="5" t="inlineStr">
        <is>
          <t>01a1212c-4b57-70cf-80fd-c2192cb3bf81</t>
        </is>
      </c>
      <c r="C63" s="4" t="n">
        <v>46304.6241201802</v>
      </c>
      <c r="D63" t="inlineStr">
        <is>
          <t>AUD</t>
        </is>
      </c>
      <c r="E63" t="inlineStr">
        <is>
          <t>USD</t>
        </is>
      </c>
      <c r="F63" t="n">
        <v>1.5</v>
      </c>
      <c r="G63" s="6" t="n">
        <v>44116</v>
      </c>
      <c r="H63" t="b">
        <v>0</v>
      </c>
      <c r="I63" t="b">
        <v>0</v>
      </c>
    </row>
    <row r="64">
      <c r="A64" s="5" t="inlineStr">
        <is>
          <t>01a1212c-bb65-77e8-b016-9066bc52c636</t>
        </is>
      </c>
      <c r="B64" s="5" t="inlineStr">
        <is>
          <t>01a1212c-4b57-70cf-80fd-c2192cb3bf81</t>
        </is>
      </c>
      <c r="C64" s="4" t="n">
        <v>46304.62433006491</v>
      </c>
      <c r="D64" t="inlineStr">
        <is>
          <t>AUD</t>
        </is>
      </c>
      <c r="E64" t="inlineStr">
        <is>
          <t>USD</t>
        </is>
      </c>
      <c r="F64" t="n">
        <v>1.5</v>
      </c>
      <c r="G64" s="6" t="n">
        <v>44144</v>
      </c>
      <c r="H64" t="b">
        <v>0</v>
      </c>
      <c r="I64" t="b">
        <v>0</v>
      </c>
    </row>
    <row r="65">
      <c r="A65" s="5" t="inlineStr">
        <is>
          <t>01a1212c-bb69-7098-b781-8357bcb0dbb7</t>
        </is>
      </c>
      <c r="B65" s="5" t="inlineStr">
        <is>
          <t>01a1212c-4b57-70cf-80fd-c2192cb3bf81</t>
        </is>
      </c>
      <c r="C65" s="4" t="n">
        <v>46304.62433011065</v>
      </c>
      <c r="D65" t="inlineStr">
        <is>
          <t>AUD</t>
        </is>
      </c>
      <c r="E65" t="inlineStr">
        <is>
          <t>USD</t>
        </is>
      </c>
      <c r="F65" t="n">
        <v>1.5</v>
      </c>
      <c r="G65" s="6" t="n">
        <v>44174</v>
      </c>
      <c r="H65" t="b">
        <v>0</v>
      </c>
      <c r="I65" t="b">
        <v>0</v>
      </c>
    </row>
    <row r="66">
      <c r="A66" s="5" t="inlineStr">
        <is>
          <t>01a1212c-bb6d-734b-bf22-9027f28ba765</t>
        </is>
      </c>
      <c r="B66" s="5" t="inlineStr">
        <is>
          <t>01a1212c-4b57-70cf-80fd-c2192cb3bf81</t>
        </is>
      </c>
      <c r="C66" s="4" t="n">
        <v>46304.62433015552</v>
      </c>
      <c r="D66" t="inlineStr">
        <is>
          <t>AUD</t>
        </is>
      </c>
      <c r="E66" t="inlineStr">
        <is>
          <t>USD</t>
        </is>
      </c>
      <c r="F66" t="n">
        <v>1.5</v>
      </c>
      <c r="G66" s="6" t="n">
        <v>44235</v>
      </c>
      <c r="H66" t="b">
        <v>0</v>
      </c>
      <c r="I66" t="b">
        <v>0</v>
      </c>
    </row>
    <row r="67">
      <c r="A67" s="5" t="inlineStr">
        <is>
          <t>01a1212c-bb72-703c-b2e8-36949fe17da8</t>
        </is>
      </c>
      <c r="B67" s="5" t="inlineStr">
        <is>
          <t>01a1212c-4b57-70cf-80fd-c2192cb3bf81</t>
        </is>
      </c>
      <c r="C67" s="4" t="n">
        <v>46304.62433021007</v>
      </c>
      <c r="D67" t="inlineStr">
        <is>
          <t>AUD</t>
        </is>
      </c>
      <c r="E67" t="inlineStr">
        <is>
          <t>USD</t>
        </is>
      </c>
      <c r="F67" t="n">
        <v>1.5</v>
      </c>
      <c r="G67" s="6" t="n">
        <v>44265</v>
      </c>
      <c r="H67" t="b">
        <v>0</v>
      </c>
      <c r="I67" t="b">
        <v>0</v>
      </c>
    </row>
    <row r="68">
      <c r="A68" s="5" t="inlineStr">
        <is>
          <t>01a1212c-75c0-7194-a39c-6cfe6a20539f</t>
        </is>
      </c>
      <c r="B68" s="5" t="inlineStr">
        <is>
          <t>01a1212c-4b57-70cf-80fd-c2192cb3bf81</t>
        </is>
      </c>
      <c r="C68" s="4" t="n">
        <v>46304.62412370646</v>
      </c>
      <c r="D68" t="inlineStr">
        <is>
          <t>AUD</t>
        </is>
      </c>
      <c r="E68" t="inlineStr">
        <is>
          <t>USD</t>
        </is>
      </c>
      <c r="F68" t="n">
        <v>1.5</v>
      </c>
      <c r="G68" s="6" t="n">
        <v>44312</v>
      </c>
      <c r="H68" t="b">
        <v>0</v>
      </c>
      <c r="I68" t="b">
        <v>0</v>
      </c>
    </row>
    <row r="69">
      <c r="A69" s="5" t="inlineStr">
        <is>
          <t>01a1212c-bb7f-74ab-b92a-106abbe4300f</t>
        </is>
      </c>
      <c r="B69" s="5" t="inlineStr">
        <is>
          <t>01a1212c-4b57-70cf-80fd-c2192cb3bf81</t>
        </is>
      </c>
      <c r="C69" s="4" t="n">
        <v>46304.62433036237</v>
      </c>
      <c r="D69" t="inlineStr">
        <is>
          <t>AUD</t>
        </is>
      </c>
      <c r="E69" t="inlineStr">
        <is>
          <t>USD</t>
        </is>
      </c>
      <c r="F69" t="n">
        <v>1.5</v>
      </c>
      <c r="G69" s="6" t="n">
        <v>44326</v>
      </c>
      <c r="H69" t="b">
        <v>0</v>
      </c>
      <c r="I69" t="b">
        <v>0</v>
      </c>
    </row>
    <row r="70">
      <c r="A70" s="5" t="inlineStr">
        <is>
          <t>01a1212c-7601-728f-a2a6-9f4d2e09a080</t>
        </is>
      </c>
      <c r="B70" s="5" t="inlineStr">
        <is>
          <t>01a1212c-4b57-70cf-80fd-c2192cb3bf81</t>
        </is>
      </c>
      <c r="C70" s="4" t="n">
        <v>46304.62412446643</v>
      </c>
      <c r="D70" t="inlineStr">
        <is>
          <t>AUD</t>
        </is>
      </c>
      <c r="E70" t="inlineStr">
        <is>
          <t>USD</t>
        </is>
      </c>
      <c r="F70" t="n">
        <v>1.5</v>
      </c>
      <c r="G70" s="6" t="n">
        <v>44335</v>
      </c>
      <c r="H70" t="b">
        <v>0</v>
      </c>
      <c r="I70" t="b">
        <v>0</v>
      </c>
    </row>
    <row r="71">
      <c r="A71" s="5" t="inlineStr">
        <is>
          <t>01a1212c-bb83-7360-8897-8a76c1e2ed59</t>
        </is>
      </c>
      <c r="B71" s="5" t="inlineStr">
        <is>
          <t>01a1212c-4b57-70cf-80fd-c2192cb3bf81</t>
        </is>
      </c>
      <c r="C71" s="4" t="n">
        <v>46304.62433041228</v>
      </c>
      <c r="D71" t="inlineStr">
        <is>
          <t>AUD</t>
        </is>
      </c>
      <c r="E71" t="inlineStr">
        <is>
          <t>USD</t>
        </is>
      </c>
      <c r="F71" t="n">
        <v>1.5</v>
      </c>
      <c r="G71" s="6" t="n">
        <v>44356</v>
      </c>
      <c r="H71" t="b">
        <v>0</v>
      </c>
      <c r="I71" t="b">
        <v>0</v>
      </c>
    </row>
    <row r="72">
      <c r="A72" s="5" t="inlineStr">
        <is>
          <t>01a1212c-7670-7428-80bb-8d09c164fd87</t>
        </is>
      </c>
      <c r="B72" s="5" t="inlineStr">
        <is>
          <t>01a1212c-4b57-70cf-80fd-c2192cb3bf81</t>
        </is>
      </c>
      <c r="C72" s="4" t="n">
        <v>46304.62412574737</v>
      </c>
      <c r="D72" t="inlineStr">
        <is>
          <t>AUD</t>
        </is>
      </c>
      <c r="E72" t="inlineStr">
        <is>
          <t>USD</t>
        </is>
      </c>
      <c r="F72" t="n">
        <v>1.5</v>
      </c>
      <c r="G72" s="6" t="n">
        <v>44396</v>
      </c>
      <c r="H72" t="b">
        <v>0</v>
      </c>
      <c r="I72" t="b">
        <v>0</v>
      </c>
    </row>
    <row r="73">
      <c r="A73" s="5" t="inlineStr">
        <is>
          <t>01a1212c-bb87-74cf-9cdc-2936b8627652</t>
        </is>
      </c>
      <c r="B73" s="5" t="inlineStr">
        <is>
          <t>01a1212c-4b57-70cf-80fd-c2192cb3bf81</t>
        </is>
      </c>
      <c r="C73" s="4" t="n">
        <v>46304.62433046031</v>
      </c>
      <c r="D73" t="inlineStr">
        <is>
          <t>AUD</t>
        </is>
      </c>
      <c r="E73" t="inlineStr">
        <is>
          <t>USD</t>
        </is>
      </c>
      <c r="F73" t="n">
        <v>1.5</v>
      </c>
      <c r="G73" s="6" t="n">
        <v>44417</v>
      </c>
      <c r="H73" t="b">
        <v>0</v>
      </c>
      <c r="I73" t="b">
        <v>0</v>
      </c>
    </row>
    <row r="74">
      <c r="A74" s="5" t="inlineStr">
        <is>
          <t>01a1212c-bb8b-7150-9e60-5ac2cf115a26</t>
        </is>
      </c>
      <c r="B74" s="5" t="inlineStr">
        <is>
          <t>01a1212c-4b57-70cf-80fd-c2192cb3bf81</t>
        </is>
      </c>
      <c r="C74" s="4" t="n">
        <v>46304.62433050735</v>
      </c>
      <c r="D74" t="inlineStr">
        <is>
          <t>AUD</t>
        </is>
      </c>
      <c r="E74" t="inlineStr">
        <is>
          <t>USD</t>
        </is>
      </c>
      <c r="F74" t="n">
        <v>1.5</v>
      </c>
      <c r="G74" s="6" t="n">
        <v>44447</v>
      </c>
      <c r="H74" t="b">
        <v>0</v>
      </c>
      <c r="I74" t="b">
        <v>0</v>
      </c>
    </row>
    <row r="75">
      <c r="A75" s="5" t="inlineStr">
        <is>
          <t>01a1212c-76f2-7058-a3ee-29880ff39e3d</t>
        </is>
      </c>
      <c r="B75" s="5" t="inlineStr">
        <is>
          <t>01a1212c-4b57-70cf-80fd-c2192cb3bf81</t>
        </is>
      </c>
      <c r="C75" s="4" t="n">
        <v>46304.62412725258</v>
      </c>
      <c r="D75" t="inlineStr">
        <is>
          <t>AUD</t>
        </is>
      </c>
      <c r="E75" t="inlineStr">
        <is>
          <t>USD</t>
        </is>
      </c>
      <c r="F75" t="n">
        <v>1.5</v>
      </c>
      <c r="G75" s="6" t="n">
        <v>44474</v>
      </c>
      <c r="H75" t="b">
        <v>0</v>
      </c>
      <c r="I75" t="b">
        <v>0</v>
      </c>
    </row>
    <row r="76">
      <c r="A76" s="5" t="inlineStr">
        <is>
          <t>01a1212c-bb98-72d9-8d1c-a91877122839</t>
        </is>
      </c>
      <c r="B76" s="5" t="inlineStr">
        <is>
          <t>01a1212c-4b57-70cf-80fd-c2192cb3bf81</t>
        </is>
      </c>
      <c r="C76" s="4" t="n">
        <v>46304.62433065262</v>
      </c>
      <c r="D76" t="inlineStr">
        <is>
          <t>AUD</t>
        </is>
      </c>
      <c r="E76" t="inlineStr">
        <is>
          <t>USD</t>
        </is>
      </c>
      <c r="F76" t="n">
        <v>1.5</v>
      </c>
      <c r="G76" s="6" t="n">
        <v>44508</v>
      </c>
      <c r="H76" t="b">
        <v>0</v>
      </c>
      <c r="I76" t="b">
        <v>0</v>
      </c>
    </row>
    <row r="77">
      <c r="A77" s="5" t="inlineStr">
        <is>
          <t>01a1212c-774b-70ef-aac5-a42eb51047b1</t>
        </is>
      </c>
      <c r="B77" s="5" t="inlineStr">
        <is>
          <t>01a1212c-4b57-70cf-80fd-c2192cb3bf81</t>
        </is>
      </c>
      <c r="C77" s="4" t="n">
        <v>46304.62412828746</v>
      </c>
      <c r="D77" t="inlineStr">
        <is>
          <t>AUD</t>
        </is>
      </c>
      <c r="E77" t="inlineStr">
        <is>
          <t>USD</t>
        </is>
      </c>
      <c r="F77" t="n">
        <v>1.5</v>
      </c>
      <c r="G77" s="6" t="n">
        <v>44526</v>
      </c>
      <c r="H77" t="b">
        <v>0</v>
      </c>
      <c r="I77" t="b">
        <v>0</v>
      </c>
    </row>
    <row r="78">
      <c r="A78" s="5" t="inlineStr">
        <is>
          <t>01a1212c-bb9c-764e-adb3-f0bd79f25611</t>
        </is>
      </c>
      <c r="B78" s="5" t="inlineStr">
        <is>
          <t>01a1212c-4b57-70cf-80fd-c2192cb3bf81</t>
        </is>
      </c>
      <c r="C78" s="4" t="n">
        <v>46304.62433069846</v>
      </c>
      <c r="D78" t="inlineStr">
        <is>
          <t>AUD</t>
        </is>
      </c>
      <c r="E78" t="inlineStr">
        <is>
          <t>USD</t>
        </is>
      </c>
      <c r="F78" t="n">
        <v>1.5</v>
      </c>
      <c r="G78" s="6" t="n">
        <v>44538</v>
      </c>
      <c r="H78" t="b">
        <v>0</v>
      </c>
      <c r="I78" t="b">
        <v>0</v>
      </c>
    </row>
    <row r="79">
      <c r="A79" s="5" t="inlineStr">
        <is>
          <t>01a1212c-7790-7130-b928-baf41de27258</t>
        </is>
      </c>
      <c r="B79" s="5" t="inlineStr">
        <is>
          <t>01a1212c-4b57-70cf-80fd-c2192cb3bf81</t>
        </is>
      </c>
      <c r="C79" s="4" t="n">
        <v>46304.62412907687</v>
      </c>
      <c r="D79" t="inlineStr">
        <is>
          <t>AUD</t>
        </is>
      </c>
      <c r="E79" t="inlineStr">
        <is>
          <t>USD</t>
        </is>
      </c>
      <c r="F79" t="n">
        <v>1.5</v>
      </c>
      <c r="G79" s="6" t="n">
        <v>44543</v>
      </c>
      <c r="H79" t="b">
        <v>0</v>
      </c>
      <c r="I79" t="b">
        <v>0</v>
      </c>
    </row>
    <row r="80">
      <c r="A80" s="5" t="inlineStr">
        <is>
          <t>01a1212c-77a7-733e-a0c2-a0fed13aac30</t>
        </is>
      </c>
      <c r="B80" s="5" t="inlineStr">
        <is>
          <t>01a1212c-4b57-70cf-80fd-c2192cb3bf81</t>
        </is>
      </c>
      <c r="C80" s="4" t="n">
        <v>46304.62412934369</v>
      </c>
      <c r="D80" t="inlineStr">
        <is>
          <t>AUD</t>
        </is>
      </c>
      <c r="E80" t="inlineStr">
        <is>
          <t>USD</t>
        </is>
      </c>
      <c r="F80" t="n">
        <v>1.5</v>
      </c>
      <c r="G80" s="6" t="n">
        <v>44550</v>
      </c>
      <c r="H80" t="b">
        <v>0</v>
      </c>
      <c r="I80" t="b">
        <v>0</v>
      </c>
    </row>
    <row r="81">
      <c r="A81" s="5" t="inlineStr">
        <is>
          <t>01a1212c-77ea-74fd-b4cb-890209f7bbf0</t>
        </is>
      </c>
      <c r="B81" s="5" t="inlineStr">
        <is>
          <t>01a1212c-4b57-70cf-80fd-c2192cb3bf81</t>
        </is>
      </c>
      <c r="C81" s="4" t="n">
        <v>46304.62413012308</v>
      </c>
      <c r="D81" t="inlineStr">
        <is>
          <t>AUD</t>
        </is>
      </c>
      <c r="E81" t="inlineStr">
        <is>
          <t>USD</t>
        </is>
      </c>
      <c r="F81" t="n">
        <v>1.5</v>
      </c>
      <c r="G81" s="6" t="n">
        <v>44588</v>
      </c>
      <c r="H81" t="b">
        <v>0</v>
      </c>
      <c r="I81" t="b">
        <v>0</v>
      </c>
    </row>
    <row r="82">
      <c r="A82" s="5" t="inlineStr">
        <is>
          <t>01a1212c-7800-7022-8374-0bf0a2ade492</t>
        </is>
      </c>
      <c r="B82" s="5" t="inlineStr">
        <is>
          <t>01a1212c-4b57-70cf-80fd-c2192cb3bf81</t>
        </is>
      </c>
      <c r="C82" s="4" t="n">
        <v>46304.62413038199</v>
      </c>
      <c r="D82" t="inlineStr">
        <is>
          <t>AUD</t>
        </is>
      </c>
      <c r="E82" t="inlineStr">
        <is>
          <t>USD</t>
        </is>
      </c>
      <c r="F82" t="n">
        <v>1.5</v>
      </c>
      <c r="G82" s="6" t="n">
        <v>44596</v>
      </c>
      <c r="H82" t="b">
        <v>0</v>
      </c>
      <c r="I82" t="b">
        <v>0</v>
      </c>
    </row>
    <row r="83">
      <c r="A83" s="5" t="inlineStr">
        <is>
          <t>01a1212c-bba3-7730-a829-ae99ab14a830</t>
        </is>
      </c>
      <c r="B83" s="5" t="inlineStr">
        <is>
          <t>01a1212c-4b57-70cf-80fd-c2192cb3bf81</t>
        </is>
      </c>
      <c r="C83" s="4" t="n">
        <v>46304.62433077713</v>
      </c>
      <c r="D83" t="inlineStr">
        <is>
          <t>AUD</t>
        </is>
      </c>
      <c r="E83" t="inlineStr">
        <is>
          <t>USD</t>
        </is>
      </c>
      <c r="F83" t="n">
        <v>1.5</v>
      </c>
      <c r="G83" s="6" t="n">
        <v>44599</v>
      </c>
      <c r="H83" t="b">
        <v>0</v>
      </c>
      <c r="I83" t="b">
        <v>0</v>
      </c>
    </row>
    <row r="84">
      <c r="A84" s="5" t="inlineStr">
        <is>
          <t>01a1212c-7880-72c6-80e6-07cb4028a963</t>
        </is>
      </c>
      <c r="B84" s="5" t="inlineStr">
        <is>
          <t>01a1212c-4b57-70cf-80fd-c2192cb3bf81</t>
        </is>
      </c>
      <c r="C84" s="4" t="n">
        <v>46304.6241318528</v>
      </c>
      <c r="D84" t="inlineStr">
        <is>
          <t>AUD</t>
        </is>
      </c>
      <c r="E84" t="inlineStr">
        <is>
          <t>USD</t>
        </is>
      </c>
      <c r="F84" t="n">
        <v>1.5</v>
      </c>
      <c r="G84" s="6" t="n">
        <v>44627</v>
      </c>
      <c r="H84" t="b">
        <v>0</v>
      </c>
      <c r="I84" t="b">
        <v>0</v>
      </c>
    </row>
    <row r="85">
      <c r="A85" s="5" t="inlineStr">
        <is>
          <t>01a1212c-bba7-7067-a4d4-bfe30ea42c64</t>
        </is>
      </c>
      <c r="B85" s="5" t="inlineStr">
        <is>
          <t>01a1212c-4b57-70cf-80fd-c2192cb3bf81</t>
        </is>
      </c>
      <c r="C85" s="4" t="n">
        <v>46304.6243308253</v>
      </c>
      <c r="D85" t="inlineStr">
        <is>
          <t>AUD</t>
        </is>
      </c>
      <c r="E85" t="inlineStr">
        <is>
          <t>USD</t>
        </is>
      </c>
      <c r="F85" t="n">
        <v>1.5</v>
      </c>
      <c r="G85" s="6" t="n">
        <v>44629</v>
      </c>
      <c r="H85" t="b">
        <v>0</v>
      </c>
      <c r="I85" t="b">
        <v>0</v>
      </c>
    </row>
    <row r="86">
      <c r="A86" s="5" t="inlineStr">
        <is>
          <t>01a1212c-78ac-72b5-ba1c-84a5c7545ac5</t>
        </is>
      </c>
      <c r="B86" s="5" t="inlineStr">
        <is>
          <t>01a1212c-4b57-70cf-80fd-c2192cb3bf81</t>
        </is>
      </c>
      <c r="C86" s="4" t="n">
        <v>46304.62413236655</v>
      </c>
      <c r="D86" t="inlineStr">
        <is>
          <t>AUD</t>
        </is>
      </c>
      <c r="E86" t="inlineStr">
        <is>
          <t>USD</t>
        </is>
      </c>
      <c r="F86" t="n">
        <v>1.5</v>
      </c>
      <c r="G86" s="6" t="n">
        <v>44655</v>
      </c>
      <c r="H86" t="b">
        <v>0</v>
      </c>
      <c r="I86" t="b">
        <v>0</v>
      </c>
    </row>
    <row r="87">
      <c r="A87" s="5" t="inlineStr">
        <is>
          <t>01a1212c-bbb3-74d6-b1c4-e432acde8281</t>
        </is>
      </c>
      <c r="B87" s="5" t="inlineStr">
        <is>
          <t>01a1212c-4b57-70cf-80fd-c2192cb3bf81</t>
        </is>
      </c>
      <c r="C87" s="4" t="n">
        <v>46304.62433096438</v>
      </c>
      <c r="D87" t="inlineStr">
        <is>
          <t>AUD</t>
        </is>
      </c>
      <c r="E87" t="inlineStr">
        <is>
          <t>USD</t>
        </is>
      </c>
      <c r="F87" t="n">
        <v>1.5</v>
      </c>
      <c r="G87" s="6" t="n">
        <v>44690</v>
      </c>
      <c r="H87" t="b">
        <v>0</v>
      </c>
      <c r="I87" t="b">
        <v>0</v>
      </c>
    </row>
    <row r="88">
      <c r="A88" s="5" t="inlineStr">
        <is>
          <t>01a1212c-bbb7-70a8-8158-4c0c15b2cb74</t>
        </is>
      </c>
      <c r="B88" s="5" t="inlineStr">
        <is>
          <t>01a1212c-4b57-70cf-80fd-c2192cb3bf81</t>
        </is>
      </c>
      <c r="C88" s="4" t="n">
        <v>46304.62433101142</v>
      </c>
      <c r="D88" t="inlineStr">
        <is>
          <t>AUD</t>
        </is>
      </c>
      <c r="E88" t="inlineStr">
        <is>
          <t>USD</t>
        </is>
      </c>
      <c r="F88" t="n">
        <v>1.5</v>
      </c>
      <c r="G88" s="6" t="n">
        <v>44720</v>
      </c>
      <c r="H88" t="b">
        <v>0</v>
      </c>
      <c r="I88" t="b">
        <v>0</v>
      </c>
    </row>
    <row r="89">
      <c r="A89" s="5" t="inlineStr">
        <is>
          <t>01a1212c-7955-705a-ac8a-b5b06fed1a75</t>
        </is>
      </c>
      <c r="B89" s="5" t="inlineStr">
        <is>
          <t>01a1212c-4b57-70cf-80fd-c2192cb3bf81</t>
        </is>
      </c>
      <c r="C89" s="4" t="n">
        <v>46304.62413432173</v>
      </c>
      <c r="D89" t="inlineStr">
        <is>
          <t>AUD</t>
        </is>
      </c>
      <c r="E89" t="inlineStr">
        <is>
          <t>USD</t>
        </is>
      </c>
      <c r="F89" t="n">
        <v>1.5</v>
      </c>
      <c r="G89" s="6" t="n">
        <v>44735</v>
      </c>
      <c r="H89" t="b">
        <v>0</v>
      </c>
      <c r="I89" t="b">
        <v>0</v>
      </c>
    </row>
    <row r="90">
      <c r="A90" s="5" t="inlineStr">
        <is>
          <t>01a1212c-7999-74ee-b252-1b01ad7d3c10</t>
        </is>
      </c>
      <c r="B90" s="5" t="inlineStr">
        <is>
          <t>01a1212c-4b57-70cf-80fd-c2192cb3bf81</t>
        </is>
      </c>
      <c r="C90" s="4" t="n">
        <v>46304.62413511345</v>
      </c>
      <c r="D90" t="inlineStr">
        <is>
          <t>AUD</t>
        </is>
      </c>
      <c r="E90" t="inlineStr">
        <is>
          <t>USD</t>
        </is>
      </c>
      <c r="F90" t="n">
        <v>1.5</v>
      </c>
      <c r="G90" s="6" t="n">
        <v>44767</v>
      </c>
      <c r="H90" t="b">
        <v>0</v>
      </c>
      <c r="I90" t="b">
        <v>0</v>
      </c>
    </row>
    <row r="91">
      <c r="A91" s="5" t="inlineStr">
        <is>
          <t>01a1212c-79b2-741c-8e81-a4aededa9485</t>
        </is>
      </c>
      <c r="B91" s="5" t="inlineStr">
        <is>
          <t>01a1212c-4b57-70cf-80fd-c2192cb3bf81</t>
        </is>
      </c>
      <c r="C91" s="4" t="n">
        <v>46304.62413539964</v>
      </c>
      <c r="D91" t="inlineStr">
        <is>
          <t>AUD</t>
        </is>
      </c>
      <c r="E91" t="inlineStr">
        <is>
          <t>USD</t>
        </is>
      </c>
      <c r="F91" t="n">
        <v>1.5</v>
      </c>
      <c r="G91" s="6" t="n">
        <v>44770</v>
      </c>
      <c r="H91" t="b">
        <v>0</v>
      </c>
      <c r="I91" t="b">
        <v>0</v>
      </c>
    </row>
    <row r="92">
      <c r="A92" s="5" t="inlineStr">
        <is>
          <t>01a1212c-bbbb-7436-a9db-fd812af40f86</t>
        </is>
      </c>
      <c r="B92" s="5" t="inlineStr">
        <is>
          <t>01a1212c-4b57-70cf-80fd-c2192cb3bf81</t>
        </is>
      </c>
      <c r="C92" s="4" t="n">
        <v>46304.62433105722</v>
      </c>
      <c r="D92" t="inlineStr">
        <is>
          <t>AUD</t>
        </is>
      </c>
      <c r="E92" t="inlineStr">
        <is>
          <t>USD</t>
        </is>
      </c>
      <c r="F92" t="n">
        <v>1.5</v>
      </c>
      <c r="G92" s="6" t="n">
        <v>44781</v>
      </c>
      <c r="H92" t="b">
        <v>0</v>
      </c>
      <c r="I92" t="b">
        <v>0</v>
      </c>
    </row>
    <row r="93">
      <c r="A93" s="5" t="inlineStr">
        <is>
          <t>01a1212c-7a1d-76c9-9c25-bf11df9a9999</t>
        </is>
      </c>
      <c r="B93" s="5" t="inlineStr">
        <is>
          <t>01a1212c-4b57-70cf-80fd-c2192cb3bf81</t>
        </is>
      </c>
      <c r="C93" s="4" t="n">
        <v>46304.62413663956</v>
      </c>
      <c r="D93" t="inlineStr">
        <is>
          <t>AUD</t>
        </is>
      </c>
      <c r="E93" t="inlineStr">
        <is>
          <t>USD</t>
        </is>
      </c>
      <c r="F93" t="n">
        <v>1.5</v>
      </c>
      <c r="G93" s="6" t="n">
        <v>44810</v>
      </c>
      <c r="H93" t="b">
        <v>0</v>
      </c>
      <c r="I93" t="b">
        <v>0</v>
      </c>
    </row>
    <row r="94">
      <c r="A94" s="5" t="inlineStr">
        <is>
          <t>01a1212c-bbbf-72cf-9110-c63c7189d8c4</t>
        </is>
      </c>
      <c r="B94" s="5" t="inlineStr">
        <is>
          <t>01a1212c-4b57-70cf-80fd-c2192cb3bf81</t>
        </is>
      </c>
      <c r="C94" s="4" t="n">
        <v>46304.62433110597</v>
      </c>
      <c r="D94" t="inlineStr">
        <is>
          <t>AUD</t>
        </is>
      </c>
      <c r="E94" t="inlineStr">
        <is>
          <t>USD</t>
        </is>
      </c>
      <c r="F94" t="n">
        <v>1.5</v>
      </c>
      <c r="G94" s="6" t="n">
        <v>44811</v>
      </c>
      <c r="H94" t="b">
        <v>0</v>
      </c>
      <c r="I94" t="b">
        <v>0</v>
      </c>
    </row>
    <row r="95">
      <c r="A95" s="5" t="inlineStr">
        <is>
          <t>01a1212c-7a35-76c2-b635-45ea5fb1e463</t>
        </is>
      </c>
      <c r="B95" s="5" t="inlineStr">
        <is>
          <t>01a1212c-4b57-70cf-80fd-c2192cb3bf81</t>
        </is>
      </c>
      <c r="C95" s="4" t="n">
        <v>46304.62413691602</v>
      </c>
      <c r="D95" t="inlineStr">
        <is>
          <t>AUD</t>
        </is>
      </c>
      <c r="E95" t="inlineStr">
        <is>
          <t>USD</t>
        </is>
      </c>
      <c r="F95" t="n">
        <v>1.5</v>
      </c>
      <c r="G95" s="6" t="n">
        <v>44823</v>
      </c>
      <c r="H95" t="b">
        <v>0</v>
      </c>
      <c r="I95" t="b">
        <v>0</v>
      </c>
    </row>
    <row r="96">
      <c r="A96" s="5" t="inlineStr">
        <is>
          <t>01a1212c-7a79-703e-ba12-809e56daee14</t>
        </is>
      </c>
      <c r="B96" s="5" t="inlineStr">
        <is>
          <t>01a1212c-4b57-70cf-80fd-c2192cb3bf81</t>
        </is>
      </c>
      <c r="C96" s="4" t="n">
        <v>46304.6241377035</v>
      </c>
      <c r="D96" t="inlineStr">
        <is>
          <t>AUD</t>
        </is>
      </c>
      <c r="E96" t="inlineStr">
        <is>
          <t>USD</t>
        </is>
      </c>
      <c r="F96" t="n">
        <v>1.5</v>
      </c>
      <c r="G96" s="6" t="n">
        <v>44859</v>
      </c>
      <c r="H96" t="b">
        <v>0</v>
      </c>
      <c r="I96" t="b">
        <v>0</v>
      </c>
    </row>
    <row r="97">
      <c r="A97" s="5" t="inlineStr">
        <is>
          <t>01a1212c-bbc9-718b-bcbf-bc95806edeff</t>
        </is>
      </c>
      <c r="B97" s="5" t="inlineStr">
        <is>
          <t>01a1212c-4b57-70cf-80fd-c2192cb3bf81</t>
        </is>
      </c>
      <c r="C97" s="4" t="n">
        <v>46304.62433121724</v>
      </c>
      <c r="D97" t="inlineStr">
        <is>
          <t>AUD</t>
        </is>
      </c>
      <c r="E97" t="inlineStr">
        <is>
          <t>USD</t>
        </is>
      </c>
      <c r="F97" t="n">
        <v>1.5</v>
      </c>
      <c r="G97" s="6" t="n">
        <v>44872</v>
      </c>
      <c r="H97" t="b">
        <v>0</v>
      </c>
      <c r="I97" t="b">
        <v>0</v>
      </c>
    </row>
    <row r="98">
      <c r="A98" s="5" t="inlineStr">
        <is>
          <t>01a1212c-bbcd-705c-bdc5-39763f163b5b</t>
        </is>
      </c>
      <c r="B98" s="5" t="inlineStr">
        <is>
          <t>01a1212c-4b57-70cf-80fd-c2192cb3bf81</t>
        </is>
      </c>
      <c r="C98" s="4" t="n">
        <v>46304.62433126604</v>
      </c>
      <c r="D98" t="inlineStr">
        <is>
          <t>AUD</t>
        </is>
      </c>
      <c r="E98" t="inlineStr">
        <is>
          <t>USD</t>
        </is>
      </c>
      <c r="F98" t="n">
        <v>1.5</v>
      </c>
      <c r="G98" s="6" t="n">
        <v>44902</v>
      </c>
      <c r="H98" t="b">
        <v>0</v>
      </c>
      <c r="I98" t="b">
        <v>0</v>
      </c>
    </row>
    <row r="99">
      <c r="A99" s="5" t="inlineStr">
        <is>
          <t>01a1212c-bbd1-75f3-82f8-a5850008dc9b</t>
        </is>
      </c>
      <c r="B99" s="5" t="inlineStr">
        <is>
          <t>01a1212c-4b57-70cf-80fd-c2192cb3bf81</t>
        </is>
      </c>
      <c r="C99" s="4" t="n">
        <v>46304.6243313165</v>
      </c>
      <c r="D99" t="inlineStr">
        <is>
          <t>AUD</t>
        </is>
      </c>
      <c r="E99" t="inlineStr">
        <is>
          <t>USD</t>
        </is>
      </c>
      <c r="F99" t="n">
        <v>1.5</v>
      </c>
      <c r="G99" s="6" t="n">
        <v>44970</v>
      </c>
      <c r="H99" t="b">
        <v>0</v>
      </c>
      <c r="I99" t="b">
        <v>0</v>
      </c>
    </row>
    <row r="100">
      <c r="A100" s="5" t="inlineStr">
        <is>
          <t>01a1212c-7b3b-748a-8673-fcf65cf601c5</t>
        </is>
      </c>
      <c r="B100" s="5" t="inlineStr">
        <is>
          <t>01a1212c-4b57-70cf-80fd-c2192cb3bf81</t>
        </is>
      </c>
      <c r="C100" s="4" t="n">
        <v>46304.62413994633</v>
      </c>
      <c r="D100" t="inlineStr">
        <is>
          <t>AUD</t>
        </is>
      </c>
      <c r="E100" t="inlineStr">
        <is>
          <t>USD</t>
        </is>
      </c>
      <c r="F100" t="n">
        <v>1.5</v>
      </c>
      <c r="G100" s="6" t="n">
        <v>44973</v>
      </c>
      <c r="H100" t="b">
        <v>0</v>
      </c>
      <c r="I100" t="b">
        <v>0</v>
      </c>
    </row>
    <row r="101">
      <c r="A101" s="5" t="inlineStr">
        <is>
          <t>01a1212c-7b51-7272-9014-8df3344f3ed5</t>
        </is>
      </c>
      <c r="B101" s="5" t="inlineStr">
        <is>
          <t>01a1212c-4b57-70cf-80fd-c2192cb3bf81</t>
        </is>
      </c>
      <c r="C101" s="4" t="n">
        <v>46304.62414020867</v>
      </c>
      <c r="D101" t="inlineStr">
        <is>
          <t>AUD</t>
        </is>
      </c>
      <c r="E101" t="inlineStr">
        <is>
          <t>USD</t>
        </is>
      </c>
      <c r="F101" t="n">
        <v>1.5</v>
      </c>
      <c r="G101" s="6" t="n">
        <v>44984</v>
      </c>
      <c r="H101" t="b">
        <v>0</v>
      </c>
      <c r="I101" t="b">
        <v>0</v>
      </c>
    </row>
    <row r="102">
      <c r="A102" s="5" t="inlineStr">
        <is>
          <t>01a1212c-bbd5-7715-8ee3-e90bd7aacc18</t>
        </is>
      </c>
      <c r="B102" s="5" t="inlineStr">
        <is>
          <t>01a1212c-4b57-70cf-80fd-c2192cb3bf81</t>
        </is>
      </c>
      <c r="C102" s="4" t="n">
        <v>46304.62433136456</v>
      </c>
      <c r="D102" t="inlineStr">
        <is>
          <t>AUD</t>
        </is>
      </c>
      <c r="E102" t="inlineStr">
        <is>
          <t>USD</t>
        </is>
      </c>
      <c r="F102" t="n">
        <v>1.5</v>
      </c>
      <c r="G102" s="6" t="n">
        <v>44993</v>
      </c>
      <c r="H102" t="b">
        <v>0</v>
      </c>
      <c r="I102" t="b">
        <v>0</v>
      </c>
    </row>
    <row r="103">
      <c r="A103" s="5" t="inlineStr">
        <is>
          <t>01a1212c-7b95-7244-8185-2a0e39fe92ef</t>
        </is>
      </c>
      <c r="B103" s="5" t="inlineStr">
        <is>
          <t>01a1212c-4b57-70cf-80fd-c2192cb3bf81</t>
        </is>
      </c>
      <c r="C103" s="4" t="n">
        <v>46304.62414098554</v>
      </c>
      <c r="D103" t="inlineStr">
        <is>
          <t>AUD</t>
        </is>
      </c>
      <c r="E103" t="inlineStr">
        <is>
          <t>USD</t>
        </is>
      </c>
      <c r="F103" t="n">
        <v>1.5</v>
      </c>
      <c r="G103" s="6" t="n">
        <v>45012</v>
      </c>
      <c r="H103" t="b">
        <v>0</v>
      </c>
      <c r="I103" t="b">
        <v>0</v>
      </c>
    </row>
    <row r="104">
      <c r="A104" s="5" t="inlineStr">
        <is>
          <t>01a1212c-bbe0-700b-a668-8aac0a31fbff</t>
        </is>
      </c>
      <c r="B104" s="5" t="inlineStr">
        <is>
          <t>01a1212c-4b57-70cf-80fd-c2192cb3bf81</t>
        </is>
      </c>
      <c r="C104" s="4" t="n">
        <v>46304.62433148236</v>
      </c>
      <c r="D104" t="inlineStr">
        <is>
          <t>AUD</t>
        </is>
      </c>
      <c r="E104" t="inlineStr">
        <is>
          <t>USD</t>
        </is>
      </c>
      <c r="F104" t="n">
        <v>1.5</v>
      </c>
      <c r="G104" s="6" t="n">
        <v>45061</v>
      </c>
      <c r="H104" t="b">
        <v>0</v>
      </c>
      <c r="I104" t="b">
        <v>0</v>
      </c>
    </row>
    <row r="105">
      <c r="A105" s="5" t="inlineStr">
        <is>
          <t>01a1212c-bbe4-7487-ae17-955445981da2</t>
        </is>
      </c>
      <c r="B105" s="5" t="inlineStr">
        <is>
          <t>01a1212c-4b57-70cf-80fd-c2192cb3bf81</t>
        </is>
      </c>
      <c r="C105" s="4" t="n">
        <v>46304.62433153055</v>
      </c>
      <c r="D105" t="inlineStr">
        <is>
          <t>AUD</t>
        </is>
      </c>
      <c r="E105" t="inlineStr">
        <is>
          <t>USD</t>
        </is>
      </c>
      <c r="F105" t="n">
        <v>1.5</v>
      </c>
      <c r="G105" s="6" t="n">
        <v>45084</v>
      </c>
      <c r="H105" t="b">
        <v>0</v>
      </c>
      <c r="I105" t="b">
        <v>0</v>
      </c>
    </row>
    <row r="106">
      <c r="A106" s="5" t="inlineStr">
        <is>
          <t>01a1212c-7c3d-7427-b63e-6160b7c43bf1</t>
        </is>
      </c>
      <c r="B106" s="5" t="inlineStr">
        <is>
          <t>01a1212c-4b57-70cf-80fd-c2192cb3bf81</t>
        </is>
      </c>
      <c r="C106" s="4" t="n">
        <v>46304.62414293236</v>
      </c>
      <c r="D106" t="inlineStr">
        <is>
          <t>AUD</t>
        </is>
      </c>
      <c r="E106" t="inlineStr">
        <is>
          <t>USD</t>
        </is>
      </c>
      <c r="F106" t="n">
        <v>1.5</v>
      </c>
      <c r="G106" s="6" t="n">
        <v>45107</v>
      </c>
      <c r="H106" t="b">
        <v>0</v>
      </c>
      <c r="I106" t="b">
        <v>0</v>
      </c>
    </row>
    <row r="107">
      <c r="A107" s="5" t="inlineStr">
        <is>
          <t>01a1212c-7cab-719c-8d1b-f59489f131fb</t>
        </is>
      </c>
      <c r="B107" s="5" t="inlineStr">
        <is>
          <t>01a1212c-4b57-70cf-80fd-c2192cb3bf81</t>
        </is>
      </c>
      <c r="C107" s="4" t="n">
        <v>46304.62414420393</v>
      </c>
      <c r="D107" t="inlineStr">
        <is>
          <t>AUD</t>
        </is>
      </c>
      <c r="E107" t="inlineStr">
        <is>
          <t>USD</t>
        </is>
      </c>
      <c r="F107" t="n">
        <v>1.5</v>
      </c>
      <c r="G107" s="6" t="n">
        <v>45145</v>
      </c>
      <c r="H107" t="b">
        <v>0</v>
      </c>
      <c r="I107" t="b">
        <v>0</v>
      </c>
    </row>
    <row r="108">
      <c r="A108" s="5" t="inlineStr">
        <is>
          <t>01a1212c-bbe8-7157-b3dd-24504b4af501</t>
        </is>
      </c>
      <c r="B108" s="5" t="inlineStr">
        <is>
          <t>01a1212c-4b57-70cf-80fd-c2192cb3bf81</t>
        </is>
      </c>
      <c r="C108" s="4" t="n">
        <v>46304.62433157573</v>
      </c>
      <c r="D108" t="inlineStr">
        <is>
          <t>AUD</t>
        </is>
      </c>
      <c r="E108" t="inlineStr">
        <is>
          <t>USD</t>
        </is>
      </c>
      <c r="F108" t="n">
        <v>1.5</v>
      </c>
      <c r="G108" s="6" t="n">
        <v>45152</v>
      </c>
      <c r="H108" t="b">
        <v>0</v>
      </c>
      <c r="I108" t="b">
        <v>0</v>
      </c>
    </row>
    <row r="109">
      <c r="A109" s="5" t="inlineStr">
        <is>
          <t>01a1212c-7ced-7286-a18e-5738cd16e70c</t>
        </is>
      </c>
      <c r="B109" s="5" t="inlineStr">
        <is>
          <t>01a1212c-4b57-70cf-80fd-c2192cb3bf81</t>
        </is>
      </c>
      <c r="C109" s="4" t="n">
        <v>46304.624144976</v>
      </c>
      <c r="D109" t="inlineStr">
        <is>
          <t>AUD</t>
        </is>
      </c>
      <c r="E109" t="inlineStr">
        <is>
          <t>USD</t>
        </is>
      </c>
      <c r="F109" t="n">
        <v>1.5</v>
      </c>
      <c r="G109" s="6" t="n">
        <v>45174</v>
      </c>
      <c r="H109" t="b">
        <v>0</v>
      </c>
      <c r="I109" t="b">
        <v>0</v>
      </c>
    </row>
    <row r="110">
      <c r="A110" s="5" t="inlineStr">
        <is>
          <t>01a1212c-bbec-74fb-8c8e-e39542393c40</t>
        </is>
      </c>
      <c r="B110" s="5" t="inlineStr">
        <is>
          <t>01a1212c-4b57-70cf-80fd-c2192cb3bf81</t>
        </is>
      </c>
      <c r="C110" s="4" t="n">
        <v>46304.62433162262</v>
      </c>
      <c r="D110" t="inlineStr">
        <is>
          <t>AUD</t>
        </is>
      </c>
      <c r="E110" t="inlineStr">
        <is>
          <t>USD</t>
        </is>
      </c>
      <c r="F110" t="n">
        <v>1.5</v>
      </c>
      <c r="G110" s="6" t="n">
        <v>45175</v>
      </c>
      <c r="H110" t="b">
        <v>0</v>
      </c>
      <c r="I110" t="b">
        <v>0</v>
      </c>
    </row>
    <row r="111">
      <c r="A111" s="5" t="inlineStr">
        <is>
          <t>01a1212c-7d04-752b-8b9b-748c1a3f5629</t>
        </is>
      </c>
      <c r="B111" s="5" t="inlineStr">
        <is>
          <t>01a1212c-4b57-70cf-80fd-c2192cb3bf81</t>
        </is>
      </c>
      <c r="C111" s="4" t="n">
        <v>46304.62414524127</v>
      </c>
      <c r="D111" t="inlineStr">
        <is>
          <t>AUD</t>
        </is>
      </c>
      <c r="E111" t="inlineStr">
        <is>
          <t>USD</t>
        </is>
      </c>
      <c r="F111" t="n">
        <v>1.5</v>
      </c>
      <c r="G111" s="6" t="n">
        <v>45180</v>
      </c>
      <c r="H111" t="b">
        <v>0</v>
      </c>
      <c r="I111" t="b">
        <v>0</v>
      </c>
    </row>
    <row r="112">
      <c r="A112" s="5" t="inlineStr">
        <is>
          <t>01a1212c-7d1c-721d-9d4f-ed3b3654f9df</t>
        </is>
      </c>
      <c r="B112" s="5" t="inlineStr">
        <is>
          <t>01a1212c-4b57-70cf-80fd-c2192cb3bf81</t>
        </is>
      </c>
      <c r="C112" s="4" t="n">
        <v>46304.62414551163</v>
      </c>
      <c r="D112" t="inlineStr">
        <is>
          <t>AUD</t>
        </is>
      </c>
      <c r="E112" t="inlineStr">
        <is>
          <t>USD</t>
        </is>
      </c>
      <c r="F112" t="n">
        <v>1.5</v>
      </c>
      <c r="G112" s="6" t="n">
        <v>45191</v>
      </c>
      <c r="H112" t="b">
        <v>0</v>
      </c>
      <c r="I112" t="b">
        <v>0</v>
      </c>
    </row>
    <row r="113">
      <c r="A113" s="5" t="inlineStr">
        <is>
          <t>01a1212c-7d60-75bd-86f3-2d2585a5e4ad</t>
        </is>
      </c>
      <c r="B113" s="5" t="inlineStr">
        <is>
          <t>01a1212c-4b57-70cf-80fd-c2192cb3bf81</t>
        </is>
      </c>
      <c r="C113" s="4" t="n">
        <v>46304.62414629909</v>
      </c>
      <c r="D113" t="inlineStr">
        <is>
          <t>AUD</t>
        </is>
      </c>
      <c r="E113" t="inlineStr">
        <is>
          <t>USD</t>
        </is>
      </c>
      <c r="F113" t="n">
        <v>1.5</v>
      </c>
      <c r="G113" s="6" t="n">
        <v>45230</v>
      </c>
      <c r="H113" t="b">
        <v>0</v>
      </c>
      <c r="I113" t="b">
        <v>0</v>
      </c>
    </row>
    <row r="114">
      <c r="A114" s="5" t="inlineStr">
        <is>
          <t>01a1212c-bbf5-7058-928e-e455b684cb0c</t>
        </is>
      </c>
      <c r="B114" s="5" t="inlineStr">
        <is>
          <t>01a1212c-4b57-70cf-80fd-c2192cb3bf81</t>
        </is>
      </c>
      <c r="C114" s="4" t="n">
        <v>46304.62433173324</v>
      </c>
      <c r="D114" t="inlineStr">
        <is>
          <t>AUD</t>
        </is>
      </c>
      <c r="E114" t="inlineStr">
        <is>
          <t>USD</t>
        </is>
      </c>
      <c r="F114" t="n">
        <v>1.5</v>
      </c>
      <c r="G114" s="6" t="n">
        <v>45243</v>
      </c>
      <c r="H114" t="b">
        <v>0</v>
      </c>
      <c r="I114" t="b">
        <v>0</v>
      </c>
    </row>
    <row r="115">
      <c r="A115" s="5" t="inlineStr">
        <is>
          <t>01a1212c-7da1-7412-8bf8-3b2f904b8c42</t>
        </is>
      </c>
      <c r="B115" s="5" t="inlineStr">
        <is>
          <t>01a1212c-4b57-70cf-80fd-c2192cb3bf81</t>
        </is>
      </c>
      <c r="C115" s="4" t="n">
        <v>46304.62414705057</v>
      </c>
      <c r="D115" t="inlineStr">
        <is>
          <t>AUD</t>
        </is>
      </c>
      <c r="E115" t="inlineStr">
        <is>
          <t>USD</t>
        </is>
      </c>
      <c r="F115" t="n">
        <v>1.5</v>
      </c>
      <c r="G115" s="6" t="n">
        <v>45244</v>
      </c>
      <c r="H115" t="b">
        <v>0</v>
      </c>
      <c r="I115" t="b">
        <v>0</v>
      </c>
    </row>
    <row r="116">
      <c r="A116" s="5" t="inlineStr">
        <is>
          <t>01a1212c-bbf9-75c5-b95e-e7d2d8c88930</t>
        </is>
      </c>
      <c r="B116" s="5" t="inlineStr">
        <is>
          <t>01a1212c-4b57-70cf-80fd-c2192cb3bf81</t>
        </is>
      </c>
      <c r="C116" s="4" t="n">
        <v>46304.62433177952</v>
      </c>
      <c r="D116" t="inlineStr">
        <is>
          <t>AUD</t>
        </is>
      </c>
      <c r="E116" t="inlineStr">
        <is>
          <t>USD</t>
        </is>
      </c>
      <c r="F116" t="n">
        <v>1.5</v>
      </c>
      <c r="G116" s="6" t="n">
        <v>45266</v>
      </c>
      <c r="H116" t="b">
        <v>0</v>
      </c>
      <c r="I116" t="b">
        <v>0</v>
      </c>
    </row>
    <row r="117">
      <c r="A117" s="5" t="inlineStr">
        <is>
          <t>01a1212c-7de3-71a2-b5ac-b766cfec557e</t>
        </is>
      </c>
      <c r="B117" s="5" t="inlineStr">
        <is>
          <t>01a1212c-4b57-70cf-80fd-c2192cb3bf81</t>
        </is>
      </c>
      <c r="C117" s="4" t="n">
        <v>46304.6241478212</v>
      </c>
      <c r="D117" t="inlineStr">
        <is>
          <t>AUD</t>
        </is>
      </c>
      <c r="E117" t="inlineStr">
        <is>
          <t>USD</t>
        </is>
      </c>
      <c r="F117" t="n">
        <v>1.5</v>
      </c>
      <c r="G117" s="6" t="n">
        <v>45271</v>
      </c>
      <c r="H117" t="b">
        <v>0</v>
      </c>
      <c r="I117" t="b">
        <v>0</v>
      </c>
    </row>
    <row r="118">
      <c r="A118" s="5" t="inlineStr">
        <is>
          <t>01a1212c-7e39-73aa-a1df-7540224d3e88</t>
        </is>
      </c>
      <c r="B118" s="5" t="inlineStr">
        <is>
          <t>01a1212c-4b57-70cf-80fd-c2192cb3bf81</t>
        </is>
      </c>
      <c r="C118" s="4" t="n">
        <v>46304.62414881889</v>
      </c>
      <c r="D118" t="inlineStr">
        <is>
          <t>AUD</t>
        </is>
      </c>
      <c r="E118" t="inlineStr">
        <is>
          <t>USD</t>
        </is>
      </c>
      <c r="F118" t="n">
        <v>1.5</v>
      </c>
      <c r="G118" s="6" t="n">
        <v>45307</v>
      </c>
      <c r="H118" t="b">
        <v>0</v>
      </c>
      <c r="I118" t="b">
        <v>0</v>
      </c>
    </row>
    <row r="119">
      <c r="A119" s="5" t="inlineStr">
        <is>
          <t>01a1212c-bbfd-71de-b179-5d9ae0379078</t>
        </is>
      </c>
      <c r="B119" s="5" t="inlineStr">
        <is>
          <t>01a1212c-4b57-70cf-80fd-c2192cb3bf81</t>
        </is>
      </c>
      <c r="C119" s="4" t="n">
        <v>46304.62433182784</v>
      </c>
      <c r="D119" t="inlineStr">
        <is>
          <t>AUD</t>
        </is>
      </c>
      <c r="E119" t="inlineStr">
        <is>
          <t>USD</t>
        </is>
      </c>
      <c r="F119" t="n">
        <v>1.5</v>
      </c>
      <c r="G119" s="6" t="n">
        <v>45334</v>
      </c>
      <c r="H119" t="b">
        <v>0</v>
      </c>
      <c r="I119" t="b">
        <v>0</v>
      </c>
    </row>
    <row r="120">
      <c r="A120" s="5" t="inlineStr">
        <is>
          <t>01a1212c-bc01-75d8-b725-f9d7056b8f5d</t>
        </is>
      </c>
      <c r="B120" s="5" t="inlineStr">
        <is>
          <t>01a1212c-4b57-70cf-80fd-c2192cb3bf81</t>
        </is>
      </c>
      <c r="C120" s="4" t="n">
        <v>46304.6243318725</v>
      </c>
      <c r="D120" t="inlineStr">
        <is>
          <t>AUD</t>
        </is>
      </c>
      <c r="E120" t="inlineStr">
        <is>
          <t>USD</t>
        </is>
      </c>
      <c r="F120" t="n">
        <v>1.5</v>
      </c>
      <c r="G120" s="6" t="n">
        <v>45357</v>
      </c>
      <c r="H120" t="b">
        <v>0</v>
      </c>
      <c r="I120" t="b">
        <v>0</v>
      </c>
    </row>
    <row r="121">
      <c r="A121" s="5" t="inlineStr">
        <is>
          <t>01a1212c-7ed5-73e3-9cf9-639b508cde26</t>
        </is>
      </c>
      <c r="B121" s="5" t="inlineStr">
        <is>
          <t>01a1212c-4b57-70cf-80fd-c2192cb3bf81</t>
        </is>
      </c>
      <c r="C121" s="4" t="n">
        <v>46304.62415061992</v>
      </c>
      <c r="D121" t="inlineStr">
        <is>
          <t>AUD</t>
        </is>
      </c>
      <c r="E121" t="inlineStr">
        <is>
          <t>USD</t>
        </is>
      </c>
      <c r="F121" t="n">
        <v>1.5</v>
      </c>
      <c r="G121" s="6" t="n">
        <v>45404</v>
      </c>
      <c r="H121" t="b">
        <v>0</v>
      </c>
      <c r="I121" t="b">
        <v>0</v>
      </c>
    </row>
    <row r="122">
      <c r="A122" s="5" t="inlineStr">
        <is>
          <t>01a1212c-7ef9-7130-8eae-70f62401777a</t>
        </is>
      </c>
      <c r="B122" s="5" t="inlineStr">
        <is>
          <t>01a1212c-4b57-70cf-80fd-c2192cb3bf81</t>
        </is>
      </c>
      <c r="C122" s="4" t="n">
        <v>46304.62415103549</v>
      </c>
      <c r="D122" t="inlineStr">
        <is>
          <t>AUD</t>
        </is>
      </c>
      <c r="E122" t="inlineStr">
        <is>
          <t>USD</t>
        </is>
      </c>
      <c r="F122" t="n">
        <v>1.5</v>
      </c>
      <c r="G122" s="6" t="n">
        <v>45411</v>
      </c>
      <c r="H122" t="b">
        <v>0</v>
      </c>
      <c r="I122" t="b">
        <v>0</v>
      </c>
    </row>
    <row r="123">
      <c r="A123" s="5" t="inlineStr">
        <is>
          <t>01a1212c-bc0b-710f-a0bd-12e6ee05e4fb</t>
        </is>
      </c>
      <c r="B123" s="5" t="inlineStr">
        <is>
          <t>01a1212c-4b57-70cf-80fd-c2192cb3bf81</t>
        </is>
      </c>
      <c r="C123" s="4" t="n">
        <v>46304.62433198429</v>
      </c>
      <c r="D123" t="inlineStr">
        <is>
          <t>AUD</t>
        </is>
      </c>
      <c r="E123" t="inlineStr">
        <is>
          <t>USD</t>
        </is>
      </c>
      <c r="F123" t="n">
        <v>1.5</v>
      </c>
      <c r="G123" s="6" t="n">
        <v>45425</v>
      </c>
      <c r="H123" t="b">
        <v>0</v>
      </c>
      <c r="I123" t="b">
        <v>0</v>
      </c>
    </row>
    <row r="124">
      <c r="A124" s="5" t="inlineStr">
        <is>
          <t>01a1212c-7f4a-73d2-abac-1d9191c24cf1</t>
        </is>
      </c>
      <c r="B124" s="5" t="inlineStr">
        <is>
          <t>01a1212c-4b57-70cf-80fd-c2192cb3bf81</t>
        </is>
      </c>
      <c r="C124" s="4" t="n">
        <v>46304.62415197089</v>
      </c>
      <c r="D124" t="inlineStr">
        <is>
          <t>AUD</t>
        </is>
      </c>
      <c r="E124" t="inlineStr">
        <is>
          <t>USD</t>
        </is>
      </c>
      <c r="F124" t="n">
        <v>1.5</v>
      </c>
      <c r="G124" s="6" t="n">
        <v>45432</v>
      </c>
      <c r="H124" t="b">
        <v>0</v>
      </c>
      <c r="I124" t="b">
        <v>0</v>
      </c>
    </row>
    <row r="125">
      <c r="A125" s="5" t="inlineStr">
        <is>
          <t>01a1212c-bc0f-72da-8953-64d94d8163b4</t>
        </is>
      </c>
      <c r="B125" s="5" t="inlineStr">
        <is>
          <t>01a1212c-4b57-70cf-80fd-c2192cb3bf81</t>
        </is>
      </c>
      <c r="C125" s="4" t="n">
        <v>46304.62433203268</v>
      </c>
      <c r="D125" t="inlineStr">
        <is>
          <t>AUD</t>
        </is>
      </c>
      <c r="E125" t="inlineStr">
        <is>
          <t>USD</t>
        </is>
      </c>
      <c r="F125" t="n">
        <v>1.5</v>
      </c>
      <c r="G125" s="6" t="n">
        <v>45448</v>
      </c>
      <c r="H125" t="b">
        <v>0</v>
      </c>
      <c r="I125" t="b">
        <v>0</v>
      </c>
    </row>
    <row r="126">
      <c r="A126" s="5" t="inlineStr">
        <is>
          <t>01a1212c-7f8c-73b8-8fe9-c52106f64544</t>
        </is>
      </c>
      <c r="B126" s="5" t="inlineStr">
        <is>
          <t>01a1212c-4b57-70cf-80fd-c2192cb3bf81</t>
        </is>
      </c>
      <c r="C126" s="4" t="n">
        <v>46304.62415273663</v>
      </c>
      <c r="D126" t="inlineStr">
        <is>
          <t>AUD</t>
        </is>
      </c>
      <c r="E126" t="inlineStr">
        <is>
          <t>USD</t>
        </is>
      </c>
      <c r="F126" t="n">
        <v>1.5</v>
      </c>
      <c r="G126" s="6" t="n">
        <v>45463</v>
      </c>
      <c r="H126" t="b">
        <v>0</v>
      </c>
      <c r="I126" t="b">
        <v>0</v>
      </c>
    </row>
    <row r="127">
      <c r="A127" s="5" t="inlineStr">
        <is>
          <t>01a1212c-bc13-77c2-abab-55d66362cdca</t>
        </is>
      </c>
      <c r="B127" s="5" t="inlineStr">
        <is>
          <t>01a1212c-4b57-70cf-80fd-c2192cb3bf81</t>
        </is>
      </c>
      <c r="C127" s="4" t="n">
        <v>46304.62433208011</v>
      </c>
      <c r="D127" t="inlineStr">
        <is>
          <t>AUD</t>
        </is>
      </c>
      <c r="E127" t="inlineStr">
        <is>
          <t>USD</t>
        </is>
      </c>
      <c r="F127" t="n">
        <v>1.5</v>
      </c>
      <c r="G127" s="6" t="n">
        <v>45519</v>
      </c>
      <c r="H127" t="b">
        <v>0</v>
      </c>
      <c r="I127" t="b">
        <v>0</v>
      </c>
    </row>
    <row r="128">
      <c r="A128" s="5" t="inlineStr">
        <is>
          <t>01a1212c-bc17-765e-9a76-00d196a58bbe</t>
        </is>
      </c>
      <c r="B128" s="5" t="inlineStr">
        <is>
          <t>01a1212c-4b57-70cf-80fd-c2192cb3bf81</t>
        </is>
      </c>
      <c r="C128" s="4" t="n">
        <v>46304.62433212706</v>
      </c>
      <c r="D128" t="inlineStr">
        <is>
          <t>AUD</t>
        </is>
      </c>
      <c r="E128" t="inlineStr">
        <is>
          <t>USD</t>
        </is>
      </c>
      <c r="F128" t="n">
        <v>1.5</v>
      </c>
      <c r="G128" s="6" t="n">
        <v>45540</v>
      </c>
      <c r="H128" t="b">
        <v>0</v>
      </c>
      <c r="I128" t="b">
        <v>0</v>
      </c>
    </row>
    <row r="129">
      <c r="A129" s="5" t="inlineStr">
        <is>
          <t>01a1212c-806a-71ea-8ab4-d2ba3a2cc9d2</t>
        </is>
      </c>
      <c r="B129" s="5" t="inlineStr">
        <is>
          <t>01a1212c-4b57-70cf-80fd-c2192cb3bf81</t>
        </is>
      </c>
      <c r="C129" s="4" t="n">
        <v>46304.62415530495</v>
      </c>
      <c r="D129" t="inlineStr">
        <is>
          <t>AUD</t>
        </is>
      </c>
      <c r="E129" t="inlineStr">
        <is>
          <t>USD</t>
        </is>
      </c>
      <c r="F129" t="n">
        <v>1.5</v>
      </c>
      <c r="G129" s="6" t="n">
        <v>45600</v>
      </c>
      <c r="H129" t="b">
        <v>0</v>
      </c>
      <c r="I129" t="b">
        <v>0</v>
      </c>
    </row>
    <row r="130">
      <c r="A130" s="5" t="inlineStr">
        <is>
          <t>01a1212c-bc21-767f-a2e4-e19fb5c2bab0</t>
        </is>
      </c>
      <c r="B130" s="5" t="inlineStr">
        <is>
          <t>01a1212c-4b57-70cf-80fd-c2192cb3bf81</t>
        </is>
      </c>
      <c r="C130" s="4" t="n">
        <v>46304.62433224035</v>
      </c>
      <c r="D130" t="inlineStr">
        <is>
          <t>AUD</t>
        </is>
      </c>
      <c r="E130" t="inlineStr">
        <is>
          <t>USD</t>
        </is>
      </c>
      <c r="F130" t="n">
        <v>1.5</v>
      </c>
      <c r="G130" s="6" t="n">
        <v>45607</v>
      </c>
      <c r="H130" t="b">
        <v>0</v>
      </c>
      <c r="I130" t="b">
        <v>0</v>
      </c>
    </row>
    <row r="131">
      <c r="A131" s="5" t="inlineStr">
        <is>
          <t>01a1212c-a6e0-708b-9cf6-fc65d58a908d</t>
        </is>
      </c>
      <c r="B131" s="5" t="inlineStr">
        <is>
          <t>01a1212c-4b57-70cf-80fd-c2192cb3bf81</t>
        </is>
      </c>
      <c r="C131" s="4" t="n">
        <v>46304.6242692677</v>
      </c>
      <c r="D131" t="inlineStr">
        <is>
          <t>AUD</t>
        </is>
      </c>
      <c r="E131" t="inlineStr">
        <is>
          <t>USD</t>
        </is>
      </c>
      <c r="F131" t="n">
        <v>1.5</v>
      </c>
      <c r="G131" s="6" t="n">
        <v>45608</v>
      </c>
      <c r="H131" t="b">
        <v>0</v>
      </c>
      <c r="I131" t="b">
        <v>0</v>
      </c>
    </row>
    <row r="132">
      <c r="A132" s="5" t="inlineStr">
        <is>
          <t>01a1212c-80c1-7556-adc7-c967163b3f6b</t>
        </is>
      </c>
      <c r="B132" s="5" t="inlineStr">
        <is>
          <t>01a1212c-4b57-70cf-80fd-c2192cb3bf81</t>
        </is>
      </c>
      <c r="C132" s="4" t="n">
        <v>46304.62415631175</v>
      </c>
      <c r="D132" t="inlineStr">
        <is>
          <t>AUD</t>
        </is>
      </c>
      <c r="E132" t="inlineStr">
        <is>
          <t>USD</t>
        </is>
      </c>
      <c r="F132" t="n">
        <v>1.5</v>
      </c>
      <c r="G132" s="6" t="n">
        <v>45635</v>
      </c>
      <c r="H132" t="b">
        <v>0</v>
      </c>
      <c r="I132" t="b">
        <v>0</v>
      </c>
    </row>
    <row r="133">
      <c r="A133" s="5" t="inlineStr">
        <is>
          <t>01a1212c-bc25-7364-9870-09e7100b7480</t>
        </is>
      </c>
      <c r="B133" s="5" t="inlineStr">
        <is>
          <t>01a1212c-4b57-70cf-80fd-c2192cb3bf81</t>
        </is>
      </c>
      <c r="C133" s="4" t="n">
        <v>46304.62433228881</v>
      </c>
      <c r="D133" t="inlineStr">
        <is>
          <t>AUD</t>
        </is>
      </c>
      <c r="E133" t="inlineStr">
        <is>
          <t>USD</t>
        </is>
      </c>
      <c r="F133" t="n">
        <v>1.5</v>
      </c>
      <c r="G133" s="6" t="n">
        <v>45638</v>
      </c>
      <c r="H133" t="b">
        <v>0</v>
      </c>
      <c r="I133" t="b">
        <v>0</v>
      </c>
    </row>
    <row r="134">
      <c r="A134" s="5" t="inlineStr">
        <is>
          <t>01a1212c-bc29-778c-82c6-722ff0de2417</t>
        </is>
      </c>
      <c r="B134" s="5" t="inlineStr">
        <is>
          <t>01a1212c-4b57-70cf-80fd-c2192cb3bf81</t>
        </is>
      </c>
      <c r="C134" s="4" t="n">
        <v>46304.62433233429</v>
      </c>
      <c r="D134" t="inlineStr">
        <is>
          <t>AUD</t>
        </is>
      </c>
      <c r="E134" t="inlineStr">
        <is>
          <t>USD</t>
        </is>
      </c>
      <c r="F134" t="n">
        <v>1.5</v>
      </c>
      <c r="G134" s="6" t="n">
        <v>45701</v>
      </c>
      <c r="H134" t="b">
        <v>0</v>
      </c>
      <c r="I134" t="b">
        <v>0</v>
      </c>
    </row>
    <row r="135">
      <c r="A135" s="5" t="inlineStr">
        <is>
          <t>01a1212c-8147-72e4-8bb3-f2524528cb00</t>
        </is>
      </c>
      <c r="B135" s="5" t="inlineStr">
        <is>
          <t>01a1212c-4b57-70cf-80fd-c2192cb3bf81</t>
        </is>
      </c>
      <c r="C135" s="4" t="n">
        <v>46304.62415786689</v>
      </c>
      <c r="D135" t="inlineStr">
        <is>
          <t>AUD</t>
        </is>
      </c>
      <c r="E135" t="inlineStr">
        <is>
          <t>USD</t>
        </is>
      </c>
      <c r="F135" t="n">
        <v>1.5</v>
      </c>
      <c r="G135" s="6" t="n">
        <v>45702</v>
      </c>
      <c r="H135" t="b">
        <v>0</v>
      </c>
      <c r="I135" t="b">
        <v>0</v>
      </c>
    </row>
    <row r="136">
      <c r="A136" s="5" t="inlineStr">
        <is>
          <t>01a1212c-bc2d-7134-ac65-b1883748a0c0</t>
        </is>
      </c>
      <c r="B136" s="5" t="inlineStr">
        <is>
          <t>01a1212c-4b57-70cf-80fd-c2192cb3bf81</t>
        </is>
      </c>
      <c r="C136" s="4" t="n">
        <v>46304.62433238084</v>
      </c>
      <c r="D136" t="inlineStr">
        <is>
          <t>AUD</t>
        </is>
      </c>
      <c r="E136" t="inlineStr">
        <is>
          <t>USD</t>
        </is>
      </c>
      <c r="F136" t="n">
        <v>1.5</v>
      </c>
      <c r="G136" s="6" t="n">
        <v>45729</v>
      </c>
      <c r="H136" t="b">
        <v>0</v>
      </c>
      <c r="I136" t="b">
        <v>0</v>
      </c>
    </row>
    <row r="137">
      <c r="A137" s="5" t="inlineStr">
        <is>
          <t>01a1212c-81b5-7094-bdcc-c591027bfce1</t>
        </is>
      </c>
      <c r="B137" s="5" t="inlineStr">
        <is>
          <t>01a1212c-4b57-70cf-80fd-c2192cb3bf81</t>
        </is>
      </c>
      <c r="C137" s="4" t="n">
        <v>46304.62415913596</v>
      </c>
      <c r="D137" t="inlineStr">
        <is>
          <t>AUD</t>
        </is>
      </c>
      <c r="E137" t="inlineStr">
        <is>
          <t>USD</t>
        </is>
      </c>
      <c r="F137" t="n">
        <v>1.5</v>
      </c>
      <c r="G137" s="6" t="n">
        <v>45758</v>
      </c>
      <c r="H137" t="b">
        <v>0</v>
      </c>
      <c r="I137" t="b">
        <v>0</v>
      </c>
    </row>
    <row r="138">
      <c r="A138" s="5" t="inlineStr">
        <is>
          <t>01a1212c-bc37-733d-b9fe-2708e286843b</t>
        </is>
      </c>
      <c r="B138" s="5" t="inlineStr">
        <is>
          <t>01a1212c-4b57-70cf-80fd-c2192cb3bf81</t>
        </is>
      </c>
      <c r="C138" s="4" t="n">
        <v>46304.62433249348</v>
      </c>
      <c r="D138" t="inlineStr">
        <is>
          <t>AUD</t>
        </is>
      </c>
      <c r="E138" t="inlineStr">
        <is>
          <t>USD</t>
        </is>
      </c>
      <c r="F138" t="n">
        <v>1.5</v>
      </c>
      <c r="G138" s="6" t="n">
        <v>45792</v>
      </c>
      <c r="H138" t="b">
        <v>0</v>
      </c>
      <c r="I138" t="b">
        <v>0</v>
      </c>
    </row>
    <row r="139">
      <c r="A139" s="5" t="inlineStr">
        <is>
          <t>01a1212c-8211-74fa-830c-08354d18730a</t>
        </is>
      </c>
      <c r="B139" s="5" t="inlineStr">
        <is>
          <t>01a1212c-4b57-70cf-80fd-c2192cb3bf81</t>
        </is>
      </c>
      <c r="C139" s="4" t="n">
        <v>46304.62416020592</v>
      </c>
      <c r="D139" t="inlineStr">
        <is>
          <t>AUD</t>
        </is>
      </c>
      <c r="E139" t="inlineStr">
        <is>
          <t>USD</t>
        </is>
      </c>
      <c r="F139" t="n">
        <v>1.5</v>
      </c>
      <c r="G139" s="6" t="n">
        <v>45810</v>
      </c>
      <c r="H139" t="b">
        <v>0</v>
      </c>
      <c r="I139" t="b">
        <v>0</v>
      </c>
    </row>
    <row r="140">
      <c r="A140" s="5" t="inlineStr">
        <is>
          <t>01a1212c-8242-7126-aa4d-24e5db3cd83f</t>
        </is>
      </c>
      <c r="B140" s="5" t="inlineStr">
        <is>
          <t>01a1212c-4b57-70cf-80fd-c2192cb3bf81</t>
        </is>
      </c>
      <c r="C140" s="4" t="n">
        <v>46304.624160766</v>
      </c>
      <c r="D140" t="inlineStr">
        <is>
          <t>AUD</t>
        </is>
      </c>
      <c r="E140" t="inlineStr">
        <is>
          <t>USD</t>
        </is>
      </c>
      <c r="F140" t="n">
        <v>1.5</v>
      </c>
      <c r="G140" s="6" t="n">
        <v>45813</v>
      </c>
      <c r="H140" t="b">
        <v>0</v>
      </c>
      <c r="I140" t="b">
        <v>0</v>
      </c>
    </row>
    <row r="141">
      <c r="A141" s="5" t="inlineStr">
        <is>
          <t>01a1212c-8284-7336-adef-086004eb11e3</t>
        </is>
      </c>
      <c r="B141" s="5" t="inlineStr">
        <is>
          <t>01a1212c-4b57-70cf-80fd-c2192cb3bf81</t>
        </is>
      </c>
      <c r="C141" s="4" t="n">
        <v>46304.62416153777</v>
      </c>
      <c r="D141" t="inlineStr">
        <is>
          <t>AUD</t>
        </is>
      </c>
      <c r="E141" t="inlineStr">
        <is>
          <t>USD</t>
        </is>
      </c>
      <c r="F141" t="n">
        <v>1.5</v>
      </c>
      <c r="G141" s="6" t="n">
        <v>45868</v>
      </c>
      <c r="H141" t="b">
        <v>0</v>
      </c>
      <c r="I141" t="b">
        <v>0</v>
      </c>
    </row>
    <row r="142">
      <c r="A142" s="5" t="inlineStr">
        <is>
          <t>01a1212c-bc3e-7225-a7e3-822f45dcedb4</t>
        </is>
      </c>
      <c r="B142" s="5" t="inlineStr">
        <is>
          <t>01a1212c-4b57-70cf-80fd-c2192cb3bf81</t>
        </is>
      </c>
      <c r="C142" s="4" t="n">
        <v>46304.6243325731</v>
      </c>
      <c r="D142" t="inlineStr">
        <is>
          <t>AUD</t>
        </is>
      </c>
      <c r="E142" t="inlineStr">
        <is>
          <t>USD</t>
        </is>
      </c>
      <c r="F142" t="n">
        <v>1.5</v>
      </c>
      <c r="G142" s="6" t="n">
        <v>45883</v>
      </c>
      <c r="H142" t="b">
        <v>0</v>
      </c>
      <c r="I142" t="b">
        <v>0</v>
      </c>
    </row>
    <row r="143">
      <c r="A143" s="5" t="inlineStr">
        <is>
          <t>01a1212c-bc42-73ce-a813-0127e00f44ba</t>
        </is>
      </c>
      <c r="B143" s="5" t="inlineStr">
        <is>
          <t>01a1212c-4b57-70cf-80fd-c2192cb3bf81</t>
        </is>
      </c>
      <c r="C143" s="4" t="n">
        <v>46304.62433261949</v>
      </c>
      <c r="D143" t="inlineStr">
        <is>
          <t>AUD</t>
        </is>
      </c>
      <c r="E143" t="inlineStr">
        <is>
          <t>USD</t>
        </is>
      </c>
      <c r="F143" t="n">
        <v>1.5</v>
      </c>
      <c r="G143" s="6" t="n">
        <v>45911</v>
      </c>
      <c r="H143" t="b">
        <v>0</v>
      </c>
      <c r="I143" t="b">
        <v>0</v>
      </c>
    </row>
    <row r="144">
      <c r="A144" s="5" t="inlineStr">
        <is>
          <t>01a1212c-8307-76c7-9be2-ceabe8b00eac</t>
        </is>
      </c>
      <c r="B144" s="5" t="inlineStr">
        <is>
          <t>01a1212c-4b57-70cf-80fd-c2192cb3bf81</t>
        </is>
      </c>
      <c r="C144" s="4" t="n">
        <v>46304.62416304908</v>
      </c>
      <c r="D144" t="inlineStr">
        <is>
          <t>AUD</t>
        </is>
      </c>
      <c r="E144" t="inlineStr">
        <is>
          <t>USD</t>
        </is>
      </c>
      <c r="F144" t="n">
        <v>1.5</v>
      </c>
      <c r="G144" s="6" t="n">
        <v>45915</v>
      </c>
      <c r="H144" t="b">
        <v>0</v>
      </c>
      <c r="I144" t="b">
        <v>0</v>
      </c>
    </row>
    <row r="145">
      <c r="A145" s="5" t="inlineStr">
        <is>
          <t>01a1212c-8349-7404-8325-6c5d5f7e5dc7</t>
        </is>
      </c>
      <c r="B145" s="5" t="inlineStr">
        <is>
          <t>01a1212c-4b57-70cf-80fd-c2192cb3bf81</t>
        </is>
      </c>
      <c r="C145" s="4" t="n">
        <v>46304.62416380933</v>
      </c>
      <c r="D145" t="inlineStr">
        <is>
          <t>AUD</t>
        </is>
      </c>
      <c r="E145" t="inlineStr">
        <is>
          <t>USD</t>
        </is>
      </c>
      <c r="F145" t="n">
        <v>1.5</v>
      </c>
      <c r="G145" s="6" t="n">
        <v>45939</v>
      </c>
      <c r="H145" t="b">
        <v>0</v>
      </c>
      <c r="I145" t="b">
        <v>0</v>
      </c>
    </row>
    <row r="146">
      <c r="A146" s="5" t="inlineStr">
        <is>
          <t>01a1212c-8361-719f-883d-b8b85afdd00a</t>
        </is>
      </c>
      <c r="B146" s="5" t="inlineStr">
        <is>
          <t>01a1212c-4b57-70cf-80fd-c2192cb3bf81</t>
        </is>
      </c>
      <c r="C146" s="4" t="n">
        <v>46304.62416409763</v>
      </c>
      <c r="D146" t="inlineStr">
        <is>
          <t>AUD</t>
        </is>
      </c>
      <c r="E146" t="inlineStr">
        <is>
          <t>USD</t>
        </is>
      </c>
      <c r="F146" t="n">
        <v>1.5</v>
      </c>
      <c r="G146" s="6" t="n">
        <v>45946</v>
      </c>
      <c r="H146" t="b">
        <v>0</v>
      </c>
      <c r="I146" t="b">
        <v>0</v>
      </c>
    </row>
    <row r="147">
      <c r="A147" s="5" t="inlineStr">
        <is>
          <t>01a1212c-bc4c-706a-8161-d280702f3676</t>
        </is>
      </c>
      <c r="B147" s="5" t="inlineStr">
        <is>
          <t>01a1212c-4b57-70cf-80fd-c2192cb3bf81</t>
        </is>
      </c>
      <c r="C147" s="4" t="n">
        <v>46304.62433273971</v>
      </c>
      <c r="D147" t="inlineStr">
        <is>
          <t>AUD</t>
        </is>
      </c>
      <c r="E147" t="inlineStr">
        <is>
          <t>USD</t>
        </is>
      </c>
      <c r="F147" t="n">
        <v>1.5</v>
      </c>
      <c r="G147" s="6" t="n">
        <v>45974</v>
      </c>
      <c r="H147" t="b">
        <v>0</v>
      </c>
      <c r="I147" t="b">
        <v>0</v>
      </c>
    </row>
    <row r="148">
      <c r="A148" s="5" t="inlineStr">
        <is>
          <t>01a1212c-83ce-7488-9f3f-1da7452f1ea0</t>
        </is>
      </c>
      <c r="B148" s="5" t="inlineStr">
        <is>
          <t>01a1212c-4b57-70cf-80fd-c2192cb3bf81</t>
        </is>
      </c>
      <c r="C148" s="4" t="n">
        <v>46304.62416534811</v>
      </c>
      <c r="D148" t="inlineStr">
        <is>
          <t>AUD</t>
        </is>
      </c>
      <c r="E148" t="inlineStr">
        <is>
          <t>USD</t>
        </is>
      </c>
      <c r="F148" t="n">
        <v>1.5</v>
      </c>
      <c r="G148" s="6" t="n">
        <v>45999</v>
      </c>
      <c r="H148" t="b">
        <v>0</v>
      </c>
      <c r="I148" t="b">
        <v>0</v>
      </c>
    </row>
    <row r="149">
      <c r="A149" s="5" t="inlineStr">
        <is>
          <t>01a1212c-bc50-734b-827c-3da61f96ae5f</t>
        </is>
      </c>
      <c r="B149" s="5" t="inlineStr">
        <is>
          <t>01a1212c-4b57-70cf-80fd-c2192cb3bf81</t>
        </is>
      </c>
      <c r="C149" s="4" t="n">
        <v>46304.62433278502</v>
      </c>
      <c r="D149" t="inlineStr">
        <is>
          <t>AUD</t>
        </is>
      </c>
      <c r="E149" t="inlineStr">
        <is>
          <t>USD</t>
        </is>
      </c>
      <c r="F149" t="n">
        <v>1.5</v>
      </c>
      <c r="G149" s="6" t="n">
        <v>46002</v>
      </c>
      <c r="H149" t="b">
        <v>0</v>
      </c>
      <c r="I149" t="b">
        <v>0</v>
      </c>
    </row>
    <row r="150">
      <c r="A150" s="5" t="inlineStr">
        <is>
          <t>01a1212c-842e-770e-82d5-1dd9e3c3d973</t>
        </is>
      </c>
      <c r="B150" s="5" t="inlineStr">
        <is>
          <t>01a1212c-4b57-70cf-80fd-c2192cb3bf81</t>
        </is>
      </c>
      <c r="C150" s="4" t="n">
        <v>46304.62416646743</v>
      </c>
      <c r="D150" t="inlineStr">
        <is>
          <t>AUD</t>
        </is>
      </c>
      <c r="E150" t="inlineStr">
        <is>
          <t>USD</t>
        </is>
      </c>
      <c r="F150" t="n">
        <v>1.5</v>
      </c>
      <c r="G150" s="6" t="n">
        <v>46031</v>
      </c>
      <c r="H150" t="b">
        <v>0</v>
      </c>
      <c r="I150" t="b">
        <v>0</v>
      </c>
    </row>
    <row r="151">
      <c r="A151" s="5" t="inlineStr">
        <is>
          <t>01a1212c-bc54-752d-887b-88b06f0b0334</t>
        </is>
      </c>
      <c r="B151" s="5" t="inlineStr">
        <is>
          <t>01a1212c-4b57-70cf-80fd-c2192cb3bf81</t>
        </is>
      </c>
      <c r="C151" s="4" t="n">
        <v>46304.62433283345</v>
      </c>
      <c r="D151" t="inlineStr">
        <is>
          <t>AUD</t>
        </is>
      </c>
      <c r="E151" t="inlineStr">
        <is>
          <t>USD</t>
        </is>
      </c>
      <c r="F151" t="n">
        <v>1.5</v>
      </c>
      <c r="G151" s="6" t="n">
        <v>46065</v>
      </c>
      <c r="H151" t="b">
        <v>0</v>
      </c>
      <c r="I151" t="b">
        <v>0</v>
      </c>
    </row>
    <row r="152">
      <c r="A152" s="5" t="inlineStr">
        <is>
          <t>01a1212c-bc58-768e-bf2b-45f9473ac9a5</t>
        </is>
      </c>
      <c r="B152" s="5" t="inlineStr">
        <is>
          <t>01a1212c-4b57-70cf-80fd-c2192cb3bf81</t>
        </is>
      </c>
      <c r="C152" s="4" t="n">
        <v>46304.62433288064</v>
      </c>
      <c r="D152" t="inlineStr">
        <is>
          <t>AUD</t>
        </is>
      </c>
      <c r="E152" t="inlineStr">
        <is>
          <t>USD</t>
        </is>
      </c>
      <c r="F152" t="n">
        <v>1.5</v>
      </c>
      <c r="G152" s="6" t="n">
        <v>46093</v>
      </c>
      <c r="H152" t="b">
        <v>0</v>
      </c>
      <c r="I152" t="b">
        <v>0</v>
      </c>
    </row>
    <row r="153">
      <c r="A153" s="5" t="inlineStr">
        <is>
          <t>01a1212c-84d6-76ca-a113-09172f180073</t>
        </is>
      </c>
      <c r="B153" s="5" t="inlineStr">
        <is>
          <t>01a1212c-4b57-70cf-80fd-c2192cb3bf81</t>
        </is>
      </c>
      <c r="C153" s="4" t="n">
        <v>46304.62416841459</v>
      </c>
      <c r="D153" t="inlineStr">
        <is>
          <t>AUD</t>
        </is>
      </c>
      <c r="E153" t="inlineStr">
        <is>
          <t>USD</t>
        </is>
      </c>
      <c r="F153" t="n">
        <v>1.5</v>
      </c>
      <c r="G153" s="6" t="n">
        <v>46132</v>
      </c>
      <c r="H153" t="b">
        <v>0</v>
      </c>
      <c r="I153" t="b">
        <v>0</v>
      </c>
    </row>
    <row r="154">
      <c r="A154" s="5" t="inlineStr">
        <is>
          <t>01a1212c-84ef-77bb-985e-9868d460f40d</t>
        </is>
      </c>
      <c r="B154" s="5" t="inlineStr">
        <is>
          <t>01a1212c-4b57-70cf-80fd-c2192cb3bf81</t>
        </is>
      </c>
      <c r="C154" s="4" t="n">
        <v>46304.624168699</v>
      </c>
      <c r="D154" t="inlineStr">
        <is>
          <t>AUD</t>
        </is>
      </c>
      <c r="E154" t="inlineStr">
        <is>
          <t>USD</t>
        </is>
      </c>
      <c r="F154" t="n">
        <v>1.5</v>
      </c>
      <c r="G154" s="6" t="n">
        <v>46139</v>
      </c>
      <c r="H154" t="b">
        <v>0</v>
      </c>
      <c r="I154" t="b">
        <v>0</v>
      </c>
    </row>
    <row r="155">
      <c r="A155" s="5" t="inlineStr">
        <is>
          <t>01a1212c-bc62-725a-af25-3e1f728e3c94</t>
        </is>
      </c>
      <c r="B155" s="5" t="inlineStr">
        <is>
          <t>01a1212c-4b57-70cf-80fd-c2192cb3bf81</t>
        </is>
      </c>
      <c r="C155" s="4" t="n">
        <v>46304.62433298952</v>
      </c>
      <c r="D155" t="inlineStr">
        <is>
          <t>AUD</t>
        </is>
      </c>
      <c r="E155" t="inlineStr">
        <is>
          <t>USD</t>
        </is>
      </c>
      <c r="F155" t="n">
        <v>1.5</v>
      </c>
      <c r="G155" s="6" t="n">
        <v>46156</v>
      </c>
      <c r="H155" t="b">
        <v>0</v>
      </c>
      <c r="I155" t="b">
        <v>0</v>
      </c>
    </row>
    <row r="156">
      <c r="A156" s="5" t="inlineStr">
        <is>
          <t>01a1212c-bc66-77a8-b790-d5cd2c039c15</t>
        </is>
      </c>
      <c r="B156" s="5" t="inlineStr">
        <is>
          <t>01a1212c-4b57-70cf-80fd-c2192cb3bf81</t>
        </is>
      </c>
      <c r="C156" s="4" t="n">
        <v>46304.62433303746</v>
      </c>
      <c r="D156" t="inlineStr">
        <is>
          <t>AUD</t>
        </is>
      </c>
      <c r="E156" t="inlineStr">
        <is>
          <t>USD</t>
        </is>
      </c>
      <c r="F156" t="n">
        <v>1.5</v>
      </c>
      <c r="G156" s="6" t="n">
        <v>46184</v>
      </c>
      <c r="H156" t="b">
        <v>0</v>
      </c>
      <c r="I156" t="b">
        <v>0</v>
      </c>
    </row>
    <row r="157">
      <c r="A157" s="5" t="inlineStr">
        <is>
          <t>01a1212c-856a-74b7-bcc4-aca723c2337d</t>
        </is>
      </c>
      <c r="B157" s="5" t="inlineStr">
        <is>
          <t>01a1212c-4b57-70cf-80fd-c2192cb3bf81</t>
        </is>
      </c>
      <c r="C157" s="4" t="n">
        <v>46304.62417012318</v>
      </c>
      <c r="D157" t="inlineStr">
        <is>
          <t>AUD</t>
        </is>
      </c>
      <c r="E157" t="inlineStr">
        <is>
          <t>USD</t>
        </is>
      </c>
      <c r="F157" t="n">
        <v>1.5</v>
      </c>
      <c r="G157" s="6" t="n">
        <v>46205</v>
      </c>
      <c r="H157" t="b">
        <v>0</v>
      </c>
      <c r="I157" t="b">
        <v>0</v>
      </c>
    </row>
    <row r="158">
      <c r="A158" s="5" t="inlineStr">
        <is>
          <t>01a1212c-85a0-7018-8c74-75a538027660</t>
        </is>
      </c>
      <c r="B158" s="5" t="inlineStr">
        <is>
          <t>01a1212c-4b57-70cf-80fd-c2192cb3bf81</t>
        </is>
      </c>
      <c r="C158" s="4" t="n">
        <v>46304.62417074684</v>
      </c>
      <c r="D158" t="inlineStr">
        <is>
          <t>AUD</t>
        </is>
      </c>
      <c r="E158" t="inlineStr">
        <is>
          <t>USD</t>
        </is>
      </c>
      <c r="F158" t="n">
        <v>1.5</v>
      </c>
      <c r="G158" s="6" t="n">
        <v>46209</v>
      </c>
      <c r="H158" t="b">
        <v>0</v>
      </c>
      <c r="I158" t="b">
        <v>0</v>
      </c>
    </row>
    <row r="159">
      <c r="A159" s="5" t="inlineStr">
        <is>
          <t>01a1212c-85fd-72ef-ab6b-7d773586f3a6</t>
        </is>
      </c>
      <c r="B159" s="5" t="inlineStr">
        <is>
          <t>01a1212c-4b57-70cf-80fd-c2192cb3bf81</t>
        </is>
      </c>
      <c r="C159" s="4" t="n">
        <v>46304.62417182777</v>
      </c>
      <c r="D159" t="inlineStr">
        <is>
          <t>AUD</t>
        </is>
      </c>
      <c r="E159" t="inlineStr">
        <is>
          <t>USD</t>
        </is>
      </c>
      <c r="F159" t="n">
        <v>1.5</v>
      </c>
      <c r="G159" s="6" t="n">
        <v>46223</v>
      </c>
      <c r="H159" t="b">
        <v>0</v>
      </c>
      <c r="I159" t="b">
        <v>0</v>
      </c>
    </row>
    <row r="160">
      <c r="A160" s="5" t="inlineStr">
        <is>
          <t>01a1212c-862c-750a-a8be-110337de7f0c</t>
        </is>
      </c>
      <c r="B160" s="5" t="inlineStr">
        <is>
          <t>01a1212c-4b57-70cf-80fd-c2192cb3bf81</t>
        </is>
      </c>
      <c r="C160" s="4" t="n">
        <v>46304.62417236771</v>
      </c>
      <c r="D160" t="inlineStr">
        <is>
          <t>AUD</t>
        </is>
      </c>
      <c r="E160" t="inlineStr">
        <is>
          <t>USD</t>
        </is>
      </c>
      <c r="F160" t="n">
        <v>1.5</v>
      </c>
      <c r="G160" s="6" t="n">
        <v>46237</v>
      </c>
      <c r="H160" t="b">
        <v>0</v>
      </c>
      <c r="I160" t="b">
        <v>0</v>
      </c>
    </row>
    <row r="161">
      <c r="A161" s="5" t="inlineStr">
        <is>
          <t>01a1212c-8658-7465-8629-315883747d51</t>
        </is>
      </c>
      <c r="B161" s="5" t="inlineStr">
        <is>
          <t>01a1212c-4b57-70cf-80fd-c2192cb3bf81</t>
        </is>
      </c>
      <c r="C161" s="4" t="n">
        <v>46304.62417288304</v>
      </c>
      <c r="D161" t="inlineStr">
        <is>
          <t>AUD</t>
        </is>
      </c>
      <c r="E161" t="inlineStr">
        <is>
          <t>USD</t>
        </is>
      </c>
      <c r="F161" t="n">
        <v>1.5</v>
      </c>
      <c r="G161" s="6" t="n">
        <v>46244</v>
      </c>
      <c r="H161" t="b">
        <v>0</v>
      </c>
      <c r="I161" t="b">
        <v>0</v>
      </c>
    </row>
    <row r="162">
      <c r="A162" s="5" t="inlineStr">
        <is>
          <t>01a1212c-bc6a-734f-baa3-d5904e2d7f6d</t>
        </is>
      </c>
      <c r="B162" s="5" t="inlineStr">
        <is>
          <t>01a1212c-4b57-70cf-80fd-c2192cb3bf81</t>
        </is>
      </c>
      <c r="C162" s="4" t="n">
        <v>46304.62433308217</v>
      </c>
      <c r="D162" t="inlineStr">
        <is>
          <t>AUD</t>
        </is>
      </c>
      <c r="E162" t="inlineStr">
        <is>
          <t>USD</t>
        </is>
      </c>
      <c r="F162" t="n">
        <v>1.5</v>
      </c>
      <c r="G162" s="6" t="n">
        <v>46247</v>
      </c>
      <c r="H162" t="b">
        <v>0</v>
      </c>
      <c r="I162" t="b">
        <v>0</v>
      </c>
    </row>
    <row r="163">
      <c r="A163" s="5" t="inlineStr">
        <is>
          <t>01a1212c-8670-745a-91fd-f3107efc9d3b</t>
        </is>
      </c>
      <c r="B163" s="5" t="inlineStr">
        <is>
          <t>01a1212c-4b57-70cf-80fd-c2192cb3bf81</t>
        </is>
      </c>
      <c r="C163" s="4" t="n">
        <v>46304.62417315824</v>
      </c>
      <c r="D163" t="inlineStr">
        <is>
          <t>AUD</t>
        </is>
      </c>
      <c r="E163" t="inlineStr">
        <is>
          <t>USD</t>
        </is>
      </c>
      <c r="F163" t="n">
        <v>1.5</v>
      </c>
      <c r="G163" s="6" t="n">
        <v>46265</v>
      </c>
      <c r="H163" t="b">
        <v>0</v>
      </c>
      <c r="I163" t="b">
        <v>0</v>
      </c>
    </row>
    <row r="164">
      <c r="A164" s="5" t="inlineStr">
        <is>
          <t>01a1212c-86b5-7356-91e1-e766aeedcc61</t>
        </is>
      </c>
      <c r="B164" s="5" t="inlineStr">
        <is>
          <t>01a1212c-4b57-70cf-80fd-c2192cb3bf81</t>
        </is>
      </c>
      <c r="C164" s="4" t="n">
        <v>46304.62417394995</v>
      </c>
      <c r="D164" t="inlineStr">
        <is>
          <t>AUD</t>
        </is>
      </c>
      <c r="E164" t="inlineStr">
        <is>
          <t>USD</t>
        </is>
      </c>
      <c r="F164" t="n">
        <v>1.5</v>
      </c>
      <c r="G164" s="6" t="n">
        <v>46273</v>
      </c>
      <c r="H164" t="b">
        <v>0</v>
      </c>
      <c r="I164" t="b">
        <v>0</v>
      </c>
    </row>
    <row r="165">
      <c r="A165" s="5" t="inlineStr">
        <is>
          <t>01a1212c-bc6e-73e6-a391-bd896a5fec8e</t>
        </is>
      </c>
      <c r="B165" s="5" t="inlineStr">
        <is>
          <t>01a1212c-4b57-70cf-80fd-c2192cb3bf81</t>
        </is>
      </c>
      <c r="C165" s="4" t="n">
        <v>46304.62433312694</v>
      </c>
      <c r="D165" t="inlineStr">
        <is>
          <t>AUD</t>
        </is>
      </c>
      <c r="E165" t="inlineStr">
        <is>
          <t>USD</t>
        </is>
      </c>
      <c r="F165" t="n">
        <v>1.5</v>
      </c>
      <c r="G165" s="6" t="n">
        <v>46275</v>
      </c>
      <c r="H165" t="b">
        <v>0</v>
      </c>
      <c r="I165" t="b">
        <v>0</v>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12"/>
  <sheetViews>
    <sheetView workbookViewId="0">
      <pane ySplit="1" topLeftCell="A2" activePane="bottomLeft" state="frozen"/>
      <selection pane="bottomLeft" activeCell="A1" sqref="A1"/>
    </sheetView>
  </sheetViews>
  <sheetFormatPr baseColWidth="8" defaultRowHeight="15"/>
  <cols>
    <col width="38.2" customWidth="1" min="1" max="1"/>
    <col width="11.2" customWidth="1" min="2" max="2"/>
    <col width="45.2" customWidth="1" min="3" max="3"/>
    <col width="38.2" customWidth="1" min="4" max="4"/>
    <col width="28.2" customWidth="1" min="5" max="5"/>
    <col width="28.2" customWidth="1" min="6" max="6"/>
    <col width="11.2" customWidth="1" min="7" max="7"/>
    <col width="7.2" customWidth="1" min="8" max="8"/>
    <col width="8.199999999999999" customWidth="1" min="9" max="9"/>
    <col width="8.199999999999999" customWidth="1" min="10" max="10"/>
    <col width="9.199999999999999" customWidth="1" min="11" max="11"/>
    <col width="20.2" customWidth="1" min="12" max="12"/>
  </cols>
  <sheetData>
    <row r="1" ht="32" customHeight="1">
      <c r="A1" s="1" t="inlineStr">
        <is>
          <t>id</t>
        </is>
      </c>
      <c r="B1" s="1" t="inlineStr">
        <is>
          <t>legacy_id</t>
        </is>
      </c>
      <c r="C1" s="1" t="inlineStr">
        <is>
          <t>description</t>
        </is>
      </c>
      <c r="D1" s="1" t="inlineStr">
        <is>
          <t>account_id</t>
        </is>
      </c>
      <c r="E1" s="1" t="inlineStr">
        <is>
          <t>created_at</t>
        </is>
      </c>
      <c r="F1" s="1" t="inlineStr">
        <is>
          <t>updated_at</t>
        </is>
      </c>
      <c r="G1" s="1" t="inlineStr">
        <is>
          <t>is_active</t>
        </is>
      </c>
      <c r="H1" s="1" t="inlineStr">
        <is>
          <t>notes</t>
        </is>
      </c>
      <c r="I1" s="1" t="inlineStr">
        <is>
          <t>code</t>
        </is>
      </c>
      <c r="J1" s="1" t="inlineStr">
        <is>
          <t>suffix</t>
        </is>
      </c>
      <c r="K1" s="1" t="inlineStr">
        <is>
          <t>country</t>
        </is>
      </c>
      <c r="L1" s="1" t="inlineStr">
        <is>
          <t>is_exchange_listed</t>
        </is>
      </c>
    </row>
    <row r="2">
      <c r="A2" s="5" t="inlineStr">
        <is>
          <t>01a1212c-4c04-75ce-bbb2-e3322e18816e</t>
        </is>
      </c>
      <c r="C2" t="inlineStr">
        <is>
          <t>Australian Stock Exchange</t>
        </is>
      </c>
      <c r="D2" s="5" t="inlineStr">
        <is>
          <t>01a1212c-4b57-70cf-80fd-c2192cb3bf81</t>
        </is>
      </c>
      <c r="E2" s="4" t="n">
        <v>46304.62400005724</v>
      </c>
      <c r="F2" s="4" t="n">
        <v>46304.62400005735</v>
      </c>
      <c r="G2" t="b">
        <v>1</v>
      </c>
      <c r="I2" t="inlineStr">
        <is>
          <t>ASX</t>
        </is>
      </c>
      <c r="J2" t="inlineStr">
        <is>
          <t>.AX</t>
        </is>
      </c>
      <c r="K2" t="inlineStr">
        <is>
          <t>AU</t>
        </is>
      </c>
      <c r="L2" t="b">
        <v>1</v>
      </c>
    </row>
    <row r="3">
      <c r="A3" s="5" t="inlineStr">
        <is>
          <t>01a1212c-4c06-731e-87a0-0cbfb47392a7</t>
        </is>
      </c>
      <c r="C3" t="inlineStr">
        <is>
          <t>NASDAQ</t>
        </is>
      </c>
      <c r="D3" s="5" t="inlineStr">
        <is>
          <t>01a1212c-4b57-70cf-80fd-c2192cb3bf81</t>
        </is>
      </c>
      <c r="E3" s="4" t="n">
        <v>46304.62400007754</v>
      </c>
      <c r="F3" s="4" t="n">
        <v>46304.62400007762</v>
      </c>
      <c r="G3" t="b">
        <v>1</v>
      </c>
      <c r="I3" t="inlineStr">
        <is>
          <t>NASDAQ</t>
        </is>
      </c>
      <c r="J3" t="n">
        <v/>
      </c>
      <c r="K3" t="inlineStr">
        <is>
          <t>US</t>
        </is>
      </c>
      <c r="L3" t="b">
        <v>1</v>
      </c>
    </row>
    <row r="4">
      <c r="A4" s="5" t="inlineStr">
        <is>
          <t>01a1212c-4c08-768c-9550-0db155735583</t>
        </is>
      </c>
      <c r="C4" t="inlineStr">
        <is>
          <t>New York Stock Exchange</t>
        </is>
      </c>
      <c r="D4" s="5" t="inlineStr">
        <is>
          <t>01a1212c-4b57-70cf-80fd-c2192cb3bf81</t>
        </is>
      </c>
      <c r="E4" s="4" t="n">
        <v>46304.62400010219</v>
      </c>
      <c r="F4" s="4" t="n">
        <v>46304.62400010229</v>
      </c>
      <c r="G4" t="b">
        <v>1</v>
      </c>
      <c r="I4" t="inlineStr">
        <is>
          <t>NYSE</t>
        </is>
      </c>
      <c r="J4" t="n">
        <v/>
      </c>
      <c r="K4" t="inlineStr">
        <is>
          <t>US</t>
        </is>
      </c>
      <c r="L4" t="b">
        <v>1</v>
      </c>
    </row>
    <row r="5">
      <c r="A5" s="5" t="inlineStr">
        <is>
          <t>01a1212c-4c0a-7357-bcff-b2394772a628</t>
        </is>
      </c>
      <c r="C5" t="inlineStr">
        <is>
          <t>London Stock Exchange</t>
        </is>
      </c>
      <c r="D5" s="5" t="inlineStr">
        <is>
          <t>01a1212c-4b57-70cf-80fd-c2192cb3bf81</t>
        </is>
      </c>
      <c r="E5" s="4" t="n">
        <v>46304.62400011978</v>
      </c>
      <c r="F5" s="4" t="n">
        <v>46304.62400011986</v>
      </c>
      <c r="G5" t="b">
        <v>1</v>
      </c>
      <c r="I5" t="inlineStr">
        <is>
          <t>LSE</t>
        </is>
      </c>
      <c r="J5" t="inlineStr">
        <is>
          <t>.L</t>
        </is>
      </c>
      <c r="K5" t="inlineStr">
        <is>
          <t>GB</t>
        </is>
      </c>
      <c r="L5" t="b">
        <v>1</v>
      </c>
    </row>
    <row r="6">
      <c r="A6" s="5" t="inlineStr">
        <is>
          <t>01a1212c-4c0b-7278-85f9-417374724d90</t>
        </is>
      </c>
      <c r="C6" t="inlineStr">
        <is>
          <t>New Zealand Stock Exchange</t>
        </is>
      </c>
      <c r="D6" s="5" t="inlineStr">
        <is>
          <t>01a1212c-4b57-70cf-80fd-c2192cb3bf81</t>
        </is>
      </c>
      <c r="E6" s="4" t="n">
        <v>46304.62400013745</v>
      </c>
      <c r="F6" s="4" t="n">
        <v>46304.62400013753</v>
      </c>
      <c r="G6" t="b">
        <v>1</v>
      </c>
      <c r="I6" t="inlineStr">
        <is>
          <t>NZX</t>
        </is>
      </c>
      <c r="J6" t="inlineStr">
        <is>
          <t>.NZ</t>
        </is>
      </c>
      <c r="K6" t="inlineStr">
        <is>
          <t>NZ</t>
        </is>
      </c>
      <c r="L6" t="b">
        <v>1</v>
      </c>
    </row>
    <row r="7">
      <c r="A7" s="5" t="inlineStr">
        <is>
          <t>01a1212c-4c0d-75d0-919e-9cdd5c3e7683</t>
        </is>
      </c>
      <c r="C7" t="inlineStr">
        <is>
          <t>Toronto Stock Exchange</t>
        </is>
      </c>
      <c r="D7" s="5" t="inlineStr">
        <is>
          <t>01a1212c-4b57-70cf-80fd-c2192cb3bf81</t>
        </is>
      </c>
      <c r="E7" s="4" t="n">
        <v>46304.62400015267</v>
      </c>
      <c r="F7" s="4" t="n">
        <v>46304.62400015274</v>
      </c>
      <c r="G7" t="b">
        <v>1</v>
      </c>
      <c r="I7" t="inlineStr">
        <is>
          <t>TSX</t>
        </is>
      </c>
      <c r="J7" t="inlineStr">
        <is>
          <t>.TO</t>
        </is>
      </c>
      <c r="K7" t="inlineStr">
        <is>
          <t>CA</t>
        </is>
      </c>
      <c r="L7" t="b">
        <v>1</v>
      </c>
    </row>
    <row r="8">
      <c r="A8" s="5" t="inlineStr">
        <is>
          <t>01a1212c-4c0e-75c7-a57a-0cf14bad07af</t>
        </is>
      </c>
      <c r="C8" t="inlineStr">
        <is>
          <t>Japan Exchange Group (Tokyo Stock Exchange)</t>
        </is>
      </c>
      <c r="D8" s="5" t="inlineStr">
        <is>
          <t>01a1212c-4b57-70cf-80fd-c2192cb3bf81</t>
        </is>
      </c>
      <c r="E8" s="4" t="n">
        <v>46304.62400016734</v>
      </c>
      <c r="F8" s="4" t="n">
        <v>46304.62400016742</v>
      </c>
      <c r="G8" t="b">
        <v>1</v>
      </c>
      <c r="I8" t="inlineStr">
        <is>
          <t>JPX</t>
        </is>
      </c>
      <c r="J8" t="inlineStr">
        <is>
          <t>.T</t>
        </is>
      </c>
      <c r="K8" t="inlineStr">
        <is>
          <t>JP</t>
        </is>
      </c>
      <c r="L8" t="b">
        <v>1</v>
      </c>
    </row>
    <row r="9">
      <c r="A9" s="5" t="inlineStr">
        <is>
          <t>01a1212c-4c0f-707e-890a-1db311091a0e</t>
        </is>
      </c>
      <c r="C9" t="inlineStr">
        <is>
          <t>Hong Kong Stock Exchange</t>
        </is>
      </c>
      <c r="D9" s="5" t="inlineStr">
        <is>
          <t>01a1212c-4b57-70cf-80fd-c2192cb3bf81</t>
        </is>
      </c>
      <c r="E9" s="4" t="n">
        <v>46304.62400018173</v>
      </c>
      <c r="F9" s="4" t="n">
        <v>46304.62400018179</v>
      </c>
      <c r="G9" t="b">
        <v>1</v>
      </c>
      <c r="I9" t="inlineStr">
        <is>
          <t>HKEX</t>
        </is>
      </c>
      <c r="J9" t="inlineStr">
        <is>
          <t>.HK</t>
        </is>
      </c>
      <c r="K9" t="inlineStr">
        <is>
          <t>HK</t>
        </is>
      </c>
      <c r="L9" t="b">
        <v>1</v>
      </c>
    </row>
    <row r="10">
      <c r="A10" s="5" t="inlineStr">
        <is>
          <t>01a1212c-4c10-72c7-b02d-688e60e80490</t>
        </is>
      </c>
      <c r="C10" t="inlineStr">
        <is>
          <t>Shanghai Stock Exchange</t>
        </is>
      </c>
      <c r="D10" s="5" t="inlineStr">
        <is>
          <t>01a1212c-4b57-70cf-80fd-c2192cb3bf81</t>
        </is>
      </c>
      <c r="E10" s="4" t="n">
        <v>46304.62400019606</v>
      </c>
      <c r="F10" s="4" t="n">
        <v>46304.62400019615</v>
      </c>
      <c r="G10" t="b">
        <v>1</v>
      </c>
      <c r="I10" t="inlineStr">
        <is>
          <t>SSE</t>
        </is>
      </c>
      <c r="J10" t="inlineStr">
        <is>
          <t>.SS</t>
        </is>
      </c>
      <c r="K10" t="n">
        <v/>
      </c>
      <c r="L10" t="b">
        <v>1</v>
      </c>
    </row>
    <row r="11">
      <c r="A11" s="5" t="inlineStr">
        <is>
          <t>01a1212c-4c12-718c-a23b-2e1c0b14329b</t>
        </is>
      </c>
      <c r="C11" t="inlineStr">
        <is>
          <t>Shenzhen Stock Exchange</t>
        </is>
      </c>
      <c r="D11" s="5" t="inlineStr">
        <is>
          <t>01a1212c-4b57-70cf-80fd-c2192cb3bf81</t>
        </is>
      </c>
      <c r="E11" s="4" t="n">
        <v>46304.62400020999</v>
      </c>
      <c r="F11" s="4" t="n">
        <v>46304.62400021006</v>
      </c>
      <c r="G11" t="b">
        <v>1</v>
      </c>
      <c r="I11" t="inlineStr">
        <is>
          <t>SZSE</t>
        </is>
      </c>
      <c r="J11" t="inlineStr">
        <is>
          <t>.SZ</t>
        </is>
      </c>
      <c r="K11" t="n">
        <v/>
      </c>
      <c r="L11" t="b">
        <v>1</v>
      </c>
    </row>
    <row r="12">
      <c r="A12" s="5" t="inlineStr">
        <is>
          <t>01a1212c-4c13-740d-a5f2-1147f05b181b</t>
        </is>
      </c>
      <c r="C12" t="inlineStr">
        <is>
          <t>National Stock Exchange of India</t>
        </is>
      </c>
      <c r="D12" s="5" t="inlineStr">
        <is>
          <t>01a1212c-4b57-70cf-80fd-c2192cb3bf81</t>
        </is>
      </c>
      <c r="E12" s="4" t="n">
        <v>46304.62400022353</v>
      </c>
      <c r="F12" s="4" t="n">
        <v>46304.6240002236</v>
      </c>
      <c r="G12" t="b">
        <v>1</v>
      </c>
      <c r="I12" t="inlineStr">
        <is>
          <t>NSE</t>
        </is>
      </c>
      <c r="J12" t="inlineStr">
        <is>
          <t>.NS</t>
        </is>
      </c>
      <c r="K12" t="inlineStr">
        <is>
          <t>IN</t>
        </is>
      </c>
      <c r="L12" t="b">
        <v>1</v>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U2353"/>
  <sheetViews>
    <sheetView workbookViewId="0">
      <pane ySplit="1" topLeftCell="A2" activePane="bottomLeft" state="frozen"/>
      <selection pane="bottomLeft" activeCell="A1" sqref="A1"/>
    </sheetView>
  </sheetViews>
  <sheetFormatPr baseColWidth="8" defaultRowHeight="15"/>
  <cols>
    <col width="38.2" customWidth="1" min="1" max="1"/>
    <col width="11.2" customWidth="1" min="2" max="2"/>
    <col width="38.2" customWidth="1" min="3" max="3"/>
    <col width="28.2" customWidth="1" min="4" max="4"/>
    <col width="28.2" customWidth="1" min="5" max="5"/>
    <col width="11.2" customWidth="1" min="6" max="6"/>
    <col width="65.2" customWidth="1" min="7" max="7"/>
    <col width="8.199999999999999" customWidth="1" min="8" max="8"/>
    <col width="62.2" customWidth="1" min="9" max="9"/>
    <col width="10.2" customWidth="1" min="10" max="10"/>
    <col width="38.2" customWidth="1" min="11" max="11"/>
    <col width="20.2" customWidth="1" min="12" max="12"/>
    <col width="12.2" customWidth="1" min="13" max="13"/>
    <col width="19.2" customWidth="1" min="14" max="14"/>
    <col width="29.2" customWidth="1" min="15" max="15"/>
    <col width="41.2" customWidth="1" min="16" max="16"/>
    <col width="26.2" customWidth="1" min="17" max="17"/>
    <col width="32.2" customWidth="1" min="18" max="18"/>
    <col width="23.2" customWidth="1" min="19" max="19"/>
    <col width="42.2" customWidth="1" min="20" max="20"/>
    <col width="33.2" customWidth="1" min="21" max="21"/>
  </cols>
  <sheetData>
    <row r="1" ht="32" customHeight="1">
      <c r="A1" s="1" t="inlineStr">
        <is>
          <t>id</t>
        </is>
      </c>
      <c r="B1" s="1" t="inlineStr">
        <is>
          <t>legacy_id</t>
        </is>
      </c>
      <c r="C1" s="1" t="inlineStr">
        <is>
          <t>account_id</t>
        </is>
      </c>
      <c r="D1" s="1" t="inlineStr">
        <is>
          <t>created_at</t>
        </is>
      </c>
      <c r="E1" s="1" t="inlineStr">
        <is>
          <t>updated_at</t>
        </is>
      </c>
      <c r="F1" s="1" t="inlineStr">
        <is>
          <t>is_active</t>
        </is>
      </c>
      <c r="G1" s="1" t="inlineStr">
        <is>
          <t>notes</t>
        </is>
      </c>
      <c r="H1" s="1" t="inlineStr">
        <is>
          <t>name</t>
        </is>
      </c>
      <c r="I1" s="1" t="inlineStr">
        <is>
          <t>description</t>
        </is>
      </c>
      <c r="J1" s="1" t="inlineStr">
        <is>
          <t>currency</t>
        </is>
      </c>
      <c r="K1" s="1" t="inlineStr">
        <is>
          <t>market_id</t>
        </is>
      </c>
      <c r="L1" s="1" t="inlineStr">
        <is>
          <t>current_unit_price</t>
        </is>
      </c>
      <c r="M1" s="1" t="inlineStr">
        <is>
          <t>legal_form</t>
        </is>
      </c>
      <c r="N1" s="1" t="inlineStr">
        <is>
          <t>legal_form_source</t>
        </is>
      </c>
      <c r="O1" s="1" t="inlineStr">
        <is>
          <t>cgt_asset_category_override</t>
        </is>
      </c>
      <c r="P1" s="1" t="inlineStr">
        <is>
          <t>is_taxable_australian_property_override</t>
        </is>
      </c>
      <c r="Q1" s="1" t="inlineStr">
        <is>
          <t>calculated_quantity_held</t>
        </is>
      </c>
      <c r="R1" s="1" t="inlineStr">
        <is>
          <t>calculated_value_held_currency</t>
        </is>
      </c>
      <c r="S1" s="1" t="inlineStr">
        <is>
          <t>calculated_value_held</t>
        </is>
      </c>
      <c r="T1" s="1" t="inlineStr">
        <is>
          <t>calculated_value_held_converted_currency</t>
        </is>
      </c>
      <c r="U1" s="1" t="inlineStr">
        <is>
          <t>calculated_value_held_converted</t>
        </is>
      </c>
    </row>
    <row r="2">
      <c r="A2" s="5" t="inlineStr">
        <is>
          <t>01a1212c-4e08-7766-8333-8b7030dbdaa8</t>
        </is>
      </c>
      <c r="C2" s="5" t="inlineStr">
        <is>
          <t>01a1212c-4b57-70cf-80fd-c2192cb3bf81</t>
        </is>
      </c>
      <c r="D2" s="4" t="n">
        <v>46304.6240060323</v>
      </c>
      <c r="E2" s="4" t="n">
        <v>46304.62416252262</v>
      </c>
      <c r="F2" t="b">
        <v>1</v>
      </c>
      <c r="G2" t="inlineStr">
        <is>
          <t>You might prefer to only load the instruments you intend to use</t>
        </is>
      </c>
      <c r="H2" t="inlineStr">
        <is>
          <t>CBA</t>
        </is>
      </c>
      <c r="I2" t="inlineStr">
        <is>
          <t>Commonwealth Bank of Australia</t>
        </is>
      </c>
      <c r="J2" t="inlineStr">
        <is>
          <t>AUD</t>
        </is>
      </c>
      <c r="K2" s="5" t="inlineStr">
        <is>
          <t>01a1212c-4c04-75ce-bbb2-e3322e18816e</t>
        </is>
      </c>
      <c r="M2" t="inlineStr">
        <is>
          <t>UNKNOWN</t>
        </is>
      </c>
      <c r="N2" t="inlineStr">
        <is>
          <t>DEFAULT</t>
        </is>
      </c>
      <c r="Q2" t="n">
        <v>41</v>
      </c>
      <c r="R2" t="inlineStr">
        <is>
          <t>AUD</t>
        </is>
      </c>
      <c r="S2" t="n">
        <v>0</v>
      </c>
      <c r="T2" t="inlineStr">
        <is>
          <t>AUD</t>
        </is>
      </c>
      <c r="U2" t="n">
        <v>0</v>
      </c>
    </row>
    <row r="3">
      <c r="A3" s="5" t="inlineStr">
        <is>
          <t>01a1212c-4e0e-7730-a3d8-2af88c7de342</t>
        </is>
      </c>
      <c r="C3" s="5" t="inlineStr">
        <is>
          <t>01a1212c-4b57-70cf-80fd-c2192cb3bf81</t>
        </is>
      </c>
      <c r="D3" s="4" t="n">
        <v>46304.624006094</v>
      </c>
      <c r="E3" s="4" t="n">
        <v>46304.62416506535</v>
      </c>
      <c r="F3" t="b">
        <v>1</v>
      </c>
      <c r="G3" t="n">
        <v/>
      </c>
      <c r="H3" t="inlineStr">
        <is>
          <t>BHP</t>
        </is>
      </c>
      <c r="I3" t="inlineStr">
        <is>
          <t>BHP Group Ltd</t>
        </is>
      </c>
      <c r="J3" t="inlineStr">
        <is>
          <t>AUD</t>
        </is>
      </c>
      <c r="K3" s="5" t="inlineStr">
        <is>
          <t>01a1212c-4c04-75ce-bbb2-e3322e18816e</t>
        </is>
      </c>
      <c r="M3" t="inlineStr">
        <is>
          <t>UNKNOWN</t>
        </is>
      </c>
      <c r="N3" t="inlineStr">
        <is>
          <t>DEFAULT</t>
        </is>
      </c>
      <c r="Q3" t="n">
        <v>163</v>
      </c>
      <c r="R3" t="inlineStr">
        <is>
          <t>AUD</t>
        </is>
      </c>
      <c r="S3" t="n">
        <v>0</v>
      </c>
      <c r="T3" t="inlineStr">
        <is>
          <t>AUD</t>
        </is>
      </c>
      <c r="U3" t="n">
        <v>0</v>
      </c>
    </row>
    <row r="4">
      <c r="A4" s="5" t="inlineStr">
        <is>
          <t>01a1212c-4e11-70b0-9e76-f7b0106b71f5</t>
        </is>
      </c>
      <c r="C4" s="5" t="inlineStr">
        <is>
          <t>01a1212c-4b57-70cf-80fd-c2192cb3bf81</t>
        </is>
      </c>
      <c r="D4" s="4" t="n">
        <v>46304.62400612662</v>
      </c>
      <c r="E4" s="4" t="n">
        <v>46304.62400612669</v>
      </c>
      <c r="F4" t="b">
        <v>1</v>
      </c>
      <c r="G4" t="n">
        <v/>
      </c>
      <c r="H4" t="inlineStr">
        <is>
          <t>CSL</t>
        </is>
      </c>
      <c r="I4" t="inlineStr">
        <is>
          <t>CSL Ltd</t>
        </is>
      </c>
      <c r="J4" t="inlineStr">
        <is>
          <t>AUD</t>
        </is>
      </c>
      <c r="K4" s="5" t="inlineStr">
        <is>
          <t>01a1212c-4c04-75ce-bbb2-e3322e18816e</t>
        </is>
      </c>
      <c r="M4" t="inlineStr">
        <is>
          <t>UNKNOWN</t>
        </is>
      </c>
      <c r="N4" t="inlineStr">
        <is>
          <t>DEFAULT</t>
        </is>
      </c>
      <c r="Q4" t="n">
        <v>0</v>
      </c>
      <c r="R4" t="inlineStr">
        <is>
          <t>AUD</t>
        </is>
      </c>
      <c r="S4" t="n">
        <v>0</v>
      </c>
      <c r="T4" t="inlineStr">
        <is>
          <t>AUD</t>
        </is>
      </c>
      <c r="U4" t="n">
        <v>0</v>
      </c>
    </row>
    <row r="5">
      <c r="A5" s="5" t="inlineStr">
        <is>
          <t>01a1212c-4e13-76d7-8572-b611901e4cd4</t>
        </is>
      </c>
      <c r="C5" s="5" t="inlineStr">
        <is>
          <t>01a1212c-4b57-70cf-80fd-c2192cb3bf81</t>
        </is>
      </c>
      <c r="D5" s="4" t="n">
        <v>46304.62400615746</v>
      </c>
      <c r="E5" s="4" t="n">
        <v>46304.62400615754</v>
      </c>
      <c r="F5" t="b">
        <v>1</v>
      </c>
      <c r="G5" t="n">
        <v/>
      </c>
      <c r="H5" t="inlineStr">
        <is>
          <t>NAB</t>
        </is>
      </c>
      <c r="I5" t="inlineStr">
        <is>
          <t>National Australia Bank Ltd</t>
        </is>
      </c>
      <c r="J5" t="inlineStr">
        <is>
          <t>AUD</t>
        </is>
      </c>
      <c r="K5" s="5" t="inlineStr">
        <is>
          <t>01a1212c-4c04-75ce-bbb2-e3322e18816e</t>
        </is>
      </c>
      <c r="M5" t="inlineStr">
        <is>
          <t>UNKNOWN</t>
        </is>
      </c>
      <c r="N5" t="inlineStr">
        <is>
          <t>DEFAULT</t>
        </is>
      </c>
      <c r="Q5" t="n">
        <v>0</v>
      </c>
      <c r="R5" t="inlineStr">
        <is>
          <t>AUD</t>
        </is>
      </c>
      <c r="S5" t="n">
        <v>0</v>
      </c>
      <c r="T5" t="inlineStr">
        <is>
          <t>AUD</t>
        </is>
      </c>
      <c r="U5" t="n">
        <v>0</v>
      </c>
    </row>
    <row r="6">
      <c r="A6" s="5" t="inlineStr">
        <is>
          <t>01a1212c-4e16-70be-b598-964846dcb1d3</t>
        </is>
      </c>
      <c r="C6" s="5" t="inlineStr">
        <is>
          <t>01a1212c-4b57-70cf-80fd-c2192cb3bf81</t>
        </is>
      </c>
      <c r="D6" s="4" t="n">
        <v>46304.62400618789</v>
      </c>
      <c r="E6" s="4" t="n">
        <v>46304.62400618802</v>
      </c>
      <c r="F6" t="b">
        <v>1</v>
      </c>
      <c r="G6" t="n">
        <v/>
      </c>
      <c r="H6" t="inlineStr">
        <is>
          <t>WBC</t>
        </is>
      </c>
      <c r="I6" t="inlineStr">
        <is>
          <t>Westpac Banking Corporation</t>
        </is>
      </c>
      <c r="J6" t="inlineStr">
        <is>
          <t>AUD</t>
        </is>
      </c>
      <c r="K6" s="5" t="inlineStr">
        <is>
          <t>01a1212c-4c04-75ce-bbb2-e3322e18816e</t>
        </is>
      </c>
      <c r="M6" t="inlineStr">
        <is>
          <t>UNKNOWN</t>
        </is>
      </c>
      <c r="N6" t="inlineStr">
        <is>
          <t>DEFAULT</t>
        </is>
      </c>
      <c r="Q6" t="n">
        <v>0</v>
      </c>
      <c r="R6" t="inlineStr">
        <is>
          <t>AUD</t>
        </is>
      </c>
      <c r="S6" t="n">
        <v>0</v>
      </c>
      <c r="T6" t="inlineStr">
        <is>
          <t>AUD</t>
        </is>
      </c>
      <c r="U6" t="n">
        <v>0</v>
      </c>
    </row>
    <row r="7">
      <c r="A7" s="5" t="inlineStr">
        <is>
          <t>01a1212c-4e19-7716-8530-f58800c319ed</t>
        </is>
      </c>
      <c r="C7" s="5" t="inlineStr">
        <is>
          <t>01a1212c-4b57-70cf-80fd-c2192cb3bf81</t>
        </is>
      </c>
      <c r="D7" s="4" t="n">
        <v>46304.62400621961</v>
      </c>
      <c r="E7" s="4" t="n">
        <v>46304.62400621969</v>
      </c>
      <c r="F7" t="b">
        <v>1</v>
      </c>
      <c r="G7" t="n">
        <v/>
      </c>
      <c r="H7" t="inlineStr">
        <is>
          <t>MQG</t>
        </is>
      </c>
      <c r="I7" t="inlineStr">
        <is>
          <t>Macquarie Group Ltd</t>
        </is>
      </c>
      <c r="J7" t="inlineStr">
        <is>
          <t>AUD</t>
        </is>
      </c>
      <c r="K7" s="5" t="inlineStr">
        <is>
          <t>01a1212c-4c04-75ce-bbb2-e3322e18816e</t>
        </is>
      </c>
      <c r="M7" t="inlineStr">
        <is>
          <t>UNKNOWN</t>
        </is>
      </c>
      <c r="N7" t="inlineStr">
        <is>
          <t>DEFAULT</t>
        </is>
      </c>
      <c r="Q7" t="n">
        <v>0</v>
      </c>
      <c r="R7" t="inlineStr">
        <is>
          <t>AUD</t>
        </is>
      </c>
      <c r="S7" t="n">
        <v>0</v>
      </c>
      <c r="T7" t="inlineStr">
        <is>
          <t>AUD</t>
        </is>
      </c>
      <c r="U7" t="n">
        <v>0</v>
      </c>
    </row>
    <row r="8">
      <c r="A8" s="5" t="inlineStr">
        <is>
          <t>01a1212c-4e1c-710c-a056-4d1dba9c4bd6</t>
        </is>
      </c>
      <c r="C8" s="5" t="inlineStr">
        <is>
          <t>01a1212c-4b57-70cf-80fd-c2192cb3bf81</t>
        </is>
      </c>
      <c r="D8" s="4" t="n">
        <v>46304.62400625301</v>
      </c>
      <c r="E8" s="4" t="n">
        <v>46304.6240062531</v>
      </c>
      <c r="F8" t="b">
        <v>1</v>
      </c>
      <c r="G8" t="n">
        <v/>
      </c>
      <c r="H8" t="inlineStr">
        <is>
          <t>ANZ</t>
        </is>
      </c>
      <c r="I8" t="inlineStr">
        <is>
          <t>ANZ Group Holdings Ltd</t>
        </is>
      </c>
      <c r="J8" t="inlineStr">
        <is>
          <t>AUD</t>
        </is>
      </c>
      <c r="K8" s="5" t="inlineStr">
        <is>
          <t>01a1212c-4c04-75ce-bbb2-e3322e18816e</t>
        </is>
      </c>
      <c r="M8" t="inlineStr">
        <is>
          <t>UNKNOWN</t>
        </is>
      </c>
      <c r="N8" t="inlineStr">
        <is>
          <t>DEFAULT</t>
        </is>
      </c>
      <c r="Q8" t="n">
        <v>0</v>
      </c>
      <c r="R8" t="inlineStr">
        <is>
          <t>AUD</t>
        </is>
      </c>
      <c r="S8" t="n">
        <v>0</v>
      </c>
      <c r="T8" t="inlineStr">
        <is>
          <t>AUD</t>
        </is>
      </c>
      <c r="U8" t="n">
        <v>0</v>
      </c>
    </row>
    <row r="9">
      <c r="A9" s="5" t="inlineStr">
        <is>
          <t>01a1212c-4e1e-74dc-a16f-f36de49aa483</t>
        </is>
      </c>
      <c r="C9" s="5" t="inlineStr">
        <is>
          <t>01a1212c-4b57-70cf-80fd-c2192cb3bf81</t>
        </is>
      </c>
      <c r="D9" s="4" t="n">
        <v>46304.62400628486</v>
      </c>
      <c r="E9" s="4" t="n">
        <v>46304.62421691867</v>
      </c>
      <c r="F9" t="b">
        <v>1</v>
      </c>
      <c r="G9" t="n">
        <v/>
      </c>
      <c r="H9" t="inlineStr">
        <is>
          <t>WES</t>
        </is>
      </c>
      <c r="I9" t="inlineStr">
        <is>
          <t>Wesfarmers Ltd</t>
        </is>
      </c>
      <c r="J9" t="inlineStr">
        <is>
          <t>AUD</t>
        </is>
      </c>
      <c r="K9" s="5" t="inlineStr">
        <is>
          <t>01a1212c-4c04-75ce-bbb2-e3322e18816e</t>
        </is>
      </c>
      <c r="M9" t="inlineStr">
        <is>
          <t>UNKNOWN</t>
        </is>
      </c>
      <c r="N9" t="inlineStr">
        <is>
          <t>DEFAULT</t>
        </is>
      </c>
      <c r="Q9" t="n">
        <v>0</v>
      </c>
      <c r="R9" t="inlineStr">
        <is>
          <t>AUD</t>
        </is>
      </c>
      <c r="S9" t="n">
        <v>0</v>
      </c>
      <c r="T9" t="inlineStr">
        <is>
          <t>AUD</t>
        </is>
      </c>
      <c r="U9" t="n">
        <v>0</v>
      </c>
    </row>
    <row r="10">
      <c r="A10" s="5" t="inlineStr">
        <is>
          <t>01a1212c-4e21-7546-9858-9c919b931abd</t>
        </is>
      </c>
      <c r="C10" s="5" t="inlineStr">
        <is>
          <t>01a1212c-4b57-70cf-80fd-c2192cb3bf81</t>
        </is>
      </c>
      <c r="D10" s="4" t="n">
        <v>46304.6240063166</v>
      </c>
      <c r="E10" s="4" t="n">
        <v>46304.62400631668</v>
      </c>
      <c r="F10" t="b">
        <v>1</v>
      </c>
      <c r="G10" t="n">
        <v/>
      </c>
      <c r="H10" t="inlineStr">
        <is>
          <t>GMG</t>
        </is>
      </c>
      <c r="I10" t="inlineStr">
        <is>
          <t>Goodman Group</t>
        </is>
      </c>
      <c r="J10" t="inlineStr">
        <is>
          <t>AUD</t>
        </is>
      </c>
      <c r="K10" s="5" t="inlineStr">
        <is>
          <t>01a1212c-4c04-75ce-bbb2-e3322e18816e</t>
        </is>
      </c>
      <c r="M10" t="inlineStr">
        <is>
          <t>STAPLED</t>
        </is>
      </c>
      <c r="N10" t="inlineStr">
        <is>
          <t>SUGGESTED</t>
        </is>
      </c>
      <c r="Q10" t="n">
        <v>0</v>
      </c>
      <c r="R10" t="inlineStr">
        <is>
          <t>AUD</t>
        </is>
      </c>
      <c r="S10" t="n">
        <v>0</v>
      </c>
      <c r="T10" t="inlineStr">
        <is>
          <t>AUD</t>
        </is>
      </c>
      <c r="U10" t="n">
        <v>0</v>
      </c>
    </row>
    <row r="11">
      <c r="A11" s="5" t="inlineStr">
        <is>
          <t>01a1212c-4e24-717b-bf91-503bd5550d7f</t>
        </is>
      </c>
      <c r="C11" s="5" t="inlineStr">
        <is>
          <t>01a1212c-4b57-70cf-80fd-c2192cb3bf81</t>
        </is>
      </c>
      <c r="D11" s="4" t="n">
        <v>46304.62400635349</v>
      </c>
      <c r="E11" s="4" t="n">
        <v>46304.62400635357</v>
      </c>
      <c r="F11" t="b">
        <v>1</v>
      </c>
      <c r="G11" t="n">
        <v/>
      </c>
      <c r="H11" t="inlineStr">
        <is>
          <t>FMG</t>
        </is>
      </c>
      <c r="I11" t="inlineStr">
        <is>
          <t>Fortescue Ltd</t>
        </is>
      </c>
      <c r="J11" t="inlineStr">
        <is>
          <t>AUD</t>
        </is>
      </c>
      <c r="K11" s="5" t="inlineStr">
        <is>
          <t>01a1212c-4c04-75ce-bbb2-e3322e18816e</t>
        </is>
      </c>
      <c r="M11" t="inlineStr">
        <is>
          <t>UNKNOWN</t>
        </is>
      </c>
      <c r="N11" t="inlineStr">
        <is>
          <t>DEFAULT</t>
        </is>
      </c>
      <c r="Q11" t="n">
        <v>0</v>
      </c>
      <c r="R11" t="inlineStr">
        <is>
          <t>AUD</t>
        </is>
      </c>
      <c r="S11" t="n">
        <v>0</v>
      </c>
      <c r="T11" t="inlineStr">
        <is>
          <t>AUD</t>
        </is>
      </c>
      <c r="U11" t="n">
        <v>0</v>
      </c>
    </row>
    <row r="12">
      <c r="A12" s="5" t="inlineStr">
        <is>
          <t>01a1212c-4e27-751f-b87c-11474e977d7a</t>
        </is>
      </c>
      <c r="C12" s="5" t="inlineStr">
        <is>
          <t>01a1212c-4b57-70cf-80fd-c2192cb3bf81</t>
        </is>
      </c>
      <c r="D12" s="4" t="n">
        <v>46304.62400638437</v>
      </c>
      <c r="E12" s="4" t="n">
        <v>46304.62400638445</v>
      </c>
      <c r="F12" t="b">
        <v>1</v>
      </c>
      <c r="G12" t="n">
        <v/>
      </c>
      <c r="H12" t="inlineStr">
        <is>
          <t>WDS</t>
        </is>
      </c>
      <c r="I12" t="inlineStr">
        <is>
          <t>Woodside Energy Group Ltd</t>
        </is>
      </c>
      <c r="J12" t="inlineStr">
        <is>
          <t>AUD</t>
        </is>
      </c>
      <c r="K12" s="5" t="inlineStr">
        <is>
          <t>01a1212c-4c04-75ce-bbb2-e3322e18816e</t>
        </is>
      </c>
      <c r="M12" t="inlineStr">
        <is>
          <t>UNKNOWN</t>
        </is>
      </c>
      <c r="N12" t="inlineStr">
        <is>
          <t>DEFAULT</t>
        </is>
      </c>
      <c r="Q12" t="n">
        <v>0</v>
      </c>
      <c r="R12" t="inlineStr">
        <is>
          <t>AUD</t>
        </is>
      </c>
      <c r="S12" t="n">
        <v>0</v>
      </c>
      <c r="T12" t="inlineStr">
        <is>
          <t>AUD</t>
        </is>
      </c>
      <c r="U12" t="n">
        <v>0</v>
      </c>
    </row>
    <row r="13">
      <c r="A13" s="5" t="inlineStr">
        <is>
          <t>01a1212c-4e2a-7794-8ef3-b731a10ba82a</t>
        </is>
      </c>
      <c r="C13" s="5" t="inlineStr">
        <is>
          <t>01a1212c-4b57-70cf-80fd-c2192cb3bf81</t>
        </is>
      </c>
      <c r="D13" s="4" t="n">
        <v>46304.62400641463</v>
      </c>
      <c r="E13" s="4" t="n">
        <v>46304.62419550384</v>
      </c>
      <c r="F13" t="b">
        <v>1</v>
      </c>
      <c r="G13" t="n">
        <v/>
      </c>
      <c r="H13" t="inlineStr">
        <is>
          <t>TLS</t>
        </is>
      </c>
      <c r="I13" t="inlineStr">
        <is>
          <t>Telstra Group Ltd</t>
        </is>
      </c>
      <c r="J13" t="inlineStr">
        <is>
          <t>AUD</t>
        </is>
      </c>
      <c r="K13" s="5" t="inlineStr">
        <is>
          <t>01a1212c-4c04-75ce-bbb2-e3322e18816e</t>
        </is>
      </c>
      <c r="M13" t="inlineStr">
        <is>
          <t>UNKNOWN</t>
        </is>
      </c>
      <c r="N13" t="inlineStr">
        <is>
          <t>DEFAULT</t>
        </is>
      </c>
      <c r="Q13" t="n">
        <v>0</v>
      </c>
      <c r="R13" t="inlineStr">
        <is>
          <t>AUD</t>
        </is>
      </c>
      <c r="S13" t="n">
        <v>0</v>
      </c>
      <c r="T13" t="inlineStr">
        <is>
          <t>AUD</t>
        </is>
      </c>
      <c r="U13" t="n">
        <v>0</v>
      </c>
    </row>
    <row r="14">
      <c r="A14" s="5" t="inlineStr">
        <is>
          <t>01a1212c-4e2c-71f3-a1c0-71e5bf1997da</t>
        </is>
      </c>
      <c r="C14" s="5" t="inlineStr">
        <is>
          <t>01a1212c-4b57-70cf-80fd-c2192cb3bf81</t>
        </is>
      </c>
      <c r="D14" s="4" t="n">
        <v>46304.62400644544</v>
      </c>
      <c r="E14" s="4" t="n">
        <v>46304.62400644552</v>
      </c>
      <c r="F14" t="b">
        <v>1</v>
      </c>
      <c r="G14" t="n">
        <v/>
      </c>
      <c r="H14" t="inlineStr">
        <is>
          <t>RIO</t>
        </is>
      </c>
      <c r="I14" t="inlineStr">
        <is>
          <t>RIO Tinto Ltd</t>
        </is>
      </c>
      <c r="J14" t="inlineStr">
        <is>
          <t>AUD</t>
        </is>
      </c>
      <c r="K14" s="5" t="inlineStr">
        <is>
          <t>01a1212c-4c04-75ce-bbb2-e3322e18816e</t>
        </is>
      </c>
      <c r="M14" t="inlineStr">
        <is>
          <t>UNKNOWN</t>
        </is>
      </c>
      <c r="N14" t="inlineStr">
        <is>
          <t>DEFAULT</t>
        </is>
      </c>
      <c r="Q14" t="n">
        <v>0</v>
      </c>
      <c r="R14" t="inlineStr">
        <is>
          <t>AUD</t>
        </is>
      </c>
      <c r="S14" t="n">
        <v>0</v>
      </c>
      <c r="T14" t="inlineStr">
        <is>
          <t>AUD</t>
        </is>
      </c>
      <c r="U14" t="n">
        <v>0</v>
      </c>
    </row>
    <row r="15">
      <c r="A15" s="5" t="inlineStr">
        <is>
          <t>01a1212c-4e2f-71dc-a015-3e8d10864d33</t>
        </is>
      </c>
      <c r="C15" s="5" t="inlineStr">
        <is>
          <t>01a1212c-4b57-70cf-80fd-c2192cb3bf81</t>
        </is>
      </c>
      <c r="D15" s="4" t="n">
        <v>46304.6240064774</v>
      </c>
      <c r="E15" s="4" t="n">
        <v>46304.62400647748</v>
      </c>
      <c r="F15" t="b">
        <v>1</v>
      </c>
      <c r="G15" t="n">
        <v/>
      </c>
      <c r="H15" t="inlineStr">
        <is>
          <t>ALL</t>
        </is>
      </c>
      <c r="I15" t="inlineStr">
        <is>
          <t>Aristocrat Leisure Ltd</t>
        </is>
      </c>
      <c r="J15" t="inlineStr">
        <is>
          <t>AUD</t>
        </is>
      </c>
      <c r="K15" s="5" t="inlineStr">
        <is>
          <t>01a1212c-4c04-75ce-bbb2-e3322e18816e</t>
        </is>
      </c>
      <c r="M15" t="inlineStr">
        <is>
          <t>UNKNOWN</t>
        </is>
      </c>
      <c r="N15" t="inlineStr">
        <is>
          <t>DEFAULT</t>
        </is>
      </c>
      <c r="Q15" t="n">
        <v>0</v>
      </c>
      <c r="R15" t="inlineStr">
        <is>
          <t>AUD</t>
        </is>
      </c>
      <c r="S15" t="n">
        <v>0</v>
      </c>
      <c r="T15" t="inlineStr">
        <is>
          <t>AUD</t>
        </is>
      </c>
      <c r="U15" t="n">
        <v>0</v>
      </c>
    </row>
    <row r="16">
      <c r="A16" s="5" t="inlineStr">
        <is>
          <t>01a1212c-4e32-700e-9571-7a6274290a0c</t>
        </is>
      </c>
      <c r="C16" s="5" t="inlineStr">
        <is>
          <t>01a1212c-4b57-70cf-80fd-c2192cb3bf81</t>
        </is>
      </c>
      <c r="D16" s="4" t="n">
        <v>46304.62400650771</v>
      </c>
      <c r="E16" s="4" t="n">
        <v>46304.62400650779</v>
      </c>
      <c r="F16" t="b">
        <v>1</v>
      </c>
      <c r="G16" t="n">
        <v/>
      </c>
      <c r="H16" t="inlineStr">
        <is>
          <t>TCL</t>
        </is>
      </c>
      <c r="I16" t="inlineStr">
        <is>
          <t>Transurban Group</t>
        </is>
      </c>
      <c r="J16" t="inlineStr">
        <is>
          <t>AUD</t>
        </is>
      </c>
      <c r="K16" s="5" t="inlineStr">
        <is>
          <t>01a1212c-4c04-75ce-bbb2-e3322e18816e</t>
        </is>
      </c>
      <c r="M16" t="inlineStr">
        <is>
          <t>UNKNOWN</t>
        </is>
      </c>
      <c r="N16" t="inlineStr">
        <is>
          <t>DEFAULT</t>
        </is>
      </c>
      <c r="Q16" t="n">
        <v>0</v>
      </c>
      <c r="R16" t="inlineStr">
        <is>
          <t>AUD</t>
        </is>
      </c>
      <c r="S16" t="n">
        <v>0</v>
      </c>
      <c r="T16" t="inlineStr">
        <is>
          <t>AUD</t>
        </is>
      </c>
      <c r="U16" t="n">
        <v>0</v>
      </c>
    </row>
    <row r="17">
      <c r="A17" s="5" t="inlineStr">
        <is>
          <t>01a1212c-4e34-7168-a2e4-cff92c6ce0c0</t>
        </is>
      </c>
      <c r="C17" s="5" t="inlineStr">
        <is>
          <t>01a1212c-4b57-70cf-80fd-c2192cb3bf81</t>
        </is>
      </c>
      <c r="D17" s="4" t="n">
        <v>46304.62400653852</v>
      </c>
      <c r="E17" s="4" t="n">
        <v>46304.62400653859</v>
      </c>
      <c r="F17" t="b">
        <v>1</v>
      </c>
      <c r="G17" t="n">
        <v/>
      </c>
      <c r="H17" t="inlineStr">
        <is>
          <t>WTC</t>
        </is>
      </c>
      <c r="I17" t="inlineStr">
        <is>
          <t>Wisetech Global Ltd</t>
        </is>
      </c>
      <c r="J17" t="inlineStr">
        <is>
          <t>AUD</t>
        </is>
      </c>
      <c r="K17" s="5" t="inlineStr">
        <is>
          <t>01a1212c-4c04-75ce-bbb2-e3322e18816e</t>
        </is>
      </c>
      <c r="M17" t="inlineStr">
        <is>
          <t>UNKNOWN</t>
        </is>
      </c>
      <c r="N17" t="inlineStr">
        <is>
          <t>DEFAULT</t>
        </is>
      </c>
      <c r="Q17" t="n">
        <v>0</v>
      </c>
      <c r="R17" t="inlineStr">
        <is>
          <t>AUD</t>
        </is>
      </c>
      <c r="S17" t="n">
        <v>0</v>
      </c>
      <c r="T17" t="inlineStr">
        <is>
          <t>AUD</t>
        </is>
      </c>
      <c r="U17" t="n">
        <v>0</v>
      </c>
    </row>
    <row r="18">
      <c r="A18" s="5" t="inlineStr">
        <is>
          <t>01a1212c-4e37-74f8-be39-649eeff92a31</t>
        </is>
      </c>
      <c r="C18" s="5" t="inlineStr">
        <is>
          <t>01a1212c-4b57-70cf-80fd-c2192cb3bf81</t>
        </is>
      </c>
      <c r="D18" s="4" t="n">
        <v>46304.62400656889</v>
      </c>
      <c r="E18" s="4" t="n">
        <v>46304.62400656897</v>
      </c>
      <c r="F18" t="b">
        <v>1</v>
      </c>
      <c r="G18" t="n">
        <v/>
      </c>
      <c r="H18" t="inlineStr">
        <is>
          <t>WOW</t>
        </is>
      </c>
      <c r="I18" t="inlineStr">
        <is>
          <t>Woolworths Group Ltd</t>
        </is>
      </c>
      <c r="J18" t="inlineStr">
        <is>
          <t>AUD</t>
        </is>
      </c>
      <c r="K18" s="5" t="inlineStr">
        <is>
          <t>01a1212c-4c04-75ce-bbb2-e3322e18816e</t>
        </is>
      </c>
      <c r="M18" t="inlineStr">
        <is>
          <t>UNKNOWN</t>
        </is>
      </c>
      <c r="N18" t="inlineStr">
        <is>
          <t>DEFAULT</t>
        </is>
      </c>
      <c r="Q18" t="n">
        <v>0</v>
      </c>
      <c r="R18" t="inlineStr">
        <is>
          <t>AUD</t>
        </is>
      </c>
      <c r="S18" t="n">
        <v>0</v>
      </c>
      <c r="T18" t="inlineStr">
        <is>
          <t>AUD</t>
        </is>
      </c>
      <c r="U18" t="n">
        <v>0</v>
      </c>
    </row>
    <row r="19">
      <c r="A19" s="5" t="inlineStr">
        <is>
          <t>01a1212c-4e3a-70bc-bb0c-42443bd4c082</t>
        </is>
      </c>
      <c r="C19" s="5" t="inlineStr">
        <is>
          <t>01a1212c-4b57-70cf-80fd-c2192cb3bf81</t>
        </is>
      </c>
      <c r="D19" s="4" t="n">
        <v>46304.6240066001</v>
      </c>
      <c r="E19" s="4" t="n">
        <v>46304.62400660024</v>
      </c>
      <c r="F19" t="b">
        <v>1</v>
      </c>
      <c r="G19" t="n">
        <v/>
      </c>
      <c r="H19" t="inlineStr">
        <is>
          <t>REA</t>
        </is>
      </c>
      <c r="I19" t="inlineStr">
        <is>
          <t>REA Group Ltd</t>
        </is>
      </c>
      <c r="J19" t="inlineStr">
        <is>
          <t>AUD</t>
        </is>
      </c>
      <c r="K19" s="5" t="inlineStr">
        <is>
          <t>01a1212c-4c04-75ce-bbb2-e3322e18816e</t>
        </is>
      </c>
      <c r="M19" t="inlineStr">
        <is>
          <t>UNKNOWN</t>
        </is>
      </c>
      <c r="N19" t="inlineStr">
        <is>
          <t>DEFAULT</t>
        </is>
      </c>
      <c r="Q19" t="n">
        <v>0</v>
      </c>
      <c r="R19" t="inlineStr">
        <is>
          <t>AUD</t>
        </is>
      </c>
      <c r="S19" t="n">
        <v>0</v>
      </c>
      <c r="T19" t="inlineStr">
        <is>
          <t>AUD</t>
        </is>
      </c>
      <c r="U19" t="n">
        <v>0</v>
      </c>
    </row>
    <row r="20">
      <c r="A20" s="5" t="inlineStr">
        <is>
          <t>01a1212c-4e3d-720d-b2b2-65a836965702</t>
        </is>
      </c>
      <c r="C20" s="5" t="inlineStr">
        <is>
          <t>01a1212c-4b57-70cf-80fd-c2192cb3bf81</t>
        </is>
      </c>
      <c r="D20" s="4" t="n">
        <v>46304.6240066351</v>
      </c>
      <c r="E20" s="4" t="n">
        <v>46304.62400663517</v>
      </c>
      <c r="F20" t="b">
        <v>1</v>
      </c>
      <c r="G20" t="n">
        <v/>
      </c>
      <c r="H20" t="inlineStr">
        <is>
          <t>QBE</t>
        </is>
      </c>
      <c r="I20" t="inlineStr">
        <is>
          <t>QBE Insurance Group Ltd</t>
        </is>
      </c>
      <c r="J20" t="inlineStr">
        <is>
          <t>AUD</t>
        </is>
      </c>
      <c r="K20" s="5" t="inlineStr">
        <is>
          <t>01a1212c-4c04-75ce-bbb2-e3322e18816e</t>
        </is>
      </c>
      <c r="M20" t="inlineStr">
        <is>
          <t>UNKNOWN</t>
        </is>
      </c>
      <c r="N20" t="inlineStr">
        <is>
          <t>DEFAULT</t>
        </is>
      </c>
      <c r="Q20" t="n">
        <v>0</v>
      </c>
      <c r="R20" t="inlineStr">
        <is>
          <t>AUD</t>
        </is>
      </c>
      <c r="S20" t="n">
        <v>0</v>
      </c>
      <c r="T20" t="inlineStr">
        <is>
          <t>AUD</t>
        </is>
      </c>
      <c r="U20" t="n">
        <v>0</v>
      </c>
    </row>
    <row r="21">
      <c r="A21" s="5" t="inlineStr">
        <is>
          <t>01a1212c-4e3f-72f5-abe8-8c002dc8c501</t>
        </is>
      </c>
      <c r="C21" s="5" t="inlineStr">
        <is>
          <t>01a1212c-4b57-70cf-80fd-c2192cb3bf81</t>
        </is>
      </c>
      <c r="D21" s="4" t="n">
        <v>46304.62400666631</v>
      </c>
      <c r="E21" s="4" t="n">
        <v>46304.62400666639</v>
      </c>
      <c r="F21" t="b">
        <v>1</v>
      </c>
      <c r="G21" t="n">
        <v/>
      </c>
      <c r="H21" t="inlineStr">
        <is>
          <t>PME</t>
        </is>
      </c>
      <c r="I21" t="inlineStr">
        <is>
          <t>Pro Medicus Ltd</t>
        </is>
      </c>
      <c r="J21" t="inlineStr">
        <is>
          <t>AUD</t>
        </is>
      </c>
      <c r="K21" s="5" t="inlineStr">
        <is>
          <t>01a1212c-4c04-75ce-bbb2-e3322e18816e</t>
        </is>
      </c>
      <c r="M21" t="inlineStr">
        <is>
          <t>UNKNOWN</t>
        </is>
      </c>
      <c r="N21" t="inlineStr">
        <is>
          <t>DEFAULT</t>
        </is>
      </c>
      <c r="Q21" t="n">
        <v>0</v>
      </c>
      <c r="R21" t="inlineStr">
        <is>
          <t>AUD</t>
        </is>
      </c>
      <c r="S21" t="n">
        <v>0</v>
      </c>
      <c r="T21" t="inlineStr">
        <is>
          <t>AUD</t>
        </is>
      </c>
      <c r="U21" t="n">
        <v>0</v>
      </c>
    </row>
    <row r="22">
      <c r="A22" s="5" t="inlineStr">
        <is>
          <t>01a1212c-4e42-779e-ac97-b590978b2d18</t>
        </is>
      </c>
      <c r="C22" s="5" t="inlineStr">
        <is>
          <t>01a1212c-4b57-70cf-80fd-c2192cb3bf81</t>
        </is>
      </c>
      <c r="D22" s="4" t="n">
        <v>46304.6240066976</v>
      </c>
      <c r="E22" s="4" t="n">
        <v>46304.62400669768</v>
      </c>
      <c r="F22" t="b">
        <v>1</v>
      </c>
      <c r="G22" t="n">
        <v/>
      </c>
      <c r="H22" t="inlineStr">
        <is>
          <t>BXB</t>
        </is>
      </c>
      <c r="I22" t="inlineStr">
        <is>
          <t>Brambles Ltd</t>
        </is>
      </c>
      <c r="J22" t="inlineStr">
        <is>
          <t>AUD</t>
        </is>
      </c>
      <c r="K22" s="5" t="inlineStr">
        <is>
          <t>01a1212c-4c04-75ce-bbb2-e3322e18816e</t>
        </is>
      </c>
      <c r="M22" t="inlineStr">
        <is>
          <t>UNKNOWN</t>
        </is>
      </c>
      <c r="N22" t="inlineStr">
        <is>
          <t>DEFAULT</t>
        </is>
      </c>
      <c r="Q22" t="n">
        <v>0</v>
      </c>
      <c r="R22" t="inlineStr">
        <is>
          <t>AUD</t>
        </is>
      </c>
      <c r="S22" t="n">
        <v>0</v>
      </c>
      <c r="T22" t="inlineStr">
        <is>
          <t>AUD</t>
        </is>
      </c>
      <c r="U22" t="n">
        <v>0</v>
      </c>
    </row>
    <row r="23">
      <c r="A23" s="5" t="inlineStr">
        <is>
          <t>01a1212c-4e45-72a3-8963-97956c5f3161</t>
        </is>
      </c>
      <c r="C23" s="5" t="inlineStr">
        <is>
          <t>01a1212c-4b57-70cf-80fd-c2192cb3bf81</t>
        </is>
      </c>
      <c r="D23" s="4" t="n">
        <v>46304.62400672848</v>
      </c>
      <c r="E23" s="4" t="n">
        <v>46304.62400672855</v>
      </c>
      <c r="F23" t="b">
        <v>1</v>
      </c>
      <c r="G23" t="n">
        <v/>
      </c>
      <c r="H23" t="inlineStr">
        <is>
          <t>XRO</t>
        </is>
      </c>
      <c r="I23" t="inlineStr">
        <is>
          <t>Xero Ltd</t>
        </is>
      </c>
      <c r="J23" t="inlineStr">
        <is>
          <t>AUD</t>
        </is>
      </c>
      <c r="K23" s="5" t="inlineStr">
        <is>
          <t>01a1212c-4c04-75ce-bbb2-e3322e18816e</t>
        </is>
      </c>
      <c r="M23" t="inlineStr">
        <is>
          <t>UNKNOWN</t>
        </is>
      </c>
      <c r="N23" t="inlineStr">
        <is>
          <t>DEFAULT</t>
        </is>
      </c>
      <c r="Q23" t="n">
        <v>0</v>
      </c>
      <c r="R23" t="inlineStr">
        <is>
          <t>AUD</t>
        </is>
      </c>
      <c r="S23" t="n">
        <v>0</v>
      </c>
      <c r="T23" t="inlineStr">
        <is>
          <t>AUD</t>
        </is>
      </c>
      <c r="U23" t="n">
        <v>0</v>
      </c>
    </row>
    <row r="24">
      <c r="A24" s="5" t="inlineStr">
        <is>
          <t>01a1212c-4e48-7449-b331-6fa06c59cffa</t>
        </is>
      </c>
      <c r="C24" s="5" t="inlineStr">
        <is>
          <t>01a1212c-4b57-70cf-80fd-c2192cb3bf81</t>
        </is>
      </c>
      <c r="D24" s="4" t="n">
        <v>46304.62400676098</v>
      </c>
      <c r="E24" s="4" t="n">
        <v>46304.62400676106</v>
      </c>
      <c r="F24" t="b">
        <v>1</v>
      </c>
      <c r="G24" t="n">
        <v/>
      </c>
      <c r="H24" t="inlineStr">
        <is>
          <t>COL</t>
        </is>
      </c>
      <c r="I24" t="inlineStr">
        <is>
          <t>Coles Group Ltd</t>
        </is>
      </c>
      <c r="J24" t="inlineStr">
        <is>
          <t>AUD</t>
        </is>
      </c>
      <c r="K24" s="5" t="inlineStr">
        <is>
          <t>01a1212c-4c04-75ce-bbb2-e3322e18816e</t>
        </is>
      </c>
      <c r="M24" t="inlineStr">
        <is>
          <t>UNKNOWN</t>
        </is>
      </c>
      <c r="N24" t="inlineStr">
        <is>
          <t>DEFAULT</t>
        </is>
      </c>
      <c r="Q24" t="n">
        <v>0</v>
      </c>
      <c r="R24" t="inlineStr">
        <is>
          <t>AUD</t>
        </is>
      </c>
      <c r="S24" t="n">
        <v>0</v>
      </c>
      <c r="T24" t="inlineStr">
        <is>
          <t>AUD</t>
        </is>
      </c>
      <c r="U24" t="n">
        <v>0</v>
      </c>
    </row>
    <row r="25">
      <c r="A25" s="5" t="inlineStr">
        <is>
          <t>01a1212c-4e4b-75d1-8d5b-fc8112fc6b28</t>
        </is>
      </c>
      <c r="C25" s="5" t="inlineStr">
        <is>
          <t>01a1212c-4b57-70cf-80fd-c2192cb3bf81</t>
        </is>
      </c>
      <c r="D25" s="4" t="n">
        <v>46304.62400679811</v>
      </c>
      <c r="E25" s="4" t="n">
        <v>46304.62400679821</v>
      </c>
      <c r="F25" t="b">
        <v>1</v>
      </c>
      <c r="G25" t="n">
        <v/>
      </c>
      <c r="H25" t="inlineStr">
        <is>
          <t>SUN</t>
        </is>
      </c>
      <c r="I25" t="inlineStr">
        <is>
          <t>Suncorp Group Ltd</t>
        </is>
      </c>
      <c r="J25" t="inlineStr">
        <is>
          <t>AUD</t>
        </is>
      </c>
      <c r="K25" s="5" t="inlineStr">
        <is>
          <t>01a1212c-4c04-75ce-bbb2-e3322e18816e</t>
        </is>
      </c>
      <c r="M25" t="inlineStr">
        <is>
          <t>UNKNOWN</t>
        </is>
      </c>
      <c r="N25" t="inlineStr">
        <is>
          <t>DEFAULT</t>
        </is>
      </c>
      <c r="Q25" t="n">
        <v>0</v>
      </c>
      <c r="R25" t="inlineStr">
        <is>
          <t>AUD</t>
        </is>
      </c>
      <c r="S25" t="n">
        <v>0</v>
      </c>
      <c r="T25" t="inlineStr">
        <is>
          <t>AUD</t>
        </is>
      </c>
      <c r="U25" t="n">
        <v>0</v>
      </c>
    </row>
    <row r="26">
      <c r="A26" s="5" t="inlineStr">
        <is>
          <t>01a1212c-4e4e-75a1-8f35-95f4e5270bbb</t>
        </is>
      </c>
      <c r="C26" s="5" t="inlineStr">
        <is>
          <t>01a1212c-4b57-70cf-80fd-c2192cb3bf81</t>
        </is>
      </c>
      <c r="D26" s="4" t="n">
        <v>46304.62400683912</v>
      </c>
      <c r="E26" s="4" t="n">
        <v>46304.6240068392</v>
      </c>
      <c r="F26" t="b">
        <v>1</v>
      </c>
      <c r="G26" t="n">
        <v/>
      </c>
      <c r="H26" t="inlineStr">
        <is>
          <t>RMD</t>
        </is>
      </c>
      <c r="I26" t="inlineStr">
        <is>
          <t>Resmed Inc</t>
        </is>
      </c>
      <c r="J26" t="inlineStr">
        <is>
          <t>AUD</t>
        </is>
      </c>
      <c r="K26" s="5" t="inlineStr">
        <is>
          <t>01a1212c-4c04-75ce-bbb2-e3322e18816e</t>
        </is>
      </c>
      <c r="M26" t="inlineStr">
        <is>
          <t>UNKNOWN</t>
        </is>
      </c>
      <c r="N26" t="inlineStr">
        <is>
          <t>DEFAULT</t>
        </is>
      </c>
      <c r="Q26" t="n">
        <v>0</v>
      </c>
      <c r="R26" t="inlineStr">
        <is>
          <t>AUD</t>
        </is>
      </c>
      <c r="S26" t="n">
        <v>0</v>
      </c>
      <c r="T26" t="inlineStr">
        <is>
          <t>AUD</t>
        </is>
      </c>
      <c r="U26" t="n">
        <v>0</v>
      </c>
    </row>
    <row r="27">
      <c r="A27" s="5" t="inlineStr">
        <is>
          <t>01a1212c-4e51-7237-bf0d-cd17f576dde1</t>
        </is>
      </c>
      <c r="C27" s="5" t="inlineStr">
        <is>
          <t>01a1212c-4b57-70cf-80fd-c2192cb3bf81</t>
        </is>
      </c>
      <c r="D27" s="4" t="n">
        <v>46304.62400687051</v>
      </c>
      <c r="E27" s="4" t="n">
        <v>46304.62400687059</v>
      </c>
      <c r="F27" t="b">
        <v>1</v>
      </c>
      <c r="G27" t="n">
        <v/>
      </c>
      <c r="H27" t="inlineStr">
        <is>
          <t>STO</t>
        </is>
      </c>
      <c r="I27" t="inlineStr">
        <is>
          <t>Santos Ltd</t>
        </is>
      </c>
      <c r="J27" t="inlineStr">
        <is>
          <t>AUD</t>
        </is>
      </c>
      <c r="K27" s="5" t="inlineStr">
        <is>
          <t>01a1212c-4c04-75ce-bbb2-e3322e18816e</t>
        </is>
      </c>
      <c r="M27" t="inlineStr">
        <is>
          <t>UNKNOWN</t>
        </is>
      </c>
      <c r="N27" t="inlineStr">
        <is>
          <t>DEFAULT</t>
        </is>
      </c>
      <c r="Q27" t="n">
        <v>0</v>
      </c>
      <c r="R27" t="inlineStr">
        <is>
          <t>AUD</t>
        </is>
      </c>
      <c r="S27" t="n">
        <v>0</v>
      </c>
      <c r="T27" t="inlineStr">
        <is>
          <t>AUD</t>
        </is>
      </c>
      <c r="U27" t="n">
        <v>0</v>
      </c>
    </row>
    <row r="28">
      <c r="A28" s="5" t="inlineStr">
        <is>
          <t>01a1212c-4e54-7526-ae06-324b0e36faa0</t>
        </is>
      </c>
      <c r="C28" s="5" t="inlineStr">
        <is>
          <t>01a1212c-4b57-70cf-80fd-c2192cb3bf81</t>
        </is>
      </c>
      <c r="D28" s="4" t="n">
        <v>46304.62400690337</v>
      </c>
      <c r="E28" s="4" t="n">
        <v>46304.62400690345</v>
      </c>
      <c r="F28" t="b">
        <v>1</v>
      </c>
      <c r="G28" t="n">
        <v/>
      </c>
      <c r="H28" t="inlineStr">
        <is>
          <t>JHX</t>
        </is>
      </c>
      <c r="I28" t="inlineStr">
        <is>
          <t>James Hardie Industries Plc</t>
        </is>
      </c>
      <c r="J28" t="inlineStr">
        <is>
          <t>AUD</t>
        </is>
      </c>
      <c r="K28" s="5" t="inlineStr">
        <is>
          <t>01a1212c-4c04-75ce-bbb2-e3322e18816e</t>
        </is>
      </c>
      <c r="M28" t="inlineStr">
        <is>
          <t>UNKNOWN</t>
        </is>
      </c>
      <c r="N28" t="inlineStr">
        <is>
          <t>DEFAULT</t>
        </is>
      </c>
      <c r="Q28" t="n">
        <v>0</v>
      </c>
      <c r="R28" t="inlineStr">
        <is>
          <t>AUD</t>
        </is>
      </c>
      <c r="S28" t="n">
        <v>0</v>
      </c>
      <c r="T28" t="inlineStr">
        <is>
          <t>AUD</t>
        </is>
      </c>
      <c r="U28" t="n">
        <v>0</v>
      </c>
    </row>
    <row r="29">
      <c r="A29" s="5" t="inlineStr">
        <is>
          <t>01a1212c-4e57-72a9-b4bf-ca960b1b52a6</t>
        </is>
      </c>
      <c r="C29" s="5" t="inlineStr">
        <is>
          <t>01a1212c-4b57-70cf-80fd-c2192cb3bf81</t>
        </is>
      </c>
      <c r="D29" s="4" t="n">
        <v>46304.62400693461</v>
      </c>
      <c r="E29" s="4" t="n">
        <v>46304.62400693469</v>
      </c>
      <c r="F29" t="b">
        <v>1</v>
      </c>
      <c r="G29" t="n">
        <v/>
      </c>
      <c r="H29" t="inlineStr">
        <is>
          <t>IAG</t>
        </is>
      </c>
      <c r="I29" t="inlineStr">
        <is>
          <t>Insurance Australia Group Ltd</t>
        </is>
      </c>
      <c r="J29" t="inlineStr">
        <is>
          <t>AUD</t>
        </is>
      </c>
      <c r="K29" s="5" t="inlineStr">
        <is>
          <t>01a1212c-4c04-75ce-bbb2-e3322e18816e</t>
        </is>
      </c>
      <c r="M29" t="inlineStr">
        <is>
          <t>UNKNOWN</t>
        </is>
      </c>
      <c r="N29" t="inlineStr">
        <is>
          <t>DEFAULT</t>
        </is>
      </c>
      <c r="Q29" t="n">
        <v>0</v>
      </c>
      <c r="R29" t="inlineStr">
        <is>
          <t>AUD</t>
        </is>
      </c>
      <c r="S29" t="n">
        <v>0</v>
      </c>
      <c r="T29" t="inlineStr">
        <is>
          <t>AUD</t>
        </is>
      </c>
      <c r="U29" t="n">
        <v>0</v>
      </c>
    </row>
    <row r="30">
      <c r="A30" s="5" t="inlineStr">
        <is>
          <t>01a1212c-4e59-7337-9707-a0a01516ee4f</t>
        </is>
      </c>
      <c r="C30" s="5" t="inlineStr">
        <is>
          <t>01a1212c-4b57-70cf-80fd-c2192cb3bf81</t>
        </is>
      </c>
      <c r="D30" s="4" t="n">
        <v>46304.6240069662</v>
      </c>
      <c r="E30" s="4" t="n">
        <v>46304.6240069663</v>
      </c>
      <c r="F30" t="b">
        <v>1</v>
      </c>
      <c r="G30" t="n">
        <v/>
      </c>
      <c r="H30" t="inlineStr">
        <is>
          <t>COH</t>
        </is>
      </c>
      <c r="I30" t="inlineStr">
        <is>
          <t>Cochlear Ltd</t>
        </is>
      </c>
      <c r="J30" t="inlineStr">
        <is>
          <t>AUD</t>
        </is>
      </c>
      <c r="K30" s="5" t="inlineStr">
        <is>
          <t>01a1212c-4c04-75ce-bbb2-e3322e18816e</t>
        </is>
      </c>
      <c r="M30" t="inlineStr">
        <is>
          <t>UNKNOWN</t>
        </is>
      </c>
      <c r="N30" t="inlineStr">
        <is>
          <t>DEFAULT</t>
        </is>
      </c>
      <c r="Q30" t="n">
        <v>0</v>
      </c>
      <c r="R30" t="inlineStr">
        <is>
          <t>AUD</t>
        </is>
      </c>
      <c r="S30" t="n">
        <v>0</v>
      </c>
      <c r="T30" t="inlineStr">
        <is>
          <t>AUD</t>
        </is>
      </c>
      <c r="U30" t="n">
        <v>0</v>
      </c>
    </row>
    <row r="31">
      <c r="A31" s="5" t="inlineStr">
        <is>
          <t>01a1212c-4e5c-737f-9687-26b8b9ac5abc</t>
        </is>
      </c>
      <c r="C31" s="5" t="inlineStr">
        <is>
          <t>01a1212c-4b57-70cf-80fd-c2192cb3bf81</t>
        </is>
      </c>
      <c r="D31" s="4" t="n">
        <v>46304.62400699798</v>
      </c>
      <c r="E31" s="4" t="n">
        <v>46304.62400699807</v>
      </c>
      <c r="F31" t="b">
        <v>1</v>
      </c>
      <c r="G31" t="n">
        <v/>
      </c>
      <c r="H31" t="inlineStr">
        <is>
          <t>FPH</t>
        </is>
      </c>
      <c r="I31" t="inlineStr">
        <is>
          <t>Fisher &amp; Paykel Healthcare Corporation Ltd</t>
        </is>
      </c>
      <c r="J31" t="inlineStr">
        <is>
          <t>AUD</t>
        </is>
      </c>
      <c r="K31" s="5" t="inlineStr">
        <is>
          <t>01a1212c-4c04-75ce-bbb2-e3322e18816e</t>
        </is>
      </c>
      <c r="M31" t="inlineStr">
        <is>
          <t>UNKNOWN</t>
        </is>
      </c>
      <c r="N31" t="inlineStr">
        <is>
          <t>DEFAULT</t>
        </is>
      </c>
      <c r="Q31" t="n">
        <v>0</v>
      </c>
      <c r="R31" t="inlineStr">
        <is>
          <t>AUD</t>
        </is>
      </c>
      <c r="S31" t="n">
        <v>0</v>
      </c>
      <c r="T31" t="inlineStr">
        <is>
          <t>AUD</t>
        </is>
      </c>
      <c r="U31" t="n">
        <v>0</v>
      </c>
    </row>
    <row r="32">
      <c r="A32" s="5" t="inlineStr">
        <is>
          <t>01a1212c-4e5f-74b5-9f95-554b3e713982</t>
        </is>
      </c>
      <c r="C32" s="5" t="inlineStr">
        <is>
          <t>01a1212c-4b57-70cf-80fd-c2192cb3bf81</t>
        </is>
      </c>
      <c r="D32" s="4" t="n">
        <v>46304.62400702823</v>
      </c>
      <c r="E32" s="4" t="n">
        <v>46304.6240070283</v>
      </c>
      <c r="F32" t="b">
        <v>1</v>
      </c>
      <c r="G32" t="n">
        <v/>
      </c>
      <c r="H32" t="inlineStr">
        <is>
          <t>CPU</t>
        </is>
      </c>
      <c r="I32" t="inlineStr">
        <is>
          <t>Computershare Ltd</t>
        </is>
      </c>
      <c r="J32" t="inlineStr">
        <is>
          <t>AUD</t>
        </is>
      </c>
      <c r="K32" s="5" t="inlineStr">
        <is>
          <t>01a1212c-4c04-75ce-bbb2-e3322e18816e</t>
        </is>
      </c>
      <c r="M32" t="inlineStr">
        <is>
          <t>UNKNOWN</t>
        </is>
      </c>
      <c r="N32" t="inlineStr">
        <is>
          <t>DEFAULT</t>
        </is>
      </c>
      <c r="Q32" t="n">
        <v>0</v>
      </c>
      <c r="R32" t="inlineStr">
        <is>
          <t>AUD</t>
        </is>
      </c>
      <c r="S32" t="n">
        <v>0</v>
      </c>
      <c r="T32" t="inlineStr">
        <is>
          <t>AUD</t>
        </is>
      </c>
      <c r="U32" t="n">
        <v>0</v>
      </c>
    </row>
    <row r="33">
      <c r="A33" s="5" t="inlineStr">
        <is>
          <t>01a1212c-4e61-7207-9ed5-827bf05ab947</t>
        </is>
      </c>
      <c r="C33" s="5" t="inlineStr">
        <is>
          <t>01a1212c-4b57-70cf-80fd-c2192cb3bf81</t>
        </is>
      </c>
      <c r="D33" s="4" t="n">
        <v>46304.6240070608</v>
      </c>
      <c r="E33" s="4" t="n">
        <v>46304.62400706088</v>
      </c>
      <c r="F33" t="b">
        <v>1</v>
      </c>
      <c r="G33" t="n">
        <v/>
      </c>
      <c r="H33" t="inlineStr">
        <is>
          <t>NST</t>
        </is>
      </c>
      <c r="I33" t="inlineStr">
        <is>
          <t>Northern Star Resources Ltd</t>
        </is>
      </c>
      <c r="J33" t="inlineStr">
        <is>
          <t>AUD</t>
        </is>
      </c>
      <c r="K33" s="5" t="inlineStr">
        <is>
          <t>01a1212c-4c04-75ce-bbb2-e3322e18816e</t>
        </is>
      </c>
      <c r="M33" t="inlineStr">
        <is>
          <t>UNKNOWN</t>
        </is>
      </c>
      <c r="N33" t="inlineStr">
        <is>
          <t>DEFAULT</t>
        </is>
      </c>
      <c r="Q33" t="n">
        <v>0</v>
      </c>
      <c r="R33" t="inlineStr">
        <is>
          <t>AUD</t>
        </is>
      </c>
      <c r="S33" t="n">
        <v>0</v>
      </c>
      <c r="T33" t="inlineStr">
        <is>
          <t>AUD</t>
        </is>
      </c>
      <c r="U33" t="n">
        <v>0</v>
      </c>
    </row>
    <row r="34">
      <c r="A34" s="5" t="inlineStr">
        <is>
          <t>01a1212c-4e64-71f1-9d05-d2d54057070f</t>
        </is>
      </c>
      <c r="C34" s="5" t="inlineStr">
        <is>
          <t>01a1212c-4b57-70cf-80fd-c2192cb3bf81</t>
        </is>
      </c>
      <c r="D34" s="4" t="n">
        <v>46304.62400709077</v>
      </c>
      <c r="E34" s="4" t="n">
        <v>46304.62400709085</v>
      </c>
      <c r="F34" t="b">
        <v>1</v>
      </c>
      <c r="G34" t="n">
        <v/>
      </c>
      <c r="H34" t="inlineStr">
        <is>
          <t>ORG</t>
        </is>
      </c>
      <c r="I34" t="inlineStr">
        <is>
          <t>Origin Energy Ltd</t>
        </is>
      </c>
      <c r="J34" t="inlineStr">
        <is>
          <t>AUD</t>
        </is>
      </c>
      <c r="K34" s="5" t="inlineStr">
        <is>
          <t>01a1212c-4c04-75ce-bbb2-e3322e18816e</t>
        </is>
      </c>
      <c r="M34" t="inlineStr">
        <is>
          <t>UNKNOWN</t>
        </is>
      </c>
      <c r="N34" t="inlineStr">
        <is>
          <t>DEFAULT</t>
        </is>
      </c>
      <c r="Q34" t="n">
        <v>0</v>
      </c>
      <c r="R34" t="inlineStr">
        <is>
          <t>AUD</t>
        </is>
      </c>
      <c r="S34" t="n">
        <v>0</v>
      </c>
      <c r="T34" t="inlineStr">
        <is>
          <t>AUD</t>
        </is>
      </c>
      <c r="U34" t="n">
        <v>0</v>
      </c>
    </row>
    <row r="35">
      <c r="A35" s="5" t="inlineStr">
        <is>
          <t>01a1212c-4e67-7062-9e11-85b782b166f7</t>
        </is>
      </c>
      <c r="C35" s="5" t="inlineStr">
        <is>
          <t>01a1212c-4b57-70cf-80fd-c2192cb3bf81</t>
        </is>
      </c>
      <c r="D35" s="4" t="n">
        <v>46304.62400712089</v>
      </c>
      <c r="E35" s="4" t="n">
        <v>46304.62400712097</v>
      </c>
      <c r="F35" t="b">
        <v>1</v>
      </c>
      <c r="G35" t="n">
        <v/>
      </c>
      <c r="H35" t="inlineStr">
        <is>
          <t>SGH</t>
        </is>
      </c>
      <c r="I35" t="inlineStr">
        <is>
          <t>SGH Ltd</t>
        </is>
      </c>
      <c r="J35" t="inlineStr">
        <is>
          <t>AUD</t>
        </is>
      </c>
      <c r="K35" s="5" t="inlineStr">
        <is>
          <t>01a1212c-4c04-75ce-bbb2-e3322e18816e</t>
        </is>
      </c>
      <c r="M35" t="inlineStr">
        <is>
          <t>UNKNOWN</t>
        </is>
      </c>
      <c r="N35" t="inlineStr">
        <is>
          <t>DEFAULT</t>
        </is>
      </c>
      <c r="Q35" t="n">
        <v>0</v>
      </c>
      <c r="R35" t="inlineStr">
        <is>
          <t>AUD</t>
        </is>
      </c>
      <c r="S35" t="n">
        <v>0</v>
      </c>
      <c r="T35" t="inlineStr">
        <is>
          <t>AUD</t>
        </is>
      </c>
      <c r="U35" t="n">
        <v>0</v>
      </c>
    </row>
    <row r="36">
      <c r="A36" s="5" t="inlineStr">
        <is>
          <t>01a1212c-4e69-7235-b2ac-5c0d34db776d</t>
        </is>
      </c>
      <c r="C36" s="5" t="inlineStr">
        <is>
          <t>01a1212c-4b57-70cf-80fd-c2192cb3bf81</t>
        </is>
      </c>
      <c r="D36" s="4" t="n">
        <v>46304.62400715426</v>
      </c>
      <c r="E36" s="4" t="n">
        <v>46304.62400715437</v>
      </c>
      <c r="F36" t="b">
        <v>1</v>
      </c>
      <c r="G36" t="n">
        <v/>
      </c>
      <c r="H36" t="inlineStr">
        <is>
          <t>SCG</t>
        </is>
      </c>
      <c r="I36" t="inlineStr">
        <is>
          <t>Scentre Group</t>
        </is>
      </c>
      <c r="J36" t="inlineStr">
        <is>
          <t>AUD</t>
        </is>
      </c>
      <c r="K36" s="5" t="inlineStr">
        <is>
          <t>01a1212c-4c04-75ce-bbb2-e3322e18816e</t>
        </is>
      </c>
      <c r="M36" t="inlineStr">
        <is>
          <t>STAPLED</t>
        </is>
      </c>
      <c r="N36" t="inlineStr">
        <is>
          <t>SUGGESTED</t>
        </is>
      </c>
      <c r="Q36" t="n">
        <v>0</v>
      </c>
      <c r="R36" t="inlineStr">
        <is>
          <t>AUD</t>
        </is>
      </c>
      <c r="S36" t="n">
        <v>0</v>
      </c>
      <c r="T36" t="inlineStr">
        <is>
          <t>AUD</t>
        </is>
      </c>
      <c r="U36" t="n">
        <v>0</v>
      </c>
    </row>
    <row r="37">
      <c r="A37" s="5" t="inlineStr">
        <is>
          <t>01a1212c-4e6e-705c-ba10-2606101ed381</t>
        </is>
      </c>
      <c r="C37" s="5" t="inlineStr">
        <is>
          <t>01a1212c-4b57-70cf-80fd-c2192cb3bf81</t>
        </is>
      </c>
      <c r="D37" s="4" t="n">
        <v>46304.62400720468</v>
      </c>
      <c r="E37" s="4" t="n">
        <v>46304.62419476965</v>
      </c>
      <c r="F37" t="b">
        <v>1</v>
      </c>
      <c r="G37" t="n">
        <v/>
      </c>
      <c r="H37" t="inlineStr">
        <is>
          <t>VAS</t>
        </is>
      </c>
      <c r="I37" t="inlineStr">
        <is>
          <t>Vanguard Australian Shares INDEX ETF</t>
        </is>
      </c>
      <c r="J37" t="inlineStr">
        <is>
          <t>AUD</t>
        </is>
      </c>
      <c r="K37" s="5" t="inlineStr">
        <is>
          <t>01a1212c-4c04-75ce-bbb2-e3322e18816e</t>
        </is>
      </c>
      <c r="M37" t="inlineStr">
        <is>
          <t>UNIT_TRUST</t>
        </is>
      </c>
      <c r="N37" t="inlineStr">
        <is>
          <t>SUGGESTED</t>
        </is>
      </c>
      <c r="Q37" t="n">
        <v>0</v>
      </c>
      <c r="R37" t="inlineStr">
        <is>
          <t>AUD</t>
        </is>
      </c>
      <c r="S37" t="n">
        <v>0</v>
      </c>
      <c r="T37" t="inlineStr">
        <is>
          <t>AUD</t>
        </is>
      </c>
      <c r="U37" t="n">
        <v>0</v>
      </c>
    </row>
    <row r="38">
      <c r="A38" s="5" t="inlineStr">
        <is>
          <t>01a1212c-4e71-76d5-a941-1d22c77ad26d</t>
        </is>
      </c>
      <c r="C38" s="5" t="inlineStr">
        <is>
          <t>01a1212c-4b57-70cf-80fd-c2192cb3bf81</t>
        </is>
      </c>
      <c r="D38" s="4" t="n">
        <v>46304.62400724056</v>
      </c>
      <c r="E38" s="4" t="n">
        <v>46304.62400724064</v>
      </c>
      <c r="F38" t="b">
        <v>1</v>
      </c>
      <c r="G38" t="n">
        <v/>
      </c>
      <c r="H38" t="inlineStr">
        <is>
          <t>S32</t>
        </is>
      </c>
      <c r="I38" t="inlineStr">
        <is>
          <t>SOUTH32 Ltd</t>
        </is>
      </c>
      <c r="J38" t="inlineStr">
        <is>
          <t>AUD</t>
        </is>
      </c>
      <c r="K38" s="5" t="inlineStr">
        <is>
          <t>01a1212c-4c04-75ce-bbb2-e3322e18816e</t>
        </is>
      </c>
      <c r="M38" t="inlineStr">
        <is>
          <t>UNKNOWN</t>
        </is>
      </c>
      <c r="N38" t="inlineStr">
        <is>
          <t>DEFAULT</t>
        </is>
      </c>
      <c r="Q38" t="n">
        <v>0</v>
      </c>
      <c r="R38" t="inlineStr">
        <is>
          <t>AUD</t>
        </is>
      </c>
      <c r="S38" t="n">
        <v>0</v>
      </c>
      <c r="T38" t="inlineStr">
        <is>
          <t>AUD</t>
        </is>
      </c>
      <c r="U38" t="n">
        <v>0</v>
      </c>
    </row>
    <row r="39">
      <c r="A39" s="5" t="inlineStr">
        <is>
          <t>01a1212c-4e74-73b2-9a18-3ede048a90af</t>
        </is>
      </c>
      <c r="C39" s="5" t="inlineStr">
        <is>
          <t>01a1212c-4b57-70cf-80fd-c2192cb3bf81</t>
        </is>
      </c>
      <c r="D39" s="4" t="n">
        <v>46304.62400727341</v>
      </c>
      <c r="E39" s="4" t="n">
        <v>46304.62400727349</v>
      </c>
      <c r="F39" t="b">
        <v>1</v>
      </c>
      <c r="G39" t="n">
        <v/>
      </c>
      <c r="H39" t="inlineStr">
        <is>
          <t>REH</t>
        </is>
      </c>
      <c r="I39" t="inlineStr">
        <is>
          <t>Reece Ltd</t>
        </is>
      </c>
      <c r="J39" t="inlineStr">
        <is>
          <t>AUD</t>
        </is>
      </c>
      <c r="K39" s="5" t="inlineStr">
        <is>
          <t>01a1212c-4c04-75ce-bbb2-e3322e18816e</t>
        </is>
      </c>
      <c r="M39" t="inlineStr">
        <is>
          <t>UNKNOWN</t>
        </is>
      </c>
      <c r="N39" t="inlineStr">
        <is>
          <t>DEFAULT</t>
        </is>
      </c>
      <c r="Q39" t="n">
        <v>0</v>
      </c>
      <c r="R39" t="inlineStr">
        <is>
          <t>AUD</t>
        </is>
      </c>
      <c r="S39" t="n">
        <v>0</v>
      </c>
      <c r="T39" t="inlineStr">
        <is>
          <t>AUD</t>
        </is>
      </c>
      <c r="U39" t="n">
        <v>0</v>
      </c>
    </row>
    <row r="40">
      <c r="A40" s="5" t="inlineStr">
        <is>
          <t>01a1212c-4e77-75ac-a147-3ab5534d2e0c</t>
        </is>
      </c>
      <c r="C40" s="5" t="inlineStr">
        <is>
          <t>01a1212c-4b57-70cf-80fd-c2192cb3bf81</t>
        </is>
      </c>
      <c r="D40" s="4" t="n">
        <v>46304.62400730651</v>
      </c>
      <c r="E40" s="4" t="n">
        <v>46304.62400730661</v>
      </c>
      <c r="F40" t="b">
        <v>1</v>
      </c>
      <c r="G40" t="n">
        <v/>
      </c>
      <c r="H40" t="inlineStr">
        <is>
          <t>CAR</t>
        </is>
      </c>
      <c r="I40" t="inlineStr">
        <is>
          <t>CAR Group Ltd</t>
        </is>
      </c>
      <c r="J40" t="inlineStr">
        <is>
          <t>AUD</t>
        </is>
      </c>
      <c r="K40" s="5" t="inlineStr">
        <is>
          <t>01a1212c-4c04-75ce-bbb2-e3322e18816e</t>
        </is>
      </c>
      <c r="M40" t="inlineStr">
        <is>
          <t>UNKNOWN</t>
        </is>
      </c>
      <c r="N40" t="inlineStr">
        <is>
          <t>DEFAULT</t>
        </is>
      </c>
      <c r="Q40" t="n">
        <v>0</v>
      </c>
      <c r="R40" t="inlineStr">
        <is>
          <t>AUD</t>
        </is>
      </c>
      <c r="S40" t="n">
        <v>0</v>
      </c>
      <c r="T40" t="inlineStr">
        <is>
          <t>AUD</t>
        </is>
      </c>
      <c r="U40" t="n">
        <v>0</v>
      </c>
    </row>
    <row r="41">
      <c r="A41" s="5" t="inlineStr">
        <is>
          <t>01a1212c-4e7a-77e9-b1eb-72712e287e4f</t>
        </is>
      </c>
      <c r="C41" s="5" t="inlineStr">
        <is>
          <t>01a1212c-4b57-70cf-80fd-c2192cb3bf81</t>
        </is>
      </c>
      <c r="D41" s="4" t="n">
        <v>46304.62400734588</v>
      </c>
      <c r="E41" s="4" t="n">
        <v>46304.62400734599</v>
      </c>
      <c r="F41" t="b">
        <v>1</v>
      </c>
      <c r="G41" t="n">
        <v/>
      </c>
      <c r="H41" t="inlineStr">
        <is>
          <t>QAN</t>
        </is>
      </c>
      <c r="I41" t="inlineStr">
        <is>
          <t>Qantas Airways Ltd</t>
        </is>
      </c>
      <c r="J41" t="inlineStr">
        <is>
          <t>AUD</t>
        </is>
      </c>
      <c r="K41" s="5" t="inlineStr">
        <is>
          <t>01a1212c-4c04-75ce-bbb2-e3322e18816e</t>
        </is>
      </c>
      <c r="M41" t="inlineStr">
        <is>
          <t>UNKNOWN</t>
        </is>
      </c>
      <c r="N41" t="inlineStr">
        <is>
          <t>DEFAULT</t>
        </is>
      </c>
      <c r="Q41" t="n">
        <v>0</v>
      </c>
      <c r="R41" t="inlineStr">
        <is>
          <t>AUD</t>
        </is>
      </c>
      <c r="S41" t="n">
        <v>0</v>
      </c>
      <c r="T41" t="inlineStr">
        <is>
          <t>AUD</t>
        </is>
      </c>
      <c r="U41" t="n">
        <v>0</v>
      </c>
    </row>
    <row r="42">
      <c r="A42" s="5" t="inlineStr">
        <is>
          <t>01a1212c-4e7d-754b-b00a-2b06b4c8d0f4</t>
        </is>
      </c>
      <c r="C42" s="5" t="inlineStr">
        <is>
          <t>01a1212c-4b57-70cf-80fd-c2192cb3bf81</t>
        </is>
      </c>
      <c r="D42" s="4" t="n">
        <v>46304.62400738114</v>
      </c>
      <c r="E42" s="4" t="n">
        <v>46304.62400738126</v>
      </c>
      <c r="F42" t="b">
        <v>1</v>
      </c>
      <c r="G42" t="n">
        <v/>
      </c>
      <c r="H42" t="inlineStr">
        <is>
          <t>PMGOLD</t>
        </is>
      </c>
      <c r="I42" t="inlineStr">
        <is>
          <t>Gold Corporation</t>
        </is>
      </c>
      <c r="J42" t="inlineStr">
        <is>
          <t>AUD</t>
        </is>
      </c>
      <c r="K42" s="5" t="inlineStr">
        <is>
          <t>01a1212c-4c04-75ce-bbb2-e3322e18816e</t>
        </is>
      </c>
      <c r="M42" t="inlineStr">
        <is>
          <t>UNKNOWN</t>
        </is>
      </c>
      <c r="N42" t="inlineStr">
        <is>
          <t>DEFAULT</t>
        </is>
      </c>
      <c r="Q42" t="n">
        <v>0</v>
      </c>
      <c r="R42" t="inlineStr">
        <is>
          <t>AUD</t>
        </is>
      </c>
      <c r="S42" t="n">
        <v>0</v>
      </c>
      <c r="T42" t="inlineStr">
        <is>
          <t>AUD</t>
        </is>
      </c>
      <c r="U42" t="n">
        <v>0</v>
      </c>
    </row>
    <row r="43">
      <c r="A43" s="5" t="inlineStr">
        <is>
          <t>01a1212c-4e80-7739-a3aa-662e7ae7a726</t>
        </is>
      </c>
      <c r="C43" s="5" t="inlineStr">
        <is>
          <t>01a1212c-4b57-70cf-80fd-c2192cb3bf81</t>
        </is>
      </c>
      <c r="D43" s="4" t="n">
        <v>46304.62400741466</v>
      </c>
      <c r="E43" s="4" t="n">
        <v>46304.62400741476</v>
      </c>
      <c r="F43" t="b">
        <v>1</v>
      </c>
      <c r="G43" t="n">
        <v/>
      </c>
      <c r="H43" t="inlineStr">
        <is>
          <t>SHL</t>
        </is>
      </c>
      <c r="I43" t="inlineStr">
        <is>
          <t>Sonic Healthcare Ltd</t>
        </is>
      </c>
      <c r="J43" t="inlineStr">
        <is>
          <t>AUD</t>
        </is>
      </c>
      <c r="K43" s="5" t="inlineStr">
        <is>
          <t>01a1212c-4c04-75ce-bbb2-e3322e18816e</t>
        </is>
      </c>
      <c r="M43" t="inlineStr">
        <is>
          <t>UNKNOWN</t>
        </is>
      </c>
      <c r="N43" t="inlineStr">
        <is>
          <t>DEFAULT</t>
        </is>
      </c>
      <c r="Q43" t="n">
        <v>0</v>
      </c>
      <c r="R43" t="inlineStr">
        <is>
          <t>AUD</t>
        </is>
      </c>
      <c r="S43" t="n">
        <v>0</v>
      </c>
      <c r="T43" t="inlineStr">
        <is>
          <t>AUD</t>
        </is>
      </c>
      <c r="U43" t="n">
        <v>0</v>
      </c>
    </row>
    <row r="44">
      <c r="A44" s="5" t="inlineStr">
        <is>
          <t>01a1212c-4e83-7026-99eb-3a1bf07f5d34</t>
        </is>
      </c>
      <c r="C44" s="5" t="inlineStr">
        <is>
          <t>01a1212c-4b57-70cf-80fd-c2192cb3bf81</t>
        </is>
      </c>
      <c r="D44" s="4" t="n">
        <v>46304.62400744867</v>
      </c>
      <c r="E44" s="4" t="n">
        <v>46304.62400744877</v>
      </c>
      <c r="F44" t="b">
        <v>1</v>
      </c>
      <c r="G44" t="n">
        <v/>
      </c>
      <c r="H44" t="inlineStr">
        <is>
          <t>AIA</t>
        </is>
      </c>
      <c r="I44" t="inlineStr">
        <is>
          <t>Auckland International Airport Ltd</t>
        </is>
      </c>
      <c r="J44" t="inlineStr">
        <is>
          <t>AUD</t>
        </is>
      </c>
      <c r="K44" s="5" t="inlineStr">
        <is>
          <t>01a1212c-4c04-75ce-bbb2-e3322e18816e</t>
        </is>
      </c>
      <c r="M44" t="inlineStr">
        <is>
          <t>UNKNOWN</t>
        </is>
      </c>
      <c r="N44" t="inlineStr">
        <is>
          <t>DEFAULT</t>
        </is>
      </c>
      <c r="Q44" t="n">
        <v>0</v>
      </c>
      <c r="R44" t="inlineStr">
        <is>
          <t>AUD</t>
        </is>
      </c>
      <c r="S44" t="n">
        <v>0</v>
      </c>
      <c r="T44" t="inlineStr">
        <is>
          <t>AUD</t>
        </is>
      </c>
      <c r="U44" t="n">
        <v>0</v>
      </c>
    </row>
    <row r="45">
      <c r="A45" s="5" t="inlineStr">
        <is>
          <t>01a1212c-4e86-77f9-b0e0-b4b3906351a3</t>
        </is>
      </c>
      <c r="C45" s="5" t="inlineStr">
        <is>
          <t>01a1212c-4b57-70cf-80fd-c2192cb3bf81</t>
        </is>
      </c>
      <c r="D45" s="4" t="n">
        <v>46304.62400748255</v>
      </c>
      <c r="E45" s="4" t="n">
        <v>46304.62400748263</v>
      </c>
      <c r="F45" t="b">
        <v>1</v>
      </c>
      <c r="G45" t="n">
        <v/>
      </c>
      <c r="H45" t="inlineStr">
        <is>
          <t>SOL</t>
        </is>
      </c>
      <c r="I45" t="inlineStr">
        <is>
          <t>Washington H Soul Pattinson &amp; Company Ltd</t>
        </is>
      </c>
      <c r="J45" t="inlineStr">
        <is>
          <t>AUD</t>
        </is>
      </c>
      <c r="K45" s="5" t="inlineStr">
        <is>
          <t>01a1212c-4c04-75ce-bbb2-e3322e18816e</t>
        </is>
      </c>
      <c r="M45" t="inlineStr">
        <is>
          <t>UNKNOWN</t>
        </is>
      </c>
      <c r="N45" t="inlineStr">
        <is>
          <t>DEFAULT</t>
        </is>
      </c>
      <c r="Q45" t="n">
        <v>0</v>
      </c>
      <c r="R45" t="inlineStr">
        <is>
          <t>AUD</t>
        </is>
      </c>
      <c r="S45" t="n">
        <v>0</v>
      </c>
      <c r="T45" t="inlineStr">
        <is>
          <t>AUD</t>
        </is>
      </c>
      <c r="U45" t="n">
        <v>0</v>
      </c>
    </row>
    <row r="46">
      <c r="A46" s="5" t="inlineStr">
        <is>
          <t>01a1212c-4e89-7033-b75f-a1fb91c21008</t>
        </is>
      </c>
      <c r="C46" s="5" t="inlineStr">
        <is>
          <t>01a1212c-4b57-70cf-80fd-c2192cb3bf81</t>
        </is>
      </c>
      <c r="D46" s="4" t="n">
        <v>46304.62400751946</v>
      </c>
      <c r="E46" s="4" t="n">
        <v>46304.62400751957</v>
      </c>
      <c r="F46" t="b">
        <v>1</v>
      </c>
      <c r="G46" t="n">
        <v/>
      </c>
      <c r="H46" t="inlineStr">
        <is>
          <t>ASX</t>
        </is>
      </c>
      <c r="I46" t="inlineStr">
        <is>
          <t>ASX Ltd</t>
        </is>
      </c>
      <c r="J46" t="inlineStr">
        <is>
          <t>AUD</t>
        </is>
      </c>
      <c r="K46" s="5" t="inlineStr">
        <is>
          <t>01a1212c-4c04-75ce-bbb2-e3322e18816e</t>
        </is>
      </c>
      <c r="M46" t="inlineStr">
        <is>
          <t>UNKNOWN</t>
        </is>
      </c>
      <c r="N46" t="inlineStr">
        <is>
          <t>DEFAULT</t>
        </is>
      </c>
      <c r="Q46" t="n">
        <v>0</v>
      </c>
      <c r="R46" t="inlineStr">
        <is>
          <t>AUD</t>
        </is>
      </c>
      <c r="S46" t="n">
        <v>0</v>
      </c>
      <c r="T46" t="inlineStr">
        <is>
          <t>AUD</t>
        </is>
      </c>
      <c r="U46" t="n">
        <v>0</v>
      </c>
    </row>
    <row r="47">
      <c r="A47" s="5" t="inlineStr">
        <is>
          <t>01a1212c-4e8c-73de-84c6-ca2413bccfa6</t>
        </is>
      </c>
      <c r="C47" s="5" t="inlineStr">
        <is>
          <t>01a1212c-4b57-70cf-80fd-c2192cb3bf81</t>
        </is>
      </c>
      <c r="D47" s="4" t="n">
        <v>46304.62400755498</v>
      </c>
      <c r="E47" s="4" t="n">
        <v>46304.62400755507</v>
      </c>
      <c r="F47" t="b">
        <v>1</v>
      </c>
      <c r="G47" t="n">
        <v/>
      </c>
      <c r="H47" t="inlineStr">
        <is>
          <t>SGP</t>
        </is>
      </c>
      <c r="I47" t="inlineStr">
        <is>
          <t>Stockland</t>
        </is>
      </c>
      <c r="J47" t="inlineStr">
        <is>
          <t>AUD</t>
        </is>
      </c>
      <c r="K47" s="5" t="inlineStr">
        <is>
          <t>01a1212c-4c04-75ce-bbb2-e3322e18816e</t>
        </is>
      </c>
      <c r="M47" t="inlineStr">
        <is>
          <t>STAPLED</t>
        </is>
      </c>
      <c r="N47" t="inlineStr">
        <is>
          <t>SUGGESTED</t>
        </is>
      </c>
      <c r="Q47" t="n">
        <v>0</v>
      </c>
      <c r="R47" t="inlineStr">
        <is>
          <t>AUD</t>
        </is>
      </c>
      <c r="S47" t="n">
        <v>0</v>
      </c>
      <c r="T47" t="inlineStr">
        <is>
          <t>AUD</t>
        </is>
      </c>
      <c r="U47" t="n">
        <v>0</v>
      </c>
    </row>
    <row r="48">
      <c r="A48" s="5" t="inlineStr">
        <is>
          <t>01a1212c-4e8f-7755-9591-5e3d0135b442</t>
        </is>
      </c>
      <c r="C48" s="5" t="inlineStr">
        <is>
          <t>01a1212c-4b57-70cf-80fd-c2192cb3bf81</t>
        </is>
      </c>
      <c r="D48" s="4" t="n">
        <v>46304.62400758954</v>
      </c>
      <c r="E48" s="4" t="n">
        <v>46304.62400758962</v>
      </c>
      <c r="F48" t="b">
        <v>1</v>
      </c>
      <c r="G48" t="n">
        <v/>
      </c>
      <c r="H48" t="inlineStr">
        <is>
          <t>IVV</t>
        </is>
      </c>
      <c r="I48" t="inlineStr">
        <is>
          <t>Ishares S&amp;P 500 ETF</t>
        </is>
      </c>
      <c r="J48" t="inlineStr">
        <is>
          <t>AUD</t>
        </is>
      </c>
      <c r="K48" s="5" t="inlineStr">
        <is>
          <t>01a1212c-4c04-75ce-bbb2-e3322e18816e</t>
        </is>
      </c>
      <c r="M48" t="inlineStr">
        <is>
          <t>UNIT_TRUST</t>
        </is>
      </c>
      <c r="N48" t="inlineStr">
        <is>
          <t>SUGGESTED</t>
        </is>
      </c>
      <c r="Q48" t="n">
        <v>0</v>
      </c>
      <c r="R48" t="inlineStr">
        <is>
          <t>AUD</t>
        </is>
      </c>
      <c r="S48" t="n">
        <v>0</v>
      </c>
      <c r="T48" t="inlineStr">
        <is>
          <t>AUD</t>
        </is>
      </c>
      <c r="U48" t="n">
        <v>0</v>
      </c>
    </row>
    <row r="49">
      <c r="A49" s="5" t="inlineStr">
        <is>
          <t>01a1212c-4e92-7597-ad03-d1172ec6c5d9</t>
        </is>
      </c>
      <c r="C49" s="5" t="inlineStr">
        <is>
          <t>01a1212c-4b57-70cf-80fd-c2192cb3bf81</t>
        </is>
      </c>
      <c r="D49" s="4" t="n">
        <v>46304.62400762573</v>
      </c>
      <c r="E49" s="4" t="n">
        <v>46304.62400762581</v>
      </c>
      <c r="F49" t="b">
        <v>1</v>
      </c>
      <c r="G49" t="n">
        <v/>
      </c>
      <c r="H49" t="inlineStr">
        <is>
          <t>EVN</t>
        </is>
      </c>
      <c r="I49" t="inlineStr">
        <is>
          <t>Evolution Mining Ltd</t>
        </is>
      </c>
      <c r="J49" t="inlineStr">
        <is>
          <t>AUD</t>
        </is>
      </c>
      <c r="K49" s="5" t="inlineStr">
        <is>
          <t>01a1212c-4c04-75ce-bbb2-e3322e18816e</t>
        </is>
      </c>
      <c r="M49" t="inlineStr">
        <is>
          <t>UNKNOWN</t>
        </is>
      </c>
      <c r="N49" t="inlineStr">
        <is>
          <t>DEFAULT</t>
        </is>
      </c>
      <c r="Q49" t="n">
        <v>0</v>
      </c>
      <c r="R49" t="inlineStr">
        <is>
          <t>AUD</t>
        </is>
      </c>
      <c r="S49" t="n">
        <v>0</v>
      </c>
      <c r="T49" t="inlineStr">
        <is>
          <t>AUD</t>
        </is>
      </c>
      <c r="U49" t="n">
        <v>0</v>
      </c>
    </row>
    <row r="50">
      <c r="A50" s="5" t="inlineStr">
        <is>
          <t>01a1212c-4e95-716d-9d88-053877b71e27</t>
        </is>
      </c>
      <c r="C50" s="5" t="inlineStr">
        <is>
          <t>01a1212c-4b57-70cf-80fd-c2192cb3bf81</t>
        </is>
      </c>
      <c r="D50" s="4" t="n">
        <v>46304.62400765636</v>
      </c>
      <c r="E50" s="4" t="n">
        <v>46304.62400765644</v>
      </c>
      <c r="F50" t="b">
        <v>1</v>
      </c>
      <c r="G50" t="n">
        <v/>
      </c>
      <c r="H50" t="inlineStr">
        <is>
          <t>TLC</t>
        </is>
      </c>
      <c r="I50" t="inlineStr">
        <is>
          <t>The Lottery Corporation Ltd</t>
        </is>
      </c>
      <c r="J50" t="inlineStr">
        <is>
          <t>AUD</t>
        </is>
      </c>
      <c r="K50" s="5" t="inlineStr">
        <is>
          <t>01a1212c-4c04-75ce-bbb2-e3322e18816e</t>
        </is>
      </c>
      <c r="M50" t="inlineStr">
        <is>
          <t>UNKNOWN</t>
        </is>
      </c>
      <c r="N50" t="inlineStr">
        <is>
          <t>DEFAULT</t>
        </is>
      </c>
      <c r="Q50" t="n">
        <v>0</v>
      </c>
      <c r="R50" t="inlineStr">
        <is>
          <t>AUD</t>
        </is>
      </c>
      <c r="S50" t="n">
        <v>0</v>
      </c>
      <c r="T50" t="inlineStr">
        <is>
          <t>AUD</t>
        </is>
      </c>
      <c r="U50" t="n">
        <v>0</v>
      </c>
    </row>
    <row r="51">
      <c r="A51" s="5" t="inlineStr">
        <is>
          <t>01a1212c-4e98-7104-ae46-f380b7aa52c8</t>
        </is>
      </c>
      <c r="C51" s="5" t="inlineStr">
        <is>
          <t>01a1212c-4b57-70cf-80fd-c2192cb3bf81</t>
        </is>
      </c>
      <c r="D51" s="4" t="n">
        <v>46304.62400768712</v>
      </c>
      <c r="E51" s="4" t="n">
        <v>46304.6240076872</v>
      </c>
      <c r="F51" t="b">
        <v>1</v>
      </c>
      <c r="G51" t="n">
        <v/>
      </c>
      <c r="H51" t="inlineStr">
        <is>
          <t>JBH</t>
        </is>
      </c>
      <c r="I51" t="inlineStr">
        <is>
          <t>JB Hi-Fi Ltd</t>
        </is>
      </c>
      <c r="J51" t="inlineStr">
        <is>
          <t>AUD</t>
        </is>
      </c>
      <c r="K51" s="5" t="inlineStr">
        <is>
          <t>01a1212c-4c04-75ce-bbb2-e3322e18816e</t>
        </is>
      </c>
      <c r="M51" t="inlineStr">
        <is>
          <t>UNKNOWN</t>
        </is>
      </c>
      <c r="N51" t="inlineStr">
        <is>
          <t>DEFAULT</t>
        </is>
      </c>
      <c r="Q51" t="n">
        <v>0</v>
      </c>
      <c r="R51" t="inlineStr">
        <is>
          <t>AUD</t>
        </is>
      </c>
      <c r="S51" t="n">
        <v>0</v>
      </c>
      <c r="T51" t="inlineStr">
        <is>
          <t>AUD</t>
        </is>
      </c>
      <c r="U51" t="n">
        <v>0</v>
      </c>
    </row>
    <row r="52">
      <c r="A52" s="5" t="inlineStr">
        <is>
          <t>01a1212c-4e9a-76e7-9555-907472ffdb15</t>
        </is>
      </c>
      <c r="C52" s="5" t="inlineStr">
        <is>
          <t>01a1212c-4b57-70cf-80fd-c2192cb3bf81</t>
        </is>
      </c>
      <c r="D52" s="4" t="n">
        <v>46304.62400772073</v>
      </c>
      <c r="E52" s="4" t="n">
        <v>46304.6241739219</v>
      </c>
      <c r="F52" t="b">
        <v>1</v>
      </c>
      <c r="G52" t="n">
        <v/>
      </c>
      <c r="H52" t="inlineStr">
        <is>
          <t>VGS</t>
        </is>
      </c>
      <c r="I52" t="inlineStr">
        <is>
          <t>Vanguard MSCI INDEX International Shares ETF</t>
        </is>
      </c>
      <c r="J52" t="inlineStr">
        <is>
          <t>AUD</t>
        </is>
      </c>
      <c r="K52" s="5" t="inlineStr">
        <is>
          <t>01a1212c-4c04-75ce-bbb2-e3322e18816e</t>
        </is>
      </c>
      <c r="M52" t="inlineStr">
        <is>
          <t>UNIT_TRUST</t>
        </is>
      </c>
      <c r="N52" t="inlineStr">
        <is>
          <t>SUGGESTED</t>
        </is>
      </c>
      <c r="Q52" t="n">
        <v>1942</v>
      </c>
      <c r="R52" t="inlineStr">
        <is>
          <t>AUD</t>
        </is>
      </c>
      <c r="S52" t="n">
        <v>0</v>
      </c>
      <c r="T52" t="inlineStr">
        <is>
          <t>AUD</t>
        </is>
      </c>
      <c r="U52" t="n">
        <v>0</v>
      </c>
    </row>
    <row r="53">
      <c r="A53" s="5" t="inlineStr">
        <is>
          <t>01a1212c-4e9e-7708-86ea-ed7cac3856a8</t>
        </is>
      </c>
      <c r="C53" s="5" t="inlineStr">
        <is>
          <t>01a1212c-4b57-70cf-80fd-c2192cb3bf81</t>
        </is>
      </c>
      <c r="D53" s="4" t="n">
        <v>46304.62400775619</v>
      </c>
      <c r="E53" s="4" t="n">
        <v>46304.62400775628</v>
      </c>
      <c r="F53" t="b">
        <v>1</v>
      </c>
      <c r="G53" t="n">
        <v/>
      </c>
      <c r="H53" t="inlineStr">
        <is>
          <t>MPL</t>
        </is>
      </c>
      <c r="I53" t="inlineStr">
        <is>
          <t>Medibank Private Ltd</t>
        </is>
      </c>
      <c r="J53" t="inlineStr">
        <is>
          <t>AUD</t>
        </is>
      </c>
      <c r="K53" s="5" t="inlineStr">
        <is>
          <t>01a1212c-4c04-75ce-bbb2-e3322e18816e</t>
        </is>
      </c>
      <c r="M53" t="inlineStr">
        <is>
          <t>UNKNOWN</t>
        </is>
      </c>
      <c r="N53" t="inlineStr">
        <is>
          <t>DEFAULT</t>
        </is>
      </c>
      <c r="Q53" t="n">
        <v>0</v>
      </c>
      <c r="R53" t="inlineStr">
        <is>
          <t>AUD</t>
        </is>
      </c>
      <c r="S53" t="n">
        <v>0</v>
      </c>
      <c r="T53" t="inlineStr">
        <is>
          <t>AUD</t>
        </is>
      </c>
      <c r="U53" t="n">
        <v>0</v>
      </c>
    </row>
    <row r="54">
      <c r="A54" s="5" t="inlineStr">
        <is>
          <t>01a1212c-4ea0-7069-a7c1-b98bdcad3566</t>
        </is>
      </c>
      <c r="C54" s="5" t="inlineStr">
        <is>
          <t>01a1212c-4b57-70cf-80fd-c2192cb3bf81</t>
        </is>
      </c>
      <c r="D54" s="4" t="n">
        <v>46304.62400778655</v>
      </c>
      <c r="E54" s="4" t="n">
        <v>46304.62400778663</v>
      </c>
      <c r="F54" t="b">
        <v>1</v>
      </c>
      <c r="G54" t="n">
        <v/>
      </c>
      <c r="H54" t="inlineStr">
        <is>
          <t>IFT</t>
        </is>
      </c>
      <c r="I54" t="inlineStr">
        <is>
          <t>Infratil Ltd</t>
        </is>
      </c>
      <c r="J54" t="inlineStr">
        <is>
          <t>AUD</t>
        </is>
      </c>
      <c r="K54" s="5" t="inlineStr">
        <is>
          <t>01a1212c-4c04-75ce-bbb2-e3322e18816e</t>
        </is>
      </c>
      <c r="M54" t="inlineStr">
        <is>
          <t>UNKNOWN</t>
        </is>
      </c>
      <c r="N54" t="inlineStr">
        <is>
          <t>DEFAULT</t>
        </is>
      </c>
      <c r="Q54" t="n">
        <v>0</v>
      </c>
      <c r="R54" t="inlineStr">
        <is>
          <t>AUD</t>
        </is>
      </c>
      <c r="S54" t="n">
        <v>0</v>
      </c>
      <c r="T54" t="inlineStr">
        <is>
          <t>AUD</t>
        </is>
      </c>
      <c r="U54" t="n">
        <v>0</v>
      </c>
    </row>
    <row r="55">
      <c r="A55" s="5" t="inlineStr">
        <is>
          <t>01a1212c-4ea3-7250-8a39-43c74d6e23d8</t>
        </is>
      </c>
      <c r="C55" s="5" t="inlineStr">
        <is>
          <t>01a1212c-4b57-70cf-80fd-c2192cb3bf81</t>
        </is>
      </c>
      <c r="D55" s="4" t="n">
        <v>46304.62400781663</v>
      </c>
      <c r="E55" s="4" t="n">
        <v>46304.62400781671</v>
      </c>
      <c r="F55" t="b">
        <v>1</v>
      </c>
      <c r="G55" t="n">
        <v/>
      </c>
      <c r="H55" t="inlineStr">
        <is>
          <t>NXT</t>
        </is>
      </c>
      <c r="I55" t="inlineStr">
        <is>
          <t>NEXTDC Ltd</t>
        </is>
      </c>
      <c r="J55" t="inlineStr">
        <is>
          <t>AUD</t>
        </is>
      </c>
      <c r="K55" s="5" t="inlineStr">
        <is>
          <t>01a1212c-4c04-75ce-bbb2-e3322e18816e</t>
        </is>
      </c>
      <c r="M55" t="inlineStr">
        <is>
          <t>UNKNOWN</t>
        </is>
      </c>
      <c r="N55" t="inlineStr">
        <is>
          <t>DEFAULT</t>
        </is>
      </c>
      <c r="Q55" t="n">
        <v>0</v>
      </c>
      <c r="R55" t="inlineStr">
        <is>
          <t>AUD</t>
        </is>
      </c>
      <c r="S55" t="n">
        <v>0</v>
      </c>
      <c r="T55" t="inlineStr">
        <is>
          <t>AUD</t>
        </is>
      </c>
      <c r="U55" t="n">
        <v>0</v>
      </c>
    </row>
    <row r="56">
      <c r="A56" s="5" t="inlineStr">
        <is>
          <t>01a1212c-4ea5-739c-9369-4fd9906288e2</t>
        </is>
      </c>
      <c r="C56" s="5" t="inlineStr">
        <is>
          <t>01a1212c-4b57-70cf-80fd-c2192cb3bf81</t>
        </is>
      </c>
      <c r="D56" s="4" t="n">
        <v>46304.62400784723</v>
      </c>
      <c r="E56" s="4" t="n">
        <v>46304.62400784729</v>
      </c>
      <c r="F56" t="b">
        <v>1</v>
      </c>
      <c r="G56" t="n">
        <v/>
      </c>
      <c r="H56" t="inlineStr">
        <is>
          <t>AMC</t>
        </is>
      </c>
      <c r="I56" t="inlineStr">
        <is>
          <t>Amcor Plc</t>
        </is>
      </c>
      <c r="J56" t="inlineStr">
        <is>
          <t>AUD</t>
        </is>
      </c>
      <c r="K56" s="5" t="inlineStr">
        <is>
          <t>01a1212c-4c04-75ce-bbb2-e3322e18816e</t>
        </is>
      </c>
      <c r="M56" t="inlineStr">
        <is>
          <t>UNKNOWN</t>
        </is>
      </c>
      <c r="N56" t="inlineStr">
        <is>
          <t>DEFAULT</t>
        </is>
      </c>
      <c r="Q56" t="n">
        <v>0</v>
      </c>
      <c r="R56" t="inlineStr">
        <is>
          <t>AUD</t>
        </is>
      </c>
      <c r="S56" t="n">
        <v>0</v>
      </c>
      <c r="T56" t="inlineStr">
        <is>
          <t>AUD</t>
        </is>
      </c>
      <c r="U56" t="n">
        <v>0</v>
      </c>
    </row>
    <row r="57">
      <c r="A57" s="5" t="inlineStr">
        <is>
          <t>01a1212c-4ea8-741b-89fb-f8fa72e9cb87</t>
        </is>
      </c>
      <c r="C57" s="5" t="inlineStr">
        <is>
          <t>01a1212c-4b57-70cf-80fd-c2192cb3bf81</t>
        </is>
      </c>
      <c r="D57" s="4" t="n">
        <v>46304.62400787762</v>
      </c>
      <c r="E57" s="4" t="n">
        <v>46304.6240078777</v>
      </c>
      <c r="F57" t="b">
        <v>1</v>
      </c>
      <c r="G57" t="n">
        <v/>
      </c>
      <c r="H57" t="inlineStr">
        <is>
          <t>VCX</t>
        </is>
      </c>
      <c r="I57" t="inlineStr">
        <is>
          <t>Vicinity Centres</t>
        </is>
      </c>
      <c r="J57" t="inlineStr">
        <is>
          <t>AUD</t>
        </is>
      </c>
      <c r="K57" s="5" t="inlineStr">
        <is>
          <t>01a1212c-4c04-75ce-bbb2-e3322e18816e</t>
        </is>
      </c>
      <c r="M57" t="inlineStr">
        <is>
          <t>UNKNOWN</t>
        </is>
      </c>
      <c r="N57" t="inlineStr">
        <is>
          <t>DEFAULT</t>
        </is>
      </c>
      <c r="Q57" t="n">
        <v>0</v>
      </c>
      <c r="R57" t="inlineStr">
        <is>
          <t>AUD</t>
        </is>
      </c>
      <c r="S57" t="n">
        <v>0</v>
      </c>
      <c r="T57" t="inlineStr">
        <is>
          <t>AUD</t>
        </is>
      </c>
      <c r="U57" t="n">
        <v>0</v>
      </c>
    </row>
    <row r="58">
      <c r="A58" s="5" t="inlineStr">
        <is>
          <t>01a1212c-4eab-7509-98ee-075158b43577</t>
        </is>
      </c>
      <c r="C58" s="5" t="inlineStr">
        <is>
          <t>01a1212c-4b57-70cf-80fd-c2192cb3bf81</t>
        </is>
      </c>
      <c r="D58" s="4" t="n">
        <v>46304.62400791074</v>
      </c>
      <c r="E58" s="4" t="n">
        <v>46304.62400791082</v>
      </c>
      <c r="F58" t="b">
        <v>1</v>
      </c>
      <c r="G58" t="n">
        <v/>
      </c>
      <c r="H58" t="inlineStr">
        <is>
          <t>TNE</t>
        </is>
      </c>
      <c r="I58" t="inlineStr">
        <is>
          <t>Technology One Ltd</t>
        </is>
      </c>
      <c r="J58" t="inlineStr">
        <is>
          <t>AUD</t>
        </is>
      </c>
      <c r="K58" s="5" t="inlineStr">
        <is>
          <t>01a1212c-4c04-75ce-bbb2-e3322e18816e</t>
        </is>
      </c>
      <c r="M58" t="inlineStr">
        <is>
          <t>UNKNOWN</t>
        </is>
      </c>
      <c r="N58" t="inlineStr">
        <is>
          <t>DEFAULT</t>
        </is>
      </c>
      <c r="Q58" t="n">
        <v>0</v>
      </c>
      <c r="R58" t="inlineStr">
        <is>
          <t>AUD</t>
        </is>
      </c>
      <c r="S58" t="n">
        <v>0</v>
      </c>
      <c r="T58" t="inlineStr">
        <is>
          <t>AUD</t>
        </is>
      </c>
      <c r="U58" t="n">
        <v>0</v>
      </c>
    </row>
    <row r="59">
      <c r="A59" s="5" t="inlineStr">
        <is>
          <t>01a1212c-4eae-72c7-807d-821d5235a412</t>
        </is>
      </c>
      <c r="C59" s="5" t="inlineStr">
        <is>
          <t>01a1212c-4b57-70cf-80fd-c2192cb3bf81</t>
        </is>
      </c>
      <c r="D59" s="4" t="n">
        <v>46304.62400794126</v>
      </c>
      <c r="E59" s="4" t="n">
        <v>46304.62400794134</v>
      </c>
      <c r="F59" t="b">
        <v>1</v>
      </c>
      <c r="G59" t="n">
        <v/>
      </c>
      <c r="H59" t="inlineStr">
        <is>
          <t>AFI</t>
        </is>
      </c>
      <c r="I59" t="inlineStr">
        <is>
          <t>Australian Foundation Investment Company Ltd</t>
        </is>
      </c>
      <c r="J59" t="inlineStr">
        <is>
          <t>AUD</t>
        </is>
      </c>
      <c r="K59" s="5" t="inlineStr">
        <is>
          <t>01a1212c-4c04-75ce-bbb2-e3322e18816e</t>
        </is>
      </c>
      <c r="M59" t="inlineStr">
        <is>
          <t>COMPANY</t>
        </is>
      </c>
      <c r="N59" t="inlineStr">
        <is>
          <t>SUGGESTED</t>
        </is>
      </c>
      <c r="Q59" t="n">
        <v>0</v>
      </c>
      <c r="R59" t="inlineStr">
        <is>
          <t>AUD</t>
        </is>
      </c>
      <c r="S59" t="n">
        <v>0</v>
      </c>
      <c r="T59" t="inlineStr">
        <is>
          <t>AUD</t>
        </is>
      </c>
      <c r="U59" t="n">
        <v>0</v>
      </c>
    </row>
    <row r="60">
      <c r="A60" s="5" t="inlineStr">
        <is>
          <t>01a1212c-4eb0-7456-b2f4-618574c41096</t>
        </is>
      </c>
      <c r="C60" s="5" t="inlineStr">
        <is>
          <t>01a1212c-4b57-70cf-80fd-c2192cb3bf81</t>
        </is>
      </c>
      <c r="D60" s="4" t="n">
        <v>46304.62400797474</v>
      </c>
      <c r="E60" s="4" t="n">
        <v>46304.6240079748</v>
      </c>
      <c r="F60" t="b">
        <v>1</v>
      </c>
      <c r="G60" t="n">
        <v/>
      </c>
      <c r="H60" t="inlineStr">
        <is>
          <t>TLX</t>
        </is>
      </c>
      <c r="I60" t="inlineStr">
        <is>
          <t>TELIX Pharmaceuticals Ltd</t>
        </is>
      </c>
      <c r="J60" t="inlineStr">
        <is>
          <t>AUD</t>
        </is>
      </c>
      <c r="K60" s="5" t="inlineStr">
        <is>
          <t>01a1212c-4c04-75ce-bbb2-e3322e18816e</t>
        </is>
      </c>
      <c r="M60" t="inlineStr">
        <is>
          <t>UNKNOWN</t>
        </is>
      </c>
      <c r="N60" t="inlineStr">
        <is>
          <t>DEFAULT</t>
        </is>
      </c>
      <c r="Q60" t="n">
        <v>0</v>
      </c>
      <c r="R60" t="inlineStr">
        <is>
          <t>AUD</t>
        </is>
      </c>
      <c r="S60" t="n">
        <v>0</v>
      </c>
      <c r="T60" t="inlineStr">
        <is>
          <t>AUD</t>
        </is>
      </c>
      <c r="U60" t="n">
        <v>0</v>
      </c>
    </row>
    <row r="61">
      <c r="A61" s="5" t="inlineStr">
        <is>
          <t>01a1212c-4eb3-74ac-8202-b0215b0254ec</t>
        </is>
      </c>
      <c r="C61" s="5" t="inlineStr">
        <is>
          <t>01a1212c-4b57-70cf-80fd-c2192cb3bf81</t>
        </is>
      </c>
      <c r="D61" s="4" t="n">
        <v>46304.62400800519</v>
      </c>
      <c r="E61" s="4" t="n">
        <v>46304.62400800527</v>
      </c>
      <c r="F61" t="b">
        <v>1</v>
      </c>
      <c r="G61" t="n">
        <v/>
      </c>
      <c r="H61" t="inlineStr">
        <is>
          <t>BSL</t>
        </is>
      </c>
      <c r="I61" t="inlineStr">
        <is>
          <t>Bluescope Steel Ltd</t>
        </is>
      </c>
      <c r="J61" t="inlineStr">
        <is>
          <t>AUD</t>
        </is>
      </c>
      <c r="K61" s="5" t="inlineStr">
        <is>
          <t>01a1212c-4c04-75ce-bbb2-e3322e18816e</t>
        </is>
      </c>
      <c r="M61" t="inlineStr">
        <is>
          <t>UNKNOWN</t>
        </is>
      </c>
      <c r="N61" t="inlineStr">
        <is>
          <t>DEFAULT</t>
        </is>
      </c>
      <c r="Q61" t="n">
        <v>0</v>
      </c>
      <c r="R61" t="inlineStr">
        <is>
          <t>AUD</t>
        </is>
      </c>
      <c r="S61" t="n">
        <v>0</v>
      </c>
      <c r="T61" t="inlineStr">
        <is>
          <t>AUD</t>
        </is>
      </c>
      <c r="U61" t="n">
        <v>0</v>
      </c>
    </row>
    <row r="62">
      <c r="A62" s="5" t="inlineStr">
        <is>
          <t>01a1212c-4eb6-7151-ac02-2d91b04ed09c</t>
        </is>
      </c>
      <c r="C62" s="5" t="inlineStr">
        <is>
          <t>01a1212c-4b57-70cf-80fd-c2192cb3bf81</t>
        </is>
      </c>
      <c r="D62" s="4" t="n">
        <v>46304.62400803797</v>
      </c>
      <c r="E62" s="4" t="n">
        <v>46304.62400803805</v>
      </c>
      <c r="F62" t="b">
        <v>1</v>
      </c>
      <c r="G62" t="n">
        <v/>
      </c>
      <c r="H62" t="inlineStr">
        <is>
          <t>APA</t>
        </is>
      </c>
      <c r="I62" t="inlineStr">
        <is>
          <t>APA Group</t>
        </is>
      </c>
      <c r="J62" t="inlineStr">
        <is>
          <t>AUD</t>
        </is>
      </c>
      <c r="K62" s="5" t="inlineStr">
        <is>
          <t>01a1212c-4c04-75ce-bbb2-e3322e18816e</t>
        </is>
      </c>
      <c r="M62" t="inlineStr">
        <is>
          <t>UNKNOWN</t>
        </is>
      </c>
      <c r="N62" t="inlineStr">
        <is>
          <t>DEFAULT</t>
        </is>
      </c>
      <c r="Q62" t="n">
        <v>0</v>
      </c>
      <c r="R62" t="inlineStr">
        <is>
          <t>AUD</t>
        </is>
      </c>
      <c r="S62" t="n">
        <v>0</v>
      </c>
      <c r="T62" t="inlineStr">
        <is>
          <t>AUD</t>
        </is>
      </c>
      <c r="U62" t="n">
        <v>0</v>
      </c>
    </row>
    <row r="63">
      <c r="A63" s="5" t="inlineStr">
        <is>
          <t>01a1212c-4eb9-72cd-817c-0bf787b6a91f</t>
        </is>
      </c>
      <c r="C63" s="5" t="inlineStr">
        <is>
          <t>01a1212c-4b57-70cf-80fd-c2192cb3bf81</t>
        </is>
      </c>
      <c r="D63" s="4" t="n">
        <v>46304.62400806932</v>
      </c>
      <c r="E63" s="4" t="n">
        <v>46304.6240080694</v>
      </c>
      <c r="F63" t="b">
        <v>1</v>
      </c>
      <c r="G63" t="n">
        <v/>
      </c>
      <c r="H63" t="inlineStr">
        <is>
          <t>GPT</t>
        </is>
      </c>
      <c r="I63" t="inlineStr">
        <is>
          <t>GPT Group</t>
        </is>
      </c>
      <c r="J63" t="inlineStr">
        <is>
          <t>AUD</t>
        </is>
      </c>
      <c r="K63" s="5" t="inlineStr">
        <is>
          <t>01a1212c-4c04-75ce-bbb2-e3322e18816e</t>
        </is>
      </c>
      <c r="M63" t="inlineStr">
        <is>
          <t>UNKNOWN</t>
        </is>
      </c>
      <c r="N63" t="inlineStr">
        <is>
          <t>DEFAULT</t>
        </is>
      </c>
      <c r="Q63" t="n">
        <v>0</v>
      </c>
      <c r="R63" t="inlineStr">
        <is>
          <t>AUD</t>
        </is>
      </c>
      <c r="S63" t="n">
        <v>0</v>
      </c>
      <c r="T63" t="inlineStr">
        <is>
          <t>AUD</t>
        </is>
      </c>
      <c r="U63" t="n">
        <v>0</v>
      </c>
    </row>
    <row r="64">
      <c r="A64" s="5" t="inlineStr">
        <is>
          <t>01a1212c-4ebb-7605-82d1-7913ed228f05</t>
        </is>
      </c>
      <c r="C64" s="5" t="inlineStr">
        <is>
          <t>01a1212c-4b57-70cf-80fd-c2192cb3bf81</t>
        </is>
      </c>
      <c r="D64" s="4" t="n">
        <v>46304.6240081001</v>
      </c>
      <c r="E64" s="4" t="n">
        <v>46304.62400810017</v>
      </c>
      <c r="F64" t="b">
        <v>1</v>
      </c>
      <c r="G64" t="n">
        <v/>
      </c>
      <c r="H64" t="inlineStr">
        <is>
          <t>TWE</t>
        </is>
      </c>
      <c r="I64" t="inlineStr">
        <is>
          <t>Treasury Wine Estates Ltd</t>
        </is>
      </c>
      <c r="J64" t="inlineStr">
        <is>
          <t>AUD</t>
        </is>
      </c>
      <c r="K64" s="5" t="inlineStr">
        <is>
          <t>01a1212c-4c04-75ce-bbb2-e3322e18816e</t>
        </is>
      </c>
      <c r="M64" t="inlineStr">
        <is>
          <t>UNKNOWN</t>
        </is>
      </c>
      <c r="N64" t="inlineStr">
        <is>
          <t>DEFAULT</t>
        </is>
      </c>
      <c r="Q64" t="n">
        <v>0</v>
      </c>
      <c r="R64" t="inlineStr">
        <is>
          <t>AUD</t>
        </is>
      </c>
      <c r="S64" t="n">
        <v>0</v>
      </c>
      <c r="T64" t="inlineStr">
        <is>
          <t>AUD</t>
        </is>
      </c>
      <c r="U64" t="n">
        <v>0</v>
      </c>
    </row>
    <row r="65">
      <c r="A65" s="5" t="inlineStr">
        <is>
          <t>01a1212c-4ebe-76cf-bd94-14d2fd55d208</t>
        </is>
      </c>
      <c r="C65" s="5" t="inlineStr">
        <is>
          <t>01a1212c-4b57-70cf-80fd-c2192cb3bf81</t>
        </is>
      </c>
      <c r="D65" s="4" t="n">
        <v>46304.62400813019</v>
      </c>
      <c r="E65" s="4" t="n">
        <v>46304.62400813027</v>
      </c>
      <c r="F65" t="b">
        <v>1</v>
      </c>
      <c r="G65" t="n">
        <v/>
      </c>
      <c r="H65" t="inlineStr">
        <is>
          <t>ORI</t>
        </is>
      </c>
      <c r="I65" t="inlineStr">
        <is>
          <t>Orica Ltd</t>
        </is>
      </c>
      <c r="J65" t="inlineStr">
        <is>
          <t>AUD</t>
        </is>
      </c>
      <c r="K65" s="5" t="inlineStr">
        <is>
          <t>01a1212c-4c04-75ce-bbb2-e3322e18816e</t>
        </is>
      </c>
      <c r="M65" t="inlineStr">
        <is>
          <t>UNKNOWN</t>
        </is>
      </c>
      <c r="N65" t="inlineStr">
        <is>
          <t>DEFAULT</t>
        </is>
      </c>
      <c r="Q65" t="n">
        <v>0</v>
      </c>
      <c r="R65" t="inlineStr">
        <is>
          <t>AUD</t>
        </is>
      </c>
      <c r="S65" t="n">
        <v>0</v>
      </c>
      <c r="T65" t="inlineStr">
        <is>
          <t>AUD</t>
        </is>
      </c>
      <c r="U65" t="n">
        <v>0</v>
      </c>
    </row>
    <row r="66">
      <c r="A66" s="5" t="inlineStr">
        <is>
          <t>01a1212c-4ec1-7013-b928-5ebd20cc45dc</t>
        </is>
      </c>
      <c r="C66" s="5" t="inlineStr">
        <is>
          <t>01a1212c-4b57-70cf-80fd-c2192cb3bf81</t>
        </is>
      </c>
      <c r="D66" s="4" t="n">
        <v>46304.62400816219</v>
      </c>
      <c r="E66" s="4" t="n">
        <v>46304.62400816227</v>
      </c>
      <c r="F66" t="b">
        <v>1</v>
      </c>
      <c r="G66" t="n">
        <v/>
      </c>
      <c r="H66" t="inlineStr">
        <is>
          <t>YAL</t>
        </is>
      </c>
      <c r="I66" t="inlineStr">
        <is>
          <t>Yancoal Australia Ltd</t>
        </is>
      </c>
      <c r="J66" t="inlineStr">
        <is>
          <t>AUD</t>
        </is>
      </c>
      <c r="K66" s="5" t="inlineStr">
        <is>
          <t>01a1212c-4c04-75ce-bbb2-e3322e18816e</t>
        </is>
      </c>
      <c r="M66" t="inlineStr">
        <is>
          <t>UNKNOWN</t>
        </is>
      </c>
      <c r="N66" t="inlineStr">
        <is>
          <t>DEFAULT</t>
        </is>
      </c>
      <c r="Q66" t="n">
        <v>0</v>
      </c>
      <c r="R66" t="inlineStr">
        <is>
          <t>AUD</t>
        </is>
      </c>
      <c r="S66" t="n">
        <v>0</v>
      </c>
      <c r="T66" t="inlineStr">
        <is>
          <t>AUD</t>
        </is>
      </c>
      <c r="U66" t="n">
        <v>0</v>
      </c>
    </row>
    <row r="67">
      <c r="A67" s="5" t="inlineStr">
        <is>
          <t>01a1212c-4ec3-73a7-98f5-46f400f6e776</t>
        </is>
      </c>
      <c r="C67" s="5" t="inlineStr">
        <is>
          <t>01a1212c-4b57-70cf-80fd-c2192cb3bf81</t>
        </is>
      </c>
      <c r="D67" s="4" t="n">
        <v>46304.62400819246</v>
      </c>
      <c r="E67" s="4" t="n">
        <v>46304.62400819254</v>
      </c>
      <c r="F67" t="b">
        <v>1</v>
      </c>
      <c r="G67" t="n">
        <v/>
      </c>
      <c r="H67" t="inlineStr">
        <is>
          <t>TPG</t>
        </is>
      </c>
      <c r="I67" t="inlineStr">
        <is>
          <t>TPG Telecom Ltd</t>
        </is>
      </c>
      <c r="J67" t="inlineStr">
        <is>
          <t>AUD</t>
        </is>
      </c>
      <c r="K67" s="5" t="inlineStr">
        <is>
          <t>01a1212c-4c04-75ce-bbb2-e3322e18816e</t>
        </is>
      </c>
      <c r="M67" t="inlineStr">
        <is>
          <t>UNKNOWN</t>
        </is>
      </c>
      <c r="N67" t="inlineStr">
        <is>
          <t>DEFAULT</t>
        </is>
      </c>
      <c r="Q67" t="n">
        <v>0</v>
      </c>
      <c r="R67" t="inlineStr">
        <is>
          <t>AUD</t>
        </is>
      </c>
      <c r="S67" t="n">
        <v>0</v>
      </c>
      <c r="T67" t="inlineStr">
        <is>
          <t>AUD</t>
        </is>
      </c>
      <c r="U67" t="n">
        <v>0</v>
      </c>
    </row>
    <row r="68">
      <c r="A68" s="5" t="inlineStr">
        <is>
          <t>01a1212c-4ec6-7484-850a-691bfef1df63</t>
        </is>
      </c>
      <c r="C68" s="5" t="inlineStr">
        <is>
          <t>01a1212c-4b57-70cf-80fd-c2192cb3bf81</t>
        </is>
      </c>
      <c r="D68" s="4" t="n">
        <v>46304.62400822266</v>
      </c>
      <c r="E68" s="4" t="n">
        <v>46304.62400822275</v>
      </c>
      <c r="F68" t="b">
        <v>1</v>
      </c>
      <c r="G68" t="n">
        <v/>
      </c>
      <c r="H68" t="inlineStr">
        <is>
          <t>MGOC</t>
        </is>
      </c>
      <c r="I68" t="inlineStr">
        <is>
          <t>Magellan Global Fund -Open Class Units -Active ETF</t>
        </is>
      </c>
      <c r="J68" t="inlineStr">
        <is>
          <t>AUD</t>
        </is>
      </c>
      <c r="K68" s="5" t="inlineStr">
        <is>
          <t>01a1212c-4c04-75ce-bbb2-e3322e18816e</t>
        </is>
      </c>
      <c r="M68" t="inlineStr">
        <is>
          <t>UNKNOWN</t>
        </is>
      </c>
      <c r="N68" t="inlineStr">
        <is>
          <t>DEFAULT</t>
        </is>
      </c>
      <c r="Q68" t="n">
        <v>0</v>
      </c>
      <c r="R68" t="inlineStr">
        <is>
          <t>AUD</t>
        </is>
      </c>
      <c r="S68" t="n">
        <v>0</v>
      </c>
      <c r="T68" t="inlineStr">
        <is>
          <t>AUD</t>
        </is>
      </c>
      <c r="U68" t="n">
        <v>0</v>
      </c>
    </row>
    <row r="69">
      <c r="A69" s="5" t="inlineStr">
        <is>
          <t>01a1212c-4ec9-70f3-a202-028bfbeae845</t>
        </is>
      </c>
      <c r="C69" s="5" t="inlineStr">
        <is>
          <t>01a1212c-4b57-70cf-80fd-c2192cb3bf81</t>
        </is>
      </c>
      <c r="D69" s="4" t="n">
        <v>46304.62400825458</v>
      </c>
      <c r="E69" s="4" t="n">
        <v>46304.62400825465</v>
      </c>
      <c r="F69" t="b">
        <v>1</v>
      </c>
      <c r="G69" t="n">
        <v/>
      </c>
      <c r="H69" t="inlineStr">
        <is>
          <t>AGL</t>
        </is>
      </c>
      <c r="I69" t="inlineStr">
        <is>
          <t>AGL Energy Ltd</t>
        </is>
      </c>
      <c r="J69" t="inlineStr">
        <is>
          <t>AUD</t>
        </is>
      </c>
      <c r="K69" s="5" t="inlineStr">
        <is>
          <t>01a1212c-4c04-75ce-bbb2-e3322e18816e</t>
        </is>
      </c>
      <c r="M69" t="inlineStr">
        <is>
          <t>UNKNOWN</t>
        </is>
      </c>
      <c r="N69" t="inlineStr">
        <is>
          <t>DEFAULT</t>
        </is>
      </c>
      <c r="Q69" t="n">
        <v>0</v>
      </c>
      <c r="R69" t="inlineStr">
        <is>
          <t>AUD</t>
        </is>
      </c>
      <c r="S69" t="n">
        <v>0</v>
      </c>
      <c r="T69" t="inlineStr">
        <is>
          <t>AUD</t>
        </is>
      </c>
      <c r="U69" t="n">
        <v>0</v>
      </c>
    </row>
    <row r="70">
      <c r="A70" s="5" t="inlineStr">
        <is>
          <t>01a1212c-4ecb-7303-b7ea-a57c3e8aba26</t>
        </is>
      </c>
      <c r="C70" s="5" t="inlineStr">
        <is>
          <t>01a1212c-4b57-70cf-80fd-c2192cb3bf81</t>
        </is>
      </c>
      <c r="D70" s="4" t="n">
        <v>46304.62400828492</v>
      </c>
      <c r="E70" s="4" t="n">
        <v>46304.62400828499</v>
      </c>
      <c r="F70" t="b">
        <v>1</v>
      </c>
      <c r="G70" t="n">
        <v/>
      </c>
      <c r="H70" t="inlineStr">
        <is>
          <t>WOR</t>
        </is>
      </c>
      <c r="I70" t="inlineStr">
        <is>
          <t>Worley Ltd</t>
        </is>
      </c>
      <c r="J70" t="inlineStr">
        <is>
          <t>AUD</t>
        </is>
      </c>
      <c r="K70" s="5" t="inlineStr">
        <is>
          <t>01a1212c-4c04-75ce-bbb2-e3322e18816e</t>
        </is>
      </c>
      <c r="M70" t="inlineStr">
        <is>
          <t>UNKNOWN</t>
        </is>
      </c>
      <c r="N70" t="inlineStr">
        <is>
          <t>DEFAULT</t>
        </is>
      </c>
      <c r="Q70" t="n">
        <v>0</v>
      </c>
      <c r="R70" t="inlineStr">
        <is>
          <t>AUD</t>
        </is>
      </c>
      <c r="S70" t="n">
        <v>0</v>
      </c>
      <c r="T70" t="inlineStr">
        <is>
          <t>AUD</t>
        </is>
      </c>
      <c r="U70" t="n">
        <v>0</v>
      </c>
    </row>
    <row r="71">
      <c r="A71" s="5" t="inlineStr">
        <is>
          <t>01a1212c-4ece-7146-8025-44d32d1edacd</t>
        </is>
      </c>
      <c r="C71" s="5" t="inlineStr">
        <is>
          <t>01a1212c-4b57-70cf-80fd-c2192cb3bf81</t>
        </is>
      </c>
      <c r="D71" s="4" t="n">
        <v>46304.62400831723</v>
      </c>
      <c r="E71" s="4" t="n">
        <v>46304.6240083173</v>
      </c>
      <c r="F71" t="b">
        <v>1</v>
      </c>
      <c r="G71" t="n">
        <v/>
      </c>
      <c r="H71" t="inlineStr">
        <is>
          <t>SEK</t>
        </is>
      </c>
      <c r="I71" t="inlineStr">
        <is>
          <t>Seek Ltd</t>
        </is>
      </c>
      <c r="J71" t="inlineStr">
        <is>
          <t>AUD</t>
        </is>
      </c>
      <c r="K71" s="5" t="inlineStr">
        <is>
          <t>01a1212c-4c04-75ce-bbb2-e3322e18816e</t>
        </is>
      </c>
      <c r="M71" t="inlineStr">
        <is>
          <t>UNKNOWN</t>
        </is>
      </c>
      <c r="N71" t="inlineStr">
        <is>
          <t>DEFAULT</t>
        </is>
      </c>
      <c r="Q71" t="n">
        <v>0</v>
      </c>
      <c r="R71" t="inlineStr">
        <is>
          <t>AUD</t>
        </is>
      </c>
      <c r="S71" t="n">
        <v>0</v>
      </c>
      <c r="T71" t="inlineStr">
        <is>
          <t>AUD</t>
        </is>
      </c>
      <c r="U71" t="n">
        <v>0</v>
      </c>
    </row>
    <row r="72">
      <c r="A72" s="5" t="inlineStr">
        <is>
          <t>01a1212c-4ed1-76e9-b5b1-c3b402bdead1</t>
        </is>
      </c>
      <c r="C72" s="5" t="inlineStr">
        <is>
          <t>01a1212c-4b57-70cf-80fd-c2192cb3bf81</t>
        </is>
      </c>
      <c r="D72" s="4" t="n">
        <v>46304.62400834767</v>
      </c>
      <c r="E72" s="4" t="n">
        <v>46304.62400834775</v>
      </c>
      <c r="F72" t="b">
        <v>1</v>
      </c>
      <c r="G72" t="n">
        <v/>
      </c>
      <c r="H72" t="inlineStr">
        <is>
          <t>NEM</t>
        </is>
      </c>
      <c r="I72" t="inlineStr">
        <is>
          <t>Newmont Corporation</t>
        </is>
      </c>
      <c r="J72" t="inlineStr">
        <is>
          <t>AUD</t>
        </is>
      </c>
      <c r="K72" s="5" t="inlineStr">
        <is>
          <t>01a1212c-4c04-75ce-bbb2-e3322e18816e</t>
        </is>
      </c>
      <c r="M72" t="inlineStr">
        <is>
          <t>UNKNOWN</t>
        </is>
      </c>
      <c r="N72" t="inlineStr">
        <is>
          <t>DEFAULT</t>
        </is>
      </c>
      <c r="Q72" t="n">
        <v>0</v>
      </c>
      <c r="R72" t="inlineStr">
        <is>
          <t>AUD</t>
        </is>
      </c>
      <c r="S72" t="n">
        <v>0</v>
      </c>
      <c r="T72" t="inlineStr">
        <is>
          <t>AUD</t>
        </is>
      </c>
      <c r="U72" t="n">
        <v>0</v>
      </c>
    </row>
    <row r="73">
      <c r="A73" s="5" t="inlineStr">
        <is>
          <t>01a1212c-4ed3-7483-836d-b4728119a8fd</t>
        </is>
      </c>
      <c r="C73" s="5" t="inlineStr">
        <is>
          <t>01a1212c-4b57-70cf-80fd-c2192cb3bf81</t>
        </is>
      </c>
      <c r="D73" s="4" t="n">
        <v>46304.62400837928</v>
      </c>
      <c r="E73" s="4" t="n">
        <v>46304.62400837936</v>
      </c>
      <c r="F73" t="b">
        <v>1</v>
      </c>
      <c r="G73" t="n">
        <v/>
      </c>
      <c r="H73" t="inlineStr">
        <is>
          <t>MCY</t>
        </is>
      </c>
      <c r="I73" t="inlineStr">
        <is>
          <t>Mercury NZ Ltd</t>
        </is>
      </c>
      <c r="J73" t="inlineStr">
        <is>
          <t>AUD</t>
        </is>
      </c>
      <c r="K73" s="5" t="inlineStr">
        <is>
          <t>01a1212c-4c04-75ce-bbb2-e3322e18816e</t>
        </is>
      </c>
      <c r="M73" t="inlineStr">
        <is>
          <t>UNKNOWN</t>
        </is>
      </c>
      <c r="N73" t="inlineStr">
        <is>
          <t>DEFAULT</t>
        </is>
      </c>
      <c r="Q73" t="n">
        <v>0</v>
      </c>
      <c r="R73" t="inlineStr">
        <is>
          <t>AUD</t>
        </is>
      </c>
      <c r="S73" t="n">
        <v>0</v>
      </c>
      <c r="T73" t="inlineStr">
        <is>
          <t>AUD</t>
        </is>
      </c>
      <c r="U73" t="n">
        <v>0</v>
      </c>
    </row>
    <row r="74">
      <c r="A74" s="5" t="inlineStr">
        <is>
          <t>01a1212c-4ed6-722e-a1d7-473727f85afe</t>
        </is>
      </c>
      <c r="C74" s="5" t="inlineStr">
        <is>
          <t>01a1212c-4b57-70cf-80fd-c2192cb3bf81</t>
        </is>
      </c>
      <c r="D74" s="4" t="n">
        <v>46304.62400840974</v>
      </c>
      <c r="E74" s="4" t="n">
        <v>46304.62400840982</v>
      </c>
      <c r="F74" t="b">
        <v>1</v>
      </c>
      <c r="G74" t="n">
        <v/>
      </c>
      <c r="H74" t="inlineStr">
        <is>
          <t>RHC</t>
        </is>
      </c>
      <c r="I74" t="inlineStr">
        <is>
          <t>Ramsay Health Care Ltd</t>
        </is>
      </c>
      <c r="J74" t="inlineStr">
        <is>
          <t>AUD</t>
        </is>
      </c>
      <c r="K74" s="5" t="inlineStr">
        <is>
          <t>01a1212c-4c04-75ce-bbb2-e3322e18816e</t>
        </is>
      </c>
      <c r="M74" t="inlineStr">
        <is>
          <t>UNKNOWN</t>
        </is>
      </c>
      <c r="N74" t="inlineStr">
        <is>
          <t>DEFAULT</t>
        </is>
      </c>
      <c r="Q74" t="n">
        <v>0</v>
      </c>
      <c r="R74" t="inlineStr">
        <is>
          <t>AUD</t>
        </is>
      </c>
      <c r="S74" t="n">
        <v>0</v>
      </c>
      <c r="T74" t="inlineStr">
        <is>
          <t>AUD</t>
        </is>
      </c>
      <c r="U74" t="n">
        <v>0</v>
      </c>
    </row>
    <row r="75">
      <c r="A75" s="5" t="inlineStr">
        <is>
          <t>01a1212c-4ed9-7115-bff6-2c465bde997d</t>
        </is>
      </c>
      <c r="C75" s="5" t="inlineStr">
        <is>
          <t>01a1212c-4b57-70cf-80fd-c2192cb3bf81</t>
        </is>
      </c>
      <c r="D75" s="4" t="n">
        <v>46304.62400844189</v>
      </c>
      <c r="E75" s="4" t="n">
        <v>46304.62400844197</v>
      </c>
      <c r="F75" t="b">
        <v>1</v>
      </c>
      <c r="G75" t="n">
        <v/>
      </c>
      <c r="H75" t="inlineStr">
        <is>
          <t>MGR</t>
        </is>
      </c>
      <c r="I75" t="inlineStr">
        <is>
          <t>Mirvac Group</t>
        </is>
      </c>
      <c r="J75" t="inlineStr">
        <is>
          <t>AUD</t>
        </is>
      </c>
      <c r="K75" s="5" t="inlineStr">
        <is>
          <t>01a1212c-4c04-75ce-bbb2-e3322e18816e</t>
        </is>
      </c>
      <c r="M75" t="inlineStr">
        <is>
          <t>STAPLED</t>
        </is>
      </c>
      <c r="N75" t="inlineStr">
        <is>
          <t>SUGGESTED</t>
        </is>
      </c>
      <c r="Q75" t="n">
        <v>0</v>
      </c>
      <c r="R75" t="inlineStr">
        <is>
          <t>AUD</t>
        </is>
      </c>
      <c r="S75" t="n">
        <v>0</v>
      </c>
      <c r="T75" t="inlineStr">
        <is>
          <t>AUD</t>
        </is>
      </c>
      <c r="U75" t="n">
        <v>0</v>
      </c>
    </row>
    <row r="76">
      <c r="A76" s="5" t="inlineStr">
        <is>
          <t>01a1212c-4edc-7227-812b-8737b0fbc0df</t>
        </is>
      </c>
      <c r="C76" s="5" t="inlineStr">
        <is>
          <t>01a1212c-4b57-70cf-80fd-c2192cb3bf81</t>
        </is>
      </c>
      <c r="D76" s="4" t="n">
        <v>46304.62400848151</v>
      </c>
      <c r="E76" s="4" t="n">
        <v>46304.62400848159</v>
      </c>
      <c r="F76" t="b">
        <v>1</v>
      </c>
      <c r="G76" t="n">
        <v/>
      </c>
      <c r="H76" t="inlineStr">
        <is>
          <t>ALQ</t>
        </is>
      </c>
      <c r="I76" t="inlineStr">
        <is>
          <t>Als Ltd</t>
        </is>
      </c>
      <c r="J76" t="inlineStr">
        <is>
          <t>AUD</t>
        </is>
      </c>
      <c r="K76" s="5" t="inlineStr">
        <is>
          <t>01a1212c-4c04-75ce-bbb2-e3322e18816e</t>
        </is>
      </c>
      <c r="M76" t="inlineStr">
        <is>
          <t>UNKNOWN</t>
        </is>
      </c>
      <c r="N76" t="inlineStr">
        <is>
          <t>DEFAULT</t>
        </is>
      </c>
      <c r="Q76" t="n">
        <v>0</v>
      </c>
      <c r="R76" t="inlineStr">
        <is>
          <t>AUD</t>
        </is>
      </c>
      <c r="S76" t="n">
        <v>0</v>
      </c>
      <c r="T76" t="inlineStr">
        <is>
          <t>AUD</t>
        </is>
      </c>
      <c r="U76" t="n">
        <v>0</v>
      </c>
    </row>
    <row r="77">
      <c r="A77" s="5" t="inlineStr">
        <is>
          <t>01a1212c-4edf-747e-85c2-beda610295cf</t>
        </is>
      </c>
      <c r="C77" s="5" t="inlineStr">
        <is>
          <t>01a1212c-4b57-70cf-80fd-c2192cb3bf81</t>
        </is>
      </c>
      <c r="D77" s="4" t="n">
        <v>46304.62400851494</v>
      </c>
      <c r="E77" s="4" t="n">
        <v>46304.62400851503</v>
      </c>
      <c r="F77" t="b">
        <v>1</v>
      </c>
      <c r="G77" t="n">
        <v/>
      </c>
      <c r="H77" t="inlineStr">
        <is>
          <t>BEN</t>
        </is>
      </c>
      <c r="I77" t="inlineStr">
        <is>
          <t>Bendigo and Adelaide Bank Ltd</t>
        </is>
      </c>
      <c r="J77" t="inlineStr">
        <is>
          <t>AUD</t>
        </is>
      </c>
      <c r="K77" s="5" t="inlineStr">
        <is>
          <t>01a1212c-4c04-75ce-bbb2-e3322e18816e</t>
        </is>
      </c>
      <c r="M77" t="inlineStr">
        <is>
          <t>UNKNOWN</t>
        </is>
      </c>
      <c r="N77" t="inlineStr">
        <is>
          <t>DEFAULT</t>
        </is>
      </c>
      <c r="Q77" t="n">
        <v>0</v>
      </c>
      <c r="R77" t="inlineStr">
        <is>
          <t>AUD</t>
        </is>
      </c>
      <c r="S77" t="n">
        <v>0</v>
      </c>
      <c r="T77" t="inlineStr">
        <is>
          <t>AUD</t>
        </is>
      </c>
      <c r="U77" t="n">
        <v>0</v>
      </c>
    </row>
    <row r="78">
      <c r="A78" s="5" t="inlineStr">
        <is>
          <t>01a1212c-4ee2-74dc-ac5f-cb6469c7a2d3</t>
        </is>
      </c>
      <c r="C78" s="5" t="inlineStr">
        <is>
          <t>01a1212c-4b57-70cf-80fd-c2192cb3bf81</t>
        </is>
      </c>
      <c r="D78" s="4" t="n">
        <v>46304.62400854655</v>
      </c>
      <c r="E78" s="4" t="n">
        <v>46304.62400854663</v>
      </c>
      <c r="F78" t="b">
        <v>1</v>
      </c>
      <c r="G78" t="n">
        <v/>
      </c>
      <c r="H78" t="inlineStr">
        <is>
          <t>NWL</t>
        </is>
      </c>
      <c r="I78" t="inlineStr">
        <is>
          <t>Netwealth Group Ltd</t>
        </is>
      </c>
      <c r="J78" t="inlineStr">
        <is>
          <t>AUD</t>
        </is>
      </c>
      <c r="K78" s="5" t="inlineStr">
        <is>
          <t>01a1212c-4c04-75ce-bbb2-e3322e18816e</t>
        </is>
      </c>
      <c r="M78" t="inlineStr">
        <is>
          <t>UNKNOWN</t>
        </is>
      </c>
      <c r="N78" t="inlineStr">
        <is>
          <t>DEFAULT</t>
        </is>
      </c>
      <c r="Q78" t="n">
        <v>0</v>
      </c>
      <c r="R78" t="inlineStr">
        <is>
          <t>AUD</t>
        </is>
      </c>
      <c r="S78" t="n">
        <v>0</v>
      </c>
      <c r="T78" t="inlineStr">
        <is>
          <t>AUD</t>
        </is>
      </c>
      <c r="U78" t="n">
        <v>0</v>
      </c>
    </row>
    <row r="79">
      <c r="A79" s="5" t="inlineStr">
        <is>
          <t>01a1212c-4ee5-75c3-acec-865ae53377ce</t>
        </is>
      </c>
      <c r="C79" s="5" t="inlineStr">
        <is>
          <t>01a1212c-4b57-70cf-80fd-c2192cb3bf81</t>
        </is>
      </c>
      <c r="D79" s="4" t="n">
        <v>46304.62400858036</v>
      </c>
      <c r="E79" s="4" t="n">
        <v>46304.62400858044</v>
      </c>
      <c r="F79" t="b">
        <v>1</v>
      </c>
      <c r="G79" t="n">
        <v/>
      </c>
      <c r="H79" t="inlineStr">
        <is>
          <t>EDV</t>
        </is>
      </c>
      <c r="I79" t="inlineStr">
        <is>
          <t>Endeavour Group Ltd</t>
        </is>
      </c>
      <c r="J79" t="inlineStr">
        <is>
          <t>AUD</t>
        </is>
      </c>
      <c r="K79" s="5" t="inlineStr">
        <is>
          <t>01a1212c-4c04-75ce-bbb2-e3322e18816e</t>
        </is>
      </c>
      <c r="M79" t="inlineStr">
        <is>
          <t>UNKNOWN</t>
        </is>
      </c>
      <c r="N79" t="inlineStr">
        <is>
          <t>DEFAULT</t>
        </is>
      </c>
      <c r="Q79" t="n">
        <v>0</v>
      </c>
      <c r="R79" t="inlineStr">
        <is>
          <t>AUD</t>
        </is>
      </c>
      <c r="S79" t="n">
        <v>0</v>
      </c>
      <c r="T79" t="inlineStr">
        <is>
          <t>AUD</t>
        </is>
      </c>
      <c r="U79" t="n">
        <v>0</v>
      </c>
    </row>
    <row r="80">
      <c r="A80" s="5" t="inlineStr">
        <is>
          <t>01a1212c-4ee8-72e3-9e04-00b2d3e66f73</t>
        </is>
      </c>
      <c r="C80" s="5" t="inlineStr">
        <is>
          <t>01a1212c-4b57-70cf-80fd-c2192cb3bf81</t>
        </is>
      </c>
      <c r="D80" s="4" t="n">
        <v>46304.62400861383</v>
      </c>
      <c r="E80" s="4" t="n">
        <v>46304.62400861392</v>
      </c>
      <c r="F80" t="b">
        <v>1</v>
      </c>
      <c r="G80" t="n">
        <v/>
      </c>
      <c r="H80" t="inlineStr">
        <is>
          <t>DXS</t>
        </is>
      </c>
      <c r="I80" t="inlineStr">
        <is>
          <t>Dexus</t>
        </is>
      </c>
      <c r="J80" t="inlineStr">
        <is>
          <t>AUD</t>
        </is>
      </c>
      <c r="K80" s="5" t="inlineStr">
        <is>
          <t>01a1212c-4c04-75ce-bbb2-e3322e18816e</t>
        </is>
      </c>
      <c r="M80" t="inlineStr">
        <is>
          <t>STAPLED</t>
        </is>
      </c>
      <c r="N80" t="inlineStr">
        <is>
          <t>SUGGESTED</t>
        </is>
      </c>
      <c r="Q80" t="n">
        <v>0</v>
      </c>
      <c r="R80" t="inlineStr">
        <is>
          <t>AUD</t>
        </is>
      </c>
      <c r="S80" t="n">
        <v>0</v>
      </c>
      <c r="T80" t="inlineStr">
        <is>
          <t>AUD</t>
        </is>
      </c>
      <c r="U80" t="n">
        <v>0</v>
      </c>
    </row>
    <row r="81">
      <c r="A81" s="5" t="inlineStr">
        <is>
          <t>01a1212c-4eeb-7173-a11f-c58f8699b3ba</t>
        </is>
      </c>
      <c r="C81" s="5" t="inlineStr">
        <is>
          <t>01a1212c-4b57-70cf-80fd-c2192cb3bf81</t>
        </is>
      </c>
      <c r="D81" s="4" t="n">
        <v>46304.62400865852</v>
      </c>
      <c r="E81" s="4" t="n">
        <v>46304.62400865863</v>
      </c>
      <c r="F81" t="b">
        <v>1</v>
      </c>
      <c r="G81" t="n">
        <v/>
      </c>
      <c r="H81" t="inlineStr">
        <is>
          <t>CHC</t>
        </is>
      </c>
      <c r="I81" t="inlineStr">
        <is>
          <t>Charter Hall Group</t>
        </is>
      </c>
      <c r="J81" t="inlineStr">
        <is>
          <t>AUD</t>
        </is>
      </c>
      <c r="K81" s="5" t="inlineStr">
        <is>
          <t>01a1212c-4c04-75ce-bbb2-e3322e18816e</t>
        </is>
      </c>
      <c r="M81" t="inlineStr">
        <is>
          <t>STAPLED</t>
        </is>
      </c>
      <c r="N81" t="inlineStr">
        <is>
          <t>SUGGESTED</t>
        </is>
      </c>
      <c r="Q81" t="n">
        <v>0</v>
      </c>
      <c r="R81" t="inlineStr">
        <is>
          <t>AUD</t>
        </is>
      </c>
      <c r="S81" t="n">
        <v>0</v>
      </c>
      <c r="T81" t="inlineStr">
        <is>
          <t>AUD</t>
        </is>
      </c>
      <c r="U81" t="n">
        <v>0</v>
      </c>
    </row>
    <row r="82">
      <c r="A82" s="5" t="inlineStr">
        <is>
          <t>01a1212c-4eef-73fd-b518-db23f5cf8f5d</t>
        </is>
      </c>
      <c r="C82" s="5" t="inlineStr">
        <is>
          <t>01a1212c-4b57-70cf-80fd-c2192cb3bf81</t>
        </is>
      </c>
      <c r="D82" s="4" t="n">
        <v>46304.62400869752</v>
      </c>
      <c r="E82" s="4" t="n">
        <v>46304.6240086976</v>
      </c>
      <c r="F82" t="b">
        <v>1</v>
      </c>
      <c r="G82" t="n">
        <v/>
      </c>
      <c r="H82" t="inlineStr">
        <is>
          <t>ALX</t>
        </is>
      </c>
      <c r="I82" t="inlineStr">
        <is>
          <t>Atlas Arteria</t>
        </is>
      </c>
      <c r="J82" t="inlineStr">
        <is>
          <t>AUD</t>
        </is>
      </c>
      <c r="K82" s="5" t="inlineStr">
        <is>
          <t>01a1212c-4c04-75ce-bbb2-e3322e18816e</t>
        </is>
      </c>
      <c r="M82" t="inlineStr">
        <is>
          <t>UNKNOWN</t>
        </is>
      </c>
      <c r="N82" t="inlineStr">
        <is>
          <t>DEFAULT</t>
        </is>
      </c>
      <c r="Q82" t="n">
        <v>0</v>
      </c>
      <c r="R82" t="inlineStr">
        <is>
          <t>AUD</t>
        </is>
      </c>
      <c r="S82" t="n">
        <v>0</v>
      </c>
      <c r="T82" t="inlineStr">
        <is>
          <t>AUD</t>
        </is>
      </c>
      <c r="U82" t="n">
        <v>0</v>
      </c>
    </row>
    <row r="83">
      <c r="A83" s="5" t="inlineStr">
        <is>
          <t>01a1212c-4ef2-7583-a152-7c51cf61082e</t>
        </is>
      </c>
      <c r="C83" s="5" t="inlineStr">
        <is>
          <t>01a1212c-4b57-70cf-80fd-c2192cb3bf81</t>
        </is>
      </c>
      <c r="D83" s="4" t="n">
        <v>46304.62400872897</v>
      </c>
      <c r="E83" s="4" t="n">
        <v>46304.62400872905</v>
      </c>
      <c r="F83" t="b">
        <v>1</v>
      </c>
      <c r="G83" t="n">
        <v/>
      </c>
      <c r="H83" t="inlineStr">
        <is>
          <t>QUAL</t>
        </is>
      </c>
      <c r="I83" t="inlineStr">
        <is>
          <t>Vaneck MSCI International Quality ETF</t>
        </is>
      </c>
      <c r="J83" t="inlineStr">
        <is>
          <t>AUD</t>
        </is>
      </c>
      <c r="K83" s="5" t="inlineStr">
        <is>
          <t>01a1212c-4c04-75ce-bbb2-e3322e18816e</t>
        </is>
      </c>
      <c r="M83" t="inlineStr">
        <is>
          <t>UNIT_TRUST</t>
        </is>
      </c>
      <c r="N83" t="inlineStr">
        <is>
          <t>SUGGESTED</t>
        </is>
      </c>
      <c r="Q83" t="n">
        <v>0</v>
      </c>
      <c r="R83" t="inlineStr">
        <is>
          <t>AUD</t>
        </is>
      </c>
      <c r="S83" t="n">
        <v>0</v>
      </c>
      <c r="T83" t="inlineStr">
        <is>
          <t>AUD</t>
        </is>
      </c>
      <c r="U83" t="n">
        <v>0</v>
      </c>
    </row>
    <row r="84">
      <c r="A84" s="5" t="inlineStr">
        <is>
          <t>01a1212c-4ef5-72da-ab63-e2c810f72d5b</t>
        </is>
      </c>
      <c r="C84" s="5" t="inlineStr">
        <is>
          <t>01a1212c-4b57-70cf-80fd-c2192cb3bf81</t>
        </is>
      </c>
      <c r="D84" s="4" t="n">
        <v>46304.62400876612</v>
      </c>
      <c r="E84" s="4" t="n">
        <v>46304.6240087662</v>
      </c>
      <c r="F84" t="b">
        <v>1</v>
      </c>
      <c r="G84" t="n">
        <v/>
      </c>
      <c r="H84" t="inlineStr">
        <is>
          <t>QUB</t>
        </is>
      </c>
      <c r="I84" t="inlineStr">
        <is>
          <t>QUBE Holdings Ltd</t>
        </is>
      </c>
      <c r="J84" t="inlineStr">
        <is>
          <t>AUD</t>
        </is>
      </c>
      <c r="K84" s="5" t="inlineStr">
        <is>
          <t>01a1212c-4c04-75ce-bbb2-e3322e18816e</t>
        </is>
      </c>
      <c r="M84" t="inlineStr">
        <is>
          <t>UNKNOWN</t>
        </is>
      </c>
      <c r="N84" t="inlineStr">
        <is>
          <t>DEFAULT</t>
        </is>
      </c>
      <c r="Q84" t="n">
        <v>0</v>
      </c>
      <c r="R84" t="inlineStr">
        <is>
          <t>AUD</t>
        </is>
      </c>
      <c r="S84" t="n">
        <v>0</v>
      </c>
      <c r="T84" t="inlineStr">
        <is>
          <t>AUD</t>
        </is>
      </c>
      <c r="U84" t="n">
        <v>0</v>
      </c>
    </row>
    <row r="85">
      <c r="A85" s="5" t="inlineStr">
        <is>
          <t>01a1212c-4ef7-71b5-a3e1-006302ec1b40</t>
        </is>
      </c>
      <c r="C85" s="5" t="inlineStr">
        <is>
          <t>01a1212c-4b57-70cf-80fd-c2192cb3bf81</t>
        </is>
      </c>
      <c r="D85" s="4" t="n">
        <v>46304.62400879711</v>
      </c>
      <c r="E85" s="4" t="n">
        <v>46304.62400879719</v>
      </c>
      <c r="F85" t="b">
        <v>1</v>
      </c>
      <c r="G85" t="n">
        <v/>
      </c>
      <c r="H85" t="inlineStr">
        <is>
          <t>ALD</t>
        </is>
      </c>
      <c r="I85" t="inlineStr">
        <is>
          <t>Ampol Ltd</t>
        </is>
      </c>
      <c r="J85" t="inlineStr">
        <is>
          <t>AUD</t>
        </is>
      </c>
      <c r="K85" s="5" t="inlineStr">
        <is>
          <t>01a1212c-4c04-75ce-bbb2-e3322e18816e</t>
        </is>
      </c>
      <c r="M85" t="inlineStr">
        <is>
          <t>UNKNOWN</t>
        </is>
      </c>
      <c r="N85" t="inlineStr">
        <is>
          <t>DEFAULT</t>
        </is>
      </c>
      <c r="Q85" t="n">
        <v>0</v>
      </c>
      <c r="R85" t="inlineStr">
        <is>
          <t>AUD</t>
        </is>
      </c>
      <c r="S85" t="n">
        <v>0</v>
      </c>
      <c r="T85" t="inlineStr">
        <is>
          <t>AUD</t>
        </is>
      </c>
      <c r="U85" t="n">
        <v>0</v>
      </c>
    </row>
    <row r="86">
      <c r="A86" s="5" t="inlineStr">
        <is>
          <t>01a1212c-4efa-75f8-b2b1-decfdc2f256d</t>
        </is>
      </c>
      <c r="C86" s="5" t="inlineStr">
        <is>
          <t>01a1212c-4b57-70cf-80fd-c2192cb3bf81</t>
        </is>
      </c>
      <c r="D86" s="4" t="n">
        <v>46304.62400882795</v>
      </c>
      <c r="E86" s="4" t="n">
        <v>46304.62400882802</v>
      </c>
      <c r="F86" t="b">
        <v>1</v>
      </c>
      <c r="G86" t="n">
        <v/>
      </c>
      <c r="H86" t="inlineStr">
        <is>
          <t>MIN</t>
        </is>
      </c>
      <c r="I86" t="inlineStr">
        <is>
          <t>Mineral Resources Ltd</t>
        </is>
      </c>
      <c r="J86" t="inlineStr">
        <is>
          <t>AUD</t>
        </is>
      </c>
      <c r="K86" s="5" t="inlineStr">
        <is>
          <t>01a1212c-4c04-75ce-bbb2-e3322e18816e</t>
        </is>
      </c>
      <c r="M86" t="inlineStr">
        <is>
          <t>UNKNOWN</t>
        </is>
      </c>
      <c r="N86" t="inlineStr">
        <is>
          <t>DEFAULT</t>
        </is>
      </c>
      <c r="Q86" t="n">
        <v>0</v>
      </c>
      <c r="R86" t="inlineStr">
        <is>
          <t>AUD</t>
        </is>
      </c>
      <c r="S86" t="n">
        <v>0</v>
      </c>
      <c r="T86" t="inlineStr">
        <is>
          <t>AUD</t>
        </is>
      </c>
      <c r="U86" t="n">
        <v>0</v>
      </c>
    </row>
    <row r="87">
      <c r="A87" s="5" t="inlineStr">
        <is>
          <t>01a1212c-4efd-765b-b732-9ff2388e155f</t>
        </is>
      </c>
      <c r="C87" s="5" t="inlineStr">
        <is>
          <t>01a1212c-4b57-70cf-80fd-c2192cb3bf81</t>
        </is>
      </c>
      <c r="D87" s="4" t="n">
        <v>46304.62400885913</v>
      </c>
      <c r="E87" s="4" t="n">
        <v>46304.6240088592</v>
      </c>
      <c r="F87" t="b">
        <v>1</v>
      </c>
      <c r="G87" t="n">
        <v/>
      </c>
      <c r="H87" t="inlineStr">
        <is>
          <t>XYZ</t>
        </is>
      </c>
      <c r="I87" t="inlineStr">
        <is>
          <t>Block, Inc</t>
        </is>
      </c>
      <c r="J87" t="inlineStr">
        <is>
          <t>AUD</t>
        </is>
      </c>
      <c r="K87" s="5" t="inlineStr">
        <is>
          <t>01a1212c-4c04-75ce-bbb2-e3322e18816e</t>
        </is>
      </c>
      <c r="M87" t="inlineStr">
        <is>
          <t>UNKNOWN</t>
        </is>
      </c>
      <c r="N87" t="inlineStr">
        <is>
          <t>DEFAULT</t>
        </is>
      </c>
      <c r="Q87" t="n">
        <v>0</v>
      </c>
      <c r="R87" t="inlineStr">
        <is>
          <t>AUD</t>
        </is>
      </c>
      <c r="S87" t="n">
        <v>0</v>
      </c>
      <c r="T87" t="inlineStr">
        <is>
          <t>AUD</t>
        </is>
      </c>
      <c r="U87" t="n">
        <v>0</v>
      </c>
    </row>
    <row r="88">
      <c r="A88" s="5" t="inlineStr">
        <is>
          <t>01a1212c-4f00-74bc-a456-22b9c64a95d8</t>
        </is>
      </c>
      <c r="C88" s="5" t="inlineStr">
        <is>
          <t>01a1212c-4b57-70cf-80fd-c2192cb3bf81</t>
        </is>
      </c>
      <c r="D88" s="4" t="n">
        <v>46304.62400889431</v>
      </c>
      <c r="E88" s="4" t="n">
        <v>46304.6240088944</v>
      </c>
      <c r="F88" t="b">
        <v>1</v>
      </c>
      <c r="G88" t="n">
        <v/>
      </c>
      <c r="H88" t="inlineStr">
        <is>
          <t>PLS</t>
        </is>
      </c>
      <c r="I88" t="inlineStr">
        <is>
          <t>Pilbara Minerals Ltd</t>
        </is>
      </c>
      <c r="J88" t="inlineStr">
        <is>
          <t>AUD</t>
        </is>
      </c>
      <c r="K88" s="5" t="inlineStr">
        <is>
          <t>01a1212c-4c04-75ce-bbb2-e3322e18816e</t>
        </is>
      </c>
      <c r="M88" t="inlineStr">
        <is>
          <t>UNKNOWN</t>
        </is>
      </c>
      <c r="N88" t="inlineStr">
        <is>
          <t>DEFAULT</t>
        </is>
      </c>
      <c r="Q88" t="n">
        <v>0</v>
      </c>
      <c r="R88" t="inlineStr">
        <is>
          <t>AUD</t>
        </is>
      </c>
      <c r="S88" t="n">
        <v>0</v>
      </c>
      <c r="T88" t="inlineStr">
        <is>
          <t>AUD</t>
        </is>
      </c>
      <c r="U88" t="n">
        <v>0</v>
      </c>
    </row>
    <row r="89">
      <c r="A89" s="5" t="inlineStr">
        <is>
          <t>01a1212c-4f03-76a4-942d-a401878d3524</t>
        </is>
      </c>
      <c r="C89" s="5" t="inlineStr">
        <is>
          <t>01a1212c-4b57-70cf-80fd-c2192cb3bf81</t>
        </is>
      </c>
      <c r="D89" s="4" t="n">
        <v>46304.62400892684</v>
      </c>
      <c r="E89" s="4" t="n">
        <v>46304.62400892694</v>
      </c>
      <c r="F89" t="b">
        <v>1</v>
      </c>
      <c r="G89" t="n">
        <v/>
      </c>
      <c r="H89" t="inlineStr">
        <is>
          <t>ARG</t>
        </is>
      </c>
      <c r="I89" t="inlineStr">
        <is>
          <t>Argo Investments Ltd</t>
        </is>
      </c>
      <c r="J89" t="inlineStr">
        <is>
          <t>AUD</t>
        </is>
      </c>
      <c r="K89" s="5" t="inlineStr">
        <is>
          <t>01a1212c-4c04-75ce-bbb2-e3322e18816e</t>
        </is>
      </c>
      <c r="M89" t="inlineStr">
        <is>
          <t>COMPANY</t>
        </is>
      </c>
      <c r="N89" t="inlineStr">
        <is>
          <t>SUGGESTED</t>
        </is>
      </c>
      <c r="Q89" t="n">
        <v>0</v>
      </c>
      <c r="R89" t="inlineStr">
        <is>
          <t>AUD</t>
        </is>
      </c>
      <c r="S89" t="n">
        <v>0</v>
      </c>
      <c r="T89" t="inlineStr">
        <is>
          <t>AUD</t>
        </is>
      </c>
      <c r="U89" t="n">
        <v>0</v>
      </c>
    </row>
    <row r="90">
      <c r="A90" s="5" t="inlineStr">
        <is>
          <t>01a1212c-4f06-7414-b27a-37bd75a6ba95</t>
        </is>
      </c>
      <c r="C90" s="5" t="inlineStr">
        <is>
          <t>01a1212c-4b57-70cf-80fd-c2192cb3bf81</t>
        </is>
      </c>
      <c r="D90" s="4" t="n">
        <v>46304.62400896393</v>
      </c>
      <c r="E90" s="4" t="n">
        <v>46304.62400896403</v>
      </c>
      <c r="F90" t="b">
        <v>1</v>
      </c>
      <c r="G90" t="n">
        <v/>
      </c>
      <c r="H90" t="inlineStr">
        <is>
          <t>MEZ</t>
        </is>
      </c>
      <c r="I90" t="inlineStr">
        <is>
          <t>Meridian Energy Ltd</t>
        </is>
      </c>
      <c r="J90" t="inlineStr">
        <is>
          <t>AUD</t>
        </is>
      </c>
      <c r="K90" s="5" t="inlineStr">
        <is>
          <t>01a1212c-4c04-75ce-bbb2-e3322e18816e</t>
        </is>
      </c>
      <c r="M90" t="inlineStr">
        <is>
          <t>UNKNOWN</t>
        </is>
      </c>
      <c r="N90" t="inlineStr">
        <is>
          <t>DEFAULT</t>
        </is>
      </c>
      <c r="Q90" t="n">
        <v>0</v>
      </c>
      <c r="R90" t="inlineStr">
        <is>
          <t>AUD</t>
        </is>
      </c>
      <c r="S90" t="n">
        <v>0</v>
      </c>
      <c r="T90" t="inlineStr">
        <is>
          <t>AUD</t>
        </is>
      </c>
      <c r="U90" t="n">
        <v>0</v>
      </c>
    </row>
    <row r="91">
      <c r="A91" s="5" t="inlineStr">
        <is>
          <t>01a1212c-4f09-703e-a641-6d0730b029e7</t>
        </is>
      </c>
      <c r="C91" s="5" t="inlineStr">
        <is>
          <t>01a1212c-4b57-70cf-80fd-c2192cb3bf81</t>
        </is>
      </c>
      <c r="D91" s="4" t="n">
        <v>46304.62400899776</v>
      </c>
      <c r="E91" s="4" t="n">
        <v>46304.62400899786</v>
      </c>
      <c r="F91" t="b">
        <v>1</v>
      </c>
      <c r="G91" t="n">
        <v/>
      </c>
      <c r="H91" t="inlineStr">
        <is>
          <t>EBO</t>
        </is>
      </c>
      <c r="I91" t="inlineStr">
        <is>
          <t>Ebos Group Ltd</t>
        </is>
      </c>
      <c r="J91" t="inlineStr">
        <is>
          <t>AUD</t>
        </is>
      </c>
      <c r="K91" s="5" t="inlineStr">
        <is>
          <t>01a1212c-4c04-75ce-bbb2-e3322e18816e</t>
        </is>
      </c>
      <c r="M91" t="inlineStr">
        <is>
          <t>UNKNOWN</t>
        </is>
      </c>
      <c r="N91" t="inlineStr">
        <is>
          <t>DEFAULT</t>
        </is>
      </c>
      <c r="Q91" t="n">
        <v>0</v>
      </c>
      <c r="R91" t="inlineStr">
        <is>
          <t>AUD</t>
        </is>
      </c>
      <c r="S91" t="n">
        <v>0</v>
      </c>
      <c r="T91" t="inlineStr">
        <is>
          <t>AUD</t>
        </is>
      </c>
      <c r="U91" t="n">
        <v>0</v>
      </c>
    </row>
    <row r="92">
      <c r="A92" s="5" t="inlineStr">
        <is>
          <t>01a1212c-4f0c-7495-bf2f-365831a2c9ca</t>
        </is>
      </c>
      <c r="C92" s="5" t="inlineStr">
        <is>
          <t>01a1212c-4b57-70cf-80fd-c2192cb3bf81</t>
        </is>
      </c>
      <c r="D92" s="4" t="n">
        <v>46304.62400903474</v>
      </c>
      <c r="E92" s="4" t="n">
        <v>46304.62400903485</v>
      </c>
      <c r="F92" t="b">
        <v>1</v>
      </c>
      <c r="G92" t="n">
        <v/>
      </c>
      <c r="H92" t="inlineStr">
        <is>
          <t>IOZ</t>
        </is>
      </c>
      <c r="I92" t="inlineStr">
        <is>
          <t>Ishares Core S&amp;P/ASX 200 ETF</t>
        </is>
      </c>
      <c r="J92" t="inlineStr">
        <is>
          <t>AUD</t>
        </is>
      </c>
      <c r="K92" s="5" t="inlineStr">
        <is>
          <t>01a1212c-4c04-75ce-bbb2-e3322e18816e</t>
        </is>
      </c>
      <c r="M92" t="inlineStr">
        <is>
          <t>UNIT_TRUST</t>
        </is>
      </c>
      <c r="N92" t="inlineStr">
        <is>
          <t>SUGGESTED</t>
        </is>
      </c>
      <c r="Q92" t="n">
        <v>0</v>
      </c>
      <c r="R92" t="inlineStr">
        <is>
          <t>AUD</t>
        </is>
      </c>
      <c r="S92" t="n">
        <v>0</v>
      </c>
      <c r="T92" t="inlineStr">
        <is>
          <t>AUD</t>
        </is>
      </c>
      <c r="U92" t="n">
        <v>0</v>
      </c>
    </row>
    <row r="93">
      <c r="A93" s="5" t="inlineStr">
        <is>
          <t>01a1212c-4f0f-77cd-947b-30402a44faa3</t>
        </is>
      </c>
      <c r="C93" s="5" t="inlineStr">
        <is>
          <t>01a1212c-4b57-70cf-80fd-c2192cb3bf81</t>
        </is>
      </c>
      <c r="D93" s="4" t="n">
        <v>46304.62400907239</v>
      </c>
      <c r="E93" s="4" t="n">
        <v>46304.6241736685</v>
      </c>
      <c r="F93" t="b">
        <v>1</v>
      </c>
      <c r="G93" t="n">
        <v/>
      </c>
      <c r="H93" t="inlineStr">
        <is>
          <t>A200</t>
        </is>
      </c>
      <c r="I93" t="inlineStr">
        <is>
          <t>Betashares Australia 200 ETF</t>
        </is>
      </c>
      <c r="J93" t="inlineStr">
        <is>
          <t>AUD</t>
        </is>
      </c>
      <c r="K93" s="5" t="inlineStr">
        <is>
          <t>01a1212c-4c04-75ce-bbb2-e3322e18816e</t>
        </is>
      </c>
      <c r="M93" t="inlineStr">
        <is>
          <t>UNIT_TRUST</t>
        </is>
      </c>
      <c r="N93" t="inlineStr">
        <is>
          <t>SUGGESTED</t>
        </is>
      </c>
      <c r="Q93" t="n">
        <v>951</v>
      </c>
      <c r="R93" t="inlineStr">
        <is>
          <t>AUD</t>
        </is>
      </c>
      <c r="S93" t="n">
        <v>0</v>
      </c>
      <c r="T93" t="inlineStr">
        <is>
          <t>AUD</t>
        </is>
      </c>
      <c r="U93" t="n">
        <v>0</v>
      </c>
    </row>
    <row r="94">
      <c r="A94" s="5" t="inlineStr">
        <is>
          <t>01a1212c-4f13-750a-b80a-4a7c1f78fb42</t>
        </is>
      </c>
      <c r="C94" s="5" t="inlineStr">
        <is>
          <t>01a1212c-4b57-70cf-80fd-c2192cb3bf81</t>
        </is>
      </c>
      <c r="D94" s="4" t="n">
        <v>46304.62400911054</v>
      </c>
      <c r="E94" s="4" t="n">
        <v>46304.62400911064</v>
      </c>
      <c r="F94" t="b">
        <v>1</v>
      </c>
      <c r="G94" t="n">
        <v/>
      </c>
      <c r="H94" t="inlineStr">
        <is>
          <t>SDF</t>
        </is>
      </c>
      <c r="I94" t="inlineStr">
        <is>
          <t>Steadfast Group Ltd</t>
        </is>
      </c>
      <c r="J94" t="inlineStr">
        <is>
          <t>AUD</t>
        </is>
      </c>
      <c r="K94" s="5" t="inlineStr">
        <is>
          <t>01a1212c-4c04-75ce-bbb2-e3322e18816e</t>
        </is>
      </c>
      <c r="M94" t="inlineStr">
        <is>
          <t>UNKNOWN</t>
        </is>
      </c>
      <c r="N94" t="inlineStr">
        <is>
          <t>DEFAULT</t>
        </is>
      </c>
      <c r="Q94" t="n">
        <v>0</v>
      </c>
      <c r="R94" t="inlineStr">
        <is>
          <t>AUD</t>
        </is>
      </c>
      <c r="S94" t="n">
        <v>0</v>
      </c>
      <c r="T94" t="inlineStr">
        <is>
          <t>AUD</t>
        </is>
      </c>
      <c r="U94" t="n">
        <v>0</v>
      </c>
    </row>
    <row r="95">
      <c r="A95" s="5" t="inlineStr">
        <is>
          <t>01a1212c-4f15-76e4-b407-01442c41e2cd</t>
        </is>
      </c>
      <c r="C95" s="5" t="inlineStr">
        <is>
          <t>01a1212c-4b57-70cf-80fd-c2192cb3bf81</t>
        </is>
      </c>
      <c r="D95" s="4" t="n">
        <v>46304.62400914338</v>
      </c>
      <c r="E95" s="4" t="n">
        <v>46304.62400914348</v>
      </c>
      <c r="F95" t="b">
        <v>1</v>
      </c>
      <c r="G95" t="n">
        <v/>
      </c>
      <c r="H95" t="inlineStr">
        <is>
          <t>HUB</t>
        </is>
      </c>
      <c r="I95" t="inlineStr">
        <is>
          <t>HUB24 Ltd</t>
        </is>
      </c>
      <c r="J95" t="inlineStr">
        <is>
          <t>AUD</t>
        </is>
      </c>
      <c r="K95" s="5" t="inlineStr">
        <is>
          <t>01a1212c-4c04-75ce-bbb2-e3322e18816e</t>
        </is>
      </c>
      <c r="M95" t="inlineStr">
        <is>
          <t>UNKNOWN</t>
        </is>
      </c>
      <c r="N95" t="inlineStr">
        <is>
          <t>DEFAULT</t>
        </is>
      </c>
      <c r="Q95" t="n">
        <v>0</v>
      </c>
      <c r="R95" t="inlineStr">
        <is>
          <t>AUD</t>
        </is>
      </c>
      <c r="S95" t="n">
        <v>0</v>
      </c>
      <c r="T95" t="inlineStr">
        <is>
          <t>AUD</t>
        </is>
      </c>
      <c r="U95" t="n">
        <v>0</v>
      </c>
    </row>
    <row r="96">
      <c r="A96" s="5" t="inlineStr">
        <is>
          <t>01a1212c-4f18-75e3-bdda-8c01ffee3172</t>
        </is>
      </c>
      <c r="C96" s="5" t="inlineStr">
        <is>
          <t>01a1212c-4b57-70cf-80fd-c2192cb3bf81</t>
        </is>
      </c>
      <c r="D96" s="4" t="n">
        <v>46304.62400917914</v>
      </c>
      <c r="E96" s="4" t="n">
        <v>46304.62400917924</v>
      </c>
      <c r="F96" t="b">
        <v>1</v>
      </c>
      <c r="G96" t="n">
        <v/>
      </c>
      <c r="H96" t="inlineStr">
        <is>
          <t>CWY</t>
        </is>
      </c>
      <c r="I96" t="inlineStr">
        <is>
          <t>Cleanaway Waste Management Ltd</t>
        </is>
      </c>
      <c r="J96" t="inlineStr">
        <is>
          <t>AUD</t>
        </is>
      </c>
      <c r="K96" s="5" t="inlineStr">
        <is>
          <t>01a1212c-4c04-75ce-bbb2-e3322e18816e</t>
        </is>
      </c>
      <c r="M96" t="inlineStr">
        <is>
          <t>UNKNOWN</t>
        </is>
      </c>
      <c r="N96" t="inlineStr">
        <is>
          <t>DEFAULT</t>
        </is>
      </c>
      <c r="Q96" t="n">
        <v>0</v>
      </c>
      <c r="R96" t="inlineStr">
        <is>
          <t>AUD</t>
        </is>
      </c>
      <c r="S96" t="n">
        <v>0</v>
      </c>
      <c r="T96" t="inlineStr">
        <is>
          <t>AUD</t>
        </is>
      </c>
      <c r="U96" t="n">
        <v>0</v>
      </c>
    </row>
    <row r="97">
      <c r="A97" s="5" t="inlineStr">
        <is>
          <t>01a1212c-4f1b-73c0-80db-0fa9668a8a11</t>
        </is>
      </c>
      <c r="C97" s="5" t="inlineStr">
        <is>
          <t>01a1212c-4b57-70cf-80fd-c2192cb3bf81</t>
        </is>
      </c>
      <c r="D97" s="4" t="n">
        <v>46304.62400921154</v>
      </c>
      <c r="E97" s="4" t="n">
        <v>46304.62400921163</v>
      </c>
      <c r="F97" t="b">
        <v>1</v>
      </c>
      <c r="G97" t="n">
        <v/>
      </c>
      <c r="H97" t="inlineStr">
        <is>
          <t>HVN</t>
        </is>
      </c>
      <c r="I97" t="inlineStr">
        <is>
          <t>Harvey Norman Holdings Ltd</t>
        </is>
      </c>
      <c r="J97" t="inlineStr">
        <is>
          <t>AUD</t>
        </is>
      </c>
      <c r="K97" s="5" t="inlineStr">
        <is>
          <t>01a1212c-4c04-75ce-bbb2-e3322e18816e</t>
        </is>
      </c>
      <c r="M97" t="inlineStr">
        <is>
          <t>UNKNOWN</t>
        </is>
      </c>
      <c r="N97" t="inlineStr">
        <is>
          <t>DEFAULT</t>
        </is>
      </c>
      <c r="Q97" t="n">
        <v>0</v>
      </c>
      <c r="R97" t="inlineStr">
        <is>
          <t>AUD</t>
        </is>
      </c>
      <c r="S97" t="n">
        <v>0</v>
      </c>
      <c r="T97" t="inlineStr">
        <is>
          <t>AUD</t>
        </is>
      </c>
      <c r="U97" t="n">
        <v>0</v>
      </c>
    </row>
    <row r="98">
      <c r="A98" s="5" t="inlineStr">
        <is>
          <t>01a1212c-4f1e-73dd-9632-17867e8a6d6d</t>
        </is>
      </c>
      <c r="C98" s="5" t="inlineStr">
        <is>
          <t>01a1212c-4b57-70cf-80fd-c2192cb3bf81</t>
        </is>
      </c>
      <c r="D98" s="4" t="n">
        <v>46304.62400924476</v>
      </c>
      <c r="E98" s="4" t="n">
        <v>46304.62400924485</v>
      </c>
      <c r="F98" t="b">
        <v>1</v>
      </c>
      <c r="G98" t="n">
        <v/>
      </c>
      <c r="H98" t="inlineStr">
        <is>
          <t>NDQ</t>
        </is>
      </c>
      <c r="I98" t="inlineStr">
        <is>
          <t>Betashares Nasdaq 100 ETF</t>
        </is>
      </c>
      <c r="J98" t="inlineStr">
        <is>
          <t>AUD</t>
        </is>
      </c>
      <c r="K98" s="5" t="inlineStr">
        <is>
          <t>01a1212c-4c04-75ce-bbb2-e3322e18816e</t>
        </is>
      </c>
      <c r="M98" t="inlineStr">
        <is>
          <t>UNIT_TRUST</t>
        </is>
      </c>
      <c r="N98" t="inlineStr">
        <is>
          <t>SUGGESTED</t>
        </is>
      </c>
      <c r="Q98" t="n">
        <v>0</v>
      </c>
      <c r="R98" t="inlineStr">
        <is>
          <t>AUD</t>
        </is>
      </c>
      <c r="S98" t="n">
        <v>0</v>
      </c>
      <c r="T98" t="inlineStr">
        <is>
          <t>AUD</t>
        </is>
      </c>
      <c r="U98" t="n">
        <v>0</v>
      </c>
    </row>
    <row r="99">
      <c r="A99" s="5" t="inlineStr">
        <is>
          <t>01a1212c-4f21-771a-ae5e-348a553c889f</t>
        </is>
      </c>
      <c r="C99" s="5" t="inlineStr">
        <is>
          <t>01a1212c-4b57-70cf-80fd-c2192cb3bf81</t>
        </is>
      </c>
      <c r="D99" s="4" t="n">
        <v>46304.62400927988</v>
      </c>
      <c r="E99" s="4" t="n">
        <v>46304.62400927998</v>
      </c>
      <c r="F99" t="b">
        <v>1</v>
      </c>
      <c r="G99" t="n">
        <v/>
      </c>
      <c r="H99" t="inlineStr">
        <is>
          <t>LYC</t>
        </is>
      </c>
      <c r="I99" t="inlineStr">
        <is>
          <t>Lynas Rare EARTHS Ltd</t>
        </is>
      </c>
      <c r="J99" t="inlineStr">
        <is>
          <t>AUD</t>
        </is>
      </c>
      <c r="K99" s="5" t="inlineStr">
        <is>
          <t>01a1212c-4c04-75ce-bbb2-e3322e18816e</t>
        </is>
      </c>
      <c r="M99" t="inlineStr">
        <is>
          <t>UNKNOWN</t>
        </is>
      </c>
      <c r="N99" t="inlineStr">
        <is>
          <t>DEFAULT</t>
        </is>
      </c>
      <c r="Q99" t="n">
        <v>0</v>
      </c>
      <c r="R99" t="inlineStr">
        <is>
          <t>AUD</t>
        </is>
      </c>
      <c r="S99" t="n">
        <v>0</v>
      </c>
      <c r="T99" t="inlineStr">
        <is>
          <t>AUD</t>
        </is>
      </c>
      <c r="U99" t="n">
        <v>0</v>
      </c>
    </row>
    <row r="100">
      <c r="A100" s="5" t="inlineStr">
        <is>
          <t>01a1212c-4f24-74a6-9fa6-f5aa37162c90</t>
        </is>
      </c>
      <c r="C100" s="5" t="inlineStr">
        <is>
          <t>01a1212c-4b57-70cf-80fd-c2192cb3bf81</t>
        </is>
      </c>
      <c r="D100" s="4" t="n">
        <v>46304.62400931305</v>
      </c>
      <c r="E100" s="4" t="n">
        <v>46304.62400931315</v>
      </c>
      <c r="F100" t="b">
        <v>1</v>
      </c>
      <c r="G100" t="n">
        <v/>
      </c>
      <c r="H100" t="inlineStr">
        <is>
          <t>GQG</t>
        </is>
      </c>
      <c r="I100" t="inlineStr">
        <is>
          <t>GQG Partners Inc</t>
        </is>
      </c>
      <c r="J100" t="inlineStr">
        <is>
          <t>AUD</t>
        </is>
      </c>
      <c r="K100" s="5" t="inlineStr">
        <is>
          <t>01a1212c-4c04-75ce-bbb2-e3322e18816e</t>
        </is>
      </c>
      <c r="M100" t="inlineStr">
        <is>
          <t>UNKNOWN</t>
        </is>
      </c>
      <c r="N100" t="inlineStr">
        <is>
          <t>DEFAULT</t>
        </is>
      </c>
      <c r="Q100" t="n">
        <v>0</v>
      </c>
      <c r="R100" t="inlineStr">
        <is>
          <t>AUD</t>
        </is>
      </c>
      <c r="S100" t="n">
        <v>0</v>
      </c>
      <c r="T100" t="inlineStr">
        <is>
          <t>AUD</t>
        </is>
      </c>
      <c r="U100" t="n">
        <v>0</v>
      </c>
    </row>
    <row r="101">
      <c r="A101" s="5" t="inlineStr">
        <is>
          <t>01a1212c-4f27-7082-943e-3a7b67730ee7</t>
        </is>
      </c>
      <c r="C101" s="5" t="inlineStr">
        <is>
          <t>01a1212c-4b57-70cf-80fd-c2192cb3bf81</t>
        </is>
      </c>
      <c r="D101" s="4" t="n">
        <v>46304.62400934436</v>
      </c>
      <c r="E101" s="4" t="n">
        <v>46304.62400934444</v>
      </c>
      <c r="F101" t="b">
        <v>1</v>
      </c>
      <c r="G101" t="n">
        <v/>
      </c>
      <c r="H101" t="inlineStr">
        <is>
          <t>PNI</t>
        </is>
      </c>
      <c r="I101" t="inlineStr">
        <is>
          <t>Pinnacle Investment Management Group Ltd</t>
        </is>
      </c>
      <c r="J101" t="inlineStr">
        <is>
          <t>AUD</t>
        </is>
      </c>
      <c r="K101" s="5" t="inlineStr">
        <is>
          <t>01a1212c-4c04-75ce-bbb2-e3322e18816e</t>
        </is>
      </c>
      <c r="M101" t="inlineStr">
        <is>
          <t>UNKNOWN</t>
        </is>
      </c>
      <c r="N101" t="inlineStr">
        <is>
          <t>DEFAULT</t>
        </is>
      </c>
      <c r="Q101" t="n">
        <v>0</v>
      </c>
      <c r="R101" t="inlineStr">
        <is>
          <t>AUD</t>
        </is>
      </c>
      <c r="S101" t="n">
        <v>0</v>
      </c>
      <c r="T101" t="inlineStr">
        <is>
          <t>AUD</t>
        </is>
      </c>
      <c r="U101" t="n">
        <v>0</v>
      </c>
    </row>
    <row r="102">
      <c r="A102" s="5" t="inlineStr">
        <is>
          <t>01a1212c-4f2a-739c-81f6-05a26e4bb755</t>
        </is>
      </c>
      <c r="C102" s="5" t="inlineStr">
        <is>
          <t>01a1212c-4b57-70cf-80fd-c2192cb3bf81</t>
        </is>
      </c>
      <c r="D102" s="4" t="n">
        <v>46304.62400937951</v>
      </c>
      <c r="E102" s="4" t="n">
        <v>46304.62400937959</v>
      </c>
      <c r="F102" t="b">
        <v>1</v>
      </c>
      <c r="G102" t="n">
        <v/>
      </c>
      <c r="H102" t="inlineStr">
        <is>
          <t>AZJ</t>
        </is>
      </c>
      <c r="I102" t="inlineStr">
        <is>
          <t>Aurizon Holdings Ltd</t>
        </is>
      </c>
      <c r="J102" t="inlineStr">
        <is>
          <t>AUD</t>
        </is>
      </c>
      <c r="K102" s="5" t="inlineStr">
        <is>
          <t>01a1212c-4c04-75ce-bbb2-e3322e18816e</t>
        </is>
      </c>
      <c r="M102" t="inlineStr">
        <is>
          <t>UNKNOWN</t>
        </is>
      </c>
      <c r="N102" t="inlineStr">
        <is>
          <t>DEFAULT</t>
        </is>
      </c>
      <c r="Q102" t="n">
        <v>0</v>
      </c>
      <c r="R102" t="inlineStr">
        <is>
          <t>AUD</t>
        </is>
      </c>
      <c r="S102" t="n">
        <v>0</v>
      </c>
      <c r="T102" t="inlineStr">
        <is>
          <t>AUD</t>
        </is>
      </c>
      <c r="U102" t="n">
        <v>0</v>
      </c>
    </row>
    <row r="103">
      <c r="A103" s="5" t="inlineStr">
        <is>
          <t>01a1212c-4f2d-7466-a887-6f0f95fc6f3b</t>
        </is>
      </c>
      <c r="C103" s="5" t="inlineStr">
        <is>
          <t>01a1212c-4b57-70cf-80fd-c2192cb3bf81</t>
        </is>
      </c>
      <c r="D103" s="4" t="n">
        <v>46304.62400941301</v>
      </c>
      <c r="E103" s="4" t="n">
        <v>46304.62400941309</v>
      </c>
      <c r="F103" t="b">
        <v>1</v>
      </c>
      <c r="G103" t="n">
        <v/>
      </c>
      <c r="H103" t="inlineStr">
        <is>
          <t>VTS</t>
        </is>
      </c>
      <c r="I103" t="inlineStr">
        <is>
          <t>Vanguard US Total Market Shares INDEX ETF</t>
        </is>
      </c>
      <c r="J103" t="inlineStr">
        <is>
          <t>AUD</t>
        </is>
      </c>
      <c r="K103" s="5" t="inlineStr">
        <is>
          <t>01a1212c-4c04-75ce-bbb2-e3322e18816e</t>
        </is>
      </c>
      <c r="M103" t="inlineStr">
        <is>
          <t>UNIT_TRUST</t>
        </is>
      </c>
      <c r="N103" t="inlineStr">
        <is>
          <t>SUGGESTED</t>
        </is>
      </c>
      <c r="Q103" t="n">
        <v>0</v>
      </c>
      <c r="R103" t="inlineStr">
        <is>
          <t>AUD</t>
        </is>
      </c>
      <c r="S103" t="n">
        <v>0</v>
      </c>
      <c r="T103" t="inlineStr">
        <is>
          <t>AUD</t>
        </is>
      </c>
      <c r="U103" t="n">
        <v>0</v>
      </c>
    </row>
    <row r="104">
      <c r="A104" s="5" t="inlineStr">
        <is>
          <t>01a1212c-4f30-72a1-8cd7-c5088f4c7e02</t>
        </is>
      </c>
      <c r="C104" s="5" t="inlineStr">
        <is>
          <t>01a1212c-4b57-70cf-80fd-c2192cb3bf81</t>
        </is>
      </c>
      <c r="D104" s="4" t="n">
        <v>46304.62400945106</v>
      </c>
      <c r="E104" s="4" t="n">
        <v>46304.62400945114</v>
      </c>
      <c r="F104" t="b">
        <v>1</v>
      </c>
      <c r="G104" t="n">
        <v/>
      </c>
      <c r="H104" t="inlineStr">
        <is>
          <t>STW</t>
        </is>
      </c>
      <c r="I104" t="inlineStr">
        <is>
          <t>SPDR S&amp;P/ASX 200 Fund</t>
        </is>
      </c>
      <c r="J104" t="inlineStr">
        <is>
          <t>AUD</t>
        </is>
      </c>
      <c r="K104" s="5" t="inlineStr">
        <is>
          <t>01a1212c-4c04-75ce-bbb2-e3322e18816e</t>
        </is>
      </c>
      <c r="M104" t="inlineStr">
        <is>
          <t>UNIT_TRUST</t>
        </is>
      </c>
      <c r="N104" t="inlineStr">
        <is>
          <t>SUGGESTED</t>
        </is>
      </c>
      <c r="Q104" t="n">
        <v>0</v>
      </c>
      <c r="R104" t="inlineStr">
        <is>
          <t>AUD</t>
        </is>
      </c>
      <c r="S104" t="n">
        <v>0</v>
      </c>
      <c r="T104" t="inlineStr">
        <is>
          <t>AUD</t>
        </is>
      </c>
      <c r="U104" t="n">
        <v>0</v>
      </c>
    </row>
    <row r="105">
      <c r="A105" s="5" t="inlineStr">
        <is>
          <t>01a1212c-4f33-7555-8321-a6a7e2a1ec45</t>
        </is>
      </c>
      <c r="C105" s="5" t="inlineStr">
        <is>
          <t>01a1212c-4b57-70cf-80fd-c2192cb3bf81</t>
        </is>
      </c>
      <c r="D105" s="4" t="n">
        <v>46304.62400948539</v>
      </c>
      <c r="E105" s="4" t="n">
        <v>46304.62400948547</v>
      </c>
      <c r="F105" t="b">
        <v>1</v>
      </c>
      <c r="G105" t="n">
        <v/>
      </c>
      <c r="H105" t="inlineStr">
        <is>
          <t>IPL</t>
        </is>
      </c>
      <c r="I105" t="inlineStr">
        <is>
          <t>Incitec Pivot Ltd</t>
        </is>
      </c>
      <c r="J105" t="inlineStr">
        <is>
          <t>AUD</t>
        </is>
      </c>
      <c r="K105" s="5" t="inlineStr">
        <is>
          <t>01a1212c-4c04-75ce-bbb2-e3322e18816e</t>
        </is>
      </c>
      <c r="M105" t="inlineStr">
        <is>
          <t>UNKNOWN</t>
        </is>
      </c>
      <c r="N105" t="inlineStr">
        <is>
          <t>DEFAULT</t>
        </is>
      </c>
      <c r="Q105" t="n">
        <v>0</v>
      </c>
      <c r="R105" t="inlineStr">
        <is>
          <t>AUD</t>
        </is>
      </c>
      <c r="S105" t="n">
        <v>0</v>
      </c>
      <c r="T105" t="inlineStr">
        <is>
          <t>AUD</t>
        </is>
      </c>
      <c r="U105" t="n">
        <v>0</v>
      </c>
    </row>
    <row r="106">
      <c r="A106" s="5" t="inlineStr">
        <is>
          <t>01a1212c-4f36-7103-b095-1d17117a4ff7</t>
        </is>
      </c>
      <c r="C106" s="5" t="inlineStr">
        <is>
          <t>01a1212c-4b57-70cf-80fd-c2192cb3bf81</t>
        </is>
      </c>
      <c r="D106" s="4" t="n">
        <v>46304.62400951573</v>
      </c>
      <c r="E106" s="4" t="n">
        <v>46304.62400951581</v>
      </c>
      <c r="F106" t="b">
        <v>1</v>
      </c>
      <c r="G106" t="n">
        <v/>
      </c>
      <c r="H106" t="inlineStr">
        <is>
          <t>DACE</t>
        </is>
      </c>
      <c r="I106" t="inlineStr">
        <is>
          <t>Dimensional Australian Core Equity Trust - Active ETF</t>
        </is>
      </c>
      <c r="J106" t="inlineStr">
        <is>
          <t>AUD</t>
        </is>
      </c>
      <c r="K106" s="5" t="inlineStr">
        <is>
          <t>01a1212c-4c04-75ce-bbb2-e3322e18816e</t>
        </is>
      </c>
      <c r="M106" t="inlineStr">
        <is>
          <t>UNKNOWN</t>
        </is>
      </c>
      <c r="N106" t="inlineStr">
        <is>
          <t>DEFAULT</t>
        </is>
      </c>
      <c r="Q106" t="n">
        <v>0</v>
      </c>
      <c r="R106" t="inlineStr">
        <is>
          <t>AUD</t>
        </is>
      </c>
      <c r="S106" t="n">
        <v>0</v>
      </c>
      <c r="T106" t="inlineStr">
        <is>
          <t>AUD</t>
        </is>
      </c>
      <c r="U106" t="n">
        <v>0</v>
      </c>
    </row>
    <row r="107">
      <c r="A107" s="5" t="inlineStr">
        <is>
          <t>01a1212c-4f38-7180-b70c-2ee355678044</t>
        </is>
      </c>
      <c r="C107" s="5" t="inlineStr">
        <is>
          <t>01a1212c-4b57-70cf-80fd-c2192cb3bf81</t>
        </is>
      </c>
      <c r="D107" s="4" t="n">
        <v>46304.62400954735</v>
      </c>
      <c r="E107" s="4" t="n">
        <v>46304.62400954742</v>
      </c>
      <c r="F107" t="b">
        <v>1</v>
      </c>
      <c r="G107" t="n">
        <v/>
      </c>
      <c r="H107" t="inlineStr">
        <is>
          <t>BRG</t>
        </is>
      </c>
      <c r="I107" t="inlineStr">
        <is>
          <t>Breville Group Ltd</t>
        </is>
      </c>
      <c r="J107" t="inlineStr">
        <is>
          <t>AUD</t>
        </is>
      </c>
      <c r="K107" s="5" t="inlineStr">
        <is>
          <t>01a1212c-4c04-75ce-bbb2-e3322e18816e</t>
        </is>
      </c>
      <c r="M107" t="inlineStr">
        <is>
          <t>UNKNOWN</t>
        </is>
      </c>
      <c r="N107" t="inlineStr">
        <is>
          <t>DEFAULT</t>
        </is>
      </c>
      <c r="Q107" t="n">
        <v>0</v>
      </c>
      <c r="R107" t="inlineStr">
        <is>
          <t>AUD</t>
        </is>
      </c>
      <c r="S107" t="n">
        <v>0</v>
      </c>
      <c r="T107" t="inlineStr">
        <is>
          <t>AUD</t>
        </is>
      </c>
      <c r="U107" t="n">
        <v>0</v>
      </c>
    </row>
    <row r="108">
      <c r="A108" s="5" t="inlineStr">
        <is>
          <t>01a1212c-4f3b-7629-b589-7261701cca7d</t>
        </is>
      </c>
      <c r="C108" s="5" t="inlineStr">
        <is>
          <t>01a1212c-4b57-70cf-80fd-c2192cb3bf81</t>
        </is>
      </c>
      <c r="D108" s="4" t="n">
        <v>46304.6240095806</v>
      </c>
      <c r="E108" s="4" t="n">
        <v>46304.62400958067</v>
      </c>
      <c r="F108" t="b">
        <v>1</v>
      </c>
      <c r="G108" t="n">
        <v/>
      </c>
      <c r="H108" t="inlineStr">
        <is>
          <t>WHC</t>
        </is>
      </c>
      <c r="I108" t="inlineStr">
        <is>
          <t>Whitehaven Coal Ltd</t>
        </is>
      </c>
      <c r="J108" t="inlineStr">
        <is>
          <t>AUD</t>
        </is>
      </c>
      <c r="K108" s="5" t="inlineStr">
        <is>
          <t>01a1212c-4c04-75ce-bbb2-e3322e18816e</t>
        </is>
      </c>
      <c r="M108" t="inlineStr">
        <is>
          <t>UNKNOWN</t>
        </is>
      </c>
      <c r="N108" t="inlineStr">
        <is>
          <t>DEFAULT</t>
        </is>
      </c>
      <c r="Q108" t="n">
        <v>0</v>
      </c>
      <c r="R108" t="inlineStr">
        <is>
          <t>AUD</t>
        </is>
      </c>
      <c r="S108" t="n">
        <v>0</v>
      </c>
      <c r="T108" t="inlineStr">
        <is>
          <t>AUD</t>
        </is>
      </c>
      <c r="U108" t="n">
        <v>0</v>
      </c>
    </row>
    <row r="109">
      <c r="A109" s="5" t="inlineStr">
        <is>
          <t>01a1212c-4f3e-755d-9a9a-2598bf758f06</t>
        </is>
      </c>
      <c r="C109" s="5" t="inlineStr">
        <is>
          <t>01a1212c-4b57-70cf-80fd-c2192cb3bf81</t>
        </is>
      </c>
      <c r="D109" s="4" t="n">
        <v>46304.62400961208</v>
      </c>
      <c r="E109" s="4" t="n">
        <v>46304.62400961216</v>
      </c>
      <c r="F109" t="b">
        <v>1</v>
      </c>
      <c r="G109" t="n">
        <v/>
      </c>
      <c r="H109" t="inlineStr">
        <is>
          <t>ANN</t>
        </is>
      </c>
      <c r="I109" t="inlineStr">
        <is>
          <t>Ansell Ltd</t>
        </is>
      </c>
      <c r="J109" t="inlineStr">
        <is>
          <t>AUD</t>
        </is>
      </c>
      <c r="K109" s="5" t="inlineStr">
        <is>
          <t>01a1212c-4c04-75ce-bbb2-e3322e18816e</t>
        </is>
      </c>
      <c r="M109" t="inlineStr">
        <is>
          <t>UNKNOWN</t>
        </is>
      </c>
      <c r="N109" t="inlineStr">
        <is>
          <t>DEFAULT</t>
        </is>
      </c>
      <c r="Q109" t="n">
        <v>0</v>
      </c>
      <c r="R109" t="inlineStr">
        <is>
          <t>AUD</t>
        </is>
      </c>
      <c r="S109" t="n">
        <v>0</v>
      </c>
      <c r="T109" t="inlineStr">
        <is>
          <t>AUD</t>
        </is>
      </c>
      <c r="U109" t="n">
        <v>0</v>
      </c>
    </row>
    <row r="110">
      <c r="A110" s="5" t="inlineStr">
        <is>
          <t>01a1212c-4f41-713d-abaf-1547ecad6cdd</t>
        </is>
      </c>
      <c r="C110" s="5" t="inlineStr">
        <is>
          <t>01a1212c-4b57-70cf-80fd-c2192cb3bf81</t>
        </is>
      </c>
      <c r="D110" s="4" t="n">
        <v>46304.62400964263</v>
      </c>
      <c r="E110" s="4" t="n">
        <v>46304.6240096427</v>
      </c>
      <c r="F110" t="b">
        <v>1</v>
      </c>
      <c r="G110" t="n">
        <v/>
      </c>
      <c r="H110" t="inlineStr">
        <is>
          <t>SPK</t>
        </is>
      </c>
      <c r="I110" t="inlineStr">
        <is>
          <t>Spark New Zealand Ltd</t>
        </is>
      </c>
      <c r="J110" t="inlineStr">
        <is>
          <t>AUD</t>
        </is>
      </c>
      <c r="K110" s="5" t="inlineStr">
        <is>
          <t>01a1212c-4c04-75ce-bbb2-e3322e18816e</t>
        </is>
      </c>
      <c r="M110" t="inlineStr">
        <is>
          <t>UNKNOWN</t>
        </is>
      </c>
      <c r="N110" t="inlineStr">
        <is>
          <t>DEFAULT</t>
        </is>
      </c>
      <c r="Q110" t="n">
        <v>0</v>
      </c>
      <c r="R110" t="inlineStr">
        <is>
          <t>AUD</t>
        </is>
      </c>
      <c r="S110" t="n">
        <v>0</v>
      </c>
      <c r="T110" t="inlineStr">
        <is>
          <t>AUD</t>
        </is>
      </c>
      <c r="U110" t="n">
        <v>0</v>
      </c>
    </row>
    <row r="111">
      <c r="A111" s="5" t="inlineStr">
        <is>
          <t>01a1212c-4f43-70ac-8bca-ba9d3b862866</t>
        </is>
      </c>
      <c r="C111" s="5" t="inlineStr">
        <is>
          <t>01a1212c-4b57-70cf-80fd-c2192cb3bf81</t>
        </is>
      </c>
      <c r="D111" s="4" t="n">
        <v>46304.6240096727</v>
      </c>
      <c r="E111" s="4" t="n">
        <v>46304.62400967276</v>
      </c>
      <c r="F111" t="b">
        <v>1</v>
      </c>
      <c r="G111" t="n">
        <v/>
      </c>
      <c r="H111" t="inlineStr">
        <is>
          <t>DEG</t>
        </is>
      </c>
      <c r="I111" t="inlineStr">
        <is>
          <t>De Grey Mining Ltd</t>
        </is>
      </c>
      <c r="J111" t="inlineStr">
        <is>
          <t>AUD</t>
        </is>
      </c>
      <c r="K111" s="5" t="inlineStr">
        <is>
          <t>01a1212c-4c04-75ce-bbb2-e3322e18816e</t>
        </is>
      </c>
      <c r="M111" t="inlineStr">
        <is>
          <t>UNKNOWN</t>
        </is>
      </c>
      <c r="N111" t="inlineStr">
        <is>
          <t>DEFAULT</t>
        </is>
      </c>
      <c r="Q111" t="n">
        <v>0</v>
      </c>
      <c r="R111" t="inlineStr">
        <is>
          <t>AUD</t>
        </is>
      </c>
      <c r="S111" t="n">
        <v>0</v>
      </c>
      <c r="T111" t="inlineStr">
        <is>
          <t>AUD</t>
        </is>
      </c>
      <c r="U111" t="n">
        <v>0</v>
      </c>
    </row>
    <row r="112">
      <c r="A112" s="5" t="inlineStr">
        <is>
          <t>01a1212c-4f46-7178-a491-e47455bdb8b8</t>
        </is>
      </c>
      <c r="C112" s="5" t="inlineStr">
        <is>
          <t>01a1212c-4b57-70cf-80fd-c2192cb3bf81</t>
        </is>
      </c>
      <c r="D112" s="4" t="n">
        <v>46304.62400970463</v>
      </c>
      <c r="E112" s="4" t="n">
        <v>46304.6240097047</v>
      </c>
      <c r="F112" t="b">
        <v>1</v>
      </c>
      <c r="G112" t="n">
        <v/>
      </c>
      <c r="H112" t="inlineStr">
        <is>
          <t>PMV</t>
        </is>
      </c>
      <c r="I112" t="inlineStr">
        <is>
          <t>Premier Investments Ltd</t>
        </is>
      </c>
      <c r="J112" t="inlineStr">
        <is>
          <t>AUD</t>
        </is>
      </c>
      <c r="K112" s="5" t="inlineStr">
        <is>
          <t>01a1212c-4c04-75ce-bbb2-e3322e18816e</t>
        </is>
      </c>
      <c r="M112" t="inlineStr">
        <is>
          <t>UNKNOWN</t>
        </is>
      </c>
      <c r="N112" t="inlineStr">
        <is>
          <t>DEFAULT</t>
        </is>
      </c>
      <c r="Q112" t="n">
        <v>0</v>
      </c>
      <c r="R112" t="inlineStr">
        <is>
          <t>AUD</t>
        </is>
      </c>
      <c r="S112" t="n">
        <v>0</v>
      </c>
      <c r="T112" t="inlineStr">
        <is>
          <t>AUD</t>
        </is>
      </c>
      <c r="U112" t="n">
        <v>0</v>
      </c>
    </row>
    <row r="113">
      <c r="A113" s="5" t="inlineStr">
        <is>
          <t>01a1212c-4f48-7380-b874-713abfa7d309</t>
        </is>
      </c>
      <c r="C113" s="5" t="inlineStr">
        <is>
          <t>01a1212c-4b57-70cf-80fd-c2192cb3bf81</t>
        </is>
      </c>
      <c r="D113" s="4" t="n">
        <v>46304.62400973479</v>
      </c>
      <c r="E113" s="4" t="n">
        <v>46304.62400973486</v>
      </c>
      <c r="F113" t="b">
        <v>1</v>
      </c>
      <c r="G113" t="n">
        <v/>
      </c>
      <c r="H113" t="inlineStr">
        <is>
          <t>SFR</t>
        </is>
      </c>
      <c r="I113" t="inlineStr">
        <is>
          <t>Sandfire Resources Ltd</t>
        </is>
      </c>
      <c r="J113" t="inlineStr">
        <is>
          <t>AUD</t>
        </is>
      </c>
      <c r="K113" s="5" t="inlineStr">
        <is>
          <t>01a1212c-4c04-75ce-bbb2-e3322e18816e</t>
        </is>
      </c>
      <c r="M113" t="inlineStr">
        <is>
          <t>UNKNOWN</t>
        </is>
      </c>
      <c r="N113" t="inlineStr">
        <is>
          <t>DEFAULT</t>
        </is>
      </c>
      <c r="Q113" t="n">
        <v>0</v>
      </c>
      <c r="R113" t="inlineStr">
        <is>
          <t>AUD</t>
        </is>
      </c>
      <c r="S113" t="n">
        <v>0</v>
      </c>
      <c r="T113" t="inlineStr">
        <is>
          <t>AUD</t>
        </is>
      </c>
      <c r="U113" t="n">
        <v>0</v>
      </c>
    </row>
    <row r="114">
      <c r="A114" s="5" t="inlineStr">
        <is>
          <t>01a1212c-4f4b-70d4-97f4-b6218c974e8e</t>
        </is>
      </c>
      <c r="C114" s="5" t="inlineStr">
        <is>
          <t>01a1212c-4b57-70cf-80fd-c2192cb3bf81</t>
        </is>
      </c>
      <c r="D114" s="4" t="n">
        <v>46304.62400976766</v>
      </c>
      <c r="E114" s="4" t="n">
        <v>46304.62400976774</v>
      </c>
      <c r="F114" t="b">
        <v>1</v>
      </c>
      <c r="G114" t="n">
        <v/>
      </c>
      <c r="H114" t="inlineStr">
        <is>
          <t>AMP</t>
        </is>
      </c>
      <c r="I114" t="inlineStr">
        <is>
          <t>AMP Ltd</t>
        </is>
      </c>
      <c r="J114" t="inlineStr">
        <is>
          <t>AUD</t>
        </is>
      </c>
      <c r="K114" s="5" t="inlineStr">
        <is>
          <t>01a1212c-4c04-75ce-bbb2-e3322e18816e</t>
        </is>
      </c>
      <c r="M114" t="inlineStr">
        <is>
          <t>UNKNOWN</t>
        </is>
      </c>
      <c r="N114" t="inlineStr">
        <is>
          <t>DEFAULT</t>
        </is>
      </c>
      <c r="Q114" t="n">
        <v>0</v>
      </c>
      <c r="R114" t="inlineStr">
        <is>
          <t>AUD</t>
        </is>
      </c>
      <c r="S114" t="n">
        <v>0</v>
      </c>
      <c r="T114" t="inlineStr">
        <is>
          <t>AUD</t>
        </is>
      </c>
      <c r="U114" t="n">
        <v>0</v>
      </c>
    </row>
    <row r="115">
      <c r="A115" s="5" t="inlineStr">
        <is>
          <t>01a1212c-4f4e-7609-9991-b8e55b0c73e9</t>
        </is>
      </c>
      <c r="C115" s="5" t="inlineStr">
        <is>
          <t>01a1212c-4b57-70cf-80fd-c2192cb3bf81</t>
        </is>
      </c>
      <c r="D115" s="4" t="n">
        <v>46304.6240097983</v>
      </c>
      <c r="E115" s="4" t="n">
        <v>46304.62400979843</v>
      </c>
      <c r="F115" t="b">
        <v>1</v>
      </c>
      <c r="G115" t="n">
        <v/>
      </c>
      <c r="H115" t="inlineStr">
        <is>
          <t>DGCE</t>
        </is>
      </c>
      <c r="I115" t="inlineStr">
        <is>
          <t>Dimensional Global Core Equity Trust Unhedged - Active ETF</t>
        </is>
      </c>
      <c r="J115" t="inlineStr">
        <is>
          <t>AUD</t>
        </is>
      </c>
      <c r="K115" s="5" t="inlineStr">
        <is>
          <t>01a1212c-4c04-75ce-bbb2-e3322e18816e</t>
        </is>
      </c>
      <c r="M115" t="inlineStr">
        <is>
          <t>UNKNOWN</t>
        </is>
      </c>
      <c r="N115" t="inlineStr">
        <is>
          <t>DEFAULT</t>
        </is>
      </c>
      <c r="Q115" t="n">
        <v>0</v>
      </c>
      <c r="R115" t="inlineStr">
        <is>
          <t>AUD</t>
        </is>
      </c>
      <c r="S115" t="n">
        <v>0</v>
      </c>
      <c r="T115" t="inlineStr">
        <is>
          <t>AUD</t>
        </is>
      </c>
      <c r="U115" t="n">
        <v>0</v>
      </c>
    </row>
    <row r="116">
      <c r="A116" s="5" t="inlineStr">
        <is>
          <t>01a1212c-4f51-71d8-a4ba-4b7eac0b72f0</t>
        </is>
      </c>
      <c r="C116" s="5" t="inlineStr">
        <is>
          <t>01a1212c-4b57-70cf-80fd-c2192cb3bf81</t>
        </is>
      </c>
      <c r="D116" s="4" t="n">
        <v>46304.62400982819</v>
      </c>
      <c r="E116" s="4" t="n">
        <v>46304.62400982827</v>
      </c>
      <c r="F116" t="b">
        <v>1</v>
      </c>
      <c r="G116" t="n">
        <v/>
      </c>
      <c r="H116" t="inlineStr">
        <is>
          <t>360</t>
        </is>
      </c>
      <c r="I116" t="inlineStr">
        <is>
          <t>LIFE360 Inc</t>
        </is>
      </c>
      <c r="J116" t="inlineStr">
        <is>
          <t>AUD</t>
        </is>
      </c>
      <c r="K116" s="5" t="inlineStr">
        <is>
          <t>01a1212c-4c04-75ce-bbb2-e3322e18816e</t>
        </is>
      </c>
      <c r="M116" t="inlineStr">
        <is>
          <t>UNKNOWN</t>
        </is>
      </c>
      <c r="N116" t="inlineStr">
        <is>
          <t>DEFAULT</t>
        </is>
      </c>
      <c r="Q116" t="n">
        <v>0</v>
      </c>
      <c r="R116" t="inlineStr">
        <is>
          <t>AUD</t>
        </is>
      </c>
      <c r="S116" t="n">
        <v>0</v>
      </c>
      <c r="T116" t="inlineStr">
        <is>
          <t>AUD</t>
        </is>
      </c>
      <c r="U116" t="n">
        <v>0</v>
      </c>
    </row>
    <row r="117">
      <c r="A117" s="5" t="inlineStr">
        <is>
          <t>01a1212c-4f53-7705-945f-ae24d72d0eb2</t>
        </is>
      </c>
      <c r="C117" s="5" t="inlineStr">
        <is>
          <t>01a1212c-4b57-70cf-80fd-c2192cb3bf81</t>
        </is>
      </c>
      <c r="D117" s="4" t="n">
        <v>46304.62400986036</v>
      </c>
      <c r="E117" s="4" t="n">
        <v>46304.62400986044</v>
      </c>
      <c r="F117" t="b">
        <v>1</v>
      </c>
      <c r="G117" t="n">
        <v/>
      </c>
      <c r="H117" t="inlineStr">
        <is>
          <t>BOQ</t>
        </is>
      </c>
      <c r="I117" t="inlineStr">
        <is>
          <t>Bank of Queensland Ltd</t>
        </is>
      </c>
      <c r="J117" t="inlineStr">
        <is>
          <t>AUD</t>
        </is>
      </c>
      <c r="K117" s="5" t="inlineStr">
        <is>
          <t>01a1212c-4c04-75ce-bbb2-e3322e18816e</t>
        </is>
      </c>
      <c r="M117" t="inlineStr">
        <is>
          <t>UNKNOWN</t>
        </is>
      </c>
      <c r="N117" t="inlineStr">
        <is>
          <t>DEFAULT</t>
        </is>
      </c>
      <c r="Q117" t="n">
        <v>0</v>
      </c>
      <c r="R117" t="inlineStr">
        <is>
          <t>AUD</t>
        </is>
      </c>
      <c r="S117" t="n">
        <v>0</v>
      </c>
      <c r="T117" t="inlineStr">
        <is>
          <t>AUD</t>
        </is>
      </c>
      <c r="U117" t="n">
        <v>0</v>
      </c>
    </row>
    <row r="118">
      <c r="A118" s="5" t="inlineStr">
        <is>
          <t>01a1212c-4f56-73d7-854f-cf89e9c8347a</t>
        </is>
      </c>
      <c r="C118" s="5" t="inlineStr">
        <is>
          <t>01a1212c-4b57-70cf-80fd-c2192cb3bf81</t>
        </is>
      </c>
      <c r="D118" s="4" t="n">
        <v>46304.62400989042</v>
      </c>
      <c r="E118" s="4" t="n">
        <v>46304.62400989049</v>
      </c>
      <c r="F118" t="b">
        <v>1</v>
      </c>
      <c r="G118" t="n">
        <v/>
      </c>
      <c r="H118" t="inlineStr">
        <is>
          <t>IOO</t>
        </is>
      </c>
      <c r="I118" t="inlineStr">
        <is>
          <t>Ishares Global 100 ETF</t>
        </is>
      </c>
      <c r="J118" t="inlineStr">
        <is>
          <t>AUD</t>
        </is>
      </c>
      <c r="K118" s="5" t="inlineStr">
        <is>
          <t>01a1212c-4c04-75ce-bbb2-e3322e18816e</t>
        </is>
      </c>
      <c r="M118" t="inlineStr">
        <is>
          <t>UNIT_TRUST</t>
        </is>
      </c>
      <c r="N118" t="inlineStr">
        <is>
          <t>SUGGESTED</t>
        </is>
      </c>
      <c r="Q118" t="n">
        <v>0</v>
      </c>
      <c r="R118" t="inlineStr">
        <is>
          <t>AUD</t>
        </is>
      </c>
      <c r="S118" t="n">
        <v>0</v>
      </c>
      <c r="T118" t="inlineStr">
        <is>
          <t>AUD</t>
        </is>
      </c>
      <c r="U118" t="n">
        <v>0</v>
      </c>
    </row>
    <row r="119">
      <c r="A119" s="5" t="inlineStr">
        <is>
          <t>01a1212c-4f59-7110-a1fb-802eb46601cb</t>
        </is>
      </c>
      <c r="C119" s="5" t="inlineStr">
        <is>
          <t>01a1212c-4b57-70cf-80fd-c2192cb3bf81</t>
        </is>
      </c>
      <c r="D119" s="4" t="n">
        <v>46304.62400992402</v>
      </c>
      <c r="E119" s="4" t="n">
        <v>46304.6240099241</v>
      </c>
      <c r="F119" t="b">
        <v>1</v>
      </c>
      <c r="G119" t="n">
        <v/>
      </c>
      <c r="H119" t="inlineStr">
        <is>
          <t>GOLD</t>
        </is>
      </c>
      <c r="I119" t="inlineStr">
        <is>
          <t>Global X Physical Gold</t>
        </is>
      </c>
      <c r="J119" t="inlineStr">
        <is>
          <t>AUD</t>
        </is>
      </c>
      <c r="K119" s="5" t="inlineStr">
        <is>
          <t>01a1212c-4c04-75ce-bbb2-e3322e18816e</t>
        </is>
      </c>
      <c r="M119" t="inlineStr">
        <is>
          <t>UNIT_TRUST</t>
        </is>
      </c>
      <c r="N119" t="inlineStr">
        <is>
          <t>SUGGESTED</t>
        </is>
      </c>
      <c r="Q119" t="n">
        <v>0</v>
      </c>
      <c r="R119" t="inlineStr">
        <is>
          <t>AUD</t>
        </is>
      </c>
      <c r="S119" t="n">
        <v>0</v>
      </c>
      <c r="T119" t="inlineStr">
        <is>
          <t>AUD</t>
        </is>
      </c>
      <c r="U119" t="n">
        <v>0</v>
      </c>
    </row>
    <row r="120">
      <c r="A120" s="5" t="inlineStr">
        <is>
          <t>01a1212c-4f5c-725c-8f2d-a28e686e94f5</t>
        </is>
      </c>
      <c r="C120" s="5" t="inlineStr">
        <is>
          <t>01a1212c-4b57-70cf-80fd-c2192cb3bf81</t>
        </is>
      </c>
      <c r="D120" s="4" t="n">
        <v>46304.62400996133</v>
      </c>
      <c r="E120" s="4" t="n">
        <v>46304.62400996142</v>
      </c>
      <c r="F120" t="b">
        <v>1</v>
      </c>
      <c r="G120" t="n">
        <v/>
      </c>
      <c r="H120" t="inlineStr">
        <is>
          <t>SIG</t>
        </is>
      </c>
      <c r="I120" t="inlineStr">
        <is>
          <t>Sigma Healthcare Ltd</t>
        </is>
      </c>
      <c r="J120" t="inlineStr">
        <is>
          <t>AUD</t>
        </is>
      </c>
      <c r="K120" s="5" t="inlineStr">
        <is>
          <t>01a1212c-4c04-75ce-bbb2-e3322e18816e</t>
        </is>
      </c>
      <c r="M120" t="inlineStr">
        <is>
          <t>UNKNOWN</t>
        </is>
      </c>
      <c r="N120" t="inlineStr">
        <is>
          <t>DEFAULT</t>
        </is>
      </c>
      <c r="Q120" t="n">
        <v>0</v>
      </c>
      <c r="R120" t="inlineStr">
        <is>
          <t>AUD</t>
        </is>
      </c>
      <c r="S120" t="n">
        <v>0</v>
      </c>
      <c r="T120" t="inlineStr">
        <is>
          <t>AUD</t>
        </is>
      </c>
      <c r="U120" t="n">
        <v>0</v>
      </c>
    </row>
    <row r="121">
      <c r="A121" s="5" t="inlineStr">
        <is>
          <t>01a1212c-4f5f-7064-a780-86019e9efb39</t>
        </is>
      </c>
      <c r="C121" s="5" t="inlineStr">
        <is>
          <t>01a1212c-4b57-70cf-80fd-c2192cb3bf81</t>
        </is>
      </c>
      <c r="D121" s="4" t="n">
        <v>46304.62400999197</v>
      </c>
      <c r="E121" s="4" t="n">
        <v>46304.62400999204</v>
      </c>
      <c r="F121" t="b">
        <v>1</v>
      </c>
      <c r="G121" t="n">
        <v/>
      </c>
      <c r="H121" t="inlineStr">
        <is>
          <t>VHY</t>
        </is>
      </c>
      <c r="I121" t="inlineStr">
        <is>
          <t>Vanguard Australian Shares High Yield ETF</t>
        </is>
      </c>
      <c r="J121" t="inlineStr">
        <is>
          <t>AUD</t>
        </is>
      </c>
      <c r="K121" s="5" t="inlineStr">
        <is>
          <t>01a1212c-4c04-75ce-bbb2-e3322e18816e</t>
        </is>
      </c>
      <c r="M121" t="inlineStr">
        <is>
          <t>UNIT_TRUST</t>
        </is>
      </c>
      <c r="N121" t="inlineStr">
        <is>
          <t>SUGGESTED</t>
        </is>
      </c>
      <c r="Q121" t="n">
        <v>0</v>
      </c>
      <c r="R121" t="inlineStr">
        <is>
          <t>AUD</t>
        </is>
      </c>
      <c r="S121" t="n">
        <v>0</v>
      </c>
      <c r="T121" t="inlineStr">
        <is>
          <t>AUD</t>
        </is>
      </c>
      <c r="U121" t="n">
        <v>0</v>
      </c>
    </row>
    <row r="122">
      <c r="A122" s="5" t="inlineStr">
        <is>
          <t>01a1212c-4f62-765a-8b04-85e450673dd1</t>
        </is>
      </c>
      <c r="C122" s="5" t="inlineStr">
        <is>
          <t>01a1212c-4b57-70cf-80fd-c2192cb3bf81</t>
        </is>
      </c>
      <c r="D122" s="4" t="n">
        <v>46304.6240100252</v>
      </c>
      <c r="E122" s="4" t="n">
        <v>46304.62401002528</v>
      </c>
      <c r="F122" t="b">
        <v>1</v>
      </c>
      <c r="G122" t="n">
        <v/>
      </c>
      <c r="H122" t="inlineStr">
        <is>
          <t>LLC</t>
        </is>
      </c>
      <c r="I122" t="inlineStr">
        <is>
          <t>Lendlease Group</t>
        </is>
      </c>
      <c r="J122" t="inlineStr">
        <is>
          <t>AUD</t>
        </is>
      </c>
      <c r="K122" s="5" t="inlineStr">
        <is>
          <t>01a1212c-4c04-75ce-bbb2-e3322e18816e</t>
        </is>
      </c>
      <c r="M122" t="inlineStr">
        <is>
          <t>UNKNOWN</t>
        </is>
      </c>
      <c r="N122" t="inlineStr">
        <is>
          <t>DEFAULT</t>
        </is>
      </c>
      <c r="Q122" t="n">
        <v>0</v>
      </c>
      <c r="R122" t="inlineStr">
        <is>
          <t>AUD</t>
        </is>
      </c>
      <c r="S122" t="n">
        <v>0</v>
      </c>
      <c r="T122" t="inlineStr">
        <is>
          <t>AUD</t>
        </is>
      </c>
      <c r="U122" t="n">
        <v>0</v>
      </c>
    </row>
    <row r="123">
      <c r="A123" s="5" t="inlineStr">
        <is>
          <t>01a1212c-4f64-7552-a80f-79844b7bb947</t>
        </is>
      </c>
      <c r="C123" s="5" t="inlineStr">
        <is>
          <t>01a1212c-4b57-70cf-80fd-c2192cb3bf81</t>
        </is>
      </c>
      <c r="D123" s="4" t="n">
        <v>46304.62401005519</v>
      </c>
      <c r="E123" s="4" t="n">
        <v>46304.62401005527</v>
      </c>
      <c r="F123" t="b">
        <v>1</v>
      </c>
      <c r="G123" t="n">
        <v/>
      </c>
      <c r="H123" t="inlineStr">
        <is>
          <t>VEA</t>
        </is>
      </c>
      <c r="I123" t="inlineStr">
        <is>
          <t>Viva Energy Group Ltd</t>
        </is>
      </c>
      <c r="J123" t="inlineStr">
        <is>
          <t>AUD</t>
        </is>
      </c>
      <c r="K123" s="5" t="inlineStr">
        <is>
          <t>01a1212c-4c04-75ce-bbb2-e3322e18816e</t>
        </is>
      </c>
      <c r="M123" t="inlineStr">
        <is>
          <t>UNKNOWN</t>
        </is>
      </c>
      <c r="N123" t="inlineStr">
        <is>
          <t>DEFAULT</t>
        </is>
      </c>
      <c r="Q123" t="n">
        <v>0</v>
      </c>
      <c r="R123" t="inlineStr">
        <is>
          <t>AUD</t>
        </is>
      </c>
      <c r="S123" t="n">
        <v>0</v>
      </c>
      <c r="T123" t="inlineStr">
        <is>
          <t>AUD</t>
        </is>
      </c>
      <c r="U123" t="n">
        <v>0</v>
      </c>
    </row>
    <row r="124">
      <c r="A124" s="5" t="inlineStr">
        <is>
          <t>01a1212c-4f67-7674-a97b-a8bf1ca4da21</t>
        </is>
      </c>
      <c r="C124" s="5" t="inlineStr">
        <is>
          <t>01a1212c-4b57-70cf-80fd-c2192cb3bf81</t>
        </is>
      </c>
      <c r="D124" s="4" t="n">
        <v>46304.62401008695</v>
      </c>
      <c r="E124" s="4" t="n">
        <v>46304.62401008703</v>
      </c>
      <c r="F124" t="b">
        <v>1</v>
      </c>
      <c r="G124" t="n">
        <v/>
      </c>
      <c r="H124" t="inlineStr">
        <is>
          <t>CGF</t>
        </is>
      </c>
      <c r="I124" t="inlineStr">
        <is>
          <t>Challenger Ltd</t>
        </is>
      </c>
      <c r="J124" t="inlineStr">
        <is>
          <t>AUD</t>
        </is>
      </c>
      <c r="K124" s="5" t="inlineStr">
        <is>
          <t>01a1212c-4c04-75ce-bbb2-e3322e18816e</t>
        </is>
      </c>
      <c r="M124" t="inlineStr">
        <is>
          <t>UNKNOWN</t>
        </is>
      </c>
      <c r="N124" t="inlineStr">
        <is>
          <t>DEFAULT</t>
        </is>
      </c>
      <c r="Q124" t="n">
        <v>0</v>
      </c>
      <c r="R124" t="inlineStr">
        <is>
          <t>AUD</t>
        </is>
      </c>
      <c r="S124" t="n">
        <v>0</v>
      </c>
      <c r="T124" t="inlineStr">
        <is>
          <t>AUD</t>
        </is>
      </c>
      <c r="U124" t="n">
        <v>0</v>
      </c>
    </row>
    <row r="125">
      <c r="A125" s="5" t="inlineStr">
        <is>
          <t>01a1212c-4f6a-717d-9b2c-314e9f777720</t>
        </is>
      </c>
      <c r="C125" s="5" t="inlineStr">
        <is>
          <t>01a1212c-4b57-70cf-80fd-c2192cb3bf81</t>
        </is>
      </c>
      <c r="D125" s="4" t="n">
        <v>46304.62401011691</v>
      </c>
      <c r="E125" s="4" t="n">
        <v>46304.62401011699</v>
      </c>
      <c r="F125" t="b">
        <v>1</v>
      </c>
      <c r="G125" t="n">
        <v/>
      </c>
      <c r="H125" t="inlineStr">
        <is>
          <t>A2M</t>
        </is>
      </c>
      <c r="I125" t="inlineStr">
        <is>
          <t>The a2 Milk Company Ltd</t>
        </is>
      </c>
      <c r="J125" t="inlineStr">
        <is>
          <t>AUD</t>
        </is>
      </c>
      <c r="K125" s="5" t="inlineStr">
        <is>
          <t>01a1212c-4c04-75ce-bbb2-e3322e18816e</t>
        </is>
      </c>
      <c r="M125" t="inlineStr">
        <is>
          <t>UNKNOWN</t>
        </is>
      </c>
      <c r="N125" t="inlineStr">
        <is>
          <t>DEFAULT</t>
        </is>
      </c>
      <c r="Q125" t="n">
        <v>0</v>
      </c>
      <c r="R125" t="inlineStr">
        <is>
          <t>AUD</t>
        </is>
      </c>
      <c r="S125" t="n">
        <v>0</v>
      </c>
      <c r="T125" t="inlineStr">
        <is>
          <t>AUD</t>
        </is>
      </c>
      <c r="U125" t="n">
        <v>0</v>
      </c>
    </row>
    <row r="126">
      <c r="A126" s="5" t="inlineStr">
        <is>
          <t>01a1212c-4f6c-743a-8c81-679dc6c2265e</t>
        </is>
      </c>
      <c r="C126" s="5" t="inlineStr">
        <is>
          <t>01a1212c-4b57-70cf-80fd-c2192cb3bf81</t>
        </is>
      </c>
      <c r="D126" s="4" t="n">
        <v>46304.62401014933</v>
      </c>
      <c r="E126" s="4" t="n">
        <v>46304.62401014942</v>
      </c>
      <c r="F126" t="b">
        <v>1</v>
      </c>
      <c r="G126" t="n">
        <v/>
      </c>
      <c r="H126" t="inlineStr">
        <is>
          <t>ZIP</t>
        </is>
      </c>
      <c r="I126" t="inlineStr">
        <is>
          <t>ZIP Co Ltd</t>
        </is>
      </c>
      <c r="J126" t="inlineStr">
        <is>
          <t>AUD</t>
        </is>
      </c>
      <c r="K126" s="5" t="inlineStr">
        <is>
          <t>01a1212c-4c04-75ce-bbb2-e3322e18816e</t>
        </is>
      </c>
      <c r="M126" t="inlineStr">
        <is>
          <t>UNKNOWN</t>
        </is>
      </c>
      <c r="N126" t="inlineStr">
        <is>
          <t>DEFAULT</t>
        </is>
      </c>
      <c r="Q126" t="n">
        <v>0</v>
      </c>
      <c r="R126" t="inlineStr">
        <is>
          <t>AUD</t>
        </is>
      </c>
      <c r="S126" t="n">
        <v>0</v>
      </c>
      <c r="T126" t="inlineStr">
        <is>
          <t>AUD</t>
        </is>
      </c>
      <c r="U126" t="n">
        <v>0</v>
      </c>
    </row>
    <row r="127">
      <c r="A127" s="5" t="inlineStr">
        <is>
          <t>01a1212c-4f6f-7427-b892-c7bdc58a5c80</t>
        </is>
      </c>
      <c r="C127" s="5" t="inlineStr">
        <is>
          <t>01a1212c-4b57-70cf-80fd-c2192cb3bf81</t>
        </is>
      </c>
      <c r="D127" s="4" t="n">
        <v>46304.62401018007</v>
      </c>
      <c r="E127" s="4" t="n">
        <v>46304.62401018015</v>
      </c>
      <c r="F127" t="b">
        <v>1</v>
      </c>
      <c r="G127" t="n">
        <v/>
      </c>
      <c r="H127" t="inlineStr">
        <is>
          <t>RWC</t>
        </is>
      </c>
      <c r="I127" t="inlineStr">
        <is>
          <t>Reliance Worldwide Corporation Ltd</t>
        </is>
      </c>
      <c r="J127" t="inlineStr">
        <is>
          <t>AUD</t>
        </is>
      </c>
      <c r="K127" s="5" t="inlineStr">
        <is>
          <t>01a1212c-4c04-75ce-bbb2-e3322e18816e</t>
        </is>
      </c>
      <c r="M127" t="inlineStr">
        <is>
          <t>UNKNOWN</t>
        </is>
      </c>
      <c r="N127" t="inlineStr">
        <is>
          <t>DEFAULT</t>
        </is>
      </c>
      <c r="Q127" t="n">
        <v>0</v>
      </c>
      <c r="R127" t="inlineStr">
        <is>
          <t>AUD</t>
        </is>
      </c>
      <c r="S127" t="n">
        <v>0</v>
      </c>
      <c r="T127" t="inlineStr">
        <is>
          <t>AUD</t>
        </is>
      </c>
      <c r="U127" t="n">
        <v>0</v>
      </c>
    </row>
    <row r="128">
      <c r="A128" s="5" t="inlineStr">
        <is>
          <t>01a1212c-4f72-7599-8445-2b131158c8c7</t>
        </is>
      </c>
      <c r="C128" s="5" t="inlineStr">
        <is>
          <t>01a1212c-4b57-70cf-80fd-c2192cb3bf81</t>
        </is>
      </c>
      <c r="D128" s="4" t="n">
        <v>46304.62401021014</v>
      </c>
      <c r="E128" s="4" t="n">
        <v>46304.62401021021</v>
      </c>
      <c r="F128" t="b">
        <v>1</v>
      </c>
      <c r="G128" t="n">
        <v/>
      </c>
      <c r="H128" t="inlineStr">
        <is>
          <t>NHC</t>
        </is>
      </c>
      <c r="I128" t="inlineStr">
        <is>
          <t>New Hope Corporation Ltd</t>
        </is>
      </c>
      <c r="J128" t="inlineStr">
        <is>
          <t>AUD</t>
        </is>
      </c>
      <c r="K128" s="5" t="inlineStr">
        <is>
          <t>01a1212c-4c04-75ce-bbb2-e3322e18816e</t>
        </is>
      </c>
      <c r="M128" t="inlineStr">
        <is>
          <t>UNKNOWN</t>
        </is>
      </c>
      <c r="N128" t="inlineStr">
        <is>
          <t>DEFAULT</t>
        </is>
      </c>
      <c r="Q128" t="n">
        <v>0</v>
      </c>
      <c r="R128" t="inlineStr">
        <is>
          <t>AUD</t>
        </is>
      </c>
      <c r="S128" t="n">
        <v>0</v>
      </c>
      <c r="T128" t="inlineStr">
        <is>
          <t>AUD</t>
        </is>
      </c>
      <c r="U128" t="n">
        <v>0</v>
      </c>
    </row>
    <row r="129">
      <c r="A129" s="5" t="inlineStr">
        <is>
          <t>01a1212c-4f74-715d-ad56-bb1f33c8de18</t>
        </is>
      </c>
      <c r="C129" s="5" t="inlineStr">
        <is>
          <t>01a1212c-4b57-70cf-80fd-c2192cb3bf81</t>
        </is>
      </c>
      <c r="D129" s="4" t="n">
        <v>46304.62401024209</v>
      </c>
      <c r="E129" s="4" t="n">
        <v>46304.62401024215</v>
      </c>
      <c r="F129" t="b">
        <v>1</v>
      </c>
      <c r="G129" t="n">
        <v/>
      </c>
      <c r="H129" t="inlineStr">
        <is>
          <t>VGAD</t>
        </is>
      </c>
      <c r="I129" t="inlineStr">
        <is>
          <t>Vanguard MSCI INDEX International Shares (Hedged) ETF</t>
        </is>
      </c>
      <c r="J129" t="inlineStr">
        <is>
          <t>AUD</t>
        </is>
      </c>
      <c r="K129" s="5" t="inlineStr">
        <is>
          <t>01a1212c-4c04-75ce-bbb2-e3322e18816e</t>
        </is>
      </c>
      <c r="M129" t="inlineStr">
        <is>
          <t>UNKNOWN</t>
        </is>
      </c>
      <c r="N129" t="inlineStr">
        <is>
          <t>DEFAULT</t>
        </is>
      </c>
      <c r="Q129" t="n">
        <v>0</v>
      </c>
      <c r="R129" t="inlineStr">
        <is>
          <t>AUD</t>
        </is>
      </c>
      <c r="S129" t="n">
        <v>0</v>
      </c>
      <c r="T129" t="inlineStr">
        <is>
          <t>AUD</t>
        </is>
      </c>
      <c r="U129" t="n">
        <v>0</v>
      </c>
    </row>
    <row r="130">
      <c r="A130" s="5" t="inlineStr">
        <is>
          <t>01a1212c-4f77-7666-accd-b7233120f03e</t>
        </is>
      </c>
      <c r="C130" s="5" t="inlineStr">
        <is>
          <t>01a1212c-4b57-70cf-80fd-c2192cb3bf81</t>
        </is>
      </c>
      <c r="D130" s="4" t="n">
        <v>46304.62401027242</v>
      </c>
      <c r="E130" s="4" t="n">
        <v>46304.6240102725</v>
      </c>
      <c r="F130" t="b">
        <v>1</v>
      </c>
      <c r="G130" t="n">
        <v/>
      </c>
      <c r="H130" t="inlineStr">
        <is>
          <t>GYG</t>
        </is>
      </c>
      <c r="I130" t="inlineStr">
        <is>
          <t>Guzman Y GOMEZ Ltd</t>
        </is>
      </c>
      <c r="J130" t="inlineStr">
        <is>
          <t>AUD</t>
        </is>
      </c>
      <c r="K130" s="5" t="inlineStr">
        <is>
          <t>01a1212c-4c04-75ce-bbb2-e3322e18816e</t>
        </is>
      </c>
      <c r="M130" t="inlineStr">
        <is>
          <t>UNKNOWN</t>
        </is>
      </c>
      <c r="N130" t="inlineStr">
        <is>
          <t>DEFAULT</t>
        </is>
      </c>
      <c r="Q130" t="n">
        <v>0</v>
      </c>
      <c r="R130" t="inlineStr">
        <is>
          <t>AUD</t>
        </is>
      </c>
      <c r="S130" t="n">
        <v>0</v>
      </c>
      <c r="T130" t="inlineStr">
        <is>
          <t>AUD</t>
        </is>
      </c>
      <c r="U130" t="n">
        <v>0</v>
      </c>
    </row>
    <row r="131">
      <c r="A131" s="5" t="inlineStr">
        <is>
          <t>01a1212c-4f7a-76b0-be67-3fbbcbf0a324</t>
        </is>
      </c>
      <c r="C131" s="5" t="inlineStr">
        <is>
          <t>01a1212c-4b57-70cf-80fd-c2192cb3bf81</t>
        </is>
      </c>
      <c r="D131" s="4" t="n">
        <v>46304.62401030256</v>
      </c>
      <c r="E131" s="4" t="n">
        <v>46304.62401030264</v>
      </c>
      <c r="F131" t="b">
        <v>1</v>
      </c>
      <c r="G131" t="n">
        <v/>
      </c>
      <c r="H131" t="inlineStr">
        <is>
          <t>IGO</t>
        </is>
      </c>
      <c r="I131" t="inlineStr">
        <is>
          <t>IGO Ltd</t>
        </is>
      </c>
      <c r="J131" t="inlineStr">
        <is>
          <t>AUD</t>
        </is>
      </c>
      <c r="K131" s="5" t="inlineStr">
        <is>
          <t>01a1212c-4c04-75ce-bbb2-e3322e18816e</t>
        </is>
      </c>
      <c r="M131" t="inlineStr">
        <is>
          <t>UNKNOWN</t>
        </is>
      </c>
      <c r="N131" t="inlineStr">
        <is>
          <t>DEFAULT</t>
        </is>
      </c>
      <c r="Q131" t="n">
        <v>0</v>
      </c>
      <c r="R131" t="inlineStr">
        <is>
          <t>AUD</t>
        </is>
      </c>
      <c r="S131" t="n">
        <v>0</v>
      </c>
      <c r="T131" t="inlineStr">
        <is>
          <t>AUD</t>
        </is>
      </c>
      <c r="U131" t="n">
        <v>0</v>
      </c>
    </row>
    <row r="132">
      <c r="A132" s="5" t="inlineStr">
        <is>
          <t>01a1212c-4f7c-726d-9728-258dcfd49fb1</t>
        </is>
      </c>
      <c r="C132" s="5" t="inlineStr">
        <is>
          <t>01a1212c-4b57-70cf-80fd-c2192cb3bf81</t>
        </is>
      </c>
      <c r="D132" s="4" t="n">
        <v>46304.62401033594</v>
      </c>
      <c r="E132" s="4" t="n">
        <v>46304.62401033602</v>
      </c>
      <c r="F132" t="b">
        <v>1</v>
      </c>
      <c r="G132" t="n">
        <v/>
      </c>
      <c r="H132" t="inlineStr">
        <is>
          <t>BKW</t>
        </is>
      </c>
      <c r="I132" t="inlineStr">
        <is>
          <t>Brickworks Ltd</t>
        </is>
      </c>
      <c r="J132" t="inlineStr">
        <is>
          <t>AUD</t>
        </is>
      </c>
      <c r="K132" s="5" t="inlineStr">
        <is>
          <t>01a1212c-4c04-75ce-bbb2-e3322e18816e</t>
        </is>
      </c>
      <c r="M132" t="inlineStr">
        <is>
          <t>UNKNOWN</t>
        </is>
      </c>
      <c r="N132" t="inlineStr">
        <is>
          <t>DEFAULT</t>
        </is>
      </c>
      <c r="Q132" t="n">
        <v>0</v>
      </c>
      <c r="R132" t="inlineStr">
        <is>
          <t>AUD</t>
        </is>
      </c>
      <c r="S132" t="n">
        <v>0</v>
      </c>
      <c r="T132" t="inlineStr">
        <is>
          <t>AUD</t>
        </is>
      </c>
      <c r="U132" t="n">
        <v>0</v>
      </c>
    </row>
    <row r="133">
      <c r="A133" s="5" t="inlineStr">
        <is>
          <t>01a1212c-4f7f-758a-b5d8-cee1a492ca10</t>
        </is>
      </c>
      <c r="C133" s="5" t="inlineStr">
        <is>
          <t>01a1212c-4b57-70cf-80fd-c2192cb3bf81</t>
        </is>
      </c>
      <c r="D133" s="4" t="n">
        <v>46304.62401036795</v>
      </c>
      <c r="E133" s="4" t="n">
        <v>46304.62401036803</v>
      </c>
      <c r="F133" t="b">
        <v>1</v>
      </c>
      <c r="G133" t="n">
        <v/>
      </c>
      <c r="H133" t="inlineStr">
        <is>
          <t>HMC</t>
        </is>
      </c>
      <c r="I133" t="inlineStr">
        <is>
          <t>HMC Capital Ltd</t>
        </is>
      </c>
      <c r="J133" t="inlineStr">
        <is>
          <t>AUD</t>
        </is>
      </c>
      <c r="K133" s="5" t="inlineStr">
        <is>
          <t>01a1212c-4c04-75ce-bbb2-e3322e18816e</t>
        </is>
      </c>
      <c r="M133" t="inlineStr">
        <is>
          <t>UNKNOWN</t>
        </is>
      </c>
      <c r="N133" t="inlineStr">
        <is>
          <t>DEFAULT</t>
        </is>
      </c>
      <c r="Q133" t="n">
        <v>0</v>
      </c>
      <c r="R133" t="inlineStr">
        <is>
          <t>AUD</t>
        </is>
      </c>
      <c r="S133" t="n">
        <v>0</v>
      </c>
      <c r="T133" t="inlineStr">
        <is>
          <t>AUD</t>
        </is>
      </c>
      <c r="U133" t="n">
        <v>0</v>
      </c>
    </row>
    <row r="134">
      <c r="A134" s="5" t="inlineStr">
        <is>
          <t>01a1212c-4f82-722c-8737-d198b627c4f7</t>
        </is>
      </c>
      <c r="C134" s="5" t="inlineStr">
        <is>
          <t>01a1212c-4b57-70cf-80fd-c2192cb3bf81</t>
        </is>
      </c>
      <c r="D134" s="4" t="n">
        <v>46304.62401039813</v>
      </c>
      <c r="E134" s="4" t="n">
        <v>46304.62401039821</v>
      </c>
      <c r="F134" t="b">
        <v>1</v>
      </c>
      <c r="G134" t="n">
        <v/>
      </c>
      <c r="H134" t="inlineStr">
        <is>
          <t>PRU</t>
        </is>
      </c>
      <c r="I134" t="inlineStr">
        <is>
          <t>Perseus Mining Ltd</t>
        </is>
      </c>
      <c r="J134" t="inlineStr">
        <is>
          <t>AUD</t>
        </is>
      </c>
      <c r="K134" s="5" t="inlineStr">
        <is>
          <t>01a1212c-4c04-75ce-bbb2-e3322e18816e</t>
        </is>
      </c>
      <c r="M134" t="inlineStr">
        <is>
          <t>UNKNOWN</t>
        </is>
      </c>
      <c r="N134" t="inlineStr">
        <is>
          <t>DEFAULT</t>
        </is>
      </c>
      <c r="Q134" t="n">
        <v>0</v>
      </c>
      <c r="R134" t="inlineStr">
        <is>
          <t>AUD</t>
        </is>
      </c>
      <c r="S134" t="n">
        <v>0</v>
      </c>
      <c r="T134" t="inlineStr">
        <is>
          <t>AUD</t>
        </is>
      </c>
      <c r="U134" t="n">
        <v>0</v>
      </c>
    </row>
    <row r="135">
      <c r="A135" s="5" t="inlineStr">
        <is>
          <t>01a1212c-4f84-7397-aa42-687e4add27d4</t>
        </is>
      </c>
      <c r="C135" s="5" t="inlineStr">
        <is>
          <t>01a1212c-4b57-70cf-80fd-c2192cb3bf81</t>
        </is>
      </c>
      <c r="D135" s="4" t="n">
        <v>46304.6240104282</v>
      </c>
      <c r="E135" s="4" t="n">
        <v>46304.62401042828</v>
      </c>
      <c r="F135" t="b">
        <v>1</v>
      </c>
      <c r="G135" t="n">
        <v/>
      </c>
      <c r="H135" t="inlineStr">
        <is>
          <t>ETHI</t>
        </is>
      </c>
      <c r="I135" t="inlineStr">
        <is>
          <t>Betashares Global Sustainability Leaders ETF</t>
        </is>
      </c>
      <c r="J135" t="inlineStr">
        <is>
          <t>AUD</t>
        </is>
      </c>
      <c r="K135" s="5" t="inlineStr">
        <is>
          <t>01a1212c-4c04-75ce-bbb2-e3322e18816e</t>
        </is>
      </c>
      <c r="M135" t="inlineStr">
        <is>
          <t>UNIT_TRUST</t>
        </is>
      </c>
      <c r="N135" t="inlineStr">
        <is>
          <t>SUGGESTED</t>
        </is>
      </c>
      <c r="Q135" t="n">
        <v>0</v>
      </c>
      <c r="R135" t="inlineStr">
        <is>
          <t>AUD</t>
        </is>
      </c>
      <c r="S135" t="n">
        <v>0</v>
      </c>
      <c r="T135" t="inlineStr">
        <is>
          <t>AUD</t>
        </is>
      </c>
      <c r="U135" t="n">
        <v>0</v>
      </c>
    </row>
    <row r="136">
      <c r="A136" s="5" t="inlineStr">
        <is>
          <t>01a1212c-4f87-76dd-8a62-7214af33ca81</t>
        </is>
      </c>
      <c r="C136" s="5" t="inlineStr">
        <is>
          <t>01a1212c-4b57-70cf-80fd-c2192cb3bf81</t>
        </is>
      </c>
      <c r="D136" s="4" t="n">
        <v>46304.6240104616</v>
      </c>
      <c r="E136" s="4" t="n">
        <v>46304.62401046168</v>
      </c>
      <c r="F136" t="b">
        <v>1</v>
      </c>
      <c r="G136" t="n">
        <v/>
      </c>
      <c r="H136" t="inlineStr">
        <is>
          <t>FLT</t>
        </is>
      </c>
      <c r="I136" t="inlineStr">
        <is>
          <t>Flight Centre Travel Group Ltd</t>
        </is>
      </c>
      <c r="J136" t="inlineStr">
        <is>
          <t>AUD</t>
        </is>
      </c>
      <c r="K136" s="5" t="inlineStr">
        <is>
          <t>01a1212c-4c04-75ce-bbb2-e3322e18816e</t>
        </is>
      </c>
      <c r="M136" t="inlineStr">
        <is>
          <t>UNKNOWN</t>
        </is>
      </c>
      <c r="N136" t="inlineStr">
        <is>
          <t>DEFAULT</t>
        </is>
      </c>
      <c r="Q136" t="n">
        <v>0</v>
      </c>
      <c r="R136" t="inlineStr">
        <is>
          <t>AUD</t>
        </is>
      </c>
      <c r="S136" t="n">
        <v>0</v>
      </c>
      <c r="T136" t="inlineStr">
        <is>
          <t>AUD</t>
        </is>
      </c>
      <c r="U136" t="n">
        <v>0</v>
      </c>
    </row>
    <row r="137">
      <c r="A137" s="5" t="inlineStr">
        <is>
          <t>01a1212c-4f8a-7154-88e5-386717e616c8</t>
        </is>
      </c>
      <c r="C137" s="5" t="inlineStr">
        <is>
          <t>01a1212c-4b57-70cf-80fd-c2192cb3bf81</t>
        </is>
      </c>
      <c r="D137" s="4" t="n">
        <v>46304.62401049147</v>
      </c>
      <c r="E137" s="4" t="n">
        <v>46304.62401049154</v>
      </c>
      <c r="F137" t="b">
        <v>1</v>
      </c>
      <c r="G137" t="n">
        <v/>
      </c>
      <c r="H137" t="inlineStr">
        <is>
          <t>AAA</t>
        </is>
      </c>
      <c r="I137" t="inlineStr">
        <is>
          <t>Betashares Australian High Interest Cash ETF</t>
        </is>
      </c>
      <c r="J137" t="inlineStr">
        <is>
          <t>AUD</t>
        </is>
      </c>
      <c r="K137" s="5" t="inlineStr">
        <is>
          <t>01a1212c-4c04-75ce-bbb2-e3322e18816e</t>
        </is>
      </c>
      <c r="M137" t="inlineStr">
        <is>
          <t>UNIT_TRUST</t>
        </is>
      </c>
      <c r="N137" t="inlineStr">
        <is>
          <t>SUGGESTED</t>
        </is>
      </c>
      <c r="Q137" t="n">
        <v>0</v>
      </c>
      <c r="R137" t="inlineStr">
        <is>
          <t>AUD</t>
        </is>
      </c>
      <c r="S137" t="n">
        <v>0</v>
      </c>
      <c r="T137" t="inlineStr">
        <is>
          <t>AUD</t>
        </is>
      </c>
      <c r="U137" t="n">
        <v>0</v>
      </c>
    </row>
    <row r="138">
      <c r="A138" s="5" t="inlineStr">
        <is>
          <t>01a1212c-4f8e-70dc-b5b1-e64e59aca984</t>
        </is>
      </c>
      <c r="C138" s="5" t="inlineStr">
        <is>
          <t>01a1212c-4b57-70cf-80fd-c2192cb3bf81</t>
        </is>
      </c>
      <c r="D138" s="4" t="n">
        <v>46304.62401053596</v>
      </c>
      <c r="E138" s="4" t="n">
        <v>46304.62401053604</v>
      </c>
      <c r="F138" t="b">
        <v>1</v>
      </c>
      <c r="G138" t="n">
        <v/>
      </c>
      <c r="H138" t="inlineStr">
        <is>
          <t>DOW</t>
        </is>
      </c>
      <c r="I138" t="inlineStr">
        <is>
          <t>Downer Edi Ltd</t>
        </is>
      </c>
      <c r="J138" t="inlineStr">
        <is>
          <t>AUD</t>
        </is>
      </c>
      <c r="K138" s="5" t="inlineStr">
        <is>
          <t>01a1212c-4c04-75ce-bbb2-e3322e18816e</t>
        </is>
      </c>
      <c r="M138" t="inlineStr">
        <is>
          <t>UNKNOWN</t>
        </is>
      </c>
      <c r="N138" t="inlineStr">
        <is>
          <t>DEFAULT</t>
        </is>
      </c>
      <c r="Q138" t="n">
        <v>0</v>
      </c>
      <c r="R138" t="inlineStr">
        <is>
          <t>AUD</t>
        </is>
      </c>
      <c r="S138" t="n">
        <v>0</v>
      </c>
      <c r="T138" t="inlineStr">
        <is>
          <t>AUD</t>
        </is>
      </c>
      <c r="U138" t="n">
        <v>0</v>
      </c>
    </row>
    <row r="139">
      <c r="A139" s="5" t="inlineStr">
        <is>
          <t>01a1212c-4f90-775e-8278-05dff8646aac</t>
        </is>
      </c>
      <c r="C139" s="5" t="inlineStr">
        <is>
          <t>01a1212c-4b57-70cf-80fd-c2192cb3bf81</t>
        </is>
      </c>
      <c r="D139" s="4" t="n">
        <v>46304.62401056674</v>
      </c>
      <c r="E139" s="4" t="n">
        <v>46304.62401056682</v>
      </c>
      <c r="F139" t="b">
        <v>1</v>
      </c>
      <c r="G139" t="n">
        <v/>
      </c>
      <c r="H139" t="inlineStr">
        <is>
          <t>LNW</t>
        </is>
      </c>
      <c r="I139" t="inlineStr">
        <is>
          <t>Light &amp; Wonder Inc</t>
        </is>
      </c>
      <c r="J139" t="inlineStr">
        <is>
          <t>AUD</t>
        </is>
      </c>
      <c r="K139" s="5" t="inlineStr">
        <is>
          <t>01a1212c-4c04-75ce-bbb2-e3322e18816e</t>
        </is>
      </c>
      <c r="M139" t="inlineStr">
        <is>
          <t>UNKNOWN</t>
        </is>
      </c>
      <c r="N139" t="inlineStr">
        <is>
          <t>DEFAULT</t>
        </is>
      </c>
      <c r="Q139" t="n">
        <v>0</v>
      </c>
      <c r="R139" t="inlineStr">
        <is>
          <t>AUD</t>
        </is>
      </c>
      <c r="S139" t="n">
        <v>0</v>
      </c>
      <c r="T139" t="inlineStr">
        <is>
          <t>AUD</t>
        </is>
      </c>
      <c r="U139" t="n">
        <v>0</v>
      </c>
    </row>
    <row r="140">
      <c r="A140" s="5" t="inlineStr">
        <is>
          <t>01a1212c-4f93-7568-8351-c88624627869</t>
        </is>
      </c>
      <c r="C140" s="5" t="inlineStr">
        <is>
          <t>01a1212c-4b57-70cf-80fd-c2192cb3bf81</t>
        </is>
      </c>
      <c r="D140" s="4" t="n">
        <v>46304.62401059701</v>
      </c>
      <c r="E140" s="4" t="n">
        <v>46304.62401059709</v>
      </c>
      <c r="F140" t="b">
        <v>1</v>
      </c>
      <c r="G140" t="n">
        <v/>
      </c>
      <c r="H140" t="inlineStr">
        <is>
          <t>MSB</t>
        </is>
      </c>
      <c r="I140" t="inlineStr">
        <is>
          <t>Mesoblast Ltd</t>
        </is>
      </c>
      <c r="J140" t="inlineStr">
        <is>
          <t>AUD</t>
        </is>
      </c>
      <c r="K140" s="5" t="inlineStr">
        <is>
          <t>01a1212c-4c04-75ce-bbb2-e3322e18816e</t>
        </is>
      </c>
      <c r="M140" t="inlineStr">
        <is>
          <t>UNKNOWN</t>
        </is>
      </c>
      <c r="N140" t="inlineStr">
        <is>
          <t>DEFAULT</t>
        </is>
      </c>
      <c r="Q140" t="n">
        <v>0</v>
      </c>
      <c r="R140" t="inlineStr">
        <is>
          <t>AUD</t>
        </is>
      </c>
      <c r="S140" t="n">
        <v>0</v>
      </c>
      <c r="T140" t="inlineStr">
        <is>
          <t>AUD</t>
        </is>
      </c>
      <c r="U140" t="n">
        <v>0</v>
      </c>
    </row>
    <row r="141">
      <c r="A141" s="5" t="inlineStr">
        <is>
          <t>01a1212c-4f96-735a-b677-3d350f5f18f9</t>
        </is>
      </c>
      <c r="C141" s="5" t="inlineStr">
        <is>
          <t>01a1212c-4b57-70cf-80fd-c2192cb3bf81</t>
        </is>
      </c>
      <c r="D141" s="4" t="n">
        <v>46304.62401062709</v>
      </c>
      <c r="E141" s="4" t="n">
        <v>46304.62401062715</v>
      </c>
      <c r="F141" t="b">
        <v>1</v>
      </c>
      <c r="G141" t="n">
        <v/>
      </c>
      <c r="H141" t="inlineStr">
        <is>
          <t>AAI</t>
        </is>
      </c>
      <c r="I141" t="inlineStr">
        <is>
          <t>Alcoa Corporation</t>
        </is>
      </c>
      <c r="J141" t="inlineStr">
        <is>
          <t>AUD</t>
        </is>
      </c>
      <c r="K141" s="5" t="inlineStr">
        <is>
          <t>01a1212c-4c04-75ce-bbb2-e3322e18816e</t>
        </is>
      </c>
      <c r="M141" t="inlineStr">
        <is>
          <t>UNKNOWN</t>
        </is>
      </c>
      <c r="N141" t="inlineStr">
        <is>
          <t>DEFAULT</t>
        </is>
      </c>
      <c r="Q141" t="n">
        <v>0</v>
      </c>
      <c r="R141" t="inlineStr">
        <is>
          <t>AUD</t>
        </is>
      </c>
      <c r="S141" t="n">
        <v>0</v>
      </c>
      <c r="T141" t="inlineStr">
        <is>
          <t>AUD</t>
        </is>
      </c>
      <c r="U141" t="n">
        <v>0</v>
      </c>
    </row>
    <row r="142">
      <c r="A142" s="5" t="inlineStr">
        <is>
          <t>01a1212c-4f98-71d9-aba6-6e53864a7c0e</t>
        </is>
      </c>
      <c r="C142" s="5" t="inlineStr">
        <is>
          <t>01a1212c-4b57-70cf-80fd-c2192cb3bf81</t>
        </is>
      </c>
      <c r="D142" s="4" t="n">
        <v>46304.62401065946</v>
      </c>
      <c r="E142" s="4" t="n">
        <v>46304.62401065953</v>
      </c>
      <c r="F142" t="b">
        <v>1</v>
      </c>
      <c r="G142" t="n">
        <v/>
      </c>
      <c r="H142" t="inlineStr">
        <is>
          <t>AUB</t>
        </is>
      </c>
      <c r="I142" t="inlineStr">
        <is>
          <t>AUB Group Ltd</t>
        </is>
      </c>
      <c r="J142" t="inlineStr">
        <is>
          <t>AUD</t>
        </is>
      </c>
      <c r="K142" s="5" t="inlineStr">
        <is>
          <t>01a1212c-4c04-75ce-bbb2-e3322e18816e</t>
        </is>
      </c>
      <c r="M142" t="inlineStr">
        <is>
          <t>UNKNOWN</t>
        </is>
      </c>
      <c r="N142" t="inlineStr">
        <is>
          <t>DEFAULT</t>
        </is>
      </c>
      <c r="Q142" t="n">
        <v>0</v>
      </c>
      <c r="R142" t="inlineStr">
        <is>
          <t>AUD</t>
        </is>
      </c>
      <c r="S142" t="n">
        <v>0</v>
      </c>
      <c r="T142" t="inlineStr">
        <is>
          <t>AUD</t>
        </is>
      </c>
      <c r="U142" t="n">
        <v>0</v>
      </c>
    </row>
    <row r="143">
      <c r="A143" s="5" t="inlineStr">
        <is>
          <t>01a1212c-4f9b-7167-adf7-779824244a1a</t>
        </is>
      </c>
      <c r="C143" s="5" t="inlineStr">
        <is>
          <t>01a1212c-4b57-70cf-80fd-c2192cb3bf81</t>
        </is>
      </c>
      <c r="D143" s="4" t="n">
        <v>46304.62401069435</v>
      </c>
      <c r="E143" s="4" t="n">
        <v>46304.62401069443</v>
      </c>
      <c r="F143" t="b">
        <v>1</v>
      </c>
      <c r="G143" t="n">
        <v/>
      </c>
      <c r="H143" t="inlineStr">
        <is>
          <t>PDN</t>
        </is>
      </c>
      <c r="I143" t="inlineStr">
        <is>
          <t>Paladin Energy Ltd</t>
        </is>
      </c>
      <c r="J143" t="inlineStr">
        <is>
          <t>AUD</t>
        </is>
      </c>
      <c r="K143" s="5" t="inlineStr">
        <is>
          <t>01a1212c-4c04-75ce-bbb2-e3322e18816e</t>
        </is>
      </c>
      <c r="M143" t="inlineStr">
        <is>
          <t>UNKNOWN</t>
        </is>
      </c>
      <c r="N143" t="inlineStr">
        <is>
          <t>DEFAULT</t>
        </is>
      </c>
      <c r="Q143" t="n">
        <v>0</v>
      </c>
      <c r="R143" t="inlineStr">
        <is>
          <t>AUD</t>
        </is>
      </c>
      <c r="S143" t="n">
        <v>0</v>
      </c>
      <c r="T143" t="inlineStr">
        <is>
          <t>AUD</t>
        </is>
      </c>
      <c r="U143" t="n">
        <v>0</v>
      </c>
    </row>
    <row r="144">
      <c r="A144" s="5" t="inlineStr">
        <is>
          <t>01a1212c-4f9e-755e-ab02-7980c36dcc4b</t>
        </is>
      </c>
      <c r="C144" s="5" t="inlineStr">
        <is>
          <t>01a1212c-4b57-70cf-80fd-c2192cb3bf81</t>
        </is>
      </c>
      <c r="D144" s="4" t="n">
        <v>46304.62401072615</v>
      </c>
      <c r="E144" s="4" t="n">
        <v>46304.62401072623</v>
      </c>
      <c r="F144" t="b">
        <v>1</v>
      </c>
      <c r="G144" t="n">
        <v/>
      </c>
      <c r="H144" t="inlineStr">
        <is>
          <t>NIC</t>
        </is>
      </c>
      <c r="I144" t="inlineStr">
        <is>
          <t>Nickel Industries Ltd</t>
        </is>
      </c>
      <c r="J144" t="inlineStr">
        <is>
          <t>AUD</t>
        </is>
      </c>
      <c r="K144" s="5" t="inlineStr">
        <is>
          <t>01a1212c-4c04-75ce-bbb2-e3322e18816e</t>
        </is>
      </c>
      <c r="M144" t="inlineStr">
        <is>
          <t>UNKNOWN</t>
        </is>
      </c>
      <c r="N144" t="inlineStr">
        <is>
          <t>DEFAULT</t>
        </is>
      </c>
      <c r="Q144" t="n">
        <v>0</v>
      </c>
      <c r="R144" t="inlineStr">
        <is>
          <t>AUD</t>
        </is>
      </c>
      <c r="S144" t="n">
        <v>0</v>
      </c>
      <c r="T144" t="inlineStr">
        <is>
          <t>AUD</t>
        </is>
      </c>
      <c r="U144" t="n">
        <v>0</v>
      </c>
    </row>
    <row r="145">
      <c r="A145" s="5" t="inlineStr">
        <is>
          <t>01a1212c-4fa1-77a2-b7dd-8c1bb906ab7b</t>
        </is>
      </c>
      <c r="C145" s="5" t="inlineStr">
        <is>
          <t>01a1212c-4b57-70cf-80fd-c2192cb3bf81</t>
        </is>
      </c>
      <c r="D145" s="4" t="n">
        <v>46304.62401075814</v>
      </c>
      <c r="E145" s="4" t="n">
        <v>46304.62401075822</v>
      </c>
      <c r="F145" t="b">
        <v>1</v>
      </c>
      <c r="G145" t="n">
        <v/>
      </c>
      <c r="H145" t="inlineStr">
        <is>
          <t>IEL</t>
        </is>
      </c>
      <c r="I145" t="inlineStr">
        <is>
          <t>Idp Education Ltd</t>
        </is>
      </c>
      <c r="J145" t="inlineStr">
        <is>
          <t>AUD</t>
        </is>
      </c>
      <c r="K145" s="5" t="inlineStr">
        <is>
          <t>01a1212c-4c04-75ce-bbb2-e3322e18816e</t>
        </is>
      </c>
      <c r="M145" t="inlineStr">
        <is>
          <t>UNKNOWN</t>
        </is>
      </c>
      <c r="N145" t="inlineStr">
        <is>
          <t>DEFAULT</t>
        </is>
      </c>
      <c r="Q145" t="n">
        <v>0</v>
      </c>
      <c r="R145" t="inlineStr">
        <is>
          <t>AUD</t>
        </is>
      </c>
      <c r="S145" t="n">
        <v>0</v>
      </c>
      <c r="T145" t="inlineStr">
        <is>
          <t>AUD</t>
        </is>
      </c>
      <c r="U145" t="n">
        <v>0</v>
      </c>
    </row>
    <row r="146">
      <c r="A146" s="5" t="inlineStr">
        <is>
          <t>01a1212c-4fa4-72db-8735-565a996234a9</t>
        </is>
      </c>
      <c r="C146" s="5" t="inlineStr">
        <is>
          <t>01a1212c-4b57-70cf-80fd-c2192cb3bf81</t>
        </is>
      </c>
      <c r="D146" s="4" t="n">
        <v>46304.6240107928</v>
      </c>
      <c r="E146" s="4" t="n">
        <v>46304.62401079288</v>
      </c>
      <c r="F146" t="b">
        <v>1</v>
      </c>
      <c r="G146" t="n">
        <v/>
      </c>
      <c r="H146" t="inlineStr">
        <is>
          <t>HYGG</t>
        </is>
      </c>
      <c r="I146" t="inlineStr">
        <is>
          <t>Hyperion GBL Growth Companies Fund (Managed Fund)</t>
        </is>
      </c>
      <c r="J146" t="inlineStr">
        <is>
          <t>AUD</t>
        </is>
      </c>
      <c r="K146" s="5" t="inlineStr">
        <is>
          <t>01a1212c-4c04-75ce-bbb2-e3322e18816e</t>
        </is>
      </c>
      <c r="M146" t="inlineStr">
        <is>
          <t>UNKNOWN</t>
        </is>
      </c>
      <c r="N146" t="inlineStr">
        <is>
          <t>DEFAULT</t>
        </is>
      </c>
      <c r="Q146" t="n">
        <v>0</v>
      </c>
      <c r="R146" t="inlineStr">
        <is>
          <t>AUD</t>
        </is>
      </c>
      <c r="S146" t="n">
        <v>0</v>
      </c>
      <c r="T146" t="inlineStr">
        <is>
          <t>AUD</t>
        </is>
      </c>
      <c r="U146" t="n">
        <v>0</v>
      </c>
    </row>
    <row r="147">
      <c r="A147" s="5" t="inlineStr">
        <is>
          <t>01a1212c-4fa7-71c2-bf8d-1a049b6d35de</t>
        </is>
      </c>
      <c r="C147" s="5" t="inlineStr">
        <is>
          <t>01a1212c-4b57-70cf-80fd-c2192cb3bf81</t>
        </is>
      </c>
      <c r="D147" s="4" t="n">
        <v>46304.62401082909</v>
      </c>
      <c r="E147" s="4" t="n">
        <v>46304.62401082917</v>
      </c>
      <c r="F147" t="b">
        <v>1</v>
      </c>
      <c r="G147" t="n">
        <v/>
      </c>
      <c r="H147" t="inlineStr">
        <is>
          <t>VEU</t>
        </is>
      </c>
      <c r="I147" t="inlineStr">
        <is>
          <t>Vanguard All-World Ex-US Shares INDEX ETF</t>
        </is>
      </c>
      <c r="J147" t="inlineStr">
        <is>
          <t>AUD</t>
        </is>
      </c>
      <c r="K147" s="5" t="inlineStr">
        <is>
          <t>01a1212c-4c04-75ce-bbb2-e3322e18816e</t>
        </is>
      </c>
      <c r="M147" t="inlineStr">
        <is>
          <t>UNIT_TRUST</t>
        </is>
      </c>
      <c r="N147" t="inlineStr">
        <is>
          <t>SUGGESTED</t>
        </is>
      </c>
      <c r="Q147" t="n">
        <v>0</v>
      </c>
      <c r="R147" t="inlineStr">
        <is>
          <t>AUD</t>
        </is>
      </c>
      <c r="S147" t="n">
        <v>0</v>
      </c>
      <c r="T147" t="inlineStr">
        <is>
          <t>AUD</t>
        </is>
      </c>
      <c r="U147" t="n">
        <v>0</v>
      </c>
    </row>
    <row r="148">
      <c r="A148" s="5" t="inlineStr">
        <is>
          <t>01a1212c-4faa-772a-98c9-caaeb4bfa6d0</t>
        </is>
      </c>
      <c r="C148" s="5" t="inlineStr">
        <is>
          <t>01a1212c-4b57-70cf-80fd-c2192cb3bf81</t>
        </is>
      </c>
      <c r="D148" s="4" t="n">
        <v>46304.62401086494</v>
      </c>
      <c r="E148" s="4" t="n">
        <v>46304.62401086504</v>
      </c>
      <c r="F148" t="b">
        <v>1</v>
      </c>
      <c r="G148" t="n">
        <v/>
      </c>
      <c r="H148" t="inlineStr">
        <is>
          <t>GMD</t>
        </is>
      </c>
      <c r="I148" t="inlineStr">
        <is>
          <t>Genesis Minerals Ltd</t>
        </is>
      </c>
      <c r="J148" t="inlineStr">
        <is>
          <t>AUD</t>
        </is>
      </c>
      <c r="K148" s="5" t="inlineStr">
        <is>
          <t>01a1212c-4c04-75ce-bbb2-e3322e18816e</t>
        </is>
      </c>
      <c r="M148" t="inlineStr">
        <is>
          <t>UNKNOWN</t>
        </is>
      </c>
      <c r="N148" t="inlineStr">
        <is>
          <t>DEFAULT</t>
        </is>
      </c>
      <c r="Q148" t="n">
        <v>0</v>
      </c>
      <c r="R148" t="inlineStr">
        <is>
          <t>AUD</t>
        </is>
      </c>
      <c r="S148" t="n">
        <v>0</v>
      </c>
      <c r="T148" t="inlineStr">
        <is>
          <t>AUD</t>
        </is>
      </c>
      <c r="U148" t="n">
        <v>0</v>
      </c>
    </row>
    <row r="149">
      <c r="A149" s="5" t="inlineStr">
        <is>
          <t>01a1212c-4fad-74e9-93a5-e50f6d1eada2</t>
        </is>
      </c>
      <c r="C149" s="5" t="inlineStr">
        <is>
          <t>01a1212c-4b57-70cf-80fd-c2192cb3bf81</t>
        </is>
      </c>
      <c r="D149" s="4" t="n">
        <v>46304.6240108962</v>
      </c>
      <c r="E149" s="4" t="n">
        <v>46304.6240108963</v>
      </c>
      <c r="F149" t="b">
        <v>1</v>
      </c>
      <c r="G149" t="n">
        <v/>
      </c>
      <c r="H149" t="inlineStr">
        <is>
          <t>SUL</t>
        </is>
      </c>
      <c r="I149" t="inlineStr">
        <is>
          <t>Super Retail Group Ltd</t>
        </is>
      </c>
      <c r="J149" t="inlineStr">
        <is>
          <t>AUD</t>
        </is>
      </c>
      <c r="K149" s="5" t="inlineStr">
        <is>
          <t>01a1212c-4c04-75ce-bbb2-e3322e18816e</t>
        </is>
      </c>
      <c r="M149" t="inlineStr">
        <is>
          <t>UNKNOWN</t>
        </is>
      </c>
      <c r="N149" t="inlineStr">
        <is>
          <t>DEFAULT</t>
        </is>
      </c>
      <c r="Q149" t="n">
        <v>0</v>
      </c>
      <c r="R149" t="inlineStr">
        <is>
          <t>AUD</t>
        </is>
      </c>
      <c r="S149" t="n">
        <v>0</v>
      </c>
      <c r="T149" t="inlineStr">
        <is>
          <t>AUD</t>
        </is>
      </c>
      <c r="U149" t="n">
        <v>0</v>
      </c>
    </row>
    <row r="150">
      <c r="A150" s="5" t="inlineStr">
        <is>
          <t>01a1212c-4fb0-74b5-a9c9-eeda5448d79c</t>
        </is>
      </c>
      <c r="C150" s="5" t="inlineStr">
        <is>
          <t>01a1212c-4b57-70cf-80fd-c2192cb3bf81</t>
        </is>
      </c>
      <c r="D150" s="4" t="n">
        <v>46304.62401093086</v>
      </c>
      <c r="E150" s="4" t="n">
        <v>46304.62401093096</v>
      </c>
      <c r="F150" t="b">
        <v>1</v>
      </c>
      <c r="G150" t="n">
        <v/>
      </c>
      <c r="H150" t="inlineStr">
        <is>
          <t>BPT</t>
        </is>
      </c>
      <c r="I150" t="inlineStr">
        <is>
          <t>Beach Energy Ltd</t>
        </is>
      </c>
      <c r="J150" t="inlineStr">
        <is>
          <t>AUD</t>
        </is>
      </c>
      <c r="K150" s="5" t="inlineStr">
        <is>
          <t>01a1212c-4c04-75ce-bbb2-e3322e18816e</t>
        </is>
      </c>
      <c r="M150" t="inlineStr">
        <is>
          <t>UNKNOWN</t>
        </is>
      </c>
      <c r="N150" t="inlineStr">
        <is>
          <t>DEFAULT</t>
        </is>
      </c>
      <c r="Q150" t="n">
        <v>0</v>
      </c>
      <c r="R150" t="inlineStr">
        <is>
          <t>AUD</t>
        </is>
      </c>
      <c r="S150" t="n">
        <v>0</v>
      </c>
      <c r="T150" t="inlineStr">
        <is>
          <t>AUD</t>
        </is>
      </c>
      <c r="U150" t="n">
        <v>0</v>
      </c>
    </row>
    <row r="151">
      <c r="A151" s="5" t="inlineStr">
        <is>
          <t>01a1212c-4fb3-766d-a7d4-1d2e927a098e</t>
        </is>
      </c>
      <c r="C151" s="5" t="inlineStr">
        <is>
          <t>01a1212c-4b57-70cf-80fd-c2192cb3bf81</t>
        </is>
      </c>
      <c r="D151" s="4" t="n">
        <v>46304.62401096246</v>
      </c>
      <c r="E151" s="4" t="n">
        <v>46304.62401096256</v>
      </c>
      <c r="F151" t="b">
        <v>1</v>
      </c>
      <c r="G151" t="n">
        <v/>
      </c>
      <c r="H151" t="inlineStr">
        <is>
          <t>BFL</t>
        </is>
      </c>
      <c r="I151" t="inlineStr">
        <is>
          <t>BSP Financial Group Ltd</t>
        </is>
      </c>
      <c r="J151" t="inlineStr">
        <is>
          <t>AUD</t>
        </is>
      </c>
      <c r="K151" s="5" t="inlineStr">
        <is>
          <t>01a1212c-4c04-75ce-bbb2-e3322e18816e</t>
        </is>
      </c>
      <c r="M151" t="inlineStr">
        <is>
          <t>UNKNOWN</t>
        </is>
      </c>
      <c r="N151" t="inlineStr">
        <is>
          <t>DEFAULT</t>
        </is>
      </c>
      <c r="Q151" t="n">
        <v>0</v>
      </c>
      <c r="R151" t="inlineStr">
        <is>
          <t>AUD</t>
        </is>
      </c>
      <c r="S151" t="n">
        <v>0</v>
      </c>
      <c r="T151" t="inlineStr">
        <is>
          <t>AUD</t>
        </is>
      </c>
      <c r="U151" t="n">
        <v>0</v>
      </c>
    </row>
    <row r="152">
      <c r="A152" s="5" t="inlineStr">
        <is>
          <t>01a1212c-4fb6-71e3-8001-e0c341feb05a</t>
        </is>
      </c>
      <c r="C152" s="5" t="inlineStr">
        <is>
          <t>01a1212c-4b57-70cf-80fd-c2192cb3bf81</t>
        </is>
      </c>
      <c r="D152" s="4" t="n">
        <v>46304.62401099955</v>
      </c>
      <c r="E152" s="4" t="n">
        <v>46304.62401099963</v>
      </c>
      <c r="F152" t="b">
        <v>1</v>
      </c>
      <c r="G152" t="n">
        <v/>
      </c>
      <c r="H152" t="inlineStr">
        <is>
          <t>MTS</t>
        </is>
      </c>
      <c r="I152" t="inlineStr">
        <is>
          <t>Metcash Ltd</t>
        </is>
      </c>
      <c r="J152" t="inlineStr">
        <is>
          <t>AUD</t>
        </is>
      </c>
      <c r="K152" s="5" t="inlineStr">
        <is>
          <t>01a1212c-4c04-75ce-bbb2-e3322e18816e</t>
        </is>
      </c>
      <c r="M152" t="inlineStr">
        <is>
          <t>UNKNOWN</t>
        </is>
      </c>
      <c r="N152" t="inlineStr">
        <is>
          <t>DEFAULT</t>
        </is>
      </c>
      <c r="Q152" t="n">
        <v>0</v>
      </c>
      <c r="R152" t="inlineStr">
        <is>
          <t>AUD</t>
        </is>
      </c>
      <c r="S152" t="n">
        <v>0</v>
      </c>
      <c r="T152" t="inlineStr">
        <is>
          <t>AUD</t>
        </is>
      </c>
      <c r="U152" t="n">
        <v>0</v>
      </c>
    </row>
    <row r="153">
      <c r="A153" s="5" t="inlineStr">
        <is>
          <t>01a1212c-4fb8-76d9-b8b8-0c049bb9815e</t>
        </is>
      </c>
      <c r="C153" s="5" t="inlineStr">
        <is>
          <t>01a1212c-4b57-70cf-80fd-c2192cb3bf81</t>
        </is>
      </c>
      <c r="D153" s="4" t="n">
        <v>46304.62401103059</v>
      </c>
      <c r="E153" s="4" t="n">
        <v>46304.62401103067</v>
      </c>
      <c r="F153" t="b">
        <v>1</v>
      </c>
      <c r="G153" t="n">
        <v/>
      </c>
      <c r="H153" t="inlineStr">
        <is>
          <t>CNU</t>
        </is>
      </c>
      <c r="I153" t="inlineStr">
        <is>
          <t>Chorus Ltd</t>
        </is>
      </c>
      <c r="J153" t="inlineStr">
        <is>
          <t>AUD</t>
        </is>
      </c>
      <c r="K153" s="5" t="inlineStr">
        <is>
          <t>01a1212c-4c04-75ce-bbb2-e3322e18816e</t>
        </is>
      </c>
      <c r="M153" t="inlineStr">
        <is>
          <t>UNKNOWN</t>
        </is>
      </c>
      <c r="N153" t="inlineStr">
        <is>
          <t>DEFAULT</t>
        </is>
      </c>
      <c r="Q153" t="n">
        <v>0</v>
      </c>
      <c r="R153" t="inlineStr">
        <is>
          <t>AUD</t>
        </is>
      </c>
      <c r="S153" t="n">
        <v>0</v>
      </c>
      <c r="T153" t="inlineStr">
        <is>
          <t>AUD</t>
        </is>
      </c>
      <c r="U153" t="n">
        <v>0</v>
      </c>
    </row>
    <row r="154">
      <c r="A154" s="5" t="inlineStr">
        <is>
          <t>01a1212c-4fbb-7043-9618-8b5d5c4f34a0</t>
        </is>
      </c>
      <c r="C154" s="5" t="inlineStr">
        <is>
          <t>01a1212c-4b57-70cf-80fd-c2192cb3bf81</t>
        </is>
      </c>
      <c r="D154" s="4" t="n">
        <v>46304.62401106145</v>
      </c>
      <c r="E154" s="4" t="n">
        <v>46304.62401106152</v>
      </c>
      <c r="F154" t="b">
        <v>1</v>
      </c>
      <c r="G154" t="n">
        <v/>
      </c>
      <c r="H154" t="inlineStr">
        <is>
          <t>ARB</t>
        </is>
      </c>
      <c r="I154" t="inlineStr">
        <is>
          <t>ARB Corporation Ltd</t>
        </is>
      </c>
      <c r="J154" t="inlineStr">
        <is>
          <t>AUD</t>
        </is>
      </c>
      <c r="K154" s="5" t="inlineStr">
        <is>
          <t>01a1212c-4c04-75ce-bbb2-e3322e18816e</t>
        </is>
      </c>
      <c r="M154" t="inlineStr">
        <is>
          <t>UNKNOWN</t>
        </is>
      </c>
      <c r="N154" t="inlineStr">
        <is>
          <t>DEFAULT</t>
        </is>
      </c>
      <c r="Q154" t="n">
        <v>0</v>
      </c>
      <c r="R154" t="inlineStr">
        <is>
          <t>AUD</t>
        </is>
      </c>
      <c r="S154" t="n">
        <v>0</v>
      </c>
      <c r="T154" t="inlineStr">
        <is>
          <t>AUD</t>
        </is>
      </c>
      <c r="U154" t="n">
        <v>0</v>
      </c>
    </row>
    <row r="155">
      <c r="A155" s="5" t="inlineStr">
        <is>
          <t>01a1212c-4fbe-76b2-9fca-eba76b8416d5</t>
        </is>
      </c>
      <c r="C155" s="5" t="inlineStr">
        <is>
          <t>01a1212c-4b57-70cf-80fd-c2192cb3bf81</t>
        </is>
      </c>
      <c r="D155" s="4" t="n">
        <v>46304.62401109382</v>
      </c>
      <c r="E155" s="4" t="n">
        <v>46304.6240110939</v>
      </c>
      <c r="F155" t="b">
        <v>1</v>
      </c>
      <c r="G155" t="n">
        <v/>
      </c>
      <c r="H155" t="inlineStr">
        <is>
          <t>VNT</t>
        </is>
      </c>
      <c r="I155" t="inlineStr">
        <is>
          <t>Ventia Services Group Ltd</t>
        </is>
      </c>
      <c r="J155" t="inlineStr">
        <is>
          <t>AUD</t>
        </is>
      </c>
      <c r="K155" s="5" t="inlineStr">
        <is>
          <t>01a1212c-4c04-75ce-bbb2-e3322e18816e</t>
        </is>
      </c>
      <c r="M155" t="inlineStr">
        <is>
          <t>UNKNOWN</t>
        </is>
      </c>
      <c r="N155" t="inlineStr">
        <is>
          <t>DEFAULT</t>
        </is>
      </c>
      <c r="Q155" t="n">
        <v>0</v>
      </c>
      <c r="R155" t="inlineStr">
        <is>
          <t>AUD</t>
        </is>
      </c>
      <c r="S155" t="n">
        <v>0</v>
      </c>
      <c r="T155" t="inlineStr">
        <is>
          <t>AUD</t>
        </is>
      </c>
      <c r="U155" t="n">
        <v>0</v>
      </c>
    </row>
    <row r="156">
      <c r="A156" s="5" t="inlineStr">
        <is>
          <t>01a1212c-4fc1-74d8-89ae-2d7f39def206</t>
        </is>
      </c>
      <c r="C156" s="5" t="inlineStr">
        <is>
          <t>01a1212c-4b57-70cf-80fd-c2192cb3bf81</t>
        </is>
      </c>
      <c r="D156" s="4" t="n">
        <v>46304.62401112459</v>
      </c>
      <c r="E156" s="4" t="n">
        <v>46304.62401112465</v>
      </c>
      <c r="F156" t="b">
        <v>1</v>
      </c>
      <c r="G156" t="n">
        <v/>
      </c>
      <c r="H156" t="inlineStr">
        <is>
          <t>ORA</t>
        </is>
      </c>
      <c r="I156" t="inlineStr">
        <is>
          <t>Orora Ltd</t>
        </is>
      </c>
      <c r="J156" t="inlineStr">
        <is>
          <t>AUD</t>
        </is>
      </c>
      <c r="K156" s="5" t="inlineStr">
        <is>
          <t>01a1212c-4c04-75ce-bbb2-e3322e18816e</t>
        </is>
      </c>
      <c r="M156" t="inlineStr">
        <is>
          <t>UNKNOWN</t>
        </is>
      </c>
      <c r="N156" t="inlineStr">
        <is>
          <t>DEFAULT</t>
        </is>
      </c>
      <c r="Q156" t="n">
        <v>0</v>
      </c>
      <c r="R156" t="inlineStr">
        <is>
          <t>AUD</t>
        </is>
      </c>
      <c r="S156" t="n">
        <v>0</v>
      </c>
      <c r="T156" t="inlineStr">
        <is>
          <t>AUD</t>
        </is>
      </c>
      <c r="U156" t="n">
        <v>0</v>
      </c>
    </row>
    <row r="157">
      <c r="A157" s="5" t="inlineStr">
        <is>
          <t>01a1212c-4fc3-7780-ba2f-4232fcd96494</t>
        </is>
      </c>
      <c r="C157" s="5" t="inlineStr">
        <is>
          <t>01a1212c-4b57-70cf-80fd-c2192cb3bf81</t>
        </is>
      </c>
      <c r="D157" s="4" t="n">
        <v>46304.62401115472</v>
      </c>
      <c r="E157" s="4" t="n">
        <v>46304.6240111548</v>
      </c>
      <c r="F157" t="b">
        <v>1</v>
      </c>
      <c r="G157" t="n">
        <v/>
      </c>
      <c r="H157" t="inlineStr">
        <is>
          <t>APE</t>
        </is>
      </c>
      <c r="I157" t="inlineStr">
        <is>
          <t>Eagers Automotive Ltd</t>
        </is>
      </c>
      <c r="J157" t="inlineStr">
        <is>
          <t>AUD</t>
        </is>
      </c>
      <c r="K157" s="5" t="inlineStr">
        <is>
          <t>01a1212c-4c04-75ce-bbb2-e3322e18816e</t>
        </is>
      </c>
      <c r="M157" t="inlineStr">
        <is>
          <t>UNKNOWN</t>
        </is>
      </c>
      <c r="N157" t="inlineStr">
        <is>
          <t>DEFAULT</t>
        </is>
      </c>
      <c r="Q157" t="n">
        <v>0</v>
      </c>
      <c r="R157" t="inlineStr">
        <is>
          <t>AUD</t>
        </is>
      </c>
      <c r="S157" t="n">
        <v>0</v>
      </c>
      <c r="T157" t="inlineStr">
        <is>
          <t>AUD</t>
        </is>
      </c>
      <c r="U157" t="n">
        <v>0</v>
      </c>
    </row>
    <row r="158">
      <c r="A158" s="5" t="inlineStr">
        <is>
          <t>01a1212c-4fc6-77b6-8495-dcd1bdf631ed</t>
        </is>
      </c>
      <c r="C158" s="5" t="inlineStr">
        <is>
          <t>01a1212c-4b57-70cf-80fd-c2192cb3bf81</t>
        </is>
      </c>
      <c r="D158" s="4" t="n">
        <v>46304.62401119036</v>
      </c>
      <c r="E158" s="4" t="n">
        <v>46304.62401119045</v>
      </c>
      <c r="F158" t="b">
        <v>1</v>
      </c>
      <c r="G158" t="n">
        <v/>
      </c>
      <c r="H158" t="inlineStr">
        <is>
          <t>LOV</t>
        </is>
      </c>
      <c r="I158" t="inlineStr">
        <is>
          <t>Lovisa Holdings Ltd</t>
        </is>
      </c>
      <c r="J158" t="inlineStr">
        <is>
          <t>AUD</t>
        </is>
      </c>
      <c r="K158" s="5" t="inlineStr">
        <is>
          <t>01a1212c-4c04-75ce-bbb2-e3322e18816e</t>
        </is>
      </c>
      <c r="M158" t="inlineStr">
        <is>
          <t>UNKNOWN</t>
        </is>
      </c>
      <c r="N158" t="inlineStr">
        <is>
          <t>DEFAULT</t>
        </is>
      </c>
      <c r="Q158" t="n">
        <v>0</v>
      </c>
      <c r="R158" t="inlineStr">
        <is>
          <t>AUD</t>
        </is>
      </c>
      <c r="S158" t="n">
        <v>0</v>
      </c>
      <c r="T158" t="inlineStr">
        <is>
          <t>AUD</t>
        </is>
      </c>
      <c r="U158" t="n">
        <v>0</v>
      </c>
    </row>
    <row r="159">
      <c r="A159" s="5" t="inlineStr">
        <is>
          <t>01a1212c-4fc9-7309-b561-847e4f274f7b</t>
        </is>
      </c>
      <c r="C159" s="5" t="inlineStr">
        <is>
          <t>01a1212c-4b57-70cf-80fd-c2192cb3bf81</t>
        </is>
      </c>
      <c r="D159" s="4" t="n">
        <v>46304.62401122204</v>
      </c>
      <c r="E159" s="4" t="n">
        <v>46304.62401122212</v>
      </c>
      <c r="F159" t="b">
        <v>1</v>
      </c>
      <c r="G159" t="n">
        <v/>
      </c>
      <c r="H159" t="inlineStr">
        <is>
          <t>NSR</t>
        </is>
      </c>
      <c r="I159" t="inlineStr">
        <is>
          <t>National Storage REIT</t>
        </is>
      </c>
      <c r="J159" t="inlineStr">
        <is>
          <t>AUD</t>
        </is>
      </c>
      <c r="K159" s="5" t="inlineStr">
        <is>
          <t>01a1212c-4c04-75ce-bbb2-e3322e18816e</t>
        </is>
      </c>
      <c r="M159" t="inlineStr">
        <is>
          <t>UNKNOWN</t>
        </is>
      </c>
      <c r="N159" t="inlineStr">
        <is>
          <t>DEFAULT</t>
        </is>
      </c>
      <c r="Q159" t="n">
        <v>0</v>
      </c>
      <c r="R159" t="inlineStr">
        <is>
          <t>AUD</t>
        </is>
      </c>
      <c r="S159" t="n">
        <v>0</v>
      </c>
      <c r="T159" t="inlineStr">
        <is>
          <t>AUD</t>
        </is>
      </c>
      <c r="U159" t="n">
        <v>0</v>
      </c>
    </row>
    <row r="160">
      <c r="A160" s="5" t="inlineStr">
        <is>
          <t>01a1212c-4fcc-72c3-ad44-f337b43c99c4</t>
        </is>
      </c>
      <c r="C160" s="5" t="inlineStr">
        <is>
          <t>01a1212c-4b57-70cf-80fd-c2192cb3bf81</t>
        </is>
      </c>
      <c r="D160" s="4" t="n">
        <v>46304.62401125455</v>
      </c>
      <c r="E160" s="4" t="n">
        <v>46304.62401125463</v>
      </c>
      <c r="F160" t="b">
        <v>1</v>
      </c>
      <c r="G160" t="n">
        <v/>
      </c>
      <c r="H160" t="inlineStr">
        <is>
          <t>DFGH</t>
        </is>
      </c>
      <c r="I160" t="inlineStr">
        <is>
          <t>Dimensional Global Core Equity Trust Aud Hedged - Active ETF</t>
        </is>
      </c>
      <c r="J160" t="inlineStr">
        <is>
          <t>AUD</t>
        </is>
      </c>
      <c r="K160" s="5" t="inlineStr">
        <is>
          <t>01a1212c-4c04-75ce-bbb2-e3322e18816e</t>
        </is>
      </c>
      <c r="M160" t="inlineStr">
        <is>
          <t>UNKNOWN</t>
        </is>
      </c>
      <c r="N160" t="inlineStr">
        <is>
          <t>DEFAULT</t>
        </is>
      </c>
      <c r="Q160" t="n">
        <v>0</v>
      </c>
      <c r="R160" t="inlineStr">
        <is>
          <t>AUD</t>
        </is>
      </c>
      <c r="S160" t="n">
        <v>0</v>
      </c>
      <c r="T160" t="inlineStr">
        <is>
          <t>AUD</t>
        </is>
      </c>
      <c r="U160" t="n">
        <v>0</v>
      </c>
    </row>
    <row r="161">
      <c r="A161" s="5" t="inlineStr">
        <is>
          <t>01a1212c-4fce-721b-a296-2539ea68d763</t>
        </is>
      </c>
      <c r="C161" s="5" t="inlineStr">
        <is>
          <t>01a1212c-4b57-70cf-80fd-c2192cb3bf81</t>
        </is>
      </c>
      <c r="D161" s="4" t="n">
        <v>46304.62401128471</v>
      </c>
      <c r="E161" s="4" t="n">
        <v>46304.62401128478</v>
      </c>
      <c r="F161" t="b">
        <v>1</v>
      </c>
      <c r="G161" t="n">
        <v/>
      </c>
      <c r="H161" t="inlineStr">
        <is>
          <t>CMM</t>
        </is>
      </c>
      <c r="I161" t="inlineStr">
        <is>
          <t>Capricorn Metals Ltd</t>
        </is>
      </c>
      <c r="J161" t="inlineStr">
        <is>
          <t>AUD</t>
        </is>
      </c>
      <c r="K161" s="5" t="inlineStr">
        <is>
          <t>01a1212c-4c04-75ce-bbb2-e3322e18816e</t>
        </is>
      </c>
      <c r="M161" t="inlineStr">
        <is>
          <t>UNKNOWN</t>
        </is>
      </c>
      <c r="N161" t="inlineStr">
        <is>
          <t>DEFAULT</t>
        </is>
      </c>
      <c r="Q161" t="n">
        <v>0</v>
      </c>
      <c r="R161" t="inlineStr">
        <is>
          <t>AUD</t>
        </is>
      </c>
      <c r="S161" t="n">
        <v>0</v>
      </c>
      <c r="T161" t="inlineStr">
        <is>
          <t>AUD</t>
        </is>
      </c>
      <c r="U161" t="n">
        <v>0</v>
      </c>
    </row>
    <row r="162">
      <c r="A162" s="5" t="inlineStr">
        <is>
          <t>01a1212c-4fd1-7626-8818-08d361247727</t>
        </is>
      </c>
      <c r="C162" s="5" t="inlineStr">
        <is>
          <t>01a1212c-4b57-70cf-80fd-c2192cb3bf81</t>
        </is>
      </c>
      <c r="D162" s="4" t="n">
        <v>46304.62401131552</v>
      </c>
      <c r="E162" s="4" t="n">
        <v>46304.6240113156</v>
      </c>
      <c r="F162" t="b">
        <v>1</v>
      </c>
      <c r="G162" t="n">
        <v/>
      </c>
      <c r="H162" t="inlineStr">
        <is>
          <t>VAP</t>
        </is>
      </c>
      <c r="I162" t="inlineStr">
        <is>
          <t>Vanguard Australian Property Securities INDEX ETF</t>
        </is>
      </c>
      <c r="J162" t="inlineStr">
        <is>
          <t>AUD</t>
        </is>
      </c>
      <c r="K162" s="5" t="inlineStr">
        <is>
          <t>01a1212c-4c04-75ce-bbb2-e3322e18816e</t>
        </is>
      </c>
      <c r="M162" t="inlineStr">
        <is>
          <t>UNIT_TRUST</t>
        </is>
      </c>
      <c r="N162" t="inlineStr">
        <is>
          <t>SUGGESTED</t>
        </is>
      </c>
      <c r="Q162" t="n">
        <v>0</v>
      </c>
      <c r="R162" t="inlineStr">
        <is>
          <t>AUD</t>
        </is>
      </c>
      <c r="S162" t="n">
        <v>0</v>
      </c>
      <c r="T162" t="inlineStr">
        <is>
          <t>AUD</t>
        </is>
      </c>
      <c r="U162" t="n">
        <v>0</v>
      </c>
    </row>
    <row r="163">
      <c r="A163" s="5" t="inlineStr">
        <is>
          <t>01a1212c-4fd4-74f6-bb99-e36da432600d</t>
        </is>
      </c>
      <c r="C163" s="5" t="inlineStr">
        <is>
          <t>01a1212c-4b57-70cf-80fd-c2192cb3bf81</t>
        </is>
      </c>
      <c r="D163" s="4" t="n">
        <v>46304.62401134865</v>
      </c>
      <c r="E163" s="4" t="n">
        <v>46304.62401134871</v>
      </c>
      <c r="F163" t="b">
        <v>1</v>
      </c>
      <c r="G163" t="n">
        <v/>
      </c>
      <c r="H163" t="inlineStr">
        <is>
          <t>IFL</t>
        </is>
      </c>
      <c r="I163" t="inlineStr">
        <is>
          <t>Insignia Financial Ltd</t>
        </is>
      </c>
      <c r="J163" t="inlineStr">
        <is>
          <t>AUD</t>
        </is>
      </c>
      <c r="K163" s="5" t="inlineStr">
        <is>
          <t>01a1212c-4c04-75ce-bbb2-e3322e18816e</t>
        </is>
      </c>
      <c r="M163" t="inlineStr">
        <is>
          <t>UNKNOWN</t>
        </is>
      </c>
      <c r="N163" t="inlineStr">
        <is>
          <t>DEFAULT</t>
        </is>
      </c>
      <c r="Q163" t="n">
        <v>0</v>
      </c>
      <c r="R163" t="inlineStr">
        <is>
          <t>AUD</t>
        </is>
      </c>
      <c r="S163" t="n">
        <v>0</v>
      </c>
      <c r="T163" t="inlineStr">
        <is>
          <t>AUD</t>
        </is>
      </c>
      <c r="U163" t="n">
        <v>0</v>
      </c>
    </row>
    <row r="164">
      <c r="A164" s="5" t="inlineStr">
        <is>
          <t>01a1212c-4fd7-761b-9b3f-f7f962de95d7</t>
        </is>
      </c>
      <c r="C164" s="5" t="inlineStr">
        <is>
          <t>01a1212c-4b57-70cf-80fd-c2192cb3bf81</t>
        </is>
      </c>
      <c r="D164" s="4" t="n">
        <v>46304.62401138328</v>
      </c>
      <c r="E164" s="4" t="n">
        <v>46304.62401138336</v>
      </c>
      <c r="F164" t="b">
        <v>1</v>
      </c>
      <c r="G164" t="n">
        <v/>
      </c>
      <c r="H164" t="inlineStr">
        <is>
          <t>CIA</t>
        </is>
      </c>
      <c r="I164" t="inlineStr">
        <is>
          <t>Champion Iron Ltd</t>
        </is>
      </c>
      <c r="J164" t="inlineStr">
        <is>
          <t>AUD</t>
        </is>
      </c>
      <c r="K164" s="5" t="inlineStr">
        <is>
          <t>01a1212c-4c04-75ce-bbb2-e3322e18816e</t>
        </is>
      </c>
      <c r="M164" t="inlineStr">
        <is>
          <t>UNKNOWN</t>
        </is>
      </c>
      <c r="N164" t="inlineStr">
        <is>
          <t>DEFAULT</t>
        </is>
      </c>
      <c r="Q164" t="n">
        <v>0</v>
      </c>
      <c r="R164" t="inlineStr">
        <is>
          <t>AUD</t>
        </is>
      </c>
      <c r="S164" t="n">
        <v>0</v>
      </c>
      <c r="T164" t="inlineStr">
        <is>
          <t>AUD</t>
        </is>
      </c>
      <c r="U164" t="n">
        <v>0</v>
      </c>
    </row>
    <row r="165">
      <c r="A165" s="5" t="inlineStr">
        <is>
          <t>01a1212c-4fda-74d3-9808-672c20fe7b67</t>
        </is>
      </c>
      <c r="C165" s="5" t="inlineStr">
        <is>
          <t>01a1212c-4b57-70cf-80fd-c2192cb3bf81</t>
        </is>
      </c>
      <c r="D165" s="4" t="n">
        <v>46304.62401141365</v>
      </c>
      <c r="E165" s="4" t="n">
        <v>46304.62401141373</v>
      </c>
      <c r="F165" t="b">
        <v>1</v>
      </c>
      <c r="G165" t="n">
        <v/>
      </c>
      <c r="H165" t="inlineStr">
        <is>
          <t>TUA</t>
        </is>
      </c>
      <c r="I165" t="inlineStr">
        <is>
          <t>Tuas Ltd</t>
        </is>
      </c>
      <c r="J165" t="inlineStr">
        <is>
          <t>AUD</t>
        </is>
      </c>
      <c r="K165" s="5" t="inlineStr">
        <is>
          <t>01a1212c-4c04-75ce-bbb2-e3322e18816e</t>
        </is>
      </c>
      <c r="M165" t="inlineStr">
        <is>
          <t>UNKNOWN</t>
        </is>
      </c>
      <c r="N165" t="inlineStr">
        <is>
          <t>DEFAULT</t>
        </is>
      </c>
      <c r="Q165" t="n">
        <v>0</v>
      </c>
      <c r="R165" t="inlineStr">
        <is>
          <t>AUD</t>
        </is>
      </c>
      <c r="S165" t="n">
        <v>0</v>
      </c>
      <c r="T165" t="inlineStr">
        <is>
          <t>AUD</t>
        </is>
      </c>
      <c r="U165" t="n">
        <v>0</v>
      </c>
    </row>
    <row r="166">
      <c r="A166" s="5" t="inlineStr">
        <is>
          <t>01a1212c-4fdc-731d-884b-62c71f874460</t>
        </is>
      </c>
      <c r="C166" s="5" t="inlineStr">
        <is>
          <t>01a1212c-4b57-70cf-80fd-c2192cb3bf81</t>
        </is>
      </c>
      <c r="D166" s="4" t="n">
        <v>46304.6240114438</v>
      </c>
      <c r="E166" s="4" t="n">
        <v>46304.62401144386</v>
      </c>
      <c r="F166" t="b">
        <v>1</v>
      </c>
      <c r="G166" t="n">
        <v/>
      </c>
      <c r="H166" t="inlineStr">
        <is>
          <t>CDA</t>
        </is>
      </c>
      <c r="I166" t="inlineStr">
        <is>
          <t>Codan Ltd</t>
        </is>
      </c>
      <c r="J166" t="inlineStr">
        <is>
          <t>AUD</t>
        </is>
      </c>
      <c r="K166" s="5" t="inlineStr">
        <is>
          <t>01a1212c-4c04-75ce-bbb2-e3322e18816e</t>
        </is>
      </c>
      <c r="M166" t="inlineStr">
        <is>
          <t>UNKNOWN</t>
        </is>
      </c>
      <c r="N166" t="inlineStr">
        <is>
          <t>DEFAULT</t>
        </is>
      </c>
      <c r="Q166" t="n">
        <v>0</v>
      </c>
      <c r="R166" t="inlineStr">
        <is>
          <t>AUD</t>
        </is>
      </c>
      <c r="S166" t="n">
        <v>0</v>
      </c>
      <c r="T166" t="inlineStr">
        <is>
          <t>AUD</t>
        </is>
      </c>
      <c r="U166" t="n">
        <v>0</v>
      </c>
    </row>
    <row r="167">
      <c r="A167" s="5" t="inlineStr">
        <is>
          <t>01a1212c-4fdf-74f8-9b57-17148429b6b8</t>
        </is>
      </c>
      <c r="C167" s="5" t="inlineStr">
        <is>
          <t>01a1212c-4b57-70cf-80fd-c2192cb3bf81</t>
        </is>
      </c>
      <c r="D167" s="4" t="n">
        <v>46304.6240114738</v>
      </c>
      <c r="E167" s="4" t="n">
        <v>46304.62401147388</v>
      </c>
      <c r="F167" t="b">
        <v>1</v>
      </c>
      <c r="G167" t="n">
        <v/>
      </c>
      <c r="H167" t="inlineStr">
        <is>
          <t>FBU</t>
        </is>
      </c>
      <c r="I167" t="inlineStr">
        <is>
          <t>Fletcher Building Ltd</t>
        </is>
      </c>
      <c r="J167" t="inlineStr">
        <is>
          <t>AUD</t>
        </is>
      </c>
      <c r="K167" s="5" t="inlineStr">
        <is>
          <t>01a1212c-4c04-75ce-bbb2-e3322e18816e</t>
        </is>
      </c>
      <c r="M167" t="inlineStr">
        <is>
          <t>UNKNOWN</t>
        </is>
      </c>
      <c r="N167" t="inlineStr">
        <is>
          <t>DEFAULT</t>
        </is>
      </c>
      <c r="Q167" t="n">
        <v>0</v>
      </c>
      <c r="R167" t="inlineStr">
        <is>
          <t>AUD</t>
        </is>
      </c>
      <c r="S167" t="n">
        <v>0</v>
      </c>
      <c r="T167" t="inlineStr">
        <is>
          <t>AUD</t>
        </is>
      </c>
      <c r="U167" t="n">
        <v>0</v>
      </c>
    </row>
    <row r="168">
      <c r="A168" s="5" t="inlineStr">
        <is>
          <t>01a1212c-4fe2-741f-8d8c-56604e5003e7</t>
        </is>
      </c>
      <c r="C168" s="5" t="inlineStr">
        <is>
          <t>01a1212c-4b57-70cf-80fd-c2192cb3bf81</t>
        </is>
      </c>
      <c r="D168" s="4" t="n">
        <v>46304.62401150585</v>
      </c>
      <c r="E168" s="4" t="n">
        <v>46304.62401150594</v>
      </c>
      <c r="F168" t="b">
        <v>1</v>
      </c>
      <c r="G168" t="n">
        <v/>
      </c>
      <c r="H168" t="inlineStr">
        <is>
          <t>VDHG</t>
        </is>
      </c>
      <c r="I168" t="inlineStr">
        <is>
          <t>Vanguard Diversified High Growth INDEX ETF</t>
        </is>
      </c>
      <c r="J168" t="inlineStr">
        <is>
          <t>AUD</t>
        </is>
      </c>
      <c r="K168" s="5" t="inlineStr">
        <is>
          <t>01a1212c-4c04-75ce-bbb2-e3322e18816e</t>
        </is>
      </c>
      <c r="M168" t="inlineStr">
        <is>
          <t>UNIT_TRUST</t>
        </is>
      </c>
      <c r="N168" t="inlineStr">
        <is>
          <t>SUGGESTED</t>
        </is>
      </c>
      <c r="Q168" t="n">
        <v>0</v>
      </c>
      <c r="R168" t="inlineStr">
        <is>
          <t>AUD</t>
        </is>
      </c>
      <c r="S168" t="n">
        <v>0</v>
      </c>
      <c r="T168" t="inlineStr">
        <is>
          <t>AUD</t>
        </is>
      </c>
      <c r="U168" t="n">
        <v>0</v>
      </c>
    </row>
    <row r="169">
      <c r="A169" s="5" t="inlineStr">
        <is>
          <t>01a1212c-4fe4-7155-912c-49683c7c790b</t>
        </is>
      </c>
      <c r="C169" s="5" t="inlineStr">
        <is>
          <t>01a1212c-4b57-70cf-80fd-c2192cb3bf81</t>
        </is>
      </c>
      <c r="D169" s="4" t="n">
        <v>46304.62401153926</v>
      </c>
      <c r="E169" s="4" t="n">
        <v>46304.62401153934</v>
      </c>
      <c r="F169" t="b">
        <v>1</v>
      </c>
      <c r="G169" t="n">
        <v/>
      </c>
      <c r="H169" t="inlineStr">
        <is>
          <t>DMP</t>
        </is>
      </c>
      <c r="I169" t="inlineStr">
        <is>
          <t>Domino's PIZZA Enterprises Ltd</t>
        </is>
      </c>
      <c r="J169" t="inlineStr">
        <is>
          <t>AUD</t>
        </is>
      </c>
      <c r="K169" s="5" t="inlineStr">
        <is>
          <t>01a1212c-4c04-75ce-bbb2-e3322e18816e</t>
        </is>
      </c>
      <c r="M169" t="inlineStr">
        <is>
          <t>UNKNOWN</t>
        </is>
      </c>
      <c r="N169" t="inlineStr">
        <is>
          <t>DEFAULT</t>
        </is>
      </c>
      <c r="Q169" t="n">
        <v>0</v>
      </c>
      <c r="R169" t="inlineStr">
        <is>
          <t>AUD</t>
        </is>
      </c>
      <c r="S169" t="n">
        <v>0</v>
      </c>
      <c r="T169" t="inlineStr">
        <is>
          <t>AUD</t>
        </is>
      </c>
      <c r="U169" t="n">
        <v>0</v>
      </c>
    </row>
    <row r="170">
      <c r="A170" s="5" t="inlineStr">
        <is>
          <t>01a1212c-4fe7-74f9-acb0-3378c6a2ab3a</t>
        </is>
      </c>
      <c r="C170" s="5" t="inlineStr">
        <is>
          <t>01a1212c-4b57-70cf-80fd-c2192cb3bf81</t>
        </is>
      </c>
      <c r="D170" s="4" t="n">
        <v>46304.62401156998</v>
      </c>
      <c r="E170" s="4" t="n">
        <v>46304.62401157006</v>
      </c>
      <c r="F170" t="b">
        <v>1</v>
      </c>
      <c r="G170" t="n">
        <v/>
      </c>
      <c r="H170" t="inlineStr">
        <is>
          <t>IAF</t>
        </is>
      </c>
      <c r="I170" t="inlineStr">
        <is>
          <t>Ishares Core Composite Bond ETF</t>
        </is>
      </c>
      <c r="J170" t="inlineStr">
        <is>
          <t>AUD</t>
        </is>
      </c>
      <c r="K170" s="5" t="inlineStr">
        <is>
          <t>01a1212c-4c04-75ce-bbb2-e3322e18816e</t>
        </is>
      </c>
      <c r="M170" t="inlineStr">
        <is>
          <t>UNIT_TRUST</t>
        </is>
      </c>
      <c r="N170" t="inlineStr">
        <is>
          <t>SUGGESTED</t>
        </is>
      </c>
      <c r="Q170" t="n">
        <v>0</v>
      </c>
      <c r="R170" t="inlineStr">
        <is>
          <t>AUD</t>
        </is>
      </c>
      <c r="S170" t="n">
        <v>0</v>
      </c>
      <c r="T170" t="inlineStr">
        <is>
          <t>AUD</t>
        </is>
      </c>
      <c r="U170" t="n">
        <v>0</v>
      </c>
    </row>
    <row r="171">
      <c r="A171" s="5" t="inlineStr">
        <is>
          <t>01a1212c-4fea-76cc-afc8-0c1a3b40bad6</t>
        </is>
      </c>
      <c r="C171" s="5" t="inlineStr">
        <is>
          <t>01a1212c-4b57-70cf-80fd-c2192cb3bf81</t>
        </is>
      </c>
      <c r="D171" s="4" t="n">
        <v>46304.62401160354</v>
      </c>
      <c r="E171" s="4" t="n">
        <v>46304.62401160361</v>
      </c>
      <c r="F171" t="b">
        <v>1</v>
      </c>
      <c r="G171" t="n">
        <v/>
      </c>
      <c r="H171" t="inlineStr">
        <is>
          <t>MFF</t>
        </is>
      </c>
      <c r="I171" t="inlineStr">
        <is>
          <t>MFF Capital Investments Ltd</t>
        </is>
      </c>
      <c r="J171" t="inlineStr">
        <is>
          <t>AUD</t>
        </is>
      </c>
      <c r="K171" s="5" t="inlineStr">
        <is>
          <t>01a1212c-4c04-75ce-bbb2-e3322e18816e</t>
        </is>
      </c>
      <c r="M171" t="inlineStr">
        <is>
          <t>UNKNOWN</t>
        </is>
      </c>
      <c r="N171" t="inlineStr">
        <is>
          <t>DEFAULT</t>
        </is>
      </c>
      <c r="Q171" t="n">
        <v>0</v>
      </c>
      <c r="R171" t="inlineStr">
        <is>
          <t>AUD</t>
        </is>
      </c>
      <c r="S171" t="n">
        <v>0</v>
      </c>
      <c r="T171" t="inlineStr">
        <is>
          <t>AUD</t>
        </is>
      </c>
      <c r="U171" t="n">
        <v>0</v>
      </c>
    </row>
    <row r="172">
      <c r="A172" s="5" t="inlineStr">
        <is>
          <t>01a1212c-4fed-7157-9ce5-0f8508225780</t>
        </is>
      </c>
      <c r="C172" s="5" t="inlineStr">
        <is>
          <t>01a1212c-4b57-70cf-80fd-c2192cb3bf81</t>
        </is>
      </c>
      <c r="D172" s="4" t="n">
        <v>46304.62401163591</v>
      </c>
      <c r="E172" s="4" t="n">
        <v>46304.624011636</v>
      </c>
      <c r="F172" t="b">
        <v>1</v>
      </c>
      <c r="G172" t="n">
        <v/>
      </c>
      <c r="H172" t="inlineStr">
        <is>
          <t>SNZ</t>
        </is>
      </c>
      <c r="I172" t="inlineStr">
        <is>
          <t>Summerset Group Holdings Ltd</t>
        </is>
      </c>
      <c r="J172" t="inlineStr">
        <is>
          <t>AUD</t>
        </is>
      </c>
      <c r="K172" s="5" t="inlineStr">
        <is>
          <t>01a1212c-4c04-75ce-bbb2-e3322e18816e</t>
        </is>
      </c>
      <c r="M172" t="inlineStr">
        <is>
          <t>UNKNOWN</t>
        </is>
      </c>
      <c r="N172" t="inlineStr">
        <is>
          <t>DEFAULT</t>
        </is>
      </c>
      <c r="Q172" t="n">
        <v>0</v>
      </c>
      <c r="R172" t="inlineStr">
        <is>
          <t>AUD</t>
        </is>
      </c>
      <c r="S172" t="n">
        <v>0</v>
      </c>
      <c r="T172" t="inlineStr">
        <is>
          <t>AUD</t>
        </is>
      </c>
      <c r="U172" t="n">
        <v>0</v>
      </c>
    </row>
    <row r="173">
      <c r="A173" s="5" t="inlineStr">
        <is>
          <t>01a1212c-4fef-722a-9c5f-dbd629cc210c</t>
        </is>
      </c>
      <c r="C173" s="5" t="inlineStr">
        <is>
          <t>01a1212c-4b57-70cf-80fd-c2192cb3bf81</t>
        </is>
      </c>
      <c r="D173" s="4" t="n">
        <v>46304.62401166596</v>
      </c>
      <c r="E173" s="4" t="n">
        <v>46304.62401166603</v>
      </c>
      <c r="F173" t="b">
        <v>1</v>
      </c>
      <c r="G173" t="n">
        <v/>
      </c>
      <c r="H173" t="inlineStr">
        <is>
          <t>CLW</t>
        </is>
      </c>
      <c r="I173" t="inlineStr">
        <is>
          <t>Charter Hall Long Wale REIT</t>
        </is>
      </c>
      <c r="J173" t="inlineStr">
        <is>
          <t>AUD</t>
        </is>
      </c>
      <c r="K173" s="5" t="inlineStr">
        <is>
          <t>01a1212c-4c04-75ce-bbb2-e3322e18816e</t>
        </is>
      </c>
      <c r="M173" t="inlineStr">
        <is>
          <t>UNKNOWN</t>
        </is>
      </c>
      <c r="N173" t="inlineStr">
        <is>
          <t>DEFAULT</t>
        </is>
      </c>
      <c r="Q173" t="n">
        <v>0</v>
      </c>
      <c r="R173" t="inlineStr">
        <is>
          <t>AUD</t>
        </is>
      </c>
      <c r="S173" t="n">
        <v>0</v>
      </c>
      <c r="T173" t="inlineStr">
        <is>
          <t>AUD</t>
        </is>
      </c>
      <c r="U173" t="n">
        <v>0</v>
      </c>
    </row>
    <row r="174">
      <c r="A174" s="5" t="inlineStr">
        <is>
          <t>01a1212c-4ff2-7693-a5a7-57abce4e52ff</t>
        </is>
      </c>
      <c r="C174" s="5" t="inlineStr">
        <is>
          <t>01a1212c-4b57-70cf-80fd-c2192cb3bf81</t>
        </is>
      </c>
      <c r="D174" s="4" t="n">
        <v>46304.62401169639</v>
      </c>
      <c r="E174" s="4" t="n">
        <v>46304.62401169646</v>
      </c>
      <c r="F174" t="b">
        <v>1</v>
      </c>
      <c r="G174" t="n">
        <v/>
      </c>
      <c r="H174" t="inlineStr">
        <is>
          <t>RMS</t>
        </is>
      </c>
      <c r="I174" t="inlineStr">
        <is>
          <t>Ramelius Resources Ltd</t>
        </is>
      </c>
      <c r="J174" t="inlineStr">
        <is>
          <t>AUD</t>
        </is>
      </c>
      <c r="K174" s="5" t="inlineStr">
        <is>
          <t>01a1212c-4c04-75ce-bbb2-e3322e18816e</t>
        </is>
      </c>
      <c r="M174" t="inlineStr">
        <is>
          <t>UNKNOWN</t>
        </is>
      </c>
      <c r="N174" t="inlineStr">
        <is>
          <t>DEFAULT</t>
        </is>
      </c>
      <c r="Q174" t="n">
        <v>0</v>
      </c>
      <c r="R174" t="inlineStr">
        <is>
          <t>AUD</t>
        </is>
      </c>
      <c r="S174" t="n">
        <v>0</v>
      </c>
      <c r="T174" t="inlineStr">
        <is>
          <t>AUD</t>
        </is>
      </c>
      <c r="U174" t="n">
        <v>0</v>
      </c>
    </row>
    <row r="175">
      <c r="A175" s="5" t="inlineStr">
        <is>
          <t>01a1212c-4ff5-747e-a175-db80a932e0f5</t>
        </is>
      </c>
      <c r="C175" s="5" t="inlineStr">
        <is>
          <t>01a1212c-4b57-70cf-80fd-c2192cb3bf81</t>
        </is>
      </c>
      <c r="D175" s="4" t="n">
        <v>46304.62401172645</v>
      </c>
      <c r="E175" s="4" t="n">
        <v>46304.62401172652</v>
      </c>
      <c r="F175" t="b">
        <v>1</v>
      </c>
      <c r="G175" t="n">
        <v/>
      </c>
      <c r="H175" t="inlineStr">
        <is>
          <t>GOR</t>
        </is>
      </c>
      <c r="I175" t="inlineStr">
        <is>
          <t>Gold Road Resources Ltd</t>
        </is>
      </c>
      <c r="J175" t="inlineStr">
        <is>
          <t>AUD</t>
        </is>
      </c>
      <c r="K175" s="5" t="inlineStr">
        <is>
          <t>01a1212c-4c04-75ce-bbb2-e3322e18816e</t>
        </is>
      </c>
      <c r="M175" t="inlineStr">
        <is>
          <t>UNKNOWN</t>
        </is>
      </c>
      <c r="N175" t="inlineStr">
        <is>
          <t>DEFAULT</t>
        </is>
      </c>
      <c r="Q175" t="n">
        <v>0</v>
      </c>
      <c r="R175" t="inlineStr">
        <is>
          <t>AUD</t>
        </is>
      </c>
      <c r="S175" t="n">
        <v>0</v>
      </c>
      <c r="T175" t="inlineStr">
        <is>
          <t>AUD</t>
        </is>
      </c>
      <c r="U175" t="n">
        <v>0</v>
      </c>
    </row>
    <row r="176">
      <c r="A176" s="5" t="inlineStr">
        <is>
          <t>01a1212c-4ff7-7557-9002-1c7848132729</t>
        </is>
      </c>
      <c r="C176" s="5" t="inlineStr">
        <is>
          <t>01a1212c-4b57-70cf-80fd-c2192cb3bf81</t>
        </is>
      </c>
      <c r="D176" s="4" t="n">
        <v>46304.62401175879</v>
      </c>
      <c r="E176" s="4" t="n">
        <v>46304.62401175885</v>
      </c>
      <c r="F176" t="b">
        <v>1</v>
      </c>
      <c r="G176" t="n">
        <v/>
      </c>
      <c r="H176" t="inlineStr">
        <is>
          <t>NHF</t>
        </is>
      </c>
      <c r="I176" t="inlineStr">
        <is>
          <t>Nib Holdings Ltd</t>
        </is>
      </c>
      <c r="J176" t="inlineStr">
        <is>
          <t>AUD</t>
        </is>
      </c>
      <c r="K176" s="5" t="inlineStr">
        <is>
          <t>01a1212c-4c04-75ce-bbb2-e3322e18816e</t>
        </is>
      </c>
      <c r="M176" t="inlineStr">
        <is>
          <t>UNKNOWN</t>
        </is>
      </c>
      <c r="N176" t="inlineStr">
        <is>
          <t>DEFAULT</t>
        </is>
      </c>
      <c r="Q176" t="n">
        <v>0</v>
      </c>
      <c r="R176" t="inlineStr">
        <is>
          <t>AUD</t>
        </is>
      </c>
      <c r="S176" t="n">
        <v>0</v>
      </c>
      <c r="T176" t="inlineStr">
        <is>
          <t>AUD</t>
        </is>
      </c>
      <c r="U176" t="n">
        <v>0</v>
      </c>
    </row>
    <row r="177">
      <c r="A177" s="5" t="inlineStr">
        <is>
          <t>01a1212c-4ffa-72a9-97d0-175fcdae71f0</t>
        </is>
      </c>
      <c r="C177" s="5" t="inlineStr">
        <is>
          <t>01a1212c-4b57-70cf-80fd-c2192cb3bf81</t>
        </is>
      </c>
      <c r="D177" s="4" t="n">
        <v>46304.62401178902</v>
      </c>
      <c r="E177" s="4" t="n">
        <v>46304.6240117891</v>
      </c>
      <c r="F177" t="b">
        <v>1</v>
      </c>
      <c r="G177" t="n">
        <v/>
      </c>
      <c r="H177" t="inlineStr">
        <is>
          <t>MVW</t>
        </is>
      </c>
      <c r="I177" t="inlineStr">
        <is>
          <t>Vaneck Australian EQUAL Weight ETF</t>
        </is>
      </c>
      <c r="J177" t="inlineStr">
        <is>
          <t>AUD</t>
        </is>
      </c>
      <c r="K177" s="5" t="inlineStr">
        <is>
          <t>01a1212c-4c04-75ce-bbb2-e3322e18816e</t>
        </is>
      </c>
      <c r="M177" t="inlineStr">
        <is>
          <t>UNIT_TRUST</t>
        </is>
      </c>
      <c r="N177" t="inlineStr">
        <is>
          <t>SUGGESTED</t>
        </is>
      </c>
      <c r="Q177" t="n">
        <v>0</v>
      </c>
      <c r="R177" t="inlineStr">
        <is>
          <t>AUD</t>
        </is>
      </c>
      <c r="S177" t="n">
        <v>0</v>
      </c>
      <c r="T177" t="inlineStr">
        <is>
          <t>AUD</t>
        </is>
      </c>
      <c r="U177" t="n">
        <v>0</v>
      </c>
    </row>
    <row r="178">
      <c r="A178" s="5" t="inlineStr">
        <is>
          <t>01a1212c-4ffd-7539-affe-d0509354a5d6</t>
        </is>
      </c>
      <c r="C178" s="5" t="inlineStr">
        <is>
          <t>01a1212c-4b57-70cf-80fd-c2192cb3bf81</t>
        </is>
      </c>
      <c r="D178" s="4" t="n">
        <v>46304.62401182265</v>
      </c>
      <c r="E178" s="4" t="n">
        <v>46304.62401182273</v>
      </c>
      <c r="F178" t="b">
        <v>1</v>
      </c>
      <c r="G178" t="n">
        <v/>
      </c>
      <c r="H178" t="inlineStr">
        <is>
          <t>DGT</t>
        </is>
      </c>
      <c r="I178" t="inlineStr">
        <is>
          <t>Digico Infrastructure REIT</t>
        </is>
      </c>
      <c r="J178" t="inlineStr">
        <is>
          <t>AUD</t>
        </is>
      </c>
      <c r="K178" s="5" t="inlineStr">
        <is>
          <t>01a1212c-4c04-75ce-bbb2-e3322e18816e</t>
        </is>
      </c>
      <c r="M178" t="inlineStr">
        <is>
          <t>UNKNOWN</t>
        </is>
      </c>
      <c r="N178" t="inlineStr">
        <is>
          <t>DEFAULT</t>
        </is>
      </c>
      <c r="Q178" t="n">
        <v>0</v>
      </c>
      <c r="R178" t="inlineStr">
        <is>
          <t>AUD</t>
        </is>
      </c>
      <c r="S178" t="n">
        <v>0</v>
      </c>
      <c r="T178" t="inlineStr">
        <is>
          <t>AUD</t>
        </is>
      </c>
      <c r="U178" t="n">
        <v>0</v>
      </c>
    </row>
    <row r="179">
      <c r="A179" s="5" t="inlineStr">
        <is>
          <t>01a1212c-4fff-7327-900a-3ad4e63540ae</t>
        </is>
      </c>
      <c r="C179" s="5" t="inlineStr">
        <is>
          <t>01a1212c-4b57-70cf-80fd-c2192cb3bf81</t>
        </is>
      </c>
      <c r="D179" s="4" t="n">
        <v>46304.6240118529</v>
      </c>
      <c r="E179" s="4" t="n">
        <v>46304.62401185299</v>
      </c>
      <c r="F179" t="b">
        <v>1</v>
      </c>
      <c r="G179" t="n">
        <v/>
      </c>
      <c r="H179" t="inlineStr">
        <is>
          <t>SMR</t>
        </is>
      </c>
      <c r="I179" t="inlineStr">
        <is>
          <t>Stanmore Resources Ltd</t>
        </is>
      </c>
      <c r="J179" t="inlineStr">
        <is>
          <t>AUD</t>
        </is>
      </c>
      <c r="K179" s="5" t="inlineStr">
        <is>
          <t>01a1212c-4c04-75ce-bbb2-e3322e18816e</t>
        </is>
      </c>
      <c r="M179" t="inlineStr">
        <is>
          <t>UNKNOWN</t>
        </is>
      </c>
      <c r="N179" t="inlineStr">
        <is>
          <t>DEFAULT</t>
        </is>
      </c>
      <c r="Q179" t="n">
        <v>0</v>
      </c>
      <c r="R179" t="inlineStr">
        <is>
          <t>AUD</t>
        </is>
      </c>
      <c r="S179" t="n">
        <v>0</v>
      </c>
      <c r="T179" t="inlineStr">
        <is>
          <t>AUD</t>
        </is>
      </c>
      <c r="U179" t="n">
        <v>0</v>
      </c>
    </row>
    <row r="180">
      <c r="A180" s="5" t="inlineStr">
        <is>
          <t>01a1212c-5002-735d-bd02-b3387bfb59aa</t>
        </is>
      </c>
      <c r="C180" s="5" t="inlineStr">
        <is>
          <t>01a1212c-4b57-70cf-80fd-c2192cb3bf81</t>
        </is>
      </c>
      <c r="D180" s="4" t="n">
        <v>46304.62401188322</v>
      </c>
      <c r="E180" s="4" t="n">
        <v>46304.6240118833</v>
      </c>
      <c r="F180" t="b">
        <v>1</v>
      </c>
      <c r="G180" t="n">
        <v/>
      </c>
      <c r="H180" t="inlineStr">
        <is>
          <t>SGM</t>
        </is>
      </c>
      <c r="I180" t="inlineStr">
        <is>
          <t>Sims Ltd</t>
        </is>
      </c>
      <c r="J180" t="inlineStr">
        <is>
          <t>AUD</t>
        </is>
      </c>
      <c r="K180" s="5" t="inlineStr">
        <is>
          <t>01a1212c-4c04-75ce-bbb2-e3322e18816e</t>
        </is>
      </c>
      <c r="M180" t="inlineStr">
        <is>
          <t>UNKNOWN</t>
        </is>
      </c>
      <c r="N180" t="inlineStr">
        <is>
          <t>DEFAULT</t>
        </is>
      </c>
      <c r="Q180" t="n">
        <v>0</v>
      </c>
      <c r="R180" t="inlineStr">
        <is>
          <t>AUD</t>
        </is>
      </c>
      <c r="S180" t="n">
        <v>0</v>
      </c>
      <c r="T180" t="inlineStr">
        <is>
          <t>AUD</t>
        </is>
      </c>
      <c r="U180" t="n">
        <v>0</v>
      </c>
    </row>
    <row r="181">
      <c r="A181" s="5" t="inlineStr">
        <is>
          <t>01a1212c-5005-73c3-bc5b-b61e084741a8</t>
        </is>
      </c>
      <c r="C181" s="5" t="inlineStr">
        <is>
          <t>01a1212c-4b57-70cf-80fd-c2192cb3bf81</t>
        </is>
      </c>
      <c r="D181" s="4" t="n">
        <v>46304.62401191582</v>
      </c>
      <c r="E181" s="4" t="n">
        <v>46304.6240119159</v>
      </c>
      <c r="F181" t="b">
        <v>1</v>
      </c>
      <c r="G181" t="n">
        <v/>
      </c>
      <c r="H181" t="inlineStr">
        <is>
          <t>RGN</t>
        </is>
      </c>
      <c r="I181" t="inlineStr">
        <is>
          <t>Region Group</t>
        </is>
      </c>
      <c r="J181" t="inlineStr">
        <is>
          <t>AUD</t>
        </is>
      </c>
      <c r="K181" s="5" t="inlineStr">
        <is>
          <t>01a1212c-4c04-75ce-bbb2-e3322e18816e</t>
        </is>
      </c>
      <c r="M181" t="inlineStr">
        <is>
          <t>UNKNOWN</t>
        </is>
      </c>
      <c r="N181" t="inlineStr">
        <is>
          <t>DEFAULT</t>
        </is>
      </c>
      <c r="Q181" t="n">
        <v>0</v>
      </c>
      <c r="R181" t="inlineStr">
        <is>
          <t>AUD</t>
        </is>
      </c>
      <c r="S181" t="n">
        <v>0</v>
      </c>
      <c r="T181" t="inlineStr">
        <is>
          <t>AUD</t>
        </is>
      </c>
      <c r="U181" t="n">
        <v>0</v>
      </c>
    </row>
    <row r="182">
      <c r="A182" s="5" t="inlineStr">
        <is>
          <t>01a1212c-5008-711a-b8b0-541a91b3841f</t>
        </is>
      </c>
      <c r="C182" s="5" t="inlineStr">
        <is>
          <t>01a1212c-4b57-70cf-80fd-c2192cb3bf81</t>
        </is>
      </c>
      <c r="D182" s="4" t="n">
        <v>46304.62401194712</v>
      </c>
      <c r="E182" s="4" t="n">
        <v>46304.6240119472</v>
      </c>
      <c r="F182" t="b">
        <v>1</v>
      </c>
      <c r="G182" t="n">
        <v/>
      </c>
      <c r="H182" t="inlineStr">
        <is>
          <t>NABPH</t>
        </is>
      </c>
      <c r="I182" t="inlineStr">
        <is>
          <t>National Australia Bank Ltd</t>
        </is>
      </c>
      <c r="J182" t="inlineStr">
        <is>
          <t>AUD</t>
        </is>
      </c>
      <c r="K182" s="5" t="inlineStr">
        <is>
          <t>01a1212c-4c04-75ce-bbb2-e3322e18816e</t>
        </is>
      </c>
      <c r="M182" t="inlineStr">
        <is>
          <t>UNKNOWN</t>
        </is>
      </c>
      <c r="N182" t="inlineStr">
        <is>
          <t>DEFAULT</t>
        </is>
      </c>
      <c r="Q182" t="n">
        <v>0</v>
      </c>
      <c r="R182" t="inlineStr">
        <is>
          <t>AUD</t>
        </is>
      </c>
      <c r="S182" t="n">
        <v>0</v>
      </c>
      <c r="T182" t="inlineStr">
        <is>
          <t>AUD</t>
        </is>
      </c>
      <c r="U182" t="n">
        <v>0</v>
      </c>
    </row>
    <row r="183">
      <c r="A183" s="5" t="inlineStr">
        <is>
          <t>01a1212c-500a-7290-bcd1-1b8d76421d20</t>
        </is>
      </c>
      <c r="C183" s="5" t="inlineStr">
        <is>
          <t>01a1212c-4b57-70cf-80fd-c2192cb3bf81</t>
        </is>
      </c>
      <c r="D183" s="4" t="n">
        <v>46304.62401197851</v>
      </c>
      <c r="E183" s="4" t="n">
        <v>46304.62401197858</v>
      </c>
      <c r="F183" t="b">
        <v>1</v>
      </c>
      <c r="G183" t="n">
        <v/>
      </c>
      <c r="H183" t="inlineStr">
        <is>
          <t>VAU</t>
        </is>
      </c>
      <c r="I183" t="inlineStr">
        <is>
          <t>Vault Minerals Ltd</t>
        </is>
      </c>
      <c r="J183" t="inlineStr">
        <is>
          <t>AUD</t>
        </is>
      </c>
      <c r="K183" s="5" t="inlineStr">
        <is>
          <t>01a1212c-4c04-75ce-bbb2-e3322e18816e</t>
        </is>
      </c>
      <c r="M183" t="inlineStr">
        <is>
          <t>UNKNOWN</t>
        </is>
      </c>
      <c r="N183" t="inlineStr">
        <is>
          <t>DEFAULT</t>
        </is>
      </c>
      <c r="Q183" t="n">
        <v>0</v>
      </c>
      <c r="R183" t="inlineStr">
        <is>
          <t>AUD</t>
        </is>
      </c>
      <c r="S183" t="n">
        <v>0</v>
      </c>
      <c r="T183" t="inlineStr">
        <is>
          <t>AUD</t>
        </is>
      </c>
      <c r="U183" t="n">
        <v>0</v>
      </c>
    </row>
    <row r="184">
      <c r="A184" s="5" t="inlineStr">
        <is>
          <t>01a1212c-500d-74e1-af7e-659ad8efee3b</t>
        </is>
      </c>
      <c r="C184" s="5" t="inlineStr">
        <is>
          <t>01a1212c-4b57-70cf-80fd-c2192cb3bf81</t>
        </is>
      </c>
      <c r="D184" s="4" t="n">
        <v>46304.6240120091</v>
      </c>
      <c r="E184" s="4" t="n">
        <v>46304.62401200918</v>
      </c>
      <c r="F184" t="b">
        <v>1</v>
      </c>
      <c r="G184" t="n">
        <v/>
      </c>
      <c r="H184" t="inlineStr">
        <is>
          <t>EMR</t>
        </is>
      </c>
      <c r="I184" t="inlineStr">
        <is>
          <t>Emerald Resources NL</t>
        </is>
      </c>
      <c r="J184" t="inlineStr">
        <is>
          <t>AUD</t>
        </is>
      </c>
      <c r="K184" s="5" t="inlineStr">
        <is>
          <t>01a1212c-4c04-75ce-bbb2-e3322e18816e</t>
        </is>
      </c>
      <c r="M184" t="inlineStr">
        <is>
          <t>UNKNOWN</t>
        </is>
      </c>
      <c r="N184" t="inlineStr">
        <is>
          <t>DEFAULT</t>
        </is>
      </c>
      <c r="Q184" t="n">
        <v>0</v>
      </c>
      <c r="R184" t="inlineStr">
        <is>
          <t>AUD</t>
        </is>
      </c>
      <c r="S184" t="n">
        <v>0</v>
      </c>
      <c r="T184" t="inlineStr">
        <is>
          <t>AUD</t>
        </is>
      </c>
      <c r="U184" t="n">
        <v>0</v>
      </c>
    </row>
    <row r="185">
      <c r="A185" s="5" t="inlineStr">
        <is>
          <t>01a1212c-5010-739f-b79c-9415c6717f4c</t>
        </is>
      </c>
      <c r="C185" s="5" t="inlineStr">
        <is>
          <t>01a1212c-4b57-70cf-80fd-c2192cb3bf81</t>
        </is>
      </c>
      <c r="D185" s="4" t="n">
        <v>46304.62401204141</v>
      </c>
      <c r="E185" s="4" t="n">
        <v>46304.6240120415</v>
      </c>
      <c r="F185" t="b">
        <v>1</v>
      </c>
      <c r="G185" t="n">
        <v/>
      </c>
      <c r="H185" t="inlineStr">
        <is>
          <t>WGX</t>
        </is>
      </c>
      <c r="I185" t="inlineStr">
        <is>
          <t>Westgold Resources Ltd</t>
        </is>
      </c>
      <c r="J185" t="inlineStr">
        <is>
          <t>AUD</t>
        </is>
      </c>
      <c r="K185" s="5" t="inlineStr">
        <is>
          <t>01a1212c-4c04-75ce-bbb2-e3322e18816e</t>
        </is>
      </c>
      <c r="M185" t="inlineStr">
        <is>
          <t>UNKNOWN</t>
        </is>
      </c>
      <c r="N185" t="inlineStr">
        <is>
          <t>DEFAULT</t>
        </is>
      </c>
      <c r="Q185" t="n">
        <v>0</v>
      </c>
      <c r="R185" t="inlineStr">
        <is>
          <t>AUD</t>
        </is>
      </c>
      <c r="S185" t="n">
        <v>0</v>
      </c>
      <c r="T185" t="inlineStr">
        <is>
          <t>AUD</t>
        </is>
      </c>
      <c r="U185" t="n">
        <v>0</v>
      </c>
    </row>
    <row r="186">
      <c r="A186" s="5" t="inlineStr">
        <is>
          <t>01a1212c-5012-7209-a380-e24200ff2b68</t>
        </is>
      </c>
      <c r="C186" s="5" t="inlineStr">
        <is>
          <t>01a1212c-4b57-70cf-80fd-c2192cb3bf81</t>
        </is>
      </c>
      <c r="D186" s="4" t="n">
        <v>46304.62401207199</v>
      </c>
      <c r="E186" s="4" t="n">
        <v>46304.62401207207</v>
      </c>
      <c r="F186" t="b">
        <v>1</v>
      </c>
      <c r="G186" t="n">
        <v/>
      </c>
      <c r="H186" t="inlineStr">
        <is>
          <t>HDN</t>
        </is>
      </c>
      <c r="I186" t="inlineStr">
        <is>
          <t>Homeco Daily Needs REIT</t>
        </is>
      </c>
      <c r="J186" t="inlineStr">
        <is>
          <t>AUD</t>
        </is>
      </c>
      <c r="K186" s="5" t="inlineStr">
        <is>
          <t>01a1212c-4c04-75ce-bbb2-e3322e18816e</t>
        </is>
      </c>
      <c r="M186" t="inlineStr">
        <is>
          <t>UNKNOWN</t>
        </is>
      </c>
      <c r="N186" t="inlineStr">
        <is>
          <t>DEFAULT</t>
        </is>
      </c>
      <c r="Q186" t="n">
        <v>0</v>
      </c>
      <c r="R186" t="inlineStr">
        <is>
          <t>AUD</t>
        </is>
      </c>
      <c r="S186" t="n">
        <v>0</v>
      </c>
      <c r="T186" t="inlineStr">
        <is>
          <t>AUD</t>
        </is>
      </c>
      <c r="U186" t="n">
        <v>0</v>
      </c>
    </row>
    <row r="187">
      <c r="A187" s="5" t="inlineStr">
        <is>
          <t>01a1212c-5015-7081-a0fa-81f520e81b19</t>
        </is>
      </c>
      <c r="C187" s="5" t="inlineStr">
        <is>
          <t>01a1212c-4b57-70cf-80fd-c2192cb3bf81</t>
        </is>
      </c>
      <c r="D187" s="4" t="n">
        <v>46304.62401210266</v>
      </c>
      <c r="E187" s="4" t="n">
        <v>46304.62401210274</v>
      </c>
      <c r="F187" t="b">
        <v>1</v>
      </c>
      <c r="G187" t="n">
        <v/>
      </c>
      <c r="H187" t="inlineStr">
        <is>
          <t>PPT</t>
        </is>
      </c>
      <c r="I187" t="inlineStr">
        <is>
          <t>Perpetual Ltd</t>
        </is>
      </c>
      <c r="J187" t="inlineStr">
        <is>
          <t>AUD</t>
        </is>
      </c>
      <c r="K187" s="5" t="inlineStr">
        <is>
          <t>01a1212c-4c04-75ce-bbb2-e3322e18816e</t>
        </is>
      </c>
      <c r="M187" t="inlineStr">
        <is>
          <t>UNKNOWN</t>
        </is>
      </c>
      <c r="N187" t="inlineStr">
        <is>
          <t>DEFAULT</t>
        </is>
      </c>
      <c r="Q187" t="n">
        <v>0</v>
      </c>
      <c r="R187" t="inlineStr">
        <is>
          <t>AUD</t>
        </is>
      </c>
      <c r="S187" t="n">
        <v>0</v>
      </c>
      <c r="T187" t="inlineStr">
        <is>
          <t>AUD</t>
        </is>
      </c>
      <c r="U187" t="n">
        <v>0</v>
      </c>
    </row>
    <row r="188">
      <c r="A188" s="5" t="inlineStr">
        <is>
          <t>01a1212c-5018-7385-86f6-01f3aaf08cb5</t>
        </is>
      </c>
      <c r="C188" s="5" t="inlineStr">
        <is>
          <t>01a1212c-4b57-70cf-80fd-c2192cb3bf81</t>
        </is>
      </c>
      <c r="D188" s="4" t="n">
        <v>46304.62401213558</v>
      </c>
      <c r="E188" s="4" t="n">
        <v>46304.62401213566</v>
      </c>
      <c r="F188" t="b">
        <v>1</v>
      </c>
      <c r="G188" t="n">
        <v/>
      </c>
      <c r="H188" t="inlineStr">
        <is>
          <t>BWP</t>
        </is>
      </c>
      <c r="I188" t="inlineStr">
        <is>
          <t>BWP Trust</t>
        </is>
      </c>
      <c r="J188" t="inlineStr">
        <is>
          <t>AUD</t>
        </is>
      </c>
      <c r="K188" s="5" t="inlineStr">
        <is>
          <t>01a1212c-4c04-75ce-bbb2-e3322e18816e</t>
        </is>
      </c>
      <c r="M188" t="inlineStr">
        <is>
          <t>STAPLED</t>
        </is>
      </c>
      <c r="N188" t="inlineStr">
        <is>
          <t>SUGGESTED</t>
        </is>
      </c>
      <c r="Q188" t="n">
        <v>0</v>
      </c>
      <c r="R188" t="inlineStr">
        <is>
          <t>AUD</t>
        </is>
      </c>
      <c r="S188" t="n">
        <v>0</v>
      </c>
      <c r="T188" t="inlineStr">
        <is>
          <t>AUD</t>
        </is>
      </c>
      <c r="U188" t="n">
        <v>0</v>
      </c>
    </row>
    <row r="189">
      <c r="A189" s="5" t="inlineStr">
        <is>
          <t>01a1212c-501b-751b-9ba5-8ce6728f3f89</t>
        </is>
      </c>
      <c r="C189" s="5" t="inlineStr">
        <is>
          <t>01a1212c-4b57-70cf-80fd-c2192cb3bf81</t>
        </is>
      </c>
      <c r="D189" s="4" t="n">
        <v>46304.62401217279</v>
      </c>
      <c r="E189" s="4" t="n">
        <v>46304.62401217286</v>
      </c>
      <c r="F189" t="b">
        <v>1</v>
      </c>
      <c r="G189" t="n">
        <v/>
      </c>
      <c r="H189" t="inlineStr">
        <is>
          <t>HBRD</t>
        </is>
      </c>
      <c r="I189" t="inlineStr">
        <is>
          <t>Betashares Active Australian Hybrids Fund (Managed Fund)</t>
        </is>
      </c>
      <c r="J189" t="inlineStr">
        <is>
          <t>AUD</t>
        </is>
      </c>
      <c r="K189" s="5" t="inlineStr">
        <is>
          <t>01a1212c-4c04-75ce-bbb2-e3322e18816e</t>
        </is>
      </c>
      <c r="M189" t="inlineStr">
        <is>
          <t>UNKNOWN</t>
        </is>
      </c>
      <c r="N189" t="inlineStr">
        <is>
          <t>DEFAULT</t>
        </is>
      </c>
      <c r="Q189" t="n">
        <v>0</v>
      </c>
      <c r="R189" t="inlineStr">
        <is>
          <t>AUD</t>
        </is>
      </c>
      <c r="S189" t="n">
        <v>0</v>
      </c>
      <c r="T189" t="inlineStr">
        <is>
          <t>AUD</t>
        </is>
      </c>
      <c r="U189" t="n">
        <v>0</v>
      </c>
    </row>
    <row r="190">
      <c r="A190" s="5" t="inlineStr">
        <is>
          <t>01a1212c-501e-704f-8abe-a25957062b6f</t>
        </is>
      </c>
      <c r="C190" s="5" t="inlineStr">
        <is>
          <t>01a1212c-4b57-70cf-80fd-c2192cb3bf81</t>
        </is>
      </c>
      <c r="D190" s="4" t="n">
        <v>46304.6240122032</v>
      </c>
      <c r="E190" s="4" t="n">
        <v>46304.62401220328</v>
      </c>
      <c r="F190" t="b">
        <v>1</v>
      </c>
      <c r="G190" t="n">
        <v/>
      </c>
      <c r="H190" t="inlineStr">
        <is>
          <t>PXA</t>
        </is>
      </c>
      <c r="I190" t="inlineStr">
        <is>
          <t>Pexa Group Ltd</t>
        </is>
      </c>
      <c r="J190" t="inlineStr">
        <is>
          <t>AUD</t>
        </is>
      </c>
      <c r="K190" s="5" t="inlineStr">
        <is>
          <t>01a1212c-4c04-75ce-bbb2-e3322e18816e</t>
        </is>
      </c>
      <c r="M190" t="inlineStr">
        <is>
          <t>UNKNOWN</t>
        </is>
      </c>
      <c r="N190" t="inlineStr">
        <is>
          <t>DEFAULT</t>
        </is>
      </c>
      <c r="Q190" t="n">
        <v>0</v>
      </c>
      <c r="R190" t="inlineStr">
        <is>
          <t>AUD</t>
        </is>
      </c>
      <c r="S190" t="n">
        <v>0</v>
      </c>
      <c r="T190" t="inlineStr">
        <is>
          <t>AUD</t>
        </is>
      </c>
      <c r="U190" t="n">
        <v>0</v>
      </c>
    </row>
    <row r="191">
      <c r="A191" s="5" t="inlineStr">
        <is>
          <t>01a1212c-5020-758c-9fe8-a91752102030</t>
        </is>
      </c>
      <c r="C191" s="5" t="inlineStr">
        <is>
          <t>01a1212c-4b57-70cf-80fd-c2192cb3bf81</t>
        </is>
      </c>
      <c r="D191" s="4" t="n">
        <v>46304.62401223335</v>
      </c>
      <c r="E191" s="4" t="n">
        <v>46304.62401223343</v>
      </c>
      <c r="F191" t="b">
        <v>1</v>
      </c>
      <c r="G191" t="n">
        <v/>
      </c>
      <c r="H191" t="inlineStr">
        <is>
          <t>VAF</t>
        </is>
      </c>
      <c r="I191" t="inlineStr">
        <is>
          <t>Vanguard Australian Fixed Interest INDEX ETF</t>
        </is>
      </c>
      <c r="J191" t="inlineStr">
        <is>
          <t>AUD</t>
        </is>
      </c>
      <c r="K191" s="5" t="inlineStr">
        <is>
          <t>01a1212c-4c04-75ce-bbb2-e3322e18816e</t>
        </is>
      </c>
      <c r="M191" t="inlineStr">
        <is>
          <t>UNIT_TRUST</t>
        </is>
      </c>
      <c r="N191" t="inlineStr">
        <is>
          <t>SUGGESTED</t>
        </is>
      </c>
      <c r="Q191" t="n">
        <v>0</v>
      </c>
      <c r="R191" t="inlineStr">
        <is>
          <t>AUD</t>
        </is>
      </c>
      <c r="S191" t="n">
        <v>0</v>
      </c>
      <c r="T191" t="inlineStr">
        <is>
          <t>AUD</t>
        </is>
      </c>
      <c r="U191" t="n">
        <v>0</v>
      </c>
    </row>
    <row r="192">
      <c r="A192" s="5" t="inlineStr">
        <is>
          <t>01a1212c-5023-7795-8a55-dc536c3c79fe</t>
        </is>
      </c>
      <c r="C192" s="5" t="inlineStr">
        <is>
          <t>01a1212c-4b57-70cf-80fd-c2192cb3bf81</t>
        </is>
      </c>
      <c r="D192" s="4" t="n">
        <v>46304.62401226647</v>
      </c>
      <c r="E192" s="4" t="n">
        <v>46304.62401226654</v>
      </c>
      <c r="F192" t="b">
        <v>1</v>
      </c>
      <c r="G192" t="n">
        <v/>
      </c>
      <c r="H192" t="inlineStr">
        <is>
          <t>RRL</t>
        </is>
      </c>
      <c r="I192" t="inlineStr">
        <is>
          <t>Regis Resources Ltd</t>
        </is>
      </c>
      <c r="J192" t="inlineStr">
        <is>
          <t>AUD</t>
        </is>
      </c>
      <c r="K192" s="5" t="inlineStr">
        <is>
          <t>01a1212c-4c04-75ce-bbb2-e3322e18816e</t>
        </is>
      </c>
      <c r="M192" t="inlineStr">
        <is>
          <t>UNKNOWN</t>
        </is>
      </c>
      <c r="N192" t="inlineStr">
        <is>
          <t>DEFAULT</t>
        </is>
      </c>
      <c r="Q192" t="n">
        <v>0</v>
      </c>
      <c r="R192" t="inlineStr">
        <is>
          <t>AUD</t>
        </is>
      </c>
      <c r="S192" t="n">
        <v>0</v>
      </c>
      <c r="T192" t="inlineStr">
        <is>
          <t>AUD</t>
        </is>
      </c>
      <c r="U192" t="n">
        <v>0</v>
      </c>
    </row>
    <row r="193">
      <c r="A193" s="5" t="inlineStr">
        <is>
          <t>01a1212c-5026-71bb-a72b-77464df156df</t>
        </is>
      </c>
      <c r="C193" s="5" t="inlineStr">
        <is>
          <t>01a1212c-4b57-70cf-80fd-c2192cb3bf81</t>
        </is>
      </c>
      <c r="D193" s="4" t="n">
        <v>46304.62401229957</v>
      </c>
      <c r="E193" s="4" t="n">
        <v>46304.62401229965</v>
      </c>
      <c r="F193" t="b">
        <v>1</v>
      </c>
      <c r="G193" t="n">
        <v/>
      </c>
      <c r="H193" t="inlineStr">
        <is>
          <t>CEN</t>
        </is>
      </c>
      <c r="I193" t="inlineStr">
        <is>
          <t>Contact Energy Ltd</t>
        </is>
      </c>
      <c r="J193" t="inlineStr">
        <is>
          <t>AUD</t>
        </is>
      </c>
      <c r="K193" s="5" t="inlineStr">
        <is>
          <t>01a1212c-4c04-75ce-bbb2-e3322e18816e</t>
        </is>
      </c>
      <c r="M193" t="inlineStr">
        <is>
          <t>UNKNOWN</t>
        </is>
      </c>
      <c r="N193" t="inlineStr">
        <is>
          <t>DEFAULT</t>
        </is>
      </c>
      <c r="Q193" t="n">
        <v>0</v>
      </c>
      <c r="R193" t="inlineStr">
        <is>
          <t>AUD</t>
        </is>
      </c>
      <c r="S193" t="n">
        <v>0</v>
      </c>
      <c r="T193" t="inlineStr">
        <is>
          <t>AUD</t>
        </is>
      </c>
      <c r="U193" t="n">
        <v>0</v>
      </c>
    </row>
    <row r="194">
      <c r="A194" s="5" t="inlineStr">
        <is>
          <t>01a1212c-5029-75c4-9fc7-8708054165c7</t>
        </is>
      </c>
      <c r="C194" s="5" t="inlineStr">
        <is>
          <t>01a1212c-4b57-70cf-80fd-c2192cb3bf81</t>
        </is>
      </c>
      <c r="D194" s="4" t="n">
        <v>46304.62401233089</v>
      </c>
      <c r="E194" s="4" t="n">
        <v>46304.62401233097</v>
      </c>
      <c r="F194" t="b">
        <v>1</v>
      </c>
      <c r="G194" t="n">
        <v/>
      </c>
      <c r="H194" t="inlineStr">
        <is>
          <t>LTM</t>
        </is>
      </c>
      <c r="I194" t="inlineStr">
        <is>
          <t>Arcadium Lithium Plc</t>
        </is>
      </c>
      <c r="J194" t="inlineStr">
        <is>
          <t>AUD</t>
        </is>
      </c>
      <c r="K194" s="5" t="inlineStr">
        <is>
          <t>01a1212c-4c04-75ce-bbb2-e3322e18816e</t>
        </is>
      </c>
      <c r="M194" t="inlineStr">
        <is>
          <t>UNKNOWN</t>
        </is>
      </c>
      <c r="N194" t="inlineStr">
        <is>
          <t>DEFAULT</t>
        </is>
      </c>
      <c r="Q194" t="n">
        <v>0</v>
      </c>
      <c r="R194" t="inlineStr">
        <is>
          <t>AUD</t>
        </is>
      </c>
      <c r="S194" t="n">
        <v>0</v>
      </c>
      <c r="T194" t="inlineStr">
        <is>
          <t>AUD</t>
        </is>
      </c>
      <c r="U194" t="n">
        <v>0</v>
      </c>
    </row>
    <row r="195">
      <c r="A195" s="5" t="inlineStr">
        <is>
          <t>01a1212c-502b-720d-990e-b09c75c67962</t>
        </is>
      </c>
      <c r="C195" s="5" t="inlineStr">
        <is>
          <t>01a1212c-4b57-70cf-80fd-c2192cb3bf81</t>
        </is>
      </c>
      <c r="D195" s="4" t="n">
        <v>46304.62401236117</v>
      </c>
      <c r="E195" s="4" t="n">
        <v>46304.62401236125</v>
      </c>
      <c r="F195" t="b">
        <v>1</v>
      </c>
      <c r="G195" t="n">
        <v/>
      </c>
      <c r="H195" t="inlineStr">
        <is>
          <t>INA</t>
        </is>
      </c>
      <c r="I195" t="inlineStr">
        <is>
          <t>Ingenia Communities Group</t>
        </is>
      </c>
      <c r="J195" t="inlineStr">
        <is>
          <t>AUD</t>
        </is>
      </c>
      <c r="K195" s="5" t="inlineStr">
        <is>
          <t>01a1212c-4c04-75ce-bbb2-e3322e18816e</t>
        </is>
      </c>
      <c r="M195" t="inlineStr">
        <is>
          <t>UNKNOWN</t>
        </is>
      </c>
      <c r="N195" t="inlineStr">
        <is>
          <t>DEFAULT</t>
        </is>
      </c>
      <c r="Q195" t="n">
        <v>0</v>
      </c>
      <c r="R195" t="inlineStr">
        <is>
          <t>AUD</t>
        </is>
      </c>
      <c r="S195" t="n">
        <v>0</v>
      </c>
      <c r="T195" t="inlineStr">
        <is>
          <t>AUD</t>
        </is>
      </c>
      <c r="U195" t="n">
        <v>0</v>
      </c>
    </row>
    <row r="196">
      <c r="A196" s="5" t="inlineStr">
        <is>
          <t>01a1212c-502e-7712-bc0b-7875f0b92973</t>
        </is>
      </c>
      <c r="C196" s="5" t="inlineStr">
        <is>
          <t>01a1212c-4b57-70cf-80fd-c2192cb3bf81</t>
        </is>
      </c>
      <c r="D196" s="4" t="n">
        <v>46304.62401239092</v>
      </c>
      <c r="E196" s="4" t="n">
        <v>46304.624012391</v>
      </c>
      <c r="F196" t="b">
        <v>1</v>
      </c>
      <c r="G196" t="n">
        <v/>
      </c>
      <c r="H196" t="inlineStr">
        <is>
          <t>GNE</t>
        </is>
      </c>
      <c r="I196" t="inlineStr">
        <is>
          <t>Genesis Energy Ltd</t>
        </is>
      </c>
      <c r="J196" t="inlineStr">
        <is>
          <t>AUD</t>
        </is>
      </c>
      <c r="K196" s="5" t="inlineStr">
        <is>
          <t>01a1212c-4c04-75ce-bbb2-e3322e18816e</t>
        </is>
      </c>
      <c r="M196" t="inlineStr">
        <is>
          <t>UNKNOWN</t>
        </is>
      </c>
      <c r="N196" t="inlineStr">
        <is>
          <t>DEFAULT</t>
        </is>
      </c>
      <c r="Q196" t="n">
        <v>0</v>
      </c>
      <c r="R196" t="inlineStr">
        <is>
          <t>AUD</t>
        </is>
      </c>
      <c r="S196" t="n">
        <v>0</v>
      </c>
      <c r="T196" t="inlineStr">
        <is>
          <t>AUD</t>
        </is>
      </c>
      <c r="U196" t="n">
        <v>0</v>
      </c>
    </row>
    <row r="197">
      <c r="A197" s="5" t="inlineStr">
        <is>
          <t>01a1212c-5031-770f-9dd5-f1813e35775d</t>
        </is>
      </c>
      <c r="C197" s="5" t="inlineStr">
        <is>
          <t>01a1212c-4b57-70cf-80fd-c2192cb3bf81</t>
        </is>
      </c>
      <c r="D197" s="4" t="n">
        <v>46304.62401242249</v>
      </c>
      <c r="E197" s="4" t="n">
        <v>46304.62401242257</v>
      </c>
      <c r="F197" t="b">
        <v>1</v>
      </c>
      <c r="G197" t="n">
        <v/>
      </c>
      <c r="H197" t="inlineStr">
        <is>
          <t>RDX</t>
        </is>
      </c>
      <c r="I197" t="inlineStr">
        <is>
          <t>REDOX Ltd</t>
        </is>
      </c>
      <c r="J197" t="inlineStr">
        <is>
          <t>AUD</t>
        </is>
      </c>
      <c r="K197" s="5" t="inlineStr">
        <is>
          <t>01a1212c-4c04-75ce-bbb2-e3322e18816e</t>
        </is>
      </c>
      <c r="M197" t="inlineStr">
        <is>
          <t>UNKNOWN</t>
        </is>
      </c>
      <c r="N197" t="inlineStr">
        <is>
          <t>DEFAULT</t>
        </is>
      </c>
      <c r="Q197" t="n">
        <v>0</v>
      </c>
      <c r="R197" t="inlineStr">
        <is>
          <t>AUD</t>
        </is>
      </c>
      <c r="S197" t="n">
        <v>0</v>
      </c>
      <c r="T197" t="inlineStr">
        <is>
          <t>AUD</t>
        </is>
      </c>
      <c r="U197" t="n">
        <v>0</v>
      </c>
    </row>
    <row r="198">
      <c r="A198" s="5" t="inlineStr">
        <is>
          <t>01a1212c-5033-726a-ae4c-c20725d9b839</t>
        </is>
      </c>
      <c r="C198" s="5" t="inlineStr">
        <is>
          <t>01a1212c-4b57-70cf-80fd-c2192cb3bf81</t>
        </is>
      </c>
      <c r="D198" s="4" t="n">
        <v>46304.62401245278</v>
      </c>
      <c r="E198" s="4" t="n">
        <v>46304.62401245286</v>
      </c>
      <c r="F198" t="b">
        <v>1</v>
      </c>
      <c r="G198" t="n">
        <v/>
      </c>
      <c r="H198" t="inlineStr">
        <is>
          <t>MXT</t>
        </is>
      </c>
      <c r="I198" t="inlineStr">
        <is>
          <t>Metrics Master Income Trust</t>
        </is>
      </c>
      <c r="J198" t="inlineStr">
        <is>
          <t>AUD</t>
        </is>
      </c>
      <c r="K198" s="5" t="inlineStr">
        <is>
          <t>01a1212c-4c04-75ce-bbb2-e3322e18816e</t>
        </is>
      </c>
      <c r="M198" t="inlineStr">
        <is>
          <t>UNKNOWN</t>
        </is>
      </c>
      <c r="N198" t="inlineStr">
        <is>
          <t>DEFAULT</t>
        </is>
      </c>
      <c r="Q198" t="n">
        <v>0</v>
      </c>
      <c r="R198" t="inlineStr">
        <is>
          <t>AUD</t>
        </is>
      </c>
      <c r="S198" t="n">
        <v>0</v>
      </c>
      <c r="T198" t="inlineStr">
        <is>
          <t>AUD</t>
        </is>
      </c>
      <c r="U198" t="n">
        <v>0</v>
      </c>
    </row>
    <row r="199">
      <c r="A199" s="5" t="inlineStr">
        <is>
          <t>01a1212c-5036-7305-b9de-675ae3520d84</t>
        </is>
      </c>
      <c r="C199" s="5" t="inlineStr">
        <is>
          <t>01a1212c-4b57-70cf-80fd-c2192cb3bf81</t>
        </is>
      </c>
      <c r="D199" s="4" t="n">
        <v>46304.62401248248</v>
      </c>
      <c r="E199" s="4" t="n">
        <v>46304.62401248255</v>
      </c>
      <c r="F199" t="b">
        <v>1</v>
      </c>
      <c r="G199" t="n">
        <v/>
      </c>
      <c r="H199" t="inlineStr">
        <is>
          <t>MAQ</t>
        </is>
      </c>
      <c r="I199" t="inlineStr">
        <is>
          <t>Macquarie Technology Group Ltd</t>
        </is>
      </c>
      <c r="J199" t="inlineStr">
        <is>
          <t>AUD</t>
        </is>
      </c>
      <c r="K199" s="5" t="inlineStr">
        <is>
          <t>01a1212c-4c04-75ce-bbb2-e3322e18816e</t>
        </is>
      </c>
      <c r="M199" t="inlineStr">
        <is>
          <t>UNKNOWN</t>
        </is>
      </c>
      <c r="N199" t="inlineStr">
        <is>
          <t>DEFAULT</t>
        </is>
      </c>
      <c r="Q199" t="n">
        <v>0</v>
      </c>
      <c r="R199" t="inlineStr">
        <is>
          <t>AUD</t>
        </is>
      </c>
      <c r="S199" t="n">
        <v>0</v>
      </c>
      <c r="T199" t="inlineStr">
        <is>
          <t>AUD</t>
        </is>
      </c>
      <c r="U199" t="n">
        <v>0</v>
      </c>
    </row>
    <row r="200">
      <c r="A200" s="5" t="inlineStr">
        <is>
          <t>01a1212c-5039-74bc-b7a4-08b257f3a975</t>
        </is>
      </c>
      <c r="C200" s="5" t="inlineStr">
        <is>
          <t>01a1212c-4b57-70cf-80fd-c2192cb3bf81</t>
        </is>
      </c>
      <c r="D200" s="4" t="n">
        <v>46304.62401251539</v>
      </c>
      <c r="E200" s="4" t="n">
        <v>46304.62401251547</v>
      </c>
      <c r="F200" t="b">
        <v>1</v>
      </c>
      <c r="G200" t="n">
        <v/>
      </c>
      <c r="H200" t="inlineStr">
        <is>
          <t>JDO</t>
        </is>
      </c>
      <c r="I200" t="inlineStr">
        <is>
          <t>Judo Capital Holdings Ltd</t>
        </is>
      </c>
      <c r="J200" t="inlineStr">
        <is>
          <t>AUD</t>
        </is>
      </c>
      <c r="K200" s="5" t="inlineStr">
        <is>
          <t>01a1212c-4c04-75ce-bbb2-e3322e18816e</t>
        </is>
      </c>
      <c r="M200" t="inlineStr">
        <is>
          <t>UNKNOWN</t>
        </is>
      </c>
      <c r="N200" t="inlineStr">
        <is>
          <t>DEFAULT</t>
        </is>
      </c>
      <c r="Q200" t="n">
        <v>0</v>
      </c>
      <c r="R200" t="inlineStr">
        <is>
          <t>AUD</t>
        </is>
      </c>
      <c r="S200" t="n">
        <v>0</v>
      </c>
      <c r="T200" t="inlineStr">
        <is>
          <t>AUD</t>
        </is>
      </c>
      <c r="U200" t="n">
        <v>0</v>
      </c>
    </row>
    <row r="201">
      <c r="A201" s="5" t="inlineStr">
        <is>
          <t>01a1212c-503b-7303-8a1d-5a958ef731fc</t>
        </is>
      </c>
      <c r="C201" s="5" t="inlineStr">
        <is>
          <t>01a1212c-4b57-70cf-80fd-c2192cb3bf81</t>
        </is>
      </c>
      <c r="D201" s="4" t="n">
        <v>46304.62401254672</v>
      </c>
      <c r="E201" s="4" t="n">
        <v>46304.6240125468</v>
      </c>
      <c r="F201" t="b">
        <v>1</v>
      </c>
      <c r="G201" t="n">
        <v/>
      </c>
      <c r="H201" t="inlineStr">
        <is>
          <t>MFG</t>
        </is>
      </c>
      <c r="I201" t="inlineStr">
        <is>
          <t>Magellan Financial Group Ltd</t>
        </is>
      </c>
      <c r="J201" t="inlineStr">
        <is>
          <t>AUD</t>
        </is>
      </c>
      <c r="K201" s="5" t="inlineStr">
        <is>
          <t>01a1212c-4c04-75ce-bbb2-e3322e18816e</t>
        </is>
      </c>
      <c r="M201" t="inlineStr">
        <is>
          <t>UNKNOWN</t>
        </is>
      </c>
      <c r="N201" t="inlineStr">
        <is>
          <t>DEFAULT</t>
        </is>
      </c>
      <c r="Q201" t="n">
        <v>0</v>
      </c>
      <c r="R201" t="inlineStr">
        <is>
          <t>AUD</t>
        </is>
      </c>
      <c r="S201" t="n">
        <v>0</v>
      </c>
      <c r="T201" t="inlineStr">
        <is>
          <t>AUD</t>
        </is>
      </c>
      <c r="U201" t="n">
        <v>0</v>
      </c>
    </row>
    <row r="202">
      <c r="A202" s="5" t="inlineStr">
        <is>
          <t>01a1212c-503e-732b-a923-d467860c7e22</t>
        </is>
      </c>
      <c r="C202" s="5" t="inlineStr">
        <is>
          <t>01a1212c-4b57-70cf-80fd-c2192cb3bf81</t>
        </is>
      </c>
      <c r="D202" s="4" t="n">
        <v>46304.62401257993</v>
      </c>
      <c r="E202" s="4" t="n">
        <v>46304.62401258001</v>
      </c>
      <c r="F202" t="b">
        <v>1</v>
      </c>
      <c r="G202" t="n">
        <v/>
      </c>
      <c r="H202" t="inlineStr">
        <is>
          <t>CTD</t>
        </is>
      </c>
      <c r="I202" t="inlineStr">
        <is>
          <t>Corporate Travel Management Ltd</t>
        </is>
      </c>
      <c r="J202" t="inlineStr">
        <is>
          <t>AUD</t>
        </is>
      </c>
      <c r="K202" s="5" t="inlineStr">
        <is>
          <t>01a1212c-4c04-75ce-bbb2-e3322e18816e</t>
        </is>
      </c>
      <c r="M202" t="inlineStr">
        <is>
          <t>UNKNOWN</t>
        </is>
      </c>
      <c r="N202" t="inlineStr">
        <is>
          <t>DEFAULT</t>
        </is>
      </c>
      <c r="Q202" t="n">
        <v>0</v>
      </c>
      <c r="R202" t="inlineStr">
        <is>
          <t>AUD</t>
        </is>
      </c>
      <c r="S202" t="n">
        <v>0</v>
      </c>
      <c r="T202" t="inlineStr">
        <is>
          <t>AUD</t>
        </is>
      </c>
      <c r="U202" t="n">
        <v>0</v>
      </c>
    </row>
    <row r="203">
      <c r="A203" s="5" t="inlineStr">
        <is>
          <t>01a1212c-5041-7137-990e-d6250242c95e</t>
        </is>
      </c>
      <c r="C203" s="5" t="inlineStr">
        <is>
          <t>01a1212c-4b57-70cf-80fd-c2192cb3bf81</t>
        </is>
      </c>
      <c r="D203" s="4" t="n">
        <v>46304.62401261074</v>
      </c>
      <c r="E203" s="4" t="n">
        <v>46304.62401261082</v>
      </c>
      <c r="F203" t="b">
        <v>1</v>
      </c>
      <c r="G203" t="n">
        <v/>
      </c>
      <c r="H203" t="inlineStr">
        <is>
          <t>VBND</t>
        </is>
      </c>
      <c r="I203" t="inlineStr">
        <is>
          <t>Vanguard Global Aggregate Bond INDEX (Hedged) ETF</t>
        </is>
      </c>
      <c r="J203" t="inlineStr">
        <is>
          <t>AUD</t>
        </is>
      </c>
      <c r="K203" s="5" t="inlineStr">
        <is>
          <t>01a1212c-4c04-75ce-bbb2-e3322e18816e</t>
        </is>
      </c>
      <c r="M203" t="inlineStr">
        <is>
          <t>UNIT_TRUST</t>
        </is>
      </c>
      <c r="N203" t="inlineStr">
        <is>
          <t>SUGGESTED</t>
        </is>
      </c>
      <c r="Q203" t="n">
        <v>0</v>
      </c>
      <c r="R203" t="inlineStr">
        <is>
          <t>AUD</t>
        </is>
      </c>
      <c r="S203" t="n">
        <v>0</v>
      </c>
      <c r="T203" t="inlineStr">
        <is>
          <t>AUD</t>
        </is>
      </c>
      <c r="U203" t="n">
        <v>0</v>
      </c>
    </row>
    <row r="204">
      <c r="A204" s="5" t="inlineStr">
        <is>
          <t>01a1212c-5044-70aa-8bcd-76bb442e7c81</t>
        </is>
      </c>
      <c r="C204" s="5" t="inlineStr">
        <is>
          <t>01a1212c-4b57-70cf-80fd-c2192cb3bf81</t>
        </is>
      </c>
      <c r="D204" s="4" t="n">
        <v>46304.62401264512</v>
      </c>
      <c r="E204" s="4" t="n">
        <v>46304.6240126452</v>
      </c>
      <c r="F204" t="b">
        <v>1</v>
      </c>
      <c r="G204" t="n">
        <v/>
      </c>
      <c r="H204" t="inlineStr">
        <is>
          <t>IHVV</t>
        </is>
      </c>
      <c r="I204" t="inlineStr">
        <is>
          <t>Ishares S&amp;P 500 Aud Hedged ETF</t>
        </is>
      </c>
      <c r="J204" t="inlineStr">
        <is>
          <t>AUD</t>
        </is>
      </c>
      <c r="K204" s="5" t="inlineStr">
        <is>
          <t>01a1212c-4c04-75ce-bbb2-e3322e18816e</t>
        </is>
      </c>
      <c r="M204" t="inlineStr">
        <is>
          <t>UNIT_TRUST</t>
        </is>
      </c>
      <c r="N204" t="inlineStr">
        <is>
          <t>SUGGESTED</t>
        </is>
      </c>
      <c r="Q204" t="n">
        <v>0</v>
      </c>
      <c r="R204" t="inlineStr">
        <is>
          <t>AUD</t>
        </is>
      </c>
      <c r="S204" t="n">
        <v>0</v>
      </c>
      <c r="T204" t="inlineStr">
        <is>
          <t>AUD</t>
        </is>
      </c>
      <c r="U204" t="n">
        <v>0</v>
      </c>
    </row>
    <row r="205">
      <c r="A205" s="5" t="inlineStr">
        <is>
          <t>01a1212c-5047-772e-9dc3-9aa7068b705c</t>
        </is>
      </c>
      <c r="C205" s="5" t="inlineStr">
        <is>
          <t>01a1212c-4b57-70cf-80fd-c2192cb3bf81</t>
        </is>
      </c>
      <c r="D205" s="4" t="n">
        <v>46304.62401267973</v>
      </c>
      <c r="E205" s="4" t="n">
        <v>46304.62401267981</v>
      </c>
      <c r="F205" t="b">
        <v>1</v>
      </c>
      <c r="G205" t="n">
        <v/>
      </c>
      <c r="H205" t="inlineStr">
        <is>
          <t>SUBD</t>
        </is>
      </c>
      <c r="I205" t="inlineStr">
        <is>
          <t>Vaneck Australian Subordinated Debt ETF</t>
        </is>
      </c>
      <c r="J205" t="inlineStr">
        <is>
          <t>AUD</t>
        </is>
      </c>
      <c r="K205" s="5" t="inlineStr">
        <is>
          <t>01a1212c-4c04-75ce-bbb2-e3322e18816e</t>
        </is>
      </c>
      <c r="M205" t="inlineStr">
        <is>
          <t>UNIT_TRUST</t>
        </is>
      </c>
      <c r="N205" t="inlineStr">
        <is>
          <t>SUGGESTED</t>
        </is>
      </c>
      <c r="Q205" t="n">
        <v>0</v>
      </c>
      <c r="R205" t="inlineStr">
        <is>
          <t>AUD</t>
        </is>
      </c>
      <c r="S205" t="n">
        <v>0</v>
      </c>
      <c r="T205" t="inlineStr">
        <is>
          <t>AUD</t>
        </is>
      </c>
      <c r="U205" t="n">
        <v>0</v>
      </c>
    </row>
    <row r="206">
      <c r="A206" s="5" t="inlineStr">
        <is>
          <t>01a1212c-504a-7745-9d2d-a08755859772</t>
        </is>
      </c>
      <c r="C206" s="5" t="inlineStr">
        <is>
          <t>01a1212c-4b57-70cf-80fd-c2192cb3bf81</t>
        </is>
      </c>
      <c r="D206" s="4" t="n">
        <v>46304.62401271945</v>
      </c>
      <c r="E206" s="4" t="n">
        <v>46304.62401271956</v>
      </c>
      <c r="F206" t="b">
        <v>1</v>
      </c>
      <c r="G206" t="n">
        <v/>
      </c>
      <c r="H206" t="inlineStr">
        <is>
          <t>NEC</t>
        </is>
      </c>
      <c r="I206" t="inlineStr">
        <is>
          <t>Nine Entertainment Co. Holdings Ltd</t>
        </is>
      </c>
      <c r="J206" t="inlineStr">
        <is>
          <t>AUD</t>
        </is>
      </c>
      <c r="K206" s="5" t="inlineStr">
        <is>
          <t>01a1212c-4c04-75ce-bbb2-e3322e18816e</t>
        </is>
      </c>
      <c r="M206" t="inlineStr">
        <is>
          <t>UNKNOWN</t>
        </is>
      </c>
      <c r="N206" t="inlineStr">
        <is>
          <t>DEFAULT</t>
        </is>
      </c>
      <c r="Q206" t="n">
        <v>0</v>
      </c>
      <c r="R206" t="inlineStr">
        <is>
          <t>AUD</t>
        </is>
      </c>
      <c r="S206" t="n">
        <v>0</v>
      </c>
      <c r="T206" t="inlineStr">
        <is>
          <t>AUD</t>
        </is>
      </c>
      <c r="U206" t="n">
        <v>0</v>
      </c>
    </row>
    <row r="207">
      <c r="A207" s="5" t="inlineStr">
        <is>
          <t>01a1212c-504d-7298-877d-6aeb0991bb7a</t>
        </is>
      </c>
      <c r="C207" s="5" t="inlineStr">
        <is>
          <t>01a1212c-4b57-70cf-80fd-c2192cb3bf81</t>
        </is>
      </c>
      <c r="D207" s="4" t="n">
        <v>46304.62401275129</v>
      </c>
      <c r="E207" s="4" t="n">
        <v>46304.62401275137</v>
      </c>
      <c r="F207" t="b">
        <v>1</v>
      </c>
      <c r="G207" t="n">
        <v/>
      </c>
      <c r="H207" t="inlineStr">
        <is>
          <t>DRR</t>
        </is>
      </c>
      <c r="I207" t="inlineStr">
        <is>
          <t>Deterra Royalties Ltd</t>
        </is>
      </c>
      <c r="J207" t="inlineStr">
        <is>
          <t>AUD</t>
        </is>
      </c>
      <c r="K207" s="5" t="inlineStr">
        <is>
          <t>01a1212c-4c04-75ce-bbb2-e3322e18816e</t>
        </is>
      </c>
      <c r="M207" t="inlineStr">
        <is>
          <t>UNKNOWN</t>
        </is>
      </c>
      <c r="N207" t="inlineStr">
        <is>
          <t>DEFAULT</t>
        </is>
      </c>
      <c r="Q207" t="n">
        <v>0</v>
      </c>
      <c r="R207" t="inlineStr">
        <is>
          <t>AUD</t>
        </is>
      </c>
      <c r="S207" t="n">
        <v>0</v>
      </c>
      <c r="T207" t="inlineStr">
        <is>
          <t>AUD</t>
        </is>
      </c>
      <c r="U207" t="n">
        <v>0</v>
      </c>
    </row>
    <row r="208">
      <c r="A208" s="5" t="inlineStr">
        <is>
          <t>01a1212c-5050-7767-bf61-1930809922ea</t>
        </is>
      </c>
      <c r="C208" s="5" t="inlineStr">
        <is>
          <t>01a1212c-4b57-70cf-80fd-c2192cb3bf81</t>
        </is>
      </c>
      <c r="D208" s="4" t="n">
        <v>46304.62401278273</v>
      </c>
      <c r="E208" s="4" t="n">
        <v>46304.62401278282</v>
      </c>
      <c r="F208" t="b">
        <v>1</v>
      </c>
      <c r="G208" t="n">
        <v/>
      </c>
      <c r="H208" t="inlineStr">
        <is>
          <t>NABPI</t>
        </is>
      </c>
      <c r="I208" t="inlineStr">
        <is>
          <t>National Australia Bank Ltd</t>
        </is>
      </c>
      <c r="J208" t="inlineStr">
        <is>
          <t>AUD</t>
        </is>
      </c>
      <c r="K208" s="5" t="inlineStr">
        <is>
          <t>01a1212c-4c04-75ce-bbb2-e3322e18816e</t>
        </is>
      </c>
      <c r="M208" t="inlineStr">
        <is>
          <t>UNKNOWN</t>
        </is>
      </c>
      <c r="N208" t="inlineStr">
        <is>
          <t>DEFAULT</t>
        </is>
      </c>
      <c r="Q208" t="n">
        <v>0</v>
      </c>
      <c r="R208" t="inlineStr">
        <is>
          <t>AUD</t>
        </is>
      </c>
      <c r="S208" t="n">
        <v>0</v>
      </c>
      <c r="T208" t="inlineStr">
        <is>
          <t>AUD</t>
        </is>
      </c>
      <c r="U208" t="n">
        <v>0</v>
      </c>
    </row>
    <row r="209">
      <c r="A209" s="5" t="inlineStr">
        <is>
          <t>01a1212c-5052-77ce-88a7-3ae3cb17e658</t>
        </is>
      </c>
      <c r="C209" s="5" t="inlineStr">
        <is>
          <t>01a1212c-4b57-70cf-80fd-c2192cb3bf81</t>
        </is>
      </c>
      <c r="D209" s="4" t="n">
        <v>46304.62401281344</v>
      </c>
      <c r="E209" s="4" t="n">
        <v>46304.62401281352</v>
      </c>
      <c r="F209" t="b">
        <v>1</v>
      </c>
      <c r="G209" t="n">
        <v/>
      </c>
      <c r="H209" t="inlineStr">
        <is>
          <t>ILU</t>
        </is>
      </c>
      <c r="I209" t="inlineStr">
        <is>
          <t>Iluka Resources Ltd</t>
        </is>
      </c>
      <c r="J209" t="inlineStr">
        <is>
          <t>AUD</t>
        </is>
      </c>
      <c r="K209" s="5" t="inlineStr">
        <is>
          <t>01a1212c-4c04-75ce-bbb2-e3322e18816e</t>
        </is>
      </c>
      <c r="M209" t="inlineStr">
        <is>
          <t>UNKNOWN</t>
        </is>
      </c>
      <c r="N209" t="inlineStr">
        <is>
          <t>DEFAULT</t>
        </is>
      </c>
      <c r="Q209" t="n">
        <v>0</v>
      </c>
      <c r="R209" t="inlineStr">
        <is>
          <t>AUD</t>
        </is>
      </c>
      <c r="S209" t="n">
        <v>0</v>
      </c>
      <c r="T209" t="inlineStr">
        <is>
          <t>AUD</t>
        </is>
      </c>
      <c r="U209" t="n">
        <v>0</v>
      </c>
    </row>
    <row r="210">
      <c r="A210" s="5" t="inlineStr">
        <is>
          <t>01a1212c-5055-7705-a793-ab92ab784a17</t>
        </is>
      </c>
      <c r="C210" s="5" t="inlineStr">
        <is>
          <t>01a1212c-4b57-70cf-80fd-c2192cb3bf81</t>
        </is>
      </c>
      <c r="D210" s="4" t="n">
        <v>46304.62401284606</v>
      </c>
      <c r="E210" s="4" t="n">
        <v>46304.62401284614</v>
      </c>
      <c r="F210" t="b">
        <v>1</v>
      </c>
      <c r="G210" t="n">
        <v/>
      </c>
      <c r="H210" t="inlineStr">
        <is>
          <t>NABPF</t>
        </is>
      </c>
      <c r="I210" t="inlineStr">
        <is>
          <t>National Australia Bank Ltd</t>
        </is>
      </c>
      <c r="J210" t="inlineStr">
        <is>
          <t>AUD</t>
        </is>
      </c>
      <c r="K210" s="5" t="inlineStr">
        <is>
          <t>01a1212c-4c04-75ce-bbb2-e3322e18816e</t>
        </is>
      </c>
      <c r="M210" t="inlineStr">
        <is>
          <t>UNKNOWN</t>
        </is>
      </c>
      <c r="N210" t="inlineStr">
        <is>
          <t>DEFAULT</t>
        </is>
      </c>
      <c r="Q210" t="n">
        <v>0</v>
      </c>
      <c r="R210" t="inlineStr">
        <is>
          <t>AUD</t>
        </is>
      </c>
      <c r="S210" t="n">
        <v>0</v>
      </c>
      <c r="T210" t="inlineStr">
        <is>
          <t>AUD</t>
        </is>
      </c>
      <c r="U210" t="n">
        <v>0</v>
      </c>
    </row>
    <row r="211">
      <c r="A211" s="5" t="inlineStr">
        <is>
          <t>01a1212c-5058-7037-93ad-4bf60dc85bb4</t>
        </is>
      </c>
      <c r="C211" s="5" t="inlineStr">
        <is>
          <t>01a1212c-4b57-70cf-80fd-c2192cb3bf81</t>
        </is>
      </c>
      <c r="D211" s="4" t="n">
        <v>46304.62401287702</v>
      </c>
      <c r="E211" s="4" t="n">
        <v>46304.62401287711</v>
      </c>
      <c r="F211" t="b">
        <v>1</v>
      </c>
      <c r="G211" t="n">
        <v/>
      </c>
      <c r="H211" t="inlineStr">
        <is>
          <t>REG</t>
        </is>
      </c>
      <c r="I211" t="inlineStr">
        <is>
          <t>Regis Healthcare Ltd</t>
        </is>
      </c>
      <c r="J211" t="inlineStr">
        <is>
          <t>AUD</t>
        </is>
      </c>
      <c r="K211" s="5" t="inlineStr">
        <is>
          <t>01a1212c-4c04-75ce-bbb2-e3322e18816e</t>
        </is>
      </c>
      <c r="M211" t="inlineStr">
        <is>
          <t>UNKNOWN</t>
        </is>
      </c>
      <c r="N211" t="inlineStr">
        <is>
          <t>DEFAULT</t>
        </is>
      </c>
      <c r="Q211" t="n">
        <v>0</v>
      </c>
      <c r="R211" t="inlineStr">
        <is>
          <t>AUD</t>
        </is>
      </c>
      <c r="S211" t="n">
        <v>0</v>
      </c>
      <c r="T211" t="inlineStr">
        <is>
          <t>AUD</t>
        </is>
      </c>
      <c r="U211" t="n">
        <v>0</v>
      </c>
    </row>
    <row r="212">
      <c r="A212" s="5" t="inlineStr">
        <is>
          <t>01a1212c-505b-77bc-9f1e-6afe03b232e4</t>
        </is>
      </c>
      <c r="C212" s="5" t="inlineStr">
        <is>
          <t>01a1212c-4b57-70cf-80fd-c2192cb3bf81</t>
        </is>
      </c>
      <c r="D212" s="4" t="n">
        <v>46304.62401290758</v>
      </c>
      <c r="E212" s="4" t="n">
        <v>46304.62401290766</v>
      </c>
      <c r="F212" t="b">
        <v>1</v>
      </c>
      <c r="G212" t="n">
        <v/>
      </c>
      <c r="H212" t="inlineStr">
        <is>
          <t>WEB</t>
        </is>
      </c>
      <c r="I212" t="inlineStr">
        <is>
          <t>WEB Travel Group Ltd</t>
        </is>
      </c>
      <c r="J212" t="inlineStr">
        <is>
          <t>AUD</t>
        </is>
      </c>
      <c r="K212" s="5" t="inlineStr">
        <is>
          <t>01a1212c-4c04-75ce-bbb2-e3322e18816e</t>
        </is>
      </c>
      <c r="M212" t="inlineStr">
        <is>
          <t>UNKNOWN</t>
        </is>
      </c>
      <c r="N212" t="inlineStr">
        <is>
          <t>DEFAULT</t>
        </is>
      </c>
      <c r="Q212" t="n">
        <v>0</v>
      </c>
      <c r="R212" t="inlineStr">
        <is>
          <t>AUD</t>
        </is>
      </c>
      <c r="S212" t="n">
        <v>0</v>
      </c>
      <c r="T212" t="inlineStr">
        <is>
          <t>AUD</t>
        </is>
      </c>
      <c r="U212" t="n">
        <v>0</v>
      </c>
    </row>
    <row r="213">
      <c r="A213" s="5" t="inlineStr">
        <is>
          <t>01a1212c-505d-73c2-b839-fca7ae347373</t>
        </is>
      </c>
      <c r="C213" s="5" t="inlineStr">
        <is>
          <t>01a1212c-4b57-70cf-80fd-c2192cb3bf81</t>
        </is>
      </c>
      <c r="D213" s="4" t="n">
        <v>46304.62401293794</v>
      </c>
      <c r="E213" s="4" t="n">
        <v>46304.62401293801</v>
      </c>
      <c r="F213" t="b">
        <v>1</v>
      </c>
      <c r="G213" t="n">
        <v/>
      </c>
      <c r="H213" t="inlineStr">
        <is>
          <t>NEU</t>
        </is>
      </c>
      <c r="I213" t="inlineStr">
        <is>
          <t>Neuren Pharmaceuticals Ltd</t>
        </is>
      </c>
      <c r="J213" t="inlineStr">
        <is>
          <t>AUD</t>
        </is>
      </c>
      <c r="K213" s="5" t="inlineStr">
        <is>
          <t>01a1212c-4c04-75ce-bbb2-e3322e18816e</t>
        </is>
      </c>
      <c r="M213" t="inlineStr">
        <is>
          <t>UNKNOWN</t>
        </is>
      </c>
      <c r="N213" t="inlineStr">
        <is>
          <t>DEFAULT</t>
        </is>
      </c>
      <c r="Q213" t="n">
        <v>0</v>
      </c>
      <c r="R213" t="inlineStr">
        <is>
          <t>AUD</t>
        </is>
      </c>
      <c r="S213" t="n">
        <v>0</v>
      </c>
      <c r="T213" t="inlineStr">
        <is>
          <t>AUD</t>
        </is>
      </c>
      <c r="U213" t="n">
        <v>0</v>
      </c>
    </row>
    <row r="214">
      <c r="A214" s="5" t="inlineStr">
        <is>
          <t>01a1212c-5060-75fb-a8cb-d2041425a141</t>
        </is>
      </c>
      <c r="C214" s="5" t="inlineStr">
        <is>
          <t>01a1212c-4b57-70cf-80fd-c2192cb3bf81</t>
        </is>
      </c>
      <c r="D214" s="4" t="n">
        <v>46304.62401296826</v>
      </c>
      <c r="E214" s="4" t="n">
        <v>46304.62401296834</v>
      </c>
      <c r="F214" t="b">
        <v>1</v>
      </c>
      <c r="G214" t="n">
        <v/>
      </c>
      <c r="H214" t="inlineStr">
        <is>
          <t>EVT</t>
        </is>
      </c>
      <c r="I214" t="inlineStr">
        <is>
          <t>EVT Ltd</t>
        </is>
      </c>
      <c r="J214" t="inlineStr">
        <is>
          <t>AUD</t>
        </is>
      </c>
      <c r="K214" s="5" t="inlineStr">
        <is>
          <t>01a1212c-4c04-75ce-bbb2-e3322e18816e</t>
        </is>
      </c>
      <c r="M214" t="inlineStr">
        <is>
          <t>UNKNOWN</t>
        </is>
      </c>
      <c r="N214" t="inlineStr">
        <is>
          <t>DEFAULT</t>
        </is>
      </c>
      <c r="Q214" t="n">
        <v>0</v>
      </c>
      <c r="R214" t="inlineStr">
        <is>
          <t>AUD</t>
        </is>
      </c>
      <c r="S214" t="n">
        <v>0</v>
      </c>
      <c r="T214" t="inlineStr">
        <is>
          <t>AUD</t>
        </is>
      </c>
      <c r="U214" t="n">
        <v>0</v>
      </c>
    </row>
    <row r="215">
      <c r="A215" s="5" t="inlineStr">
        <is>
          <t>01a1212c-5063-7446-8c60-08c165b4274f</t>
        </is>
      </c>
      <c r="C215" s="5" t="inlineStr">
        <is>
          <t>01a1212c-4b57-70cf-80fd-c2192cb3bf81</t>
        </is>
      </c>
      <c r="D215" s="4" t="n">
        <v>46304.62401300073</v>
      </c>
      <c r="E215" s="4" t="n">
        <v>46304.6240130008</v>
      </c>
      <c r="F215" t="b">
        <v>1</v>
      </c>
      <c r="G215" t="n">
        <v/>
      </c>
      <c r="H215" t="inlineStr">
        <is>
          <t>AIZ</t>
        </is>
      </c>
      <c r="I215" t="inlineStr">
        <is>
          <t>Air New Zealand Ltd</t>
        </is>
      </c>
      <c r="J215" t="inlineStr">
        <is>
          <t>AUD</t>
        </is>
      </c>
      <c r="K215" s="5" t="inlineStr">
        <is>
          <t>01a1212c-4c04-75ce-bbb2-e3322e18816e</t>
        </is>
      </c>
      <c r="M215" t="inlineStr">
        <is>
          <t>UNKNOWN</t>
        </is>
      </c>
      <c r="N215" t="inlineStr">
        <is>
          <t>DEFAULT</t>
        </is>
      </c>
      <c r="Q215" t="n">
        <v>0</v>
      </c>
      <c r="R215" t="inlineStr">
        <is>
          <t>AUD</t>
        </is>
      </c>
      <c r="S215" t="n">
        <v>0</v>
      </c>
      <c r="T215" t="inlineStr">
        <is>
          <t>AUD</t>
        </is>
      </c>
      <c r="U215" t="n">
        <v>0</v>
      </c>
    </row>
    <row r="216">
      <c r="A216" s="5" t="inlineStr">
        <is>
          <t>01a1212c-5065-7419-b69c-17d34d1056bf</t>
        </is>
      </c>
      <c r="C216" s="5" t="inlineStr">
        <is>
          <t>01a1212c-4b57-70cf-80fd-c2192cb3bf81</t>
        </is>
      </c>
      <c r="D216" s="4" t="n">
        <v>46304.62401303161</v>
      </c>
      <c r="E216" s="4" t="n">
        <v>46304.62401303169</v>
      </c>
      <c r="F216" t="b">
        <v>1</v>
      </c>
      <c r="G216" t="n">
        <v/>
      </c>
      <c r="H216" t="inlineStr">
        <is>
          <t>WBCPM</t>
        </is>
      </c>
      <c r="I216" t="inlineStr">
        <is>
          <t>Westpac Banking Corporation</t>
        </is>
      </c>
      <c r="J216" t="inlineStr">
        <is>
          <t>AUD</t>
        </is>
      </c>
      <c r="K216" s="5" t="inlineStr">
        <is>
          <t>01a1212c-4c04-75ce-bbb2-e3322e18816e</t>
        </is>
      </c>
      <c r="M216" t="inlineStr">
        <is>
          <t>UNKNOWN</t>
        </is>
      </c>
      <c r="N216" t="inlineStr">
        <is>
          <t>DEFAULT</t>
        </is>
      </c>
      <c r="Q216" t="n">
        <v>0</v>
      </c>
      <c r="R216" t="inlineStr">
        <is>
          <t>AUD</t>
        </is>
      </c>
      <c r="S216" t="n">
        <v>0</v>
      </c>
      <c r="T216" t="inlineStr">
        <is>
          <t>AUD</t>
        </is>
      </c>
      <c r="U216" t="n">
        <v>0</v>
      </c>
    </row>
    <row r="217">
      <c r="A217" s="5" t="inlineStr">
        <is>
          <t>01a1212c-5068-7006-a38c-31399ce87d24</t>
        </is>
      </c>
      <c r="C217" s="5" t="inlineStr">
        <is>
          <t>01a1212c-4b57-70cf-80fd-c2192cb3bf81</t>
        </is>
      </c>
      <c r="D217" s="4" t="n">
        <v>46304.62401306243</v>
      </c>
      <c r="E217" s="4" t="n">
        <v>46304.62401306251</v>
      </c>
      <c r="F217" t="b">
        <v>1</v>
      </c>
      <c r="G217" t="n">
        <v/>
      </c>
      <c r="H217" t="inlineStr">
        <is>
          <t>WAF</t>
        </is>
      </c>
      <c r="I217" t="inlineStr">
        <is>
          <t>West African Resources Ltd</t>
        </is>
      </c>
      <c r="J217" t="inlineStr">
        <is>
          <t>AUD</t>
        </is>
      </c>
      <c r="K217" s="5" t="inlineStr">
        <is>
          <t>01a1212c-4c04-75ce-bbb2-e3322e18816e</t>
        </is>
      </c>
      <c r="M217" t="inlineStr">
        <is>
          <t>UNKNOWN</t>
        </is>
      </c>
      <c r="N217" t="inlineStr">
        <is>
          <t>DEFAULT</t>
        </is>
      </c>
      <c r="Q217" t="n">
        <v>0</v>
      </c>
      <c r="R217" t="inlineStr">
        <is>
          <t>AUD</t>
        </is>
      </c>
      <c r="S217" t="n">
        <v>0</v>
      </c>
      <c r="T217" t="inlineStr">
        <is>
          <t>AUD</t>
        </is>
      </c>
      <c r="U217" t="n">
        <v>0</v>
      </c>
    </row>
    <row r="218">
      <c r="A218" s="5" t="inlineStr">
        <is>
          <t>01a1212c-506b-77eb-9852-69ea07310258</t>
        </is>
      </c>
      <c r="C218" s="5" t="inlineStr">
        <is>
          <t>01a1212c-4b57-70cf-80fd-c2192cb3bf81</t>
        </is>
      </c>
      <c r="D218" s="4" t="n">
        <v>46304.62401309287</v>
      </c>
      <c r="E218" s="4" t="n">
        <v>46304.62401309294</v>
      </c>
      <c r="F218" t="b">
        <v>1</v>
      </c>
      <c r="G218" t="n">
        <v/>
      </c>
      <c r="H218" t="inlineStr">
        <is>
          <t>SPR</t>
        </is>
      </c>
      <c r="I218" t="inlineStr">
        <is>
          <t>Spartan Resources Ltd</t>
        </is>
      </c>
      <c r="J218" t="inlineStr">
        <is>
          <t>AUD</t>
        </is>
      </c>
      <c r="K218" s="5" t="inlineStr">
        <is>
          <t>01a1212c-4c04-75ce-bbb2-e3322e18816e</t>
        </is>
      </c>
      <c r="M218" t="inlineStr">
        <is>
          <t>UNKNOWN</t>
        </is>
      </c>
      <c r="N218" t="inlineStr">
        <is>
          <t>DEFAULT</t>
        </is>
      </c>
      <c r="Q218" t="n">
        <v>0</v>
      </c>
      <c r="R218" t="inlineStr">
        <is>
          <t>AUD</t>
        </is>
      </c>
      <c r="S218" t="n">
        <v>0</v>
      </c>
      <c r="T218" t="inlineStr">
        <is>
          <t>AUD</t>
        </is>
      </c>
      <c r="U218" t="n">
        <v>0</v>
      </c>
    </row>
    <row r="219">
      <c r="A219" s="5" t="inlineStr">
        <is>
          <t>01a1212c-506d-70c4-9a69-c8d3d27280d5</t>
        </is>
      </c>
      <c r="C219" s="5" t="inlineStr">
        <is>
          <t>01a1212c-4b57-70cf-80fd-c2192cb3bf81</t>
        </is>
      </c>
      <c r="D219" s="4" t="n">
        <v>46304.62401312489</v>
      </c>
      <c r="E219" s="4" t="n">
        <v>46304.62401312498</v>
      </c>
      <c r="F219" t="b">
        <v>1</v>
      </c>
      <c r="G219" t="n">
        <v/>
      </c>
      <c r="H219" t="inlineStr">
        <is>
          <t>DBI</t>
        </is>
      </c>
      <c r="I219" t="inlineStr">
        <is>
          <t>Dalrymple Bay Infrastructure Ltd</t>
        </is>
      </c>
      <c r="J219" t="inlineStr">
        <is>
          <t>AUD</t>
        </is>
      </c>
      <c r="K219" s="5" t="inlineStr">
        <is>
          <t>01a1212c-4c04-75ce-bbb2-e3322e18816e</t>
        </is>
      </c>
      <c r="M219" t="inlineStr">
        <is>
          <t>UNKNOWN</t>
        </is>
      </c>
      <c r="N219" t="inlineStr">
        <is>
          <t>DEFAULT</t>
        </is>
      </c>
      <c r="Q219" t="n">
        <v>0</v>
      </c>
      <c r="R219" t="inlineStr">
        <is>
          <t>AUD</t>
        </is>
      </c>
      <c r="S219" t="n">
        <v>0</v>
      </c>
      <c r="T219" t="inlineStr">
        <is>
          <t>AUD</t>
        </is>
      </c>
      <c r="U219" t="n">
        <v>0</v>
      </c>
    </row>
    <row r="220">
      <c r="A220" s="5" t="inlineStr">
        <is>
          <t>01a1212c-5070-7343-81f8-f339bf78280c</t>
        </is>
      </c>
      <c r="C220" s="5" t="inlineStr">
        <is>
          <t>01a1212c-4b57-70cf-80fd-c2192cb3bf81</t>
        </is>
      </c>
      <c r="D220" s="4" t="n">
        <v>46304.624013156</v>
      </c>
      <c r="E220" s="4" t="n">
        <v>46304.62401315606</v>
      </c>
      <c r="F220" t="b">
        <v>1</v>
      </c>
      <c r="G220" t="n">
        <v/>
      </c>
      <c r="H220" t="inlineStr">
        <is>
          <t>CIP</t>
        </is>
      </c>
      <c r="I220" t="inlineStr">
        <is>
          <t>Centuria Industrial REIT</t>
        </is>
      </c>
      <c r="J220" t="inlineStr">
        <is>
          <t>AUD</t>
        </is>
      </c>
      <c r="K220" s="5" t="inlineStr">
        <is>
          <t>01a1212c-4c04-75ce-bbb2-e3322e18816e</t>
        </is>
      </c>
      <c r="M220" t="inlineStr">
        <is>
          <t>UNKNOWN</t>
        </is>
      </c>
      <c r="N220" t="inlineStr">
        <is>
          <t>DEFAULT</t>
        </is>
      </c>
      <c r="Q220" t="n">
        <v>0</v>
      </c>
      <c r="R220" t="inlineStr">
        <is>
          <t>AUD</t>
        </is>
      </c>
      <c r="S220" t="n">
        <v>0</v>
      </c>
      <c r="T220" t="inlineStr">
        <is>
          <t>AUD</t>
        </is>
      </c>
      <c r="U220" t="n">
        <v>0</v>
      </c>
    </row>
    <row r="221">
      <c r="A221" s="5" t="inlineStr">
        <is>
          <t>01a1212c-5073-77ea-be2a-c24eac5cbee7</t>
        </is>
      </c>
      <c r="C221" s="5" t="inlineStr">
        <is>
          <t>01a1212c-4b57-70cf-80fd-c2192cb3bf81</t>
        </is>
      </c>
      <c r="D221" s="4" t="n">
        <v>46304.62401318629</v>
      </c>
      <c r="E221" s="4" t="n">
        <v>46304.62401318635</v>
      </c>
      <c r="F221" t="b">
        <v>1</v>
      </c>
      <c r="G221" t="n">
        <v/>
      </c>
      <c r="H221" t="inlineStr">
        <is>
          <t>CBAPL</t>
        </is>
      </c>
      <c r="I221" t="inlineStr">
        <is>
          <t>Commonwealth Bank of Australia</t>
        </is>
      </c>
      <c r="J221" t="inlineStr">
        <is>
          <t>AUD</t>
        </is>
      </c>
      <c r="K221" s="5" t="inlineStr">
        <is>
          <t>01a1212c-4c04-75ce-bbb2-e3322e18816e</t>
        </is>
      </c>
      <c r="M221" t="inlineStr">
        <is>
          <t>UNKNOWN</t>
        </is>
      </c>
      <c r="N221" t="inlineStr">
        <is>
          <t>DEFAULT</t>
        </is>
      </c>
      <c r="Q221" t="n">
        <v>0</v>
      </c>
      <c r="R221" t="inlineStr">
        <is>
          <t>AUD</t>
        </is>
      </c>
      <c r="S221" t="n">
        <v>0</v>
      </c>
      <c r="T221" t="inlineStr">
        <is>
          <t>AUD</t>
        </is>
      </c>
      <c r="U221" t="n">
        <v>0</v>
      </c>
    </row>
    <row r="222">
      <c r="A222" s="5" t="inlineStr">
        <is>
          <t>01a1212c-5075-74b0-931e-065b8417cb10</t>
        </is>
      </c>
      <c r="C222" s="5" t="inlineStr">
        <is>
          <t>01a1212c-4b57-70cf-80fd-c2192cb3bf81</t>
        </is>
      </c>
      <c r="D222" s="4" t="n">
        <v>46304.62401321672</v>
      </c>
      <c r="E222" s="4" t="n">
        <v>46304.6240132168</v>
      </c>
      <c r="F222" t="b">
        <v>1</v>
      </c>
      <c r="G222" t="n">
        <v/>
      </c>
      <c r="H222" t="inlineStr">
        <is>
          <t>CQR</t>
        </is>
      </c>
      <c r="I222" t="inlineStr">
        <is>
          <t>Charter Hall Retail REIT</t>
        </is>
      </c>
      <c r="J222" t="inlineStr">
        <is>
          <t>AUD</t>
        </is>
      </c>
      <c r="K222" s="5" t="inlineStr">
        <is>
          <t>01a1212c-4c04-75ce-bbb2-e3322e18816e</t>
        </is>
      </c>
      <c r="M222" t="inlineStr">
        <is>
          <t>STAPLED</t>
        </is>
      </c>
      <c r="N222" t="inlineStr">
        <is>
          <t>SUGGESTED</t>
        </is>
      </c>
      <c r="Q222" t="n">
        <v>0</v>
      </c>
      <c r="R222" t="inlineStr">
        <is>
          <t>AUD</t>
        </is>
      </c>
      <c r="S222" t="n">
        <v>0</v>
      </c>
      <c r="T222" t="inlineStr">
        <is>
          <t>AUD</t>
        </is>
      </c>
      <c r="U222" t="n">
        <v>0</v>
      </c>
    </row>
    <row r="223">
      <c r="A223" s="5" t="inlineStr">
        <is>
          <t>01a1212c-5079-7123-a0dc-b9c3abcbbc38</t>
        </is>
      </c>
      <c r="C223" s="5" t="inlineStr">
        <is>
          <t>01a1212c-4b57-70cf-80fd-c2192cb3bf81</t>
        </is>
      </c>
      <c r="D223" s="4" t="n">
        <v>46304.62401325507</v>
      </c>
      <c r="E223" s="4" t="n">
        <v>46304.62401325515</v>
      </c>
      <c r="F223" t="b">
        <v>1</v>
      </c>
      <c r="G223" t="n">
        <v/>
      </c>
      <c r="H223" t="inlineStr">
        <is>
          <t>WBCPK</t>
        </is>
      </c>
      <c r="I223" t="inlineStr">
        <is>
          <t>Westpac Banking Corporation</t>
        </is>
      </c>
      <c r="J223" t="inlineStr">
        <is>
          <t>AUD</t>
        </is>
      </c>
      <c r="K223" s="5" t="inlineStr">
        <is>
          <t>01a1212c-4c04-75ce-bbb2-e3322e18816e</t>
        </is>
      </c>
      <c r="M223" t="inlineStr">
        <is>
          <t>UNKNOWN</t>
        </is>
      </c>
      <c r="N223" t="inlineStr">
        <is>
          <t>DEFAULT</t>
        </is>
      </c>
      <c r="Q223" t="n">
        <v>0</v>
      </c>
      <c r="R223" t="inlineStr">
        <is>
          <t>AUD</t>
        </is>
      </c>
      <c r="S223" t="n">
        <v>0</v>
      </c>
      <c r="T223" t="inlineStr">
        <is>
          <t>AUD</t>
        </is>
      </c>
      <c r="U223" t="n">
        <v>0</v>
      </c>
    </row>
    <row r="224">
      <c r="A224" s="5" t="inlineStr">
        <is>
          <t>01a1212c-507b-7246-af61-c56933ef2b23</t>
        </is>
      </c>
      <c r="C224" s="5" t="inlineStr">
        <is>
          <t>01a1212c-4b57-70cf-80fd-c2192cb3bf81</t>
        </is>
      </c>
      <c r="D224" s="4" t="n">
        <v>46304.62401328568</v>
      </c>
      <c r="E224" s="4" t="n">
        <v>46304.62401328575</v>
      </c>
      <c r="F224" t="b">
        <v>1</v>
      </c>
      <c r="G224" t="n">
        <v/>
      </c>
      <c r="H224" t="inlineStr">
        <is>
          <t>CBAPK</t>
        </is>
      </c>
      <c r="I224" t="inlineStr">
        <is>
          <t>Commonwealth Bank of Australia</t>
        </is>
      </c>
      <c r="J224" t="inlineStr">
        <is>
          <t>AUD</t>
        </is>
      </c>
      <c r="K224" s="5" t="inlineStr">
        <is>
          <t>01a1212c-4c04-75ce-bbb2-e3322e18816e</t>
        </is>
      </c>
      <c r="M224" t="inlineStr">
        <is>
          <t>UNKNOWN</t>
        </is>
      </c>
      <c r="N224" t="inlineStr">
        <is>
          <t>DEFAULT</t>
        </is>
      </c>
      <c r="Q224" t="n">
        <v>0</v>
      </c>
      <c r="R224" t="inlineStr">
        <is>
          <t>AUD</t>
        </is>
      </c>
      <c r="S224" t="n">
        <v>0</v>
      </c>
      <c r="T224" t="inlineStr">
        <is>
          <t>AUD</t>
        </is>
      </c>
      <c r="U224" t="n">
        <v>0</v>
      </c>
    </row>
    <row r="225">
      <c r="A225" s="5" t="inlineStr">
        <is>
          <t>01a1212c-507e-75fa-aa72-11f3c6a533bf</t>
        </is>
      </c>
      <c r="C225" s="5" t="inlineStr">
        <is>
          <t>01a1212c-4b57-70cf-80fd-c2192cb3bf81</t>
        </is>
      </c>
      <c r="D225" s="4" t="n">
        <v>46304.62401331576</v>
      </c>
      <c r="E225" s="4" t="n">
        <v>46304.62401331584</v>
      </c>
      <c r="F225" t="b">
        <v>1</v>
      </c>
      <c r="G225" t="n">
        <v/>
      </c>
      <c r="H225" t="inlineStr">
        <is>
          <t>LSF</t>
        </is>
      </c>
      <c r="I225" t="inlineStr">
        <is>
          <t>L1 Long Short Fund Ltd</t>
        </is>
      </c>
      <c r="J225" t="inlineStr">
        <is>
          <t>AUD</t>
        </is>
      </c>
      <c r="K225" s="5" t="inlineStr">
        <is>
          <t>01a1212c-4c04-75ce-bbb2-e3322e18816e</t>
        </is>
      </c>
      <c r="M225" t="inlineStr">
        <is>
          <t>UNKNOWN</t>
        </is>
      </c>
      <c r="N225" t="inlineStr">
        <is>
          <t>DEFAULT</t>
        </is>
      </c>
      <c r="Q225" t="n">
        <v>0</v>
      </c>
      <c r="R225" t="inlineStr">
        <is>
          <t>AUD</t>
        </is>
      </c>
      <c r="S225" t="n">
        <v>0</v>
      </c>
      <c r="T225" t="inlineStr">
        <is>
          <t>AUD</t>
        </is>
      </c>
      <c r="U225" t="n">
        <v>0</v>
      </c>
    </row>
    <row r="226">
      <c r="A226" s="5" t="inlineStr">
        <is>
          <t>01a1212c-5081-7071-992d-9733c6be74bd</t>
        </is>
      </c>
      <c r="C226" s="5" t="inlineStr">
        <is>
          <t>01a1212c-4b57-70cf-80fd-c2192cb3bf81</t>
        </is>
      </c>
      <c r="D226" s="4" t="n">
        <v>46304.62401334615</v>
      </c>
      <c r="E226" s="4" t="n">
        <v>46304.62401334623</v>
      </c>
      <c r="F226" t="b">
        <v>1</v>
      </c>
      <c r="G226" t="n">
        <v/>
      </c>
      <c r="H226" t="inlineStr">
        <is>
          <t>WBCPJ</t>
        </is>
      </c>
      <c r="I226" t="inlineStr">
        <is>
          <t>Westpac Banking Corporation</t>
        </is>
      </c>
      <c r="J226" t="inlineStr">
        <is>
          <t>AUD</t>
        </is>
      </c>
      <c r="K226" s="5" t="inlineStr">
        <is>
          <t>01a1212c-4c04-75ce-bbb2-e3322e18816e</t>
        </is>
      </c>
      <c r="M226" t="inlineStr">
        <is>
          <t>UNKNOWN</t>
        </is>
      </c>
      <c r="N226" t="inlineStr">
        <is>
          <t>DEFAULT</t>
        </is>
      </c>
      <c r="Q226" t="n">
        <v>0</v>
      </c>
      <c r="R226" t="inlineStr">
        <is>
          <t>AUD</t>
        </is>
      </c>
      <c r="S226" t="n">
        <v>0</v>
      </c>
      <c r="T226" t="inlineStr">
        <is>
          <t>AUD</t>
        </is>
      </c>
      <c r="U226" t="n">
        <v>0</v>
      </c>
    </row>
    <row r="227">
      <c r="A227" s="5" t="inlineStr">
        <is>
          <t>01a1212c-5083-7702-a7bd-bae6effcf923</t>
        </is>
      </c>
      <c r="C227" s="5" t="inlineStr">
        <is>
          <t>01a1212c-4b57-70cf-80fd-c2192cb3bf81</t>
        </is>
      </c>
      <c r="D227" s="4" t="n">
        <v>46304.62401337778</v>
      </c>
      <c r="E227" s="4" t="n">
        <v>46304.62401337785</v>
      </c>
      <c r="F227" t="b">
        <v>1</v>
      </c>
      <c r="G227" t="n">
        <v/>
      </c>
      <c r="H227" t="inlineStr">
        <is>
          <t>NXL</t>
        </is>
      </c>
      <c r="I227" t="inlineStr">
        <is>
          <t>NUIX Ltd</t>
        </is>
      </c>
      <c r="J227" t="inlineStr">
        <is>
          <t>AUD</t>
        </is>
      </c>
      <c r="K227" s="5" t="inlineStr">
        <is>
          <t>01a1212c-4c04-75ce-bbb2-e3322e18816e</t>
        </is>
      </c>
      <c r="M227" t="inlineStr">
        <is>
          <t>UNKNOWN</t>
        </is>
      </c>
      <c r="N227" t="inlineStr">
        <is>
          <t>DEFAULT</t>
        </is>
      </c>
      <c r="Q227" t="n">
        <v>0</v>
      </c>
      <c r="R227" t="inlineStr">
        <is>
          <t>AUD</t>
        </is>
      </c>
      <c r="S227" t="n">
        <v>0</v>
      </c>
      <c r="T227" t="inlineStr">
        <is>
          <t>AUD</t>
        </is>
      </c>
      <c r="U227" t="n">
        <v>0</v>
      </c>
    </row>
    <row r="228">
      <c r="A228" s="5" t="inlineStr">
        <is>
          <t>01a1212c-5086-730d-92f0-0e608889e0ae</t>
        </is>
      </c>
      <c r="C228" s="5" t="inlineStr">
        <is>
          <t>01a1212c-4b57-70cf-80fd-c2192cb3bf81</t>
        </is>
      </c>
      <c r="D228" s="4" t="n">
        <v>46304.62401340852</v>
      </c>
      <c r="E228" s="4" t="n">
        <v>46304.62401340859</v>
      </c>
      <c r="F228" t="b">
        <v>1</v>
      </c>
      <c r="G228" t="n">
        <v/>
      </c>
      <c r="H228" t="inlineStr">
        <is>
          <t>AN3PL</t>
        </is>
      </c>
      <c r="I228" t="inlineStr">
        <is>
          <t>Australia and New Zealand Banking Group Ltd</t>
        </is>
      </c>
      <c r="J228" t="inlineStr">
        <is>
          <t>AUD</t>
        </is>
      </c>
      <c r="K228" s="5" t="inlineStr">
        <is>
          <t>01a1212c-4c04-75ce-bbb2-e3322e18816e</t>
        </is>
      </c>
      <c r="M228" t="inlineStr">
        <is>
          <t>UNKNOWN</t>
        </is>
      </c>
      <c r="N228" t="inlineStr">
        <is>
          <t>DEFAULT</t>
        </is>
      </c>
      <c r="Q228" t="n">
        <v>0</v>
      </c>
      <c r="R228" t="inlineStr">
        <is>
          <t>AUD</t>
        </is>
      </c>
      <c r="S228" t="n">
        <v>0</v>
      </c>
      <c r="T228" t="inlineStr">
        <is>
          <t>AUD</t>
        </is>
      </c>
      <c r="U228" t="n">
        <v>0</v>
      </c>
    </row>
    <row r="229">
      <c r="A229" s="5" t="inlineStr">
        <is>
          <t>01a1212c-5089-732d-aa5d-7d934c0fd24c</t>
        </is>
      </c>
      <c r="C229" s="5" t="inlineStr">
        <is>
          <t>01a1212c-4b57-70cf-80fd-c2192cb3bf81</t>
        </is>
      </c>
      <c r="D229" s="4" t="n">
        <v>46304.62401344131</v>
      </c>
      <c r="E229" s="4" t="n">
        <v>46304.62401344139</v>
      </c>
      <c r="F229" t="b">
        <v>1</v>
      </c>
      <c r="G229" t="n">
        <v/>
      </c>
      <c r="H229" t="inlineStr">
        <is>
          <t>WAM</t>
        </is>
      </c>
      <c r="I229" t="inlineStr">
        <is>
          <t>WAM Capital Ltd</t>
        </is>
      </c>
      <c r="J229" t="inlineStr">
        <is>
          <t>AUD</t>
        </is>
      </c>
      <c r="K229" s="5" t="inlineStr">
        <is>
          <t>01a1212c-4c04-75ce-bbb2-e3322e18816e</t>
        </is>
      </c>
      <c r="M229" t="inlineStr">
        <is>
          <t>COMPANY</t>
        </is>
      </c>
      <c r="N229" t="inlineStr">
        <is>
          <t>SUGGESTED</t>
        </is>
      </c>
      <c r="Q229" t="n">
        <v>0</v>
      </c>
      <c r="R229" t="inlineStr">
        <is>
          <t>AUD</t>
        </is>
      </c>
      <c r="S229" t="n">
        <v>0</v>
      </c>
      <c r="T229" t="inlineStr">
        <is>
          <t>AUD</t>
        </is>
      </c>
      <c r="U229" t="n">
        <v>0</v>
      </c>
    </row>
    <row r="230">
      <c r="A230" s="5" t="inlineStr">
        <is>
          <t>01a1212c-508c-71ec-9ffd-eea1d29a6a67</t>
        </is>
      </c>
      <c r="C230" s="5" t="inlineStr">
        <is>
          <t>01a1212c-4b57-70cf-80fd-c2192cb3bf81</t>
        </is>
      </c>
      <c r="D230" s="4" t="n">
        <v>46304.62401347501</v>
      </c>
      <c r="E230" s="4" t="n">
        <v>46304.62401347508</v>
      </c>
      <c r="F230" t="b">
        <v>1</v>
      </c>
      <c r="G230" t="n">
        <v/>
      </c>
      <c r="H230" t="inlineStr">
        <is>
          <t>GOZ</t>
        </is>
      </c>
      <c r="I230" t="inlineStr">
        <is>
          <t>Growthpoint Properties Australia</t>
        </is>
      </c>
      <c r="J230" t="inlineStr">
        <is>
          <t>AUD</t>
        </is>
      </c>
      <c r="K230" s="5" t="inlineStr">
        <is>
          <t>01a1212c-4c04-75ce-bbb2-e3322e18816e</t>
        </is>
      </c>
      <c r="M230" t="inlineStr">
        <is>
          <t>UNKNOWN</t>
        </is>
      </c>
      <c r="N230" t="inlineStr">
        <is>
          <t>DEFAULT</t>
        </is>
      </c>
      <c r="Q230" t="n">
        <v>0</v>
      </c>
      <c r="R230" t="inlineStr">
        <is>
          <t>AUD</t>
        </is>
      </c>
      <c r="S230" t="n">
        <v>0</v>
      </c>
      <c r="T230" t="inlineStr">
        <is>
          <t>AUD</t>
        </is>
      </c>
      <c r="U230" t="n">
        <v>0</v>
      </c>
    </row>
    <row r="231">
      <c r="A231" s="5" t="inlineStr">
        <is>
          <t>01a1212c-508e-771f-a2d5-e8f9b3d143a3</t>
        </is>
      </c>
      <c r="C231" s="5" t="inlineStr">
        <is>
          <t>01a1212c-4b57-70cf-80fd-c2192cb3bf81</t>
        </is>
      </c>
      <c r="D231" s="4" t="n">
        <v>46304.62401350671</v>
      </c>
      <c r="E231" s="4" t="n">
        <v>46304.62401350679</v>
      </c>
      <c r="F231" t="b">
        <v>1</v>
      </c>
      <c r="G231" t="n">
        <v/>
      </c>
      <c r="H231" t="inlineStr">
        <is>
          <t>IRE</t>
        </is>
      </c>
      <c r="I231" t="inlineStr">
        <is>
          <t>Iress Ltd</t>
        </is>
      </c>
      <c r="J231" t="inlineStr">
        <is>
          <t>AUD</t>
        </is>
      </c>
      <c r="K231" s="5" t="inlineStr">
        <is>
          <t>01a1212c-4c04-75ce-bbb2-e3322e18816e</t>
        </is>
      </c>
      <c r="M231" t="inlineStr">
        <is>
          <t>UNKNOWN</t>
        </is>
      </c>
      <c r="N231" t="inlineStr">
        <is>
          <t>DEFAULT</t>
        </is>
      </c>
      <c r="Q231" t="n">
        <v>0</v>
      </c>
      <c r="R231" t="inlineStr">
        <is>
          <t>AUD</t>
        </is>
      </c>
      <c r="S231" t="n">
        <v>0</v>
      </c>
      <c r="T231" t="inlineStr">
        <is>
          <t>AUD</t>
        </is>
      </c>
      <c r="U231" t="n">
        <v>0</v>
      </c>
    </row>
    <row r="232">
      <c r="A232" s="5" t="inlineStr">
        <is>
          <t>01a1212c-5091-750d-b0d6-717ba1094149</t>
        </is>
      </c>
      <c r="C232" s="5" t="inlineStr">
        <is>
          <t>01a1212c-4b57-70cf-80fd-c2192cb3bf81</t>
        </is>
      </c>
      <c r="D232" s="4" t="n">
        <v>46304.62401353667</v>
      </c>
      <c r="E232" s="4" t="n">
        <v>46304.62401353675</v>
      </c>
      <c r="F232" t="b">
        <v>1</v>
      </c>
      <c r="G232" t="n">
        <v/>
      </c>
      <c r="H232" t="inlineStr">
        <is>
          <t>BGA</t>
        </is>
      </c>
      <c r="I232" t="inlineStr">
        <is>
          <t>Bega Cheese Ltd</t>
        </is>
      </c>
      <c r="J232" t="inlineStr">
        <is>
          <t>AUD</t>
        </is>
      </c>
      <c r="K232" s="5" t="inlineStr">
        <is>
          <t>01a1212c-4c04-75ce-bbb2-e3322e18816e</t>
        </is>
      </c>
      <c r="M232" t="inlineStr">
        <is>
          <t>UNKNOWN</t>
        </is>
      </c>
      <c r="N232" t="inlineStr">
        <is>
          <t>DEFAULT</t>
        </is>
      </c>
      <c r="Q232" t="n">
        <v>0</v>
      </c>
      <c r="R232" t="inlineStr">
        <is>
          <t>AUD</t>
        </is>
      </c>
      <c r="S232" t="n">
        <v>0</v>
      </c>
      <c r="T232" t="inlineStr">
        <is>
          <t>AUD</t>
        </is>
      </c>
      <c r="U232" t="n">
        <v>0</v>
      </c>
    </row>
    <row r="233">
      <c r="A233" s="5" t="inlineStr">
        <is>
          <t>01a1212c-5094-759e-a1e1-53d6d77a6366</t>
        </is>
      </c>
      <c r="C233" s="5" t="inlineStr">
        <is>
          <t>01a1212c-4b57-70cf-80fd-c2192cb3bf81</t>
        </is>
      </c>
      <c r="D233" s="4" t="n">
        <v>46304.62401356698</v>
      </c>
      <c r="E233" s="4" t="n">
        <v>46304.62401356705</v>
      </c>
      <c r="F233" t="b">
        <v>1</v>
      </c>
      <c r="G233" t="n">
        <v/>
      </c>
      <c r="H233" t="inlineStr">
        <is>
          <t>WLE</t>
        </is>
      </c>
      <c r="I233" t="inlineStr">
        <is>
          <t>Wam Leaders Ltd</t>
        </is>
      </c>
      <c r="J233" t="inlineStr">
        <is>
          <t>AUD</t>
        </is>
      </c>
      <c r="K233" s="5" t="inlineStr">
        <is>
          <t>01a1212c-4c04-75ce-bbb2-e3322e18816e</t>
        </is>
      </c>
      <c r="M233" t="inlineStr">
        <is>
          <t>COMPANY</t>
        </is>
      </c>
      <c r="N233" t="inlineStr">
        <is>
          <t>SUGGESTED</t>
        </is>
      </c>
      <c r="Q233" t="n">
        <v>0</v>
      </c>
      <c r="R233" t="inlineStr">
        <is>
          <t>AUD</t>
        </is>
      </c>
      <c r="S233" t="n">
        <v>0</v>
      </c>
      <c r="T233" t="inlineStr">
        <is>
          <t>AUD</t>
        </is>
      </c>
      <c r="U233" t="n">
        <v>0</v>
      </c>
    </row>
    <row r="234">
      <c r="A234" s="5" t="inlineStr">
        <is>
          <t>01a1212c-5096-7356-b030-7543a9584b21</t>
        </is>
      </c>
      <c r="C234" s="5" t="inlineStr">
        <is>
          <t>01a1212c-4b57-70cf-80fd-c2192cb3bf81</t>
        </is>
      </c>
      <c r="D234" s="4" t="n">
        <v>46304.62401360042</v>
      </c>
      <c r="E234" s="4" t="n">
        <v>46304.6240136005</v>
      </c>
      <c r="F234" t="b">
        <v>1</v>
      </c>
      <c r="G234" t="n">
        <v/>
      </c>
      <c r="H234" t="inlineStr">
        <is>
          <t>WBCPH</t>
        </is>
      </c>
      <c r="I234" t="inlineStr">
        <is>
          <t>Westpac Banking Corporation</t>
        </is>
      </c>
      <c r="J234" t="inlineStr">
        <is>
          <t>AUD</t>
        </is>
      </c>
      <c r="K234" s="5" t="inlineStr">
        <is>
          <t>01a1212c-4c04-75ce-bbb2-e3322e18816e</t>
        </is>
      </c>
      <c r="M234" t="inlineStr">
        <is>
          <t>UNKNOWN</t>
        </is>
      </c>
      <c r="N234" t="inlineStr">
        <is>
          <t>DEFAULT</t>
        </is>
      </c>
      <c r="Q234" t="n">
        <v>0</v>
      </c>
      <c r="R234" t="inlineStr">
        <is>
          <t>AUD</t>
        </is>
      </c>
      <c r="S234" t="n">
        <v>0</v>
      </c>
      <c r="T234" t="inlineStr">
        <is>
          <t>AUD</t>
        </is>
      </c>
      <c r="U234" t="n">
        <v>0</v>
      </c>
    </row>
    <row r="235">
      <c r="A235" s="5" t="inlineStr">
        <is>
          <t>01a1212c-5099-7724-a866-ca110faac3f2</t>
        </is>
      </c>
      <c r="C235" s="5" t="inlineStr">
        <is>
          <t>01a1212c-4b57-70cf-80fd-c2192cb3bf81</t>
        </is>
      </c>
      <c r="D235" s="4" t="n">
        <v>46304.62401363325</v>
      </c>
      <c r="E235" s="4" t="n">
        <v>46304.62401363334</v>
      </c>
      <c r="F235" t="b">
        <v>1</v>
      </c>
      <c r="G235" t="n">
        <v/>
      </c>
      <c r="H235" t="inlineStr">
        <is>
          <t>CBAPI</t>
        </is>
      </c>
      <c r="I235" t="inlineStr">
        <is>
          <t>Commonwealth Bank of Australia</t>
        </is>
      </c>
      <c r="J235" t="inlineStr">
        <is>
          <t>AUD</t>
        </is>
      </c>
      <c r="K235" s="5" t="inlineStr">
        <is>
          <t>01a1212c-4c04-75ce-bbb2-e3322e18816e</t>
        </is>
      </c>
      <c r="M235" t="inlineStr">
        <is>
          <t>UNKNOWN</t>
        </is>
      </c>
      <c r="N235" t="inlineStr">
        <is>
          <t>DEFAULT</t>
        </is>
      </c>
      <c r="Q235" t="n">
        <v>0</v>
      </c>
      <c r="R235" t="inlineStr">
        <is>
          <t>AUD</t>
        </is>
      </c>
      <c r="S235" t="n">
        <v>0</v>
      </c>
      <c r="T235" t="inlineStr">
        <is>
          <t>AUD</t>
        </is>
      </c>
      <c r="U235" t="n">
        <v>0</v>
      </c>
    </row>
    <row r="236">
      <c r="A236" s="5" t="inlineStr">
        <is>
          <t>01a1212c-509c-77e8-b4e9-c7625e292e91</t>
        </is>
      </c>
      <c r="C236" s="5" t="inlineStr">
        <is>
          <t>01a1212c-4b57-70cf-80fd-c2192cb3bf81</t>
        </is>
      </c>
      <c r="D236" s="4" t="n">
        <v>46304.62401366563</v>
      </c>
      <c r="E236" s="4" t="n">
        <v>46304.62401366571</v>
      </c>
      <c r="F236" t="b">
        <v>1</v>
      </c>
      <c r="G236" t="n">
        <v/>
      </c>
      <c r="H236" t="inlineStr">
        <is>
          <t>DHG</t>
        </is>
      </c>
      <c r="I236" t="inlineStr">
        <is>
          <t>Domain Holdings Australia Ltd</t>
        </is>
      </c>
      <c r="J236" t="inlineStr">
        <is>
          <t>AUD</t>
        </is>
      </c>
      <c r="K236" s="5" t="inlineStr">
        <is>
          <t>01a1212c-4c04-75ce-bbb2-e3322e18816e</t>
        </is>
      </c>
      <c r="M236" t="inlineStr">
        <is>
          <t>UNKNOWN</t>
        </is>
      </c>
      <c r="N236" t="inlineStr">
        <is>
          <t>DEFAULT</t>
        </is>
      </c>
      <c r="Q236" t="n">
        <v>0</v>
      </c>
      <c r="R236" t="inlineStr">
        <is>
          <t>AUD</t>
        </is>
      </c>
      <c r="S236" t="n">
        <v>0</v>
      </c>
      <c r="T236" t="inlineStr">
        <is>
          <t>AUD</t>
        </is>
      </c>
      <c r="U236" t="n">
        <v>0</v>
      </c>
    </row>
    <row r="237">
      <c r="A237" s="5" t="inlineStr">
        <is>
          <t>01a1212c-509f-74ed-9b5b-20731d2542a5</t>
        </is>
      </c>
      <c r="C237" s="5" t="inlineStr">
        <is>
          <t>01a1212c-4b57-70cf-80fd-c2192cb3bf81</t>
        </is>
      </c>
      <c r="D237" s="4" t="n">
        <v>46304.62401369584</v>
      </c>
      <c r="E237" s="4" t="n">
        <v>46304.6240136959</v>
      </c>
      <c r="F237" t="b">
        <v>1</v>
      </c>
      <c r="G237" t="n">
        <v/>
      </c>
      <c r="H237" t="inlineStr">
        <is>
          <t>TPW</t>
        </is>
      </c>
      <c r="I237" t="inlineStr">
        <is>
          <t>Temple &amp; Webster Group Ltd</t>
        </is>
      </c>
      <c r="J237" t="inlineStr">
        <is>
          <t>AUD</t>
        </is>
      </c>
      <c r="K237" s="5" t="inlineStr">
        <is>
          <t>01a1212c-4c04-75ce-bbb2-e3322e18816e</t>
        </is>
      </c>
      <c r="M237" t="inlineStr">
        <is>
          <t>UNKNOWN</t>
        </is>
      </c>
      <c r="N237" t="inlineStr">
        <is>
          <t>DEFAULT</t>
        </is>
      </c>
      <c r="Q237" t="n">
        <v>0</v>
      </c>
      <c r="R237" t="inlineStr">
        <is>
          <t>AUD</t>
        </is>
      </c>
      <c r="S237" t="n">
        <v>0</v>
      </c>
      <c r="T237" t="inlineStr">
        <is>
          <t>AUD</t>
        </is>
      </c>
      <c r="U237" t="n">
        <v>0</v>
      </c>
    </row>
    <row r="238">
      <c r="A238" s="5" t="inlineStr">
        <is>
          <t>01a1212c-50a1-75e9-b404-ca9c9353063d</t>
        </is>
      </c>
      <c r="C238" s="5" t="inlineStr">
        <is>
          <t>01a1212c-4b57-70cf-80fd-c2192cb3bf81</t>
        </is>
      </c>
      <c r="D238" s="4" t="n">
        <v>46304.62401372604</v>
      </c>
      <c r="E238" s="4" t="n">
        <v>46304.62401372611</v>
      </c>
      <c r="F238" t="b">
        <v>1</v>
      </c>
      <c r="G238" t="n">
        <v/>
      </c>
      <c r="H238" t="inlineStr">
        <is>
          <t>BGBL</t>
        </is>
      </c>
      <c r="I238" t="inlineStr">
        <is>
          <t>Betashares Global Shares ETF</t>
        </is>
      </c>
      <c r="J238" t="inlineStr">
        <is>
          <t>AUD</t>
        </is>
      </c>
      <c r="K238" s="5" t="inlineStr">
        <is>
          <t>01a1212c-4c04-75ce-bbb2-e3322e18816e</t>
        </is>
      </c>
      <c r="M238" t="inlineStr">
        <is>
          <t>UNIT_TRUST</t>
        </is>
      </c>
      <c r="N238" t="inlineStr">
        <is>
          <t>SUGGESTED</t>
        </is>
      </c>
      <c r="Q238" t="n">
        <v>0</v>
      </c>
      <c r="R238" t="inlineStr">
        <is>
          <t>AUD</t>
        </is>
      </c>
      <c r="S238" t="n">
        <v>0</v>
      </c>
      <c r="T238" t="inlineStr">
        <is>
          <t>AUD</t>
        </is>
      </c>
      <c r="U238" t="n">
        <v>0</v>
      </c>
    </row>
    <row r="239">
      <c r="A239" s="5" t="inlineStr">
        <is>
          <t>01a1212c-50a4-770c-86b4-4509d989c23d</t>
        </is>
      </c>
      <c r="C239" s="5" t="inlineStr">
        <is>
          <t>01a1212c-4b57-70cf-80fd-c2192cb3bf81</t>
        </is>
      </c>
      <c r="D239" s="4" t="n">
        <v>46304.62401375909</v>
      </c>
      <c r="E239" s="4" t="n">
        <v>46304.62401375915</v>
      </c>
      <c r="F239" t="b">
        <v>1</v>
      </c>
      <c r="G239" t="n">
        <v/>
      </c>
      <c r="H239" t="inlineStr">
        <is>
          <t>SDR</t>
        </is>
      </c>
      <c r="I239" t="inlineStr">
        <is>
          <t>Siteminder Ltd</t>
        </is>
      </c>
      <c r="J239" t="inlineStr">
        <is>
          <t>AUD</t>
        </is>
      </c>
      <c r="K239" s="5" t="inlineStr">
        <is>
          <t>01a1212c-4c04-75ce-bbb2-e3322e18816e</t>
        </is>
      </c>
      <c r="M239" t="inlineStr">
        <is>
          <t>UNKNOWN</t>
        </is>
      </c>
      <c r="N239" t="inlineStr">
        <is>
          <t>DEFAULT</t>
        </is>
      </c>
      <c r="Q239" t="n">
        <v>0</v>
      </c>
      <c r="R239" t="inlineStr">
        <is>
          <t>AUD</t>
        </is>
      </c>
      <c r="S239" t="n">
        <v>0</v>
      </c>
      <c r="T239" t="inlineStr">
        <is>
          <t>AUD</t>
        </is>
      </c>
      <c r="U239" t="n">
        <v>0</v>
      </c>
    </row>
    <row r="240">
      <c r="A240" s="5" t="inlineStr">
        <is>
          <t>01a1212c-50a7-711d-8258-c6352e787ab9</t>
        </is>
      </c>
      <c r="C240" s="5" t="inlineStr">
        <is>
          <t>01a1212c-4b57-70cf-80fd-c2192cb3bf81</t>
        </is>
      </c>
      <c r="D240" s="4" t="n">
        <v>46304.62401379353</v>
      </c>
      <c r="E240" s="4" t="n">
        <v>46304.62401379361</v>
      </c>
      <c r="F240" t="b">
        <v>1</v>
      </c>
      <c r="G240" t="n">
        <v/>
      </c>
      <c r="H240" t="inlineStr">
        <is>
          <t>GNC</t>
        </is>
      </c>
      <c r="I240" t="inlineStr">
        <is>
          <t>Graincorp Ltd</t>
        </is>
      </c>
      <c r="J240" t="inlineStr">
        <is>
          <t>AUD</t>
        </is>
      </c>
      <c r="K240" s="5" t="inlineStr">
        <is>
          <t>01a1212c-4c04-75ce-bbb2-e3322e18816e</t>
        </is>
      </c>
      <c r="M240" t="inlineStr">
        <is>
          <t>UNKNOWN</t>
        </is>
      </c>
      <c r="N240" t="inlineStr">
        <is>
          <t>DEFAULT</t>
        </is>
      </c>
      <c r="Q240" t="n">
        <v>0</v>
      </c>
      <c r="R240" t="inlineStr">
        <is>
          <t>AUD</t>
        </is>
      </c>
      <c r="S240" t="n">
        <v>0</v>
      </c>
      <c r="T240" t="inlineStr">
        <is>
          <t>AUD</t>
        </is>
      </c>
      <c r="U240" t="n">
        <v>0</v>
      </c>
    </row>
    <row r="241">
      <c r="A241" s="5" t="inlineStr">
        <is>
          <t>01a1212c-50aa-77ff-9e0f-f0aebc4bee07</t>
        </is>
      </c>
      <c r="C241" s="5" t="inlineStr">
        <is>
          <t>01a1212c-4b57-70cf-80fd-c2192cb3bf81</t>
        </is>
      </c>
      <c r="D241" s="4" t="n">
        <v>46304.62401382465</v>
      </c>
      <c r="E241" s="4" t="n">
        <v>46304.62401382472</v>
      </c>
      <c r="F241" t="b">
        <v>1</v>
      </c>
      <c r="G241" t="n">
        <v/>
      </c>
      <c r="H241" t="inlineStr">
        <is>
          <t>CBAPM</t>
        </is>
      </c>
      <c r="I241" t="inlineStr">
        <is>
          <t>Commonwealth Bank of Australia</t>
        </is>
      </c>
      <c r="J241" t="inlineStr">
        <is>
          <t>AUD</t>
        </is>
      </c>
      <c r="K241" s="5" t="inlineStr">
        <is>
          <t>01a1212c-4c04-75ce-bbb2-e3322e18816e</t>
        </is>
      </c>
      <c r="M241" t="inlineStr">
        <is>
          <t>UNKNOWN</t>
        </is>
      </c>
      <c r="N241" t="inlineStr">
        <is>
          <t>DEFAULT</t>
        </is>
      </c>
      <c r="Q241" t="n">
        <v>0</v>
      </c>
      <c r="R241" t="inlineStr">
        <is>
          <t>AUD</t>
        </is>
      </c>
      <c r="S241" t="n">
        <v>0</v>
      </c>
      <c r="T241" t="inlineStr">
        <is>
          <t>AUD</t>
        </is>
      </c>
      <c r="U241" t="n">
        <v>0</v>
      </c>
    </row>
    <row r="242">
      <c r="A242" s="5" t="inlineStr">
        <is>
          <t>01a1212c-50ac-7716-9ade-256feb166d17</t>
        </is>
      </c>
      <c r="C242" s="5" t="inlineStr">
        <is>
          <t>01a1212c-4b57-70cf-80fd-c2192cb3bf81</t>
        </is>
      </c>
      <c r="D242" s="4" t="n">
        <v>46304.62401385471</v>
      </c>
      <c r="E242" s="4" t="n">
        <v>46304.62401385478</v>
      </c>
      <c r="F242" t="b">
        <v>1</v>
      </c>
      <c r="G242" t="n">
        <v/>
      </c>
      <c r="H242" t="inlineStr">
        <is>
          <t>LTR</t>
        </is>
      </c>
      <c r="I242" t="inlineStr">
        <is>
          <t>Liontown Resources Ltd</t>
        </is>
      </c>
      <c r="J242" t="inlineStr">
        <is>
          <t>AUD</t>
        </is>
      </c>
      <c r="K242" s="5" t="inlineStr">
        <is>
          <t>01a1212c-4c04-75ce-bbb2-e3322e18816e</t>
        </is>
      </c>
      <c r="M242" t="inlineStr">
        <is>
          <t>UNKNOWN</t>
        </is>
      </c>
      <c r="N242" t="inlineStr">
        <is>
          <t>DEFAULT</t>
        </is>
      </c>
      <c r="Q242" t="n">
        <v>0</v>
      </c>
      <c r="R242" t="inlineStr">
        <is>
          <t>AUD</t>
        </is>
      </c>
      <c r="S242" t="n">
        <v>0</v>
      </c>
      <c r="T242" t="inlineStr">
        <is>
          <t>AUD</t>
        </is>
      </c>
      <c r="U242" t="n">
        <v>0</v>
      </c>
    </row>
    <row r="243">
      <c r="A243" s="5" t="inlineStr">
        <is>
          <t>01a1212c-50af-7712-a411-68e45fb7b9dd</t>
        </is>
      </c>
      <c r="C243" s="5" t="inlineStr">
        <is>
          <t>01a1212c-4b57-70cf-80fd-c2192cb3bf81</t>
        </is>
      </c>
      <c r="D243" s="4" t="n">
        <v>46304.6240138848</v>
      </c>
      <c r="E243" s="4" t="n">
        <v>46304.62401388488</v>
      </c>
      <c r="F243" t="b">
        <v>1</v>
      </c>
      <c r="G243" t="n">
        <v/>
      </c>
      <c r="H243" t="inlineStr">
        <is>
          <t>BAP</t>
        </is>
      </c>
      <c r="I243" t="inlineStr">
        <is>
          <t>Bapcor Ltd</t>
        </is>
      </c>
      <c r="J243" t="inlineStr">
        <is>
          <t>AUD</t>
        </is>
      </c>
      <c r="K243" s="5" t="inlineStr">
        <is>
          <t>01a1212c-4c04-75ce-bbb2-e3322e18816e</t>
        </is>
      </c>
      <c r="M243" t="inlineStr">
        <is>
          <t>UNKNOWN</t>
        </is>
      </c>
      <c r="N243" t="inlineStr">
        <is>
          <t>DEFAULT</t>
        </is>
      </c>
      <c r="Q243" t="n">
        <v>0</v>
      </c>
      <c r="R243" t="inlineStr">
        <is>
          <t>AUD</t>
        </is>
      </c>
      <c r="S243" t="n">
        <v>0</v>
      </c>
      <c r="T243" t="inlineStr">
        <is>
          <t>AUD</t>
        </is>
      </c>
      <c r="U243" t="n">
        <v>0</v>
      </c>
    </row>
    <row r="244">
      <c r="A244" s="5" t="inlineStr">
        <is>
          <t>01a1212c-50b2-721c-a62c-1b025af2bce7</t>
        </is>
      </c>
      <c r="C244" s="5" t="inlineStr">
        <is>
          <t>01a1212c-4b57-70cf-80fd-c2192cb3bf81</t>
        </is>
      </c>
      <c r="D244" s="4" t="n">
        <v>46304.62401391691</v>
      </c>
      <c r="E244" s="4" t="n">
        <v>46304.62401391698</v>
      </c>
      <c r="F244" t="b">
        <v>1</v>
      </c>
      <c r="G244" t="n">
        <v/>
      </c>
      <c r="H244" t="inlineStr">
        <is>
          <t>QHAL</t>
        </is>
      </c>
      <c r="I244" t="inlineStr">
        <is>
          <t>Vaneck MSCI International Quality (Aud Hedged) ETF</t>
        </is>
      </c>
      <c r="J244" t="inlineStr">
        <is>
          <t>AUD</t>
        </is>
      </c>
      <c r="K244" s="5" t="inlineStr">
        <is>
          <t>01a1212c-4c04-75ce-bbb2-e3322e18816e</t>
        </is>
      </c>
      <c r="M244" t="inlineStr">
        <is>
          <t>UNKNOWN</t>
        </is>
      </c>
      <c r="N244" t="inlineStr">
        <is>
          <t>DEFAULT</t>
        </is>
      </c>
      <c r="Q244" t="n">
        <v>0</v>
      </c>
      <c r="R244" t="inlineStr">
        <is>
          <t>AUD</t>
        </is>
      </c>
      <c r="S244" t="n">
        <v>0</v>
      </c>
      <c r="T244" t="inlineStr">
        <is>
          <t>AUD</t>
        </is>
      </c>
      <c r="U244" t="n">
        <v>0</v>
      </c>
    </row>
    <row r="245">
      <c r="A245" s="5" t="inlineStr">
        <is>
          <t>01a1212c-50b4-754f-aa24-a565557bdf28</t>
        </is>
      </c>
      <c r="C245" s="5" t="inlineStr">
        <is>
          <t>01a1212c-4b57-70cf-80fd-c2192cb3bf81</t>
        </is>
      </c>
      <c r="D245" s="4" t="n">
        <v>46304.62401394686</v>
      </c>
      <c r="E245" s="4" t="n">
        <v>46304.62401394693</v>
      </c>
      <c r="F245" t="b">
        <v>1</v>
      </c>
      <c r="G245" t="n">
        <v/>
      </c>
      <c r="H245" t="inlineStr">
        <is>
          <t>RCAP</t>
        </is>
      </c>
      <c r="I245" t="inlineStr">
        <is>
          <t>Resolution Cap Global Prop Sec (Managed Fund)</t>
        </is>
      </c>
      <c r="J245" t="inlineStr">
        <is>
          <t>AUD</t>
        </is>
      </c>
      <c r="K245" s="5" t="inlineStr">
        <is>
          <t>01a1212c-4c04-75ce-bbb2-e3322e18816e</t>
        </is>
      </c>
      <c r="M245" t="inlineStr">
        <is>
          <t>UNKNOWN</t>
        </is>
      </c>
      <c r="N245" t="inlineStr">
        <is>
          <t>DEFAULT</t>
        </is>
      </c>
      <c r="Q245" t="n">
        <v>0</v>
      </c>
      <c r="R245" t="inlineStr">
        <is>
          <t>AUD</t>
        </is>
      </c>
      <c r="S245" t="n">
        <v>0</v>
      </c>
      <c r="T245" t="inlineStr">
        <is>
          <t>AUD</t>
        </is>
      </c>
      <c r="U245" t="n">
        <v>0</v>
      </c>
    </row>
    <row r="246">
      <c r="A246" s="5" t="inlineStr">
        <is>
          <t>01a1212c-50b7-7654-9dce-94938e838d85</t>
        </is>
      </c>
      <c r="C246" s="5" t="inlineStr">
        <is>
          <t>01a1212c-4b57-70cf-80fd-c2192cb3bf81</t>
        </is>
      </c>
      <c r="D246" s="4" t="n">
        <v>46304.6240139773</v>
      </c>
      <c r="E246" s="4" t="n">
        <v>46304.62401397739</v>
      </c>
      <c r="F246" t="b">
        <v>1</v>
      </c>
      <c r="G246" t="n">
        <v/>
      </c>
      <c r="H246" t="inlineStr">
        <is>
          <t>CSC</t>
        </is>
      </c>
      <c r="I246" t="inlineStr">
        <is>
          <t>Capstone Copper Corp</t>
        </is>
      </c>
      <c r="J246" t="inlineStr">
        <is>
          <t>AUD</t>
        </is>
      </c>
      <c r="K246" s="5" t="inlineStr">
        <is>
          <t>01a1212c-4c04-75ce-bbb2-e3322e18816e</t>
        </is>
      </c>
      <c r="M246" t="inlineStr">
        <is>
          <t>UNKNOWN</t>
        </is>
      </c>
      <c r="N246" t="inlineStr">
        <is>
          <t>DEFAULT</t>
        </is>
      </c>
      <c r="Q246" t="n">
        <v>0</v>
      </c>
      <c r="R246" t="inlineStr">
        <is>
          <t>AUD</t>
        </is>
      </c>
      <c r="S246" t="n">
        <v>0</v>
      </c>
      <c r="T246" t="inlineStr">
        <is>
          <t>AUD</t>
        </is>
      </c>
      <c r="U246" t="n">
        <v>0</v>
      </c>
    </row>
    <row r="247">
      <c r="A247" s="5" t="inlineStr">
        <is>
          <t>01a1212c-50ba-7142-9a30-0b50d23173d8</t>
        </is>
      </c>
      <c r="C247" s="5" t="inlineStr">
        <is>
          <t>01a1212c-4b57-70cf-80fd-c2192cb3bf81</t>
        </is>
      </c>
      <c r="D247" s="4" t="n">
        <v>46304.62401400927</v>
      </c>
      <c r="E247" s="4" t="n">
        <v>46304.62401400935</v>
      </c>
      <c r="F247" t="b">
        <v>1</v>
      </c>
      <c r="G247" t="n">
        <v/>
      </c>
      <c r="H247" t="inlineStr">
        <is>
          <t>WPR</t>
        </is>
      </c>
      <c r="I247" t="inlineStr">
        <is>
          <t>Waypoint REIT</t>
        </is>
      </c>
      <c r="J247" t="inlineStr">
        <is>
          <t>AUD</t>
        </is>
      </c>
      <c r="K247" s="5" t="inlineStr">
        <is>
          <t>01a1212c-4c04-75ce-bbb2-e3322e18816e</t>
        </is>
      </c>
      <c r="M247" t="inlineStr">
        <is>
          <t>UNKNOWN</t>
        </is>
      </c>
      <c r="N247" t="inlineStr">
        <is>
          <t>DEFAULT</t>
        </is>
      </c>
      <c r="Q247" t="n">
        <v>0</v>
      </c>
      <c r="R247" t="inlineStr">
        <is>
          <t>AUD</t>
        </is>
      </c>
      <c r="S247" t="n">
        <v>0</v>
      </c>
      <c r="T247" t="inlineStr">
        <is>
          <t>AUD</t>
        </is>
      </c>
      <c r="U247" t="n">
        <v>0</v>
      </c>
    </row>
    <row r="248">
      <c r="A248" s="5" t="inlineStr">
        <is>
          <t>01a1212c-50bc-713b-bc80-eefd03952258</t>
        </is>
      </c>
      <c r="C248" s="5" t="inlineStr">
        <is>
          <t>01a1212c-4b57-70cf-80fd-c2192cb3bf81</t>
        </is>
      </c>
      <c r="D248" s="4" t="n">
        <v>46304.62401403956</v>
      </c>
      <c r="E248" s="4" t="n">
        <v>46304.62401403963</v>
      </c>
      <c r="F248" t="b">
        <v>1</v>
      </c>
      <c r="G248" t="n">
        <v/>
      </c>
      <c r="H248" t="inlineStr">
        <is>
          <t>QPON</t>
        </is>
      </c>
      <c r="I248" t="inlineStr">
        <is>
          <t>Betashares Australian Bank Senior Floating Rate Bond ETF</t>
        </is>
      </c>
      <c r="J248" t="inlineStr">
        <is>
          <t>AUD</t>
        </is>
      </c>
      <c r="K248" s="5" t="inlineStr">
        <is>
          <t>01a1212c-4c04-75ce-bbb2-e3322e18816e</t>
        </is>
      </c>
      <c r="M248" t="inlineStr">
        <is>
          <t>UNKNOWN</t>
        </is>
      </c>
      <c r="N248" t="inlineStr">
        <is>
          <t>DEFAULT</t>
        </is>
      </c>
      <c r="Q248" t="n">
        <v>0</v>
      </c>
      <c r="R248" t="inlineStr">
        <is>
          <t>AUD</t>
        </is>
      </c>
      <c r="S248" t="n">
        <v>0</v>
      </c>
      <c r="T248" t="inlineStr">
        <is>
          <t>AUD</t>
        </is>
      </c>
      <c r="U248" t="n">
        <v>0</v>
      </c>
    </row>
    <row r="249">
      <c r="A249" s="5" t="inlineStr">
        <is>
          <t>01a1212c-50bf-73a4-9cb8-96c10fbbd460</t>
        </is>
      </c>
      <c r="C249" s="5" t="inlineStr">
        <is>
          <t>01a1212c-4b57-70cf-80fd-c2192cb3bf81</t>
        </is>
      </c>
      <c r="D249" s="4" t="n">
        <v>46304.62401407181</v>
      </c>
      <c r="E249" s="4" t="n">
        <v>46304.62401407189</v>
      </c>
      <c r="F249" t="b">
        <v>1</v>
      </c>
      <c r="G249" t="n">
        <v/>
      </c>
      <c r="H249" t="inlineStr">
        <is>
          <t>WBCPL</t>
        </is>
      </c>
      <c r="I249" t="inlineStr">
        <is>
          <t>Westpac Banking Corporation</t>
        </is>
      </c>
      <c r="J249" t="inlineStr">
        <is>
          <t>AUD</t>
        </is>
      </c>
      <c r="K249" s="5" t="inlineStr">
        <is>
          <t>01a1212c-4c04-75ce-bbb2-e3322e18816e</t>
        </is>
      </c>
      <c r="M249" t="inlineStr">
        <is>
          <t>UNKNOWN</t>
        </is>
      </c>
      <c r="N249" t="inlineStr">
        <is>
          <t>DEFAULT</t>
        </is>
      </c>
      <c r="Q249" t="n">
        <v>0</v>
      </c>
      <c r="R249" t="inlineStr">
        <is>
          <t>AUD</t>
        </is>
      </c>
      <c r="S249" t="n">
        <v>0</v>
      </c>
      <c r="T249" t="inlineStr">
        <is>
          <t>AUD</t>
        </is>
      </c>
      <c r="U249" t="n">
        <v>0</v>
      </c>
    </row>
    <row r="250">
      <c r="A250" s="5" t="inlineStr">
        <is>
          <t>01a1212c-50c2-77f9-a9d5-0e1aa92205b7</t>
        </is>
      </c>
      <c r="C250" s="5" t="inlineStr">
        <is>
          <t>01a1212c-4b57-70cf-80fd-c2192cb3bf81</t>
        </is>
      </c>
      <c r="D250" s="4" t="n">
        <v>46304.62401410178</v>
      </c>
      <c r="E250" s="4" t="n">
        <v>46304.62401410186</v>
      </c>
      <c r="F250" t="b">
        <v>1</v>
      </c>
      <c r="G250" t="n">
        <v/>
      </c>
      <c r="H250" t="inlineStr">
        <is>
          <t>NWS</t>
        </is>
      </c>
      <c r="I250" t="inlineStr">
        <is>
          <t>News Corporation</t>
        </is>
      </c>
      <c r="J250" t="inlineStr">
        <is>
          <t>AUD</t>
        </is>
      </c>
      <c r="K250" s="5" t="inlineStr">
        <is>
          <t>01a1212c-4c04-75ce-bbb2-e3322e18816e</t>
        </is>
      </c>
      <c r="M250" t="inlineStr">
        <is>
          <t>UNKNOWN</t>
        </is>
      </c>
      <c r="N250" t="inlineStr">
        <is>
          <t>DEFAULT</t>
        </is>
      </c>
      <c r="Q250" t="n">
        <v>0</v>
      </c>
      <c r="R250" t="inlineStr">
        <is>
          <t>AUD</t>
        </is>
      </c>
      <c r="S250" t="n">
        <v>0</v>
      </c>
      <c r="T250" t="inlineStr">
        <is>
          <t>AUD</t>
        </is>
      </c>
      <c r="U250" t="n">
        <v>0</v>
      </c>
    </row>
    <row r="251">
      <c r="A251" s="5" t="inlineStr">
        <is>
          <t>01a1212c-50c4-743e-a806-11100a43eb6c</t>
        </is>
      </c>
      <c r="C251" s="5" t="inlineStr">
        <is>
          <t>01a1212c-4b57-70cf-80fd-c2192cb3bf81</t>
        </is>
      </c>
      <c r="D251" s="4" t="n">
        <v>46304.6240141321</v>
      </c>
      <c r="E251" s="4" t="n">
        <v>46304.62401413219</v>
      </c>
      <c r="F251" t="b">
        <v>1</v>
      </c>
      <c r="G251" t="n">
        <v/>
      </c>
      <c r="H251" t="inlineStr">
        <is>
          <t>ARF</t>
        </is>
      </c>
      <c r="I251" t="inlineStr">
        <is>
          <t>Arena REIT</t>
        </is>
      </c>
      <c r="J251" t="inlineStr">
        <is>
          <t>AUD</t>
        </is>
      </c>
      <c r="K251" s="5" t="inlineStr">
        <is>
          <t>01a1212c-4c04-75ce-bbb2-e3322e18816e</t>
        </is>
      </c>
      <c r="M251" t="inlineStr">
        <is>
          <t>UNKNOWN</t>
        </is>
      </c>
      <c r="N251" t="inlineStr">
        <is>
          <t>DEFAULT</t>
        </is>
      </c>
      <c r="Q251" t="n">
        <v>0</v>
      </c>
      <c r="R251" t="inlineStr">
        <is>
          <t>AUD</t>
        </is>
      </c>
      <c r="S251" t="n">
        <v>0</v>
      </c>
      <c r="T251" t="inlineStr">
        <is>
          <t>AUD</t>
        </is>
      </c>
      <c r="U251" t="n">
        <v>0</v>
      </c>
    </row>
    <row r="252">
      <c r="A252" s="5" t="inlineStr">
        <is>
          <t>01a1212c-50c7-7693-8a9c-785072f960d0</t>
        </is>
      </c>
      <c r="C252" s="5" t="inlineStr">
        <is>
          <t>01a1212c-4b57-70cf-80fd-c2192cb3bf81</t>
        </is>
      </c>
      <c r="D252" s="4" t="n">
        <v>46304.62401416259</v>
      </c>
      <c r="E252" s="4" t="n">
        <v>46304.62401416266</v>
      </c>
      <c r="F252" t="b">
        <v>1</v>
      </c>
      <c r="G252" t="n">
        <v/>
      </c>
      <c r="H252" t="inlineStr">
        <is>
          <t>OCL</t>
        </is>
      </c>
      <c r="I252" t="inlineStr">
        <is>
          <t>Objective Corporation Ltd</t>
        </is>
      </c>
      <c r="J252" t="inlineStr">
        <is>
          <t>AUD</t>
        </is>
      </c>
      <c r="K252" s="5" t="inlineStr">
        <is>
          <t>01a1212c-4c04-75ce-bbb2-e3322e18816e</t>
        </is>
      </c>
      <c r="M252" t="inlineStr">
        <is>
          <t>UNKNOWN</t>
        </is>
      </c>
      <c r="N252" t="inlineStr">
        <is>
          <t>DEFAULT</t>
        </is>
      </c>
      <c r="Q252" t="n">
        <v>0</v>
      </c>
      <c r="R252" t="inlineStr">
        <is>
          <t>AUD</t>
        </is>
      </c>
      <c r="S252" t="n">
        <v>0</v>
      </c>
      <c r="T252" t="inlineStr">
        <is>
          <t>AUD</t>
        </is>
      </c>
      <c r="U252" t="n">
        <v>0</v>
      </c>
    </row>
    <row r="253">
      <c r="A253" s="5" t="inlineStr">
        <is>
          <t>01a1212c-50ca-7589-b309-ed4fb82acc66</t>
        </is>
      </c>
      <c r="C253" s="5" t="inlineStr">
        <is>
          <t>01a1212c-4b57-70cf-80fd-c2192cb3bf81</t>
        </is>
      </c>
      <c r="D253" s="4" t="n">
        <v>46304.62401419248</v>
      </c>
      <c r="E253" s="4" t="n">
        <v>46304.62401419254</v>
      </c>
      <c r="F253" t="b">
        <v>1</v>
      </c>
      <c r="G253" t="n">
        <v/>
      </c>
      <c r="H253" t="inlineStr">
        <is>
          <t>NWH</t>
        </is>
      </c>
      <c r="I253" t="inlineStr">
        <is>
          <t>NRW Holdings Ltd</t>
        </is>
      </c>
      <c r="J253" t="inlineStr">
        <is>
          <t>AUD</t>
        </is>
      </c>
      <c r="K253" s="5" t="inlineStr">
        <is>
          <t>01a1212c-4c04-75ce-bbb2-e3322e18816e</t>
        </is>
      </c>
      <c r="M253" t="inlineStr">
        <is>
          <t>UNKNOWN</t>
        </is>
      </c>
      <c r="N253" t="inlineStr">
        <is>
          <t>DEFAULT</t>
        </is>
      </c>
      <c r="Q253" t="n">
        <v>0</v>
      </c>
      <c r="R253" t="inlineStr">
        <is>
          <t>AUD</t>
        </is>
      </c>
      <c r="S253" t="n">
        <v>0</v>
      </c>
      <c r="T253" t="inlineStr">
        <is>
          <t>AUD</t>
        </is>
      </c>
      <c r="U253" t="n">
        <v>0</v>
      </c>
    </row>
    <row r="254">
      <c r="A254" s="5" t="inlineStr">
        <is>
          <t>01a1212c-50cc-72a9-83b0-340fba0d5db9</t>
        </is>
      </c>
      <c r="C254" s="5" t="inlineStr">
        <is>
          <t>01a1212c-4b57-70cf-80fd-c2192cb3bf81</t>
        </is>
      </c>
      <c r="D254" s="4" t="n">
        <v>46304.62401422494</v>
      </c>
      <c r="E254" s="4" t="n">
        <v>46304.62401422502</v>
      </c>
      <c r="F254" t="b">
        <v>1</v>
      </c>
      <c r="G254" t="n">
        <v/>
      </c>
      <c r="H254" t="inlineStr">
        <is>
          <t>AN3PI</t>
        </is>
      </c>
      <c r="I254" t="inlineStr">
        <is>
          <t>Australia and New Zealand Banking Group Ltd</t>
        </is>
      </c>
      <c r="J254" t="inlineStr">
        <is>
          <t>AUD</t>
        </is>
      </c>
      <c r="K254" s="5" t="inlineStr">
        <is>
          <t>01a1212c-4c04-75ce-bbb2-e3322e18816e</t>
        </is>
      </c>
      <c r="M254" t="inlineStr">
        <is>
          <t>UNKNOWN</t>
        </is>
      </c>
      <c r="N254" t="inlineStr">
        <is>
          <t>DEFAULT</t>
        </is>
      </c>
      <c r="Q254" t="n">
        <v>0</v>
      </c>
      <c r="R254" t="inlineStr">
        <is>
          <t>AUD</t>
        </is>
      </c>
      <c r="S254" t="n">
        <v>0</v>
      </c>
      <c r="T254" t="inlineStr">
        <is>
          <t>AUD</t>
        </is>
      </c>
      <c r="U254" t="n">
        <v>0</v>
      </c>
    </row>
    <row r="255">
      <c r="A255" s="5" t="inlineStr">
        <is>
          <t>01a1212c-50cf-76c2-b441-033692043f4e</t>
        </is>
      </c>
      <c r="C255" s="5" t="inlineStr">
        <is>
          <t>01a1212c-4b57-70cf-80fd-c2192cb3bf81</t>
        </is>
      </c>
      <c r="D255" s="4" t="n">
        <v>46304.62401425894</v>
      </c>
      <c r="E255" s="4" t="n">
        <v>46304.62401425902</v>
      </c>
      <c r="F255" t="b">
        <v>1</v>
      </c>
      <c r="G255" t="n">
        <v/>
      </c>
      <c r="H255" t="inlineStr">
        <is>
          <t>MGH</t>
        </is>
      </c>
      <c r="I255" t="inlineStr">
        <is>
          <t>Maas Group Holdings Ltd</t>
        </is>
      </c>
      <c r="J255" t="inlineStr">
        <is>
          <t>AUD</t>
        </is>
      </c>
      <c r="K255" s="5" t="inlineStr">
        <is>
          <t>01a1212c-4c04-75ce-bbb2-e3322e18816e</t>
        </is>
      </c>
      <c r="M255" t="inlineStr">
        <is>
          <t>UNKNOWN</t>
        </is>
      </c>
      <c r="N255" t="inlineStr">
        <is>
          <t>DEFAULT</t>
        </is>
      </c>
      <c r="Q255" t="n">
        <v>0</v>
      </c>
      <c r="R255" t="inlineStr">
        <is>
          <t>AUD</t>
        </is>
      </c>
      <c r="S255" t="n">
        <v>0</v>
      </c>
      <c r="T255" t="inlineStr">
        <is>
          <t>AUD</t>
        </is>
      </c>
      <c r="U255" t="n">
        <v>0</v>
      </c>
    </row>
    <row r="256">
      <c r="A256" s="5" t="inlineStr">
        <is>
          <t>01a1212c-50d2-77f6-b09c-3acfdf256c67</t>
        </is>
      </c>
      <c r="C256" s="5" t="inlineStr">
        <is>
          <t>01a1212c-4b57-70cf-80fd-c2192cb3bf81</t>
        </is>
      </c>
      <c r="D256" s="4" t="n">
        <v>46304.62401428996</v>
      </c>
      <c r="E256" s="4" t="n">
        <v>46304.62401429005</v>
      </c>
      <c r="F256" t="b">
        <v>1</v>
      </c>
      <c r="G256" t="n">
        <v/>
      </c>
      <c r="H256" t="inlineStr">
        <is>
          <t>DDR</t>
        </is>
      </c>
      <c r="I256" t="inlineStr">
        <is>
          <t>Dicker Data Ltd</t>
        </is>
      </c>
      <c r="J256" t="inlineStr">
        <is>
          <t>AUD</t>
        </is>
      </c>
      <c r="K256" s="5" t="inlineStr">
        <is>
          <t>01a1212c-4c04-75ce-bbb2-e3322e18816e</t>
        </is>
      </c>
      <c r="M256" t="inlineStr">
        <is>
          <t>UNKNOWN</t>
        </is>
      </c>
      <c r="N256" t="inlineStr">
        <is>
          <t>DEFAULT</t>
        </is>
      </c>
      <c r="Q256" t="n">
        <v>0</v>
      </c>
      <c r="R256" t="inlineStr">
        <is>
          <t>AUD</t>
        </is>
      </c>
      <c r="S256" t="n">
        <v>0</v>
      </c>
      <c r="T256" t="inlineStr">
        <is>
          <t>AUD</t>
        </is>
      </c>
      <c r="U256" t="n">
        <v>0</v>
      </c>
    </row>
    <row r="257">
      <c r="A257" s="5" t="inlineStr">
        <is>
          <t>01a1212c-50d5-7142-93ba-ffee44ccf6ce</t>
        </is>
      </c>
      <c r="C257" s="5" t="inlineStr">
        <is>
          <t>01a1212c-4b57-70cf-80fd-c2192cb3bf81</t>
        </is>
      </c>
      <c r="D257" s="4" t="n">
        <v>46304.62401432217</v>
      </c>
      <c r="E257" s="4" t="n">
        <v>46304.62401432225</v>
      </c>
      <c r="F257" t="b">
        <v>1</v>
      </c>
      <c r="G257" t="n">
        <v/>
      </c>
      <c r="H257" t="inlineStr">
        <is>
          <t>PNV</t>
        </is>
      </c>
      <c r="I257" t="inlineStr">
        <is>
          <t>Polynovo Ltd</t>
        </is>
      </c>
      <c r="J257" t="inlineStr">
        <is>
          <t>AUD</t>
        </is>
      </c>
      <c r="K257" s="5" t="inlineStr">
        <is>
          <t>01a1212c-4c04-75ce-bbb2-e3322e18816e</t>
        </is>
      </c>
      <c r="M257" t="inlineStr">
        <is>
          <t>UNKNOWN</t>
        </is>
      </c>
      <c r="N257" t="inlineStr">
        <is>
          <t>DEFAULT</t>
        </is>
      </c>
      <c r="Q257" t="n">
        <v>0</v>
      </c>
      <c r="R257" t="inlineStr">
        <is>
          <t>AUD</t>
        </is>
      </c>
      <c r="S257" t="n">
        <v>0</v>
      </c>
      <c r="T257" t="inlineStr">
        <is>
          <t>AUD</t>
        </is>
      </c>
      <c r="U257" t="n">
        <v>0</v>
      </c>
    </row>
    <row r="258">
      <c r="A258" s="5" t="inlineStr">
        <is>
          <t>01a1212c-50d8-7131-b988-144734c06fe5</t>
        </is>
      </c>
      <c r="C258" s="5" t="inlineStr">
        <is>
          <t>01a1212c-4b57-70cf-80fd-c2192cb3bf81</t>
        </is>
      </c>
      <c r="D258" s="4" t="n">
        <v>46304.62401435322</v>
      </c>
      <c r="E258" s="4" t="n">
        <v>46304.6240143533</v>
      </c>
      <c r="F258" t="b">
        <v>1</v>
      </c>
      <c r="G258" t="n">
        <v/>
      </c>
      <c r="H258" t="inlineStr">
        <is>
          <t>SLX</t>
        </is>
      </c>
      <c r="I258" t="inlineStr">
        <is>
          <t>SILEX Systems Ltd</t>
        </is>
      </c>
      <c r="J258" t="inlineStr">
        <is>
          <t>AUD</t>
        </is>
      </c>
      <c r="K258" s="5" t="inlineStr">
        <is>
          <t>01a1212c-4c04-75ce-bbb2-e3322e18816e</t>
        </is>
      </c>
      <c r="M258" t="inlineStr">
        <is>
          <t>UNKNOWN</t>
        </is>
      </c>
      <c r="N258" t="inlineStr">
        <is>
          <t>DEFAULT</t>
        </is>
      </c>
      <c r="Q258" t="n">
        <v>0</v>
      </c>
      <c r="R258" t="inlineStr">
        <is>
          <t>AUD</t>
        </is>
      </c>
      <c r="S258" t="n">
        <v>0</v>
      </c>
      <c r="T258" t="inlineStr">
        <is>
          <t>AUD</t>
        </is>
      </c>
      <c r="U258" t="n">
        <v>0</v>
      </c>
    </row>
    <row r="259">
      <c r="A259" s="5" t="inlineStr">
        <is>
          <t>01a1212c-50da-7185-8c87-120149c1c9ff</t>
        </is>
      </c>
      <c r="C259" s="5" t="inlineStr">
        <is>
          <t>01a1212c-4b57-70cf-80fd-c2192cb3bf81</t>
        </is>
      </c>
      <c r="D259" s="4" t="n">
        <v>46304.62401438442</v>
      </c>
      <c r="E259" s="4" t="n">
        <v>46304.62401438451</v>
      </c>
      <c r="F259" t="b">
        <v>1</v>
      </c>
      <c r="G259" t="n">
        <v/>
      </c>
      <c r="H259" t="inlineStr">
        <is>
          <t>AN3PK</t>
        </is>
      </c>
      <c r="I259" t="inlineStr">
        <is>
          <t>Australia and New Zealand Banking Group Ltd</t>
        </is>
      </c>
      <c r="J259" t="inlineStr">
        <is>
          <t>AUD</t>
        </is>
      </c>
      <c r="K259" s="5" t="inlineStr">
        <is>
          <t>01a1212c-4c04-75ce-bbb2-e3322e18816e</t>
        </is>
      </c>
      <c r="M259" t="inlineStr">
        <is>
          <t>UNKNOWN</t>
        </is>
      </c>
      <c r="N259" t="inlineStr">
        <is>
          <t>DEFAULT</t>
        </is>
      </c>
      <c r="Q259" t="n">
        <v>0</v>
      </c>
      <c r="R259" t="inlineStr">
        <is>
          <t>AUD</t>
        </is>
      </c>
      <c r="S259" t="n">
        <v>0</v>
      </c>
      <c r="T259" t="inlineStr">
        <is>
          <t>AUD</t>
        </is>
      </c>
      <c r="U259" t="n">
        <v>0</v>
      </c>
    </row>
    <row r="260">
      <c r="A260" s="5" t="inlineStr">
        <is>
          <t>01a1212c-50dd-7425-9b34-03a28da83661</t>
        </is>
      </c>
      <c r="C260" s="5" t="inlineStr">
        <is>
          <t>01a1212c-4b57-70cf-80fd-c2192cb3bf81</t>
        </is>
      </c>
      <c r="D260" s="4" t="n">
        <v>46304.62401441966</v>
      </c>
      <c r="E260" s="4" t="n">
        <v>46304.62401441977</v>
      </c>
      <c r="F260" t="b">
        <v>1</v>
      </c>
      <c r="G260" t="n">
        <v/>
      </c>
      <c r="H260" t="inlineStr">
        <is>
          <t>MQGPG</t>
        </is>
      </c>
      <c r="I260" t="inlineStr">
        <is>
          <t>Macquarie Group Ltd</t>
        </is>
      </c>
      <c r="J260" t="inlineStr">
        <is>
          <t>AUD</t>
        </is>
      </c>
      <c r="K260" s="5" t="inlineStr">
        <is>
          <t>01a1212c-4c04-75ce-bbb2-e3322e18816e</t>
        </is>
      </c>
      <c r="M260" t="inlineStr">
        <is>
          <t>UNKNOWN</t>
        </is>
      </c>
      <c r="N260" t="inlineStr">
        <is>
          <t>DEFAULT</t>
        </is>
      </c>
      <c r="Q260" t="n">
        <v>0</v>
      </c>
      <c r="R260" t="inlineStr">
        <is>
          <t>AUD</t>
        </is>
      </c>
      <c r="S260" t="n">
        <v>0</v>
      </c>
      <c r="T260" t="inlineStr">
        <is>
          <t>AUD</t>
        </is>
      </c>
      <c r="U260" t="n">
        <v>0</v>
      </c>
    </row>
    <row r="261">
      <c r="A261" s="5" t="inlineStr">
        <is>
          <t>01a1212c-50e0-779e-bb6b-dbfcc11800d4</t>
        </is>
      </c>
      <c r="C261" s="5" t="inlineStr">
        <is>
          <t>01a1212c-4b57-70cf-80fd-c2192cb3bf81</t>
        </is>
      </c>
      <c r="D261" s="4" t="n">
        <v>46304.62401445136</v>
      </c>
      <c r="E261" s="4" t="n">
        <v>46304.62401445144</v>
      </c>
      <c r="F261" t="b">
        <v>1</v>
      </c>
      <c r="G261" t="n">
        <v/>
      </c>
      <c r="H261" t="inlineStr">
        <is>
          <t>SNL</t>
        </is>
      </c>
      <c r="I261" t="inlineStr">
        <is>
          <t>Supply Network Ltd</t>
        </is>
      </c>
      <c r="J261" t="inlineStr">
        <is>
          <t>AUD</t>
        </is>
      </c>
      <c r="K261" s="5" t="inlineStr">
        <is>
          <t>01a1212c-4c04-75ce-bbb2-e3322e18816e</t>
        </is>
      </c>
      <c r="M261" t="inlineStr">
        <is>
          <t>UNKNOWN</t>
        </is>
      </c>
      <c r="N261" t="inlineStr">
        <is>
          <t>DEFAULT</t>
        </is>
      </c>
      <c r="Q261" t="n">
        <v>0</v>
      </c>
      <c r="R261" t="inlineStr">
        <is>
          <t>AUD</t>
        </is>
      </c>
      <c r="S261" t="n">
        <v>0</v>
      </c>
      <c r="T261" t="inlineStr">
        <is>
          <t>AUD</t>
        </is>
      </c>
      <c r="U261" t="n">
        <v>0</v>
      </c>
    </row>
    <row r="262">
      <c r="A262" s="5" t="inlineStr">
        <is>
          <t>01a1212c-50e3-7249-8c5b-ae394a950957</t>
        </is>
      </c>
      <c r="C262" s="5" t="inlineStr">
        <is>
          <t>01a1212c-4b57-70cf-80fd-c2192cb3bf81</t>
        </is>
      </c>
      <c r="D262" s="4" t="n">
        <v>46304.62401448287</v>
      </c>
      <c r="E262" s="4" t="n">
        <v>46304.62401448296</v>
      </c>
      <c r="F262" t="b">
        <v>1</v>
      </c>
      <c r="G262" t="n">
        <v/>
      </c>
      <c r="H262" t="inlineStr">
        <is>
          <t>FRW</t>
        </is>
      </c>
      <c r="I262" t="inlineStr">
        <is>
          <t>Freightways Group Ltd</t>
        </is>
      </c>
      <c r="J262" t="inlineStr">
        <is>
          <t>AUD</t>
        </is>
      </c>
      <c r="K262" s="5" t="inlineStr">
        <is>
          <t>01a1212c-4c04-75ce-bbb2-e3322e18816e</t>
        </is>
      </c>
      <c r="M262" t="inlineStr">
        <is>
          <t>UNKNOWN</t>
        </is>
      </c>
      <c r="N262" t="inlineStr">
        <is>
          <t>DEFAULT</t>
        </is>
      </c>
      <c r="Q262" t="n">
        <v>0</v>
      </c>
      <c r="R262" t="inlineStr">
        <is>
          <t>AUD</t>
        </is>
      </c>
      <c r="S262" t="n">
        <v>0</v>
      </c>
      <c r="T262" t="inlineStr">
        <is>
          <t>AUD</t>
        </is>
      </c>
      <c r="U262" t="n">
        <v>0</v>
      </c>
    </row>
    <row r="263">
      <c r="A263" s="5" t="inlineStr">
        <is>
          <t>01a1212c-50e5-7614-b9c2-d835082bcd79</t>
        </is>
      </c>
      <c r="C263" s="5" t="inlineStr">
        <is>
          <t>01a1212c-4b57-70cf-80fd-c2192cb3bf81</t>
        </is>
      </c>
      <c r="D263" s="4" t="n">
        <v>46304.62401451436</v>
      </c>
      <c r="E263" s="4" t="n">
        <v>46304.62401451445</v>
      </c>
      <c r="F263" t="b">
        <v>1</v>
      </c>
      <c r="G263" t="n">
        <v/>
      </c>
      <c r="H263" t="inlineStr">
        <is>
          <t>TAH</t>
        </is>
      </c>
      <c r="I263" t="inlineStr">
        <is>
          <t>Tabcorp Holdings Ltd</t>
        </is>
      </c>
      <c r="J263" t="inlineStr">
        <is>
          <t>AUD</t>
        </is>
      </c>
      <c r="K263" s="5" t="inlineStr">
        <is>
          <t>01a1212c-4c04-75ce-bbb2-e3322e18816e</t>
        </is>
      </c>
      <c r="M263" t="inlineStr">
        <is>
          <t>UNKNOWN</t>
        </is>
      </c>
      <c r="N263" t="inlineStr">
        <is>
          <t>DEFAULT</t>
        </is>
      </c>
      <c r="Q263" t="n">
        <v>0</v>
      </c>
      <c r="R263" t="inlineStr">
        <is>
          <t>AUD</t>
        </is>
      </c>
      <c r="S263" t="n">
        <v>0</v>
      </c>
      <c r="T263" t="inlineStr">
        <is>
          <t>AUD</t>
        </is>
      </c>
      <c r="U263" t="n">
        <v>0</v>
      </c>
    </row>
    <row r="264">
      <c r="A264" s="5" t="inlineStr">
        <is>
          <t>01a1212c-50e8-722b-901c-677cd9801dd9</t>
        </is>
      </c>
      <c r="C264" s="5" t="inlineStr">
        <is>
          <t>01a1212c-4b57-70cf-80fd-c2192cb3bf81</t>
        </is>
      </c>
      <c r="D264" s="4" t="n">
        <v>46304.62401454669</v>
      </c>
      <c r="E264" s="4" t="n">
        <v>46304.62401454677</v>
      </c>
      <c r="F264" t="b">
        <v>1</v>
      </c>
      <c r="G264" t="n">
        <v/>
      </c>
      <c r="H264" t="inlineStr">
        <is>
          <t>CNI</t>
        </is>
      </c>
      <c r="I264" t="inlineStr">
        <is>
          <t>Centuria Capital Group</t>
        </is>
      </c>
      <c r="J264" t="inlineStr">
        <is>
          <t>AUD</t>
        </is>
      </c>
      <c r="K264" s="5" t="inlineStr">
        <is>
          <t>01a1212c-4c04-75ce-bbb2-e3322e18816e</t>
        </is>
      </c>
      <c r="M264" t="inlineStr">
        <is>
          <t>UNKNOWN</t>
        </is>
      </c>
      <c r="N264" t="inlineStr">
        <is>
          <t>DEFAULT</t>
        </is>
      </c>
      <c r="Q264" t="n">
        <v>0</v>
      </c>
      <c r="R264" t="inlineStr">
        <is>
          <t>AUD</t>
        </is>
      </c>
      <c r="S264" t="n">
        <v>0</v>
      </c>
      <c r="T264" t="inlineStr">
        <is>
          <t>AUD</t>
        </is>
      </c>
      <c r="U264" t="n">
        <v>0</v>
      </c>
    </row>
    <row r="265">
      <c r="A265" s="5" t="inlineStr">
        <is>
          <t>01a1212c-50eb-72ca-9314-84a5bab7494d</t>
        </is>
      </c>
      <c r="C265" s="5" t="inlineStr">
        <is>
          <t>01a1212c-4b57-70cf-80fd-c2192cb3bf81</t>
        </is>
      </c>
      <c r="D265" s="4" t="n">
        <v>46304.62401457746</v>
      </c>
      <c r="E265" s="4" t="n">
        <v>46304.62401457754</v>
      </c>
      <c r="F265" t="b">
        <v>1</v>
      </c>
      <c r="G265" t="n">
        <v/>
      </c>
      <c r="H265" t="inlineStr">
        <is>
          <t>ASK</t>
        </is>
      </c>
      <c r="I265" t="inlineStr">
        <is>
          <t>Abacus Storage King</t>
        </is>
      </c>
      <c r="J265" t="inlineStr">
        <is>
          <t>AUD</t>
        </is>
      </c>
      <c r="K265" s="5" t="inlineStr">
        <is>
          <t>01a1212c-4c04-75ce-bbb2-e3322e18816e</t>
        </is>
      </c>
      <c r="M265" t="inlineStr">
        <is>
          <t>UNKNOWN</t>
        </is>
      </c>
      <c r="N265" t="inlineStr">
        <is>
          <t>DEFAULT</t>
        </is>
      </c>
      <c r="Q265" t="n">
        <v>0</v>
      </c>
      <c r="R265" t="inlineStr">
        <is>
          <t>AUD</t>
        </is>
      </c>
      <c r="S265" t="n">
        <v>0</v>
      </c>
      <c r="T265" t="inlineStr">
        <is>
          <t>AUD</t>
        </is>
      </c>
      <c r="U265" t="n">
        <v>0</v>
      </c>
    </row>
    <row r="266">
      <c r="A266" s="5" t="inlineStr">
        <is>
          <t>01a1212c-50ee-748b-97ae-2b0a185892e9</t>
        </is>
      </c>
      <c r="C266" s="5" t="inlineStr">
        <is>
          <t>01a1212c-4b57-70cf-80fd-c2192cb3bf81</t>
        </is>
      </c>
      <c r="D266" s="4" t="n">
        <v>46304.62401460818</v>
      </c>
      <c r="E266" s="4" t="n">
        <v>46304.62401460825</v>
      </c>
      <c r="F266" t="b">
        <v>1</v>
      </c>
      <c r="G266" t="n">
        <v/>
      </c>
      <c r="H266" t="inlineStr">
        <is>
          <t>AOV</t>
        </is>
      </c>
      <c r="I266" t="inlineStr">
        <is>
          <t>Amotiv Ltd</t>
        </is>
      </c>
      <c r="J266" t="inlineStr">
        <is>
          <t>AUD</t>
        </is>
      </c>
      <c r="K266" s="5" t="inlineStr">
        <is>
          <t>01a1212c-4c04-75ce-bbb2-e3322e18816e</t>
        </is>
      </c>
      <c r="M266" t="inlineStr">
        <is>
          <t>UNKNOWN</t>
        </is>
      </c>
      <c r="N266" t="inlineStr">
        <is>
          <t>DEFAULT</t>
        </is>
      </c>
      <c r="Q266" t="n">
        <v>0</v>
      </c>
      <c r="R266" t="inlineStr">
        <is>
          <t>AUD</t>
        </is>
      </c>
      <c r="S266" t="n">
        <v>0</v>
      </c>
      <c r="T266" t="inlineStr">
        <is>
          <t>AUD</t>
        </is>
      </c>
      <c r="U266" t="n">
        <v>0</v>
      </c>
    </row>
    <row r="267">
      <c r="A267" s="5" t="inlineStr">
        <is>
          <t>01a1212c-50f0-7186-ac43-65b2a85051e1</t>
        </is>
      </c>
      <c r="C267" s="5" t="inlineStr">
        <is>
          <t>01a1212c-4b57-70cf-80fd-c2192cb3bf81</t>
        </is>
      </c>
      <c r="D267" s="4" t="n">
        <v>46304.62401463869</v>
      </c>
      <c r="E267" s="4" t="n">
        <v>46304.62401463877</v>
      </c>
      <c r="F267" t="b">
        <v>1</v>
      </c>
      <c r="G267" t="n">
        <v/>
      </c>
      <c r="H267" t="inlineStr">
        <is>
          <t>QSML</t>
        </is>
      </c>
      <c r="I267" t="inlineStr">
        <is>
          <t>Vaneck MSCI Intl Small Companies Quality ETF</t>
        </is>
      </c>
      <c r="J267" t="inlineStr">
        <is>
          <t>AUD</t>
        </is>
      </c>
      <c r="K267" s="5" t="inlineStr">
        <is>
          <t>01a1212c-4c04-75ce-bbb2-e3322e18816e</t>
        </is>
      </c>
      <c r="M267" t="inlineStr">
        <is>
          <t>UNKNOWN</t>
        </is>
      </c>
      <c r="N267" t="inlineStr">
        <is>
          <t>DEFAULT</t>
        </is>
      </c>
      <c r="Q267" t="n">
        <v>0</v>
      </c>
      <c r="R267" t="inlineStr">
        <is>
          <t>AUD</t>
        </is>
      </c>
      <c r="S267" t="n">
        <v>0</v>
      </c>
      <c r="T267" t="inlineStr">
        <is>
          <t>AUD</t>
        </is>
      </c>
      <c r="U267" t="n">
        <v>0</v>
      </c>
    </row>
    <row r="268">
      <c r="A268" s="5" t="inlineStr">
        <is>
          <t>01a1212c-50f3-74f9-8ee2-07d00550e948</t>
        </is>
      </c>
      <c r="C268" s="5" t="inlineStr">
        <is>
          <t>01a1212c-4b57-70cf-80fd-c2192cb3bf81</t>
        </is>
      </c>
      <c r="D268" s="4" t="n">
        <v>46304.62401466933</v>
      </c>
      <c r="E268" s="4" t="n">
        <v>46304.62401466941</v>
      </c>
      <c r="F268" t="b">
        <v>1</v>
      </c>
      <c r="G268" t="n">
        <v/>
      </c>
      <c r="H268" t="inlineStr">
        <is>
          <t>MND</t>
        </is>
      </c>
      <c r="I268" t="inlineStr">
        <is>
          <t>Monadelphous Group Ltd</t>
        </is>
      </c>
      <c r="J268" t="inlineStr">
        <is>
          <t>AUD</t>
        </is>
      </c>
      <c r="K268" s="5" t="inlineStr">
        <is>
          <t>01a1212c-4c04-75ce-bbb2-e3322e18816e</t>
        </is>
      </c>
      <c r="M268" t="inlineStr">
        <is>
          <t>UNKNOWN</t>
        </is>
      </c>
      <c r="N268" t="inlineStr">
        <is>
          <t>DEFAULT</t>
        </is>
      </c>
      <c r="Q268" t="n">
        <v>0</v>
      </c>
      <c r="R268" t="inlineStr">
        <is>
          <t>AUD</t>
        </is>
      </c>
      <c r="S268" t="n">
        <v>0</v>
      </c>
      <c r="T268" t="inlineStr">
        <is>
          <t>AUD</t>
        </is>
      </c>
      <c r="U268" t="n">
        <v>0</v>
      </c>
    </row>
    <row r="269">
      <c r="A269" s="5" t="inlineStr">
        <is>
          <t>01a1212c-50f6-71b5-a592-7f98a3d3f4b2</t>
        </is>
      </c>
      <c r="C269" s="5" t="inlineStr">
        <is>
          <t>01a1212c-4b57-70cf-80fd-c2192cb3bf81</t>
        </is>
      </c>
      <c r="D269" s="4" t="n">
        <v>46304.62401470176</v>
      </c>
      <c r="E269" s="4" t="n">
        <v>46304.62401470184</v>
      </c>
      <c r="F269" t="b">
        <v>1</v>
      </c>
      <c r="G269" t="n">
        <v/>
      </c>
      <c r="H269" t="inlineStr">
        <is>
          <t>BGL</t>
        </is>
      </c>
      <c r="I269" t="inlineStr">
        <is>
          <t>Bellevue Gold Ltd</t>
        </is>
      </c>
      <c r="J269" t="inlineStr">
        <is>
          <t>AUD</t>
        </is>
      </c>
      <c r="K269" s="5" t="inlineStr">
        <is>
          <t>01a1212c-4c04-75ce-bbb2-e3322e18816e</t>
        </is>
      </c>
      <c r="M269" t="inlineStr">
        <is>
          <t>UNKNOWN</t>
        </is>
      </c>
      <c r="N269" t="inlineStr">
        <is>
          <t>DEFAULT</t>
        </is>
      </c>
      <c r="Q269" t="n">
        <v>0</v>
      </c>
      <c r="R269" t="inlineStr">
        <is>
          <t>AUD</t>
        </is>
      </c>
      <c r="S269" t="n">
        <v>0</v>
      </c>
      <c r="T269" t="inlineStr">
        <is>
          <t>AUD</t>
        </is>
      </c>
      <c r="U269" t="n">
        <v>0</v>
      </c>
    </row>
    <row r="270">
      <c r="A270" s="5" t="inlineStr">
        <is>
          <t>01a1212c-50f8-7238-854d-931095a6be36</t>
        </is>
      </c>
      <c r="C270" s="5" t="inlineStr">
        <is>
          <t>01a1212c-4b57-70cf-80fd-c2192cb3bf81</t>
        </is>
      </c>
      <c r="D270" s="4" t="n">
        <v>46304.6240147319</v>
      </c>
      <c r="E270" s="4" t="n">
        <v>46304.62401473197</v>
      </c>
      <c r="F270" t="b">
        <v>1</v>
      </c>
      <c r="G270" t="n">
        <v/>
      </c>
      <c r="H270" t="inlineStr">
        <is>
          <t>OBM</t>
        </is>
      </c>
      <c r="I270" t="inlineStr">
        <is>
          <t>Ora Banda Mining Ltd</t>
        </is>
      </c>
      <c r="J270" t="inlineStr">
        <is>
          <t>AUD</t>
        </is>
      </c>
      <c r="K270" s="5" t="inlineStr">
        <is>
          <t>01a1212c-4c04-75ce-bbb2-e3322e18816e</t>
        </is>
      </c>
      <c r="M270" t="inlineStr">
        <is>
          <t>UNKNOWN</t>
        </is>
      </c>
      <c r="N270" t="inlineStr">
        <is>
          <t>DEFAULT</t>
        </is>
      </c>
      <c r="Q270" t="n">
        <v>0</v>
      </c>
      <c r="R270" t="inlineStr">
        <is>
          <t>AUD</t>
        </is>
      </c>
      <c r="S270" t="n">
        <v>0</v>
      </c>
      <c r="T270" t="inlineStr">
        <is>
          <t>AUD</t>
        </is>
      </c>
      <c r="U270" t="n">
        <v>0</v>
      </c>
    </row>
    <row r="271">
      <c r="A271" s="5" t="inlineStr">
        <is>
          <t>01a1212c-50fb-701a-b47b-203cecd39509</t>
        </is>
      </c>
      <c r="C271" s="5" t="inlineStr">
        <is>
          <t>01a1212c-4b57-70cf-80fd-c2192cb3bf81</t>
        </is>
      </c>
      <c r="D271" s="4" t="n">
        <v>46304.62401476301</v>
      </c>
      <c r="E271" s="4" t="n">
        <v>46304.62401476309</v>
      </c>
      <c r="F271" t="b">
        <v>1</v>
      </c>
      <c r="G271" t="n">
        <v/>
      </c>
      <c r="H271" t="inlineStr">
        <is>
          <t>IXJ</t>
        </is>
      </c>
      <c r="I271" t="inlineStr">
        <is>
          <t>Ishares Global Healthcare ETF</t>
        </is>
      </c>
      <c r="J271" t="inlineStr">
        <is>
          <t>AUD</t>
        </is>
      </c>
      <c r="K271" s="5" t="inlineStr">
        <is>
          <t>01a1212c-4c04-75ce-bbb2-e3322e18816e</t>
        </is>
      </c>
      <c r="M271" t="inlineStr">
        <is>
          <t>UNKNOWN</t>
        </is>
      </c>
      <c r="N271" t="inlineStr">
        <is>
          <t>DEFAULT</t>
        </is>
      </c>
      <c r="Q271" t="n">
        <v>0</v>
      </c>
      <c r="R271" t="inlineStr">
        <is>
          <t>AUD</t>
        </is>
      </c>
      <c r="S271" t="n">
        <v>0</v>
      </c>
      <c r="T271" t="inlineStr">
        <is>
          <t>AUD</t>
        </is>
      </c>
      <c r="U271" t="n">
        <v>0</v>
      </c>
    </row>
    <row r="272">
      <c r="A272" s="5" t="inlineStr">
        <is>
          <t>01a1212c-50fe-7464-881c-2a3286fb6735</t>
        </is>
      </c>
      <c r="C272" s="5" t="inlineStr">
        <is>
          <t>01a1212c-4b57-70cf-80fd-c2192cb3bf81</t>
        </is>
      </c>
      <c r="D272" s="4" t="n">
        <v>46304.62401479363</v>
      </c>
      <c r="E272" s="4" t="n">
        <v>46304.62401479371</v>
      </c>
      <c r="F272" t="b">
        <v>1</v>
      </c>
      <c r="G272" t="n">
        <v/>
      </c>
      <c r="H272" t="inlineStr">
        <is>
          <t>DYL</t>
        </is>
      </c>
      <c r="I272" t="inlineStr">
        <is>
          <t>Deep Yellow Ltd</t>
        </is>
      </c>
      <c r="J272" t="inlineStr">
        <is>
          <t>AUD</t>
        </is>
      </c>
      <c r="K272" s="5" t="inlineStr">
        <is>
          <t>01a1212c-4c04-75ce-bbb2-e3322e18816e</t>
        </is>
      </c>
      <c r="M272" t="inlineStr">
        <is>
          <t>UNKNOWN</t>
        </is>
      </c>
      <c r="N272" t="inlineStr">
        <is>
          <t>DEFAULT</t>
        </is>
      </c>
      <c r="Q272" t="n">
        <v>0</v>
      </c>
      <c r="R272" t="inlineStr">
        <is>
          <t>AUD</t>
        </is>
      </c>
      <c r="S272" t="n">
        <v>0</v>
      </c>
      <c r="T272" t="inlineStr">
        <is>
          <t>AUD</t>
        </is>
      </c>
      <c r="U272" t="n">
        <v>0</v>
      </c>
    </row>
    <row r="273">
      <c r="A273" s="5" t="inlineStr">
        <is>
          <t>01a1212c-5100-7680-a3bf-dc634029b9fc</t>
        </is>
      </c>
      <c r="C273" s="5" t="inlineStr">
        <is>
          <t>01a1212c-4b57-70cf-80fd-c2192cb3bf81</t>
        </is>
      </c>
      <c r="D273" s="4" t="n">
        <v>46304.62401482569</v>
      </c>
      <c r="E273" s="4" t="n">
        <v>46304.62401482578</v>
      </c>
      <c r="F273" t="b">
        <v>1</v>
      </c>
      <c r="G273" t="n">
        <v/>
      </c>
      <c r="H273" t="inlineStr">
        <is>
          <t>BKI</t>
        </is>
      </c>
      <c r="I273" t="inlineStr">
        <is>
          <t>BKI Investment Company Ltd</t>
        </is>
      </c>
      <c r="J273" t="inlineStr">
        <is>
          <t>AUD</t>
        </is>
      </c>
      <c r="K273" s="5" t="inlineStr">
        <is>
          <t>01a1212c-4c04-75ce-bbb2-e3322e18816e</t>
        </is>
      </c>
      <c r="M273" t="inlineStr">
        <is>
          <t>COMPANY</t>
        </is>
      </c>
      <c r="N273" t="inlineStr">
        <is>
          <t>SUGGESTED</t>
        </is>
      </c>
      <c r="Q273" t="n">
        <v>0</v>
      </c>
      <c r="R273" t="inlineStr">
        <is>
          <t>AUD</t>
        </is>
      </c>
      <c r="S273" t="n">
        <v>0</v>
      </c>
      <c r="T273" t="inlineStr">
        <is>
          <t>AUD</t>
        </is>
      </c>
      <c r="U273" t="n">
        <v>0</v>
      </c>
    </row>
    <row r="274">
      <c r="A274" s="5" t="inlineStr">
        <is>
          <t>01a1212c-5103-7113-9e9f-922da6bdaa63</t>
        </is>
      </c>
      <c r="C274" s="5" t="inlineStr">
        <is>
          <t>01a1212c-4b57-70cf-80fd-c2192cb3bf81</t>
        </is>
      </c>
      <c r="D274" s="4" t="n">
        <v>46304.62401485972</v>
      </c>
      <c r="E274" s="4" t="n">
        <v>46304.6240148598</v>
      </c>
      <c r="F274" t="b">
        <v>1</v>
      </c>
      <c r="G274" t="n">
        <v/>
      </c>
      <c r="H274" t="inlineStr">
        <is>
          <t>NUF</t>
        </is>
      </c>
      <c r="I274" t="inlineStr">
        <is>
          <t>Nufarm Ltd</t>
        </is>
      </c>
      <c r="J274" t="inlineStr">
        <is>
          <t>AUD</t>
        </is>
      </c>
      <c r="K274" s="5" t="inlineStr">
        <is>
          <t>01a1212c-4c04-75ce-bbb2-e3322e18816e</t>
        </is>
      </c>
      <c r="M274" t="inlineStr">
        <is>
          <t>UNKNOWN</t>
        </is>
      </c>
      <c r="N274" t="inlineStr">
        <is>
          <t>DEFAULT</t>
        </is>
      </c>
      <c r="Q274" t="n">
        <v>0</v>
      </c>
      <c r="R274" t="inlineStr">
        <is>
          <t>AUD</t>
        </is>
      </c>
      <c r="S274" t="n">
        <v>0</v>
      </c>
      <c r="T274" t="inlineStr">
        <is>
          <t>AUD</t>
        </is>
      </c>
      <c r="U274" t="n">
        <v>0</v>
      </c>
    </row>
    <row r="275">
      <c r="A275" s="5" t="inlineStr">
        <is>
          <t>01a1212c-5106-769d-9696-54e77659c0d3</t>
        </is>
      </c>
      <c r="C275" s="5" t="inlineStr">
        <is>
          <t>01a1212c-4b57-70cf-80fd-c2192cb3bf81</t>
        </is>
      </c>
      <c r="D275" s="4" t="n">
        <v>46304.62401489264</v>
      </c>
      <c r="E275" s="4" t="n">
        <v>46304.62401489272</v>
      </c>
      <c r="F275" t="b">
        <v>1</v>
      </c>
      <c r="G275" t="n">
        <v/>
      </c>
      <c r="H275" t="inlineStr">
        <is>
          <t>CBAPG</t>
        </is>
      </c>
      <c r="I275" t="inlineStr">
        <is>
          <t>Commonwealth Bank of Australia</t>
        </is>
      </c>
      <c r="J275" t="inlineStr">
        <is>
          <t>AUD</t>
        </is>
      </c>
      <c r="K275" s="5" t="inlineStr">
        <is>
          <t>01a1212c-4c04-75ce-bbb2-e3322e18816e</t>
        </is>
      </c>
      <c r="M275" t="inlineStr">
        <is>
          <t>UNKNOWN</t>
        </is>
      </c>
      <c r="N275" t="inlineStr">
        <is>
          <t>DEFAULT</t>
        </is>
      </c>
      <c r="Q275" t="n">
        <v>0</v>
      </c>
      <c r="R275" t="inlineStr">
        <is>
          <t>AUD</t>
        </is>
      </c>
      <c r="S275" t="n">
        <v>0</v>
      </c>
      <c r="T275" t="inlineStr">
        <is>
          <t>AUD</t>
        </is>
      </c>
      <c r="U275" t="n">
        <v>0</v>
      </c>
    </row>
    <row r="276">
      <c r="A276" s="5" t="inlineStr">
        <is>
          <t>01a1212c-5109-7546-ab33-f4f8f39777e5</t>
        </is>
      </c>
      <c r="C276" s="5" t="inlineStr">
        <is>
          <t>01a1212c-4b57-70cf-80fd-c2192cb3bf81</t>
        </is>
      </c>
      <c r="D276" s="4" t="n">
        <v>46304.62401492532</v>
      </c>
      <c r="E276" s="4" t="n">
        <v>46304.62401492541</v>
      </c>
      <c r="F276" t="b">
        <v>1</v>
      </c>
      <c r="G276" t="n">
        <v/>
      </c>
      <c r="H276" t="inlineStr">
        <is>
          <t>MP1</t>
        </is>
      </c>
      <c r="I276" t="inlineStr">
        <is>
          <t>Megaport Ltd</t>
        </is>
      </c>
      <c r="J276" t="inlineStr">
        <is>
          <t>AUD</t>
        </is>
      </c>
      <c r="K276" s="5" t="inlineStr">
        <is>
          <t>01a1212c-4c04-75ce-bbb2-e3322e18816e</t>
        </is>
      </c>
      <c r="M276" t="inlineStr">
        <is>
          <t>UNKNOWN</t>
        </is>
      </c>
      <c r="N276" t="inlineStr">
        <is>
          <t>DEFAULT</t>
        </is>
      </c>
      <c r="Q276" t="n">
        <v>0</v>
      </c>
      <c r="R276" t="inlineStr">
        <is>
          <t>AUD</t>
        </is>
      </c>
      <c r="S276" t="n">
        <v>0</v>
      </c>
      <c r="T276" t="inlineStr">
        <is>
          <t>AUD</t>
        </is>
      </c>
      <c r="U276" t="n">
        <v>0</v>
      </c>
    </row>
    <row r="277">
      <c r="A277" s="5" t="inlineStr">
        <is>
          <t>01a1212c-510c-77d8-853e-15513518cf4b</t>
        </is>
      </c>
      <c r="C277" s="5" t="inlineStr">
        <is>
          <t>01a1212c-4b57-70cf-80fd-c2192cb3bf81</t>
        </is>
      </c>
      <c r="D277" s="4" t="n">
        <v>46304.62401495807</v>
      </c>
      <c r="E277" s="4" t="n">
        <v>46304.62401495815</v>
      </c>
      <c r="F277" t="b">
        <v>1</v>
      </c>
      <c r="G277" t="n">
        <v/>
      </c>
      <c r="H277" t="inlineStr">
        <is>
          <t>IPH</t>
        </is>
      </c>
      <c r="I277" t="inlineStr">
        <is>
          <t>IPH Ltd</t>
        </is>
      </c>
      <c r="J277" t="inlineStr">
        <is>
          <t>AUD</t>
        </is>
      </c>
      <c r="K277" s="5" t="inlineStr">
        <is>
          <t>01a1212c-4c04-75ce-bbb2-e3322e18816e</t>
        </is>
      </c>
      <c r="M277" t="inlineStr">
        <is>
          <t>UNKNOWN</t>
        </is>
      </c>
      <c r="N277" t="inlineStr">
        <is>
          <t>DEFAULT</t>
        </is>
      </c>
      <c r="Q277" t="n">
        <v>0</v>
      </c>
      <c r="R277" t="inlineStr">
        <is>
          <t>AUD</t>
        </is>
      </c>
      <c r="S277" t="n">
        <v>0</v>
      </c>
      <c r="T277" t="inlineStr">
        <is>
          <t>AUD</t>
        </is>
      </c>
      <c r="U277" t="n">
        <v>0</v>
      </c>
    </row>
    <row r="278">
      <c r="A278" s="5" t="inlineStr">
        <is>
          <t>01a1212c-510e-766f-9caa-39afbc853712</t>
        </is>
      </c>
      <c r="C278" s="5" t="inlineStr">
        <is>
          <t>01a1212c-4b57-70cf-80fd-c2192cb3bf81</t>
        </is>
      </c>
      <c r="D278" s="4" t="n">
        <v>46304.62401498872</v>
      </c>
      <c r="E278" s="4" t="n">
        <v>46304.62401498878</v>
      </c>
      <c r="F278" t="b">
        <v>1</v>
      </c>
      <c r="G278" t="n">
        <v/>
      </c>
      <c r="H278" t="inlineStr">
        <is>
          <t>AN3PJ</t>
        </is>
      </c>
      <c r="I278" t="inlineStr">
        <is>
          <t>Australia and New Zealand Banking Group Ltd</t>
        </is>
      </c>
      <c r="J278" t="inlineStr">
        <is>
          <t>AUD</t>
        </is>
      </c>
      <c r="K278" s="5" t="inlineStr">
        <is>
          <t>01a1212c-4c04-75ce-bbb2-e3322e18816e</t>
        </is>
      </c>
      <c r="M278" t="inlineStr">
        <is>
          <t>UNKNOWN</t>
        </is>
      </c>
      <c r="N278" t="inlineStr">
        <is>
          <t>DEFAULT</t>
        </is>
      </c>
      <c r="Q278" t="n">
        <v>0</v>
      </c>
      <c r="R278" t="inlineStr">
        <is>
          <t>AUD</t>
        </is>
      </c>
      <c r="S278" t="n">
        <v>0</v>
      </c>
      <c r="T278" t="inlineStr">
        <is>
          <t>AUD</t>
        </is>
      </c>
      <c r="U278" t="n">
        <v>0</v>
      </c>
    </row>
    <row r="279">
      <c r="A279" s="5" t="inlineStr">
        <is>
          <t>01a1212c-5111-7338-b55f-4022d68832e0</t>
        </is>
      </c>
      <c r="C279" s="5" t="inlineStr">
        <is>
          <t>01a1212c-4b57-70cf-80fd-c2192cb3bf81</t>
        </is>
      </c>
      <c r="D279" s="4" t="n">
        <v>46304.62401502288</v>
      </c>
      <c r="E279" s="4" t="n">
        <v>46304.62401502296</v>
      </c>
      <c r="F279" t="b">
        <v>1</v>
      </c>
      <c r="G279" t="n">
        <v/>
      </c>
      <c r="H279" t="inlineStr">
        <is>
          <t>NCK</t>
        </is>
      </c>
      <c r="I279" t="inlineStr">
        <is>
          <t>Nick Scali Ltd</t>
        </is>
      </c>
      <c r="J279" t="inlineStr">
        <is>
          <t>AUD</t>
        </is>
      </c>
      <c r="K279" s="5" t="inlineStr">
        <is>
          <t>01a1212c-4c04-75ce-bbb2-e3322e18816e</t>
        </is>
      </c>
      <c r="M279" t="inlineStr">
        <is>
          <t>UNKNOWN</t>
        </is>
      </c>
      <c r="N279" t="inlineStr">
        <is>
          <t>DEFAULT</t>
        </is>
      </c>
      <c r="Q279" t="n">
        <v>0</v>
      </c>
      <c r="R279" t="inlineStr">
        <is>
          <t>AUD</t>
        </is>
      </c>
      <c r="S279" t="n">
        <v>0</v>
      </c>
      <c r="T279" t="inlineStr">
        <is>
          <t>AUD</t>
        </is>
      </c>
      <c r="U279" t="n">
        <v>0</v>
      </c>
    </row>
    <row r="280">
      <c r="A280" s="5" t="inlineStr">
        <is>
          <t>01a1212c-5114-72c0-9011-e0568bf6a305</t>
        </is>
      </c>
      <c r="C280" s="5" t="inlineStr">
        <is>
          <t>01a1212c-4b57-70cf-80fd-c2192cb3bf81</t>
        </is>
      </c>
      <c r="D280" s="4" t="n">
        <v>46304.62401505347</v>
      </c>
      <c r="E280" s="4" t="n">
        <v>46304.62401505355</v>
      </c>
      <c r="F280" t="b">
        <v>1</v>
      </c>
      <c r="G280" t="n">
        <v/>
      </c>
      <c r="H280" t="inlineStr">
        <is>
          <t>ELD</t>
        </is>
      </c>
      <c r="I280" t="inlineStr">
        <is>
          <t>Elders Ltd</t>
        </is>
      </c>
      <c r="J280" t="inlineStr">
        <is>
          <t>AUD</t>
        </is>
      </c>
      <c r="K280" s="5" t="inlineStr">
        <is>
          <t>01a1212c-4c04-75ce-bbb2-e3322e18816e</t>
        </is>
      </c>
      <c r="M280" t="inlineStr">
        <is>
          <t>UNKNOWN</t>
        </is>
      </c>
      <c r="N280" t="inlineStr">
        <is>
          <t>DEFAULT</t>
        </is>
      </c>
      <c r="Q280" t="n">
        <v>0</v>
      </c>
      <c r="R280" t="inlineStr">
        <is>
          <t>AUD</t>
        </is>
      </c>
      <c r="S280" t="n">
        <v>0</v>
      </c>
      <c r="T280" t="inlineStr">
        <is>
          <t>AUD</t>
        </is>
      </c>
      <c r="U280" t="n">
        <v>0</v>
      </c>
    </row>
    <row r="281">
      <c r="A281" s="5" t="inlineStr">
        <is>
          <t>01a1212c-5117-70ed-9695-34e0287f50cb</t>
        </is>
      </c>
      <c r="C281" s="5" t="inlineStr">
        <is>
          <t>01a1212c-4b57-70cf-80fd-c2192cb3bf81</t>
        </is>
      </c>
      <c r="D281" s="4" t="n">
        <v>46304.62401508431</v>
      </c>
      <c r="E281" s="4" t="n">
        <v>46304.62401508439</v>
      </c>
      <c r="F281" t="b">
        <v>1</v>
      </c>
      <c r="G281" t="n">
        <v/>
      </c>
      <c r="H281" t="inlineStr">
        <is>
          <t>AX1</t>
        </is>
      </c>
      <c r="I281" t="inlineStr">
        <is>
          <t>Accent Group Ltd</t>
        </is>
      </c>
      <c r="J281" t="inlineStr">
        <is>
          <t>AUD</t>
        </is>
      </c>
      <c r="K281" s="5" t="inlineStr">
        <is>
          <t>01a1212c-4c04-75ce-bbb2-e3322e18816e</t>
        </is>
      </c>
      <c r="M281" t="inlineStr">
        <is>
          <t>UNKNOWN</t>
        </is>
      </c>
      <c r="N281" t="inlineStr">
        <is>
          <t>DEFAULT</t>
        </is>
      </c>
      <c r="Q281" t="n">
        <v>0</v>
      </c>
      <c r="R281" t="inlineStr">
        <is>
          <t>AUD</t>
        </is>
      </c>
      <c r="S281" t="n">
        <v>0</v>
      </c>
      <c r="T281" t="inlineStr">
        <is>
          <t>AUD</t>
        </is>
      </c>
      <c r="U281" t="n">
        <v>0</v>
      </c>
    </row>
    <row r="282">
      <c r="A282" s="5" t="inlineStr">
        <is>
          <t>01a1212c-5119-7677-96d0-1b6830fa3b40</t>
        </is>
      </c>
      <c r="C282" s="5" t="inlineStr">
        <is>
          <t>01a1212c-4b57-70cf-80fd-c2192cb3bf81</t>
        </is>
      </c>
      <c r="D282" s="4" t="n">
        <v>46304.62401511683</v>
      </c>
      <c r="E282" s="4" t="n">
        <v>46304.6240151169</v>
      </c>
      <c r="F282" t="b">
        <v>1</v>
      </c>
      <c r="G282" t="n">
        <v/>
      </c>
      <c r="H282" t="inlineStr">
        <is>
          <t>CU6</t>
        </is>
      </c>
      <c r="I282" t="inlineStr">
        <is>
          <t>Clarity Pharmaceuticals Ltd</t>
        </is>
      </c>
      <c r="J282" t="inlineStr">
        <is>
          <t>AUD</t>
        </is>
      </c>
      <c r="K282" s="5" t="inlineStr">
        <is>
          <t>01a1212c-4c04-75ce-bbb2-e3322e18816e</t>
        </is>
      </c>
      <c r="M282" t="inlineStr">
        <is>
          <t>UNKNOWN</t>
        </is>
      </c>
      <c r="N282" t="inlineStr">
        <is>
          <t>DEFAULT</t>
        </is>
      </c>
      <c r="Q282" t="n">
        <v>0</v>
      </c>
      <c r="R282" t="inlineStr">
        <is>
          <t>AUD</t>
        </is>
      </c>
      <c r="S282" t="n">
        <v>0</v>
      </c>
      <c r="T282" t="inlineStr">
        <is>
          <t>AUD</t>
        </is>
      </c>
      <c r="U282" t="n">
        <v>0</v>
      </c>
    </row>
    <row r="283">
      <c r="A283" s="5" t="inlineStr">
        <is>
          <t>01a1212c-511c-7632-8650-d00b768ff108</t>
        </is>
      </c>
      <c r="C283" s="5" t="inlineStr">
        <is>
          <t>01a1212c-4b57-70cf-80fd-c2192cb3bf81</t>
        </is>
      </c>
      <c r="D283" s="4" t="n">
        <v>46304.62401514723</v>
      </c>
      <c r="E283" s="4" t="n">
        <v>46304.6240151473</v>
      </c>
      <c r="F283" t="b">
        <v>1</v>
      </c>
      <c r="G283" t="n">
        <v/>
      </c>
      <c r="H283" t="inlineStr">
        <is>
          <t>AUI</t>
        </is>
      </c>
      <c r="I283" t="inlineStr">
        <is>
          <t>Australian United Investment Company Ltd</t>
        </is>
      </c>
      <c r="J283" t="inlineStr">
        <is>
          <t>AUD</t>
        </is>
      </c>
      <c r="K283" s="5" t="inlineStr">
        <is>
          <t>01a1212c-4c04-75ce-bbb2-e3322e18816e</t>
        </is>
      </c>
      <c r="M283" t="inlineStr">
        <is>
          <t>COMPANY</t>
        </is>
      </c>
      <c r="N283" t="inlineStr">
        <is>
          <t>SUGGESTED</t>
        </is>
      </c>
      <c r="Q283" t="n">
        <v>0</v>
      </c>
      <c r="R283" t="inlineStr">
        <is>
          <t>AUD</t>
        </is>
      </c>
      <c r="S283" t="n">
        <v>0</v>
      </c>
      <c r="T283" t="inlineStr">
        <is>
          <t>AUD</t>
        </is>
      </c>
      <c r="U283" t="n">
        <v>0</v>
      </c>
    </row>
    <row r="284">
      <c r="A284" s="5" t="inlineStr">
        <is>
          <t>01a1212c-511f-723d-b6c0-a2e9c7903d1e</t>
        </is>
      </c>
      <c r="C284" s="5" t="inlineStr">
        <is>
          <t>01a1212c-4b57-70cf-80fd-c2192cb3bf81</t>
        </is>
      </c>
      <c r="D284" s="4" t="n">
        <v>46304.62401518114</v>
      </c>
      <c r="E284" s="4" t="n">
        <v>46304.62401518122</v>
      </c>
      <c r="F284" t="b">
        <v>1</v>
      </c>
      <c r="G284" t="n">
        <v/>
      </c>
      <c r="H284" t="inlineStr">
        <is>
          <t>NABPJ</t>
        </is>
      </c>
      <c r="I284" t="inlineStr">
        <is>
          <t>National Australia Bank Ltd</t>
        </is>
      </c>
      <c r="J284" t="inlineStr">
        <is>
          <t>AUD</t>
        </is>
      </c>
      <c r="K284" s="5" t="inlineStr">
        <is>
          <t>01a1212c-4c04-75ce-bbb2-e3322e18816e</t>
        </is>
      </c>
      <c r="M284" t="inlineStr">
        <is>
          <t>UNKNOWN</t>
        </is>
      </c>
      <c r="N284" t="inlineStr">
        <is>
          <t>DEFAULT</t>
        </is>
      </c>
      <c r="Q284" t="n">
        <v>0</v>
      </c>
      <c r="R284" t="inlineStr">
        <is>
          <t>AUD</t>
        </is>
      </c>
      <c r="S284" t="n">
        <v>0</v>
      </c>
      <c r="T284" t="inlineStr">
        <is>
          <t>AUD</t>
        </is>
      </c>
      <c r="U284" t="n">
        <v>0</v>
      </c>
    </row>
    <row r="285">
      <c r="A285" s="5" t="inlineStr">
        <is>
          <t>01a1212c-5122-7011-b621-762281d075c3</t>
        </is>
      </c>
      <c r="C285" s="5" t="inlineStr">
        <is>
          <t>01a1212c-4b57-70cf-80fd-c2192cb3bf81</t>
        </is>
      </c>
      <c r="D285" s="4" t="n">
        <v>46304.62401521153</v>
      </c>
      <c r="E285" s="4" t="n">
        <v>46304.62401521161</v>
      </c>
      <c r="F285" t="b">
        <v>1</v>
      </c>
      <c r="G285" t="n">
        <v/>
      </c>
      <c r="H285" t="inlineStr">
        <is>
          <t>BOE</t>
        </is>
      </c>
      <c r="I285" t="inlineStr">
        <is>
          <t>Boss Energy Ltd</t>
        </is>
      </c>
      <c r="J285" t="inlineStr">
        <is>
          <t>AUD</t>
        </is>
      </c>
      <c r="K285" s="5" t="inlineStr">
        <is>
          <t>01a1212c-4c04-75ce-bbb2-e3322e18816e</t>
        </is>
      </c>
      <c r="M285" t="inlineStr">
        <is>
          <t>UNKNOWN</t>
        </is>
      </c>
      <c r="N285" t="inlineStr">
        <is>
          <t>DEFAULT</t>
        </is>
      </c>
      <c r="Q285" t="n">
        <v>0</v>
      </c>
      <c r="R285" t="inlineStr">
        <is>
          <t>AUD</t>
        </is>
      </c>
      <c r="S285" t="n">
        <v>0</v>
      </c>
      <c r="T285" t="inlineStr">
        <is>
          <t>AUD</t>
        </is>
      </c>
      <c r="U285" t="n">
        <v>0</v>
      </c>
    </row>
    <row r="286">
      <c r="A286" s="5" t="inlineStr">
        <is>
          <t>01a1212c-5124-7010-afab-451e62b15def</t>
        </is>
      </c>
      <c r="C286" s="5" t="inlineStr">
        <is>
          <t>01a1212c-4b57-70cf-80fd-c2192cb3bf81</t>
        </is>
      </c>
      <c r="D286" s="4" t="n">
        <v>46304.62401524393</v>
      </c>
      <c r="E286" s="4" t="n">
        <v>46304.62401524401</v>
      </c>
      <c r="F286" t="b">
        <v>1</v>
      </c>
      <c r="G286" t="n">
        <v/>
      </c>
      <c r="H286" t="inlineStr">
        <is>
          <t>RPL</t>
        </is>
      </c>
      <c r="I286" t="inlineStr">
        <is>
          <t>Regal Partners Ltd</t>
        </is>
      </c>
      <c r="J286" t="inlineStr">
        <is>
          <t>AUD</t>
        </is>
      </c>
      <c r="K286" s="5" t="inlineStr">
        <is>
          <t>01a1212c-4c04-75ce-bbb2-e3322e18816e</t>
        </is>
      </c>
      <c r="M286" t="inlineStr">
        <is>
          <t>UNKNOWN</t>
        </is>
      </c>
      <c r="N286" t="inlineStr">
        <is>
          <t>DEFAULT</t>
        </is>
      </c>
      <c r="Q286" t="n">
        <v>0</v>
      </c>
      <c r="R286" t="inlineStr">
        <is>
          <t>AUD</t>
        </is>
      </c>
      <c r="S286" t="n">
        <v>0</v>
      </c>
      <c r="T286" t="inlineStr">
        <is>
          <t>AUD</t>
        </is>
      </c>
      <c r="U286" t="n">
        <v>0</v>
      </c>
    </row>
    <row r="287">
      <c r="A287" s="5" t="inlineStr">
        <is>
          <t>01a1212c-5127-733f-9599-f43bdec19ed3</t>
        </is>
      </c>
      <c r="C287" s="5" t="inlineStr">
        <is>
          <t>01a1212c-4b57-70cf-80fd-c2192cb3bf81</t>
        </is>
      </c>
      <c r="D287" s="4" t="n">
        <v>46304.62401527766</v>
      </c>
      <c r="E287" s="4" t="n">
        <v>46304.62401527775</v>
      </c>
      <c r="F287" t="b">
        <v>1</v>
      </c>
      <c r="G287" t="n">
        <v/>
      </c>
      <c r="H287" t="inlineStr">
        <is>
          <t>HLI</t>
        </is>
      </c>
      <c r="I287" t="inlineStr">
        <is>
          <t>Helia Group Ltd</t>
        </is>
      </c>
      <c r="J287" t="inlineStr">
        <is>
          <t>AUD</t>
        </is>
      </c>
      <c r="K287" s="5" t="inlineStr">
        <is>
          <t>01a1212c-4c04-75ce-bbb2-e3322e18816e</t>
        </is>
      </c>
      <c r="M287" t="inlineStr">
        <is>
          <t>UNKNOWN</t>
        </is>
      </c>
      <c r="N287" t="inlineStr">
        <is>
          <t>DEFAULT</t>
        </is>
      </c>
      <c r="Q287" t="n">
        <v>0</v>
      </c>
      <c r="R287" t="inlineStr">
        <is>
          <t>AUD</t>
        </is>
      </c>
      <c r="S287" t="n">
        <v>0</v>
      </c>
      <c r="T287" t="inlineStr">
        <is>
          <t>AUD</t>
        </is>
      </c>
      <c r="U287" t="n">
        <v>0</v>
      </c>
    </row>
    <row r="288">
      <c r="A288" s="5" t="inlineStr">
        <is>
          <t>01a1212c-512a-75a6-b42b-b5fa2aac09d7</t>
        </is>
      </c>
      <c r="C288" s="5" t="inlineStr">
        <is>
          <t>01a1212c-4b57-70cf-80fd-c2192cb3bf81</t>
        </is>
      </c>
      <c r="D288" s="4" t="n">
        <v>46304.62401530949</v>
      </c>
      <c r="E288" s="4" t="n">
        <v>46304.62401530957</v>
      </c>
      <c r="F288" t="b">
        <v>1</v>
      </c>
      <c r="G288" t="n">
        <v/>
      </c>
      <c r="H288" t="inlineStr">
        <is>
          <t>GDG</t>
        </is>
      </c>
      <c r="I288" t="inlineStr">
        <is>
          <t>Generation Development Group Ltd</t>
        </is>
      </c>
      <c r="J288" t="inlineStr">
        <is>
          <t>AUD</t>
        </is>
      </c>
      <c r="K288" s="5" t="inlineStr">
        <is>
          <t>01a1212c-4c04-75ce-bbb2-e3322e18816e</t>
        </is>
      </c>
      <c r="M288" t="inlineStr">
        <is>
          <t>UNKNOWN</t>
        </is>
      </c>
      <c r="N288" t="inlineStr">
        <is>
          <t>DEFAULT</t>
        </is>
      </c>
      <c r="Q288" t="n">
        <v>0</v>
      </c>
      <c r="R288" t="inlineStr">
        <is>
          <t>AUD</t>
        </is>
      </c>
      <c r="S288" t="n">
        <v>0</v>
      </c>
      <c r="T288" t="inlineStr">
        <is>
          <t>AUD</t>
        </is>
      </c>
      <c r="U288" t="n">
        <v>0</v>
      </c>
    </row>
    <row r="289">
      <c r="A289" s="5" t="inlineStr">
        <is>
          <t>01a1212c-512d-72c0-bcde-8115d07e40c6</t>
        </is>
      </c>
      <c r="C289" s="5" t="inlineStr">
        <is>
          <t>01a1212c-4b57-70cf-80fd-c2192cb3bf81</t>
        </is>
      </c>
      <c r="D289" s="4" t="n">
        <v>46304.62401534041</v>
      </c>
      <c r="E289" s="4" t="n">
        <v>46304.62401534049</v>
      </c>
      <c r="F289" t="b">
        <v>1</v>
      </c>
      <c r="G289" t="n">
        <v/>
      </c>
      <c r="H289" t="inlineStr">
        <is>
          <t>ZIM</t>
        </is>
      </c>
      <c r="I289" t="inlineStr">
        <is>
          <t>Zimplats Holdings Ltd</t>
        </is>
      </c>
      <c r="J289" t="inlineStr">
        <is>
          <t>AUD</t>
        </is>
      </c>
      <c r="K289" s="5" t="inlineStr">
        <is>
          <t>01a1212c-4c04-75ce-bbb2-e3322e18816e</t>
        </is>
      </c>
      <c r="M289" t="inlineStr">
        <is>
          <t>UNKNOWN</t>
        </is>
      </c>
      <c r="N289" t="inlineStr">
        <is>
          <t>DEFAULT</t>
        </is>
      </c>
      <c r="Q289" t="n">
        <v>0</v>
      </c>
      <c r="R289" t="inlineStr">
        <is>
          <t>AUD</t>
        </is>
      </c>
      <c r="S289" t="n">
        <v>0</v>
      </c>
      <c r="T289" t="inlineStr">
        <is>
          <t>AUD</t>
        </is>
      </c>
      <c r="U289" t="n">
        <v>0</v>
      </c>
    </row>
    <row r="290">
      <c r="A290" s="5" t="inlineStr">
        <is>
          <t>01a1212c-512f-732a-b166-84f9989aa861</t>
        </is>
      </c>
      <c r="C290" s="5" t="inlineStr">
        <is>
          <t>01a1212c-4b57-70cf-80fd-c2192cb3bf81</t>
        </is>
      </c>
      <c r="D290" s="4" t="n">
        <v>46304.62401537109</v>
      </c>
      <c r="E290" s="4" t="n">
        <v>46304.62401537116</v>
      </c>
      <c r="F290" t="b">
        <v>1</v>
      </c>
      <c r="G290" t="n">
        <v/>
      </c>
      <c r="H290" t="inlineStr">
        <is>
          <t>IMD</t>
        </is>
      </c>
      <c r="I290" t="inlineStr">
        <is>
          <t>IMDEX Ltd</t>
        </is>
      </c>
      <c r="J290" t="inlineStr">
        <is>
          <t>AUD</t>
        </is>
      </c>
      <c r="K290" s="5" t="inlineStr">
        <is>
          <t>01a1212c-4c04-75ce-bbb2-e3322e18816e</t>
        </is>
      </c>
      <c r="M290" t="inlineStr">
        <is>
          <t>UNKNOWN</t>
        </is>
      </c>
      <c r="N290" t="inlineStr">
        <is>
          <t>DEFAULT</t>
        </is>
      </c>
      <c r="Q290" t="n">
        <v>0</v>
      </c>
      <c r="R290" t="inlineStr">
        <is>
          <t>AUD</t>
        </is>
      </c>
      <c r="S290" t="n">
        <v>0</v>
      </c>
      <c r="T290" t="inlineStr">
        <is>
          <t>AUD</t>
        </is>
      </c>
      <c r="U290" t="n">
        <v>0</v>
      </c>
    </row>
    <row r="291">
      <c r="A291" s="5" t="inlineStr">
        <is>
          <t>01a1212c-5132-7246-a058-7dfe403702db</t>
        </is>
      </c>
      <c r="C291" s="5" t="inlineStr">
        <is>
          <t>01a1212c-4b57-70cf-80fd-c2192cb3bf81</t>
        </is>
      </c>
      <c r="D291" s="4" t="n">
        <v>46304.62401540342</v>
      </c>
      <c r="E291" s="4" t="n">
        <v>46304.62401540348</v>
      </c>
      <c r="F291" t="b">
        <v>1</v>
      </c>
      <c r="G291" t="n">
        <v/>
      </c>
      <c r="H291" t="inlineStr">
        <is>
          <t>IEM</t>
        </is>
      </c>
      <c r="I291" t="inlineStr">
        <is>
          <t>Ishares MSCI Emerging Markets ETF</t>
        </is>
      </c>
      <c r="J291" t="inlineStr">
        <is>
          <t>AUD</t>
        </is>
      </c>
      <c r="K291" s="5" t="inlineStr">
        <is>
          <t>01a1212c-4c04-75ce-bbb2-e3322e18816e</t>
        </is>
      </c>
      <c r="M291" t="inlineStr">
        <is>
          <t>UNIT_TRUST</t>
        </is>
      </c>
      <c r="N291" t="inlineStr">
        <is>
          <t>SUGGESTED</t>
        </is>
      </c>
      <c r="Q291" t="n">
        <v>0</v>
      </c>
      <c r="R291" t="inlineStr">
        <is>
          <t>AUD</t>
        </is>
      </c>
      <c r="S291" t="n">
        <v>0</v>
      </c>
      <c r="T291" t="inlineStr">
        <is>
          <t>AUD</t>
        </is>
      </c>
      <c r="U291" t="n">
        <v>0</v>
      </c>
    </row>
    <row r="292">
      <c r="A292" s="5" t="inlineStr">
        <is>
          <t>01a1212c-5135-7359-9037-ca6aa004325f</t>
        </is>
      </c>
      <c r="C292" s="5" t="inlineStr">
        <is>
          <t>01a1212c-4b57-70cf-80fd-c2192cb3bf81</t>
        </is>
      </c>
      <c r="D292" s="4" t="n">
        <v>46304.62401543696</v>
      </c>
      <c r="E292" s="4" t="n">
        <v>46304.62401543704</v>
      </c>
      <c r="F292" t="b">
        <v>1</v>
      </c>
      <c r="G292" t="n">
        <v/>
      </c>
      <c r="H292" t="inlineStr">
        <is>
          <t>ASB</t>
        </is>
      </c>
      <c r="I292" t="inlineStr">
        <is>
          <t>Austal Ltd</t>
        </is>
      </c>
      <c r="J292" t="inlineStr">
        <is>
          <t>AUD</t>
        </is>
      </c>
      <c r="K292" s="5" t="inlineStr">
        <is>
          <t>01a1212c-4c04-75ce-bbb2-e3322e18816e</t>
        </is>
      </c>
      <c r="M292" t="inlineStr">
        <is>
          <t>UNKNOWN</t>
        </is>
      </c>
      <c r="N292" t="inlineStr">
        <is>
          <t>DEFAULT</t>
        </is>
      </c>
      <c r="Q292" t="n">
        <v>0</v>
      </c>
      <c r="R292" t="inlineStr">
        <is>
          <t>AUD</t>
        </is>
      </c>
      <c r="S292" t="n">
        <v>0</v>
      </c>
      <c r="T292" t="inlineStr">
        <is>
          <t>AUD</t>
        </is>
      </c>
      <c r="U292" t="n">
        <v>0</v>
      </c>
    </row>
    <row r="293">
      <c r="A293" s="5" t="inlineStr">
        <is>
          <t>01a1212c-5138-74e7-a5b4-a0a62cabf49e</t>
        </is>
      </c>
      <c r="C293" s="5" t="inlineStr">
        <is>
          <t>01a1212c-4b57-70cf-80fd-c2192cb3bf81</t>
        </is>
      </c>
      <c r="D293" s="4" t="n">
        <v>46304.62401546996</v>
      </c>
      <c r="E293" s="4" t="n">
        <v>46304.62401547005</v>
      </c>
      <c r="F293" t="b">
        <v>1</v>
      </c>
      <c r="G293" t="n">
        <v/>
      </c>
      <c r="H293" t="inlineStr">
        <is>
          <t>PRN</t>
        </is>
      </c>
      <c r="I293" t="inlineStr">
        <is>
          <t>Perenti Ltd</t>
        </is>
      </c>
      <c r="J293" t="inlineStr">
        <is>
          <t>AUD</t>
        </is>
      </c>
      <c r="K293" s="5" t="inlineStr">
        <is>
          <t>01a1212c-4c04-75ce-bbb2-e3322e18816e</t>
        </is>
      </c>
      <c r="M293" t="inlineStr">
        <is>
          <t>UNKNOWN</t>
        </is>
      </c>
      <c r="N293" t="inlineStr">
        <is>
          <t>DEFAULT</t>
        </is>
      </c>
      <c r="Q293" t="n">
        <v>0</v>
      </c>
      <c r="R293" t="inlineStr">
        <is>
          <t>AUD</t>
        </is>
      </c>
      <c r="S293" t="n">
        <v>0</v>
      </c>
      <c r="T293" t="inlineStr">
        <is>
          <t>AUD</t>
        </is>
      </c>
      <c r="U293" t="n">
        <v>0</v>
      </c>
    </row>
    <row r="294">
      <c r="A294" s="5" t="inlineStr">
        <is>
          <t>01a1212c-513b-7149-98ef-2ff98c5f44bb</t>
        </is>
      </c>
      <c r="C294" s="5" t="inlineStr">
        <is>
          <t>01a1212c-4b57-70cf-80fd-c2192cb3bf81</t>
        </is>
      </c>
      <c r="D294" s="4" t="n">
        <v>46304.62401550197</v>
      </c>
      <c r="E294" s="4" t="n">
        <v>46304.62401550204</v>
      </c>
      <c r="F294" t="b">
        <v>1</v>
      </c>
      <c r="G294" t="n">
        <v/>
      </c>
      <c r="H294" t="inlineStr">
        <is>
          <t>IPX</t>
        </is>
      </c>
      <c r="I294" t="inlineStr">
        <is>
          <t>Iperionx Ltd</t>
        </is>
      </c>
      <c r="J294" t="inlineStr">
        <is>
          <t>AUD</t>
        </is>
      </c>
      <c r="K294" s="5" t="inlineStr">
        <is>
          <t>01a1212c-4c04-75ce-bbb2-e3322e18816e</t>
        </is>
      </c>
      <c r="M294" t="inlineStr">
        <is>
          <t>UNKNOWN</t>
        </is>
      </c>
      <c r="N294" t="inlineStr">
        <is>
          <t>DEFAULT</t>
        </is>
      </c>
      <c r="Q294" t="n">
        <v>0</v>
      </c>
      <c r="R294" t="inlineStr">
        <is>
          <t>AUD</t>
        </is>
      </c>
      <c r="S294" t="n">
        <v>0</v>
      </c>
      <c r="T294" t="inlineStr">
        <is>
          <t>AUD</t>
        </is>
      </c>
      <c r="U294" t="n">
        <v>0</v>
      </c>
    </row>
    <row r="295">
      <c r="A295" s="5" t="inlineStr">
        <is>
          <t>01a1212c-513e-7639-901c-777a922b0459</t>
        </is>
      </c>
      <c r="C295" s="5" t="inlineStr">
        <is>
          <t>01a1212c-4b57-70cf-80fd-c2192cb3bf81</t>
        </is>
      </c>
      <c r="D295" s="4" t="n">
        <v>46304.62401553536</v>
      </c>
      <c r="E295" s="4" t="n">
        <v>46304.62401553543</v>
      </c>
      <c r="F295" t="b">
        <v>1</v>
      </c>
      <c r="G295" t="n">
        <v/>
      </c>
      <c r="H295" t="inlineStr">
        <is>
          <t>IFRA</t>
        </is>
      </c>
      <c r="I295" t="inlineStr">
        <is>
          <t>Vaneck Ftse Global Infrastructure (Aud Hedged) ETF</t>
        </is>
      </c>
      <c r="J295" t="inlineStr">
        <is>
          <t>AUD</t>
        </is>
      </c>
      <c r="K295" s="5" t="inlineStr">
        <is>
          <t>01a1212c-4c04-75ce-bbb2-e3322e18816e</t>
        </is>
      </c>
      <c r="M295" t="inlineStr">
        <is>
          <t>UNKNOWN</t>
        </is>
      </c>
      <c r="N295" t="inlineStr">
        <is>
          <t>DEFAULT</t>
        </is>
      </c>
      <c r="Q295" t="n">
        <v>0</v>
      </c>
      <c r="R295" t="inlineStr">
        <is>
          <t>AUD</t>
        </is>
      </c>
      <c r="S295" t="n">
        <v>0</v>
      </c>
      <c r="T295" t="inlineStr">
        <is>
          <t>AUD</t>
        </is>
      </c>
      <c r="U295" t="n">
        <v>0</v>
      </c>
    </row>
    <row r="296">
      <c r="A296" s="5" t="inlineStr">
        <is>
          <t>01a1212c-5140-7107-9952-552712a2e6a3</t>
        </is>
      </c>
      <c r="C296" s="5" t="inlineStr">
        <is>
          <t>01a1212c-4b57-70cf-80fd-c2192cb3bf81</t>
        </is>
      </c>
      <c r="D296" s="4" t="n">
        <v>46304.6240155659</v>
      </c>
      <c r="E296" s="4" t="n">
        <v>46304.62401556597</v>
      </c>
      <c r="F296" t="b">
        <v>1</v>
      </c>
      <c r="G296" t="n">
        <v/>
      </c>
      <c r="H296" t="inlineStr">
        <is>
          <t>MAD</t>
        </is>
      </c>
      <c r="I296" t="inlineStr">
        <is>
          <t>Mader Group Ltd</t>
        </is>
      </c>
      <c r="J296" t="inlineStr">
        <is>
          <t>AUD</t>
        </is>
      </c>
      <c r="K296" s="5" t="inlineStr">
        <is>
          <t>01a1212c-4c04-75ce-bbb2-e3322e18816e</t>
        </is>
      </c>
      <c r="M296" t="inlineStr">
        <is>
          <t>UNKNOWN</t>
        </is>
      </c>
      <c r="N296" t="inlineStr">
        <is>
          <t>DEFAULT</t>
        </is>
      </c>
      <c r="Q296" t="n">
        <v>0</v>
      </c>
      <c r="R296" t="inlineStr">
        <is>
          <t>AUD</t>
        </is>
      </c>
      <c r="S296" t="n">
        <v>0</v>
      </c>
      <c r="T296" t="inlineStr">
        <is>
          <t>AUD</t>
        </is>
      </c>
      <c r="U296" t="n">
        <v>0</v>
      </c>
    </row>
    <row r="297">
      <c r="A297" s="5" t="inlineStr">
        <is>
          <t>01a1212c-5143-71ce-aee0-45415828ccb4</t>
        </is>
      </c>
      <c r="C297" s="5" t="inlineStr">
        <is>
          <t>01a1212c-4b57-70cf-80fd-c2192cb3bf81</t>
        </is>
      </c>
      <c r="D297" s="4" t="n">
        <v>46304.62401559629</v>
      </c>
      <c r="E297" s="4" t="n">
        <v>46304.62401559637</v>
      </c>
      <c r="F297" t="b">
        <v>1</v>
      </c>
      <c r="G297" t="n">
        <v/>
      </c>
      <c r="H297" t="inlineStr">
        <is>
          <t>CBAPJ</t>
        </is>
      </c>
      <c r="I297" t="inlineStr">
        <is>
          <t>Commonwealth Bank of Australia</t>
        </is>
      </c>
      <c r="J297" t="inlineStr">
        <is>
          <t>AUD</t>
        </is>
      </c>
      <c r="K297" s="5" t="inlineStr">
        <is>
          <t>01a1212c-4c04-75ce-bbb2-e3322e18816e</t>
        </is>
      </c>
      <c r="M297" t="inlineStr">
        <is>
          <t>UNKNOWN</t>
        </is>
      </c>
      <c r="N297" t="inlineStr">
        <is>
          <t>DEFAULT</t>
        </is>
      </c>
      <c r="Q297" t="n">
        <v>0</v>
      </c>
      <c r="R297" t="inlineStr">
        <is>
          <t>AUD</t>
        </is>
      </c>
      <c r="S297" t="n">
        <v>0</v>
      </c>
      <c r="T297" t="inlineStr">
        <is>
          <t>AUD</t>
        </is>
      </c>
      <c r="U297" t="n">
        <v>0</v>
      </c>
    </row>
    <row r="298">
      <c r="A298" s="5" t="inlineStr">
        <is>
          <t>01a1212c-5146-726d-b3ca-79001a380a6e</t>
        </is>
      </c>
      <c r="C298" s="5" t="inlineStr">
        <is>
          <t>01a1212c-4b57-70cf-80fd-c2192cb3bf81</t>
        </is>
      </c>
      <c r="D298" s="4" t="n">
        <v>46304.62401562741</v>
      </c>
      <c r="E298" s="4" t="n">
        <v>46304.6240156275</v>
      </c>
      <c r="F298" t="b">
        <v>1</v>
      </c>
      <c r="G298" t="n">
        <v/>
      </c>
      <c r="H298" t="inlineStr">
        <is>
          <t>OPT</t>
        </is>
      </c>
      <c r="I298" t="inlineStr">
        <is>
          <t>Opthea Ltd</t>
        </is>
      </c>
      <c r="J298" t="inlineStr">
        <is>
          <t>AUD</t>
        </is>
      </c>
      <c r="K298" s="5" t="inlineStr">
        <is>
          <t>01a1212c-4c04-75ce-bbb2-e3322e18816e</t>
        </is>
      </c>
      <c r="M298" t="inlineStr">
        <is>
          <t>UNKNOWN</t>
        </is>
      </c>
      <c r="N298" t="inlineStr">
        <is>
          <t>DEFAULT</t>
        </is>
      </c>
      <c r="Q298" t="n">
        <v>0</v>
      </c>
      <c r="R298" t="inlineStr">
        <is>
          <t>AUD</t>
        </is>
      </c>
      <c r="S298" t="n">
        <v>0</v>
      </c>
      <c r="T298" t="inlineStr">
        <is>
          <t>AUD</t>
        </is>
      </c>
      <c r="U298" t="n">
        <v>0</v>
      </c>
    </row>
    <row r="299">
      <c r="A299" s="5" t="inlineStr">
        <is>
          <t>01a1212c-5149-70c9-be70-ab3f6e4dd176</t>
        </is>
      </c>
      <c r="C299" s="5" t="inlineStr">
        <is>
          <t>01a1212c-4b57-70cf-80fd-c2192cb3bf81</t>
        </is>
      </c>
      <c r="D299" s="4" t="n">
        <v>46304.62401566163</v>
      </c>
      <c r="E299" s="4" t="n">
        <v>46304.62401566171</v>
      </c>
      <c r="F299" t="b">
        <v>1</v>
      </c>
      <c r="G299" t="n">
        <v/>
      </c>
      <c r="H299" t="inlineStr">
        <is>
          <t>LFS</t>
        </is>
      </c>
      <c r="I299" t="inlineStr">
        <is>
          <t>Latitude Group Holdings Ltd</t>
        </is>
      </c>
      <c r="J299" t="inlineStr">
        <is>
          <t>AUD</t>
        </is>
      </c>
      <c r="K299" s="5" t="inlineStr">
        <is>
          <t>01a1212c-4c04-75ce-bbb2-e3322e18816e</t>
        </is>
      </c>
      <c r="M299" t="inlineStr">
        <is>
          <t>UNKNOWN</t>
        </is>
      </c>
      <c r="N299" t="inlineStr">
        <is>
          <t>DEFAULT</t>
        </is>
      </c>
      <c r="Q299" t="n">
        <v>0</v>
      </c>
      <c r="R299" t="inlineStr">
        <is>
          <t>AUD</t>
        </is>
      </c>
      <c r="S299" t="n">
        <v>0</v>
      </c>
      <c r="T299" t="inlineStr">
        <is>
          <t>AUD</t>
        </is>
      </c>
      <c r="U299" t="n">
        <v>0</v>
      </c>
    </row>
    <row r="300">
      <c r="A300" s="5" t="inlineStr">
        <is>
          <t>01a1212c-514b-7048-a6a5-2be20376e16c</t>
        </is>
      </c>
      <c r="C300" s="5" t="inlineStr">
        <is>
          <t>01a1212c-4b57-70cf-80fd-c2192cb3bf81</t>
        </is>
      </c>
      <c r="D300" s="4" t="n">
        <v>46304.6240156924</v>
      </c>
      <c r="E300" s="4" t="n">
        <v>46304.62401569248</v>
      </c>
      <c r="F300" t="b">
        <v>1</v>
      </c>
      <c r="G300" t="n">
        <v/>
      </c>
      <c r="H300" t="inlineStr">
        <is>
          <t>MAF</t>
        </is>
      </c>
      <c r="I300" t="inlineStr">
        <is>
          <t>MA Financial Group Ltd</t>
        </is>
      </c>
      <c r="J300" t="inlineStr">
        <is>
          <t>AUD</t>
        </is>
      </c>
      <c r="K300" s="5" t="inlineStr">
        <is>
          <t>01a1212c-4c04-75ce-bbb2-e3322e18816e</t>
        </is>
      </c>
      <c r="M300" t="inlineStr">
        <is>
          <t>UNKNOWN</t>
        </is>
      </c>
      <c r="N300" t="inlineStr">
        <is>
          <t>DEFAULT</t>
        </is>
      </c>
      <c r="Q300" t="n">
        <v>0</v>
      </c>
      <c r="R300" t="inlineStr">
        <is>
          <t>AUD</t>
        </is>
      </c>
      <c r="S300" t="n">
        <v>0</v>
      </c>
      <c r="T300" t="inlineStr">
        <is>
          <t>AUD</t>
        </is>
      </c>
      <c r="U300" t="n">
        <v>0</v>
      </c>
    </row>
    <row r="301">
      <c r="A301" s="5" t="inlineStr">
        <is>
          <t>01a1212c-514e-71c7-9edc-6f6e221340b6</t>
        </is>
      </c>
      <c r="C301" s="5" t="inlineStr">
        <is>
          <t>01a1212c-4b57-70cf-80fd-c2192cb3bf81</t>
        </is>
      </c>
      <c r="D301" s="4" t="n">
        <v>46304.62401572341</v>
      </c>
      <c r="E301" s="4" t="n">
        <v>46304.62401572349</v>
      </c>
      <c r="F301" t="b">
        <v>1</v>
      </c>
      <c r="G301" t="n">
        <v/>
      </c>
      <c r="H301" t="inlineStr">
        <is>
          <t>VESG</t>
        </is>
      </c>
      <c r="I301" t="inlineStr">
        <is>
          <t>Vanguard Ethically Conscious International Shares INDEX ETF</t>
        </is>
      </c>
      <c r="J301" t="inlineStr">
        <is>
          <t>AUD</t>
        </is>
      </c>
      <c r="K301" s="5" t="inlineStr">
        <is>
          <t>01a1212c-4c04-75ce-bbb2-e3322e18816e</t>
        </is>
      </c>
      <c r="M301" t="inlineStr">
        <is>
          <t>UNKNOWN</t>
        </is>
      </c>
      <c r="N301" t="inlineStr">
        <is>
          <t>DEFAULT</t>
        </is>
      </c>
      <c r="Q301" t="n">
        <v>0</v>
      </c>
      <c r="R301" t="inlineStr">
        <is>
          <t>AUD</t>
        </is>
      </c>
      <c r="S301" t="n">
        <v>0</v>
      </c>
      <c r="T301" t="inlineStr">
        <is>
          <t>AUD</t>
        </is>
      </c>
      <c r="U301" t="n">
        <v>0</v>
      </c>
    </row>
    <row r="302">
      <c r="A302" s="5" t="inlineStr">
        <is>
          <t>01a1212c-5151-74d7-9785-78f40f5663d7</t>
        </is>
      </c>
      <c r="C302" s="5" t="inlineStr">
        <is>
          <t>01a1212c-4b57-70cf-80fd-c2192cb3bf81</t>
        </is>
      </c>
      <c r="D302" s="4" t="n">
        <v>46304.62401575418</v>
      </c>
      <c r="E302" s="4" t="n">
        <v>46304.62401575425</v>
      </c>
      <c r="F302" t="b">
        <v>1</v>
      </c>
      <c r="G302" t="n">
        <v/>
      </c>
      <c r="H302" t="inlineStr">
        <is>
          <t>ADT</t>
        </is>
      </c>
      <c r="I302" t="inlineStr">
        <is>
          <t>Adriatic Metals Plc</t>
        </is>
      </c>
      <c r="J302" t="inlineStr">
        <is>
          <t>AUD</t>
        </is>
      </c>
      <c r="K302" s="5" t="inlineStr">
        <is>
          <t>01a1212c-4c04-75ce-bbb2-e3322e18816e</t>
        </is>
      </c>
      <c r="M302" t="inlineStr">
        <is>
          <t>UNKNOWN</t>
        </is>
      </c>
      <c r="N302" t="inlineStr">
        <is>
          <t>DEFAULT</t>
        </is>
      </c>
      <c r="Q302" t="n">
        <v>0</v>
      </c>
      <c r="R302" t="inlineStr">
        <is>
          <t>AUD</t>
        </is>
      </c>
      <c r="S302" t="n">
        <v>0</v>
      </c>
      <c r="T302" t="inlineStr">
        <is>
          <t>AUD</t>
        </is>
      </c>
      <c r="U302" t="n">
        <v>0</v>
      </c>
    </row>
    <row r="303">
      <c r="A303" s="5" t="inlineStr">
        <is>
          <t>01a1212c-5153-72e5-96f2-b0136d2080b4</t>
        </is>
      </c>
      <c r="C303" s="5" t="inlineStr">
        <is>
          <t>01a1212c-4b57-70cf-80fd-c2192cb3bf81</t>
        </is>
      </c>
      <c r="D303" s="4" t="n">
        <v>46304.62401578444</v>
      </c>
      <c r="E303" s="4" t="n">
        <v>46304.62401578452</v>
      </c>
      <c r="F303" t="b">
        <v>1</v>
      </c>
      <c r="G303" t="n">
        <v/>
      </c>
      <c r="H303" t="inlineStr">
        <is>
          <t>CCP</t>
        </is>
      </c>
      <c r="I303" t="inlineStr">
        <is>
          <t>Credit Corp Group Ltd</t>
        </is>
      </c>
      <c r="J303" t="inlineStr">
        <is>
          <t>AUD</t>
        </is>
      </c>
      <c r="K303" s="5" t="inlineStr">
        <is>
          <t>01a1212c-4c04-75ce-bbb2-e3322e18816e</t>
        </is>
      </c>
      <c r="M303" t="inlineStr">
        <is>
          <t>UNKNOWN</t>
        </is>
      </c>
      <c r="N303" t="inlineStr">
        <is>
          <t>DEFAULT</t>
        </is>
      </c>
      <c r="Q303" t="n">
        <v>0</v>
      </c>
      <c r="R303" t="inlineStr">
        <is>
          <t>AUD</t>
        </is>
      </c>
      <c r="S303" t="n">
        <v>0</v>
      </c>
      <c r="T303" t="inlineStr">
        <is>
          <t>AUD</t>
        </is>
      </c>
      <c r="U303" t="n">
        <v>0</v>
      </c>
    </row>
    <row r="304">
      <c r="A304" s="5" t="inlineStr">
        <is>
          <t>01a1212c-5156-7616-b6ea-63c3849e04a2</t>
        </is>
      </c>
      <c r="C304" s="5" t="inlineStr">
        <is>
          <t>01a1212c-4b57-70cf-80fd-c2192cb3bf81</t>
        </is>
      </c>
      <c r="D304" s="4" t="n">
        <v>46304.6240158174</v>
      </c>
      <c r="E304" s="4" t="n">
        <v>46304.62401581749</v>
      </c>
      <c r="F304" t="b">
        <v>1</v>
      </c>
      <c r="G304" t="n">
        <v/>
      </c>
      <c r="H304" t="inlineStr">
        <is>
          <t>HACK</t>
        </is>
      </c>
      <c r="I304" t="inlineStr">
        <is>
          <t>Betashares Global Cybersecurity ETF</t>
        </is>
      </c>
      <c r="J304" t="inlineStr">
        <is>
          <t>AUD</t>
        </is>
      </c>
      <c r="K304" s="5" t="inlineStr">
        <is>
          <t>01a1212c-4c04-75ce-bbb2-e3322e18816e</t>
        </is>
      </c>
      <c r="M304" t="inlineStr">
        <is>
          <t>UNIT_TRUST</t>
        </is>
      </c>
      <c r="N304" t="inlineStr">
        <is>
          <t>SUGGESTED</t>
        </is>
      </c>
      <c r="Q304" t="n">
        <v>0</v>
      </c>
      <c r="R304" t="inlineStr">
        <is>
          <t>AUD</t>
        </is>
      </c>
      <c r="S304" t="n">
        <v>0</v>
      </c>
      <c r="T304" t="inlineStr">
        <is>
          <t>AUD</t>
        </is>
      </c>
      <c r="U304" t="n">
        <v>0</v>
      </c>
    </row>
    <row r="305">
      <c r="A305" s="5" t="inlineStr">
        <is>
          <t>01a1212c-5159-71fc-92ad-8cdfad3f0aec</t>
        </is>
      </c>
      <c r="C305" s="5" t="inlineStr">
        <is>
          <t>01a1212c-4b57-70cf-80fd-c2192cb3bf81</t>
        </is>
      </c>
      <c r="D305" s="4" t="n">
        <v>46304.62401585129</v>
      </c>
      <c r="E305" s="4" t="n">
        <v>46304.62401585135</v>
      </c>
      <c r="F305" t="b">
        <v>1</v>
      </c>
      <c r="G305" t="n">
        <v/>
      </c>
      <c r="H305" t="inlineStr">
        <is>
          <t>SGF</t>
        </is>
      </c>
      <c r="I305" t="inlineStr">
        <is>
          <t>SG Fleet Group Ltd</t>
        </is>
      </c>
      <c r="J305" t="inlineStr">
        <is>
          <t>AUD</t>
        </is>
      </c>
      <c r="K305" s="5" t="inlineStr">
        <is>
          <t>01a1212c-4c04-75ce-bbb2-e3322e18816e</t>
        </is>
      </c>
      <c r="M305" t="inlineStr">
        <is>
          <t>UNKNOWN</t>
        </is>
      </c>
      <c r="N305" t="inlineStr">
        <is>
          <t>DEFAULT</t>
        </is>
      </c>
      <c r="Q305" t="n">
        <v>0</v>
      </c>
      <c r="R305" t="inlineStr">
        <is>
          <t>AUD</t>
        </is>
      </c>
      <c r="S305" t="n">
        <v>0</v>
      </c>
      <c r="T305" t="inlineStr">
        <is>
          <t>AUD</t>
        </is>
      </c>
      <c r="U305" t="n">
        <v>0</v>
      </c>
    </row>
    <row r="306">
      <c r="A306" s="5" t="inlineStr">
        <is>
          <t>01a1212c-515c-726a-ae1c-97de98b7bd71</t>
        </is>
      </c>
      <c r="C306" s="5" t="inlineStr">
        <is>
          <t>01a1212c-4b57-70cf-80fd-c2192cb3bf81</t>
        </is>
      </c>
      <c r="D306" s="4" t="n">
        <v>46304.62401588145</v>
      </c>
      <c r="E306" s="4" t="n">
        <v>46304.62401588151</v>
      </c>
      <c r="F306" t="b">
        <v>1</v>
      </c>
      <c r="G306" t="n">
        <v/>
      </c>
      <c r="H306" t="inlineStr">
        <is>
          <t>GTK</t>
        </is>
      </c>
      <c r="I306" t="inlineStr">
        <is>
          <t>Gentrack Group Ltd</t>
        </is>
      </c>
      <c r="J306" t="inlineStr">
        <is>
          <t>AUD</t>
        </is>
      </c>
      <c r="K306" s="5" t="inlineStr">
        <is>
          <t>01a1212c-4c04-75ce-bbb2-e3322e18816e</t>
        </is>
      </c>
      <c r="M306" t="inlineStr">
        <is>
          <t>UNKNOWN</t>
        </is>
      </c>
      <c r="N306" t="inlineStr">
        <is>
          <t>DEFAULT</t>
        </is>
      </c>
      <c r="Q306" t="n">
        <v>0</v>
      </c>
      <c r="R306" t="inlineStr">
        <is>
          <t>AUD</t>
        </is>
      </c>
      <c r="S306" t="n">
        <v>0</v>
      </c>
      <c r="T306" t="inlineStr">
        <is>
          <t>AUD</t>
        </is>
      </c>
      <c r="U306" t="n">
        <v>0</v>
      </c>
    </row>
    <row r="307">
      <c r="A307" s="5" t="inlineStr">
        <is>
          <t>01a1212c-515e-7408-a88c-280176a4249b</t>
        </is>
      </c>
      <c r="C307" s="5" t="inlineStr">
        <is>
          <t>01a1212c-4b57-70cf-80fd-c2192cb3bf81</t>
        </is>
      </c>
      <c r="D307" s="4" t="n">
        <v>46304.62401591137</v>
      </c>
      <c r="E307" s="4" t="n">
        <v>46304.62401591144</v>
      </c>
      <c r="F307" t="b">
        <v>1</v>
      </c>
      <c r="G307" t="n">
        <v/>
      </c>
      <c r="H307" t="inlineStr">
        <is>
          <t>ING</t>
        </is>
      </c>
      <c r="I307" t="inlineStr">
        <is>
          <t>Inghams Group Ltd</t>
        </is>
      </c>
      <c r="J307" t="inlineStr">
        <is>
          <t>AUD</t>
        </is>
      </c>
      <c r="K307" s="5" t="inlineStr">
        <is>
          <t>01a1212c-4c04-75ce-bbb2-e3322e18816e</t>
        </is>
      </c>
      <c r="M307" t="inlineStr">
        <is>
          <t>UNKNOWN</t>
        </is>
      </c>
      <c r="N307" t="inlineStr">
        <is>
          <t>DEFAULT</t>
        </is>
      </c>
      <c r="Q307" t="n">
        <v>0</v>
      </c>
      <c r="R307" t="inlineStr">
        <is>
          <t>AUD</t>
        </is>
      </c>
      <c r="S307" t="n">
        <v>0</v>
      </c>
      <c r="T307" t="inlineStr">
        <is>
          <t>AUD</t>
        </is>
      </c>
      <c r="U307" t="n">
        <v>0</v>
      </c>
    </row>
    <row r="308">
      <c r="A308" s="5" t="inlineStr">
        <is>
          <t>01a1212c-5161-77a4-bf8a-1fea8c910993</t>
        </is>
      </c>
      <c r="C308" s="5" t="inlineStr">
        <is>
          <t>01a1212c-4b57-70cf-80fd-c2192cb3bf81</t>
        </is>
      </c>
      <c r="D308" s="4" t="n">
        <v>46304.62401594334</v>
      </c>
      <c r="E308" s="4" t="n">
        <v>46304.62401594342</v>
      </c>
      <c r="F308" t="b">
        <v>1</v>
      </c>
      <c r="G308" t="n">
        <v/>
      </c>
      <c r="H308" t="inlineStr">
        <is>
          <t>IWLD</t>
        </is>
      </c>
      <c r="I308" t="inlineStr">
        <is>
          <t>Ishares Core MSCI World Ex Australia Esg ETF</t>
        </is>
      </c>
      <c r="J308" t="inlineStr">
        <is>
          <t>AUD</t>
        </is>
      </c>
      <c r="K308" s="5" t="inlineStr">
        <is>
          <t>01a1212c-4c04-75ce-bbb2-e3322e18816e</t>
        </is>
      </c>
      <c r="M308" t="inlineStr">
        <is>
          <t>UNKNOWN</t>
        </is>
      </c>
      <c r="N308" t="inlineStr">
        <is>
          <t>DEFAULT</t>
        </is>
      </c>
      <c r="Q308" t="n">
        <v>0</v>
      </c>
      <c r="R308" t="inlineStr">
        <is>
          <t>AUD</t>
        </is>
      </c>
      <c r="S308" t="n">
        <v>0</v>
      </c>
      <c r="T308" t="inlineStr">
        <is>
          <t>AUD</t>
        </is>
      </c>
      <c r="U308" t="n">
        <v>0</v>
      </c>
    </row>
    <row r="309">
      <c r="A309" s="5" t="inlineStr">
        <is>
          <t>01a1212c-5164-706e-ba47-0884d2d736a1</t>
        </is>
      </c>
      <c r="C309" s="5" t="inlineStr">
        <is>
          <t>01a1212c-4b57-70cf-80fd-c2192cb3bf81</t>
        </is>
      </c>
      <c r="D309" s="4" t="n">
        <v>46304.6240159735</v>
      </c>
      <c r="E309" s="4" t="n">
        <v>46304.62401597357</v>
      </c>
      <c r="F309" t="b">
        <v>1</v>
      </c>
      <c r="G309" t="n">
        <v/>
      </c>
      <c r="H309" t="inlineStr">
        <is>
          <t>LIC</t>
        </is>
      </c>
      <c r="I309" t="inlineStr">
        <is>
          <t>Lifestyle Communities Ltd</t>
        </is>
      </c>
      <c r="J309" t="inlineStr">
        <is>
          <t>AUD</t>
        </is>
      </c>
      <c r="K309" s="5" t="inlineStr">
        <is>
          <t>01a1212c-4c04-75ce-bbb2-e3322e18816e</t>
        </is>
      </c>
      <c r="M309" t="inlineStr">
        <is>
          <t>UNKNOWN</t>
        </is>
      </c>
      <c r="N309" t="inlineStr">
        <is>
          <t>DEFAULT</t>
        </is>
      </c>
      <c r="Q309" t="n">
        <v>0</v>
      </c>
      <c r="R309" t="inlineStr">
        <is>
          <t>AUD</t>
        </is>
      </c>
      <c r="S309" t="n">
        <v>0</v>
      </c>
      <c r="T309" t="inlineStr">
        <is>
          <t>AUD</t>
        </is>
      </c>
      <c r="U309" t="n">
        <v>0</v>
      </c>
    </row>
    <row r="310">
      <c r="A310" s="5" t="inlineStr">
        <is>
          <t>01a1212c-5166-7397-9289-f843985e9a39</t>
        </is>
      </c>
      <c r="C310" s="5" t="inlineStr">
        <is>
          <t>01a1212c-4b57-70cf-80fd-c2192cb3bf81</t>
        </is>
      </c>
      <c r="D310" s="4" t="n">
        <v>46304.62401600614</v>
      </c>
      <c r="E310" s="4" t="n">
        <v>46304.62401600623</v>
      </c>
      <c r="F310" t="b">
        <v>1</v>
      </c>
      <c r="G310" t="n">
        <v/>
      </c>
      <c r="H310" t="inlineStr">
        <is>
          <t>PGF</t>
        </is>
      </c>
      <c r="I310" t="inlineStr">
        <is>
          <t>PM Capital Global Opportunities Fund Ltd</t>
        </is>
      </c>
      <c r="J310" t="inlineStr">
        <is>
          <t>AUD</t>
        </is>
      </c>
      <c r="K310" s="5" t="inlineStr">
        <is>
          <t>01a1212c-4c04-75ce-bbb2-e3322e18816e</t>
        </is>
      </c>
      <c r="M310" t="inlineStr">
        <is>
          <t>UNKNOWN</t>
        </is>
      </c>
      <c r="N310" t="inlineStr">
        <is>
          <t>DEFAULT</t>
        </is>
      </c>
      <c r="Q310" t="n">
        <v>0</v>
      </c>
      <c r="R310" t="inlineStr">
        <is>
          <t>AUD</t>
        </is>
      </c>
      <c r="S310" t="n">
        <v>0</v>
      </c>
      <c r="T310" t="inlineStr">
        <is>
          <t>AUD</t>
        </is>
      </c>
      <c r="U310" t="n">
        <v>0</v>
      </c>
    </row>
    <row r="311">
      <c r="A311" s="5" t="inlineStr">
        <is>
          <t>01a1212c-5169-717c-acf8-7b6761c3da4c</t>
        </is>
      </c>
      <c r="C311" s="5" t="inlineStr">
        <is>
          <t>01a1212c-4b57-70cf-80fd-c2192cb3bf81</t>
        </is>
      </c>
      <c r="D311" s="4" t="n">
        <v>46304.62401603923</v>
      </c>
      <c r="E311" s="4" t="n">
        <v>46304.62401603931</v>
      </c>
      <c r="F311" t="b">
        <v>1</v>
      </c>
      <c r="G311" t="n">
        <v/>
      </c>
      <c r="H311" t="inlineStr">
        <is>
          <t>FAIR</t>
        </is>
      </c>
      <c r="I311" t="inlineStr">
        <is>
          <t>Betashares Australian Sustainability Leaders ETF</t>
        </is>
      </c>
      <c r="J311" t="inlineStr">
        <is>
          <t>AUD</t>
        </is>
      </c>
      <c r="K311" s="5" t="inlineStr">
        <is>
          <t>01a1212c-4c04-75ce-bbb2-e3322e18816e</t>
        </is>
      </c>
      <c r="M311" t="inlineStr">
        <is>
          <t>UNIT_TRUST</t>
        </is>
      </c>
      <c r="N311" t="inlineStr">
        <is>
          <t>SUGGESTED</t>
        </is>
      </c>
      <c r="Q311" t="n">
        <v>0</v>
      </c>
      <c r="R311" t="inlineStr">
        <is>
          <t>AUD</t>
        </is>
      </c>
      <c r="S311" t="n">
        <v>0</v>
      </c>
      <c r="T311" t="inlineStr">
        <is>
          <t>AUD</t>
        </is>
      </c>
      <c r="U311" t="n">
        <v>0</v>
      </c>
    </row>
    <row r="312">
      <c r="A312" s="5" t="inlineStr">
        <is>
          <t>01a1212c-516d-7001-9e44-d38dc03b9848</t>
        </is>
      </c>
      <c r="C312" s="5" t="inlineStr">
        <is>
          <t>01a1212c-4b57-70cf-80fd-c2192cb3bf81</t>
        </is>
      </c>
      <c r="D312" s="4" t="n">
        <v>46304.62401607771</v>
      </c>
      <c r="E312" s="4" t="n">
        <v>46304.6240160778</v>
      </c>
      <c r="F312" t="b">
        <v>1</v>
      </c>
      <c r="G312" t="n">
        <v/>
      </c>
      <c r="H312" t="inlineStr">
        <is>
          <t>NXG</t>
        </is>
      </c>
      <c r="I312" t="inlineStr">
        <is>
          <t>Nexgen Energy (Canada) Ltd</t>
        </is>
      </c>
      <c r="J312" t="inlineStr">
        <is>
          <t>AUD</t>
        </is>
      </c>
      <c r="K312" s="5" t="inlineStr">
        <is>
          <t>01a1212c-4c04-75ce-bbb2-e3322e18816e</t>
        </is>
      </c>
      <c r="M312" t="inlineStr">
        <is>
          <t>UNKNOWN</t>
        </is>
      </c>
      <c r="N312" t="inlineStr">
        <is>
          <t>DEFAULT</t>
        </is>
      </c>
      <c r="Q312" t="n">
        <v>0</v>
      </c>
      <c r="R312" t="inlineStr">
        <is>
          <t>AUD</t>
        </is>
      </c>
      <c r="S312" t="n">
        <v>0</v>
      </c>
      <c r="T312" t="inlineStr">
        <is>
          <t>AUD</t>
        </is>
      </c>
      <c r="U312" t="n">
        <v>0</v>
      </c>
    </row>
    <row r="313">
      <c r="A313" s="5" t="inlineStr">
        <is>
          <t>01a1212c-516f-74b6-9742-49367c73efd8</t>
        </is>
      </c>
      <c r="C313" s="5" t="inlineStr">
        <is>
          <t>01a1212c-4b57-70cf-80fd-c2192cb3bf81</t>
        </is>
      </c>
      <c r="D313" s="4" t="n">
        <v>46304.62401610953</v>
      </c>
      <c r="E313" s="4" t="n">
        <v>46304.62401610962</v>
      </c>
      <c r="F313" t="b">
        <v>1</v>
      </c>
      <c r="G313" t="n">
        <v/>
      </c>
      <c r="H313" t="inlineStr">
        <is>
          <t>VGE</t>
        </is>
      </c>
      <c r="I313" t="inlineStr">
        <is>
          <t>Vanguard Ftse Emerging Markets Shares ETF</t>
        </is>
      </c>
      <c r="J313" t="inlineStr">
        <is>
          <t>AUD</t>
        </is>
      </c>
      <c r="K313" s="5" t="inlineStr">
        <is>
          <t>01a1212c-4c04-75ce-bbb2-e3322e18816e</t>
        </is>
      </c>
      <c r="M313" t="inlineStr">
        <is>
          <t>UNIT_TRUST</t>
        </is>
      </c>
      <c r="N313" t="inlineStr">
        <is>
          <t>SUGGESTED</t>
        </is>
      </c>
      <c r="Q313" t="n">
        <v>0</v>
      </c>
      <c r="R313" t="inlineStr">
        <is>
          <t>AUD</t>
        </is>
      </c>
      <c r="S313" t="n">
        <v>0</v>
      </c>
      <c r="T313" t="inlineStr">
        <is>
          <t>AUD</t>
        </is>
      </c>
      <c r="U313" t="n">
        <v>0</v>
      </c>
    </row>
    <row r="314">
      <c r="A314" s="5" t="inlineStr">
        <is>
          <t>01a1212c-5172-71c1-8158-b21f16abc4fd</t>
        </is>
      </c>
      <c r="C314" s="5" t="inlineStr">
        <is>
          <t>01a1212c-4b57-70cf-80fd-c2192cb3bf81</t>
        </is>
      </c>
      <c r="D314" s="4" t="n">
        <v>46304.62401614701</v>
      </c>
      <c r="E314" s="4" t="n">
        <v>46304.62401614711</v>
      </c>
      <c r="F314" t="b">
        <v>1</v>
      </c>
      <c r="G314" t="n">
        <v/>
      </c>
      <c r="H314" t="inlineStr">
        <is>
          <t>DUI</t>
        </is>
      </c>
      <c r="I314" t="inlineStr">
        <is>
          <t>Diversified United Investment Ltd</t>
        </is>
      </c>
      <c r="J314" t="inlineStr">
        <is>
          <t>AUD</t>
        </is>
      </c>
      <c r="K314" s="5" t="inlineStr">
        <is>
          <t>01a1212c-4c04-75ce-bbb2-e3322e18816e</t>
        </is>
      </c>
      <c r="M314" t="inlineStr">
        <is>
          <t>COMPANY</t>
        </is>
      </c>
      <c r="N314" t="inlineStr">
        <is>
          <t>SUGGESTED</t>
        </is>
      </c>
      <c r="Q314" t="n">
        <v>0</v>
      </c>
      <c r="R314" t="inlineStr">
        <is>
          <t>AUD</t>
        </is>
      </c>
      <c r="S314" t="n">
        <v>0</v>
      </c>
      <c r="T314" t="inlineStr">
        <is>
          <t>AUD</t>
        </is>
      </c>
      <c r="U314" t="n">
        <v>0</v>
      </c>
    </row>
    <row r="315">
      <c r="A315" s="5" t="inlineStr">
        <is>
          <t>01a1212c-5176-748a-8f2c-90ab6f5eaee1</t>
        </is>
      </c>
      <c r="C315" s="5" t="inlineStr">
        <is>
          <t>01a1212c-4b57-70cf-80fd-c2192cb3bf81</t>
        </is>
      </c>
      <c r="D315" s="4" t="n">
        <v>46304.62401618233</v>
      </c>
      <c r="E315" s="4" t="n">
        <v>46304.62401618241</v>
      </c>
      <c r="F315" t="b">
        <v>1</v>
      </c>
      <c r="G315" t="n">
        <v/>
      </c>
      <c r="H315" t="inlineStr">
        <is>
          <t>HGBL</t>
        </is>
      </c>
      <c r="I315" t="inlineStr">
        <is>
          <t>Betashares Global Shares ETF - Currency Hedged</t>
        </is>
      </c>
      <c r="J315" t="inlineStr">
        <is>
          <t>AUD</t>
        </is>
      </c>
      <c r="K315" s="5" t="inlineStr">
        <is>
          <t>01a1212c-4c04-75ce-bbb2-e3322e18816e</t>
        </is>
      </c>
      <c r="M315" t="inlineStr">
        <is>
          <t>UNKNOWN</t>
        </is>
      </c>
      <c r="N315" t="inlineStr">
        <is>
          <t>DEFAULT</t>
        </is>
      </c>
      <c r="Q315" t="n">
        <v>0</v>
      </c>
      <c r="R315" t="inlineStr">
        <is>
          <t>AUD</t>
        </is>
      </c>
      <c r="S315" t="n">
        <v>0</v>
      </c>
      <c r="T315" t="inlineStr">
        <is>
          <t>AUD</t>
        </is>
      </c>
      <c r="U315" t="n">
        <v>0</v>
      </c>
    </row>
    <row r="316">
      <c r="A316" s="5" t="inlineStr">
        <is>
          <t>01a1212c-5179-7280-a826-0feaf4eddc96</t>
        </is>
      </c>
      <c r="C316" s="5" t="inlineStr">
        <is>
          <t>01a1212c-4b57-70cf-80fd-c2192cb3bf81</t>
        </is>
      </c>
      <c r="D316" s="4" t="n">
        <v>46304.62401622096</v>
      </c>
      <c r="E316" s="4" t="n">
        <v>46304.62401622107</v>
      </c>
      <c r="F316" t="b">
        <v>1</v>
      </c>
      <c r="G316" t="n">
        <v/>
      </c>
      <c r="H316" t="inlineStr">
        <is>
          <t>VUL</t>
        </is>
      </c>
      <c r="I316" t="inlineStr">
        <is>
          <t>Vulcan Energy Resources Ltd</t>
        </is>
      </c>
      <c r="J316" t="inlineStr">
        <is>
          <t>AUD</t>
        </is>
      </c>
      <c r="K316" s="5" t="inlineStr">
        <is>
          <t>01a1212c-4c04-75ce-bbb2-e3322e18816e</t>
        </is>
      </c>
      <c r="M316" t="inlineStr">
        <is>
          <t>UNKNOWN</t>
        </is>
      </c>
      <c r="N316" t="inlineStr">
        <is>
          <t>DEFAULT</t>
        </is>
      </c>
      <c r="Q316" t="n">
        <v>0</v>
      </c>
      <c r="R316" t="inlineStr">
        <is>
          <t>AUD</t>
        </is>
      </c>
      <c r="S316" t="n">
        <v>0</v>
      </c>
      <c r="T316" t="inlineStr">
        <is>
          <t>AUD</t>
        </is>
      </c>
      <c r="U316" t="n">
        <v>0</v>
      </c>
    </row>
    <row r="317">
      <c r="A317" s="5" t="inlineStr">
        <is>
          <t>01a1212c-517c-75b0-ab6c-1c7d78790569</t>
        </is>
      </c>
      <c r="C317" s="5" t="inlineStr">
        <is>
          <t>01a1212c-4b57-70cf-80fd-c2192cb3bf81</t>
        </is>
      </c>
      <c r="D317" s="4" t="n">
        <v>46304.62401625328</v>
      </c>
      <c r="E317" s="4" t="n">
        <v>46304.62401625336</v>
      </c>
      <c r="F317" t="b">
        <v>1</v>
      </c>
      <c r="G317" t="n">
        <v/>
      </c>
      <c r="H317" t="inlineStr">
        <is>
          <t>CRN</t>
        </is>
      </c>
      <c r="I317" t="inlineStr">
        <is>
          <t>Coronado Global Resources Inc</t>
        </is>
      </c>
      <c r="J317" t="inlineStr">
        <is>
          <t>AUD</t>
        </is>
      </c>
      <c r="K317" s="5" t="inlineStr">
        <is>
          <t>01a1212c-4c04-75ce-bbb2-e3322e18816e</t>
        </is>
      </c>
      <c r="M317" t="inlineStr">
        <is>
          <t>UNKNOWN</t>
        </is>
      </c>
      <c r="N317" t="inlineStr">
        <is>
          <t>DEFAULT</t>
        </is>
      </c>
      <c r="Q317" t="n">
        <v>0</v>
      </c>
      <c r="R317" t="inlineStr">
        <is>
          <t>AUD</t>
        </is>
      </c>
      <c r="S317" t="n">
        <v>0</v>
      </c>
      <c r="T317" t="inlineStr">
        <is>
          <t>AUD</t>
        </is>
      </c>
      <c r="U317" t="n">
        <v>0</v>
      </c>
    </row>
    <row r="318">
      <c r="A318" s="5" t="inlineStr">
        <is>
          <t>01a1212c-517e-7711-98f8-66416c94649a</t>
        </is>
      </c>
      <c r="C318" s="5" t="inlineStr">
        <is>
          <t>01a1212c-4b57-70cf-80fd-c2192cb3bf81</t>
        </is>
      </c>
      <c r="D318" s="4" t="n">
        <v>46304.62401628573</v>
      </c>
      <c r="E318" s="4" t="n">
        <v>46304.62401628582</v>
      </c>
      <c r="F318" t="b">
        <v>1</v>
      </c>
      <c r="G318" t="n">
        <v/>
      </c>
      <c r="H318" t="inlineStr">
        <is>
          <t>NAN</t>
        </is>
      </c>
      <c r="I318" t="inlineStr">
        <is>
          <t>Nanosonics Ltd</t>
        </is>
      </c>
      <c r="J318" t="inlineStr">
        <is>
          <t>AUD</t>
        </is>
      </c>
      <c r="K318" s="5" t="inlineStr">
        <is>
          <t>01a1212c-4c04-75ce-bbb2-e3322e18816e</t>
        </is>
      </c>
      <c r="M318" t="inlineStr">
        <is>
          <t>UNKNOWN</t>
        </is>
      </c>
      <c r="N318" t="inlineStr">
        <is>
          <t>DEFAULT</t>
        </is>
      </c>
      <c r="Q318" t="n">
        <v>0</v>
      </c>
      <c r="R318" t="inlineStr">
        <is>
          <t>AUD</t>
        </is>
      </c>
      <c r="S318" t="n">
        <v>0</v>
      </c>
      <c r="T318" t="inlineStr">
        <is>
          <t>AUD</t>
        </is>
      </c>
      <c r="U318" t="n">
        <v>0</v>
      </c>
    </row>
    <row r="319">
      <c r="A319" s="5" t="inlineStr">
        <is>
          <t>01a1212c-5181-756e-91c1-f26c60f1d79d</t>
        </is>
      </c>
      <c r="C319" s="5" t="inlineStr">
        <is>
          <t>01a1212c-4b57-70cf-80fd-c2192cb3bf81</t>
        </is>
      </c>
      <c r="D319" s="4" t="n">
        <v>46304.62401631696</v>
      </c>
      <c r="E319" s="4" t="n">
        <v>46304.62401631704</v>
      </c>
      <c r="F319" t="b">
        <v>1</v>
      </c>
      <c r="G319" t="n">
        <v/>
      </c>
      <c r="H319" t="inlineStr">
        <is>
          <t>DAVA</t>
        </is>
      </c>
      <c r="I319" t="inlineStr">
        <is>
          <t>Dimensional Australian Value Trust - Active ETF</t>
        </is>
      </c>
      <c r="J319" t="inlineStr">
        <is>
          <t>AUD</t>
        </is>
      </c>
      <c r="K319" s="5" t="inlineStr">
        <is>
          <t>01a1212c-4c04-75ce-bbb2-e3322e18816e</t>
        </is>
      </c>
      <c r="M319" t="inlineStr">
        <is>
          <t>UNKNOWN</t>
        </is>
      </c>
      <c r="N319" t="inlineStr">
        <is>
          <t>DEFAULT</t>
        </is>
      </c>
      <c r="Q319" t="n">
        <v>0</v>
      </c>
      <c r="R319" t="inlineStr">
        <is>
          <t>AUD</t>
        </is>
      </c>
      <c r="S319" t="n">
        <v>0</v>
      </c>
      <c r="T319" t="inlineStr">
        <is>
          <t>AUD</t>
        </is>
      </c>
      <c r="U319" t="n">
        <v>0</v>
      </c>
    </row>
    <row r="320">
      <c r="A320" s="5" t="inlineStr">
        <is>
          <t>01a1212c-5184-7205-90b1-fc5ebc916305</t>
        </is>
      </c>
      <c r="C320" s="5" t="inlineStr">
        <is>
          <t>01a1212c-4b57-70cf-80fd-c2192cb3bf81</t>
        </is>
      </c>
      <c r="D320" s="4" t="n">
        <v>46304.62401635021</v>
      </c>
      <c r="E320" s="4" t="n">
        <v>46304.62401635029</v>
      </c>
      <c r="F320" t="b">
        <v>1</v>
      </c>
      <c r="G320" t="n">
        <v/>
      </c>
      <c r="H320" t="inlineStr">
        <is>
          <t>FANG</t>
        </is>
      </c>
      <c r="I320" t="inlineStr">
        <is>
          <t>Global X Fang+ ETF</t>
        </is>
      </c>
      <c r="J320" t="inlineStr">
        <is>
          <t>AUD</t>
        </is>
      </c>
      <c r="K320" s="5" t="inlineStr">
        <is>
          <t>01a1212c-4c04-75ce-bbb2-e3322e18816e</t>
        </is>
      </c>
      <c r="M320" t="inlineStr">
        <is>
          <t>UNKNOWN</t>
        </is>
      </c>
      <c r="N320" t="inlineStr">
        <is>
          <t>DEFAULT</t>
        </is>
      </c>
      <c r="Q320" t="n">
        <v>0</v>
      </c>
      <c r="R320" t="inlineStr">
        <is>
          <t>AUD</t>
        </is>
      </c>
      <c r="S320" t="n">
        <v>0</v>
      </c>
      <c r="T320" t="inlineStr">
        <is>
          <t>AUD</t>
        </is>
      </c>
      <c r="U320" t="n">
        <v>0</v>
      </c>
    </row>
    <row r="321">
      <c r="A321" s="5" t="inlineStr">
        <is>
          <t>01a1212c-5187-700d-b084-d7afc54c858f</t>
        </is>
      </c>
      <c r="C321" s="5" t="inlineStr">
        <is>
          <t>01a1212c-4b57-70cf-80fd-c2192cb3bf81</t>
        </is>
      </c>
      <c r="D321" s="4" t="n">
        <v>46304.62401638419</v>
      </c>
      <c r="E321" s="4" t="n">
        <v>46304.62401638428</v>
      </c>
      <c r="F321" t="b">
        <v>1</v>
      </c>
      <c r="G321" t="n">
        <v/>
      </c>
      <c r="H321" t="inlineStr">
        <is>
          <t>LFG</t>
        </is>
      </c>
      <c r="I321" t="inlineStr">
        <is>
          <t>Liberty Financial Group</t>
        </is>
      </c>
      <c r="J321" t="inlineStr">
        <is>
          <t>AUD</t>
        </is>
      </c>
      <c r="K321" s="5" t="inlineStr">
        <is>
          <t>01a1212c-4c04-75ce-bbb2-e3322e18816e</t>
        </is>
      </c>
      <c r="M321" t="inlineStr">
        <is>
          <t>UNKNOWN</t>
        </is>
      </c>
      <c r="N321" t="inlineStr">
        <is>
          <t>DEFAULT</t>
        </is>
      </c>
      <c r="Q321" t="n">
        <v>0</v>
      </c>
      <c r="R321" t="inlineStr">
        <is>
          <t>AUD</t>
        </is>
      </c>
      <c r="S321" t="n">
        <v>0</v>
      </c>
      <c r="T321" t="inlineStr">
        <is>
          <t>AUD</t>
        </is>
      </c>
      <c r="U321" t="n">
        <v>0</v>
      </c>
    </row>
    <row r="322">
      <c r="A322" s="5" t="inlineStr">
        <is>
          <t>01a1212c-518a-702e-9a9e-e09ea043e30b</t>
        </is>
      </c>
      <c r="C322" s="5" t="inlineStr">
        <is>
          <t>01a1212c-4b57-70cf-80fd-c2192cb3bf81</t>
        </is>
      </c>
      <c r="D322" s="4" t="n">
        <v>46304.62401641567</v>
      </c>
      <c r="E322" s="4" t="n">
        <v>46304.62401641575</v>
      </c>
      <c r="F322" t="b">
        <v>1</v>
      </c>
      <c r="G322" t="n">
        <v/>
      </c>
      <c r="H322" t="inlineStr">
        <is>
          <t>IDX</t>
        </is>
      </c>
      <c r="I322" t="inlineStr">
        <is>
          <t>Integral Diagnostics Ltd</t>
        </is>
      </c>
      <c r="J322" t="inlineStr">
        <is>
          <t>AUD</t>
        </is>
      </c>
      <c r="K322" s="5" t="inlineStr">
        <is>
          <t>01a1212c-4c04-75ce-bbb2-e3322e18816e</t>
        </is>
      </c>
      <c r="M322" t="inlineStr">
        <is>
          <t>UNKNOWN</t>
        </is>
      </c>
      <c r="N322" t="inlineStr">
        <is>
          <t>DEFAULT</t>
        </is>
      </c>
      <c r="Q322" t="n">
        <v>0</v>
      </c>
      <c r="R322" t="inlineStr">
        <is>
          <t>AUD</t>
        </is>
      </c>
      <c r="S322" t="n">
        <v>0</v>
      </c>
      <c r="T322" t="inlineStr">
        <is>
          <t>AUD</t>
        </is>
      </c>
      <c r="U322" t="n">
        <v>0</v>
      </c>
    </row>
    <row r="323">
      <c r="A323" s="5" t="inlineStr">
        <is>
          <t>01a1212c-518c-7617-91b3-a905d5fc4887</t>
        </is>
      </c>
      <c r="C323" s="5" t="inlineStr">
        <is>
          <t>01a1212c-4b57-70cf-80fd-c2192cb3bf81</t>
        </is>
      </c>
      <c r="D323" s="4" t="n">
        <v>46304.62401644675</v>
      </c>
      <c r="E323" s="4" t="n">
        <v>46304.62401644683</v>
      </c>
      <c r="F323" t="b">
        <v>1</v>
      </c>
      <c r="G323" t="n">
        <v/>
      </c>
      <c r="H323" t="inlineStr">
        <is>
          <t>GEM</t>
        </is>
      </c>
      <c r="I323" t="inlineStr">
        <is>
          <t>G8 Education Ltd</t>
        </is>
      </c>
      <c r="J323" t="inlineStr">
        <is>
          <t>AUD</t>
        </is>
      </c>
      <c r="K323" s="5" t="inlineStr">
        <is>
          <t>01a1212c-4c04-75ce-bbb2-e3322e18816e</t>
        </is>
      </c>
      <c r="M323" t="inlineStr">
        <is>
          <t>UNKNOWN</t>
        </is>
      </c>
      <c r="N323" t="inlineStr">
        <is>
          <t>DEFAULT</t>
        </is>
      </c>
      <c r="Q323" t="n">
        <v>0</v>
      </c>
      <c r="R323" t="inlineStr">
        <is>
          <t>AUD</t>
        </is>
      </c>
      <c r="S323" t="n">
        <v>0</v>
      </c>
      <c r="T323" t="inlineStr">
        <is>
          <t>AUD</t>
        </is>
      </c>
      <c r="U323" t="n">
        <v>0</v>
      </c>
    </row>
    <row r="324">
      <c r="A324" s="5" t="inlineStr">
        <is>
          <t>01a1212c-518f-7506-84fb-b2d789b0d0ef</t>
        </is>
      </c>
      <c r="C324" s="5" t="inlineStr">
        <is>
          <t>01a1212c-4b57-70cf-80fd-c2192cb3bf81</t>
        </is>
      </c>
      <c r="D324" s="4" t="n">
        <v>46304.6240164772</v>
      </c>
      <c r="E324" s="4" t="n">
        <v>46304.62401647727</v>
      </c>
      <c r="F324" t="b">
        <v>1</v>
      </c>
      <c r="G324" t="n">
        <v/>
      </c>
      <c r="H324" t="inlineStr">
        <is>
          <t>MOAT</t>
        </is>
      </c>
      <c r="I324" t="inlineStr">
        <is>
          <t>Vaneck Morningstar Wide Moat ETF</t>
        </is>
      </c>
      <c r="J324" t="inlineStr">
        <is>
          <t>AUD</t>
        </is>
      </c>
      <c r="K324" s="5" t="inlineStr">
        <is>
          <t>01a1212c-4c04-75ce-bbb2-e3322e18816e</t>
        </is>
      </c>
      <c r="M324" t="inlineStr">
        <is>
          <t>UNKNOWN</t>
        </is>
      </c>
      <c r="N324" t="inlineStr">
        <is>
          <t>DEFAULT</t>
        </is>
      </c>
      <c r="Q324" t="n">
        <v>0</v>
      </c>
      <c r="R324" t="inlineStr">
        <is>
          <t>AUD</t>
        </is>
      </c>
      <c r="S324" t="n">
        <v>0</v>
      </c>
      <c r="T324" t="inlineStr">
        <is>
          <t>AUD</t>
        </is>
      </c>
      <c r="U324" t="n">
        <v>0</v>
      </c>
    </row>
    <row r="325">
      <c r="A325" s="5" t="inlineStr">
        <is>
          <t>01a1212c-5192-74fb-b066-719346d4b29f</t>
        </is>
      </c>
      <c r="C325" s="5" t="inlineStr">
        <is>
          <t>01a1212c-4b57-70cf-80fd-c2192cb3bf81</t>
        </is>
      </c>
      <c r="D325" s="4" t="n">
        <v>46304.62401650973</v>
      </c>
      <c r="E325" s="4" t="n">
        <v>46304.62401650981</v>
      </c>
      <c r="F325" t="b">
        <v>1</v>
      </c>
      <c r="G325" t="n">
        <v/>
      </c>
      <c r="H325" t="inlineStr">
        <is>
          <t>ABB</t>
        </is>
      </c>
      <c r="I325" t="inlineStr">
        <is>
          <t>Aussie Broadband Ltd</t>
        </is>
      </c>
      <c r="J325" t="inlineStr">
        <is>
          <t>AUD</t>
        </is>
      </c>
      <c r="K325" s="5" t="inlineStr">
        <is>
          <t>01a1212c-4c04-75ce-bbb2-e3322e18816e</t>
        </is>
      </c>
      <c r="M325" t="inlineStr">
        <is>
          <t>UNKNOWN</t>
        </is>
      </c>
      <c r="N325" t="inlineStr">
        <is>
          <t>DEFAULT</t>
        </is>
      </c>
      <c r="Q325" t="n">
        <v>0</v>
      </c>
      <c r="R325" t="inlineStr">
        <is>
          <t>AUD</t>
        </is>
      </c>
      <c r="S325" t="n">
        <v>0</v>
      </c>
      <c r="T325" t="inlineStr">
        <is>
          <t>AUD</t>
        </is>
      </c>
      <c r="U325" t="n">
        <v>0</v>
      </c>
    </row>
    <row r="326">
      <c r="A326" s="5" t="inlineStr">
        <is>
          <t>01a1212c-5194-73a5-a701-b940e8fb635b</t>
        </is>
      </c>
      <c r="C326" s="5" t="inlineStr">
        <is>
          <t>01a1212c-4b57-70cf-80fd-c2192cb3bf81</t>
        </is>
      </c>
      <c r="D326" s="4" t="n">
        <v>46304.62401654039</v>
      </c>
      <c r="E326" s="4" t="n">
        <v>46304.62401654047</v>
      </c>
      <c r="F326" t="b">
        <v>1</v>
      </c>
      <c r="G326" t="n">
        <v/>
      </c>
      <c r="H326" t="inlineStr">
        <is>
          <t>SLC</t>
        </is>
      </c>
      <c r="I326" t="inlineStr">
        <is>
          <t>Superloop Ltd</t>
        </is>
      </c>
      <c r="J326" t="inlineStr">
        <is>
          <t>AUD</t>
        </is>
      </c>
      <c r="K326" s="5" t="inlineStr">
        <is>
          <t>01a1212c-4c04-75ce-bbb2-e3322e18816e</t>
        </is>
      </c>
      <c r="M326" t="inlineStr">
        <is>
          <t>UNKNOWN</t>
        </is>
      </c>
      <c r="N326" t="inlineStr">
        <is>
          <t>DEFAULT</t>
        </is>
      </c>
      <c r="Q326" t="n">
        <v>0</v>
      </c>
      <c r="R326" t="inlineStr">
        <is>
          <t>AUD</t>
        </is>
      </c>
      <c r="S326" t="n">
        <v>0</v>
      </c>
      <c r="T326" t="inlineStr">
        <is>
          <t>AUD</t>
        </is>
      </c>
      <c r="U326" t="n">
        <v>0</v>
      </c>
    </row>
    <row r="327">
      <c r="A327" s="5" t="inlineStr">
        <is>
          <t>01a1212c-5197-71e8-8a68-6e75cbc094f8</t>
        </is>
      </c>
      <c r="C327" s="5" t="inlineStr">
        <is>
          <t>01a1212c-4b57-70cf-80fd-c2192cb3bf81</t>
        </is>
      </c>
      <c r="D327" s="4" t="n">
        <v>46304.62401657116</v>
      </c>
      <c r="E327" s="4" t="n">
        <v>46304.62401657124</v>
      </c>
      <c r="F327" t="b">
        <v>1</v>
      </c>
      <c r="G327" t="n">
        <v/>
      </c>
      <c r="H327" t="inlineStr">
        <is>
          <t>KAR</t>
        </is>
      </c>
      <c r="I327" t="inlineStr">
        <is>
          <t>Karoon Energy Ltd</t>
        </is>
      </c>
      <c r="J327" t="inlineStr">
        <is>
          <t>AUD</t>
        </is>
      </c>
      <c r="K327" s="5" t="inlineStr">
        <is>
          <t>01a1212c-4c04-75ce-bbb2-e3322e18816e</t>
        </is>
      </c>
      <c r="M327" t="inlineStr">
        <is>
          <t>UNKNOWN</t>
        </is>
      </c>
      <c r="N327" t="inlineStr">
        <is>
          <t>DEFAULT</t>
        </is>
      </c>
      <c r="Q327" t="n">
        <v>0</v>
      </c>
      <c r="R327" t="inlineStr">
        <is>
          <t>AUD</t>
        </is>
      </c>
      <c r="S327" t="n">
        <v>0</v>
      </c>
      <c r="T327" t="inlineStr">
        <is>
          <t>AUD</t>
        </is>
      </c>
      <c r="U327" t="n">
        <v>0</v>
      </c>
    </row>
    <row r="328">
      <c r="A328" s="5" t="inlineStr">
        <is>
          <t>01a1212c-519a-70bf-95e5-a33f33993dc0</t>
        </is>
      </c>
      <c r="C328" s="5" t="inlineStr">
        <is>
          <t>01a1212c-4b57-70cf-80fd-c2192cb3bf81</t>
        </is>
      </c>
      <c r="D328" s="4" t="n">
        <v>46304.6240166057</v>
      </c>
      <c r="E328" s="4" t="n">
        <v>46304.6240166058</v>
      </c>
      <c r="F328" t="b">
        <v>1</v>
      </c>
      <c r="G328" t="n">
        <v/>
      </c>
      <c r="H328" t="inlineStr">
        <is>
          <t>HSN</t>
        </is>
      </c>
      <c r="I328" t="inlineStr">
        <is>
          <t>Hansen Technologies Ltd</t>
        </is>
      </c>
      <c r="J328" t="inlineStr">
        <is>
          <t>AUD</t>
        </is>
      </c>
      <c r="K328" s="5" t="inlineStr">
        <is>
          <t>01a1212c-4c04-75ce-bbb2-e3322e18816e</t>
        </is>
      </c>
      <c r="M328" t="inlineStr">
        <is>
          <t>UNKNOWN</t>
        </is>
      </c>
      <c r="N328" t="inlineStr">
        <is>
          <t>DEFAULT</t>
        </is>
      </c>
      <c r="Q328" t="n">
        <v>0</v>
      </c>
      <c r="R328" t="inlineStr">
        <is>
          <t>AUD</t>
        </is>
      </c>
      <c r="S328" t="n">
        <v>0</v>
      </c>
      <c r="T328" t="inlineStr">
        <is>
          <t>AUD</t>
        </is>
      </c>
      <c r="U328" t="n">
        <v>0</v>
      </c>
    </row>
    <row r="329">
      <c r="A329" s="5" t="inlineStr">
        <is>
          <t>01a1212c-519d-7742-a602-0ce7d5df7348</t>
        </is>
      </c>
      <c r="C329" s="5" t="inlineStr">
        <is>
          <t>01a1212c-4b57-70cf-80fd-c2192cb3bf81</t>
        </is>
      </c>
      <c r="D329" s="4" t="n">
        <v>46304.62401664202</v>
      </c>
      <c r="E329" s="4" t="n">
        <v>46304.62401664212</v>
      </c>
      <c r="F329" t="b">
        <v>1</v>
      </c>
      <c r="G329" t="n">
        <v/>
      </c>
      <c r="H329" t="inlineStr">
        <is>
          <t>MMS</t>
        </is>
      </c>
      <c r="I329" t="inlineStr">
        <is>
          <t>Mcmillan Shakespeare Ltd</t>
        </is>
      </c>
      <c r="J329" t="inlineStr">
        <is>
          <t>AUD</t>
        </is>
      </c>
      <c r="K329" s="5" t="inlineStr">
        <is>
          <t>01a1212c-4c04-75ce-bbb2-e3322e18816e</t>
        </is>
      </c>
      <c r="M329" t="inlineStr">
        <is>
          <t>UNKNOWN</t>
        </is>
      </c>
      <c r="N329" t="inlineStr">
        <is>
          <t>DEFAULT</t>
        </is>
      </c>
      <c r="Q329" t="n">
        <v>0</v>
      </c>
      <c r="R329" t="inlineStr">
        <is>
          <t>AUD</t>
        </is>
      </c>
      <c r="S329" t="n">
        <v>0</v>
      </c>
      <c r="T329" t="inlineStr">
        <is>
          <t>AUD</t>
        </is>
      </c>
      <c r="U329" t="n">
        <v>0</v>
      </c>
    </row>
    <row r="330">
      <c r="A330" s="5" t="inlineStr">
        <is>
          <t>01a1212c-51a0-73a7-8c10-ea2ac4447e28</t>
        </is>
      </c>
      <c r="C330" s="5" t="inlineStr">
        <is>
          <t>01a1212c-4b57-70cf-80fd-c2192cb3bf81</t>
        </is>
      </c>
      <c r="D330" s="4" t="n">
        <v>46304.62401667369</v>
      </c>
      <c r="E330" s="4" t="n">
        <v>46304.62401667377</v>
      </c>
      <c r="F330" t="b">
        <v>1</v>
      </c>
      <c r="G330" t="n">
        <v/>
      </c>
      <c r="H330" t="inlineStr">
        <is>
          <t>DTL</t>
        </is>
      </c>
      <c r="I330" t="inlineStr">
        <is>
          <t>Data#3 Ltd</t>
        </is>
      </c>
      <c r="J330" t="inlineStr">
        <is>
          <t>AUD</t>
        </is>
      </c>
      <c r="K330" s="5" t="inlineStr">
        <is>
          <t>01a1212c-4c04-75ce-bbb2-e3322e18816e</t>
        </is>
      </c>
      <c r="M330" t="inlineStr">
        <is>
          <t>UNKNOWN</t>
        </is>
      </c>
      <c r="N330" t="inlineStr">
        <is>
          <t>DEFAULT</t>
        </is>
      </c>
      <c r="Q330" t="n">
        <v>0</v>
      </c>
      <c r="R330" t="inlineStr">
        <is>
          <t>AUD</t>
        </is>
      </c>
      <c r="S330" t="n">
        <v>0</v>
      </c>
      <c r="T330" t="inlineStr">
        <is>
          <t>AUD</t>
        </is>
      </c>
      <c r="U330" t="n">
        <v>0</v>
      </c>
    </row>
    <row r="331">
      <c r="A331" s="5" t="inlineStr">
        <is>
          <t>01a1212c-51a3-71dd-8d4b-e480c8ff31a4</t>
        </is>
      </c>
      <c r="C331" s="5" t="inlineStr">
        <is>
          <t>01a1212c-4b57-70cf-80fd-c2192cb3bf81</t>
        </is>
      </c>
      <c r="D331" s="4" t="n">
        <v>46304.62401670843</v>
      </c>
      <c r="E331" s="4" t="n">
        <v>46304.62401670852</v>
      </c>
      <c r="F331" t="b">
        <v>1</v>
      </c>
      <c r="G331" t="n">
        <v/>
      </c>
      <c r="H331" t="inlineStr">
        <is>
          <t>VGB</t>
        </is>
      </c>
      <c r="I331" t="inlineStr">
        <is>
          <t>Vanguard Australian Government Bond INDEX ETF</t>
        </is>
      </c>
      <c r="J331" t="inlineStr">
        <is>
          <t>AUD</t>
        </is>
      </c>
      <c r="K331" s="5" t="inlineStr">
        <is>
          <t>01a1212c-4c04-75ce-bbb2-e3322e18816e</t>
        </is>
      </c>
      <c r="M331" t="inlineStr">
        <is>
          <t>UNKNOWN</t>
        </is>
      </c>
      <c r="N331" t="inlineStr">
        <is>
          <t>DEFAULT</t>
        </is>
      </c>
      <c r="Q331" t="n">
        <v>0</v>
      </c>
      <c r="R331" t="inlineStr">
        <is>
          <t>AUD</t>
        </is>
      </c>
      <c r="S331" t="n">
        <v>0</v>
      </c>
      <c r="T331" t="inlineStr">
        <is>
          <t>AUD</t>
        </is>
      </c>
      <c r="U331" t="n">
        <v>0</v>
      </c>
    </row>
    <row r="332">
      <c r="A332" s="5" t="inlineStr">
        <is>
          <t>01a1212c-51a6-70ab-92e8-4ca09eebdfa0</t>
        </is>
      </c>
      <c r="C332" s="5" t="inlineStr">
        <is>
          <t>01a1212c-4b57-70cf-80fd-c2192cb3bf81</t>
        </is>
      </c>
      <c r="D332" s="4" t="n">
        <v>46304.62401673952</v>
      </c>
      <c r="E332" s="4" t="n">
        <v>46304.6240167396</v>
      </c>
      <c r="F332" t="b">
        <v>1</v>
      </c>
      <c r="G332" t="n">
        <v/>
      </c>
      <c r="H332" t="inlineStr">
        <is>
          <t>JLG</t>
        </is>
      </c>
      <c r="I332" t="inlineStr">
        <is>
          <t>Johns LYNG Group Ltd</t>
        </is>
      </c>
      <c r="J332" t="inlineStr">
        <is>
          <t>AUD</t>
        </is>
      </c>
      <c r="K332" s="5" t="inlineStr">
        <is>
          <t>01a1212c-4c04-75ce-bbb2-e3322e18816e</t>
        </is>
      </c>
      <c r="M332" t="inlineStr">
        <is>
          <t>UNKNOWN</t>
        </is>
      </c>
      <c r="N332" t="inlineStr">
        <is>
          <t>DEFAULT</t>
        </is>
      </c>
      <c r="Q332" t="n">
        <v>0</v>
      </c>
      <c r="R332" t="inlineStr">
        <is>
          <t>AUD</t>
        </is>
      </c>
      <c r="S332" t="n">
        <v>0</v>
      </c>
      <c r="T332" t="inlineStr">
        <is>
          <t>AUD</t>
        </is>
      </c>
      <c r="U332" t="n">
        <v>0</v>
      </c>
    </row>
    <row r="333">
      <c r="A333" s="5" t="inlineStr">
        <is>
          <t>01a1212c-51a9-7762-a4dd-10f2486a2ae9</t>
        </is>
      </c>
      <c r="C333" s="5" t="inlineStr">
        <is>
          <t>01a1212c-4b57-70cf-80fd-c2192cb3bf81</t>
        </is>
      </c>
      <c r="D333" s="4" t="n">
        <v>46304.624016775</v>
      </c>
      <c r="E333" s="4" t="n">
        <v>46304.6240167751</v>
      </c>
      <c r="F333" t="b">
        <v>1</v>
      </c>
      <c r="G333" t="n">
        <v/>
      </c>
      <c r="H333" t="inlineStr">
        <is>
          <t>CMW</t>
        </is>
      </c>
      <c r="I333" t="inlineStr">
        <is>
          <t>Cromwell Property Group</t>
        </is>
      </c>
      <c r="J333" t="inlineStr">
        <is>
          <t>AUD</t>
        </is>
      </c>
      <c r="K333" s="5" t="inlineStr">
        <is>
          <t>01a1212c-4c04-75ce-bbb2-e3322e18816e</t>
        </is>
      </c>
      <c r="M333" t="inlineStr">
        <is>
          <t>UNKNOWN</t>
        </is>
      </c>
      <c r="N333" t="inlineStr">
        <is>
          <t>DEFAULT</t>
        </is>
      </c>
      <c r="Q333" t="n">
        <v>0</v>
      </c>
      <c r="R333" t="inlineStr">
        <is>
          <t>AUD</t>
        </is>
      </c>
      <c r="S333" t="n">
        <v>0</v>
      </c>
      <c r="T333" t="inlineStr">
        <is>
          <t>AUD</t>
        </is>
      </c>
      <c r="U333" t="n">
        <v>0</v>
      </c>
    </row>
    <row r="334">
      <c r="A334" s="5" t="inlineStr">
        <is>
          <t>01a1212c-51ac-7763-8cf5-64d3c73bd3c1</t>
        </is>
      </c>
      <c r="C334" s="5" t="inlineStr">
        <is>
          <t>01a1212c-4b57-70cf-80fd-c2192cb3bf81</t>
        </is>
      </c>
      <c r="D334" s="4" t="n">
        <v>46304.62401681156</v>
      </c>
      <c r="E334" s="4" t="n">
        <v>46304.62401681164</v>
      </c>
      <c r="F334" t="b">
        <v>1</v>
      </c>
      <c r="G334" t="n">
        <v/>
      </c>
      <c r="H334" t="inlineStr">
        <is>
          <t>CRED</t>
        </is>
      </c>
      <c r="I334" t="inlineStr">
        <is>
          <t>Betashares Australian Investment Grade Corporate Bond ETF</t>
        </is>
      </c>
      <c r="J334" t="inlineStr">
        <is>
          <t>AUD</t>
        </is>
      </c>
      <c r="K334" s="5" t="inlineStr">
        <is>
          <t>01a1212c-4c04-75ce-bbb2-e3322e18816e</t>
        </is>
      </c>
      <c r="M334" t="inlineStr">
        <is>
          <t>UNKNOWN</t>
        </is>
      </c>
      <c r="N334" t="inlineStr">
        <is>
          <t>DEFAULT</t>
        </is>
      </c>
      <c r="Q334" t="n">
        <v>0</v>
      </c>
      <c r="R334" t="inlineStr">
        <is>
          <t>AUD</t>
        </is>
      </c>
      <c r="S334" t="n">
        <v>0</v>
      </c>
      <c r="T334" t="inlineStr">
        <is>
          <t>AUD</t>
        </is>
      </c>
      <c r="U334" t="n">
        <v>0</v>
      </c>
    </row>
    <row r="335">
      <c r="A335" s="5" t="inlineStr">
        <is>
          <t>01a1212c-51af-7788-b7c3-f501dba807c8</t>
        </is>
      </c>
      <c r="C335" s="5" t="inlineStr">
        <is>
          <t>01a1212c-4b57-70cf-80fd-c2192cb3bf81</t>
        </is>
      </c>
      <c r="D335" s="4" t="n">
        <v>46304.62401684263</v>
      </c>
      <c r="E335" s="4" t="n">
        <v>46304.62401684271</v>
      </c>
      <c r="F335" t="b">
        <v>1</v>
      </c>
      <c r="G335" t="n">
        <v/>
      </c>
      <c r="H335" t="inlineStr">
        <is>
          <t>SIQ</t>
        </is>
      </c>
      <c r="I335" t="inlineStr">
        <is>
          <t>Smartgroup Corporation Ltd</t>
        </is>
      </c>
      <c r="J335" t="inlineStr">
        <is>
          <t>AUD</t>
        </is>
      </c>
      <c r="K335" s="5" t="inlineStr">
        <is>
          <t>01a1212c-4c04-75ce-bbb2-e3322e18816e</t>
        </is>
      </c>
      <c r="M335" t="inlineStr">
        <is>
          <t>UNKNOWN</t>
        </is>
      </c>
      <c r="N335" t="inlineStr">
        <is>
          <t>DEFAULT</t>
        </is>
      </c>
      <c r="Q335" t="n">
        <v>0</v>
      </c>
      <c r="R335" t="inlineStr">
        <is>
          <t>AUD</t>
        </is>
      </c>
      <c r="S335" t="n">
        <v>0</v>
      </c>
      <c r="T335" t="inlineStr">
        <is>
          <t>AUD</t>
        </is>
      </c>
      <c r="U335" t="n">
        <v>0</v>
      </c>
    </row>
    <row r="336">
      <c r="A336" s="5" t="inlineStr">
        <is>
          <t>01a1212c-51b1-729a-a6a7-8753c6d3107d</t>
        </is>
      </c>
      <c r="C336" s="5" t="inlineStr">
        <is>
          <t>01a1212c-4b57-70cf-80fd-c2192cb3bf81</t>
        </is>
      </c>
      <c r="D336" s="4" t="n">
        <v>46304.62401687405</v>
      </c>
      <c r="E336" s="4" t="n">
        <v>46304.62401687414</v>
      </c>
      <c r="F336" t="b">
        <v>1</v>
      </c>
      <c r="G336" t="n">
        <v/>
      </c>
      <c r="H336" t="inlineStr">
        <is>
          <t>NABPK</t>
        </is>
      </c>
      <c r="I336" t="inlineStr">
        <is>
          <t>National Australia Bank Ltd</t>
        </is>
      </c>
      <c r="J336" t="inlineStr">
        <is>
          <t>AUD</t>
        </is>
      </c>
      <c r="K336" s="5" t="inlineStr">
        <is>
          <t>01a1212c-4c04-75ce-bbb2-e3322e18816e</t>
        </is>
      </c>
      <c r="M336" t="inlineStr">
        <is>
          <t>UNKNOWN</t>
        </is>
      </c>
      <c r="N336" t="inlineStr">
        <is>
          <t>DEFAULT</t>
        </is>
      </c>
      <c r="Q336" t="n">
        <v>0</v>
      </c>
      <c r="R336" t="inlineStr">
        <is>
          <t>AUD</t>
        </is>
      </c>
      <c r="S336" t="n">
        <v>0</v>
      </c>
      <c r="T336" t="inlineStr">
        <is>
          <t>AUD</t>
        </is>
      </c>
      <c r="U336" t="n">
        <v>0</v>
      </c>
    </row>
    <row r="337">
      <c r="A337" s="5" t="inlineStr">
        <is>
          <t>01a1212c-51b4-7738-8cf3-854b57de4d8d</t>
        </is>
      </c>
      <c r="C337" s="5" t="inlineStr">
        <is>
          <t>01a1212c-4b57-70cf-80fd-c2192cb3bf81</t>
        </is>
      </c>
      <c r="D337" s="4" t="n">
        <v>46304.624016905</v>
      </c>
      <c r="E337" s="4" t="n">
        <v>46304.62401690508</v>
      </c>
      <c r="F337" t="b">
        <v>1</v>
      </c>
      <c r="G337" t="n">
        <v/>
      </c>
      <c r="H337" t="inlineStr">
        <is>
          <t>CAT</t>
        </is>
      </c>
      <c r="I337" t="inlineStr">
        <is>
          <t>Catapult Group International Ltd</t>
        </is>
      </c>
      <c r="J337" t="inlineStr">
        <is>
          <t>AUD</t>
        </is>
      </c>
      <c r="K337" s="5" t="inlineStr">
        <is>
          <t>01a1212c-4c04-75ce-bbb2-e3322e18816e</t>
        </is>
      </c>
      <c r="M337" t="inlineStr">
        <is>
          <t>UNKNOWN</t>
        </is>
      </c>
      <c r="N337" t="inlineStr">
        <is>
          <t>DEFAULT</t>
        </is>
      </c>
      <c r="Q337" t="n">
        <v>0</v>
      </c>
      <c r="R337" t="inlineStr">
        <is>
          <t>AUD</t>
        </is>
      </c>
      <c r="S337" t="n">
        <v>0</v>
      </c>
      <c r="T337" t="inlineStr">
        <is>
          <t>AUD</t>
        </is>
      </c>
      <c r="U337" t="n">
        <v>0</v>
      </c>
    </row>
    <row r="338">
      <c r="A338" s="5" t="inlineStr">
        <is>
          <t>01a1212c-51b7-74f1-8166-84bfe1fedf11</t>
        </is>
      </c>
      <c r="C338" s="5" t="inlineStr">
        <is>
          <t>01a1212c-4b57-70cf-80fd-c2192cb3bf81</t>
        </is>
      </c>
      <c r="D338" s="4" t="n">
        <v>46304.62401693795</v>
      </c>
      <c r="E338" s="4" t="n">
        <v>46304.62401693803</v>
      </c>
      <c r="F338" t="b">
        <v>1</v>
      </c>
      <c r="G338" t="n">
        <v/>
      </c>
      <c r="H338" t="inlineStr">
        <is>
          <t>HLS</t>
        </is>
      </c>
      <c r="I338" t="inlineStr">
        <is>
          <t>Healius Ltd</t>
        </is>
      </c>
      <c r="J338" t="inlineStr">
        <is>
          <t>AUD</t>
        </is>
      </c>
      <c r="K338" s="5" t="inlineStr">
        <is>
          <t>01a1212c-4c04-75ce-bbb2-e3322e18816e</t>
        </is>
      </c>
      <c r="M338" t="inlineStr">
        <is>
          <t>UNKNOWN</t>
        </is>
      </c>
      <c r="N338" t="inlineStr">
        <is>
          <t>DEFAULT</t>
        </is>
      </c>
      <c r="Q338" t="n">
        <v>0</v>
      </c>
      <c r="R338" t="inlineStr">
        <is>
          <t>AUD</t>
        </is>
      </c>
      <c r="S338" t="n">
        <v>0</v>
      </c>
      <c r="T338" t="inlineStr">
        <is>
          <t>AUD</t>
        </is>
      </c>
      <c r="U338" t="n">
        <v>0</v>
      </c>
    </row>
    <row r="339">
      <c r="A339" s="5" t="inlineStr">
        <is>
          <t>01a1212c-51b9-716e-a469-6d4e604eb199</t>
        </is>
      </c>
      <c r="C339" s="5" t="inlineStr">
        <is>
          <t>01a1212c-4b57-70cf-80fd-c2192cb3bf81</t>
        </is>
      </c>
      <c r="D339" s="4" t="n">
        <v>46304.62401696866</v>
      </c>
      <c r="E339" s="4" t="n">
        <v>46304.62401696873</v>
      </c>
      <c r="F339" t="b">
        <v>1</v>
      </c>
      <c r="G339" t="n">
        <v/>
      </c>
      <c r="H339" t="inlineStr">
        <is>
          <t>ABG</t>
        </is>
      </c>
      <c r="I339" t="inlineStr">
        <is>
          <t>Abacus Group</t>
        </is>
      </c>
      <c r="J339" t="inlineStr">
        <is>
          <t>AUD</t>
        </is>
      </c>
      <c r="K339" s="5" t="inlineStr">
        <is>
          <t>01a1212c-4c04-75ce-bbb2-e3322e18816e</t>
        </is>
      </c>
      <c r="M339" t="inlineStr">
        <is>
          <t>UNKNOWN</t>
        </is>
      </c>
      <c r="N339" t="inlineStr">
        <is>
          <t>DEFAULT</t>
        </is>
      </c>
      <c r="Q339" t="n">
        <v>0</v>
      </c>
      <c r="R339" t="inlineStr">
        <is>
          <t>AUD</t>
        </is>
      </c>
      <c r="S339" t="n">
        <v>0</v>
      </c>
      <c r="T339" t="inlineStr">
        <is>
          <t>AUD</t>
        </is>
      </c>
      <c r="U339" t="n">
        <v>0</v>
      </c>
    </row>
    <row r="340">
      <c r="A340" s="5" t="inlineStr">
        <is>
          <t>01a1212c-51bc-74b0-842c-e917d2531d71</t>
        </is>
      </c>
      <c r="C340" s="5" t="inlineStr">
        <is>
          <t>01a1212c-4b57-70cf-80fd-c2192cb3bf81</t>
        </is>
      </c>
      <c r="D340" s="4" t="n">
        <v>46304.62401699947</v>
      </c>
      <c r="E340" s="4" t="n">
        <v>46304.62401699954</v>
      </c>
      <c r="F340" t="b">
        <v>1</v>
      </c>
      <c r="G340" t="n">
        <v/>
      </c>
      <c r="H340" t="inlineStr">
        <is>
          <t>VDGR</t>
        </is>
      </c>
      <c r="I340" t="inlineStr">
        <is>
          <t>Vanguard Diversified Growth INDEX ETF</t>
        </is>
      </c>
      <c r="J340" t="inlineStr">
        <is>
          <t>AUD</t>
        </is>
      </c>
      <c r="K340" s="5" t="inlineStr">
        <is>
          <t>01a1212c-4c04-75ce-bbb2-e3322e18816e</t>
        </is>
      </c>
      <c r="M340" t="inlineStr">
        <is>
          <t>UNIT_TRUST</t>
        </is>
      </c>
      <c r="N340" t="inlineStr">
        <is>
          <t>SUGGESTED</t>
        </is>
      </c>
      <c r="Q340" t="n">
        <v>0</v>
      </c>
      <c r="R340" t="inlineStr">
        <is>
          <t>AUD</t>
        </is>
      </c>
      <c r="S340" t="n">
        <v>0</v>
      </c>
      <c r="T340" t="inlineStr">
        <is>
          <t>AUD</t>
        </is>
      </c>
      <c r="U340" t="n">
        <v>0</v>
      </c>
    </row>
    <row r="341">
      <c r="A341" s="5" t="inlineStr">
        <is>
          <t>01a1212c-51bf-70a0-a072-44d14991fcf9</t>
        </is>
      </c>
      <c r="C341" s="5" t="inlineStr">
        <is>
          <t>01a1212c-4b57-70cf-80fd-c2192cb3bf81</t>
        </is>
      </c>
      <c r="D341" s="4" t="n">
        <v>46304.6240170369</v>
      </c>
      <c r="E341" s="4" t="n">
        <v>46304.62401703698</v>
      </c>
      <c r="F341" t="b">
        <v>1</v>
      </c>
      <c r="G341" t="n">
        <v/>
      </c>
      <c r="H341" t="inlineStr">
        <is>
          <t>ERA</t>
        </is>
      </c>
      <c r="I341" t="inlineStr">
        <is>
          <t>Energy Resources of Australia Ltd</t>
        </is>
      </c>
      <c r="J341" t="inlineStr">
        <is>
          <t>AUD</t>
        </is>
      </c>
      <c r="K341" s="5" t="inlineStr">
        <is>
          <t>01a1212c-4c04-75ce-bbb2-e3322e18816e</t>
        </is>
      </c>
      <c r="M341" t="inlineStr">
        <is>
          <t>UNKNOWN</t>
        </is>
      </c>
      <c r="N341" t="inlineStr">
        <is>
          <t>DEFAULT</t>
        </is>
      </c>
      <c r="Q341" t="n">
        <v>0</v>
      </c>
      <c r="R341" t="inlineStr">
        <is>
          <t>AUD</t>
        </is>
      </c>
      <c r="S341" t="n">
        <v>0</v>
      </c>
      <c r="T341" t="inlineStr">
        <is>
          <t>AUD</t>
        </is>
      </c>
      <c r="U341" t="n">
        <v>0</v>
      </c>
    </row>
    <row r="342">
      <c r="A342" s="5" t="inlineStr">
        <is>
          <t>01a1212c-51c2-74a0-b341-5245f4f96aff</t>
        </is>
      </c>
      <c r="C342" s="5" t="inlineStr">
        <is>
          <t>01a1212c-4b57-70cf-80fd-c2192cb3bf81</t>
        </is>
      </c>
      <c r="D342" s="4" t="n">
        <v>46304.62401707109</v>
      </c>
      <c r="E342" s="4" t="n">
        <v>46304.62401707117</v>
      </c>
      <c r="F342" t="b">
        <v>1</v>
      </c>
      <c r="G342" t="n">
        <v/>
      </c>
      <c r="H342" t="inlineStr">
        <is>
          <t>BGP</t>
        </is>
      </c>
      <c r="I342" t="inlineStr">
        <is>
          <t>Briscoe Group Australasia Ltd</t>
        </is>
      </c>
      <c r="J342" t="inlineStr">
        <is>
          <t>AUD</t>
        </is>
      </c>
      <c r="K342" s="5" t="inlineStr">
        <is>
          <t>01a1212c-4c04-75ce-bbb2-e3322e18816e</t>
        </is>
      </c>
      <c r="M342" t="inlineStr">
        <is>
          <t>UNKNOWN</t>
        </is>
      </c>
      <c r="N342" t="inlineStr">
        <is>
          <t>DEFAULT</t>
        </is>
      </c>
      <c r="Q342" t="n">
        <v>0</v>
      </c>
      <c r="R342" t="inlineStr">
        <is>
          <t>AUD</t>
        </is>
      </c>
      <c r="S342" t="n">
        <v>0</v>
      </c>
      <c r="T342" t="inlineStr">
        <is>
          <t>AUD</t>
        </is>
      </c>
      <c r="U342" t="n">
        <v>0</v>
      </c>
    </row>
    <row r="343">
      <c r="A343" s="5" t="inlineStr">
        <is>
          <t>01a1212c-51c5-74d3-ba1f-4b8fd70df472</t>
        </is>
      </c>
      <c r="C343" s="5" t="inlineStr">
        <is>
          <t>01a1212c-4b57-70cf-80fd-c2192cb3bf81</t>
        </is>
      </c>
      <c r="D343" s="4" t="n">
        <v>46304.62401710183</v>
      </c>
      <c r="E343" s="4" t="n">
        <v>46304.62401710191</v>
      </c>
      <c r="F343" t="b">
        <v>1</v>
      </c>
      <c r="G343" t="n">
        <v/>
      </c>
      <c r="H343" t="inlineStr">
        <is>
          <t>A4N</t>
        </is>
      </c>
      <c r="I343" t="inlineStr">
        <is>
          <t>Alpha Hpa Ltd</t>
        </is>
      </c>
      <c r="J343" t="inlineStr">
        <is>
          <t>AUD</t>
        </is>
      </c>
      <c r="K343" s="5" t="inlineStr">
        <is>
          <t>01a1212c-4c04-75ce-bbb2-e3322e18816e</t>
        </is>
      </c>
      <c r="M343" t="inlineStr">
        <is>
          <t>UNKNOWN</t>
        </is>
      </c>
      <c r="N343" t="inlineStr">
        <is>
          <t>DEFAULT</t>
        </is>
      </c>
      <c r="Q343" t="n">
        <v>0</v>
      </c>
      <c r="R343" t="inlineStr">
        <is>
          <t>AUD</t>
        </is>
      </c>
      <c r="S343" t="n">
        <v>0</v>
      </c>
      <c r="T343" t="inlineStr">
        <is>
          <t>AUD</t>
        </is>
      </c>
      <c r="U343" t="n">
        <v>0</v>
      </c>
    </row>
    <row r="344">
      <c r="A344" s="5" t="inlineStr">
        <is>
          <t>01a1212c-51c8-763b-98b3-c70837c7d5ea</t>
        </is>
      </c>
      <c r="C344" s="5" t="inlineStr">
        <is>
          <t>01a1212c-4b57-70cf-80fd-c2192cb3bf81</t>
        </is>
      </c>
      <c r="D344" s="4" t="n">
        <v>46304.62401713253</v>
      </c>
      <c r="E344" s="4" t="n">
        <v>46304.62401713261</v>
      </c>
      <c r="F344" t="b">
        <v>1</v>
      </c>
      <c r="G344" t="n">
        <v/>
      </c>
      <c r="H344" t="inlineStr">
        <is>
          <t>KLS</t>
        </is>
      </c>
      <c r="I344" t="inlineStr">
        <is>
          <t>Kelsian Group Ltd</t>
        </is>
      </c>
      <c r="J344" t="inlineStr">
        <is>
          <t>AUD</t>
        </is>
      </c>
      <c r="K344" s="5" t="inlineStr">
        <is>
          <t>01a1212c-4c04-75ce-bbb2-e3322e18816e</t>
        </is>
      </c>
      <c r="M344" t="inlineStr">
        <is>
          <t>UNKNOWN</t>
        </is>
      </c>
      <c r="N344" t="inlineStr">
        <is>
          <t>DEFAULT</t>
        </is>
      </c>
      <c r="Q344" t="n">
        <v>0</v>
      </c>
      <c r="R344" t="inlineStr">
        <is>
          <t>AUD</t>
        </is>
      </c>
      <c r="S344" t="n">
        <v>0</v>
      </c>
      <c r="T344" t="inlineStr">
        <is>
          <t>AUD</t>
        </is>
      </c>
      <c r="U344" t="n">
        <v>0</v>
      </c>
    </row>
    <row r="345">
      <c r="A345" s="5" t="inlineStr">
        <is>
          <t>01a1212c-51ca-7392-8cc0-ff8aa61e912d</t>
        </is>
      </c>
      <c r="C345" s="5" t="inlineStr">
        <is>
          <t>01a1212c-4b57-70cf-80fd-c2192cb3bf81</t>
        </is>
      </c>
      <c r="D345" s="4" t="n">
        <v>46304.62401716278</v>
      </c>
      <c r="E345" s="4" t="n">
        <v>46304.62401716286</v>
      </c>
      <c r="F345" t="b">
        <v>1</v>
      </c>
      <c r="G345" t="n">
        <v/>
      </c>
      <c r="H345" t="inlineStr">
        <is>
          <t>VSO</t>
        </is>
      </c>
      <c r="I345" t="inlineStr">
        <is>
          <t>Vanguard MSCI Australian Small Companies INDEX ETF</t>
        </is>
      </c>
      <c r="J345" t="inlineStr">
        <is>
          <t>AUD</t>
        </is>
      </c>
      <c r="K345" s="5" t="inlineStr">
        <is>
          <t>01a1212c-4c04-75ce-bbb2-e3322e18816e</t>
        </is>
      </c>
      <c r="M345" t="inlineStr">
        <is>
          <t>UNIT_TRUST</t>
        </is>
      </c>
      <c r="N345" t="inlineStr">
        <is>
          <t>SUGGESTED</t>
        </is>
      </c>
      <c r="Q345" t="n">
        <v>0</v>
      </c>
      <c r="R345" t="inlineStr">
        <is>
          <t>AUD</t>
        </is>
      </c>
      <c r="S345" t="n">
        <v>0</v>
      </c>
      <c r="T345" t="inlineStr">
        <is>
          <t>AUD</t>
        </is>
      </c>
      <c r="U345" t="n">
        <v>0</v>
      </c>
    </row>
    <row r="346">
      <c r="A346" s="5" t="inlineStr">
        <is>
          <t>01a1212c-51cd-726a-9fae-74514b0c0b39</t>
        </is>
      </c>
      <c r="C346" s="5" t="inlineStr">
        <is>
          <t>01a1212c-4b57-70cf-80fd-c2192cb3bf81</t>
        </is>
      </c>
      <c r="D346" s="4" t="n">
        <v>46304.62401719954</v>
      </c>
      <c r="E346" s="4" t="n">
        <v>46304.62401719962</v>
      </c>
      <c r="F346" t="b">
        <v>1</v>
      </c>
      <c r="G346" t="n">
        <v/>
      </c>
      <c r="H346" t="inlineStr">
        <is>
          <t>SKC</t>
        </is>
      </c>
      <c r="I346" t="inlineStr">
        <is>
          <t>Skycity Entertainment Group Ltd</t>
        </is>
      </c>
      <c r="J346" t="inlineStr">
        <is>
          <t>AUD</t>
        </is>
      </c>
      <c r="K346" s="5" t="inlineStr">
        <is>
          <t>01a1212c-4c04-75ce-bbb2-e3322e18816e</t>
        </is>
      </c>
      <c r="M346" t="inlineStr">
        <is>
          <t>UNKNOWN</t>
        </is>
      </c>
      <c r="N346" t="inlineStr">
        <is>
          <t>DEFAULT</t>
        </is>
      </c>
      <c r="Q346" t="n">
        <v>0</v>
      </c>
      <c r="R346" t="inlineStr">
        <is>
          <t>AUD</t>
        </is>
      </c>
      <c r="S346" t="n">
        <v>0</v>
      </c>
      <c r="T346" t="inlineStr">
        <is>
          <t>AUD</t>
        </is>
      </c>
      <c r="U346" t="n">
        <v>0</v>
      </c>
    </row>
    <row r="347">
      <c r="A347" s="5" t="inlineStr">
        <is>
          <t>01a1212c-51d0-7444-88a2-a1ffd281309b</t>
        </is>
      </c>
      <c r="C347" s="5" t="inlineStr">
        <is>
          <t>01a1212c-4b57-70cf-80fd-c2192cb3bf81</t>
        </is>
      </c>
      <c r="D347" s="4" t="n">
        <v>46304.62401723016</v>
      </c>
      <c r="E347" s="4" t="n">
        <v>46304.62401723024</v>
      </c>
      <c r="F347" t="b">
        <v>1</v>
      </c>
      <c r="G347" t="n">
        <v/>
      </c>
      <c r="H347" t="inlineStr">
        <is>
          <t>CQE</t>
        </is>
      </c>
      <c r="I347" t="inlineStr">
        <is>
          <t>Charter Hall Social Infrastructure REIT</t>
        </is>
      </c>
      <c r="J347" t="inlineStr">
        <is>
          <t>AUD</t>
        </is>
      </c>
      <c r="K347" s="5" t="inlineStr">
        <is>
          <t>01a1212c-4c04-75ce-bbb2-e3322e18816e</t>
        </is>
      </c>
      <c r="M347" t="inlineStr">
        <is>
          <t>UNKNOWN</t>
        </is>
      </c>
      <c r="N347" t="inlineStr">
        <is>
          <t>DEFAULT</t>
        </is>
      </c>
      <c r="Q347" t="n">
        <v>0</v>
      </c>
      <c r="R347" t="inlineStr">
        <is>
          <t>AUD</t>
        </is>
      </c>
      <c r="S347" t="n">
        <v>0</v>
      </c>
      <c r="T347" t="inlineStr">
        <is>
          <t>AUD</t>
        </is>
      </c>
      <c r="U347" t="n">
        <v>0</v>
      </c>
    </row>
    <row r="348">
      <c r="A348" s="5" t="inlineStr">
        <is>
          <t>01a1212c-51d3-70bd-a79c-70a3c85aff5f</t>
        </is>
      </c>
      <c r="C348" s="5" t="inlineStr">
        <is>
          <t>01a1212c-4b57-70cf-80fd-c2192cb3bf81</t>
        </is>
      </c>
      <c r="D348" s="4" t="n">
        <v>46304.62401726039</v>
      </c>
      <c r="E348" s="4" t="n">
        <v>46304.62401726046</v>
      </c>
      <c r="F348" t="b">
        <v>1</v>
      </c>
      <c r="G348" t="n">
        <v/>
      </c>
      <c r="H348" t="inlineStr">
        <is>
          <t>BVS</t>
        </is>
      </c>
      <c r="I348" t="inlineStr">
        <is>
          <t>Bravura Solutions Ltd</t>
        </is>
      </c>
      <c r="J348" t="inlineStr">
        <is>
          <t>AUD</t>
        </is>
      </c>
      <c r="K348" s="5" t="inlineStr">
        <is>
          <t>01a1212c-4c04-75ce-bbb2-e3322e18816e</t>
        </is>
      </c>
      <c r="M348" t="inlineStr">
        <is>
          <t>UNKNOWN</t>
        </is>
      </c>
      <c r="N348" t="inlineStr">
        <is>
          <t>DEFAULT</t>
        </is>
      </c>
      <c r="Q348" t="n">
        <v>0</v>
      </c>
      <c r="R348" t="inlineStr">
        <is>
          <t>AUD</t>
        </is>
      </c>
      <c r="S348" t="n">
        <v>0</v>
      </c>
      <c r="T348" t="inlineStr">
        <is>
          <t>AUD</t>
        </is>
      </c>
      <c r="U348" t="n">
        <v>0</v>
      </c>
    </row>
    <row r="349">
      <c r="A349" s="5" t="inlineStr">
        <is>
          <t>01a1212c-51d5-7256-92b4-649b9b6a82a6</t>
        </is>
      </c>
      <c r="C349" s="5" t="inlineStr">
        <is>
          <t>01a1212c-4b57-70cf-80fd-c2192cb3bf81</t>
        </is>
      </c>
      <c r="D349" s="4" t="n">
        <v>46304.62401729108</v>
      </c>
      <c r="E349" s="4" t="n">
        <v>46304.62401729116</v>
      </c>
      <c r="F349" t="b">
        <v>1</v>
      </c>
      <c r="G349" t="n">
        <v/>
      </c>
      <c r="H349" t="inlineStr">
        <is>
          <t>MQGPD</t>
        </is>
      </c>
      <c r="I349" t="inlineStr">
        <is>
          <t>Macquarie Group Ltd</t>
        </is>
      </c>
      <c r="J349" t="inlineStr">
        <is>
          <t>AUD</t>
        </is>
      </c>
      <c r="K349" s="5" t="inlineStr">
        <is>
          <t>01a1212c-4c04-75ce-bbb2-e3322e18816e</t>
        </is>
      </c>
      <c r="M349" t="inlineStr">
        <is>
          <t>UNKNOWN</t>
        </is>
      </c>
      <c r="N349" t="inlineStr">
        <is>
          <t>DEFAULT</t>
        </is>
      </c>
      <c r="Q349" t="n">
        <v>0</v>
      </c>
      <c r="R349" t="inlineStr">
        <is>
          <t>AUD</t>
        </is>
      </c>
      <c r="S349" t="n">
        <v>0</v>
      </c>
      <c r="T349" t="inlineStr">
        <is>
          <t>AUD</t>
        </is>
      </c>
      <c r="U349" t="n">
        <v>0</v>
      </c>
    </row>
    <row r="350">
      <c r="A350" s="5" t="inlineStr">
        <is>
          <t>01a1212c-51d8-7200-a727-56a6fe7cc105</t>
        </is>
      </c>
      <c r="C350" s="5" t="inlineStr">
        <is>
          <t>01a1212c-4b57-70cf-80fd-c2192cb3bf81</t>
        </is>
      </c>
      <c r="D350" s="4" t="n">
        <v>46304.62401732117</v>
      </c>
      <c r="E350" s="4" t="n">
        <v>46304.62401732124</v>
      </c>
      <c r="F350" t="b">
        <v>1</v>
      </c>
      <c r="G350" t="n">
        <v/>
      </c>
      <c r="H350" t="inlineStr">
        <is>
          <t>PL8</t>
        </is>
      </c>
      <c r="I350" t="inlineStr">
        <is>
          <t>Plato Income Maximiser Ltd</t>
        </is>
      </c>
      <c r="J350" t="inlineStr">
        <is>
          <t>AUD</t>
        </is>
      </c>
      <c r="K350" s="5" t="inlineStr">
        <is>
          <t>01a1212c-4c04-75ce-bbb2-e3322e18816e</t>
        </is>
      </c>
      <c r="M350" t="inlineStr">
        <is>
          <t>UNKNOWN</t>
        </is>
      </c>
      <c r="N350" t="inlineStr">
        <is>
          <t>DEFAULT</t>
        </is>
      </c>
      <c r="Q350" t="n">
        <v>0</v>
      </c>
      <c r="R350" t="inlineStr">
        <is>
          <t>AUD</t>
        </is>
      </c>
      <c r="S350" t="n">
        <v>0</v>
      </c>
      <c r="T350" t="inlineStr">
        <is>
          <t>AUD</t>
        </is>
      </c>
      <c r="U350" t="n">
        <v>0</v>
      </c>
    </row>
    <row r="351">
      <c r="A351" s="5" t="inlineStr">
        <is>
          <t>01a1212c-51db-71d1-b98a-8edf266e0bfb</t>
        </is>
      </c>
      <c r="C351" s="5" t="inlineStr">
        <is>
          <t>01a1212c-4b57-70cf-80fd-c2192cb3bf81</t>
        </is>
      </c>
      <c r="D351" s="4" t="n">
        <v>46304.62401735328</v>
      </c>
      <c r="E351" s="4" t="n">
        <v>46304.62401735336</v>
      </c>
      <c r="F351" t="b">
        <v>1</v>
      </c>
      <c r="G351" t="n">
        <v/>
      </c>
      <c r="H351" t="inlineStr">
        <is>
          <t>SSM</t>
        </is>
      </c>
      <c r="I351" t="inlineStr">
        <is>
          <t>Service Stream Ltd</t>
        </is>
      </c>
      <c r="J351" t="inlineStr">
        <is>
          <t>AUD</t>
        </is>
      </c>
      <c r="K351" s="5" t="inlineStr">
        <is>
          <t>01a1212c-4c04-75ce-bbb2-e3322e18816e</t>
        </is>
      </c>
      <c r="M351" t="inlineStr">
        <is>
          <t>UNKNOWN</t>
        </is>
      </c>
      <c r="N351" t="inlineStr">
        <is>
          <t>DEFAULT</t>
        </is>
      </c>
      <c r="Q351" t="n">
        <v>0</v>
      </c>
      <c r="R351" t="inlineStr">
        <is>
          <t>AUD</t>
        </is>
      </c>
      <c r="S351" t="n">
        <v>0</v>
      </c>
      <c r="T351" t="inlineStr">
        <is>
          <t>AUD</t>
        </is>
      </c>
      <c r="U351" t="n">
        <v>0</v>
      </c>
    </row>
    <row r="352">
      <c r="A352" s="5" t="inlineStr">
        <is>
          <t>01a1212c-51de-7483-aa71-ab2f6be5f973</t>
        </is>
      </c>
      <c r="C352" s="5" t="inlineStr">
        <is>
          <t>01a1212c-4b57-70cf-80fd-c2192cb3bf81</t>
        </is>
      </c>
      <c r="D352" s="4" t="n">
        <v>46304.62401738614</v>
      </c>
      <c r="E352" s="4" t="n">
        <v>46304.62401738622</v>
      </c>
      <c r="F352" t="b">
        <v>1</v>
      </c>
      <c r="G352" t="n">
        <v/>
      </c>
      <c r="H352" t="inlineStr">
        <is>
          <t>AN3PH</t>
        </is>
      </c>
      <c r="I352" t="inlineStr">
        <is>
          <t>Australia and New Zealand Banking Group Ltd</t>
        </is>
      </c>
      <c r="J352" t="inlineStr">
        <is>
          <t>AUD</t>
        </is>
      </c>
      <c r="K352" s="5" t="inlineStr">
        <is>
          <t>01a1212c-4c04-75ce-bbb2-e3322e18816e</t>
        </is>
      </c>
      <c r="M352" t="inlineStr">
        <is>
          <t>UNKNOWN</t>
        </is>
      </c>
      <c r="N352" t="inlineStr">
        <is>
          <t>DEFAULT</t>
        </is>
      </c>
      <c r="Q352" t="n">
        <v>0</v>
      </c>
      <c r="R352" t="inlineStr">
        <is>
          <t>AUD</t>
        </is>
      </c>
      <c r="S352" t="n">
        <v>0</v>
      </c>
      <c r="T352" t="inlineStr">
        <is>
          <t>AUD</t>
        </is>
      </c>
      <c r="U352" t="n">
        <v>0</v>
      </c>
    </row>
    <row r="353">
      <c r="A353" s="5" t="inlineStr">
        <is>
          <t>01a1212c-51e0-7347-93e2-f87cd6401634</t>
        </is>
      </c>
      <c r="C353" s="5" t="inlineStr">
        <is>
          <t>01a1212c-4b57-70cf-80fd-c2192cb3bf81</t>
        </is>
      </c>
      <c r="D353" s="4" t="n">
        <v>46304.62401741747</v>
      </c>
      <c r="E353" s="4" t="n">
        <v>46304.62401741755</v>
      </c>
      <c r="F353" t="b">
        <v>1</v>
      </c>
      <c r="G353" t="n">
        <v/>
      </c>
      <c r="H353" t="inlineStr">
        <is>
          <t>WA1</t>
        </is>
      </c>
      <c r="I353" t="inlineStr">
        <is>
          <t>WA1 Resources Ltd</t>
        </is>
      </c>
      <c r="J353" t="inlineStr">
        <is>
          <t>AUD</t>
        </is>
      </c>
      <c r="K353" s="5" t="inlineStr">
        <is>
          <t>01a1212c-4c04-75ce-bbb2-e3322e18816e</t>
        </is>
      </c>
      <c r="M353" t="inlineStr">
        <is>
          <t>UNKNOWN</t>
        </is>
      </c>
      <c r="N353" t="inlineStr">
        <is>
          <t>DEFAULT</t>
        </is>
      </c>
      <c r="Q353" t="n">
        <v>0</v>
      </c>
      <c r="R353" t="inlineStr">
        <is>
          <t>AUD</t>
        </is>
      </c>
      <c r="S353" t="n">
        <v>0</v>
      </c>
      <c r="T353" t="inlineStr">
        <is>
          <t>AUD</t>
        </is>
      </c>
      <c r="U353" t="n">
        <v>0</v>
      </c>
    </row>
    <row r="354">
      <c r="A354" s="5" t="inlineStr">
        <is>
          <t>01a1212c-51e3-7053-9b77-a70eade96206</t>
        </is>
      </c>
      <c r="C354" s="5" t="inlineStr">
        <is>
          <t>01a1212c-4b57-70cf-80fd-c2192cb3bf81</t>
        </is>
      </c>
      <c r="D354" s="4" t="n">
        <v>46304.62401744786</v>
      </c>
      <c r="E354" s="4" t="n">
        <v>46304.62401744794</v>
      </c>
      <c r="F354" t="b">
        <v>1</v>
      </c>
      <c r="G354" t="n">
        <v/>
      </c>
      <c r="H354" t="inlineStr">
        <is>
          <t>VSL</t>
        </is>
      </c>
      <c r="I354" t="inlineStr">
        <is>
          <t>Vulcan Steel Ltd</t>
        </is>
      </c>
      <c r="J354" t="inlineStr">
        <is>
          <t>AUD</t>
        </is>
      </c>
      <c r="K354" s="5" t="inlineStr">
        <is>
          <t>01a1212c-4c04-75ce-bbb2-e3322e18816e</t>
        </is>
      </c>
      <c r="M354" t="inlineStr">
        <is>
          <t>UNKNOWN</t>
        </is>
      </c>
      <c r="N354" t="inlineStr">
        <is>
          <t>DEFAULT</t>
        </is>
      </c>
      <c r="Q354" t="n">
        <v>0</v>
      </c>
      <c r="R354" t="inlineStr">
        <is>
          <t>AUD</t>
        </is>
      </c>
      <c r="S354" t="n">
        <v>0</v>
      </c>
      <c r="T354" t="inlineStr">
        <is>
          <t>AUD</t>
        </is>
      </c>
      <c r="U354" t="n">
        <v>0</v>
      </c>
    </row>
    <row r="355">
      <c r="A355" s="5" t="inlineStr">
        <is>
          <t>01a1212c-51e6-768b-b516-0f9539e56157</t>
        </is>
      </c>
      <c r="C355" s="5" t="inlineStr">
        <is>
          <t>01a1212c-4b57-70cf-80fd-c2192cb3bf81</t>
        </is>
      </c>
      <c r="D355" s="4" t="n">
        <v>46304.62401747817</v>
      </c>
      <c r="E355" s="4" t="n">
        <v>46304.62401747825</v>
      </c>
      <c r="F355" t="b">
        <v>1</v>
      </c>
      <c r="G355" t="n">
        <v/>
      </c>
      <c r="H355" t="inlineStr">
        <is>
          <t>DGVA</t>
        </is>
      </c>
      <c r="I355" t="inlineStr">
        <is>
          <t>Dimensional Global Value Trust - Active ETF</t>
        </is>
      </c>
      <c r="J355" t="inlineStr">
        <is>
          <t>AUD</t>
        </is>
      </c>
      <c r="K355" s="5" t="inlineStr">
        <is>
          <t>01a1212c-4c04-75ce-bbb2-e3322e18816e</t>
        </is>
      </c>
      <c r="M355" t="inlineStr">
        <is>
          <t>UNKNOWN</t>
        </is>
      </c>
      <c r="N355" t="inlineStr">
        <is>
          <t>DEFAULT</t>
        </is>
      </c>
      <c r="Q355" t="n">
        <v>0</v>
      </c>
      <c r="R355" t="inlineStr">
        <is>
          <t>AUD</t>
        </is>
      </c>
      <c r="S355" t="n">
        <v>0</v>
      </c>
      <c r="T355" t="inlineStr">
        <is>
          <t>AUD</t>
        </is>
      </c>
      <c r="U355" t="n">
        <v>0</v>
      </c>
    </row>
    <row r="356">
      <c r="A356" s="5" t="inlineStr">
        <is>
          <t>01a1212c-51e8-77b6-af31-2db3d99e1ec9</t>
        </is>
      </c>
      <c r="C356" s="5" t="inlineStr">
        <is>
          <t>01a1212c-4b57-70cf-80fd-c2192cb3bf81</t>
        </is>
      </c>
      <c r="D356" s="4" t="n">
        <v>46304.62401751081</v>
      </c>
      <c r="E356" s="4" t="n">
        <v>46304.62401751088</v>
      </c>
      <c r="F356" t="b">
        <v>1</v>
      </c>
      <c r="G356" t="n">
        <v/>
      </c>
      <c r="H356" t="inlineStr">
        <is>
          <t>ILB</t>
        </is>
      </c>
      <c r="I356" t="inlineStr">
        <is>
          <t>Ishares Government Inflation ETF</t>
        </is>
      </c>
      <c r="J356" t="inlineStr">
        <is>
          <t>AUD</t>
        </is>
      </c>
      <c r="K356" s="5" t="inlineStr">
        <is>
          <t>01a1212c-4c04-75ce-bbb2-e3322e18816e</t>
        </is>
      </c>
      <c r="M356" t="inlineStr">
        <is>
          <t>UNKNOWN</t>
        </is>
      </c>
      <c r="N356" t="inlineStr">
        <is>
          <t>DEFAULT</t>
        </is>
      </c>
      <c r="Q356" t="n">
        <v>0</v>
      </c>
      <c r="R356" t="inlineStr">
        <is>
          <t>AUD</t>
        </is>
      </c>
      <c r="S356" t="n">
        <v>0</v>
      </c>
      <c r="T356" t="inlineStr">
        <is>
          <t>AUD</t>
        </is>
      </c>
      <c r="U356" t="n">
        <v>0</v>
      </c>
    </row>
    <row r="357">
      <c r="A357" s="5" t="inlineStr">
        <is>
          <t>01a1212c-51eb-777a-b299-832903b72955</t>
        </is>
      </c>
      <c r="C357" s="5" t="inlineStr">
        <is>
          <t>01a1212c-4b57-70cf-80fd-c2192cb3bf81</t>
        </is>
      </c>
      <c r="D357" s="4" t="n">
        <v>46304.62401754154</v>
      </c>
      <c r="E357" s="4" t="n">
        <v>46304.62401754162</v>
      </c>
      <c r="F357" t="b">
        <v>1</v>
      </c>
      <c r="G357" t="n">
        <v/>
      </c>
      <c r="H357" t="inlineStr">
        <is>
          <t>HGH</t>
        </is>
      </c>
      <c r="I357" t="inlineStr">
        <is>
          <t>Heartland Group Holdings Ltd</t>
        </is>
      </c>
      <c r="J357" t="inlineStr">
        <is>
          <t>AUD</t>
        </is>
      </c>
      <c r="K357" s="5" t="inlineStr">
        <is>
          <t>01a1212c-4c04-75ce-bbb2-e3322e18816e</t>
        </is>
      </c>
      <c r="M357" t="inlineStr">
        <is>
          <t>UNKNOWN</t>
        </is>
      </c>
      <c r="N357" t="inlineStr">
        <is>
          <t>DEFAULT</t>
        </is>
      </c>
      <c r="Q357" t="n">
        <v>0</v>
      </c>
      <c r="R357" t="inlineStr">
        <is>
          <t>AUD</t>
        </is>
      </c>
      <c r="S357" t="n">
        <v>0</v>
      </c>
      <c r="T357" t="inlineStr">
        <is>
          <t>AUD</t>
        </is>
      </c>
      <c r="U357" t="n">
        <v>0</v>
      </c>
    </row>
    <row r="358">
      <c r="A358" s="5" t="inlineStr">
        <is>
          <t>01a1212c-51ee-7074-8e02-dd492330ea07</t>
        </is>
      </c>
      <c r="C358" s="5" t="inlineStr">
        <is>
          <t>01a1212c-4b57-70cf-80fd-c2192cb3bf81</t>
        </is>
      </c>
      <c r="D358" s="4" t="n">
        <v>46304.62401757266</v>
      </c>
      <c r="E358" s="4" t="n">
        <v>46304.62401757274</v>
      </c>
      <c r="F358" t="b">
        <v>1</v>
      </c>
      <c r="G358" t="n">
        <v/>
      </c>
      <c r="H358" t="inlineStr">
        <is>
          <t>EQT</t>
        </is>
      </c>
      <c r="I358" t="inlineStr">
        <is>
          <t>EQT Holdings Ltd</t>
        </is>
      </c>
      <c r="J358" t="inlineStr">
        <is>
          <t>AUD</t>
        </is>
      </c>
      <c r="K358" s="5" t="inlineStr">
        <is>
          <t>01a1212c-4c04-75ce-bbb2-e3322e18816e</t>
        </is>
      </c>
      <c r="M358" t="inlineStr">
        <is>
          <t>UNKNOWN</t>
        </is>
      </c>
      <c r="N358" t="inlineStr">
        <is>
          <t>DEFAULT</t>
        </is>
      </c>
      <c r="Q358" t="n">
        <v>0</v>
      </c>
      <c r="R358" t="inlineStr">
        <is>
          <t>AUD</t>
        </is>
      </c>
      <c r="S358" t="n">
        <v>0</v>
      </c>
      <c r="T358" t="inlineStr">
        <is>
          <t>AUD</t>
        </is>
      </c>
      <c r="U358" t="n">
        <v>0</v>
      </c>
    </row>
    <row r="359">
      <c r="A359" s="5" t="inlineStr">
        <is>
          <t>01a1212c-51f0-712f-bf5f-a6378ad4f019</t>
        </is>
      </c>
      <c r="C359" s="5" t="inlineStr">
        <is>
          <t>01a1212c-4b57-70cf-80fd-c2192cb3bf81</t>
        </is>
      </c>
      <c r="D359" s="4" t="n">
        <v>46304.62401760308</v>
      </c>
      <c r="E359" s="4" t="n">
        <v>46304.62401760316</v>
      </c>
      <c r="F359" t="b">
        <v>1</v>
      </c>
      <c r="G359" t="n">
        <v/>
      </c>
      <c r="H359" t="inlineStr">
        <is>
          <t>SRG</t>
        </is>
      </c>
      <c r="I359" t="inlineStr">
        <is>
          <t>SRG Global Ltd</t>
        </is>
      </c>
      <c r="J359" t="inlineStr">
        <is>
          <t>AUD</t>
        </is>
      </c>
      <c r="K359" s="5" t="inlineStr">
        <is>
          <t>01a1212c-4c04-75ce-bbb2-e3322e18816e</t>
        </is>
      </c>
      <c r="M359" t="inlineStr">
        <is>
          <t>UNKNOWN</t>
        </is>
      </c>
      <c r="N359" t="inlineStr">
        <is>
          <t>DEFAULT</t>
        </is>
      </c>
      <c r="Q359" t="n">
        <v>0</v>
      </c>
      <c r="R359" t="inlineStr">
        <is>
          <t>AUD</t>
        </is>
      </c>
      <c r="S359" t="n">
        <v>0</v>
      </c>
      <c r="T359" t="inlineStr">
        <is>
          <t>AUD</t>
        </is>
      </c>
      <c r="U359" t="n">
        <v>0</v>
      </c>
    </row>
    <row r="360">
      <c r="A360" s="5" t="inlineStr">
        <is>
          <t>01a1212c-51f3-76e3-aa0f-620fe7a8cc9b</t>
        </is>
      </c>
      <c r="C360" s="5" t="inlineStr">
        <is>
          <t>01a1212c-4b57-70cf-80fd-c2192cb3bf81</t>
        </is>
      </c>
      <c r="D360" s="4" t="n">
        <v>46304.62401763511</v>
      </c>
      <c r="E360" s="4" t="n">
        <v>46304.6240176352</v>
      </c>
      <c r="F360" t="b">
        <v>1</v>
      </c>
      <c r="G360" t="n">
        <v/>
      </c>
      <c r="H360" t="inlineStr">
        <is>
          <t>GCI</t>
        </is>
      </c>
      <c r="I360" t="inlineStr">
        <is>
          <t>Gryphon Capital Income Trust</t>
        </is>
      </c>
      <c r="J360" t="inlineStr">
        <is>
          <t>AUD</t>
        </is>
      </c>
      <c r="K360" s="5" t="inlineStr">
        <is>
          <t>01a1212c-4c04-75ce-bbb2-e3322e18816e</t>
        </is>
      </c>
      <c r="M360" t="inlineStr">
        <is>
          <t>UNKNOWN</t>
        </is>
      </c>
      <c r="N360" t="inlineStr">
        <is>
          <t>DEFAULT</t>
        </is>
      </c>
      <c r="Q360" t="n">
        <v>0</v>
      </c>
      <c r="R360" t="inlineStr">
        <is>
          <t>AUD</t>
        </is>
      </c>
      <c r="S360" t="n">
        <v>0</v>
      </c>
      <c r="T360" t="inlineStr">
        <is>
          <t>AUD</t>
        </is>
      </c>
      <c r="U360" t="n">
        <v>0</v>
      </c>
    </row>
    <row r="361">
      <c r="A361" s="5" t="inlineStr">
        <is>
          <t>01a1212c-51f6-7527-99a5-1c9b2af1a153</t>
        </is>
      </c>
      <c r="C361" s="5" t="inlineStr">
        <is>
          <t>01a1212c-4b57-70cf-80fd-c2192cb3bf81</t>
        </is>
      </c>
      <c r="D361" s="4" t="n">
        <v>46304.62401766542</v>
      </c>
      <c r="E361" s="4" t="n">
        <v>46304.6240176655</v>
      </c>
      <c r="F361" t="b">
        <v>1</v>
      </c>
      <c r="G361" t="n">
        <v/>
      </c>
      <c r="H361" t="inlineStr">
        <is>
          <t>DXI</t>
        </is>
      </c>
      <c r="I361" t="inlineStr">
        <is>
          <t>Dexus Industria REIT</t>
        </is>
      </c>
      <c r="J361" t="inlineStr">
        <is>
          <t>AUD</t>
        </is>
      </c>
      <c r="K361" s="5" t="inlineStr">
        <is>
          <t>01a1212c-4c04-75ce-bbb2-e3322e18816e</t>
        </is>
      </c>
      <c r="M361" t="inlineStr">
        <is>
          <t>UNKNOWN</t>
        </is>
      </c>
      <c r="N361" t="inlineStr">
        <is>
          <t>DEFAULT</t>
        </is>
      </c>
      <c r="Q361" t="n">
        <v>0</v>
      </c>
      <c r="R361" t="inlineStr">
        <is>
          <t>AUD</t>
        </is>
      </c>
      <c r="S361" t="n">
        <v>0</v>
      </c>
      <c r="T361" t="inlineStr">
        <is>
          <t>AUD</t>
        </is>
      </c>
      <c r="U361" t="n">
        <v>0</v>
      </c>
    </row>
    <row r="362">
      <c r="A362" s="5" t="inlineStr">
        <is>
          <t>01a1212c-51f8-7333-b4aa-e0262c53eeb0</t>
        </is>
      </c>
      <c r="C362" s="5" t="inlineStr">
        <is>
          <t>01a1212c-4b57-70cf-80fd-c2192cb3bf81</t>
        </is>
      </c>
      <c r="D362" s="4" t="n">
        <v>46304.624017696</v>
      </c>
      <c r="E362" s="4" t="n">
        <v>46304.62401769608</v>
      </c>
      <c r="F362" t="b">
        <v>1</v>
      </c>
      <c r="G362" t="n">
        <v/>
      </c>
      <c r="H362" t="inlineStr">
        <is>
          <t>RSG</t>
        </is>
      </c>
      <c r="I362" t="inlineStr">
        <is>
          <t>Resolute Mining Ltd</t>
        </is>
      </c>
      <c r="J362" t="inlineStr">
        <is>
          <t>AUD</t>
        </is>
      </c>
      <c r="K362" s="5" t="inlineStr">
        <is>
          <t>01a1212c-4c04-75ce-bbb2-e3322e18816e</t>
        </is>
      </c>
      <c r="M362" t="inlineStr">
        <is>
          <t>UNKNOWN</t>
        </is>
      </c>
      <c r="N362" t="inlineStr">
        <is>
          <t>DEFAULT</t>
        </is>
      </c>
      <c r="Q362" t="n">
        <v>0</v>
      </c>
      <c r="R362" t="inlineStr">
        <is>
          <t>AUD</t>
        </is>
      </c>
      <c r="S362" t="n">
        <v>0</v>
      </c>
      <c r="T362" t="inlineStr">
        <is>
          <t>AUD</t>
        </is>
      </c>
      <c r="U362" t="n">
        <v>0</v>
      </c>
    </row>
    <row r="363">
      <c r="A363" s="5" t="inlineStr">
        <is>
          <t>01a1212c-51fb-73b9-91ab-6f6f5f26543a</t>
        </is>
      </c>
      <c r="C363" s="5" t="inlineStr">
        <is>
          <t>01a1212c-4b57-70cf-80fd-c2192cb3bf81</t>
        </is>
      </c>
      <c r="D363" s="4" t="n">
        <v>46304.62401772672</v>
      </c>
      <c r="E363" s="4" t="n">
        <v>46304.6240177268</v>
      </c>
      <c r="F363" t="b">
        <v>1</v>
      </c>
      <c r="G363" t="n">
        <v/>
      </c>
      <c r="H363" t="inlineStr">
        <is>
          <t>CBO</t>
        </is>
      </c>
      <c r="I363" t="inlineStr">
        <is>
          <t>Cobram Estate Olives Ltd</t>
        </is>
      </c>
      <c r="J363" t="inlineStr">
        <is>
          <t>AUD</t>
        </is>
      </c>
      <c r="K363" s="5" t="inlineStr">
        <is>
          <t>01a1212c-4c04-75ce-bbb2-e3322e18816e</t>
        </is>
      </c>
      <c r="M363" t="inlineStr">
        <is>
          <t>UNKNOWN</t>
        </is>
      </c>
      <c r="N363" t="inlineStr">
        <is>
          <t>DEFAULT</t>
        </is>
      </c>
      <c r="Q363" t="n">
        <v>0</v>
      </c>
      <c r="R363" t="inlineStr">
        <is>
          <t>AUD</t>
        </is>
      </c>
      <c r="S363" t="n">
        <v>0</v>
      </c>
      <c r="T363" t="inlineStr">
        <is>
          <t>AUD</t>
        </is>
      </c>
      <c r="U363" t="n">
        <v>0</v>
      </c>
    </row>
    <row r="364">
      <c r="A364" s="5" t="inlineStr">
        <is>
          <t>01a1212c-51fe-7667-b996-ad6ea1228e58</t>
        </is>
      </c>
      <c r="C364" s="5" t="inlineStr">
        <is>
          <t>01a1212c-4b57-70cf-80fd-c2192cb3bf81</t>
        </is>
      </c>
      <c r="D364" s="4" t="n">
        <v>46304.62401775898</v>
      </c>
      <c r="E364" s="4" t="n">
        <v>46304.62401775906</v>
      </c>
      <c r="F364" t="b">
        <v>1</v>
      </c>
      <c r="G364" t="n">
        <v/>
      </c>
      <c r="H364" t="inlineStr">
        <is>
          <t>NNUK</t>
        </is>
      </c>
      <c r="I364" t="inlineStr">
        <is>
          <t>Nanuk New World Fund Active ETF</t>
        </is>
      </c>
      <c r="J364" t="inlineStr">
        <is>
          <t>AUD</t>
        </is>
      </c>
      <c r="K364" s="5" t="inlineStr">
        <is>
          <t>01a1212c-4c04-75ce-bbb2-e3322e18816e</t>
        </is>
      </c>
      <c r="M364" t="inlineStr">
        <is>
          <t>UNKNOWN</t>
        </is>
      </c>
      <c r="N364" t="inlineStr">
        <is>
          <t>DEFAULT</t>
        </is>
      </c>
      <c r="Q364" t="n">
        <v>0</v>
      </c>
      <c r="R364" t="inlineStr">
        <is>
          <t>AUD</t>
        </is>
      </c>
      <c r="S364" t="n">
        <v>0</v>
      </c>
      <c r="T364" t="inlineStr">
        <is>
          <t>AUD</t>
        </is>
      </c>
      <c r="U364" t="n">
        <v>0</v>
      </c>
    </row>
    <row r="365">
      <c r="A365" s="5" t="inlineStr">
        <is>
          <t>01a1212c-5201-70fd-8128-972dc50f6491</t>
        </is>
      </c>
      <c r="C365" s="5" t="inlineStr">
        <is>
          <t>01a1212c-4b57-70cf-80fd-c2192cb3bf81</t>
        </is>
      </c>
      <c r="D365" s="4" t="n">
        <v>46304.62401780167</v>
      </c>
      <c r="E365" s="4" t="n">
        <v>46304.62401780176</v>
      </c>
      <c r="F365" t="b">
        <v>1</v>
      </c>
      <c r="G365" t="n">
        <v/>
      </c>
      <c r="H365" t="inlineStr">
        <is>
          <t>RIC</t>
        </is>
      </c>
      <c r="I365" t="inlineStr">
        <is>
          <t>Ridley Corporation Ltd</t>
        </is>
      </c>
      <c r="J365" t="inlineStr">
        <is>
          <t>AUD</t>
        </is>
      </c>
      <c r="K365" s="5" t="inlineStr">
        <is>
          <t>01a1212c-4c04-75ce-bbb2-e3322e18816e</t>
        </is>
      </c>
      <c r="M365" t="inlineStr">
        <is>
          <t>UNKNOWN</t>
        </is>
      </c>
      <c r="N365" t="inlineStr">
        <is>
          <t>DEFAULT</t>
        </is>
      </c>
      <c r="Q365" t="n">
        <v>0</v>
      </c>
      <c r="R365" t="inlineStr">
        <is>
          <t>AUD</t>
        </is>
      </c>
      <c r="S365" t="n">
        <v>0</v>
      </c>
      <c r="T365" t="inlineStr">
        <is>
          <t>AUD</t>
        </is>
      </c>
      <c r="U365" t="n">
        <v>0</v>
      </c>
    </row>
    <row r="366">
      <c r="A366" s="5" t="inlineStr">
        <is>
          <t>01a1212c-5204-7572-a798-f5975657b54b</t>
        </is>
      </c>
      <c r="C366" s="5" t="inlineStr">
        <is>
          <t>01a1212c-4b57-70cf-80fd-c2192cb3bf81</t>
        </is>
      </c>
      <c r="D366" s="4" t="n">
        <v>46304.62401783425</v>
      </c>
      <c r="E366" s="4" t="n">
        <v>46304.62401783433</v>
      </c>
      <c r="F366" t="b">
        <v>1</v>
      </c>
      <c r="G366" t="n">
        <v/>
      </c>
      <c r="H366" t="inlineStr">
        <is>
          <t>GLIN</t>
        </is>
      </c>
      <c r="I366" t="inlineStr">
        <is>
          <t>Ishares Ftse GBL Infrastructure (Aud Hedged) ETF</t>
        </is>
      </c>
      <c r="J366" t="inlineStr">
        <is>
          <t>AUD</t>
        </is>
      </c>
      <c r="K366" s="5" t="inlineStr">
        <is>
          <t>01a1212c-4c04-75ce-bbb2-e3322e18816e</t>
        </is>
      </c>
      <c r="M366" t="inlineStr">
        <is>
          <t>UNKNOWN</t>
        </is>
      </c>
      <c r="N366" t="inlineStr">
        <is>
          <t>DEFAULT</t>
        </is>
      </c>
      <c r="Q366" t="n">
        <v>0</v>
      </c>
      <c r="R366" t="inlineStr">
        <is>
          <t>AUD</t>
        </is>
      </c>
      <c r="S366" t="n">
        <v>0</v>
      </c>
      <c r="T366" t="inlineStr">
        <is>
          <t>AUD</t>
        </is>
      </c>
      <c r="U366" t="n">
        <v>0</v>
      </c>
    </row>
    <row r="367">
      <c r="A367" s="5" t="inlineStr">
        <is>
          <t>01a1212c-5207-72e1-9ddc-593e09473793</t>
        </is>
      </c>
      <c r="C367" s="5" t="inlineStr">
        <is>
          <t>01a1212c-4b57-70cf-80fd-c2192cb3bf81</t>
        </is>
      </c>
      <c r="D367" s="4" t="n">
        <v>46304.62401786701</v>
      </c>
      <c r="E367" s="4" t="n">
        <v>46304.62401786709</v>
      </c>
      <c r="F367" t="b">
        <v>1</v>
      </c>
      <c r="G367" t="n">
        <v/>
      </c>
      <c r="H367" t="inlineStr">
        <is>
          <t>AAC</t>
        </is>
      </c>
      <c r="I367" t="inlineStr">
        <is>
          <t>Australian Agricultural Company Ltd</t>
        </is>
      </c>
      <c r="J367" t="inlineStr">
        <is>
          <t>AUD</t>
        </is>
      </c>
      <c r="K367" s="5" t="inlineStr">
        <is>
          <t>01a1212c-4c04-75ce-bbb2-e3322e18816e</t>
        </is>
      </c>
      <c r="M367" t="inlineStr">
        <is>
          <t>UNKNOWN</t>
        </is>
      </c>
      <c r="N367" t="inlineStr">
        <is>
          <t>DEFAULT</t>
        </is>
      </c>
      <c r="Q367" t="n">
        <v>0</v>
      </c>
      <c r="R367" t="inlineStr">
        <is>
          <t>AUD</t>
        </is>
      </c>
      <c r="S367" t="n">
        <v>0</v>
      </c>
      <c r="T367" t="inlineStr">
        <is>
          <t>AUD</t>
        </is>
      </c>
      <c r="U367" t="n">
        <v>0</v>
      </c>
    </row>
    <row r="368">
      <c r="A368" s="5" t="inlineStr">
        <is>
          <t>01a1212c-520a-75df-b6d6-a0fd1a67d33f</t>
        </is>
      </c>
      <c r="C368" s="5" t="inlineStr">
        <is>
          <t>01a1212c-4b57-70cf-80fd-c2192cb3bf81</t>
        </is>
      </c>
      <c r="D368" s="4" t="n">
        <v>46304.62401789873</v>
      </c>
      <c r="E368" s="4" t="n">
        <v>46304.62401789881</v>
      </c>
      <c r="F368" t="b">
        <v>1</v>
      </c>
      <c r="G368" t="n">
        <v/>
      </c>
      <c r="H368" t="inlineStr">
        <is>
          <t>CKF</t>
        </is>
      </c>
      <c r="I368" t="inlineStr">
        <is>
          <t>Collins Foods Ltd</t>
        </is>
      </c>
      <c r="J368" t="inlineStr">
        <is>
          <t>AUD</t>
        </is>
      </c>
      <c r="K368" s="5" t="inlineStr">
        <is>
          <t>01a1212c-4c04-75ce-bbb2-e3322e18816e</t>
        </is>
      </c>
      <c r="M368" t="inlineStr">
        <is>
          <t>UNKNOWN</t>
        </is>
      </c>
      <c r="N368" t="inlineStr">
        <is>
          <t>DEFAULT</t>
        </is>
      </c>
      <c r="Q368" t="n">
        <v>0</v>
      </c>
      <c r="R368" t="inlineStr">
        <is>
          <t>AUD</t>
        </is>
      </c>
      <c r="S368" t="n">
        <v>0</v>
      </c>
      <c r="T368" t="inlineStr">
        <is>
          <t>AUD</t>
        </is>
      </c>
      <c r="U368" t="n">
        <v>0</v>
      </c>
    </row>
    <row r="369">
      <c r="A369" s="5" t="inlineStr">
        <is>
          <t>01a1212c-520d-7234-8b75-5312821c14f4</t>
        </is>
      </c>
      <c r="C369" s="5" t="inlineStr">
        <is>
          <t>01a1212c-4b57-70cf-80fd-c2192cb3bf81</t>
        </is>
      </c>
      <c r="D369" s="4" t="n">
        <v>46304.62401793595</v>
      </c>
      <c r="E369" s="4" t="n">
        <v>46304.62401793605</v>
      </c>
      <c r="F369" t="b">
        <v>1</v>
      </c>
      <c r="G369" t="n">
        <v/>
      </c>
      <c r="H369" t="inlineStr">
        <is>
          <t>AASF</t>
        </is>
      </c>
      <c r="I369" t="inlineStr">
        <is>
          <t>Airlie Australian Share Fund - Active ETF</t>
        </is>
      </c>
      <c r="J369" t="inlineStr">
        <is>
          <t>AUD</t>
        </is>
      </c>
      <c r="K369" s="5" t="inlineStr">
        <is>
          <t>01a1212c-4c04-75ce-bbb2-e3322e18816e</t>
        </is>
      </c>
      <c r="M369" t="inlineStr">
        <is>
          <t>UNKNOWN</t>
        </is>
      </c>
      <c r="N369" t="inlineStr">
        <is>
          <t>DEFAULT</t>
        </is>
      </c>
      <c r="Q369" t="n">
        <v>0</v>
      </c>
      <c r="R369" t="inlineStr">
        <is>
          <t>AUD</t>
        </is>
      </c>
      <c r="S369" t="n">
        <v>0</v>
      </c>
      <c r="T369" t="inlineStr">
        <is>
          <t>AUD</t>
        </is>
      </c>
      <c r="U369" t="n">
        <v>0</v>
      </c>
    </row>
    <row r="370">
      <c r="A370" s="5" t="inlineStr">
        <is>
          <t>01a1212c-5210-7685-9e8e-6dd85bf36836</t>
        </is>
      </c>
      <c r="C370" s="5" t="inlineStr">
        <is>
          <t>01a1212c-4b57-70cf-80fd-c2192cb3bf81</t>
        </is>
      </c>
      <c r="D370" s="4" t="n">
        <v>46304.62401796824</v>
      </c>
      <c r="E370" s="4" t="n">
        <v>46304.62401796833</v>
      </c>
      <c r="F370" t="b">
        <v>1</v>
      </c>
      <c r="G370" t="n">
        <v/>
      </c>
      <c r="H370" t="inlineStr">
        <is>
          <t>DJW</t>
        </is>
      </c>
      <c r="I370" t="inlineStr">
        <is>
          <t>Djerriwarrh Investments Ltd</t>
        </is>
      </c>
      <c r="J370" t="inlineStr">
        <is>
          <t>AUD</t>
        </is>
      </c>
      <c r="K370" s="5" t="inlineStr">
        <is>
          <t>01a1212c-4c04-75ce-bbb2-e3322e18816e</t>
        </is>
      </c>
      <c r="M370" t="inlineStr">
        <is>
          <t>UNKNOWN</t>
        </is>
      </c>
      <c r="N370" t="inlineStr">
        <is>
          <t>DEFAULT</t>
        </is>
      </c>
      <c r="Q370" t="n">
        <v>0</v>
      </c>
      <c r="R370" t="inlineStr">
        <is>
          <t>AUD</t>
        </is>
      </c>
      <c r="S370" t="n">
        <v>0</v>
      </c>
      <c r="T370" t="inlineStr">
        <is>
          <t>AUD</t>
        </is>
      </c>
      <c r="U370" t="n">
        <v>0</v>
      </c>
    </row>
    <row r="371">
      <c r="A371" s="5" t="inlineStr">
        <is>
          <t>01a1212c-5213-70bb-abb8-62175a1c7f67</t>
        </is>
      </c>
      <c r="C371" s="5" t="inlineStr">
        <is>
          <t>01a1212c-4b57-70cf-80fd-c2192cb3bf81</t>
        </is>
      </c>
      <c r="D371" s="4" t="n">
        <v>46304.6240180002</v>
      </c>
      <c r="E371" s="4" t="n">
        <v>46304.62401800029</v>
      </c>
      <c r="F371" t="b">
        <v>1</v>
      </c>
      <c r="G371" t="n">
        <v/>
      </c>
      <c r="H371" t="inlineStr">
        <is>
          <t>VIF</t>
        </is>
      </c>
      <c r="I371" t="inlineStr">
        <is>
          <t>Vanguard International Fixed Interest INDEX (Hedged) ETF</t>
        </is>
      </c>
      <c r="J371" t="inlineStr">
        <is>
          <t>AUD</t>
        </is>
      </c>
      <c r="K371" s="5" t="inlineStr">
        <is>
          <t>01a1212c-4c04-75ce-bbb2-e3322e18816e</t>
        </is>
      </c>
      <c r="M371" t="inlineStr">
        <is>
          <t>UNKNOWN</t>
        </is>
      </c>
      <c r="N371" t="inlineStr">
        <is>
          <t>DEFAULT</t>
        </is>
      </c>
      <c r="Q371" t="n">
        <v>0</v>
      </c>
      <c r="R371" t="inlineStr">
        <is>
          <t>AUD</t>
        </is>
      </c>
      <c r="S371" t="n">
        <v>0</v>
      </c>
      <c r="T371" t="inlineStr">
        <is>
          <t>AUD</t>
        </is>
      </c>
      <c r="U371" t="n">
        <v>0</v>
      </c>
    </row>
    <row r="372">
      <c r="A372" s="5" t="inlineStr">
        <is>
          <t>01a1212c-5215-70c6-a308-b3904baa754b</t>
        </is>
      </c>
      <c r="C372" s="5" t="inlineStr">
        <is>
          <t>01a1212c-4b57-70cf-80fd-c2192cb3bf81</t>
        </is>
      </c>
      <c r="D372" s="4" t="n">
        <v>46304.62401803197</v>
      </c>
      <c r="E372" s="4" t="n">
        <v>46304.62401803206</v>
      </c>
      <c r="F372" t="b">
        <v>1</v>
      </c>
      <c r="G372" t="n">
        <v/>
      </c>
      <c r="H372" t="inlineStr">
        <is>
          <t>BOT</t>
        </is>
      </c>
      <c r="I372" t="inlineStr">
        <is>
          <t>Botanix Pharmaceuticals Ltd</t>
        </is>
      </c>
      <c r="J372" t="inlineStr">
        <is>
          <t>AUD</t>
        </is>
      </c>
      <c r="K372" s="5" t="inlineStr">
        <is>
          <t>01a1212c-4c04-75ce-bbb2-e3322e18816e</t>
        </is>
      </c>
      <c r="M372" t="inlineStr">
        <is>
          <t>UNKNOWN</t>
        </is>
      </c>
      <c r="N372" t="inlineStr">
        <is>
          <t>DEFAULT</t>
        </is>
      </c>
      <c r="Q372" t="n">
        <v>0</v>
      </c>
      <c r="R372" t="inlineStr">
        <is>
          <t>AUD</t>
        </is>
      </c>
      <c r="S372" t="n">
        <v>0</v>
      </c>
      <c r="T372" t="inlineStr">
        <is>
          <t>AUD</t>
        </is>
      </c>
      <c r="U372" t="n">
        <v>0</v>
      </c>
    </row>
    <row r="373">
      <c r="A373" s="5" t="inlineStr">
        <is>
          <t>01a1212c-5218-70e9-9c9a-4aa31ac5eb09</t>
        </is>
      </c>
      <c r="C373" s="5" t="inlineStr">
        <is>
          <t>01a1212c-4b57-70cf-80fd-c2192cb3bf81</t>
        </is>
      </c>
      <c r="D373" s="4" t="n">
        <v>46304.62401806608</v>
      </c>
      <c r="E373" s="4" t="n">
        <v>46304.62401806617</v>
      </c>
      <c r="F373" t="b">
        <v>1</v>
      </c>
      <c r="G373" t="n">
        <v/>
      </c>
      <c r="H373" t="inlineStr">
        <is>
          <t>MYR</t>
        </is>
      </c>
      <c r="I373" t="inlineStr">
        <is>
          <t>Myer Holdings Ltd</t>
        </is>
      </c>
      <c r="J373" t="inlineStr">
        <is>
          <t>AUD</t>
        </is>
      </c>
      <c r="K373" s="5" t="inlineStr">
        <is>
          <t>01a1212c-4c04-75ce-bbb2-e3322e18816e</t>
        </is>
      </c>
      <c r="M373" t="inlineStr">
        <is>
          <t>UNKNOWN</t>
        </is>
      </c>
      <c r="N373" t="inlineStr">
        <is>
          <t>DEFAULT</t>
        </is>
      </c>
      <c r="Q373" t="n">
        <v>0</v>
      </c>
      <c r="R373" t="inlineStr">
        <is>
          <t>AUD</t>
        </is>
      </c>
      <c r="S373" t="n">
        <v>0</v>
      </c>
      <c r="T373" t="inlineStr">
        <is>
          <t>AUD</t>
        </is>
      </c>
      <c r="U373" t="n">
        <v>0</v>
      </c>
    </row>
    <row r="374">
      <c r="A374" s="5" t="inlineStr">
        <is>
          <t>01a1212c-521b-722d-8ec5-cff63757b4c0</t>
        </is>
      </c>
      <c r="C374" s="5" t="inlineStr">
        <is>
          <t>01a1212c-4b57-70cf-80fd-c2192cb3bf81</t>
        </is>
      </c>
      <c r="D374" s="4" t="n">
        <v>46304.62401809885</v>
      </c>
      <c r="E374" s="4" t="n">
        <v>46304.62401809893</v>
      </c>
      <c r="F374" t="b">
        <v>1</v>
      </c>
      <c r="G374" t="n">
        <v/>
      </c>
      <c r="H374" t="inlineStr">
        <is>
          <t>CIN</t>
        </is>
      </c>
      <c r="I374" t="inlineStr">
        <is>
          <t>Carlton Investments Ltd</t>
        </is>
      </c>
      <c r="J374" t="inlineStr">
        <is>
          <t>AUD</t>
        </is>
      </c>
      <c r="K374" s="5" t="inlineStr">
        <is>
          <t>01a1212c-4c04-75ce-bbb2-e3322e18816e</t>
        </is>
      </c>
      <c r="M374" t="inlineStr">
        <is>
          <t>COMPANY</t>
        </is>
      </c>
      <c r="N374" t="inlineStr">
        <is>
          <t>SUGGESTED</t>
        </is>
      </c>
      <c r="Q374" t="n">
        <v>0</v>
      </c>
      <c r="R374" t="inlineStr">
        <is>
          <t>AUD</t>
        </is>
      </c>
      <c r="S374" t="n">
        <v>0</v>
      </c>
      <c r="T374" t="inlineStr">
        <is>
          <t>AUD</t>
        </is>
      </c>
      <c r="U374" t="n">
        <v>0</v>
      </c>
    </row>
    <row r="375">
      <c r="A375" s="5" t="inlineStr">
        <is>
          <t>01a1212c-521e-7771-8930-c170c24bba9f</t>
        </is>
      </c>
      <c r="C375" s="5" t="inlineStr">
        <is>
          <t>01a1212c-4b57-70cf-80fd-c2192cb3bf81</t>
        </is>
      </c>
      <c r="D375" s="4" t="n">
        <v>46304.62401813312</v>
      </c>
      <c r="E375" s="4" t="n">
        <v>46304.62401813322</v>
      </c>
      <c r="F375" t="b">
        <v>1</v>
      </c>
      <c r="G375" t="n">
        <v/>
      </c>
      <c r="H375" t="inlineStr">
        <is>
          <t>IAA</t>
        </is>
      </c>
      <c r="I375" t="inlineStr">
        <is>
          <t>Ishares Asia 50 ETF</t>
        </is>
      </c>
      <c r="J375" t="inlineStr">
        <is>
          <t>AUD</t>
        </is>
      </c>
      <c r="K375" s="5" t="inlineStr">
        <is>
          <t>01a1212c-4c04-75ce-bbb2-e3322e18816e</t>
        </is>
      </c>
      <c r="M375" t="inlineStr">
        <is>
          <t>UNIT_TRUST</t>
        </is>
      </c>
      <c r="N375" t="inlineStr">
        <is>
          <t>SUGGESTED</t>
        </is>
      </c>
      <c r="Q375" t="n">
        <v>0</v>
      </c>
      <c r="R375" t="inlineStr">
        <is>
          <t>AUD</t>
        </is>
      </c>
      <c r="S375" t="n">
        <v>0</v>
      </c>
      <c r="T375" t="inlineStr">
        <is>
          <t>AUD</t>
        </is>
      </c>
      <c r="U375" t="n">
        <v>0</v>
      </c>
    </row>
    <row r="376">
      <c r="A376" s="5" t="inlineStr">
        <is>
          <t>01a1212c-5221-74a4-9e40-c30a2cfc417c</t>
        </is>
      </c>
      <c r="C376" s="5" t="inlineStr">
        <is>
          <t>01a1212c-4b57-70cf-80fd-c2192cb3bf81</t>
        </is>
      </c>
      <c r="D376" s="4" t="n">
        <v>46304.62401816739</v>
      </c>
      <c r="E376" s="4" t="n">
        <v>46304.62401816747</v>
      </c>
      <c r="F376" t="b">
        <v>1</v>
      </c>
      <c r="G376" t="n">
        <v/>
      </c>
      <c r="H376" t="inlineStr">
        <is>
          <t>PWH</t>
        </is>
      </c>
      <c r="I376" t="inlineStr">
        <is>
          <t>PWR Holdings Ltd</t>
        </is>
      </c>
      <c r="J376" t="inlineStr">
        <is>
          <t>AUD</t>
        </is>
      </c>
      <c r="K376" s="5" t="inlineStr">
        <is>
          <t>01a1212c-4c04-75ce-bbb2-e3322e18816e</t>
        </is>
      </c>
      <c r="M376" t="inlineStr">
        <is>
          <t>UNKNOWN</t>
        </is>
      </c>
      <c r="N376" t="inlineStr">
        <is>
          <t>DEFAULT</t>
        </is>
      </c>
      <c r="Q376" t="n">
        <v>0</v>
      </c>
      <c r="R376" t="inlineStr">
        <is>
          <t>AUD</t>
        </is>
      </c>
      <c r="S376" t="n">
        <v>0</v>
      </c>
      <c r="T376" t="inlineStr">
        <is>
          <t>AUD</t>
        </is>
      </c>
      <c r="U376" t="n">
        <v>0</v>
      </c>
    </row>
    <row r="377">
      <c r="A377" s="5" t="inlineStr">
        <is>
          <t>01a1212c-5224-72af-9cef-28979d482c30</t>
        </is>
      </c>
      <c r="C377" s="5" t="inlineStr">
        <is>
          <t>01a1212c-4b57-70cf-80fd-c2192cb3bf81</t>
        </is>
      </c>
      <c r="D377" s="4" t="n">
        <v>46304.62401820009</v>
      </c>
      <c r="E377" s="4" t="n">
        <v>46304.62401820016</v>
      </c>
      <c r="F377" t="b">
        <v>1</v>
      </c>
      <c r="G377" t="n">
        <v/>
      </c>
      <c r="H377" t="inlineStr">
        <is>
          <t>PGC</t>
        </is>
      </c>
      <c r="I377" t="inlineStr">
        <is>
          <t>Paragon Care Ltd</t>
        </is>
      </c>
      <c r="J377" t="inlineStr">
        <is>
          <t>AUD</t>
        </is>
      </c>
      <c r="K377" s="5" t="inlineStr">
        <is>
          <t>01a1212c-4c04-75ce-bbb2-e3322e18816e</t>
        </is>
      </c>
      <c r="M377" t="inlineStr">
        <is>
          <t>UNKNOWN</t>
        </is>
      </c>
      <c r="N377" t="inlineStr">
        <is>
          <t>DEFAULT</t>
        </is>
      </c>
      <c r="Q377" t="n">
        <v>0</v>
      </c>
      <c r="R377" t="inlineStr">
        <is>
          <t>AUD</t>
        </is>
      </c>
      <c r="S377" t="n">
        <v>0</v>
      </c>
      <c r="T377" t="inlineStr">
        <is>
          <t>AUD</t>
        </is>
      </c>
      <c r="U377" t="n">
        <v>0</v>
      </c>
    </row>
    <row r="378">
      <c r="A378" s="5" t="inlineStr">
        <is>
          <t>01a1212c-5227-7166-8c20-3bb742a0ea5f</t>
        </is>
      </c>
      <c r="C378" s="5" t="inlineStr">
        <is>
          <t>01a1212c-4b57-70cf-80fd-c2192cb3bf81</t>
        </is>
      </c>
      <c r="D378" s="4" t="n">
        <v>46304.6240182309</v>
      </c>
      <c r="E378" s="4" t="n">
        <v>46304.62401823098</v>
      </c>
      <c r="F378" t="b">
        <v>1</v>
      </c>
      <c r="G378" t="n">
        <v/>
      </c>
      <c r="H378" t="inlineStr">
        <is>
          <t>WGB</t>
        </is>
      </c>
      <c r="I378" t="inlineStr">
        <is>
          <t>Wam Global Ltd</t>
        </is>
      </c>
      <c r="J378" t="inlineStr">
        <is>
          <t>AUD</t>
        </is>
      </c>
      <c r="K378" s="5" t="inlineStr">
        <is>
          <t>01a1212c-4c04-75ce-bbb2-e3322e18816e</t>
        </is>
      </c>
      <c r="M378" t="inlineStr">
        <is>
          <t>COMPANY</t>
        </is>
      </c>
      <c r="N378" t="inlineStr">
        <is>
          <t>SUGGESTED</t>
        </is>
      </c>
      <c r="Q378" t="n">
        <v>0</v>
      </c>
      <c r="R378" t="inlineStr">
        <is>
          <t>AUD</t>
        </is>
      </c>
      <c r="S378" t="n">
        <v>0</v>
      </c>
      <c r="T378" t="inlineStr">
        <is>
          <t>AUD</t>
        </is>
      </c>
      <c r="U378" t="n">
        <v>0</v>
      </c>
    </row>
    <row r="379">
      <c r="A379" s="5" t="inlineStr">
        <is>
          <t>01a1212c-522a-74d9-8b32-3edff6ebf813</t>
        </is>
      </c>
      <c r="C379" s="5" t="inlineStr">
        <is>
          <t>01a1212c-4b57-70cf-80fd-c2192cb3bf81</t>
        </is>
      </c>
      <c r="D379" s="4" t="n">
        <v>46304.62401826537</v>
      </c>
      <c r="E379" s="4" t="n">
        <v>46304.62401826545</v>
      </c>
      <c r="F379" t="b">
        <v>1</v>
      </c>
      <c r="G379" t="n">
        <v/>
      </c>
      <c r="H379" t="inlineStr">
        <is>
          <t>MQGPF</t>
        </is>
      </c>
      <c r="I379" t="inlineStr">
        <is>
          <t>Macquarie Group Ltd</t>
        </is>
      </c>
      <c r="J379" t="inlineStr">
        <is>
          <t>AUD</t>
        </is>
      </c>
      <c r="K379" s="5" t="inlineStr">
        <is>
          <t>01a1212c-4c04-75ce-bbb2-e3322e18816e</t>
        </is>
      </c>
      <c r="M379" t="inlineStr">
        <is>
          <t>UNKNOWN</t>
        </is>
      </c>
      <c r="N379" t="inlineStr">
        <is>
          <t>DEFAULT</t>
        </is>
      </c>
      <c r="Q379" t="n">
        <v>0</v>
      </c>
      <c r="R379" t="inlineStr">
        <is>
          <t>AUD</t>
        </is>
      </c>
      <c r="S379" t="n">
        <v>0</v>
      </c>
      <c r="T379" t="inlineStr">
        <is>
          <t>AUD</t>
        </is>
      </c>
      <c r="U379" t="n">
        <v>0</v>
      </c>
    </row>
    <row r="380">
      <c r="A380" s="5" t="inlineStr">
        <is>
          <t>01a1212c-522d-7373-a10b-5076f0f267da</t>
        </is>
      </c>
      <c r="C380" s="5" t="inlineStr">
        <is>
          <t>01a1212c-4b57-70cf-80fd-c2192cb3bf81</t>
        </is>
      </c>
      <c r="D380" s="4" t="n">
        <v>46304.62401830006</v>
      </c>
      <c r="E380" s="4" t="n">
        <v>46304.62401830015</v>
      </c>
      <c r="F380" t="b">
        <v>1</v>
      </c>
      <c r="G380" t="n">
        <v/>
      </c>
      <c r="H380" t="inlineStr">
        <is>
          <t>CYL</t>
        </is>
      </c>
      <c r="I380" t="inlineStr">
        <is>
          <t>Catalyst Metals Ltd</t>
        </is>
      </c>
      <c r="J380" t="inlineStr">
        <is>
          <t>AUD</t>
        </is>
      </c>
      <c r="K380" s="5" t="inlineStr">
        <is>
          <t>01a1212c-4c04-75ce-bbb2-e3322e18816e</t>
        </is>
      </c>
      <c r="M380" t="inlineStr">
        <is>
          <t>UNKNOWN</t>
        </is>
      </c>
      <c r="N380" t="inlineStr">
        <is>
          <t>DEFAULT</t>
        </is>
      </c>
      <c r="Q380" t="n">
        <v>0</v>
      </c>
      <c r="R380" t="inlineStr">
        <is>
          <t>AUD</t>
        </is>
      </c>
      <c r="S380" t="n">
        <v>0</v>
      </c>
      <c r="T380" t="inlineStr">
        <is>
          <t>AUD</t>
        </is>
      </c>
      <c r="U380" t="n">
        <v>0</v>
      </c>
    </row>
    <row r="381">
      <c r="A381" s="5" t="inlineStr">
        <is>
          <t>01a1212c-522f-7657-b771-6b7007b24a66</t>
        </is>
      </c>
      <c r="C381" s="5" t="inlineStr">
        <is>
          <t>01a1212c-4b57-70cf-80fd-c2192cb3bf81</t>
        </is>
      </c>
      <c r="D381" s="4" t="n">
        <v>46304.62401833288</v>
      </c>
      <c r="E381" s="4" t="n">
        <v>46304.62401833296</v>
      </c>
      <c r="F381" t="b">
        <v>1</v>
      </c>
      <c r="G381" t="n">
        <v/>
      </c>
      <c r="H381" t="inlineStr">
        <is>
          <t>JIN</t>
        </is>
      </c>
      <c r="I381" t="inlineStr">
        <is>
          <t>Jumbo Interactive Ltd</t>
        </is>
      </c>
      <c r="J381" t="inlineStr">
        <is>
          <t>AUD</t>
        </is>
      </c>
      <c r="K381" s="5" t="inlineStr">
        <is>
          <t>01a1212c-4c04-75ce-bbb2-e3322e18816e</t>
        </is>
      </c>
      <c r="M381" t="inlineStr">
        <is>
          <t>UNKNOWN</t>
        </is>
      </c>
      <c r="N381" t="inlineStr">
        <is>
          <t>DEFAULT</t>
        </is>
      </c>
      <c r="Q381" t="n">
        <v>0</v>
      </c>
      <c r="R381" t="inlineStr">
        <is>
          <t>AUD</t>
        </is>
      </c>
      <c r="S381" t="n">
        <v>0</v>
      </c>
      <c r="T381" t="inlineStr">
        <is>
          <t>AUD</t>
        </is>
      </c>
      <c r="U381" t="n">
        <v>0</v>
      </c>
    </row>
    <row r="382">
      <c r="A382" s="5" t="inlineStr">
        <is>
          <t>01a1212c-5232-74d0-bbce-6d5418160b9e</t>
        </is>
      </c>
      <c r="C382" s="5" t="inlineStr">
        <is>
          <t>01a1212c-4b57-70cf-80fd-c2192cb3bf81</t>
        </is>
      </c>
      <c r="D382" s="4" t="n">
        <v>46304.62401836405</v>
      </c>
      <c r="E382" s="4" t="n">
        <v>46304.62401836413</v>
      </c>
      <c r="F382" t="b">
        <v>1</v>
      </c>
      <c r="G382" t="n">
        <v/>
      </c>
      <c r="H382" t="inlineStr">
        <is>
          <t>PFP</t>
        </is>
      </c>
      <c r="I382" t="inlineStr">
        <is>
          <t>Propel Funeral Partners Ltd</t>
        </is>
      </c>
      <c r="J382" t="inlineStr">
        <is>
          <t>AUD</t>
        </is>
      </c>
      <c r="K382" s="5" t="inlineStr">
        <is>
          <t>01a1212c-4c04-75ce-bbb2-e3322e18816e</t>
        </is>
      </c>
      <c r="M382" t="inlineStr">
        <is>
          <t>UNKNOWN</t>
        </is>
      </c>
      <c r="N382" t="inlineStr">
        <is>
          <t>DEFAULT</t>
        </is>
      </c>
      <c r="Q382" t="n">
        <v>0</v>
      </c>
      <c r="R382" t="inlineStr">
        <is>
          <t>AUD</t>
        </is>
      </c>
      <c r="S382" t="n">
        <v>0</v>
      </c>
      <c r="T382" t="inlineStr">
        <is>
          <t>AUD</t>
        </is>
      </c>
      <c r="U382" t="n">
        <v>0</v>
      </c>
    </row>
    <row r="383">
      <c r="A383" s="5" t="inlineStr">
        <is>
          <t>01a1212c-5235-7739-8849-a04bd41e6ceb</t>
        </is>
      </c>
      <c r="C383" s="5" t="inlineStr">
        <is>
          <t>01a1212c-4b57-70cf-80fd-c2192cb3bf81</t>
        </is>
      </c>
      <c r="D383" s="4" t="n">
        <v>46304.6240183945</v>
      </c>
      <c r="E383" s="4" t="n">
        <v>46304.62401839458</v>
      </c>
      <c r="F383" t="b">
        <v>1</v>
      </c>
      <c r="G383" t="n">
        <v/>
      </c>
      <c r="H383" t="inlineStr">
        <is>
          <t>NGI</t>
        </is>
      </c>
      <c r="I383" t="inlineStr">
        <is>
          <t>Navigator Global Investments Ltd</t>
        </is>
      </c>
      <c r="J383" t="inlineStr">
        <is>
          <t>AUD</t>
        </is>
      </c>
      <c r="K383" s="5" t="inlineStr">
        <is>
          <t>01a1212c-4c04-75ce-bbb2-e3322e18816e</t>
        </is>
      </c>
      <c r="M383" t="inlineStr">
        <is>
          <t>UNKNOWN</t>
        </is>
      </c>
      <c r="N383" t="inlineStr">
        <is>
          <t>DEFAULT</t>
        </is>
      </c>
      <c r="Q383" t="n">
        <v>0</v>
      </c>
      <c r="R383" t="inlineStr">
        <is>
          <t>AUD</t>
        </is>
      </c>
      <c r="S383" t="n">
        <v>0</v>
      </c>
      <c r="T383" t="inlineStr">
        <is>
          <t>AUD</t>
        </is>
      </c>
      <c r="U383" t="n">
        <v>0</v>
      </c>
    </row>
    <row r="384">
      <c r="A384" s="5" t="inlineStr">
        <is>
          <t>01a1212c-5237-77ab-94d6-7168b7184e8e</t>
        </is>
      </c>
      <c r="C384" s="5" t="inlineStr">
        <is>
          <t>01a1212c-4b57-70cf-80fd-c2192cb3bf81</t>
        </is>
      </c>
      <c r="D384" s="4" t="n">
        <v>46304.62401842552</v>
      </c>
      <c r="E384" s="4" t="n">
        <v>46304.6240184256</v>
      </c>
      <c r="F384" t="b">
        <v>1</v>
      </c>
      <c r="G384" t="n">
        <v/>
      </c>
      <c r="H384" t="inlineStr">
        <is>
          <t>BCI</t>
        </is>
      </c>
      <c r="I384" t="inlineStr">
        <is>
          <t>BCI Minerals Ltd</t>
        </is>
      </c>
      <c r="J384" t="inlineStr">
        <is>
          <t>AUD</t>
        </is>
      </c>
      <c r="K384" s="5" t="inlineStr">
        <is>
          <t>01a1212c-4c04-75ce-bbb2-e3322e18816e</t>
        </is>
      </c>
      <c r="M384" t="inlineStr">
        <is>
          <t>UNKNOWN</t>
        </is>
      </c>
      <c r="N384" t="inlineStr">
        <is>
          <t>DEFAULT</t>
        </is>
      </c>
      <c r="Q384" t="n">
        <v>0</v>
      </c>
      <c r="R384" t="inlineStr">
        <is>
          <t>AUD</t>
        </is>
      </c>
      <c r="S384" t="n">
        <v>0</v>
      </c>
      <c r="T384" t="inlineStr">
        <is>
          <t>AUD</t>
        </is>
      </c>
      <c r="U384" t="n">
        <v>0</v>
      </c>
    </row>
    <row r="385">
      <c r="A385" s="5" t="inlineStr">
        <is>
          <t>01a1212c-523a-755f-870e-242bf766cd53</t>
        </is>
      </c>
      <c r="C385" s="5" t="inlineStr">
        <is>
          <t>01a1212c-4b57-70cf-80fd-c2192cb3bf81</t>
        </is>
      </c>
      <c r="D385" s="4" t="n">
        <v>46304.62401845587</v>
      </c>
      <c r="E385" s="4" t="n">
        <v>46304.62401845594</v>
      </c>
      <c r="F385" t="b">
        <v>1</v>
      </c>
      <c r="G385" t="n">
        <v/>
      </c>
      <c r="H385" t="inlineStr">
        <is>
          <t>QAL</t>
        </is>
      </c>
      <c r="I385" t="inlineStr">
        <is>
          <t>Qualitas Ltd</t>
        </is>
      </c>
      <c r="J385" t="inlineStr">
        <is>
          <t>AUD</t>
        </is>
      </c>
      <c r="K385" s="5" t="inlineStr">
        <is>
          <t>01a1212c-4c04-75ce-bbb2-e3322e18816e</t>
        </is>
      </c>
      <c r="M385" t="inlineStr">
        <is>
          <t>UNKNOWN</t>
        </is>
      </c>
      <c r="N385" t="inlineStr">
        <is>
          <t>DEFAULT</t>
        </is>
      </c>
      <c r="Q385" t="n">
        <v>0</v>
      </c>
      <c r="R385" t="inlineStr">
        <is>
          <t>AUD</t>
        </is>
      </c>
      <c r="S385" t="n">
        <v>0</v>
      </c>
      <c r="T385" t="inlineStr">
        <is>
          <t>AUD</t>
        </is>
      </c>
      <c r="U385" t="n">
        <v>0</v>
      </c>
    </row>
    <row r="386">
      <c r="A386" s="5" t="inlineStr">
        <is>
          <t>01a1212c-523d-73d7-9079-76190f9cf3e2</t>
        </is>
      </c>
      <c r="C386" s="5" t="inlineStr">
        <is>
          <t>01a1212c-4b57-70cf-80fd-c2192cb3bf81</t>
        </is>
      </c>
      <c r="D386" s="4" t="n">
        <v>46304.62401849322</v>
      </c>
      <c r="E386" s="4" t="n">
        <v>46304.6240184933</v>
      </c>
      <c r="F386" t="b">
        <v>1</v>
      </c>
      <c r="G386" t="n">
        <v/>
      </c>
      <c r="H386" t="inlineStr">
        <is>
          <t>BNDS</t>
        </is>
      </c>
      <c r="I386" t="inlineStr">
        <is>
          <t>Betashares Western Asset Aus Bond Active ETF</t>
        </is>
      </c>
      <c r="J386" t="inlineStr">
        <is>
          <t>AUD</t>
        </is>
      </c>
      <c r="K386" s="5" t="inlineStr">
        <is>
          <t>01a1212c-4c04-75ce-bbb2-e3322e18816e</t>
        </is>
      </c>
      <c r="M386" t="inlineStr">
        <is>
          <t>UNKNOWN</t>
        </is>
      </c>
      <c r="N386" t="inlineStr">
        <is>
          <t>DEFAULT</t>
        </is>
      </c>
      <c r="Q386" t="n">
        <v>0</v>
      </c>
      <c r="R386" t="inlineStr">
        <is>
          <t>AUD</t>
        </is>
      </c>
      <c r="S386" t="n">
        <v>0</v>
      </c>
      <c r="T386" t="inlineStr">
        <is>
          <t>AUD</t>
        </is>
      </c>
      <c r="U386" t="n">
        <v>0</v>
      </c>
    </row>
    <row r="387">
      <c r="A387" s="5" t="inlineStr">
        <is>
          <t>01a1212c-5240-743e-bd56-4f7dd2b8b820</t>
        </is>
      </c>
      <c r="C387" s="5" t="inlineStr">
        <is>
          <t>01a1212c-4b57-70cf-80fd-c2192cb3bf81</t>
        </is>
      </c>
      <c r="D387" s="4" t="n">
        <v>46304.62401852394</v>
      </c>
      <c r="E387" s="4" t="n">
        <v>46304.62401852402</v>
      </c>
      <c r="F387" t="b">
        <v>1</v>
      </c>
      <c r="G387" t="n">
        <v/>
      </c>
      <c r="H387" t="inlineStr">
        <is>
          <t>IJR</t>
        </is>
      </c>
      <c r="I387" t="inlineStr">
        <is>
          <t>Ishares S&amp;P Small-Cap ETF</t>
        </is>
      </c>
      <c r="J387" t="inlineStr">
        <is>
          <t>AUD</t>
        </is>
      </c>
      <c r="K387" s="5" t="inlineStr">
        <is>
          <t>01a1212c-4c04-75ce-bbb2-e3322e18816e</t>
        </is>
      </c>
      <c r="M387" t="inlineStr">
        <is>
          <t>UNKNOWN</t>
        </is>
      </c>
      <c r="N387" t="inlineStr">
        <is>
          <t>DEFAULT</t>
        </is>
      </c>
      <c r="Q387" t="n">
        <v>0</v>
      </c>
      <c r="R387" t="inlineStr">
        <is>
          <t>AUD</t>
        </is>
      </c>
      <c r="S387" t="n">
        <v>0</v>
      </c>
      <c r="T387" t="inlineStr">
        <is>
          <t>AUD</t>
        </is>
      </c>
      <c r="U387" t="n">
        <v>0</v>
      </c>
    </row>
    <row r="388">
      <c r="A388" s="5" t="inlineStr">
        <is>
          <t>01a1212c-5243-706a-84e6-ad27820aba85</t>
        </is>
      </c>
      <c r="C388" s="5" t="inlineStr">
        <is>
          <t>01a1212c-4b57-70cf-80fd-c2192cb3bf81</t>
        </is>
      </c>
      <c r="D388" s="4" t="n">
        <v>46304.62401855533</v>
      </c>
      <c r="E388" s="4" t="n">
        <v>46304.62401855539</v>
      </c>
      <c r="F388" t="b">
        <v>1</v>
      </c>
      <c r="G388" t="n">
        <v/>
      </c>
      <c r="H388" t="inlineStr">
        <is>
          <t>QRI</t>
        </is>
      </c>
      <c r="I388" t="inlineStr">
        <is>
          <t>Qualitas Real Estate Income Fund</t>
        </is>
      </c>
      <c r="J388" t="inlineStr">
        <is>
          <t>AUD</t>
        </is>
      </c>
      <c r="K388" s="5" t="inlineStr">
        <is>
          <t>01a1212c-4c04-75ce-bbb2-e3322e18816e</t>
        </is>
      </c>
      <c r="M388" t="inlineStr">
        <is>
          <t>UNKNOWN</t>
        </is>
      </c>
      <c r="N388" t="inlineStr">
        <is>
          <t>DEFAULT</t>
        </is>
      </c>
      <c r="Q388" t="n">
        <v>0</v>
      </c>
      <c r="R388" t="inlineStr">
        <is>
          <t>AUD</t>
        </is>
      </c>
      <c r="S388" t="n">
        <v>0</v>
      </c>
      <c r="T388" t="inlineStr">
        <is>
          <t>AUD</t>
        </is>
      </c>
      <c r="U388" t="n">
        <v>0</v>
      </c>
    </row>
    <row r="389">
      <c r="A389" s="5" t="inlineStr">
        <is>
          <t>01a1212c-5245-7730-8d4b-245feed9fe74</t>
        </is>
      </c>
      <c r="C389" s="5" t="inlineStr">
        <is>
          <t>01a1212c-4b57-70cf-80fd-c2192cb3bf81</t>
        </is>
      </c>
      <c r="D389" s="4" t="n">
        <v>46304.62401858574</v>
      </c>
      <c r="E389" s="4" t="n">
        <v>46304.62401858582</v>
      </c>
      <c r="F389" t="b">
        <v>1</v>
      </c>
      <c r="G389" t="n">
        <v/>
      </c>
      <c r="H389" t="inlineStr">
        <is>
          <t>BRN</t>
        </is>
      </c>
      <c r="I389" t="inlineStr">
        <is>
          <t>Brainchip Holdings Ltd</t>
        </is>
      </c>
      <c r="J389" t="inlineStr">
        <is>
          <t>AUD</t>
        </is>
      </c>
      <c r="K389" s="5" t="inlineStr">
        <is>
          <t>01a1212c-4c04-75ce-bbb2-e3322e18816e</t>
        </is>
      </c>
      <c r="M389" t="inlineStr">
        <is>
          <t>UNKNOWN</t>
        </is>
      </c>
      <c r="N389" t="inlineStr">
        <is>
          <t>DEFAULT</t>
        </is>
      </c>
      <c r="Q389" t="n">
        <v>0</v>
      </c>
      <c r="R389" t="inlineStr">
        <is>
          <t>AUD</t>
        </is>
      </c>
      <c r="S389" t="n">
        <v>0</v>
      </c>
      <c r="T389" t="inlineStr">
        <is>
          <t>AUD</t>
        </is>
      </c>
      <c r="U389" t="n">
        <v>0</v>
      </c>
    </row>
    <row r="390">
      <c r="A390" s="5" t="inlineStr">
        <is>
          <t>01a1212c-5248-7232-82e9-4d706b750758</t>
        </is>
      </c>
      <c r="C390" s="5" t="inlineStr">
        <is>
          <t>01a1212c-4b57-70cf-80fd-c2192cb3bf81</t>
        </is>
      </c>
      <c r="D390" s="4" t="n">
        <v>46304.62401861687</v>
      </c>
      <c r="E390" s="4" t="n">
        <v>46304.62401861693</v>
      </c>
      <c r="F390" t="b">
        <v>1</v>
      </c>
      <c r="G390" t="n">
        <v/>
      </c>
      <c r="H390" t="inlineStr">
        <is>
          <t>QUS</t>
        </is>
      </c>
      <c r="I390" t="inlineStr">
        <is>
          <t>Betashares S&amp;P 500 EQUAL Weight ETF</t>
        </is>
      </c>
      <c r="J390" t="inlineStr">
        <is>
          <t>AUD</t>
        </is>
      </c>
      <c r="K390" s="5" t="inlineStr">
        <is>
          <t>01a1212c-4c04-75ce-bbb2-e3322e18816e</t>
        </is>
      </c>
      <c r="M390" t="inlineStr">
        <is>
          <t>UNKNOWN</t>
        </is>
      </c>
      <c r="N390" t="inlineStr">
        <is>
          <t>DEFAULT</t>
        </is>
      </c>
      <c r="Q390" t="n">
        <v>0</v>
      </c>
      <c r="R390" t="inlineStr">
        <is>
          <t>AUD</t>
        </is>
      </c>
      <c r="S390" t="n">
        <v>0</v>
      </c>
      <c r="T390" t="inlineStr">
        <is>
          <t>AUD</t>
        </is>
      </c>
      <c r="U390" t="n">
        <v>0</v>
      </c>
    </row>
    <row r="391">
      <c r="A391" s="5" t="inlineStr">
        <is>
          <t>01a1212c-524b-770b-973f-0df59d21f251</t>
        </is>
      </c>
      <c r="C391" s="5" t="inlineStr">
        <is>
          <t>01a1212c-4b57-70cf-80fd-c2192cb3bf81</t>
        </is>
      </c>
      <c r="D391" s="4" t="n">
        <v>46304.624018652</v>
      </c>
      <c r="E391" s="4" t="n">
        <v>46304.6240186521</v>
      </c>
      <c r="F391" t="b">
        <v>1</v>
      </c>
      <c r="G391" t="n">
        <v/>
      </c>
      <c r="H391" t="inlineStr">
        <is>
          <t>XALG</t>
        </is>
      </c>
      <c r="I391" t="inlineStr">
        <is>
          <t>Alphinity Global Equity Fund - Active ETF</t>
        </is>
      </c>
      <c r="J391" t="inlineStr">
        <is>
          <t>AUD</t>
        </is>
      </c>
      <c r="K391" s="5" t="inlineStr">
        <is>
          <t>01a1212c-4c04-75ce-bbb2-e3322e18816e</t>
        </is>
      </c>
      <c r="M391" t="inlineStr">
        <is>
          <t>UNKNOWN</t>
        </is>
      </c>
      <c r="N391" t="inlineStr">
        <is>
          <t>DEFAULT</t>
        </is>
      </c>
      <c r="Q391" t="n">
        <v>0</v>
      </c>
      <c r="R391" t="inlineStr">
        <is>
          <t>AUD</t>
        </is>
      </c>
      <c r="S391" t="n">
        <v>0</v>
      </c>
      <c r="T391" t="inlineStr">
        <is>
          <t>AUD</t>
        </is>
      </c>
      <c r="U391" t="n">
        <v>0</v>
      </c>
    </row>
    <row r="392">
      <c r="A392" s="5" t="inlineStr">
        <is>
          <t>01a1212c-524e-75fc-ab00-bc9d2e092ba1</t>
        </is>
      </c>
      <c r="C392" s="5" t="inlineStr">
        <is>
          <t>01a1212c-4b57-70cf-80fd-c2192cb3bf81</t>
        </is>
      </c>
      <c r="D392" s="4" t="n">
        <v>46304.62401868458</v>
      </c>
      <c r="E392" s="4" t="n">
        <v>46304.62401868466</v>
      </c>
      <c r="F392" t="b">
        <v>1</v>
      </c>
      <c r="G392" t="n">
        <v/>
      </c>
      <c r="H392" t="inlineStr">
        <is>
          <t>SXG</t>
        </is>
      </c>
      <c r="I392" t="inlineStr">
        <is>
          <t>Southern Cross Gold Ltd</t>
        </is>
      </c>
      <c r="J392" t="inlineStr">
        <is>
          <t>AUD</t>
        </is>
      </c>
      <c r="K392" s="5" t="inlineStr">
        <is>
          <t>01a1212c-4c04-75ce-bbb2-e3322e18816e</t>
        </is>
      </c>
      <c r="M392" t="inlineStr">
        <is>
          <t>UNKNOWN</t>
        </is>
      </c>
      <c r="N392" t="inlineStr">
        <is>
          <t>DEFAULT</t>
        </is>
      </c>
      <c r="Q392" t="n">
        <v>0</v>
      </c>
      <c r="R392" t="inlineStr">
        <is>
          <t>AUD</t>
        </is>
      </c>
      <c r="S392" t="n">
        <v>0</v>
      </c>
      <c r="T392" t="inlineStr">
        <is>
          <t>AUD</t>
        </is>
      </c>
      <c r="U392" t="n">
        <v>0</v>
      </c>
    </row>
    <row r="393">
      <c r="A393" s="5" t="inlineStr">
        <is>
          <t>01a1212c-5251-7629-8c1f-83940788df23</t>
        </is>
      </c>
      <c r="C393" s="5" t="inlineStr">
        <is>
          <t>01a1212c-4b57-70cf-80fd-c2192cb3bf81</t>
        </is>
      </c>
      <c r="D393" s="4" t="n">
        <v>46304.62401871791</v>
      </c>
      <c r="E393" s="4" t="n">
        <v>46304.624018718</v>
      </c>
      <c r="F393" t="b">
        <v>1</v>
      </c>
      <c r="G393" t="n">
        <v/>
      </c>
      <c r="H393" t="inlineStr">
        <is>
          <t>KKC</t>
        </is>
      </c>
      <c r="I393" t="inlineStr">
        <is>
          <t>KKR Credit Income Fund</t>
        </is>
      </c>
      <c r="J393" t="inlineStr">
        <is>
          <t>AUD</t>
        </is>
      </c>
      <c r="K393" s="5" t="inlineStr">
        <is>
          <t>01a1212c-4c04-75ce-bbb2-e3322e18816e</t>
        </is>
      </c>
      <c r="M393" t="inlineStr">
        <is>
          <t>UNKNOWN</t>
        </is>
      </c>
      <c r="N393" t="inlineStr">
        <is>
          <t>DEFAULT</t>
        </is>
      </c>
      <c r="Q393" t="n">
        <v>0</v>
      </c>
      <c r="R393" t="inlineStr">
        <is>
          <t>AUD</t>
        </is>
      </c>
      <c r="S393" t="n">
        <v>0</v>
      </c>
      <c r="T393" t="inlineStr">
        <is>
          <t>AUD</t>
        </is>
      </c>
      <c r="U393" t="n">
        <v>0</v>
      </c>
    </row>
    <row r="394">
      <c r="A394" s="5" t="inlineStr">
        <is>
          <t>01a1212c-5253-773f-8bf7-b2f406c0d7a2</t>
        </is>
      </c>
      <c r="C394" s="5" t="inlineStr">
        <is>
          <t>01a1212c-4b57-70cf-80fd-c2192cb3bf81</t>
        </is>
      </c>
      <c r="D394" s="4" t="n">
        <v>46304.62401874925</v>
      </c>
      <c r="E394" s="4" t="n">
        <v>46304.62401874933</v>
      </c>
      <c r="F394" t="b">
        <v>1</v>
      </c>
      <c r="G394" t="n">
        <v/>
      </c>
      <c r="H394" t="inlineStr">
        <is>
          <t>USTB</t>
        </is>
      </c>
      <c r="I394" t="inlineStr">
        <is>
          <t>Global X US Treasury Bond ETF (Currency Hedged)</t>
        </is>
      </c>
      <c r="J394" t="inlineStr">
        <is>
          <t>AUD</t>
        </is>
      </c>
      <c r="K394" s="5" t="inlineStr">
        <is>
          <t>01a1212c-4c04-75ce-bbb2-e3322e18816e</t>
        </is>
      </c>
      <c r="M394" t="inlineStr">
        <is>
          <t>UNKNOWN</t>
        </is>
      </c>
      <c r="N394" t="inlineStr">
        <is>
          <t>DEFAULT</t>
        </is>
      </c>
      <c r="Q394" t="n">
        <v>0</v>
      </c>
      <c r="R394" t="inlineStr">
        <is>
          <t>AUD</t>
        </is>
      </c>
      <c r="S394" t="n">
        <v>0</v>
      </c>
      <c r="T394" t="inlineStr">
        <is>
          <t>AUD</t>
        </is>
      </c>
      <c r="U394" t="n">
        <v>0</v>
      </c>
    </row>
    <row r="395">
      <c r="A395" s="5" t="inlineStr">
        <is>
          <t>01a1212c-5256-73f4-9799-e68510f20bbe</t>
        </is>
      </c>
      <c r="C395" s="5" t="inlineStr">
        <is>
          <t>01a1212c-4b57-70cf-80fd-c2192cb3bf81</t>
        </is>
      </c>
      <c r="D395" s="4" t="n">
        <v>46304.62401878221</v>
      </c>
      <c r="E395" s="4" t="n">
        <v>46304.62401878229</v>
      </c>
      <c r="F395" t="b">
        <v>1</v>
      </c>
      <c r="G395" t="n">
        <v/>
      </c>
      <c r="H395" t="inlineStr">
        <is>
          <t>AGVT</t>
        </is>
      </c>
      <c r="I395" t="inlineStr">
        <is>
          <t>Betashares Australian Government Bond ETF</t>
        </is>
      </c>
      <c r="J395" t="inlineStr">
        <is>
          <t>AUD</t>
        </is>
      </c>
      <c r="K395" s="5" t="inlineStr">
        <is>
          <t>01a1212c-4c04-75ce-bbb2-e3322e18816e</t>
        </is>
      </c>
      <c r="M395" t="inlineStr">
        <is>
          <t>UNKNOWN</t>
        </is>
      </c>
      <c r="N395" t="inlineStr">
        <is>
          <t>DEFAULT</t>
        </is>
      </c>
      <c r="Q395" t="n">
        <v>0</v>
      </c>
      <c r="R395" t="inlineStr">
        <is>
          <t>AUD</t>
        </is>
      </c>
      <c r="S395" t="n">
        <v>0</v>
      </c>
      <c r="T395" t="inlineStr">
        <is>
          <t>AUD</t>
        </is>
      </c>
      <c r="U395" t="n">
        <v>0</v>
      </c>
    </row>
    <row r="396">
      <c r="A396" s="5" t="inlineStr">
        <is>
          <t>01a1212c-5259-73ea-886b-08021ffba0bb</t>
        </is>
      </c>
      <c r="C396" s="5" t="inlineStr">
        <is>
          <t>01a1212c-4b57-70cf-80fd-c2192cb3bf81</t>
        </is>
      </c>
      <c r="D396" s="4" t="n">
        <v>46304.62401881276</v>
      </c>
      <c r="E396" s="4" t="n">
        <v>46304.62401881282</v>
      </c>
      <c r="F396" t="b">
        <v>1</v>
      </c>
      <c r="G396" t="n">
        <v/>
      </c>
      <c r="H396" t="inlineStr">
        <is>
          <t>FLOT</t>
        </is>
      </c>
      <c r="I396" t="inlineStr">
        <is>
          <t>Vaneck Australian Floating Rate ETF</t>
        </is>
      </c>
      <c r="J396" t="inlineStr">
        <is>
          <t>AUD</t>
        </is>
      </c>
      <c r="K396" s="5" t="inlineStr">
        <is>
          <t>01a1212c-4c04-75ce-bbb2-e3322e18816e</t>
        </is>
      </c>
      <c r="M396" t="inlineStr">
        <is>
          <t>UNIT_TRUST</t>
        </is>
      </c>
      <c r="N396" t="inlineStr">
        <is>
          <t>SUGGESTED</t>
        </is>
      </c>
      <c r="Q396" t="n">
        <v>0</v>
      </c>
      <c r="R396" t="inlineStr">
        <is>
          <t>AUD</t>
        </is>
      </c>
      <c r="S396" t="n">
        <v>0</v>
      </c>
      <c r="T396" t="inlineStr">
        <is>
          <t>AUD</t>
        </is>
      </c>
      <c r="U396" t="n">
        <v>0</v>
      </c>
    </row>
    <row r="397">
      <c r="A397" s="5" t="inlineStr">
        <is>
          <t>01a1212c-525c-73fc-8451-ee51378f3b39</t>
        </is>
      </c>
      <c r="C397" s="5" t="inlineStr">
        <is>
          <t>01a1212c-4b57-70cf-80fd-c2192cb3bf81</t>
        </is>
      </c>
      <c r="D397" s="4" t="n">
        <v>46304.62401884868</v>
      </c>
      <c r="E397" s="4" t="n">
        <v>46304.62401884877</v>
      </c>
      <c r="F397" t="b">
        <v>1</v>
      </c>
      <c r="G397" t="n">
        <v/>
      </c>
      <c r="H397" t="inlineStr">
        <is>
          <t>MQGPE</t>
        </is>
      </c>
      <c r="I397" t="inlineStr">
        <is>
          <t>Macquarie Group Ltd</t>
        </is>
      </c>
      <c r="J397" t="inlineStr">
        <is>
          <t>AUD</t>
        </is>
      </c>
      <c r="K397" s="5" t="inlineStr">
        <is>
          <t>01a1212c-4c04-75ce-bbb2-e3322e18816e</t>
        </is>
      </c>
      <c r="M397" t="inlineStr">
        <is>
          <t>UNKNOWN</t>
        </is>
      </c>
      <c r="N397" t="inlineStr">
        <is>
          <t>DEFAULT</t>
        </is>
      </c>
      <c r="Q397" t="n">
        <v>0</v>
      </c>
      <c r="R397" t="inlineStr">
        <is>
          <t>AUD</t>
        </is>
      </c>
      <c r="S397" t="n">
        <v>0</v>
      </c>
      <c r="T397" t="inlineStr">
        <is>
          <t>AUD</t>
        </is>
      </c>
      <c r="U397" t="n">
        <v>0</v>
      </c>
    </row>
    <row r="398">
      <c r="A398" s="5" t="inlineStr">
        <is>
          <t>01a1212c-525f-746e-87a7-11200d758fd1</t>
        </is>
      </c>
      <c r="C398" s="5" t="inlineStr">
        <is>
          <t>01a1212c-4b57-70cf-80fd-c2192cb3bf81</t>
        </is>
      </c>
      <c r="D398" s="4" t="n">
        <v>46304.62401888151</v>
      </c>
      <c r="E398" s="4" t="n">
        <v>46304.62401888159</v>
      </c>
      <c r="F398" t="b">
        <v>1</v>
      </c>
      <c r="G398" t="n">
        <v/>
      </c>
      <c r="H398" t="inlineStr">
        <is>
          <t>IEU</t>
        </is>
      </c>
      <c r="I398" t="inlineStr">
        <is>
          <t>Ishares Europe ETF</t>
        </is>
      </c>
      <c r="J398" t="inlineStr">
        <is>
          <t>AUD</t>
        </is>
      </c>
      <c r="K398" s="5" t="inlineStr">
        <is>
          <t>01a1212c-4c04-75ce-bbb2-e3322e18816e</t>
        </is>
      </c>
      <c r="M398" t="inlineStr">
        <is>
          <t>UNIT_TRUST</t>
        </is>
      </c>
      <c r="N398" t="inlineStr">
        <is>
          <t>SUGGESTED</t>
        </is>
      </c>
      <c r="Q398" t="n">
        <v>0</v>
      </c>
      <c r="R398" t="inlineStr">
        <is>
          <t>AUD</t>
        </is>
      </c>
      <c r="S398" t="n">
        <v>0</v>
      </c>
      <c r="T398" t="inlineStr">
        <is>
          <t>AUD</t>
        </is>
      </c>
      <c r="U398" t="n">
        <v>0</v>
      </c>
    </row>
    <row r="399">
      <c r="A399" s="5" t="inlineStr">
        <is>
          <t>01a1212c-5262-77b3-bed5-5308c2cf972e</t>
        </is>
      </c>
      <c r="C399" s="5" t="inlineStr">
        <is>
          <t>01a1212c-4b57-70cf-80fd-c2192cb3bf81</t>
        </is>
      </c>
      <c r="D399" s="4" t="n">
        <v>46304.62401891933</v>
      </c>
      <c r="E399" s="4" t="n">
        <v>46304.62401891941</v>
      </c>
      <c r="F399" t="b">
        <v>1</v>
      </c>
      <c r="G399" t="n">
        <v/>
      </c>
      <c r="H399" t="inlineStr">
        <is>
          <t>SFY</t>
        </is>
      </c>
      <c r="I399" t="inlineStr">
        <is>
          <t>SPDR S&amp;P/ASX 50 Fund</t>
        </is>
      </c>
      <c r="J399" t="inlineStr">
        <is>
          <t>AUD</t>
        </is>
      </c>
      <c r="K399" s="5" t="inlineStr">
        <is>
          <t>01a1212c-4c04-75ce-bbb2-e3322e18816e</t>
        </is>
      </c>
      <c r="M399" t="inlineStr">
        <is>
          <t>UNIT_TRUST</t>
        </is>
      </c>
      <c r="N399" t="inlineStr">
        <is>
          <t>SUGGESTED</t>
        </is>
      </c>
      <c r="Q399" t="n">
        <v>0</v>
      </c>
      <c r="R399" t="inlineStr">
        <is>
          <t>AUD</t>
        </is>
      </c>
      <c r="S399" t="n">
        <v>0</v>
      </c>
      <c r="T399" t="inlineStr">
        <is>
          <t>AUD</t>
        </is>
      </c>
      <c r="U399" t="n">
        <v>0</v>
      </c>
    </row>
    <row r="400">
      <c r="A400" s="5" t="inlineStr">
        <is>
          <t>01a1212c-5265-76fd-9579-8382805cfad2</t>
        </is>
      </c>
      <c r="C400" s="5" t="inlineStr">
        <is>
          <t>01a1212c-4b57-70cf-80fd-c2192cb3bf81</t>
        </is>
      </c>
      <c r="D400" s="4" t="n">
        <v>46304.62401895281</v>
      </c>
      <c r="E400" s="4" t="n">
        <v>46304.62401895288</v>
      </c>
      <c r="F400" t="b">
        <v>1</v>
      </c>
      <c r="G400" t="n">
        <v/>
      </c>
      <c r="H400" t="inlineStr">
        <is>
          <t>QAU</t>
        </is>
      </c>
      <c r="I400" t="inlineStr">
        <is>
          <t>Betashares Gold Bullion ETF - Currency Hedged</t>
        </is>
      </c>
      <c r="J400" t="inlineStr">
        <is>
          <t>AUD</t>
        </is>
      </c>
      <c r="K400" s="5" t="inlineStr">
        <is>
          <t>01a1212c-4c04-75ce-bbb2-e3322e18816e</t>
        </is>
      </c>
      <c r="M400" t="inlineStr">
        <is>
          <t>UNIT_TRUST</t>
        </is>
      </c>
      <c r="N400" t="inlineStr">
        <is>
          <t>SUGGESTED</t>
        </is>
      </c>
      <c r="Q400" t="n">
        <v>0</v>
      </c>
      <c r="R400" t="inlineStr">
        <is>
          <t>AUD</t>
        </is>
      </c>
      <c r="S400" t="n">
        <v>0</v>
      </c>
      <c r="T400" t="inlineStr">
        <is>
          <t>AUD</t>
        </is>
      </c>
      <c r="U400" t="n">
        <v>0</v>
      </c>
    </row>
    <row r="401">
      <c r="A401" s="5" t="inlineStr">
        <is>
          <t>01a1212c-5268-77bd-a772-6ccfd6b6fe63</t>
        </is>
      </c>
      <c r="C401" s="5" t="inlineStr">
        <is>
          <t>01a1212c-4b57-70cf-80fd-c2192cb3bf81</t>
        </is>
      </c>
      <c r="D401" s="4" t="n">
        <v>46304.62401898647</v>
      </c>
      <c r="E401" s="4" t="n">
        <v>46304.62401898655</v>
      </c>
      <c r="F401" t="b">
        <v>1</v>
      </c>
      <c r="G401" t="n">
        <v/>
      </c>
      <c r="H401" t="inlineStr">
        <is>
          <t>VVLU</t>
        </is>
      </c>
      <c r="I401" t="inlineStr">
        <is>
          <t>Vanguard Global Value Equity Active ETF</t>
        </is>
      </c>
      <c r="J401" t="inlineStr">
        <is>
          <t>AUD</t>
        </is>
      </c>
      <c r="K401" s="5" t="inlineStr">
        <is>
          <t>01a1212c-4c04-75ce-bbb2-e3322e18816e</t>
        </is>
      </c>
      <c r="M401" t="inlineStr">
        <is>
          <t>UNIT_TRUST</t>
        </is>
      </c>
      <c r="N401" t="inlineStr">
        <is>
          <t>SUGGESTED</t>
        </is>
      </c>
      <c r="Q401" t="n">
        <v>0</v>
      </c>
      <c r="R401" t="inlineStr">
        <is>
          <t>AUD</t>
        </is>
      </c>
      <c r="S401" t="n">
        <v>0</v>
      </c>
      <c r="T401" t="inlineStr">
        <is>
          <t>AUD</t>
        </is>
      </c>
      <c r="U401" t="n">
        <v>0</v>
      </c>
    </row>
    <row r="402">
      <c r="A402" s="5" t="inlineStr">
        <is>
          <t>01a1212c-526b-7355-b782-612ba9ef948e</t>
        </is>
      </c>
      <c r="C402" s="5" t="inlineStr">
        <is>
          <t>01a1212c-4b57-70cf-80fd-c2192cb3bf81</t>
        </is>
      </c>
      <c r="D402" s="4" t="n">
        <v>46304.62401902209</v>
      </c>
      <c r="E402" s="4" t="n">
        <v>46304.62401902217</v>
      </c>
      <c r="F402" t="b">
        <v>1</v>
      </c>
      <c r="G402" t="n">
        <v/>
      </c>
      <c r="H402" t="inlineStr">
        <is>
          <t>HPI</t>
        </is>
      </c>
      <c r="I402" t="inlineStr">
        <is>
          <t>Hotel Property Investments</t>
        </is>
      </c>
      <c r="J402" t="inlineStr">
        <is>
          <t>AUD</t>
        </is>
      </c>
      <c r="K402" s="5" t="inlineStr">
        <is>
          <t>01a1212c-4c04-75ce-bbb2-e3322e18816e</t>
        </is>
      </c>
      <c r="M402" t="inlineStr">
        <is>
          <t>STAPLED</t>
        </is>
      </c>
      <c r="N402" t="inlineStr">
        <is>
          <t>SUGGESTED</t>
        </is>
      </c>
      <c r="Q402" t="n">
        <v>0</v>
      </c>
      <c r="R402" t="inlineStr">
        <is>
          <t>AUD</t>
        </is>
      </c>
      <c r="S402" t="n">
        <v>0</v>
      </c>
      <c r="T402" t="inlineStr">
        <is>
          <t>AUD</t>
        </is>
      </c>
      <c r="U402" t="n">
        <v>0</v>
      </c>
    </row>
    <row r="403">
      <c r="A403" s="5" t="inlineStr">
        <is>
          <t>01a1212c-526f-7423-b934-a4fdc4b3f3e0</t>
        </is>
      </c>
      <c r="C403" s="5" t="inlineStr">
        <is>
          <t>01a1212c-4b57-70cf-80fd-c2192cb3bf81</t>
        </is>
      </c>
      <c r="D403" s="4" t="n">
        <v>46304.624019067</v>
      </c>
      <c r="E403" s="4" t="n">
        <v>46304.62401906709</v>
      </c>
      <c r="F403" t="b">
        <v>1</v>
      </c>
      <c r="G403" t="n">
        <v/>
      </c>
      <c r="H403" t="inlineStr">
        <is>
          <t>HM1</t>
        </is>
      </c>
      <c r="I403" t="inlineStr">
        <is>
          <t>Hearts and Minds Investments Ltd</t>
        </is>
      </c>
      <c r="J403" t="inlineStr">
        <is>
          <t>AUD</t>
        </is>
      </c>
      <c r="K403" s="5" t="inlineStr">
        <is>
          <t>01a1212c-4c04-75ce-bbb2-e3322e18816e</t>
        </is>
      </c>
      <c r="M403" t="inlineStr">
        <is>
          <t>UNKNOWN</t>
        </is>
      </c>
      <c r="N403" t="inlineStr">
        <is>
          <t>DEFAULT</t>
        </is>
      </c>
      <c r="Q403" t="n">
        <v>0</v>
      </c>
      <c r="R403" t="inlineStr">
        <is>
          <t>AUD</t>
        </is>
      </c>
      <c r="S403" t="n">
        <v>0</v>
      </c>
      <c r="T403" t="inlineStr">
        <is>
          <t>AUD</t>
        </is>
      </c>
      <c r="U403" t="n">
        <v>0</v>
      </c>
    </row>
    <row r="404">
      <c r="A404" s="5" t="inlineStr">
        <is>
          <t>01a1212c-5272-7519-a285-a7eed76315b8</t>
        </is>
      </c>
      <c r="C404" s="5" t="inlineStr">
        <is>
          <t>01a1212c-4b57-70cf-80fd-c2192cb3bf81</t>
        </is>
      </c>
      <c r="D404" s="4" t="n">
        <v>46304.62401909881</v>
      </c>
      <c r="E404" s="4" t="n">
        <v>46304.62401909888</v>
      </c>
      <c r="F404" t="b">
        <v>1</v>
      </c>
      <c r="G404" t="n">
        <v/>
      </c>
      <c r="H404" t="inlineStr">
        <is>
          <t>IJP</t>
        </is>
      </c>
      <c r="I404" t="inlineStr">
        <is>
          <t>Ishares MSCI Japan ETF</t>
        </is>
      </c>
      <c r="J404" t="inlineStr">
        <is>
          <t>AUD</t>
        </is>
      </c>
      <c r="K404" s="5" t="inlineStr">
        <is>
          <t>01a1212c-4c04-75ce-bbb2-e3322e18816e</t>
        </is>
      </c>
      <c r="M404" t="inlineStr">
        <is>
          <t>UNIT_TRUST</t>
        </is>
      </c>
      <c r="N404" t="inlineStr">
        <is>
          <t>SUGGESTED</t>
        </is>
      </c>
      <c r="Q404" t="n">
        <v>0</v>
      </c>
      <c r="R404" t="inlineStr">
        <is>
          <t>AUD</t>
        </is>
      </c>
      <c r="S404" t="n">
        <v>0</v>
      </c>
      <c r="T404" t="inlineStr">
        <is>
          <t>AUD</t>
        </is>
      </c>
      <c r="U404" t="n">
        <v>0</v>
      </c>
    </row>
    <row r="405">
      <c r="A405" s="5" t="inlineStr">
        <is>
          <t>01a1212c-5275-7469-b19e-6454e2c89e79</t>
        </is>
      </c>
      <c r="C405" s="5" t="inlineStr">
        <is>
          <t>01a1212c-4b57-70cf-80fd-c2192cb3bf81</t>
        </is>
      </c>
      <c r="D405" s="4" t="n">
        <v>46304.62401913454</v>
      </c>
      <c r="E405" s="4" t="n">
        <v>46304.62401913462</v>
      </c>
      <c r="F405" t="b">
        <v>1</v>
      </c>
      <c r="G405" t="n">
        <v/>
      </c>
      <c r="H405" t="inlineStr">
        <is>
          <t>QLTY</t>
        </is>
      </c>
      <c r="I405" t="inlineStr">
        <is>
          <t>Betashares Global Quality Leaders ETF</t>
        </is>
      </c>
      <c r="J405" t="inlineStr">
        <is>
          <t>AUD</t>
        </is>
      </c>
      <c r="K405" s="5" t="inlineStr">
        <is>
          <t>01a1212c-4c04-75ce-bbb2-e3322e18816e</t>
        </is>
      </c>
      <c r="M405" t="inlineStr">
        <is>
          <t>UNIT_TRUST</t>
        </is>
      </c>
      <c r="N405" t="inlineStr">
        <is>
          <t>SUGGESTED</t>
        </is>
      </c>
      <c r="Q405" t="n">
        <v>0</v>
      </c>
      <c r="R405" t="inlineStr">
        <is>
          <t>AUD</t>
        </is>
      </c>
      <c r="S405" t="n">
        <v>0</v>
      </c>
      <c r="T405" t="inlineStr">
        <is>
          <t>AUD</t>
        </is>
      </c>
      <c r="U405" t="n">
        <v>0</v>
      </c>
    </row>
    <row r="406">
      <c r="A406" s="5" t="inlineStr">
        <is>
          <t>01a1212c-5278-746a-9dfd-c80e52e91ed7</t>
        </is>
      </c>
      <c r="C406" s="5" t="inlineStr">
        <is>
          <t>01a1212c-4b57-70cf-80fd-c2192cb3bf81</t>
        </is>
      </c>
      <c r="D406" s="4" t="n">
        <v>46304.62401916835</v>
      </c>
      <c r="E406" s="4" t="n">
        <v>46304.62401916844</v>
      </c>
      <c r="F406" t="b">
        <v>1</v>
      </c>
      <c r="G406" t="n">
        <v/>
      </c>
      <c r="H406" t="inlineStr">
        <is>
          <t>RF1</t>
        </is>
      </c>
      <c r="I406" t="inlineStr">
        <is>
          <t>Regal Investment Fund</t>
        </is>
      </c>
      <c r="J406" t="inlineStr">
        <is>
          <t>AUD</t>
        </is>
      </c>
      <c r="K406" s="5" t="inlineStr">
        <is>
          <t>01a1212c-4c04-75ce-bbb2-e3322e18816e</t>
        </is>
      </c>
      <c r="M406" t="inlineStr">
        <is>
          <t>UNKNOWN</t>
        </is>
      </c>
      <c r="N406" t="inlineStr">
        <is>
          <t>DEFAULT</t>
        </is>
      </c>
      <c r="Q406" t="n">
        <v>0</v>
      </c>
      <c r="R406" t="inlineStr">
        <is>
          <t>AUD</t>
        </is>
      </c>
      <c r="S406" t="n">
        <v>0</v>
      </c>
      <c r="T406" t="inlineStr">
        <is>
          <t>AUD</t>
        </is>
      </c>
      <c r="U406" t="n">
        <v>0</v>
      </c>
    </row>
    <row r="407">
      <c r="A407" s="5" t="inlineStr">
        <is>
          <t>01a1212c-527a-744f-9110-3ff07bc0faad</t>
        </is>
      </c>
      <c r="C407" s="5" t="inlineStr">
        <is>
          <t>01a1212c-4b57-70cf-80fd-c2192cb3bf81</t>
        </is>
      </c>
      <c r="D407" s="4" t="n">
        <v>46304.6240191988</v>
      </c>
      <c r="E407" s="4" t="n">
        <v>46304.62401919887</v>
      </c>
      <c r="F407" t="b">
        <v>1</v>
      </c>
      <c r="G407" t="n">
        <v/>
      </c>
      <c r="H407" t="inlineStr">
        <is>
          <t>BILL</t>
        </is>
      </c>
      <c r="I407" t="inlineStr">
        <is>
          <t>Ishares Core Cash ETF</t>
        </is>
      </c>
      <c r="J407" t="inlineStr">
        <is>
          <t>AUD</t>
        </is>
      </c>
      <c r="K407" s="5" t="inlineStr">
        <is>
          <t>01a1212c-4c04-75ce-bbb2-e3322e18816e</t>
        </is>
      </c>
      <c r="M407" t="inlineStr">
        <is>
          <t>UNIT_TRUST</t>
        </is>
      </c>
      <c r="N407" t="inlineStr">
        <is>
          <t>SUGGESTED</t>
        </is>
      </c>
      <c r="Q407" t="n">
        <v>0</v>
      </c>
      <c r="R407" t="inlineStr">
        <is>
          <t>AUD</t>
        </is>
      </c>
      <c r="S407" t="n">
        <v>0</v>
      </c>
      <c r="T407" t="inlineStr">
        <is>
          <t>AUD</t>
        </is>
      </c>
      <c r="U407" t="n">
        <v>0</v>
      </c>
    </row>
    <row r="408">
      <c r="A408" s="5" t="inlineStr">
        <is>
          <t>01a1212c-527d-7519-ae0f-1eafa01e84e4</t>
        </is>
      </c>
      <c r="C408" s="5" t="inlineStr">
        <is>
          <t>01a1212c-4b57-70cf-80fd-c2192cb3bf81</t>
        </is>
      </c>
      <c r="D408" s="4" t="n">
        <v>46304.62401923299</v>
      </c>
      <c r="E408" s="4" t="n">
        <v>46304.62401923308</v>
      </c>
      <c r="F408" t="b">
        <v>1</v>
      </c>
      <c r="G408" t="n">
        <v/>
      </c>
      <c r="H408" t="inlineStr">
        <is>
          <t>ACL</t>
        </is>
      </c>
      <c r="I408" t="inlineStr">
        <is>
          <t>Australian Clinical Labs Ltd</t>
        </is>
      </c>
      <c r="J408" t="inlineStr">
        <is>
          <t>AUD</t>
        </is>
      </c>
      <c r="K408" s="5" t="inlineStr">
        <is>
          <t>01a1212c-4c04-75ce-bbb2-e3322e18816e</t>
        </is>
      </c>
      <c r="M408" t="inlineStr">
        <is>
          <t>UNKNOWN</t>
        </is>
      </c>
      <c r="N408" t="inlineStr">
        <is>
          <t>DEFAULT</t>
        </is>
      </c>
      <c r="Q408" t="n">
        <v>0</v>
      </c>
      <c r="R408" t="inlineStr">
        <is>
          <t>AUD</t>
        </is>
      </c>
      <c r="S408" t="n">
        <v>0</v>
      </c>
      <c r="T408" t="inlineStr">
        <is>
          <t>AUD</t>
        </is>
      </c>
      <c r="U408" t="n">
        <v>0</v>
      </c>
    </row>
    <row r="409">
      <c r="A409" s="5" t="inlineStr">
        <is>
          <t>01a1212c-5280-730f-8ff7-dd908c58b187</t>
        </is>
      </c>
      <c r="C409" s="5" t="inlineStr">
        <is>
          <t>01a1212c-4b57-70cf-80fd-c2192cb3bf81</t>
        </is>
      </c>
      <c r="D409" s="4" t="n">
        <v>46304.62401926535</v>
      </c>
      <c r="E409" s="4" t="n">
        <v>46304.62401926543</v>
      </c>
      <c r="F409" t="b">
        <v>1</v>
      </c>
      <c r="G409" t="n">
        <v/>
      </c>
      <c r="H409" t="inlineStr">
        <is>
          <t>BLX</t>
        </is>
      </c>
      <c r="I409" t="inlineStr">
        <is>
          <t>Beacon Lighting Group Ltd</t>
        </is>
      </c>
      <c r="J409" t="inlineStr">
        <is>
          <t>AUD</t>
        </is>
      </c>
      <c r="K409" s="5" t="inlineStr">
        <is>
          <t>01a1212c-4c04-75ce-bbb2-e3322e18816e</t>
        </is>
      </c>
      <c r="M409" t="inlineStr">
        <is>
          <t>UNKNOWN</t>
        </is>
      </c>
      <c r="N409" t="inlineStr">
        <is>
          <t>DEFAULT</t>
        </is>
      </c>
      <c r="Q409" t="n">
        <v>0</v>
      </c>
      <c r="R409" t="inlineStr">
        <is>
          <t>AUD</t>
        </is>
      </c>
      <c r="S409" t="n">
        <v>0</v>
      </c>
      <c r="T409" t="inlineStr">
        <is>
          <t>AUD</t>
        </is>
      </c>
      <c r="U409" t="n">
        <v>0</v>
      </c>
    </row>
    <row r="410">
      <c r="A410" s="5" t="inlineStr">
        <is>
          <t>01a1212c-5283-7428-bd8a-186a212d4a4f</t>
        </is>
      </c>
      <c r="C410" s="5" t="inlineStr">
        <is>
          <t>01a1212c-4b57-70cf-80fd-c2192cb3bf81</t>
        </is>
      </c>
      <c r="D410" s="4" t="n">
        <v>46304.62401929621</v>
      </c>
      <c r="E410" s="4" t="n">
        <v>46304.62401929629</v>
      </c>
      <c r="F410" t="b">
        <v>1</v>
      </c>
      <c r="G410" t="n">
        <v/>
      </c>
      <c r="H410" t="inlineStr">
        <is>
          <t>MOT</t>
        </is>
      </c>
      <c r="I410" t="inlineStr">
        <is>
          <t>Metrics Income Opportunities Trust</t>
        </is>
      </c>
      <c r="J410" t="inlineStr">
        <is>
          <t>AUD</t>
        </is>
      </c>
      <c r="K410" s="5" t="inlineStr">
        <is>
          <t>01a1212c-4c04-75ce-bbb2-e3322e18816e</t>
        </is>
      </c>
      <c r="M410" t="inlineStr">
        <is>
          <t>UNKNOWN</t>
        </is>
      </c>
      <c r="N410" t="inlineStr">
        <is>
          <t>DEFAULT</t>
        </is>
      </c>
      <c r="Q410" t="n">
        <v>0</v>
      </c>
      <c r="R410" t="inlineStr">
        <is>
          <t>AUD</t>
        </is>
      </c>
      <c r="S410" t="n">
        <v>0</v>
      </c>
      <c r="T410" t="inlineStr">
        <is>
          <t>AUD</t>
        </is>
      </c>
      <c r="U410" t="n">
        <v>0</v>
      </c>
    </row>
    <row r="411">
      <c r="A411" s="5" t="inlineStr">
        <is>
          <t>01a1212c-5285-7255-a5de-1696a3072842</t>
        </is>
      </c>
      <c r="C411" s="5" t="inlineStr">
        <is>
          <t>01a1212c-4b57-70cf-80fd-c2192cb3bf81</t>
        </is>
      </c>
      <c r="D411" s="4" t="n">
        <v>46304.62401932634</v>
      </c>
      <c r="E411" s="4" t="n">
        <v>46304.62401932642</v>
      </c>
      <c r="F411" t="b">
        <v>1</v>
      </c>
      <c r="G411" t="n">
        <v/>
      </c>
      <c r="H411" t="inlineStr">
        <is>
          <t>TEA</t>
        </is>
      </c>
      <c r="I411" t="inlineStr">
        <is>
          <t>Tasmea Ltd</t>
        </is>
      </c>
      <c r="J411" t="inlineStr">
        <is>
          <t>AUD</t>
        </is>
      </c>
      <c r="K411" s="5" t="inlineStr">
        <is>
          <t>01a1212c-4c04-75ce-bbb2-e3322e18816e</t>
        </is>
      </c>
      <c r="M411" t="inlineStr">
        <is>
          <t>UNKNOWN</t>
        </is>
      </c>
      <c r="N411" t="inlineStr">
        <is>
          <t>DEFAULT</t>
        </is>
      </c>
      <c r="Q411" t="n">
        <v>0</v>
      </c>
      <c r="R411" t="inlineStr">
        <is>
          <t>AUD</t>
        </is>
      </c>
      <c r="S411" t="n">
        <v>0</v>
      </c>
      <c r="T411" t="inlineStr">
        <is>
          <t>AUD</t>
        </is>
      </c>
      <c r="U411" t="n">
        <v>0</v>
      </c>
    </row>
    <row r="412">
      <c r="A412" s="5" t="inlineStr">
        <is>
          <t>01a1212c-5288-7313-9640-301d3908a9ac</t>
        </is>
      </c>
      <c r="C412" s="5" t="inlineStr">
        <is>
          <t>01a1212c-4b57-70cf-80fd-c2192cb3bf81</t>
        </is>
      </c>
      <c r="D412" s="4" t="n">
        <v>46304.62401935666</v>
      </c>
      <c r="E412" s="4" t="n">
        <v>46304.62401935674</v>
      </c>
      <c r="F412" t="b">
        <v>1</v>
      </c>
      <c r="G412" t="n">
        <v/>
      </c>
      <c r="H412" t="inlineStr">
        <is>
          <t>VDBA</t>
        </is>
      </c>
      <c r="I412" t="inlineStr">
        <is>
          <t>Vanguard Diversified Balanced INDEX ETF</t>
        </is>
      </c>
      <c r="J412" t="inlineStr">
        <is>
          <t>AUD</t>
        </is>
      </c>
      <c r="K412" s="5" t="inlineStr">
        <is>
          <t>01a1212c-4c04-75ce-bbb2-e3322e18816e</t>
        </is>
      </c>
      <c r="M412" t="inlineStr">
        <is>
          <t>UNIT_TRUST</t>
        </is>
      </c>
      <c r="N412" t="inlineStr">
        <is>
          <t>SUGGESTED</t>
        </is>
      </c>
      <c r="Q412" t="n">
        <v>0</v>
      </c>
      <c r="R412" t="inlineStr">
        <is>
          <t>AUD</t>
        </is>
      </c>
      <c r="S412" t="n">
        <v>0</v>
      </c>
      <c r="T412" t="inlineStr">
        <is>
          <t>AUD</t>
        </is>
      </c>
      <c r="U412" t="n">
        <v>0</v>
      </c>
    </row>
    <row r="413">
      <c r="A413" s="5" t="inlineStr">
        <is>
          <t>01a1212c-528b-721e-8b04-956440402e9d</t>
        </is>
      </c>
      <c r="C413" s="5" t="inlineStr">
        <is>
          <t>01a1212c-4b57-70cf-80fd-c2192cb3bf81</t>
        </is>
      </c>
      <c r="D413" s="4" t="n">
        <v>46304.62401939165</v>
      </c>
      <c r="E413" s="4" t="n">
        <v>46304.62401939173</v>
      </c>
      <c r="F413" t="b">
        <v>1</v>
      </c>
      <c r="G413" t="n">
        <v/>
      </c>
      <c r="H413" t="inlineStr">
        <is>
          <t>ILC</t>
        </is>
      </c>
      <c r="I413" t="inlineStr">
        <is>
          <t>Ishares S&amp;P/ASX 20 ETF</t>
        </is>
      </c>
      <c r="J413" t="inlineStr">
        <is>
          <t>AUD</t>
        </is>
      </c>
      <c r="K413" s="5" t="inlineStr">
        <is>
          <t>01a1212c-4c04-75ce-bbb2-e3322e18816e</t>
        </is>
      </c>
      <c r="M413" t="inlineStr">
        <is>
          <t>UNKNOWN</t>
        </is>
      </c>
      <c r="N413" t="inlineStr">
        <is>
          <t>DEFAULT</t>
        </is>
      </c>
      <c r="Q413" t="n">
        <v>0</v>
      </c>
      <c r="R413" t="inlineStr">
        <is>
          <t>AUD</t>
        </is>
      </c>
      <c r="S413" t="n">
        <v>0</v>
      </c>
      <c r="T413" t="inlineStr">
        <is>
          <t>AUD</t>
        </is>
      </c>
      <c r="U413" t="n">
        <v>0</v>
      </c>
    </row>
    <row r="414">
      <c r="A414" s="5" t="inlineStr">
        <is>
          <t>01a1212c-528e-7009-8f70-be520754197e</t>
        </is>
      </c>
      <c r="C414" s="5" t="inlineStr">
        <is>
          <t>01a1212c-4b57-70cf-80fd-c2192cb3bf81</t>
        </is>
      </c>
      <c r="D414" s="4" t="n">
        <v>46304.62401942495</v>
      </c>
      <c r="E414" s="4" t="n">
        <v>46304.62401942503</v>
      </c>
      <c r="F414" t="b">
        <v>1</v>
      </c>
      <c r="G414" t="n">
        <v/>
      </c>
      <c r="H414" t="inlineStr">
        <is>
          <t>COF</t>
        </is>
      </c>
      <c r="I414" t="inlineStr">
        <is>
          <t>Centuria Office REIT</t>
        </is>
      </c>
      <c r="J414" t="inlineStr">
        <is>
          <t>AUD</t>
        </is>
      </c>
      <c r="K414" s="5" t="inlineStr">
        <is>
          <t>01a1212c-4c04-75ce-bbb2-e3322e18816e</t>
        </is>
      </c>
      <c r="M414" t="inlineStr">
        <is>
          <t>UNKNOWN</t>
        </is>
      </c>
      <c r="N414" t="inlineStr">
        <is>
          <t>DEFAULT</t>
        </is>
      </c>
      <c r="Q414" t="n">
        <v>0</v>
      </c>
      <c r="R414" t="inlineStr">
        <is>
          <t>AUD</t>
        </is>
      </c>
      <c r="S414" t="n">
        <v>0</v>
      </c>
      <c r="T414" t="inlineStr">
        <is>
          <t>AUD</t>
        </is>
      </c>
      <c r="U414" t="n">
        <v>0</v>
      </c>
    </row>
    <row r="415">
      <c r="A415" s="5" t="inlineStr">
        <is>
          <t>01a1212c-5290-7285-a9fe-a17662c10c28</t>
        </is>
      </c>
      <c r="C415" s="5" t="inlineStr">
        <is>
          <t>01a1212c-4b57-70cf-80fd-c2192cb3bf81</t>
        </is>
      </c>
      <c r="D415" s="4" t="n">
        <v>46304.62401945564</v>
      </c>
      <c r="E415" s="4" t="n">
        <v>46304.62401945572</v>
      </c>
      <c r="F415" t="b">
        <v>1</v>
      </c>
      <c r="G415" t="n">
        <v/>
      </c>
      <c r="H415" t="inlineStr">
        <is>
          <t>VGL</t>
        </is>
      </c>
      <c r="I415" t="inlineStr">
        <is>
          <t>Vista Group International Ltd</t>
        </is>
      </c>
      <c r="J415" t="inlineStr">
        <is>
          <t>AUD</t>
        </is>
      </c>
      <c r="K415" s="5" t="inlineStr">
        <is>
          <t>01a1212c-4c04-75ce-bbb2-e3322e18816e</t>
        </is>
      </c>
      <c r="M415" t="inlineStr">
        <is>
          <t>UNKNOWN</t>
        </is>
      </c>
      <c r="N415" t="inlineStr">
        <is>
          <t>DEFAULT</t>
        </is>
      </c>
      <c r="Q415" t="n">
        <v>0</v>
      </c>
      <c r="R415" t="inlineStr">
        <is>
          <t>AUD</t>
        </is>
      </c>
      <c r="S415" t="n">
        <v>0</v>
      </c>
      <c r="T415" t="inlineStr">
        <is>
          <t>AUD</t>
        </is>
      </c>
      <c r="U415" t="n">
        <v>0</v>
      </c>
    </row>
    <row r="416">
      <c r="A416" s="5" t="inlineStr">
        <is>
          <t>01a1212c-5293-74ef-bdf4-e3bcf290006c</t>
        </is>
      </c>
      <c r="C416" s="5" t="inlineStr">
        <is>
          <t>01a1212c-4b57-70cf-80fd-c2192cb3bf81</t>
        </is>
      </c>
      <c r="D416" s="4" t="n">
        <v>46304.62401948601</v>
      </c>
      <c r="E416" s="4" t="n">
        <v>46304.62401948607</v>
      </c>
      <c r="F416" t="b">
        <v>1</v>
      </c>
      <c r="G416" t="n">
        <v/>
      </c>
      <c r="H416" t="inlineStr">
        <is>
          <t>SGLLV</t>
        </is>
      </c>
      <c r="I416" t="inlineStr">
        <is>
          <t>Ricegrowers Ltd</t>
        </is>
      </c>
      <c r="J416" t="inlineStr">
        <is>
          <t>AUD</t>
        </is>
      </c>
      <c r="K416" s="5" t="inlineStr">
        <is>
          <t>01a1212c-4c04-75ce-bbb2-e3322e18816e</t>
        </is>
      </c>
      <c r="M416" t="inlineStr">
        <is>
          <t>UNKNOWN</t>
        </is>
      </c>
      <c r="N416" t="inlineStr">
        <is>
          <t>DEFAULT</t>
        </is>
      </c>
      <c r="Q416" t="n">
        <v>0</v>
      </c>
      <c r="R416" t="inlineStr">
        <is>
          <t>AUD</t>
        </is>
      </c>
      <c r="S416" t="n">
        <v>0</v>
      </c>
      <c r="T416" t="inlineStr">
        <is>
          <t>AUD</t>
        </is>
      </c>
      <c r="U416" t="n">
        <v>0</v>
      </c>
    </row>
    <row r="417">
      <c r="A417" s="5" t="inlineStr">
        <is>
          <t>01a1212c-5296-729e-b1d6-9c835791388f</t>
        </is>
      </c>
      <c r="C417" s="5" t="inlineStr">
        <is>
          <t>01a1212c-4b57-70cf-80fd-c2192cb3bf81</t>
        </is>
      </c>
      <c r="D417" s="4" t="n">
        <v>46304.62401951628</v>
      </c>
      <c r="E417" s="4" t="n">
        <v>46304.62401951636</v>
      </c>
      <c r="F417" t="b">
        <v>1</v>
      </c>
      <c r="G417" t="n">
        <v/>
      </c>
      <c r="H417" t="inlineStr">
        <is>
          <t>FRAR</t>
        </is>
      </c>
      <c r="I417" t="inlineStr">
        <is>
          <t>Franklin Aust Abs Return Bond Fund (Managed Fund)</t>
        </is>
      </c>
      <c r="J417" t="inlineStr">
        <is>
          <t>AUD</t>
        </is>
      </c>
      <c r="K417" s="5" t="inlineStr">
        <is>
          <t>01a1212c-4c04-75ce-bbb2-e3322e18816e</t>
        </is>
      </c>
      <c r="M417" t="inlineStr">
        <is>
          <t>UNKNOWN</t>
        </is>
      </c>
      <c r="N417" t="inlineStr">
        <is>
          <t>DEFAULT</t>
        </is>
      </c>
      <c r="Q417" t="n">
        <v>0</v>
      </c>
      <c r="R417" t="inlineStr">
        <is>
          <t>AUD</t>
        </is>
      </c>
      <c r="S417" t="n">
        <v>0</v>
      </c>
      <c r="T417" t="inlineStr">
        <is>
          <t>AUD</t>
        </is>
      </c>
      <c r="U417" t="n">
        <v>0</v>
      </c>
    </row>
    <row r="418">
      <c r="A418" s="5" t="inlineStr">
        <is>
          <t>01a1212c-5298-707a-8347-f3177742b916</t>
        </is>
      </c>
      <c r="C418" s="5" t="inlineStr">
        <is>
          <t>01a1212c-4b57-70cf-80fd-c2192cb3bf81</t>
        </is>
      </c>
      <c r="D418" s="4" t="n">
        <v>46304.62401954826</v>
      </c>
      <c r="E418" s="4" t="n">
        <v>46304.62401954833</v>
      </c>
      <c r="F418" t="b">
        <v>1</v>
      </c>
      <c r="G418" t="n">
        <v/>
      </c>
      <c r="H418" t="inlineStr">
        <is>
          <t>MAC</t>
        </is>
      </c>
      <c r="I418" t="inlineStr">
        <is>
          <t>MAC Copper Ltd</t>
        </is>
      </c>
      <c r="J418" t="inlineStr">
        <is>
          <t>AUD</t>
        </is>
      </c>
      <c r="K418" s="5" t="inlineStr">
        <is>
          <t>01a1212c-4c04-75ce-bbb2-e3322e18816e</t>
        </is>
      </c>
      <c r="M418" t="inlineStr">
        <is>
          <t>UNKNOWN</t>
        </is>
      </c>
      <c r="N418" t="inlineStr">
        <is>
          <t>DEFAULT</t>
        </is>
      </c>
      <c r="Q418" t="n">
        <v>0</v>
      </c>
      <c r="R418" t="inlineStr">
        <is>
          <t>AUD</t>
        </is>
      </c>
      <c r="S418" t="n">
        <v>0</v>
      </c>
      <c r="T418" t="inlineStr">
        <is>
          <t>AUD</t>
        </is>
      </c>
      <c r="U418" t="n">
        <v>0</v>
      </c>
    </row>
    <row r="419">
      <c r="A419" s="5" t="inlineStr">
        <is>
          <t>01a1212c-529b-714a-ac1b-63379c2c85e7</t>
        </is>
      </c>
      <c r="C419" s="5" t="inlineStr">
        <is>
          <t>01a1212c-4b57-70cf-80fd-c2192cb3bf81</t>
        </is>
      </c>
      <c r="D419" s="4" t="n">
        <v>46304.62401957886</v>
      </c>
      <c r="E419" s="4" t="n">
        <v>46304.62401957894</v>
      </c>
      <c r="F419" t="b">
        <v>1</v>
      </c>
      <c r="G419" t="n">
        <v/>
      </c>
      <c r="H419" t="inlineStr">
        <is>
          <t>MBLPD</t>
        </is>
      </c>
      <c r="I419" t="inlineStr">
        <is>
          <t>Macquarie Bank Ltd</t>
        </is>
      </c>
      <c r="J419" t="inlineStr">
        <is>
          <t>AUD</t>
        </is>
      </c>
      <c r="K419" s="5" t="inlineStr">
        <is>
          <t>01a1212c-4c04-75ce-bbb2-e3322e18816e</t>
        </is>
      </c>
      <c r="M419" t="inlineStr">
        <is>
          <t>UNKNOWN</t>
        </is>
      </c>
      <c r="N419" t="inlineStr">
        <is>
          <t>DEFAULT</t>
        </is>
      </c>
      <c r="Q419" t="n">
        <v>0</v>
      </c>
      <c r="R419" t="inlineStr">
        <is>
          <t>AUD</t>
        </is>
      </c>
      <c r="S419" t="n">
        <v>0</v>
      </c>
      <c r="T419" t="inlineStr">
        <is>
          <t>AUD</t>
        </is>
      </c>
      <c r="U419" t="n">
        <v>0</v>
      </c>
    </row>
    <row r="420">
      <c r="A420" s="5" t="inlineStr">
        <is>
          <t>01a1212c-529e-7305-85ec-e75242e2dc4b</t>
        </is>
      </c>
      <c r="C420" s="5" t="inlineStr">
        <is>
          <t>01a1212c-4b57-70cf-80fd-c2192cb3bf81</t>
        </is>
      </c>
      <c r="D420" s="4" t="n">
        <v>46304.62401961089</v>
      </c>
      <c r="E420" s="4" t="n">
        <v>46304.62401961097</v>
      </c>
      <c r="F420" t="b">
        <v>1</v>
      </c>
      <c r="G420" t="n">
        <v/>
      </c>
      <c r="H420" t="inlineStr">
        <is>
          <t>MAH</t>
        </is>
      </c>
      <c r="I420" t="inlineStr">
        <is>
          <t>Macmahon Holdings Ltd</t>
        </is>
      </c>
      <c r="J420" t="inlineStr">
        <is>
          <t>AUD</t>
        </is>
      </c>
      <c r="K420" s="5" t="inlineStr">
        <is>
          <t>01a1212c-4c04-75ce-bbb2-e3322e18816e</t>
        </is>
      </c>
      <c r="M420" t="inlineStr">
        <is>
          <t>UNKNOWN</t>
        </is>
      </c>
      <c r="N420" t="inlineStr">
        <is>
          <t>DEFAULT</t>
        </is>
      </c>
      <c r="Q420" t="n">
        <v>0</v>
      </c>
      <c r="R420" t="inlineStr">
        <is>
          <t>AUD</t>
        </is>
      </c>
      <c r="S420" t="n">
        <v>0</v>
      </c>
      <c r="T420" t="inlineStr">
        <is>
          <t>AUD</t>
        </is>
      </c>
      <c r="U420" t="n">
        <v>0</v>
      </c>
    </row>
    <row r="421">
      <c r="A421" s="5" t="inlineStr">
        <is>
          <t>01a1212c-52a0-729a-bfa6-137ba2c9b49c</t>
        </is>
      </c>
      <c r="C421" s="5" t="inlineStr">
        <is>
          <t>01a1212c-4b57-70cf-80fd-c2192cb3bf81</t>
        </is>
      </c>
      <c r="D421" s="4" t="n">
        <v>46304.62401964184</v>
      </c>
      <c r="E421" s="4" t="n">
        <v>46304.62401964191</v>
      </c>
      <c r="F421" t="b">
        <v>1</v>
      </c>
      <c r="G421" t="n">
        <v/>
      </c>
      <c r="H421" t="inlineStr">
        <is>
          <t>PNR</t>
        </is>
      </c>
      <c r="I421" t="inlineStr">
        <is>
          <t>Pantoro Ltd</t>
        </is>
      </c>
      <c r="J421" t="inlineStr">
        <is>
          <t>AUD</t>
        </is>
      </c>
      <c r="K421" s="5" t="inlineStr">
        <is>
          <t>01a1212c-4c04-75ce-bbb2-e3322e18816e</t>
        </is>
      </c>
      <c r="M421" t="inlineStr">
        <is>
          <t>UNKNOWN</t>
        </is>
      </c>
      <c r="N421" t="inlineStr">
        <is>
          <t>DEFAULT</t>
        </is>
      </c>
      <c r="Q421" t="n">
        <v>0</v>
      </c>
      <c r="R421" t="inlineStr">
        <is>
          <t>AUD</t>
        </is>
      </c>
      <c r="S421" t="n">
        <v>0</v>
      </c>
      <c r="T421" t="inlineStr">
        <is>
          <t>AUD</t>
        </is>
      </c>
      <c r="U421" t="n">
        <v>0</v>
      </c>
    </row>
    <row r="422">
      <c r="A422" s="5" t="inlineStr">
        <is>
          <t>01a1212c-52a3-721f-b0d9-9806287b570b</t>
        </is>
      </c>
      <c r="C422" s="5" t="inlineStr">
        <is>
          <t>01a1212c-4b57-70cf-80fd-c2192cb3bf81</t>
        </is>
      </c>
      <c r="D422" s="4" t="n">
        <v>46304.62401967287</v>
      </c>
      <c r="E422" s="4" t="n">
        <v>46304.62401967295</v>
      </c>
      <c r="F422" t="b">
        <v>1</v>
      </c>
      <c r="G422" t="n">
        <v/>
      </c>
      <c r="H422" t="inlineStr">
        <is>
          <t>CVL</t>
        </is>
      </c>
      <c r="I422" t="inlineStr">
        <is>
          <t>Civmec Ltd</t>
        </is>
      </c>
      <c r="J422" t="inlineStr">
        <is>
          <t>AUD</t>
        </is>
      </c>
      <c r="K422" s="5" t="inlineStr">
        <is>
          <t>01a1212c-4c04-75ce-bbb2-e3322e18816e</t>
        </is>
      </c>
      <c r="M422" t="inlineStr">
        <is>
          <t>UNKNOWN</t>
        </is>
      </c>
      <c r="N422" t="inlineStr">
        <is>
          <t>DEFAULT</t>
        </is>
      </c>
      <c r="Q422" t="n">
        <v>0</v>
      </c>
      <c r="R422" t="inlineStr">
        <is>
          <t>AUD</t>
        </is>
      </c>
      <c r="S422" t="n">
        <v>0</v>
      </c>
      <c r="T422" t="inlineStr">
        <is>
          <t>AUD</t>
        </is>
      </c>
      <c r="U422" t="n">
        <v>0</v>
      </c>
    </row>
    <row r="423">
      <c r="A423" s="5" t="inlineStr">
        <is>
          <t>01a1212c-52a6-7267-91d1-e330c7f5ba59</t>
        </is>
      </c>
      <c r="C423" s="5" t="inlineStr">
        <is>
          <t>01a1212c-4b57-70cf-80fd-c2192cb3bf81</t>
        </is>
      </c>
      <c r="D423" s="4" t="n">
        <v>46304.62401970613</v>
      </c>
      <c r="E423" s="4" t="n">
        <v>46304.62401970621</v>
      </c>
      <c r="F423" t="b">
        <v>1</v>
      </c>
      <c r="G423" t="n">
        <v/>
      </c>
      <c r="H423" t="inlineStr">
        <is>
          <t>WHF</t>
        </is>
      </c>
      <c r="I423" t="inlineStr">
        <is>
          <t>Whitefield Industrials Ltd</t>
        </is>
      </c>
      <c r="J423" t="inlineStr">
        <is>
          <t>AUD</t>
        </is>
      </c>
      <c r="K423" s="5" t="inlineStr">
        <is>
          <t>01a1212c-4c04-75ce-bbb2-e3322e18816e</t>
        </is>
      </c>
      <c r="M423" t="inlineStr">
        <is>
          <t>COMPANY</t>
        </is>
      </c>
      <c r="N423" t="inlineStr">
        <is>
          <t>SUGGESTED</t>
        </is>
      </c>
      <c r="Q423" t="n">
        <v>0</v>
      </c>
      <c r="R423" t="inlineStr">
        <is>
          <t>AUD</t>
        </is>
      </c>
      <c r="S423" t="n">
        <v>0</v>
      </c>
      <c r="T423" t="inlineStr">
        <is>
          <t>AUD</t>
        </is>
      </c>
      <c r="U423" t="n">
        <v>0</v>
      </c>
    </row>
    <row r="424">
      <c r="A424" s="5" t="inlineStr">
        <is>
          <t>01a1212c-52a9-733c-8629-51019149776d</t>
        </is>
      </c>
      <c r="C424" s="5" t="inlineStr">
        <is>
          <t>01a1212c-4b57-70cf-80fd-c2192cb3bf81</t>
        </is>
      </c>
      <c r="D424" s="4" t="n">
        <v>46304.62401974068</v>
      </c>
      <c r="E424" s="4" t="n">
        <v>46304.62401974078</v>
      </c>
      <c r="F424" t="b">
        <v>1</v>
      </c>
      <c r="G424" t="n">
        <v/>
      </c>
      <c r="H424" t="inlineStr">
        <is>
          <t>STX</t>
        </is>
      </c>
      <c r="I424" t="inlineStr">
        <is>
          <t>Strike Energy Ltd</t>
        </is>
      </c>
      <c r="J424" t="inlineStr">
        <is>
          <t>AUD</t>
        </is>
      </c>
      <c r="K424" s="5" t="inlineStr">
        <is>
          <t>01a1212c-4c04-75ce-bbb2-e3322e18816e</t>
        </is>
      </c>
      <c r="M424" t="inlineStr">
        <is>
          <t>UNKNOWN</t>
        </is>
      </c>
      <c r="N424" t="inlineStr">
        <is>
          <t>DEFAULT</t>
        </is>
      </c>
      <c r="Q424" t="n">
        <v>0</v>
      </c>
      <c r="R424" t="inlineStr">
        <is>
          <t>AUD</t>
        </is>
      </c>
      <c r="S424" t="n">
        <v>0</v>
      </c>
      <c r="T424" t="inlineStr">
        <is>
          <t>AUD</t>
        </is>
      </c>
      <c r="U424" t="n">
        <v>0</v>
      </c>
    </row>
    <row r="425">
      <c r="A425" s="5" t="inlineStr">
        <is>
          <t>01a1212c-52ac-7391-8f4e-9a0daa3fc115</t>
        </is>
      </c>
      <c r="C425" s="5" t="inlineStr">
        <is>
          <t>01a1212c-4b57-70cf-80fd-c2192cb3bf81</t>
        </is>
      </c>
      <c r="D425" s="4" t="n">
        <v>46304.6240197725</v>
      </c>
      <c r="E425" s="4" t="n">
        <v>46304.62401977259</v>
      </c>
      <c r="F425" t="b">
        <v>1</v>
      </c>
      <c r="G425" t="n">
        <v/>
      </c>
      <c r="H425" t="inlineStr">
        <is>
          <t>FPR</t>
        </is>
      </c>
      <c r="I425" t="inlineStr">
        <is>
          <t>Fleetpartners Group Ltd</t>
        </is>
      </c>
      <c r="J425" t="inlineStr">
        <is>
          <t>AUD</t>
        </is>
      </c>
      <c r="K425" s="5" t="inlineStr">
        <is>
          <t>01a1212c-4c04-75ce-bbb2-e3322e18816e</t>
        </is>
      </c>
      <c r="M425" t="inlineStr">
        <is>
          <t>UNKNOWN</t>
        </is>
      </c>
      <c r="N425" t="inlineStr">
        <is>
          <t>DEFAULT</t>
        </is>
      </c>
      <c r="Q425" t="n">
        <v>0</v>
      </c>
      <c r="R425" t="inlineStr">
        <is>
          <t>AUD</t>
        </is>
      </c>
      <c r="S425" t="n">
        <v>0</v>
      </c>
      <c r="T425" t="inlineStr">
        <is>
          <t>AUD</t>
        </is>
      </c>
      <c r="U425" t="n">
        <v>0</v>
      </c>
    </row>
    <row r="426">
      <c r="A426" s="5" t="inlineStr">
        <is>
          <t>01a1212c-52ae-7136-bb4b-3781d82f98b1</t>
        </is>
      </c>
      <c r="C426" s="5" t="inlineStr">
        <is>
          <t>01a1212c-4b57-70cf-80fd-c2192cb3bf81</t>
        </is>
      </c>
      <c r="D426" s="4" t="n">
        <v>46304.62401980378</v>
      </c>
      <c r="E426" s="4" t="n">
        <v>46304.62401980386</v>
      </c>
      <c r="F426" t="b">
        <v>1</v>
      </c>
      <c r="G426" t="n">
        <v/>
      </c>
      <c r="H426" t="inlineStr">
        <is>
          <t>OPH</t>
        </is>
      </c>
      <c r="I426" t="inlineStr">
        <is>
          <t>Ophir High Conviction Fund</t>
        </is>
      </c>
      <c r="J426" t="inlineStr">
        <is>
          <t>AUD</t>
        </is>
      </c>
      <c r="K426" s="5" t="inlineStr">
        <is>
          <t>01a1212c-4c04-75ce-bbb2-e3322e18816e</t>
        </is>
      </c>
      <c r="M426" t="inlineStr">
        <is>
          <t>COMPANY</t>
        </is>
      </c>
      <c r="N426" t="inlineStr">
        <is>
          <t>SUGGESTED</t>
        </is>
      </c>
      <c r="Q426" t="n">
        <v>0</v>
      </c>
      <c r="R426" t="inlineStr">
        <is>
          <t>AUD</t>
        </is>
      </c>
      <c r="S426" t="n">
        <v>0</v>
      </c>
      <c r="T426" t="inlineStr">
        <is>
          <t>AUD</t>
        </is>
      </c>
      <c r="U426" t="n">
        <v>0</v>
      </c>
    </row>
    <row r="427">
      <c r="A427" s="5" t="inlineStr">
        <is>
          <t>01a1212c-52b2-7263-a199-84272cbe201e</t>
        </is>
      </c>
      <c r="C427" s="5" t="inlineStr">
        <is>
          <t>01a1212c-4b57-70cf-80fd-c2192cb3bf81</t>
        </is>
      </c>
      <c r="D427" s="4" t="n">
        <v>46304.62401984148</v>
      </c>
      <c r="E427" s="4" t="n">
        <v>46304.62401984158</v>
      </c>
      <c r="F427" t="b">
        <v>1</v>
      </c>
      <c r="G427" t="n">
        <v/>
      </c>
      <c r="H427" t="inlineStr">
        <is>
          <t>URW</t>
        </is>
      </c>
      <c r="I427" t="inlineStr">
        <is>
          <t>Unibail-Rodamco-Westfield</t>
        </is>
      </c>
      <c r="J427" t="inlineStr">
        <is>
          <t>AUD</t>
        </is>
      </c>
      <c r="K427" s="5" t="inlineStr">
        <is>
          <t>01a1212c-4c04-75ce-bbb2-e3322e18816e</t>
        </is>
      </c>
      <c r="M427" t="inlineStr">
        <is>
          <t>UNKNOWN</t>
        </is>
      </c>
      <c r="N427" t="inlineStr">
        <is>
          <t>DEFAULT</t>
        </is>
      </c>
      <c r="Q427" t="n">
        <v>0</v>
      </c>
      <c r="R427" t="inlineStr">
        <is>
          <t>AUD</t>
        </is>
      </c>
      <c r="S427" t="n">
        <v>0</v>
      </c>
      <c r="T427" t="inlineStr">
        <is>
          <t>AUD</t>
        </is>
      </c>
      <c r="U427" t="n">
        <v>0</v>
      </c>
    </row>
    <row r="428">
      <c r="A428" s="5" t="inlineStr">
        <is>
          <t>01a1212c-52b4-75c5-9f8f-7e794258361a</t>
        </is>
      </c>
      <c r="C428" s="5" t="inlineStr">
        <is>
          <t>01a1212c-4b57-70cf-80fd-c2192cb3bf81</t>
        </is>
      </c>
      <c r="D428" s="4" t="n">
        <v>46304.62401987301</v>
      </c>
      <c r="E428" s="4" t="n">
        <v>46304.6240198731</v>
      </c>
      <c r="F428" t="b">
        <v>1</v>
      </c>
      <c r="G428" t="n">
        <v/>
      </c>
      <c r="H428" t="inlineStr">
        <is>
          <t>MBLPC</t>
        </is>
      </c>
      <c r="I428" t="inlineStr">
        <is>
          <t>Macquarie Bank Ltd</t>
        </is>
      </c>
      <c r="J428" t="inlineStr">
        <is>
          <t>AUD</t>
        </is>
      </c>
      <c r="K428" s="5" t="inlineStr">
        <is>
          <t>01a1212c-4c04-75ce-bbb2-e3322e18816e</t>
        </is>
      </c>
      <c r="M428" t="inlineStr">
        <is>
          <t>UNKNOWN</t>
        </is>
      </c>
      <c r="N428" t="inlineStr">
        <is>
          <t>DEFAULT</t>
        </is>
      </c>
      <c r="Q428" t="n">
        <v>0</v>
      </c>
      <c r="R428" t="inlineStr">
        <is>
          <t>AUD</t>
        </is>
      </c>
      <c r="S428" t="n">
        <v>0</v>
      </c>
      <c r="T428" t="inlineStr">
        <is>
          <t>AUD</t>
        </is>
      </c>
      <c r="U428" t="n">
        <v>0</v>
      </c>
    </row>
    <row r="429">
      <c r="A429" s="5" t="inlineStr">
        <is>
          <t>01a1212c-52b7-76ce-b4e9-0a5d99665523</t>
        </is>
      </c>
      <c r="C429" s="5" t="inlineStr">
        <is>
          <t>01a1212c-4b57-70cf-80fd-c2192cb3bf81</t>
        </is>
      </c>
      <c r="D429" s="4" t="n">
        <v>46304.62401990371</v>
      </c>
      <c r="E429" s="4" t="n">
        <v>46304.62401990379</v>
      </c>
      <c r="F429" t="b">
        <v>1</v>
      </c>
      <c r="G429" t="n">
        <v/>
      </c>
      <c r="H429" t="inlineStr">
        <is>
          <t>MIR</t>
        </is>
      </c>
      <c r="I429" t="inlineStr">
        <is>
          <t>Mirrabooka Investments Ltd</t>
        </is>
      </c>
      <c r="J429" t="inlineStr">
        <is>
          <t>AUD</t>
        </is>
      </c>
      <c r="K429" s="5" t="inlineStr">
        <is>
          <t>01a1212c-4c04-75ce-bbb2-e3322e18816e</t>
        </is>
      </c>
      <c r="M429" t="inlineStr">
        <is>
          <t>COMPANY</t>
        </is>
      </c>
      <c r="N429" t="inlineStr">
        <is>
          <t>SUGGESTED</t>
        </is>
      </c>
      <c r="Q429" t="n">
        <v>0</v>
      </c>
      <c r="R429" t="inlineStr">
        <is>
          <t>AUD</t>
        </is>
      </c>
      <c r="S429" t="n">
        <v>0</v>
      </c>
      <c r="T429" t="inlineStr">
        <is>
          <t>AUD</t>
        </is>
      </c>
      <c r="U429" t="n">
        <v>0</v>
      </c>
    </row>
    <row r="430">
      <c r="A430" s="5" t="inlineStr">
        <is>
          <t>01a1212c-52ba-744a-a9f3-f886ceae18a1</t>
        </is>
      </c>
      <c r="C430" s="5" t="inlineStr">
        <is>
          <t>01a1212c-4b57-70cf-80fd-c2192cb3bf81</t>
        </is>
      </c>
      <c r="D430" s="4" t="n">
        <v>46304.62401993759</v>
      </c>
      <c r="E430" s="4" t="n">
        <v>46304.62401993768</v>
      </c>
      <c r="F430" t="b">
        <v>1</v>
      </c>
      <c r="G430" t="n">
        <v/>
      </c>
      <c r="H430" t="inlineStr">
        <is>
          <t>LPGD</t>
        </is>
      </c>
      <c r="I430" t="inlineStr">
        <is>
          <t>Loftus Peak Global Disruption Active ETF</t>
        </is>
      </c>
      <c r="J430" t="inlineStr">
        <is>
          <t>AUD</t>
        </is>
      </c>
      <c r="K430" s="5" t="inlineStr">
        <is>
          <t>01a1212c-4c04-75ce-bbb2-e3322e18816e</t>
        </is>
      </c>
      <c r="M430" t="inlineStr">
        <is>
          <t>UNKNOWN</t>
        </is>
      </c>
      <c r="N430" t="inlineStr">
        <is>
          <t>DEFAULT</t>
        </is>
      </c>
      <c r="Q430" t="n">
        <v>0</v>
      </c>
      <c r="R430" t="inlineStr">
        <is>
          <t>AUD</t>
        </is>
      </c>
      <c r="S430" t="n">
        <v>0</v>
      </c>
      <c r="T430" t="inlineStr">
        <is>
          <t>AUD</t>
        </is>
      </c>
      <c r="U430" t="n">
        <v>0</v>
      </c>
    </row>
    <row r="431">
      <c r="A431" s="5" t="inlineStr">
        <is>
          <t>01a1212c-52bd-769a-80ac-3350fee0b3ee</t>
        </is>
      </c>
      <c r="C431" s="5" t="inlineStr">
        <is>
          <t>01a1212c-4b57-70cf-80fd-c2192cb3bf81</t>
        </is>
      </c>
      <c r="D431" s="4" t="n">
        <v>46304.62401997316</v>
      </c>
      <c r="E431" s="4" t="n">
        <v>46304.62401997325</v>
      </c>
      <c r="F431" t="b">
        <v>1</v>
      </c>
      <c r="G431" t="n">
        <v/>
      </c>
      <c r="H431" t="inlineStr">
        <is>
          <t>GWA</t>
        </is>
      </c>
      <c r="I431" t="inlineStr">
        <is>
          <t>GWA Group Ltd</t>
        </is>
      </c>
      <c r="J431" t="inlineStr">
        <is>
          <t>AUD</t>
        </is>
      </c>
      <c r="K431" s="5" t="inlineStr">
        <is>
          <t>01a1212c-4c04-75ce-bbb2-e3322e18816e</t>
        </is>
      </c>
      <c r="M431" t="inlineStr">
        <is>
          <t>UNKNOWN</t>
        </is>
      </c>
      <c r="N431" t="inlineStr">
        <is>
          <t>DEFAULT</t>
        </is>
      </c>
      <c r="Q431" t="n">
        <v>0</v>
      </c>
      <c r="R431" t="inlineStr">
        <is>
          <t>AUD</t>
        </is>
      </c>
      <c r="S431" t="n">
        <v>0</v>
      </c>
      <c r="T431" t="inlineStr">
        <is>
          <t>AUD</t>
        </is>
      </c>
      <c r="U431" t="n">
        <v>0</v>
      </c>
    </row>
    <row r="432">
      <c r="A432" s="5" t="inlineStr">
        <is>
          <t>01a1212c-52c0-777d-97fc-aecc005248d4</t>
        </is>
      </c>
      <c r="C432" s="5" t="inlineStr">
        <is>
          <t>01a1212c-4b57-70cf-80fd-c2192cb3bf81</t>
        </is>
      </c>
      <c r="D432" s="4" t="n">
        <v>46304.62402000473</v>
      </c>
      <c r="E432" s="4" t="n">
        <v>46304.62402000479</v>
      </c>
      <c r="F432" t="b">
        <v>1</v>
      </c>
      <c r="G432" t="n">
        <v/>
      </c>
      <c r="H432" t="inlineStr">
        <is>
          <t>PPC</t>
        </is>
      </c>
      <c r="I432" t="inlineStr">
        <is>
          <t>Peet Ltd</t>
        </is>
      </c>
      <c r="J432" t="inlineStr">
        <is>
          <t>AUD</t>
        </is>
      </c>
      <c r="K432" s="5" t="inlineStr">
        <is>
          <t>01a1212c-4c04-75ce-bbb2-e3322e18816e</t>
        </is>
      </c>
      <c r="M432" t="inlineStr">
        <is>
          <t>UNKNOWN</t>
        </is>
      </c>
      <c r="N432" t="inlineStr">
        <is>
          <t>DEFAULT</t>
        </is>
      </c>
      <c r="Q432" t="n">
        <v>0</v>
      </c>
      <c r="R432" t="inlineStr">
        <is>
          <t>AUD</t>
        </is>
      </c>
      <c r="S432" t="n">
        <v>0</v>
      </c>
      <c r="T432" t="inlineStr">
        <is>
          <t>AUD</t>
        </is>
      </c>
      <c r="U432" t="n">
        <v>0</v>
      </c>
    </row>
    <row r="433">
      <c r="A433" s="5" t="inlineStr">
        <is>
          <t>01a1212c-52c2-76dd-90df-f1a723c34866</t>
        </is>
      </c>
      <c r="C433" s="5" t="inlineStr">
        <is>
          <t>01a1212c-4b57-70cf-80fd-c2192cb3bf81</t>
        </is>
      </c>
      <c r="D433" s="4" t="n">
        <v>46304.62402003571</v>
      </c>
      <c r="E433" s="4" t="n">
        <v>46304.62402003578</v>
      </c>
      <c r="F433" t="b">
        <v>1</v>
      </c>
      <c r="G433" t="n">
        <v/>
      </c>
      <c r="H433" t="inlineStr">
        <is>
          <t>DVP</t>
        </is>
      </c>
      <c r="I433" t="inlineStr">
        <is>
          <t>Develop Global Ltd</t>
        </is>
      </c>
      <c r="J433" t="inlineStr">
        <is>
          <t>AUD</t>
        </is>
      </c>
      <c r="K433" s="5" t="inlineStr">
        <is>
          <t>01a1212c-4c04-75ce-bbb2-e3322e18816e</t>
        </is>
      </c>
      <c r="M433" t="inlineStr">
        <is>
          <t>UNKNOWN</t>
        </is>
      </c>
      <c r="N433" t="inlineStr">
        <is>
          <t>DEFAULT</t>
        </is>
      </c>
      <c r="Q433" t="n">
        <v>0</v>
      </c>
      <c r="R433" t="inlineStr">
        <is>
          <t>AUD</t>
        </is>
      </c>
      <c r="S433" t="n">
        <v>0</v>
      </c>
      <c r="T433" t="inlineStr">
        <is>
          <t>AUD</t>
        </is>
      </c>
      <c r="U433" t="n">
        <v>0</v>
      </c>
    </row>
    <row r="434">
      <c r="A434" s="5" t="inlineStr">
        <is>
          <t>01a1212c-52c5-71c2-bb4f-d16a5204a594</t>
        </is>
      </c>
      <c r="C434" s="5" t="inlineStr">
        <is>
          <t>01a1212c-4b57-70cf-80fd-c2192cb3bf81</t>
        </is>
      </c>
      <c r="D434" s="4" t="n">
        <v>46304.62402006613</v>
      </c>
      <c r="E434" s="4" t="n">
        <v>46304.62402006621</v>
      </c>
      <c r="F434" t="b">
        <v>1</v>
      </c>
      <c r="G434" t="n">
        <v/>
      </c>
      <c r="H434" t="inlineStr">
        <is>
          <t>VACF</t>
        </is>
      </c>
      <c r="I434" t="inlineStr">
        <is>
          <t>Vanguard Australian Corp Fixed Interest INDEX ETF</t>
        </is>
      </c>
      <c r="J434" t="inlineStr">
        <is>
          <t>AUD</t>
        </is>
      </c>
      <c r="K434" s="5" t="inlineStr">
        <is>
          <t>01a1212c-4c04-75ce-bbb2-e3322e18816e</t>
        </is>
      </c>
      <c r="M434" t="inlineStr">
        <is>
          <t>UNIT_TRUST</t>
        </is>
      </c>
      <c r="N434" t="inlineStr">
        <is>
          <t>SUGGESTED</t>
        </is>
      </c>
      <c r="Q434" t="n">
        <v>0</v>
      </c>
      <c r="R434" t="inlineStr">
        <is>
          <t>AUD</t>
        </is>
      </c>
      <c r="S434" t="n">
        <v>0</v>
      </c>
      <c r="T434" t="inlineStr">
        <is>
          <t>AUD</t>
        </is>
      </c>
      <c r="U434" t="n">
        <v>0</v>
      </c>
    </row>
    <row r="435">
      <c r="A435" s="5" t="inlineStr">
        <is>
          <t>01a1212c-52c8-7153-93b6-1de5894ab0cd</t>
        </is>
      </c>
      <c r="C435" s="5" t="inlineStr">
        <is>
          <t>01a1212c-4b57-70cf-80fd-c2192cb3bf81</t>
        </is>
      </c>
      <c r="D435" s="4" t="n">
        <v>46304.62402010235</v>
      </c>
      <c r="E435" s="4" t="n">
        <v>46304.62402010243</v>
      </c>
      <c r="F435" t="b">
        <v>1</v>
      </c>
      <c r="G435" t="n">
        <v/>
      </c>
      <c r="H435" t="inlineStr">
        <is>
          <t>QOZ</t>
        </is>
      </c>
      <c r="I435" t="inlineStr">
        <is>
          <t>Betashares Ftse Rafi Australia 200 ETF</t>
        </is>
      </c>
      <c r="J435" t="inlineStr">
        <is>
          <t>AUD</t>
        </is>
      </c>
      <c r="K435" s="5" t="inlineStr">
        <is>
          <t>01a1212c-4c04-75ce-bbb2-e3322e18816e</t>
        </is>
      </c>
      <c r="M435" t="inlineStr">
        <is>
          <t>UNKNOWN</t>
        </is>
      </c>
      <c r="N435" t="inlineStr">
        <is>
          <t>DEFAULT</t>
        </is>
      </c>
      <c r="Q435" t="n">
        <v>0</v>
      </c>
      <c r="R435" t="inlineStr">
        <is>
          <t>AUD</t>
        </is>
      </c>
      <c r="S435" t="n">
        <v>0</v>
      </c>
      <c r="T435" t="inlineStr">
        <is>
          <t>AUD</t>
        </is>
      </c>
      <c r="U435" t="n">
        <v>0</v>
      </c>
    </row>
    <row r="436">
      <c r="A436" s="5" t="inlineStr">
        <is>
          <t>01a1212c-52cb-76ea-bd42-2870a4107a01</t>
        </is>
      </c>
      <c r="C436" s="5" t="inlineStr">
        <is>
          <t>01a1212c-4b57-70cf-80fd-c2192cb3bf81</t>
        </is>
      </c>
      <c r="D436" s="4" t="n">
        <v>46304.62402013387</v>
      </c>
      <c r="E436" s="4" t="n">
        <v>46304.62402013395</v>
      </c>
      <c r="F436" t="b">
        <v>1</v>
      </c>
      <c r="G436" t="n">
        <v/>
      </c>
      <c r="H436" t="inlineStr">
        <is>
          <t>OML</t>
        </is>
      </c>
      <c r="I436" t="inlineStr">
        <is>
          <t>Ooh!Media Ltd</t>
        </is>
      </c>
      <c r="J436" t="inlineStr">
        <is>
          <t>AUD</t>
        </is>
      </c>
      <c r="K436" s="5" t="inlineStr">
        <is>
          <t>01a1212c-4c04-75ce-bbb2-e3322e18816e</t>
        </is>
      </c>
      <c r="M436" t="inlineStr">
        <is>
          <t>UNKNOWN</t>
        </is>
      </c>
      <c r="N436" t="inlineStr">
        <is>
          <t>DEFAULT</t>
        </is>
      </c>
      <c r="Q436" t="n">
        <v>0</v>
      </c>
      <c r="R436" t="inlineStr">
        <is>
          <t>AUD</t>
        </is>
      </c>
      <c r="S436" t="n">
        <v>0</v>
      </c>
      <c r="T436" t="inlineStr">
        <is>
          <t>AUD</t>
        </is>
      </c>
      <c r="U436" t="n">
        <v>0</v>
      </c>
    </row>
    <row r="437">
      <c r="A437" s="5" t="inlineStr">
        <is>
          <t>01a1212c-52ce-721f-88f4-52daf202ab46</t>
        </is>
      </c>
      <c r="C437" s="5" t="inlineStr">
        <is>
          <t>01a1212c-4b57-70cf-80fd-c2192cb3bf81</t>
        </is>
      </c>
      <c r="D437" s="4" t="n">
        <v>46304.62402016744</v>
      </c>
      <c r="E437" s="4" t="n">
        <v>46304.62402016752</v>
      </c>
      <c r="F437" t="b">
        <v>1</v>
      </c>
      <c r="G437" t="n">
        <v/>
      </c>
      <c r="H437" t="inlineStr">
        <is>
          <t>SHV</t>
        </is>
      </c>
      <c r="I437" t="inlineStr">
        <is>
          <t>Select Harvests Ltd</t>
        </is>
      </c>
      <c r="J437" t="inlineStr">
        <is>
          <t>AUD</t>
        </is>
      </c>
      <c r="K437" s="5" t="inlineStr">
        <is>
          <t>01a1212c-4c04-75ce-bbb2-e3322e18816e</t>
        </is>
      </c>
      <c r="M437" t="inlineStr">
        <is>
          <t>UNKNOWN</t>
        </is>
      </c>
      <c r="N437" t="inlineStr">
        <is>
          <t>DEFAULT</t>
        </is>
      </c>
      <c r="Q437" t="n">
        <v>0</v>
      </c>
      <c r="R437" t="inlineStr">
        <is>
          <t>AUD</t>
        </is>
      </c>
      <c r="S437" t="n">
        <v>0</v>
      </c>
      <c r="T437" t="inlineStr">
        <is>
          <t>AUD</t>
        </is>
      </c>
      <c r="U437" t="n">
        <v>0</v>
      </c>
    </row>
    <row r="438">
      <c r="A438" s="5" t="inlineStr">
        <is>
          <t>01a1212c-52d1-7691-baaf-a184641a2b74</t>
        </is>
      </c>
      <c r="C438" s="5" t="inlineStr">
        <is>
          <t>01a1212c-4b57-70cf-80fd-c2192cb3bf81</t>
        </is>
      </c>
      <c r="D438" s="4" t="n">
        <v>46304.62402019844</v>
      </c>
      <c r="E438" s="4" t="n">
        <v>46304.62402019852</v>
      </c>
      <c r="F438" t="b">
        <v>1</v>
      </c>
      <c r="G438" t="n">
        <v/>
      </c>
      <c r="H438" t="inlineStr">
        <is>
          <t>UNI</t>
        </is>
      </c>
      <c r="I438" t="inlineStr">
        <is>
          <t>Universal Store Holdings Ltd</t>
        </is>
      </c>
      <c r="J438" t="inlineStr">
        <is>
          <t>AUD</t>
        </is>
      </c>
      <c r="K438" s="5" t="inlineStr">
        <is>
          <t>01a1212c-4c04-75ce-bbb2-e3322e18816e</t>
        </is>
      </c>
      <c r="M438" t="inlineStr">
        <is>
          <t>UNKNOWN</t>
        </is>
      </c>
      <c r="N438" t="inlineStr">
        <is>
          <t>DEFAULT</t>
        </is>
      </c>
      <c r="Q438" t="n">
        <v>0</v>
      </c>
      <c r="R438" t="inlineStr">
        <is>
          <t>AUD</t>
        </is>
      </c>
      <c r="S438" t="n">
        <v>0</v>
      </c>
      <c r="T438" t="inlineStr">
        <is>
          <t>AUD</t>
        </is>
      </c>
      <c r="U438" t="n">
        <v>0</v>
      </c>
    </row>
    <row r="439">
      <c r="A439" s="5" t="inlineStr">
        <is>
          <t>01a1212c-52d3-7750-9ae2-e97dbc53ffe6</t>
        </is>
      </c>
      <c r="C439" s="5" t="inlineStr">
        <is>
          <t>01a1212c-4b57-70cf-80fd-c2192cb3bf81</t>
        </is>
      </c>
      <c r="D439" s="4" t="n">
        <v>46304.62402023215</v>
      </c>
      <c r="E439" s="4" t="n">
        <v>46304.62402023224</v>
      </c>
      <c r="F439" t="b">
        <v>1</v>
      </c>
      <c r="G439" t="n">
        <v/>
      </c>
      <c r="H439" t="inlineStr">
        <is>
          <t>APX</t>
        </is>
      </c>
      <c r="I439" t="inlineStr">
        <is>
          <t>Appen Ltd</t>
        </is>
      </c>
      <c r="J439" t="inlineStr">
        <is>
          <t>AUD</t>
        </is>
      </c>
      <c r="K439" s="5" t="inlineStr">
        <is>
          <t>01a1212c-4c04-75ce-bbb2-e3322e18816e</t>
        </is>
      </c>
      <c r="M439" t="inlineStr">
        <is>
          <t>UNKNOWN</t>
        </is>
      </c>
      <c r="N439" t="inlineStr">
        <is>
          <t>DEFAULT</t>
        </is>
      </c>
      <c r="Q439" t="n">
        <v>0</v>
      </c>
      <c r="R439" t="inlineStr">
        <is>
          <t>AUD</t>
        </is>
      </c>
      <c r="S439" t="n">
        <v>0</v>
      </c>
      <c r="T439" t="inlineStr">
        <is>
          <t>AUD</t>
        </is>
      </c>
      <c r="U439" t="n">
        <v>0</v>
      </c>
    </row>
    <row r="440">
      <c r="A440" s="5" t="inlineStr">
        <is>
          <t>01a1212c-52d6-7268-b38c-ff3764c214c2</t>
        </is>
      </c>
      <c r="C440" s="5" t="inlineStr">
        <is>
          <t>01a1212c-4b57-70cf-80fd-c2192cb3bf81</t>
        </is>
      </c>
      <c r="D440" s="4" t="n">
        <v>46304.62402026325</v>
      </c>
      <c r="E440" s="4" t="n">
        <v>46304.62402026333</v>
      </c>
      <c r="F440" t="b">
        <v>1</v>
      </c>
      <c r="G440" t="n">
        <v/>
      </c>
      <c r="H440" t="inlineStr">
        <is>
          <t>RFF</t>
        </is>
      </c>
      <c r="I440" t="inlineStr">
        <is>
          <t>Rural Funds Group</t>
        </is>
      </c>
      <c r="J440" t="inlineStr">
        <is>
          <t>AUD</t>
        </is>
      </c>
      <c r="K440" s="5" t="inlineStr">
        <is>
          <t>01a1212c-4c04-75ce-bbb2-e3322e18816e</t>
        </is>
      </c>
      <c r="M440" t="inlineStr">
        <is>
          <t>UNKNOWN</t>
        </is>
      </c>
      <c r="N440" t="inlineStr">
        <is>
          <t>DEFAULT</t>
        </is>
      </c>
      <c r="Q440" t="n">
        <v>0</v>
      </c>
      <c r="R440" t="inlineStr">
        <is>
          <t>AUD</t>
        </is>
      </c>
      <c r="S440" t="n">
        <v>0</v>
      </c>
      <c r="T440" t="inlineStr">
        <is>
          <t>AUD</t>
        </is>
      </c>
      <c r="U440" t="n">
        <v>0</v>
      </c>
    </row>
    <row r="441">
      <c r="A441" s="5" t="inlineStr">
        <is>
          <t>01a1212c-52d9-7190-b821-b88911b33b32</t>
        </is>
      </c>
      <c r="C441" s="5" t="inlineStr">
        <is>
          <t>01a1212c-4b57-70cf-80fd-c2192cb3bf81</t>
        </is>
      </c>
      <c r="D441" s="4" t="n">
        <v>46304.62402029392</v>
      </c>
      <c r="E441" s="4" t="n">
        <v>46304.62402029398</v>
      </c>
      <c r="F441" t="b">
        <v>1</v>
      </c>
      <c r="G441" t="n">
        <v/>
      </c>
      <c r="H441" t="inlineStr">
        <is>
          <t>PDI</t>
        </is>
      </c>
      <c r="I441" t="inlineStr">
        <is>
          <t>Predictive Discovery Ltd</t>
        </is>
      </c>
      <c r="J441" t="inlineStr">
        <is>
          <t>AUD</t>
        </is>
      </c>
      <c r="K441" s="5" t="inlineStr">
        <is>
          <t>01a1212c-4c04-75ce-bbb2-e3322e18816e</t>
        </is>
      </c>
      <c r="M441" t="inlineStr">
        <is>
          <t>UNKNOWN</t>
        </is>
      </c>
      <c r="N441" t="inlineStr">
        <is>
          <t>DEFAULT</t>
        </is>
      </c>
      <c r="Q441" t="n">
        <v>0</v>
      </c>
      <c r="R441" t="inlineStr">
        <is>
          <t>AUD</t>
        </is>
      </c>
      <c r="S441" t="n">
        <v>0</v>
      </c>
      <c r="T441" t="inlineStr">
        <is>
          <t>AUD</t>
        </is>
      </c>
      <c r="U441" t="n">
        <v>0</v>
      </c>
    </row>
    <row r="442">
      <c r="A442" s="5" t="inlineStr">
        <is>
          <t>01a1212c-52dc-7257-b6d3-8ba575e9b3df</t>
        </is>
      </c>
      <c r="C442" s="5" t="inlineStr">
        <is>
          <t>01a1212c-4b57-70cf-80fd-c2192cb3bf81</t>
        </is>
      </c>
      <c r="D442" s="4" t="n">
        <v>46304.62402032572</v>
      </c>
      <c r="E442" s="4" t="n">
        <v>46304.6240203258</v>
      </c>
      <c r="F442" t="b">
        <v>1</v>
      </c>
      <c r="G442" t="n">
        <v/>
      </c>
      <c r="H442" t="inlineStr">
        <is>
          <t>PPM</t>
        </is>
      </c>
      <c r="I442" t="inlineStr">
        <is>
          <t>Pepper Money Ltd</t>
        </is>
      </c>
      <c r="J442" t="inlineStr">
        <is>
          <t>AUD</t>
        </is>
      </c>
      <c r="K442" s="5" t="inlineStr">
        <is>
          <t>01a1212c-4c04-75ce-bbb2-e3322e18816e</t>
        </is>
      </c>
      <c r="M442" t="inlineStr">
        <is>
          <t>UNKNOWN</t>
        </is>
      </c>
      <c r="N442" t="inlineStr">
        <is>
          <t>DEFAULT</t>
        </is>
      </c>
      <c r="Q442" t="n">
        <v>0</v>
      </c>
      <c r="R442" t="inlineStr">
        <is>
          <t>AUD</t>
        </is>
      </c>
      <c r="S442" t="n">
        <v>0</v>
      </c>
      <c r="T442" t="inlineStr">
        <is>
          <t>AUD</t>
        </is>
      </c>
      <c r="U442" t="n">
        <v>0</v>
      </c>
    </row>
    <row r="443">
      <c r="A443" s="5" t="inlineStr">
        <is>
          <t>01a1212c-52de-74b7-b071-99aa8e736656</t>
        </is>
      </c>
      <c r="C443" s="5" t="inlineStr">
        <is>
          <t>01a1212c-4b57-70cf-80fd-c2192cb3bf81</t>
        </is>
      </c>
      <c r="D443" s="4" t="n">
        <v>46304.62402035777</v>
      </c>
      <c r="E443" s="4" t="n">
        <v>46304.62402035783</v>
      </c>
      <c r="F443" t="b">
        <v>1</v>
      </c>
      <c r="G443" t="n">
        <v/>
      </c>
      <c r="H443" t="inlineStr">
        <is>
          <t>PAC</t>
        </is>
      </c>
      <c r="I443" t="inlineStr">
        <is>
          <t>Pacific Current Group Ltd</t>
        </is>
      </c>
      <c r="J443" t="inlineStr">
        <is>
          <t>AUD</t>
        </is>
      </c>
      <c r="K443" s="5" t="inlineStr">
        <is>
          <t>01a1212c-4c04-75ce-bbb2-e3322e18816e</t>
        </is>
      </c>
      <c r="M443" t="inlineStr">
        <is>
          <t>UNKNOWN</t>
        </is>
      </c>
      <c r="N443" t="inlineStr">
        <is>
          <t>DEFAULT</t>
        </is>
      </c>
      <c r="Q443" t="n">
        <v>0</v>
      </c>
      <c r="R443" t="inlineStr">
        <is>
          <t>AUD</t>
        </is>
      </c>
      <c r="S443" t="n">
        <v>0</v>
      </c>
      <c r="T443" t="inlineStr">
        <is>
          <t>AUD</t>
        </is>
      </c>
      <c r="U443" t="n">
        <v>0</v>
      </c>
    </row>
    <row r="444">
      <c r="A444" s="5" t="inlineStr">
        <is>
          <t>01a1212c-52e1-7224-8371-6e49a4e9b40c</t>
        </is>
      </c>
      <c r="C444" s="5" t="inlineStr">
        <is>
          <t>01a1212c-4b57-70cf-80fd-c2192cb3bf81</t>
        </is>
      </c>
      <c r="D444" s="4" t="n">
        <v>46304.62402039077</v>
      </c>
      <c r="E444" s="4" t="n">
        <v>46304.62402039083</v>
      </c>
      <c r="F444" t="b">
        <v>1</v>
      </c>
      <c r="G444" t="n">
        <v/>
      </c>
      <c r="H444" t="inlineStr">
        <is>
          <t>AD8</t>
        </is>
      </c>
      <c r="I444" t="inlineStr">
        <is>
          <t>Audinate Group Ltd</t>
        </is>
      </c>
      <c r="J444" t="inlineStr">
        <is>
          <t>AUD</t>
        </is>
      </c>
      <c r="K444" s="5" t="inlineStr">
        <is>
          <t>01a1212c-4c04-75ce-bbb2-e3322e18816e</t>
        </is>
      </c>
      <c r="M444" t="inlineStr">
        <is>
          <t>UNKNOWN</t>
        </is>
      </c>
      <c r="N444" t="inlineStr">
        <is>
          <t>DEFAULT</t>
        </is>
      </c>
      <c r="Q444" t="n">
        <v>0</v>
      </c>
      <c r="R444" t="inlineStr">
        <is>
          <t>AUD</t>
        </is>
      </c>
      <c r="S444" t="n">
        <v>0</v>
      </c>
      <c r="T444" t="inlineStr">
        <is>
          <t>AUD</t>
        </is>
      </c>
      <c r="U444" t="n">
        <v>0</v>
      </c>
    </row>
    <row r="445">
      <c r="A445" s="5" t="inlineStr">
        <is>
          <t>01a1212c-52e4-7264-ae95-cd64ec7699c4</t>
        </is>
      </c>
      <c r="C445" s="5" t="inlineStr">
        <is>
          <t>01a1212c-4b57-70cf-80fd-c2192cb3bf81</t>
        </is>
      </c>
      <c r="D445" s="4" t="n">
        <v>46304.62402042125</v>
      </c>
      <c r="E445" s="4" t="n">
        <v>46304.62402042132</v>
      </c>
      <c r="F445" t="b">
        <v>1</v>
      </c>
      <c r="G445" t="n">
        <v/>
      </c>
      <c r="H445" t="inlineStr">
        <is>
          <t>HETH</t>
        </is>
      </c>
      <c r="I445" t="inlineStr">
        <is>
          <t>Betashares Global Sustainability Leaders ETF - CH</t>
        </is>
      </c>
      <c r="J445" t="inlineStr">
        <is>
          <t>AUD</t>
        </is>
      </c>
      <c r="K445" s="5" t="inlineStr">
        <is>
          <t>01a1212c-4c04-75ce-bbb2-e3322e18816e</t>
        </is>
      </c>
      <c r="M445" t="inlineStr">
        <is>
          <t>UNKNOWN</t>
        </is>
      </c>
      <c r="N445" t="inlineStr">
        <is>
          <t>DEFAULT</t>
        </is>
      </c>
      <c r="Q445" t="n">
        <v>0</v>
      </c>
      <c r="R445" t="inlineStr">
        <is>
          <t>AUD</t>
        </is>
      </c>
      <c r="S445" t="n">
        <v>0</v>
      </c>
      <c r="T445" t="inlineStr">
        <is>
          <t>AUD</t>
        </is>
      </c>
      <c r="U445" t="n">
        <v>0</v>
      </c>
    </row>
    <row r="446">
      <c r="A446" s="5" t="inlineStr">
        <is>
          <t>01a1212c-52e6-74de-b61e-87e2ca9cdcd8</t>
        </is>
      </c>
      <c r="C446" s="5" t="inlineStr">
        <is>
          <t>01a1212c-4b57-70cf-80fd-c2192cb3bf81</t>
        </is>
      </c>
      <c r="D446" s="4" t="n">
        <v>46304.6240204517</v>
      </c>
      <c r="E446" s="4" t="n">
        <v>46304.62402045177</v>
      </c>
      <c r="F446" t="b">
        <v>1</v>
      </c>
      <c r="G446" t="n">
        <v/>
      </c>
      <c r="H446" t="inlineStr">
        <is>
          <t>LLL</t>
        </is>
      </c>
      <c r="I446" t="inlineStr">
        <is>
          <t>Leo Lithium Ltd</t>
        </is>
      </c>
      <c r="J446" t="inlineStr">
        <is>
          <t>AUD</t>
        </is>
      </c>
      <c r="K446" s="5" t="inlineStr">
        <is>
          <t>01a1212c-4c04-75ce-bbb2-e3322e18816e</t>
        </is>
      </c>
      <c r="M446" t="inlineStr">
        <is>
          <t>UNKNOWN</t>
        </is>
      </c>
      <c r="N446" t="inlineStr">
        <is>
          <t>DEFAULT</t>
        </is>
      </c>
      <c r="Q446" t="n">
        <v>0</v>
      </c>
      <c r="R446" t="inlineStr">
        <is>
          <t>AUD</t>
        </is>
      </c>
      <c r="S446" t="n">
        <v>0</v>
      </c>
      <c r="T446" t="inlineStr">
        <is>
          <t>AUD</t>
        </is>
      </c>
      <c r="U446" t="n">
        <v>0</v>
      </c>
    </row>
    <row r="447">
      <c r="A447" s="5" t="inlineStr">
        <is>
          <t>01a1212c-52e9-74c7-aed3-0c3adebf266d</t>
        </is>
      </c>
      <c r="C447" s="5" t="inlineStr">
        <is>
          <t>01a1212c-4b57-70cf-80fd-c2192cb3bf81</t>
        </is>
      </c>
      <c r="D447" s="4" t="n">
        <v>46304.62402048174</v>
      </c>
      <c r="E447" s="4" t="n">
        <v>46304.62402048182</v>
      </c>
      <c r="F447" t="b">
        <v>1</v>
      </c>
      <c r="G447" t="n">
        <v/>
      </c>
      <c r="H447" t="inlineStr">
        <is>
          <t>EBR</t>
        </is>
      </c>
      <c r="I447" t="inlineStr">
        <is>
          <t>EBR Systems Inc</t>
        </is>
      </c>
      <c r="J447" t="inlineStr">
        <is>
          <t>AUD</t>
        </is>
      </c>
      <c r="K447" s="5" t="inlineStr">
        <is>
          <t>01a1212c-4c04-75ce-bbb2-e3322e18816e</t>
        </is>
      </c>
      <c r="M447" t="inlineStr">
        <is>
          <t>UNKNOWN</t>
        </is>
      </c>
      <c r="N447" t="inlineStr">
        <is>
          <t>DEFAULT</t>
        </is>
      </c>
      <c r="Q447" t="n">
        <v>0</v>
      </c>
      <c r="R447" t="inlineStr">
        <is>
          <t>AUD</t>
        </is>
      </c>
      <c r="S447" t="n">
        <v>0</v>
      </c>
      <c r="T447" t="inlineStr">
        <is>
          <t>AUD</t>
        </is>
      </c>
      <c r="U447" t="n">
        <v>0</v>
      </c>
    </row>
    <row r="448">
      <c r="A448" s="5" t="inlineStr">
        <is>
          <t>01a1212c-52ec-7267-9220-a340a4447b71</t>
        </is>
      </c>
      <c r="C448" s="5" t="inlineStr">
        <is>
          <t>01a1212c-4b57-70cf-80fd-c2192cb3bf81</t>
        </is>
      </c>
      <c r="D448" s="4" t="n">
        <v>46304.62402051542</v>
      </c>
      <c r="E448" s="4" t="n">
        <v>46304.62402051548</v>
      </c>
      <c r="F448" t="b">
        <v>1</v>
      </c>
      <c r="G448" t="n">
        <v/>
      </c>
      <c r="H448" t="inlineStr">
        <is>
          <t>RUL</t>
        </is>
      </c>
      <c r="I448" t="inlineStr">
        <is>
          <t>Rpmglobal Holdings Ltd</t>
        </is>
      </c>
      <c r="J448" t="inlineStr">
        <is>
          <t>AUD</t>
        </is>
      </c>
      <c r="K448" s="5" t="inlineStr">
        <is>
          <t>01a1212c-4c04-75ce-bbb2-e3322e18816e</t>
        </is>
      </c>
      <c r="M448" t="inlineStr">
        <is>
          <t>UNKNOWN</t>
        </is>
      </c>
      <c r="N448" t="inlineStr">
        <is>
          <t>DEFAULT</t>
        </is>
      </c>
      <c r="Q448" t="n">
        <v>0</v>
      </c>
      <c r="R448" t="inlineStr">
        <is>
          <t>AUD</t>
        </is>
      </c>
      <c r="S448" t="n">
        <v>0</v>
      </c>
      <c r="T448" t="inlineStr">
        <is>
          <t>AUD</t>
        </is>
      </c>
      <c r="U448" t="n">
        <v>0</v>
      </c>
    </row>
    <row r="449">
      <c r="A449" s="5" t="inlineStr">
        <is>
          <t>01a1212c-52ef-7741-9c39-1e9755640b9c</t>
        </is>
      </c>
      <c r="C449" s="5" t="inlineStr">
        <is>
          <t>01a1212c-4b57-70cf-80fd-c2192cb3bf81</t>
        </is>
      </c>
      <c r="D449" s="4" t="n">
        <v>46304.62402054628</v>
      </c>
      <c r="E449" s="4" t="n">
        <v>46304.62402054635</v>
      </c>
      <c r="F449" t="b">
        <v>1</v>
      </c>
      <c r="G449" t="n">
        <v/>
      </c>
      <c r="H449" t="inlineStr">
        <is>
          <t>MICH</t>
        </is>
      </c>
      <c r="I449" t="inlineStr">
        <is>
          <t>Magellan Infra Fund (Currency Hedged) - Active ETF</t>
        </is>
      </c>
      <c r="J449" t="inlineStr">
        <is>
          <t>AUD</t>
        </is>
      </c>
      <c r="K449" s="5" t="inlineStr">
        <is>
          <t>01a1212c-4c04-75ce-bbb2-e3322e18816e</t>
        </is>
      </c>
      <c r="M449" t="inlineStr">
        <is>
          <t>UNKNOWN</t>
        </is>
      </c>
      <c r="N449" t="inlineStr">
        <is>
          <t>DEFAULT</t>
        </is>
      </c>
      <c r="Q449" t="n">
        <v>0</v>
      </c>
      <c r="R449" t="inlineStr">
        <is>
          <t>AUD</t>
        </is>
      </c>
      <c r="S449" t="n">
        <v>0</v>
      </c>
      <c r="T449" t="inlineStr">
        <is>
          <t>AUD</t>
        </is>
      </c>
      <c r="U449" t="n">
        <v>0</v>
      </c>
    </row>
    <row r="450">
      <c r="A450" s="5" t="inlineStr">
        <is>
          <t>01a1212c-52f1-7788-ad05-0c6bd9cd45ac</t>
        </is>
      </c>
      <c r="C450" s="5" t="inlineStr">
        <is>
          <t>01a1212c-4b57-70cf-80fd-c2192cb3bf81</t>
        </is>
      </c>
      <c r="D450" s="4" t="n">
        <v>46304.624020578</v>
      </c>
      <c r="E450" s="4" t="n">
        <v>46304.62402057808</v>
      </c>
      <c r="F450" t="b">
        <v>1</v>
      </c>
      <c r="G450" t="n">
        <v/>
      </c>
      <c r="H450" t="inlineStr">
        <is>
          <t>LOT</t>
        </is>
      </c>
      <c r="I450" t="inlineStr">
        <is>
          <t>Lotus Resources Ltd</t>
        </is>
      </c>
      <c r="J450" t="inlineStr">
        <is>
          <t>AUD</t>
        </is>
      </c>
      <c r="K450" s="5" t="inlineStr">
        <is>
          <t>01a1212c-4c04-75ce-bbb2-e3322e18816e</t>
        </is>
      </c>
      <c r="M450" t="inlineStr">
        <is>
          <t>UNKNOWN</t>
        </is>
      </c>
      <c r="N450" t="inlineStr">
        <is>
          <t>DEFAULT</t>
        </is>
      </c>
      <c r="Q450" t="n">
        <v>0</v>
      </c>
      <c r="R450" t="inlineStr">
        <is>
          <t>AUD</t>
        </is>
      </c>
      <c r="S450" t="n">
        <v>0</v>
      </c>
      <c r="T450" t="inlineStr">
        <is>
          <t>AUD</t>
        </is>
      </c>
      <c r="U450" t="n">
        <v>0</v>
      </c>
    </row>
    <row r="451">
      <c r="A451" s="5" t="inlineStr">
        <is>
          <t>01a1212c-52f4-7334-9390-ba3d93c6d42e</t>
        </is>
      </c>
      <c r="C451" s="5" t="inlineStr">
        <is>
          <t>01a1212c-4b57-70cf-80fd-c2192cb3bf81</t>
        </is>
      </c>
      <c r="D451" s="4" t="n">
        <v>46304.6240206084</v>
      </c>
      <c r="E451" s="4" t="n">
        <v>46304.62402060848</v>
      </c>
      <c r="F451" t="b">
        <v>1</v>
      </c>
      <c r="G451" t="n">
        <v/>
      </c>
      <c r="H451" t="inlineStr">
        <is>
          <t>GDX</t>
        </is>
      </c>
      <c r="I451" t="inlineStr">
        <is>
          <t>Vaneck Gold Miners ETF</t>
        </is>
      </c>
      <c r="J451" t="inlineStr">
        <is>
          <t>AUD</t>
        </is>
      </c>
      <c r="K451" s="5" t="inlineStr">
        <is>
          <t>01a1212c-4c04-75ce-bbb2-e3322e18816e</t>
        </is>
      </c>
      <c r="M451" t="inlineStr">
        <is>
          <t>UNKNOWN</t>
        </is>
      </c>
      <c r="N451" t="inlineStr">
        <is>
          <t>DEFAULT</t>
        </is>
      </c>
      <c r="Q451" t="n">
        <v>0</v>
      </c>
      <c r="R451" t="inlineStr">
        <is>
          <t>AUD</t>
        </is>
      </c>
      <c r="S451" t="n">
        <v>0</v>
      </c>
      <c r="T451" t="inlineStr">
        <is>
          <t>AUD</t>
        </is>
      </c>
      <c r="U451" t="n">
        <v>0</v>
      </c>
    </row>
    <row r="452">
      <c r="A452" s="5" t="inlineStr">
        <is>
          <t>01a1212c-52f7-732e-9762-c64a082d8d42</t>
        </is>
      </c>
      <c r="C452" s="5" t="inlineStr">
        <is>
          <t>01a1212c-4b57-70cf-80fd-c2192cb3bf81</t>
        </is>
      </c>
      <c r="D452" s="4" t="n">
        <v>46304.62402063896</v>
      </c>
      <c r="E452" s="4" t="n">
        <v>46304.62402063904</v>
      </c>
      <c r="F452" t="b">
        <v>1</v>
      </c>
      <c r="G452" t="n">
        <v/>
      </c>
      <c r="H452" t="inlineStr">
        <is>
          <t>C79</t>
        </is>
      </c>
      <c r="I452" t="inlineStr">
        <is>
          <t>Chrysos Corporation Ltd</t>
        </is>
      </c>
      <c r="J452" t="inlineStr">
        <is>
          <t>AUD</t>
        </is>
      </c>
      <c r="K452" s="5" t="inlineStr">
        <is>
          <t>01a1212c-4c04-75ce-bbb2-e3322e18816e</t>
        </is>
      </c>
      <c r="M452" t="inlineStr">
        <is>
          <t>UNKNOWN</t>
        </is>
      </c>
      <c r="N452" t="inlineStr">
        <is>
          <t>DEFAULT</t>
        </is>
      </c>
      <c r="Q452" t="n">
        <v>0</v>
      </c>
      <c r="R452" t="inlineStr">
        <is>
          <t>AUD</t>
        </is>
      </c>
      <c r="S452" t="n">
        <v>0</v>
      </c>
      <c r="T452" t="inlineStr">
        <is>
          <t>AUD</t>
        </is>
      </c>
      <c r="U452" t="n">
        <v>0</v>
      </c>
    </row>
    <row r="453">
      <c r="A453" s="5" t="inlineStr">
        <is>
          <t>01a1212c-52f9-7724-934e-7e7d8a46a3b2</t>
        </is>
      </c>
      <c r="C453" s="5" t="inlineStr">
        <is>
          <t>01a1212c-4b57-70cf-80fd-c2192cb3bf81</t>
        </is>
      </c>
      <c r="D453" s="4" t="n">
        <v>46304.6240206713</v>
      </c>
      <c r="E453" s="4" t="n">
        <v>46304.62402067138</v>
      </c>
      <c r="F453" t="b">
        <v>1</v>
      </c>
      <c r="G453" t="n">
        <v/>
      </c>
      <c r="H453" t="inlineStr">
        <is>
          <t>FRGG</t>
        </is>
      </c>
      <c r="I453" t="inlineStr">
        <is>
          <t>Franklin Global Growth Fund (Managed Fund)</t>
        </is>
      </c>
      <c r="J453" t="inlineStr">
        <is>
          <t>AUD</t>
        </is>
      </c>
      <c r="K453" s="5" t="inlineStr">
        <is>
          <t>01a1212c-4c04-75ce-bbb2-e3322e18816e</t>
        </is>
      </c>
      <c r="M453" t="inlineStr">
        <is>
          <t>UNKNOWN</t>
        </is>
      </c>
      <c r="N453" t="inlineStr">
        <is>
          <t>DEFAULT</t>
        </is>
      </c>
      <c r="Q453" t="n">
        <v>0</v>
      </c>
      <c r="R453" t="inlineStr">
        <is>
          <t>AUD</t>
        </is>
      </c>
      <c r="S453" t="n">
        <v>0</v>
      </c>
      <c r="T453" t="inlineStr">
        <is>
          <t>AUD</t>
        </is>
      </c>
      <c r="U453" t="n">
        <v>0</v>
      </c>
    </row>
    <row r="454">
      <c r="A454" s="5" t="inlineStr">
        <is>
          <t>01a1212c-52fc-71e5-b1f7-954aaf61fa0d</t>
        </is>
      </c>
      <c r="C454" s="5" t="inlineStr">
        <is>
          <t>01a1212c-4b57-70cf-80fd-c2192cb3bf81</t>
        </is>
      </c>
      <c r="D454" s="4" t="n">
        <v>46304.62402070154</v>
      </c>
      <c r="E454" s="4" t="n">
        <v>46304.62402070162</v>
      </c>
      <c r="F454" t="b">
        <v>1</v>
      </c>
      <c r="G454" t="n">
        <v/>
      </c>
      <c r="H454" t="inlineStr">
        <is>
          <t>FCL</t>
        </is>
      </c>
      <c r="I454" t="inlineStr">
        <is>
          <t>Fineos Corporation Holdings Plc</t>
        </is>
      </c>
      <c r="J454" t="inlineStr">
        <is>
          <t>AUD</t>
        </is>
      </c>
      <c r="K454" s="5" t="inlineStr">
        <is>
          <t>01a1212c-4c04-75ce-bbb2-e3322e18816e</t>
        </is>
      </c>
      <c r="M454" t="inlineStr">
        <is>
          <t>UNKNOWN</t>
        </is>
      </c>
      <c r="N454" t="inlineStr">
        <is>
          <t>DEFAULT</t>
        </is>
      </c>
      <c r="Q454" t="n">
        <v>0</v>
      </c>
      <c r="R454" t="inlineStr">
        <is>
          <t>AUD</t>
        </is>
      </c>
      <c r="S454" t="n">
        <v>0</v>
      </c>
      <c r="T454" t="inlineStr">
        <is>
          <t>AUD</t>
        </is>
      </c>
      <c r="U454" t="n">
        <v>0</v>
      </c>
    </row>
    <row r="455">
      <c r="A455" s="5" t="inlineStr">
        <is>
          <t>01a1212c-52ff-70e3-b30c-c0131325dc83</t>
        </is>
      </c>
      <c r="C455" s="5" t="inlineStr">
        <is>
          <t>01a1212c-4b57-70cf-80fd-c2192cb3bf81</t>
        </is>
      </c>
      <c r="D455" s="4" t="n">
        <v>46304.62402073202</v>
      </c>
      <c r="E455" s="4" t="n">
        <v>46304.62402073208</v>
      </c>
      <c r="F455" t="b">
        <v>1</v>
      </c>
      <c r="G455" t="n">
        <v/>
      </c>
      <c r="H455" t="inlineStr">
        <is>
          <t>CUV</t>
        </is>
      </c>
      <c r="I455" t="inlineStr">
        <is>
          <t>Clinuvel Pharmaceuticals Ltd</t>
        </is>
      </c>
      <c r="J455" t="inlineStr">
        <is>
          <t>AUD</t>
        </is>
      </c>
      <c r="K455" s="5" t="inlineStr">
        <is>
          <t>01a1212c-4c04-75ce-bbb2-e3322e18816e</t>
        </is>
      </c>
      <c r="M455" t="inlineStr">
        <is>
          <t>UNKNOWN</t>
        </is>
      </c>
      <c r="N455" t="inlineStr">
        <is>
          <t>DEFAULT</t>
        </is>
      </c>
      <c r="Q455" t="n">
        <v>0</v>
      </c>
      <c r="R455" t="inlineStr">
        <is>
          <t>AUD</t>
        </is>
      </c>
      <c r="S455" t="n">
        <v>0</v>
      </c>
      <c r="T455" t="inlineStr">
        <is>
          <t>AUD</t>
        </is>
      </c>
      <c r="U455" t="n">
        <v>0</v>
      </c>
    </row>
    <row r="456">
      <c r="A456" s="5" t="inlineStr">
        <is>
          <t>01a1212c-5301-708a-b419-0f8d378b9a7c</t>
        </is>
      </c>
      <c r="C456" s="5" t="inlineStr">
        <is>
          <t>01a1212c-4b57-70cf-80fd-c2192cb3bf81</t>
        </is>
      </c>
      <c r="D456" s="4" t="n">
        <v>46304.62402076339</v>
      </c>
      <c r="E456" s="4" t="n">
        <v>46304.62402076347</v>
      </c>
      <c r="F456" t="b">
        <v>1</v>
      </c>
      <c r="G456" t="n">
        <v/>
      </c>
      <c r="H456" t="inlineStr">
        <is>
          <t>DGSM</t>
        </is>
      </c>
      <c r="I456" t="inlineStr">
        <is>
          <t>Dimensional Global Small Company - Active ETF</t>
        </is>
      </c>
      <c r="J456" t="inlineStr">
        <is>
          <t>AUD</t>
        </is>
      </c>
      <c r="K456" s="5" t="inlineStr">
        <is>
          <t>01a1212c-4c04-75ce-bbb2-e3322e18816e</t>
        </is>
      </c>
      <c r="M456" t="inlineStr">
        <is>
          <t>UNKNOWN</t>
        </is>
      </c>
      <c r="N456" t="inlineStr">
        <is>
          <t>DEFAULT</t>
        </is>
      </c>
      <c r="Q456" t="n">
        <v>0</v>
      </c>
      <c r="R456" t="inlineStr">
        <is>
          <t>AUD</t>
        </is>
      </c>
      <c r="S456" t="n">
        <v>0</v>
      </c>
      <c r="T456" t="inlineStr">
        <is>
          <t>AUD</t>
        </is>
      </c>
      <c r="U456" t="n">
        <v>0</v>
      </c>
    </row>
    <row r="457">
      <c r="A457" s="5" t="inlineStr">
        <is>
          <t>01a1212c-5304-745b-b62a-3df05371e54f</t>
        </is>
      </c>
      <c r="C457" s="5" t="inlineStr">
        <is>
          <t>01a1212c-4b57-70cf-80fd-c2192cb3bf81</t>
        </is>
      </c>
      <c r="D457" s="4" t="n">
        <v>46304.62402079602</v>
      </c>
      <c r="E457" s="4" t="n">
        <v>46304.62402079609</v>
      </c>
      <c r="F457" t="b">
        <v>1</v>
      </c>
      <c r="G457" t="n">
        <v/>
      </c>
      <c r="H457" t="inlineStr">
        <is>
          <t>DHHF</t>
        </is>
      </c>
      <c r="I457" t="inlineStr">
        <is>
          <t>Betashares Diversified All Growth ETF</t>
        </is>
      </c>
      <c r="J457" t="inlineStr">
        <is>
          <t>AUD</t>
        </is>
      </c>
      <c r="K457" s="5" t="inlineStr">
        <is>
          <t>01a1212c-4c04-75ce-bbb2-e3322e18816e</t>
        </is>
      </c>
      <c r="M457" t="inlineStr">
        <is>
          <t>UNIT_TRUST</t>
        </is>
      </c>
      <c r="N457" t="inlineStr">
        <is>
          <t>SUGGESTED</t>
        </is>
      </c>
      <c r="Q457" t="n">
        <v>0</v>
      </c>
      <c r="R457" t="inlineStr">
        <is>
          <t>AUD</t>
        </is>
      </c>
      <c r="S457" t="n">
        <v>0</v>
      </c>
      <c r="T457" t="inlineStr">
        <is>
          <t>AUD</t>
        </is>
      </c>
      <c r="U457" t="n">
        <v>0</v>
      </c>
    </row>
    <row r="458">
      <c r="A458" s="5" t="inlineStr">
        <is>
          <t>01a1212c-5307-76d7-9bf4-97d2496451f0</t>
        </is>
      </c>
      <c r="C458" s="5" t="inlineStr">
        <is>
          <t>01a1212c-4b57-70cf-80fd-c2192cb3bf81</t>
        </is>
      </c>
      <c r="D458" s="4" t="n">
        <v>46304.62402082994</v>
      </c>
      <c r="E458" s="4" t="n">
        <v>46304.62402083002</v>
      </c>
      <c r="F458" t="b">
        <v>1</v>
      </c>
      <c r="G458" t="n">
        <v/>
      </c>
      <c r="H458" t="inlineStr">
        <is>
          <t>QOR</t>
        </is>
      </c>
      <c r="I458" t="inlineStr">
        <is>
          <t>QORIA Ltd</t>
        </is>
      </c>
      <c r="J458" t="inlineStr">
        <is>
          <t>AUD</t>
        </is>
      </c>
      <c r="K458" s="5" t="inlineStr">
        <is>
          <t>01a1212c-4c04-75ce-bbb2-e3322e18816e</t>
        </is>
      </c>
      <c r="M458" t="inlineStr">
        <is>
          <t>UNKNOWN</t>
        </is>
      </c>
      <c r="N458" t="inlineStr">
        <is>
          <t>DEFAULT</t>
        </is>
      </c>
      <c r="Q458" t="n">
        <v>0</v>
      </c>
      <c r="R458" t="inlineStr">
        <is>
          <t>AUD</t>
        </is>
      </c>
      <c r="S458" t="n">
        <v>0</v>
      </c>
      <c r="T458" t="inlineStr">
        <is>
          <t>AUD</t>
        </is>
      </c>
      <c r="U458" t="n">
        <v>0</v>
      </c>
    </row>
    <row r="459">
      <c r="A459" s="5" t="inlineStr">
        <is>
          <t>01a1212c-530a-738e-a750-e9a8b6daf93d</t>
        </is>
      </c>
      <c r="C459" s="5" t="inlineStr">
        <is>
          <t>01a1212c-4b57-70cf-80fd-c2192cb3bf81</t>
        </is>
      </c>
      <c r="D459" s="4" t="n">
        <v>46304.62402086027</v>
      </c>
      <c r="E459" s="4" t="n">
        <v>46304.62402086033</v>
      </c>
      <c r="F459" t="b">
        <v>1</v>
      </c>
      <c r="G459" t="n">
        <v/>
      </c>
      <c r="H459" t="inlineStr">
        <is>
          <t>ASIA</t>
        </is>
      </c>
      <c r="I459" t="inlineStr">
        <is>
          <t>Betashares Asia Technology Tigers ETF</t>
        </is>
      </c>
      <c r="J459" t="inlineStr">
        <is>
          <t>AUD</t>
        </is>
      </c>
      <c r="K459" s="5" t="inlineStr">
        <is>
          <t>01a1212c-4c04-75ce-bbb2-e3322e18816e</t>
        </is>
      </c>
      <c r="M459" t="inlineStr">
        <is>
          <t>UNIT_TRUST</t>
        </is>
      </c>
      <c r="N459" t="inlineStr">
        <is>
          <t>SUGGESTED</t>
        </is>
      </c>
      <c r="Q459" t="n">
        <v>0</v>
      </c>
      <c r="R459" t="inlineStr">
        <is>
          <t>AUD</t>
        </is>
      </c>
      <c r="S459" t="n">
        <v>0</v>
      </c>
      <c r="T459" t="inlineStr">
        <is>
          <t>AUD</t>
        </is>
      </c>
      <c r="U459" t="n">
        <v>0</v>
      </c>
    </row>
    <row r="460">
      <c r="A460" s="5" t="inlineStr">
        <is>
          <t>01a1212c-530d-728c-9cde-826ac7e997c7</t>
        </is>
      </c>
      <c r="C460" s="5" t="inlineStr">
        <is>
          <t>01a1212c-4b57-70cf-80fd-c2192cb3bf81</t>
        </is>
      </c>
      <c r="D460" s="4" t="n">
        <v>46304.62402089393</v>
      </c>
      <c r="E460" s="4" t="n">
        <v>46304.62402089399</v>
      </c>
      <c r="F460" t="b">
        <v>1</v>
      </c>
      <c r="G460" t="n">
        <v/>
      </c>
      <c r="H460" t="inlineStr">
        <is>
          <t>MVA</t>
        </is>
      </c>
      <c r="I460" t="inlineStr">
        <is>
          <t>Vaneck Australian Property ETF</t>
        </is>
      </c>
      <c r="J460" t="inlineStr">
        <is>
          <t>AUD</t>
        </is>
      </c>
      <c r="K460" s="5" t="inlineStr">
        <is>
          <t>01a1212c-4c04-75ce-bbb2-e3322e18816e</t>
        </is>
      </c>
      <c r="M460" t="inlineStr">
        <is>
          <t>UNIT_TRUST</t>
        </is>
      </c>
      <c r="N460" t="inlineStr">
        <is>
          <t>SUGGESTED</t>
        </is>
      </c>
      <c r="Q460" t="n">
        <v>0</v>
      </c>
      <c r="R460" t="inlineStr">
        <is>
          <t>AUD</t>
        </is>
      </c>
      <c r="S460" t="n">
        <v>0</v>
      </c>
      <c r="T460" t="inlineStr">
        <is>
          <t>AUD</t>
        </is>
      </c>
      <c r="U460" t="n">
        <v>0</v>
      </c>
    </row>
    <row r="461">
      <c r="A461" s="5" t="inlineStr">
        <is>
          <t>01a1212c-5310-76ce-94b6-648d921e4c69</t>
        </is>
      </c>
      <c r="C461" s="5" t="inlineStr">
        <is>
          <t>01a1212c-4b57-70cf-80fd-c2192cb3bf81</t>
        </is>
      </c>
      <c r="D461" s="4" t="n">
        <v>46304.62402092948</v>
      </c>
      <c r="E461" s="4" t="n">
        <v>46304.62402092956</v>
      </c>
      <c r="F461" t="b">
        <v>1</v>
      </c>
      <c r="G461" t="n">
        <v/>
      </c>
      <c r="H461" t="inlineStr">
        <is>
          <t>AEF</t>
        </is>
      </c>
      <c r="I461" t="inlineStr">
        <is>
          <t>Australian Ethical Investment Ltd</t>
        </is>
      </c>
      <c r="J461" t="inlineStr">
        <is>
          <t>AUD</t>
        </is>
      </c>
      <c r="K461" s="5" t="inlineStr">
        <is>
          <t>01a1212c-4c04-75ce-bbb2-e3322e18816e</t>
        </is>
      </c>
      <c r="M461" t="inlineStr">
        <is>
          <t>UNKNOWN</t>
        </is>
      </c>
      <c r="N461" t="inlineStr">
        <is>
          <t>DEFAULT</t>
        </is>
      </c>
      <c r="Q461" t="n">
        <v>0</v>
      </c>
      <c r="R461" t="inlineStr">
        <is>
          <t>AUD</t>
        </is>
      </c>
      <c r="S461" t="n">
        <v>0</v>
      </c>
      <c r="T461" t="inlineStr">
        <is>
          <t>AUD</t>
        </is>
      </c>
      <c r="U461" t="n">
        <v>0</v>
      </c>
    </row>
    <row r="462">
      <c r="A462" s="5" t="inlineStr">
        <is>
          <t>01a1212c-5312-7110-90de-8b39f86996ab</t>
        </is>
      </c>
      <c r="C462" s="5" t="inlineStr">
        <is>
          <t>01a1212c-4b57-70cf-80fd-c2192cb3bf81</t>
        </is>
      </c>
      <c r="D462" s="4" t="n">
        <v>46304.62402096074</v>
      </c>
      <c r="E462" s="4" t="n">
        <v>46304.62402096082</v>
      </c>
      <c r="F462" t="b">
        <v>1</v>
      </c>
      <c r="G462" t="n">
        <v/>
      </c>
      <c r="H462" t="inlineStr">
        <is>
          <t>DRO</t>
        </is>
      </c>
      <c r="I462" t="inlineStr">
        <is>
          <t>Droneshield Ltd</t>
        </is>
      </c>
      <c r="J462" t="inlineStr">
        <is>
          <t>AUD</t>
        </is>
      </c>
      <c r="K462" s="5" t="inlineStr">
        <is>
          <t>01a1212c-4c04-75ce-bbb2-e3322e18816e</t>
        </is>
      </c>
      <c r="M462" t="inlineStr">
        <is>
          <t>UNKNOWN</t>
        </is>
      </c>
      <c r="N462" t="inlineStr">
        <is>
          <t>DEFAULT</t>
        </is>
      </c>
      <c r="Q462" t="n">
        <v>0</v>
      </c>
      <c r="R462" t="inlineStr">
        <is>
          <t>AUD</t>
        </is>
      </c>
      <c r="S462" t="n">
        <v>0</v>
      </c>
      <c r="T462" t="inlineStr">
        <is>
          <t>AUD</t>
        </is>
      </c>
      <c r="U462" t="n">
        <v>0</v>
      </c>
    </row>
    <row r="463">
      <c r="A463" s="5" t="inlineStr">
        <is>
          <t>01a1212c-5315-71af-85e2-9a3a18520c58</t>
        </is>
      </c>
      <c r="C463" s="5" t="inlineStr">
        <is>
          <t>01a1212c-4b57-70cf-80fd-c2192cb3bf81</t>
        </is>
      </c>
      <c r="D463" s="4" t="n">
        <v>46304.62402099112</v>
      </c>
      <c r="E463" s="4" t="n">
        <v>46304.62402099121</v>
      </c>
      <c r="F463" t="b">
        <v>1</v>
      </c>
      <c r="G463" t="n">
        <v/>
      </c>
      <c r="H463" t="inlineStr">
        <is>
          <t>PCI</t>
        </is>
      </c>
      <c r="I463" t="inlineStr">
        <is>
          <t>Perpetual Credit Income Trust</t>
        </is>
      </c>
      <c r="J463" t="inlineStr">
        <is>
          <t>AUD</t>
        </is>
      </c>
      <c r="K463" s="5" t="inlineStr">
        <is>
          <t>01a1212c-4c04-75ce-bbb2-e3322e18816e</t>
        </is>
      </c>
      <c r="M463" t="inlineStr">
        <is>
          <t>UNKNOWN</t>
        </is>
      </c>
      <c r="N463" t="inlineStr">
        <is>
          <t>DEFAULT</t>
        </is>
      </c>
      <c r="Q463" t="n">
        <v>0</v>
      </c>
      <c r="R463" t="inlineStr">
        <is>
          <t>AUD</t>
        </is>
      </c>
      <c r="S463" t="n">
        <v>0</v>
      </c>
      <c r="T463" t="inlineStr">
        <is>
          <t>AUD</t>
        </is>
      </c>
      <c r="U463" t="n">
        <v>0</v>
      </c>
    </row>
    <row r="464">
      <c r="A464" s="5" t="inlineStr">
        <is>
          <t>01a1212c-5318-7629-95cb-0f7a508e0f23</t>
        </is>
      </c>
      <c r="C464" s="5" t="inlineStr">
        <is>
          <t>01a1212c-4b57-70cf-80fd-c2192cb3bf81</t>
        </is>
      </c>
      <c r="D464" s="4" t="n">
        <v>46304.62402102175</v>
      </c>
      <c r="E464" s="4" t="n">
        <v>46304.62402102182</v>
      </c>
      <c r="F464" t="b">
        <v>1</v>
      </c>
      <c r="G464" t="n">
        <v/>
      </c>
      <c r="H464" t="inlineStr">
        <is>
          <t>BMN</t>
        </is>
      </c>
      <c r="I464" t="inlineStr">
        <is>
          <t>Bannerman Energy Ltd</t>
        </is>
      </c>
      <c r="J464" t="inlineStr">
        <is>
          <t>AUD</t>
        </is>
      </c>
      <c r="K464" s="5" t="inlineStr">
        <is>
          <t>01a1212c-4c04-75ce-bbb2-e3322e18816e</t>
        </is>
      </c>
      <c r="M464" t="inlineStr">
        <is>
          <t>UNKNOWN</t>
        </is>
      </c>
      <c r="N464" t="inlineStr">
        <is>
          <t>DEFAULT</t>
        </is>
      </c>
      <c r="Q464" t="n">
        <v>0</v>
      </c>
      <c r="R464" t="inlineStr">
        <is>
          <t>AUD</t>
        </is>
      </c>
      <c r="S464" t="n">
        <v>0</v>
      </c>
      <c r="T464" t="inlineStr">
        <is>
          <t>AUD</t>
        </is>
      </c>
      <c r="U464" t="n">
        <v>0</v>
      </c>
    </row>
    <row r="465">
      <c r="A465" s="5" t="inlineStr">
        <is>
          <t>01a1212c-531a-7746-9112-43d89b9bc9ee</t>
        </is>
      </c>
      <c r="C465" s="5" t="inlineStr">
        <is>
          <t>01a1212c-4b57-70cf-80fd-c2192cb3bf81</t>
        </is>
      </c>
      <c r="D465" s="4" t="n">
        <v>46304.62402105403</v>
      </c>
      <c r="E465" s="4" t="n">
        <v>46304.6240210541</v>
      </c>
      <c r="F465" t="b">
        <v>1</v>
      </c>
      <c r="G465" t="n">
        <v/>
      </c>
      <c r="H465" t="inlineStr">
        <is>
          <t>FGG</t>
        </is>
      </c>
      <c r="I465" t="inlineStr">
        <is>
          <t>Future Generation Global Ltd</t>
        </is>
      </c>
      <c r="J465" t="inlineStr">
        <is>
          <t>AUD</t>
        </is>
      </c>
      <c r="K465" s="5" t="inlineStr">
        <is>
          <t>01a1212c-4c04-75ce-bbb2-e3322e18816e</t>
        </is>
      </c>
      <c r="M465" t="inlineStr">
        <is>
          <t>UNKNOWN</t>
        </is>
      </c>
      <c r="N465" t="inlineStr">
        <is>
          <t>DEFAULT</t>
        </is>
      </c>
      <c r="Q465" t="n">
        <v>0</v>
      </c>
      <c r="R465" t="inlineStr">
        <is>
          <t>AUD</t>
        </is>
      </c>
      <c r="S465" t="n">
        <v>0</v>
      </c>
      <c r="T465" t="inlineStr">
        <is>
          <t>AUD</t>
        </is>
      </c>
      <c r="U465" t="n">
        <v>0</v>
      </c>
    </row>
    <row r="466">
      <c r="A466" s="5" t="inlineStr">
        <is>
          <t>01a1212c-531d-70fc-854b-b488411ba91a</t>
        </is>
      </c>
      <c r="C466" s="5" t="inlineStr">
        <is>
          <t>01a1212c-4b57-70cf-80fd-c2192cb3bf81</t>
        </is>
      </c>
      <c r="D466" s="4" t="n">
        <v>46304.62402108427</v>
      </c>
      <c r="E466" s="4" t="n">
        <v>46304.62402108434</v>
      </c>
      <c r="F466" t="b">
        <v>1</v>
      </c>
      <c r="G466" t="n">
        <v/>
      </c>
      <c r="H466" t="inlineStr">
        <is>
          <t>IHWL</t>
        </is>
      </c>
      <c r="I466" t="inlineStr">
        <is>
          <t>Ishares Core MSCI World Ex Aus Esg (Aud Hed) ETF</t>
        </is>
      </c>
      <c r="J466" t="inlineStr">
        <is>
          <t>AUD</t>
        </is>
      </c>
      <c r="K466" s="5" t="inlineStr">
        <is>
          <t>01a1212c-4c04-75ce-bbb2-e3322e18816e</t>
        </is>
      </c>
      <c r="M466" t="inlineStr">
        <is>
          <t>UNIT_TRUST</t>
        </is>
      </c>
      <c r="N466" t="inlineStr">
        <is>
          <t>SUGGESTED</t>
        </is>
      </c>
      <c r="Q466" t="n">
        <v>0</v>
      </c>
      <c r="R466" t="inlineStr">
        <is>
          <t>AUD</t>
        </is>
      </c>
      <c r="S466" t="n">
        <v>0</v>
      </c>
      <c r="T466" t="inlineStr">
        <is>
          <t>AUD</t>
        </is>
      </c>
      <c r="U466" t="n">
        <v>0</v>
      </c>
    </row>
    <row r="467">
      <c r="A467" s="5" t="inlineStr">
        <is>
          <t>01a1212c-5320-745b-972b-7168e2b08b30</t>
        </is>
      </c>
      <c r="C467" s="5" t="inlineStr">
        <is>
          <t>01a1212c-4b57-70cf-80fd-c2192cb3bf81</t>
        </is>
      </c>
      <c r="D467" s="4" t="n">
        <v>46304.62402111798</v>
      </c>
      <c r="E467" s="4" t="n">
        <v>46304.62402111807</v>
      </c>
      <c r="F467" t="b">
        <v>1</v>
      </c>
      <c r="G467" t="n">
        <v/>
      </c>
      <c r="H467" t="inlineStr">
        <is>
          <t>SLF</t>
        </is>
      </c>
      <c r="I467" t="inlineStr">
        <is>
          <t>SPDR S&amp;P/ASX 200 Listed Property Fund</t>
        </is>
      </c>
      <c r="J467" t="inlineStr">
        <is>
          <t>AUD</t>
        </is>
      </c>
      <c r="K467" s="5" t="inlineStr">
        <is>
          <t>01a1212c-4c04-75ce-bbb2-e3322e18816e</t>
        </is>
      </c>
      <c r="M467" t="inlineStr">
        <is>
          <t>UNIT_TRUST</t>
        </is>
      </c>
      <c r="N467" t="inlineStr">
        <is>
          <t>SUGGESTED</t>
        </is>
      </c>
      <c r="Q467" t="n">
        <v>0</v>
      </c>
      <c r="R467" t="inlineStr">
        <is>
          <t>AUD</t>
        </is>
      </c>
      <c r="S467" t="n">
        <v>0</v>
      </c>
      <c r="T467" t="inlineStr">
        <is>
          <t>AUD</t>
        </is>
      </c>
      <c r="U467" t="n">
        <v>0</v>
      </c>
    </row>
    <row r="468">
      <c r="A468" s="5" t="inlineStr">
        <is>
          <t>01a1212c-5323-7351-af3f-fd00c3b0d1f8</t>
        </is>
      </c>
      <c r="C468" s="5" t="inlineStr">
        <is>
          <t>01a1212c-4b57-70cf-80fd-c2192cb3bf81</t>
        </is>
      </c>
      <c r="D468" s="4" t="n">
        <v>46304.62402115446</v>
      </c>
      <c r="E468" s="4" t="n">
        <v>46304.62402115456</v>
      </c>
      <c r="F468" t="b">
        <v>1</v>
      </c>
      <c r="G468" t="n">
        <v/>
      </c>
      <c r="H468" t="inlineStr">
        <is>
          <t>WBT</t>
        </is>
      </c>
      <c r="I468" t="inlineStr">
        <is>
          <t>Weebit Nano Ltd</t>
        </is>
      </c>
      <c r="J468" t="inlineStr">
        <is>
          <t>AUD</t>
        </is>
      </c>
      <c r="K468" s="5" t="inlineStr">
        <is>
          <t>01a1212c-4c04-75ce-bbb2-e3322e18816e</t>
        </is>
      </c>
      <c r="M468" t="inlineStr">
        <is>
          <t>UNKNOWN</t>
        </is>
      </c>
      <c r="N468" t="inlineStr">
        <is>
          <t>DEFAULT</t>
        </is>
      </c>
      <c r="Q468" t="n">
        <v>0</v>
      </c>
      <c r="R468" t="inlineStr">
        <is>
          <t>AUD</t>
        </is>
      </c>
      <c r="S468" t="n">
        <v>0</v>
      </c>
      <c r="T468" t="inlineStr">
        <is>
          <t>AUD</t>
        </is>
      </c>
      <c r="U468" t="n">
        <v>0</v>
      </c>
    </row>
    <row r="469">
      <c r="A469" s="5" t="inlineStr">
        <is>
          <t>01a1212c-5326-76c1-a743-8c80e2733951</t>
        </is>
      </c>
      <c r="C469" s="5" t="inlineStr">
        <is>
          <t>01a1212c-4b57-70cf-80fd-c2192cb3bf81</t>
        </is>
      </c>
      <c r="D469" s="4" t="n">
        <v>46304.62402118716</v>
      </c>
      <c r="E469" s="4" t="n">
        <v>46304.62402118724</v>
      </c>
      <c r="F469" t="b">
        <v>1</v>
      </c>
      <c r="G469" t="n">
        <v/>
      </c>
      <c r="H469" t="inlineStr">
        <is>
          <t>YMAX</t>
        </is>
      </c>
      <c r="I469" t="inlineStr">
        <is>
          <t>Betashares Aus Top 20 Equity Yield MAX Fund (Managed Fund)</t>
        </is>
      </c>
      <c r="J469" t="inlineStr">
        <is>
          <t>AUD</t>
        </is>
      </c>
      <c r="K469" s="5" t="inlineStr">
        <is>
          <t>01a1212c-4c04-75ce-bbb2-e3322e18816e</t>
        </is>
      </c>
      <c r="M469" t="inlineStr">
        <is>
          <t>UNKNOWN</t>
        </is>
      </c>
      <c r="N469" t="inlineStr">
        <is>
          <t>DEFAULT</t>
        </is>
      </c>
      <c r="Q469" t="n">
        <v>0</v>
      </c>
      <c r="R469" t="inlineStr">
        <is>
          <t>AUD</t>
        </is>
      </c>
      <c r="S469" t="n">
        <v>0</v>
      </c>
      <c r="T469" t="inlineStr">
        <is>
          <t>AUD</t>
        </is>
      </c>
      <c r="U469" t="n">
        <v>0</v>
      </c>
    </row>
    <row r="470">
      <c r="A470" s="5" t="inlineStr">
        <is>
          <t>01a1212c-5329-73b8-82b2-a0d0cfc92c7b</t>
        </is>
      </c>
      <c r="C470" s="5" t="inlineStr">
        <is>
          <t>01a1212c-4b57-70cf-80fd-c2192cb3bf81</t>
        </is>
      </c>
      <c r="D470" s="4" t="n">
        <v>46304.62402121795</v>
      </c>
      <c r="E470" s="4" t="n">
        <v>46304.62402121802</v>
      </c>
      <c r="F470" t="b">
        <v>1</v>
      </c>
      <c r="G470" t="n">
        <v/>
      </c>
      <c r="H470" t="inlineStr">
        <is>
          <t>ACDC</t>
        </is>
      </c>
      <c r="I470" t="inlineStr">
        <is>
          <t>Global X Battery Tech &amp; Lithium ETF</t>
        </is>
      </c>
      <c r="J470" t="inlineStr">
        <is>
          <t>AUD</t>
        </is>
      </c>
      <c r="K470" s="5" t="inlineStr">
        <is>
          <t>01a1212c-4c04-75ce-bbb2-e3322e18816e</t>
        </is>
      </c>
      <c r="M470" t="inlineStr">
        <is>
          <t>UNKNOWN</t>
        </is>
      </c>
      <c r="N470" t="inlineStr">
        <is>
          <t>DEFAULT</t>
        </is>
      </c>
      <c r="Q470" t="n">
        <v>0</v>
      </c>
      <c r="R470" t="inlineStr">
        <is>
          <t>AUD</t>
        </is>
      </c>
      <c r="S470" t="n">
        <v>0</v>
      </c>
      <c r="T470" t="inlineStr">
        <is>
          <t>AUD</t>
        </is>
      </c>
      <c r="U470" t="n">
        <v>0</v>
      </c>
    </row>
    <row r="471">
      <c r="A471" s="5" t="inlineStr">
        <is>
          <t>01a1212c-532b-74d8-aa61-e4b397fd5554</t>
        </is>
      </c>
      <c r="C471" s="5" t="inlineStr">
        <is>
          <t>01a1212c-4b57-70cf-80fd-c2192cb3bf81</t>
        </is>
      </c>
      <c r="D471" s="4" t="n">
        <v>46304.62402124872</v>
      </c>
      <c r="E471" s="4" t="n">
        <v>46304.62402124878</v>
      </c>
      <c r="F471" t="b">
        <v>1</v>
      </c>
      <c r="G471" t="n">
        <v/>
      </c>
      <c r="H471" t="inlineStr">
        <is>
          <t>IAGPE</t>
        </is>
      </c>
      <c r="I471" t="inlineStr">
        <is>
          <t>Insurance Australia Group Ltd</t>
        </is>
      </c>
      <c r="J471" t="inlineStr">
        <is>
          <t>AUD</t>
        </is>
      </c>
      <c r="K471" s="5" t="inlineStr">
        <is>
          <t>01a1212c-4c04-75ce-bbb2-e3322e18816e</t>
        </is>
      </c>
      <c r="M471" t="inlineStr">
        <is>
          <t>UNKNOWN</t>
        </is>
      </c>
      <c r="N471" t="inlineStr">
        <is>
          <t>DEFAULT</t>
        </is>
      </c>
      <c r="Q471" t="n">
        <v>0</v>
      </c>
      <c r="R471" t="inlineStr">
        <is>
          <t>AUD</t>
        </is>
      </c>
      <c r="S471" t="n">
        <v>0</v>
      </c>
      <c r="T471" t="inlineStr">
        <is>
          <t>AUD</t>
        </is>
      </c>
      <c r="U471" t="n">
        <v>0</v>
      </c>
    </row>
    <row r="472">
      <c r="A472" s="5" t="inlineStr">
        <is>
          <t>01a1212c-532e-735c-ad68-d20739bc6f32</t>
        </is>
      </c>
      <c r="C472" s="5" t="inlineStr">
        <is>
          <t>01a1212c-4b57-70cf-80fd-c2192cb3bf81</t>
        </is>
      </c>
      <c r="D472" s="4" t="n">
        <v>46304.62402127909</v>
      </c>
      <c r="E472" s="4" t="n">
        <v>46304.62402127917</v>
      </c>
      <c r="F472" t="b">
        <v>1</v>
      </c>
      <c r="G472" t="n">
        <v/>
      </c>
      <c r="H472" t="inlineStr">
        <is>
          <t>HCW</t>
        </is>
      </c>
      <c r="I472" t="inlineStr">
        <is>
          <t>Healthco Healthcare and Wellness REIT</t>
        </is>
      </c>
      <c r="J472" t="inlineStr">
        <is>
          <t>AUD</t>
        </is>
      </c>
      <c r="K472" s="5" t="inlineStr">
        <is>
          <t>01a1212c-4c04-75ce-bbb2-e3322e18816e</t>
        </is>
      </c>
      <c r="M472" t="inlineStr">
        <is>
          <t>UNKNOWN</t>
        </is>
      </c>
      <c r="N472" t="inlineStr">
        <is>
          <t>DEFAULT</t>
        </is>
      </c>
      <c r="Q472" t="n">
        <v>0</v>
      </c>
      <c r="R472" t="inlineStr">
        <is>
          <t>AUD</t>
        </is>
      </c>
      <c r="S472" t="n">
        <v>0</v>
      </c>
      <c r="T472" t="inlineStr">
        <is>
          <t>AUD</t>
        </is>
      </c>
      <c r="U472" t="n">
        <v>0</v>
      </c>
    </row>
    <row r="473">
      <c r="A473" s="5" t="inlineStr">
        <is>
          <t>01a1212c-5331-706f-8136-e3da6c5cbc0d</t>
        </is>
      </c>
      <c r="C473" s="5" t="inlineStr">
        <is>
          <t>01a1212c-4b57-70cf-80fd-c2192cb3bf81</t>
        </is>
      </c>
      <c r="D473" s="4" t="n">
        <v>46304.62402130933</v>
      </c>
      <c r="E473" s="4" t="n">
        <v>46304.6240213094</v>
      </c>
      <c r="F473" t="b">
        <v>1</v>
      </c>
      <c r="G473" t="n">
        <v/>
      </c>
      <c r="H473" t="inlineStr">
        <is>
          <t>BENPH</t>
        </is>
      </c>
      <c r="I473" t="inlineStr">
        <is>
          <t>Bendigo and Adelaide Bank Ltd</t>
        </is>
      </c>
      <c r="J473" t="inlineStr">
        <is>
          <t>AUD</t>
        </is>
      </c>
      <c r="K473" s="5" t="inlineStr">
        <is>
          <t>01a1212c-4c04-75ce-bbb2-e3322e18816e</t>
        </is>
      </c>
      <c r="M473" t="inlineStr">
        <is>
          <t>UNKNOWN</t>
        </is>
      </c>
      <c r="N473" t="inlineStr">
        <is>
          <t>DEFAULT</t>
        </is>
      </c>
      <c r="Q473" t="n">
        <v>0</v>
      </c>
      <c r="R473" t="inlineStr">
        <is>
          <t>AUD</t>
        </is>
      </c>
      <c r="S473" t="n">
        <v>0</v>
      </c>
      <c r="T473" t="inlineStr">
        <is>
          <t>AUD</t>
        </is>
      </c>
      <c r="U473" t="n">
        <v>0</v>
      </c>
    </row>
    <row r="474">
      <c r="A474" s="5" t="inlineStr">
        <is>
          <t>01a1212c-5333-77a5-940b-1974dcffa55c</t>
        </is>
      </c>
      <c r="C474" s="5" t="inlineStr">
        <is>
          <t>01a1212c-4b57-70cf-80fd-c2192cb3bf81</t>
        </is>
      </c>
      <c r="D474" s="4" t="n">
        <v>46304.62402134267</v>
      </c>
      <c r="E474" s="4" t="n">
        <v>46304.62402134275</v>
      </c>
      <c r="F474" t="b">
        <v>1</v>
      </c>
      <c r="G474" t="n">
        <v/>
      </c>
      <c r="H474" t="inlineStr">
        <is>
          <t>IVE</t>
        </is>
      </c>
      <c r="I474" t="inlineStr">
        <is>
          <t>Ishares MSCI Eafe ETF</t>
        </is>
      </c>
      <c r="J474" t="inlineStr">
        <is>
          <t>AUD</t>
        </is>
      </c>
      <c r="K474" s="5" t="inlineStr">
        <is>
          <t>01a1212c-4c04-75ce-bbb2-e3322e18816e</t>
        </is>
      </c>
      <c r="M474" t="inlineStr">
        <is>
          <t>UNKNOWN</t>
        </is>
      </c>
      <c r="N474" t="inlineStr">
        <is>
          <t>DEFAULT</t>
        </is>
      </c>
      <c r="Q474" t="n">
        <v>0</v>
      </c>
      <c r="R474" t="inlineStr">
        <is>
          <t>AUD</t>
        </is>
      </c>
      <c r="S474" t="n">
        <v>0</v>
      </c>
      <c r="T474" t="inlineStr">
        <is>
          <t>AUD</t>
        </is>
      </c>
      <c r="U474" t="n">
        <v>0</v>
      </c>
    </row>
    <row r="475">
      <c r="A475" s="5" t="inlineStr">
        <is>
          <t>01a1212c-5336-7086-83cd-0d738608338a</t>
        </is>
      </c>
      <c r="C475" s="5" t="inlineStr">
        <is>
          <t>01a1212c-4b57-70cf-80fd-c2192cb3bf81</t>
        </is>
      </c>
      <c r="D475" s="4" t="n">
        <v>46304.62402137426</v>
      </c>
      <c r="E475" s="4" t="n">
        <v>46304.62402137434</v>
      </c>
      <c r="F475" t="b">
        <v>1</v>
      </c>
      <c r="G475" t="n">
        <v/>
      </c>
      <c r="H475" t="inlineStr">
        <is>
          <t>OCA</t>
        </is>
      </c>
      <c r="I475" t="inlineStr">
        <is>
          <t>Oceania Healthcare Ltd</t>
        </is>
      </c>
      <c r="J475" t="inlineStr">
        <is>
          <t>AUD</t>
        </is>
      </c>
      <c r="K475" s="5" t="inlineStr">
        <is>
          <t>01a1212c-4c04-75ce-bbb2-e3322e18816e</t>
        </is>
      </c>
      <c r="M475" t="inlineStr">
        <is>
          <t>UNKNOWN</t>
        </is>
      </c>
      <c r="N475" t="inlineStr">
        <is>
          <t>DEFAULT</t>
        </is>
      </c>
      <c r="Q475" t="n">
        <v>0</v>
      </c>
      <c r="R475" t="inlineStr">
        <is>
          <t>AUD</t>
        </is>
      </c>
      <c r="S475" t="n">
        <v>0</v>
      </c>
      <c r="T475" t="inlineStr">
        <is>
          <t>AUD</t>
        </is>
      </c>
      <c r="U475" t="n">
        <v>0</v>
      </c>
    </row>
    <row r="476">
      <c r="A476" s="5" t="inlineStr">
        <is>
          <t>01a1212c-5339-7328-8f34-71185b7a61ff</t>
        </is>
      </c>
      <c r="C476" s="5" t="inlineStr">
        <is>
          <t>01a1212c-4b57-70cf-80fd-c2192cb3bf81</t>
        </is>
      </c>
      <c r="D476" s="4" t="n">
        <v>46304.62402140645</v>
      </c>
      <c r="E476" s="4" t="n">
        <v>46304.62402140653</v>
      </c>
      <c r="F476" t="b">
        <v>1</v>
      </c>
      <c r="G476" t="n">
        <v/>
      </c>
      <c r="H476" t="inlineStr">
        <is>
          <t>IFM</t>
        </is>
      </c>
      <c r="I476" t="inlineStr">
        <is>
          <t>Infomedia Ltd</t>
        </is>
      </c>
      <c r="J476" t="inlineStr">
        <is>
          <t>AUD</t>
        </is>
      </c>
      <c r="K476" s="5" t="inlineStr">
        <is>
          <t>01a1212c-4c04-75ce-bbb2-e3322e18816e</t>
        </is>
      </c>
      <c r="M476" t="inlineStr">
        <is>
          <t>UNKNOWN</t>
        </is>
      </c>
      <c r="N476" t="inlineStr">
        <is>
          <t>DEFAULT</t>
        </is>
      </c>
      <c r="Q476" t="n">
        <v>0</v>
      </c>
      <c r="R476" t="inlineStr">
        <is>
          <t>AUD</t>
        </is>
      </c>
      <c r="S476" t="n">
        <v>0</v>
      </c>
      <c r="T476" t="inlineStr">
        <is>
          <t>AUD</t>
        </is>
      </c>
      <c r="U476" t="n">
        <v>0</v>
      </c>
    </row>
    <row r="477">
      <c r="A477" s="5" t="inlineStr">
        <is>
          <t>01a1212c-533c-73c1-84b7-7d999ea932ba</t>
        </is>
      </c>
      <c r="C477" s="5" t="inlineStr">
        <is>
          <t>01a1212c-4b57-70cf-80fd-c2192cb3bf81</t>
        </is>
      </c>
      <c r="D477" s="4" t="n">
        <v>46304.62402143832</v>
      </c>
      <c r="E477" s="4" t="n">
        <v>46304.6240214384</v>
      </c>
      <c r="F477" t="b">
        <v>1</v>
      </c>
      <c r="G477" t="n">
        <v/>
      </c>
      <c r="H477" t="inlineStr">
        <is>
          <t>BHYB</t>
        </is>
      </c>
      <c r="I477" t="inlineStr">
        <is>
          <t>Betashares Australian Major Bank Hybrids INDEX ETF</t>
        </is>
      </c>
      <c r="J477" t="inlineStr">
        <is>
          <t>AUD</t>
        </is>
      </c>
      <c r="K477" s="5" t="inlineStr">
        <is>
          <t>01a1212c-4c04-75ce-bbb2-e3322e18816e</t>
        </is>
      </c>
      <c r="M477" t="inlineStr">
        <is>
          <t>UNKNOWN</t>
        </is>
      </c>
      <c r="N477" t="inlineStr">
        <is>
          <t>DEFAULT</t>
        </is>
      </c>
      <c r="Q477" t="n">
        <v>0</v>
      </c>
      <c r="R477" t="inlineStr">
        <is>
          <t>AUD</t>
        </is>
      </c>
      <c r="S477" t="n">
        <v>0</v>
      </c>
      <c r="T477" t="inlineStr">
        <is>
          <t>AUD</t>
        </is>
      </c>
      <c r="U477" t="n">
        <v>0</v>
      </c>
    </row>
    <row r="478">
      <c r="A478" s="5" t="inlineStr">
        <is>
          <t>01a1212c-533f-7119-a4ba-2daab66f4a2a</t>
        </is>
      </c>
      <c r="C478" s="5" t="inlineStr">
        <is>
          <t>01a1212c-4b57-70cf-80fd-c2192cb3bf81</t>
        </is>
      </c>
      <c r="D478" s="4" t="n">
        <v>46304.62402147234</v>
      </c>
      <c r="E478" s="4" t="n">
        <v>46304.62402147242</v>
      </c>
      <c r="F478" t="b">
        <v>1</v>
      </c>
      <c r="G478" t="n">
        <v/>
      </c>
      <c r="H478" t="inlineStr">
        <is>
          <t>VETH</t>
        </is>
      </c>
      <c r="I478" t="inlineStr">
        <is>
          <t>Vanguard Ethically Conscious Australian Shares ETF</t>
        </is>
      </c>
      <c r="J478" t="inlineStr">
        <is>
          <t>AUD</t>
        </is>
      </c>
      <c r="K478" s="5" t="inlineStr">
        <is>
          <t>01a1212c-4c04-75ce-bbb2-e3322e18816e</t>
        </is>
      </c>
      <c r="M478" t="inlineStr">
        <is>
          <t>UNKNOWN</t>
        </is>
      </c>
      <c r="N478" t="inlineStr">
        <is>
          <t>DEFAULT</t>
        </is>
      </c>
      <c r="Q478" t="n">
        <v>0</v>
      </c>
      <c r="R478" t="inlineStr">
        <is>
          <t>AUD</t>
        </is>
      </c>
      <c r="S478" t="n">
        <v>0</v>
      </c>
      <c r="T478" t="inlineStr">
        <is>
          <t>AUD</t>
        </is>
      </c>
      <c r="U478" t="n">
        <v>0</v>
      </c>
    </row>
    <row r="479">
      <c r="A479" s="5" t="inlineStr">
        <is>
          <t>01a1212c-5341-745f-bca9-abc9ef5514f7</t>
        </is>
      </c>
      <c r="C479" s="5" t="inlineStr">
        <is>
          <t>01a1212c-4b57-70cf-80fd-c2192cb3bf81</t>
        </is>
      </c>
      <c r="D479" s="4" t="n">
        <v>46304.62402150407</v>
      </c>
      <c r="E479" s="4" t="n">
        <v>46304.62402150423</v>
      </c>
      <c r="F479" t="b">
        <v>1</v>
      </c>
      <c r="G479" t="n">
        <v/>
      </c>
      <c r="H479" t="inlineStr">
        <is>
          <t>GEAR</t>
        </is>
      </c>
      <c r="I479" t="inlineStr">
        <is>
          <t>Betashares Geared Australian Equity Fund (Hedge Fund)</t>
        </is>
      </c>
      <c r="J479" t="inlineStr">
        <is>
          <t>AUD</t>
        </is>
      </c>
      <c r="K479" s="5" t="inlineStr">
        <is>
          <t>01a1212c-4c04-75ce-bbb2-e3322e18816e</t>
        </is>
      </c>
      <c r="M479" t="inlineStr">
        <is>
          <t>UNKNOWN</t>
        </is>
      </c>
      <c r="N479" t="inlineStr">
        <is>
          <t>DEFAULT</t>
        </is>
      </c>
      <c r="Q479" t="n">
        <v>0</v>
      </c>
      <c r="R479" t="inlineStr">
        <is>
          <t>AUD</t>
        </is>
      </c>
      <c r="S479" t="n">
        <v>0</v>
      </c>
      <c r="T479" t="inlineStr">
        <is>
          <t>AUD</t>
        </is>
      </c>
      <c r="U479" t="n">
        <v>0</v>
      </c>
    </row>
    <row r="480">
      <c r="A480" s="5" t="inlineStr">
        <is>
          <t>01a1212c-5344-7393-9e1f-93b726ccdead</t>
        </is>
      </c>
      <c r="C480" s="5" t="inlineStr">
        <is>
          <t>01a1212c-4b57-70cf-80fd-c2192cb3bf81</t>
        </is>
      </c>
      <c r="D480" s="4" t="n">
        <v>46304.6240215389</v>
      </c>
      <c r="E480" s="4" t="n">
        <v>46304.62402153901</v>
      </c>
      <c r="F480" t="b">
        <v>1</v>
      </c>
      <c r="G480" t="n">
        <v/>
      </c>
      <c r="H480" t="inlineStr">
        <is>
          <t>IHOO</t>
        </is>
      </c>
      <c r="I480" t="inlineStr">
        <is>
          <t>Ishares Global 100 Aud Hedged ETF</t>
        </is>
      </c>
      <c r="J480" t="inlineStr">
        <is>
          <t>AUD</t>
        </is>
      </c>
      <c r="K480" s="5" t="inlineStr">
        <is>
          <t>01a1212c-4c04-75ce-bbb2-e3322e18816e</t>
        </is>
      </c>
      <c r="M480" t="inlineStr">
        <is>
          <t>UNIT_TRUST</t>
        </is>
      </c>
      <c r="N480" t="inlineStr">
        <is>
          <t>SUGGESTED</t>
        </is>
      </c>
      <c r="Q480" t="n">
        <v>0</v>
      </c>
      <c r="R480" t="inlineStr">
        <is>
          <t>AUD</t>
        </is>
      </c>
      <c r="S480" t="n">
        <v>0</v>
      </c>
      <c r="T480" t="inlineStr">
        <is>
          <t>AUD</t>
        </is>
      </c>
      <c r="U480" t="n">
        <v>0</v>
      </c>
    </row>
    <row r="481">
      <c r="A481" s="5" t="inlineStr">
        <is>
          <t>01a1212c-5347-72b9-90d1-52fa3f42f3f0</t>
        </is>
      </c>
      <c r="C481" s="5" t="inlineStr">
        <is>
          <t>01a1212c-4b57-70cf-80fd-c2192cb3bf81</t>
        </is>
      </c>
      <c r="D481" s="4" t="n">
        <v>46304.62402157496</v>
      </c>
      <c r="E481" s="4" t="n">
        <v>46304.62402157506</v>
      </c>
      <c r="F481" t="b">
        <v>1</v>
      </c>
      <c r="G481" t="n">
        <v/>
      </c>
      <c r="H481" t="inlineStr">
        <is>
          <t>AEL</t>
        </is>
      </c>
      <c r="I481" t="inlineStr">
        <is>
          <t>Amplitude Energy Ltd</t>
        </is>
      </c>
      <c r="J481" t="inlineStr">
        <is>
          <t>AUD</t>
        </is>
      </c>
      <c r="K481" s="5" t="inlineStr">
        <is>
          <t>01a1212c-4c04-75ce-bbb2-e3322e18816e</t>
        </is>
      </c>
      <c r="M481" t="inlineStr">
        <is>
          <t>UNKNOWN</t>
        </is>
      </c>
      <c r="N481" t="inlineStr">
        <is>
          <t>DEFAULT</t>
        </is>
      </c>
      <c r="Q481" t="n">
        <v>0</v>
      </c>
      <c r="R481" t="inlineStr">
        <is>
          <t>AUD</t>
        </is>
      </c>
      <c r="S481" t="n">
        <v>0</v>
      </c>
      <c r="T481" t="inlineStr">
        <is>
          <t>AUD</t>
        </is>
      </c>
      <c r="U481" t="n">
        <v>0</v>
      </c>
    </row>
    <row r="482">
      <c r="A482" s="5" t="inlineStr">
        <is>
          <t>01a1212c-534a-718e-9bd4-8434db269396</t>
        </is>
      </c>
      <c r="C482" s="5" t="inlineStr">
        <is>
          <t>01a1212c-4b57-70cf-80fd-c2192cb3bf81</t>
        </is>
      </c>
      <c r="D482" s="4" t="n">
        <v>46304.62402160894</v>
      </c>
      <c r="E482" s="4" t="n">
        <v>46304.62402160903</v>
      </c>
      <c r="F482" t="b">
        <v>1</v>
      </c>
      <c r="G482" t="n">
        <v/>
      </c>
      <c r="H482" t="inlineStr">
        <is>
          <t>VISM</t>
        </is>
      </c>
      <c r="I482" t="inlineStr">
        <is>
          <t>Vanguard MSCI International Small Companies INDEX ETF</t>
        </is>
      </c>
      <c r="J482" t="inlineStr">
        <is>
          <t>AUD</t>
        </is>
      </c>
      <c r="K482" s="5" t="inlineStr">
        <is>
          <t>01a1212c-4c04-75ce-bbb2-e3322e18816e</t>
        </is>
      </c>
      <c r="M482" t="inlineStr">
        <is>
          <t>UNIT_TRUST</t>
        </is>
      </c>
      <c r="N482" t="inlineStr">
        <is>
          <t>SUGGESTED</t>
        </is>
      </c>
      <c r="Q482" t="n">
        <v>0</v>
      </c>
      <c r="R482" t="inlineStr">
        <is>
          <t>AUD</t>
        </is>
      </c>
      <c r="S482" t="n">
        <v>0</v>
      </c>
      <c r="T482" t="inlineStr">
        <is>
          <t>AUD</t>
        </is>
      </c>
      <c r="U482" t="n">
        <v>0</v>
      </c>
    </row>
    <row r="483">
      <c r="A483" s="5" t="inlineStr">
        <is>
          <t>01a1212c-534d-7490-9066-34be04f2401a</t>
        </is>
      </c>
      <c r="C483" s="5" t="inlineStr">
        <is>
          <t>01a1212c-4b57-70cf-80fd-c2192cb3bf81</t>
        </is>
      </c>
      <c r="D483" s="4" t="n">
        <v>46304.62402164309</v>
      </c>
      <c r="E483" s="4" t="n">
        <v>46304.62402164317</v>
      </c>
      <c r="F483" t="b">
        <v>1</v>
      </c>
      <c r="G483" t="n">
        <v/>
      </c>
      <c r="H483" t="inlineStr">
        <is>
          <t>FGX</t>
        </is>
      </c>
      <c r="I483" t="inlineStr">
        <is>
          <t>Future Generation Australia Ltd</t>
        </is>
      </c>
      <c r="J483" t="inlineStr">
        <is>
          <t>AUD</t>
        </is>
      </c>
      <c r="K483" s="5" t="inlineStr">
        <is>
          <t>01a1212c-4c04-75ce-bbb2-e3322e18816e</t>
        </is>
      </c>
      <c r="M483" t="inlineStr">
        <is>
          <t>UNKNOWN</t>
        </is>
      </c>
      <c r="N483" t="inlineStr">
        <is>
          <t>DEFAULT</t>
        </is>
      </c>
      <c r="Q483" t="n">
        <v>0</v>
      </c>
      <c r="R483" t="inlineStr">
        <is>
          <t>AUD</t>
        </is>
      </c>
      <c r="S483" t="n">
        <v>0</v>
      </c>
      <c r="T483" t="inlineStr">
        <is>
          <t>AUD</t>
        </is>
      </c>
      <c r="U483" t="n">
        <v>0</v>
      </c>
    </row>
    <row r="484">
      <c r="A484" s="5" t="inlineStr">
        <is>
          <t>01a1212c-5350-70fa-a0be-fd7f1c1767a6</t>
        </is>
      </c>
      <c r="C484" s="5" t="inlineStr">
        <is>
          <t>01a1212c-4b57-70cf-80fd-c2192cb3bf81</t>
        </is>
      </c>
      <c r="D484" s="4" t="n">
        <v>46304.62402167396</v>
      </c>
      <c r="E484" s="4" t="n">
        <v>46304.62402167404</v>
      </c>
      <c r="F484" t="b">
        <v>1</v>
      </c>
      <c r="G484" t="n">
        <v/>
      </c>
      <c r="H484" t="inlineStr">
        <is>
          <t>FFM</t>
        </is>
      </c>
      <c r="I484" t="inlineStr">
        <is>
          <t>Firefly Metals Ltd</t>
        </is>
      </c>
      <c r="J484" t="inlineStr">
        <is>
          <t>AUD</t>
        </is>
      </c>
      <c r="K484" s="5" t="inlineStr">
        <is>
          <t>01a1212c-4c04-75ce-bbb2-e3322e18816e</t>
        </is>
      </c>
      <c r="M484" t="inlineStr">
        <is>
          <t>UNKNOWN</t>
        </is>
      </c>
      <c r="N484" t="inlineStr">
        <is>
          <t>DEFAULT</t>
        </is>
      </c>
      <c r="Q484" t="n">
        <v>0</v>
      </c>
      <c r="R484" t="inlineStr">
        <is>
          <t>AUD</t>
        </is>
      </c>
      <c r="S484" t="n">
        <v>0</v>
      </c>
      <c r="T484" t="inlineStr">
        <is>
          <t>AUD</t>
        </is>
      </c>
      <c r="U484" t="n">
        <v>0</v>
      </c>
    </row>
    <row r="485">
      <c r="A485" s="5" t="inlineStr">
        <is>
          <t>01a1212c-5353-70d2-9ce4-c820bde6e5f5</t>
        </is>
      </c>
      <c r="C485" s="5" t="inlineStr">
        <is>
          <t>01a1212c-4b57-70cf-80fd-c2192cb3bf81</t>
        </is>
      </c>
      <c r="D485" s="4" t="n">
        <v>46304.62402170479</v>
      </c>
      <c r="E485" s="4" t="n">
        <v>46304.62402170488</v>
      </c>
      <c r="F485" t="b">
        <v>1</v>
      </c>
      <c r="G485" t="n">
        <v/>
      </c>
      <c r="H485" t="inlineStr">
        <is>
          <t>KGN</t>
        </is>
      </c>
      <c r="I485" t="inlineStr">
        <is>
          <t>Kogan.com Ltd</t>
        </is>
      </c>
      <c r="J485" t="inlineStr">
        <is>
          <t>AUD</t>
        </is>
      </c>
      <c r="K485" s="5" t="inlineStr">
        <is>
          <t>01a1212c-4c04-75ce-bbb2-e3322e18816e</t>
        </is>
      </c>
      <c r="M485" t="inlineStr">
        <is>
          <t>UNKNOWN</t>
        </is>
      </c>
      <c r="N485" t="inlineStr">
        <is>
          <t>DEFAULT</t>
        </is>
      </c>
      <c r="Q485" t="n">
        <v>0</v>
      </c>
      <c r="R485" t="inlineStr">
        <is>
          <t>AUD</t>
        </is>
      </c>
      <c r="S485" t="n">
        <v>0</v>
      </c>
      <c r="T485" t="inlineStr">
        <is>
          <t>AUD</t>
        </is>
      </c>
      <c r="U485" t="n">
        <v>0</v>
      </c>
    </row>
    <row r="486">
      <c r="A486" s="5" t="inlineStr">
        <is>
          <t>01a1212c-5356-75a8-99b4-89433a9f6772</t>
        </is>
      </c>
      <c r="C486" s="5" t="inlineStr">
        <is>
          <t>01a1212c-4b57-70cf-80fd-c2192cb3bf81</t>
        </is>
      </c>
      <c r="D486" s="4" t="n">
        <v>46304.62402173739</v>
      </c>
      <c r="E486" s="4" t="n">
        <v>46304.62402173747</v>
      </c>
      <c r="F486" t="b">
        <v>1</v>
      </c>
      <c r="G486" t="n">
        <v/>
      </c>
      <c r="H486" t="inlineStr">
        <is>
          <t>WTN</t>
        </is>
      </c>
      <c r="I486" t="inlineStr">
        <is>
          <t>Winton Land Ltd</t>
        </is>
      </c>
      <c r="J486" t="inlineStr">
        <is>
          <t>AUD</t>
        </is>
      </c>
      <c r="K486" s="5" t="inlineStr">
        <is>
          <t>01a1212c-4c04-75ce-bbb2-e3322e18816e</t>
        </is>
      </c>
      <c r="M486" t="inlineStr">
        <is>
          <t>UNKNOWN</t>
        </is>
      </c>
      <c r="N486" t="inlineStr">
        <is>
          <t>DEFAULT</t>
        </is>
      </c>
      <c r="Q486" t="n">
        <v>0</v>
      </c>
      <c r="R486" t="inlineStr">
        <is>
          <t>AUD</t>
        </is>
      </c>
      <c r="S486" t="n">
        <v>0</v>
      </c>
      <c r="T486" t="inlineStr">
        <is>
          <t>AUD</t>
        </is>
      </c>
      <c r="U486" t="n">
        <v>0</v>
      </c>
    </row>
    <row r="487">
      <c r="A487" s="5" t="inlineStr">
        <is>
          <t>01a1212c-5358-73a4-b79e-977bd6f391f9</t>
        </is>
      </c>
      <c r="C487" s="5" t="inlineStr">
        <is>
          <t>01a1212c-4b57-70cf-80fd-c2192cb3bf81</t>
        </is>
      </c>
      <c r="D487" s="4" t="n">
        <v>46304.62402176807</v>
      </c>
      <c r="E487" s="4" t="n">
        <v>46304.62402176815</v>
      </c>
      <c r="F487" t="b">
        <v>1</v>
      </c>
      <c r="G487" t="n">
        <v/>
      </c>
      <c r="H487" t="inlineStr">
        <is>
          <t>CCL</t>
        </is>
      </c>
      <c r="I487" t="inlineStr">
        <is>
          <t>Cuscal Ltd</t>
        </is>
      </c>
      <c r="J487" t="inlineStr">
        <is>
          <t>AUD</t>
        </is>
      </c>
      <c r="K487" s="5" t="inlineStr">
        <is>
          <t>01a1212c-4c04-75ce-bbb2-e3322e18816e</t>
        </is>
      </c>
      <c r="M487" t="inlineStr">
        <is>
          <t>UNKNOWN</t>
        </is>
      </c>
      <c r="N487" t="inlineStr">
        <is>
          <t>DEFAULT</t>
        </is>
      </c>
      <c r="Q487" t="n">
        <v>0</v>
      </c>
      <c r="R487" t="inlineStr">
        <is>
          <t>AUD</t>
        </is>
      </c>
      <c r="S487" t="n">
        <v>0</v>
      </c>
      <c r="T487" t="inlineStr">
        <is>
          <t>AUD</t>
        </is>
      </c>
      <c r="U487" t="n">
        <v>0</v>
      </c>
    </row>
    <row r="488">
      <c r="A488" s="5" t="inlineStr">
        <is>
          <t>01a1212c-535b-7284-bffe-a8d46e89b483</t>
        </is>
      </c>
      <c r="C488" s="5" t="inlineStr">
        <is>
          <t>01a1212c-4b57-70cf-80fd-c2192cb3bf81</t>
        </is>
      </c>
      <c r="D488" s="4" t="n">
        <v>46304.62402179879</v>
      </c>
      <c r="E488" s="4" t="n">
        <v>46304.62402179887</v>
      </c>
      <c r="F488" t="b">
        <v>1</v>
      </c>
      <c r="G488" t="n">
        <v/>
      </c>
      <c r="H488" t="inlineStr">
        <is>
          <t>PYC</t>
        </is>
      </c>
      <c r="I488" t="inlineStr">
        <is>
          <t>PYC Therapeutics Ltd</t>
        </is>
      </c>
      <c r="J488" t="inlineStr">
        <is>
          <t>AUD</t>
        </is>
      </c>
      <c r="K488" s="5" t="inlineStr">
        <is>
          <t>01a1212c-4c04-75ce-bbb2-e3322e18816e</t>
        </is>
      </c>
      <c r="M488" t="inlineStr">
        <is>
          <t>UNKNOWN</t>
        </is>
      </c>
      <c r="N488" t="inlineStr">
        <is>
          <t>DEFAULT</t>
        </is>
      </c>
      <c r="Q488" t="n">
        <v>0</v>
      </c>
      <c r="R488" t="inlineStr">
        <is>
          <t>AUD</t>
        </is>
      </c>
      <c r="S488" t="n">
        <v>0</v>
      </c>
      <c r="T488" t="inlineStr">
        <is>
          <t>AUD</t>
        </is>
      </c>
      <c r="U488" t="n">
        <v>0</v>
      </c>
    </row>
    <row r="489">
      <c r="A489" s="5" t="inlineStr">
        <is>
          <t>01a1212c-535d-7192-8435-a44feab70643</t>
        </is>
      </c>
      <c r="C489" s="5" t="inlineStr">
        <is>
          <t>01a1212c-4b57-70cf-80fd-c2192cb3bf81</t>
        </is>
      </c>
      <c r="D489" s="4" t="n">
        <v>46304.62402182948</v>
      </c>
      <c r="E489" s="4" t="n">
        <v>46304.62402182956</v>
      </c>
      <c r="F489" t="b">
        <v>1</v>
      </c>
      <c r="G489" t="n">
        <v/>
      </c>
      <c r="H489" t="inlineStr">
        <is>
          <t>GNP</t>
        </is>
      </c>
      <c r="I489" t="inlineStr">
        <is>
          <t>Genusplus Group Ltd</t>
        </is>
      </c>
      <c r="J489" t="inlineStr">
        <is>
          <t>AUD</t>
        </is>
      </c>
      <c r="K489" s="5" t="inlineStr">
        <is>
          <t>01a1212c-4c04-75ce-bbb2-e3322e18816e</t>
        </is>
      </c>
      <c r="M489" t="inlineStr">
        <is>
          <t>UNKNOWN</t>
        </is>
      </c>
      <c r="N489" t="inlineStr">
        <is>
          <t>DEFAULT</t>
        </is>
      </c>
      <c r="Q489" t="n">
        <v>0</v>
      </c>
      <c r="R489" t="inlineStr">
        <is>
          <t>AUD</t>
        </is>
      </c>
      <c r="S489" t="n">
        <v>0</v>
      </c>
      <c r="T489" t="inlineStr">
        <is>
          <t>AUD</t>
        </is>
      </c>
      <c r="U489" t="n">
        <v>0</v>
      </c>
    </row>
    <row r="490">
      <c r="A490" s="5" t="inlineStr">
        <is>
          <t>01a1212c-5360-738e-8ede-60429113e3cf</t>
        </is>
      </c>
      <c r="C490" s="5" t="inlineStr">
        <is>
          <t>01a1212c-4b57-70cf-80fd-c2192cb3bf81</t>
        </is>
      </c>
      <c r="D490" s="4" t="n">
        <v>46304.62402186163</v>
      </c>
      <c r="E490" s="4" t="n">
        <v>46304.6240218617</v>
      </c>
      <c r="F490" t="b">
        <v>1</v>
      </c>
      <c r="G490" t="n">
        <v/>
      </c>
      <c r="H490" t="inlineStr">
        <is>
          <t>SRV</t>
        </is>
      </c>
      <c r="I490" t="inlineStr">
        <is>
          <t>Servcorp Ltd</t>
        </is>
      </c>
      <c r="J490" t="inlineStr">
        <is>
          <t>AUD</t>
        </is>
      </c>
      <c r="K490" s="5" t="inlineStr">
        <is>
          <t>01a1212c-4c04-75ce-bbb2-e3322e18816e</t>
        </is>
      </c>
      <c r="M490" t="inlineStr">
        <is>
          <t>UNKNOWN</t>
        </is>
      </c>
      <c r="N490" t="inlineStr">
        <is>
          <t>DEFAULT</t>
        </is>
      </c>
      <c r="Q490" t="n">
        <v>0</v>
      </c>
      <c r="R490" t="inlineStr">
        <is>
          <t>AUD</t>
        </is>
      </c>
      <c r="S490" t="n">
        <v>0</v>
      </c>
      <c r="T490" t="inlineStr">
        <is>
          <t>AUD</t>
        </is>
      </c>
      <c r="U490" t="n">
        <v>0</v>
      </c>
    </row>
    <row r="491">
      <c r="A491" s="5" t="inlineStr">
        <is>
          <t>01a1212c-5363-72c3-8615-35b4d8ab2e3f</t>
        </is>
      </c>
      <c r="C491" s="5" t="inlineStr">
        <is>
          <t>01a1212c-4b57-70cf-80fd-c2192cb3bf81</t>
        </is>
      </c>
      <c r="D491" s="4" t="n">
        <v>46304.62402189476</v>
      </c>
      <c r="E491" s="4" t="n">
        <v>46304.62402189484</v>
      </c>
      <c r="F491" t="b">
        <v>1</v>
      </c>
      <c r="G491" t="n">
        <v/>
      </c>
      <c r="H491" t="inlineStr">
        <is>
          <t>HNDQ</t>
        </is>
      </c>
      <c r="I491" t="inlineStr">
        <is>
          <t>Betashares Nasdaq 100 Currency Hedged ETF</t>
        </is>
      </c>
      <c r="J491" t="inlineStr">
        <is>
          <t>AUD</t>
        </is>
      </c>
      <c r="K491" s="5" t="inlineStr">
        <is>
          <t>01a1212c-4c04-75ce-bbb2-e3322e18816e</t>
        </is>
      </c>
      <c r="M491" t="inlineStr">
        <is>
          <t>UNIT_TRUST</t>
        </is>
      </c>
      <c r="N491" t="inlineStr">
        <is>
          <t>SUGGESTED</t>
        </is>
      </c>
      <c r="Q491" t="n">
        <v>0</v>
      </c>
      <c r="R491" t="inlineStr">
        <is>
          <t>AUD</t>
        </is>
      </c>
      <c r="S491" t="n">
        <v>0</v>
      </c>
      <c r="T491" t="inlineStr">
        <is>
          <t>AUD</t>
        </is>
      </c>
      <c r="U491" t="n">
        <v>0</v>
      </c>
    </row>
    <row r="492">
      <c r="A492" s="5" t="inlineStr">
        <is>
          <t>01a1212c-5366-7723-8afb-f23f5a1ba8ca</t>
        </is>
      </c>
      <c r="C492" s="5" t="inlineStr">
        <is>
          <t>01a1212c-4b57-70cf-80fd-c2192cb3bf81</t>
        </is>
      </c>
      <c r="D492" s="4" t="n">
        <v>46304.62402192895</v>
      </c>
      <c r="E492" s="4" t="n">
        <v>46304.62402192902</v>
      </c>
      <c r="F492" t="b">
        <v>1</v>
      </c>
      <c r="G492" t="n">
        <v/>
      </c>
      <c r="H492" t="inlineStr">
        <is>
          <t>CTT</t>
        </is>
      </c>
      <c r="I492" t="inlineStr">
        <is>
          <t>Cettire Ltd</t>
        </is>
      </c>
      <c r="J492" t="inlineStr">
        <is>
          <t>AUD</t>
        </is>
      </c>
      <c r="K492" s="5" t="inlineStr">
        <is>
          <t>01a1212c-4c04-75ce-bbb2-e3322e18816e</t>
        </is>
      </c>
      <c r="M492" t="inlineStr">
        <is>
          <t>UNKNOWN</t>
        </is>
      </c>
      <c r="N492" t="inlineStr">
        <is>
          <t>DEFAULT</t>
        </is>
      </c>
      <c r="Q492" t="n">
        <v>0</v>
      </c>
      <c r="R492" t="inlineStr">
        <is>
          <t>AUD</t>
        </is>
      </c>
      <c r="S492" t="n">
        <v>0</v>
      </c>
      <c r="T492" t="inlineStr">
        <is>
          <t>AUD</t>
        </is>
      </c>
      <c r="U492" t="n">
        <v>0</v>
      </c>
    </row>
    <row r="493">
      <c r="A493" s="5" t="inlineStr">
        <is>
          <t>01a1212c-5369-7754-8efe-bf24dada1618</t>
        </is>
      </c>
      <c r="C493" s="5" t="inlineStr">
        <is>
          <t>01a1212c-4b57-70cf-80fd-c2192cb3bf81</t>
        </is>
      </c>
      <c r="D493" s="4" t="n">
        <v>46304.62402195919</v>
      </c>
      <c r="E493" s="4" t="n">
        <v>46304.62402195927</v>
      </c>
      <c r="F493" t="b">
        <v>1</v>
      </c>
      <c r="G493" t="n">
        <v/>
      </c>
      <c r="H493" t="inlineStr">
        <is>
          <t>KPG</t>
        </is>
      </c>
      <c r="I493" t="inlineStr">
        <is>
          <t>Kelly Partners Group Holdings Ltd</t>
        </is>
      </c>
      <c r="J493" t="inlineStr">
        <is>
          <t>AUD</t>
        </is>
      </c>
      <c r="K493" s="5" t="inlineStr">
        <is>
          <t>01a1212c-4c04-75ce-bbb2-e3322e18816e</t>
        </is>
      </c>
      <c r="M493" t="inlineStr">
        <is>
          <t>UNKNOWN</t>
        </is>
      </c>
      <c r="N493" t="inlineStr">
        <is>
          <t>DEFAULT</t>
        </is>
      </c>
      <c r="Q493" t="n">
        <v>0</v>
      </c>
      <c r="R493" t="inlineStr">
        <is>
          <t>AUD</t>
        </is>
      </c>
      <c r="S493" t="n">
        <v>0</v>
      </c>
      <c r="T493" t="inlineStr">
        <is>
          <t>AUD</t>
        </is>
      </c>
      <c r="U493" t="n">
        <v>0</v>
      </c>
    </row>
    <row r="494">
      <c r="A494" s="5" t="inlineStr">
        <is>
          <t>01a1212c-536b-7574-ac8e-8f0c53e956dc</t>
        </is>
      </c>
      <c r="C494" s="5" t="inlineStr">
        <is>
          <t>01a1212c-4b57-70cf-80fd-c2192cb3bf81</t>
        </is>
      </c>
      <c r="D494" s="4" t="n">
        <v>46304.62402198934</v>
      </c>
      <c r="E494" s="4" t="n">
        <v>46304.62402198942</v>
      </c>
      <c r="F494" t="b">
        <v>1</v>
      </c>
      <c r="G494" t="n">
        <v/>
      </c>
      <c r="H494" t="inlineStr">
        <is>
          <t>OZBD</t>
        </is>
      </c>
      <c r="I494" t="inlineStr">
        <is>
          <t>Betashares Australian Composite Bond ETF</t>
        </is>
      </c>
      <c r="J494" t="inlineStr">
        <is>
          <t>AUD</t>
        </is>
      </c>
      <c r="K494" s="5" t="inlineStr">
        <is>
          <t>01a1212c-4c04-75ce-bbb2-e3322e18816e</t>
        </is>
      </c>
      <c r="M494" t="inlineStr">
        <is>
          <t>UNKNOWN</t>
        </is>
      </c>
      <c r="N494" t="inlineStr">
        <is>
          <t>DEFAULT</t>
        </is>
      </c>
      <c r="Q494" t="n">
        <v>0</v>
      </c>
      <c r="R494" t="inlineStr">
        <is>
          <t>AUD</t>
        </is>
      </c>
      <c r="S494" t="n">
        <v>0</v>
      </c>
      <c r="T494" t="inlineStr">
        <is>
          <t>AUD</t>
        </is>
      </c>
      <c r="U494" t="n">
        <v>0</v>
      </c>
    </row>
    <row r="495">
      <c r="A495" s="5" t="inlineStr">
        <is>
          <t>01a1212c-536e-76df-9e51-1cdef1e23e29</t>
        </is>
      </c>
      <c r="C495" s="5" t="inlineStr">
        <is>
          <t>01a1212c-4b57-70cf-80fd-c2192cb3bf81</t>
        </is>
      </c>
      <c r="D495" s="4" t="n">
        <v>46304.62402202164</v>
      </c>
      <c r="E495" s="4" t="n">
        <v>46304.62402202172</v>
      </c>
      <c r="F495" t="b">
        <v>1</v>
      </c>
      <c r="G495" t="n">
        <v/>
      </c>
      <c r="H495" t="inlineStr">
        <is>
          <t>KSC</t>
        </is>
      </c>
      <c r="I495" t="inlineStr">
        <is>
          <t>K &amp; S Corporation Ltd</t>
        </is>
      </c>
      <c r="J495" t="inlineStr">
        <is>
          <t>AUD</t>
        </is>
      </c>
      <c r="K495" s="5" t="inlineStr">
        <is>
          <t>01a1212c-4c04-75ce-bbb2-e3322e18816e</t>
        </is>
      </c>
      <c r="M495" t="inlineStr">
        <is>
          <t>UNKNOWN</t>
        </is>
      </c>
      <c r="N495" t="inlineStr">
        <is>
          <t>DEFAULT</t>
        </is>
      </c>
      <c r="Q495" t="n">
        <v>0</v>
      </c>
      <c r="R495" t="inlineStr">
        <is>
          <t>AUD</t>
        </is>
      </c>
      <c r="S495" t="n">
        <v>0</v>
      </c>
      <c r="T495" t="inlineStr">
        <is>
          <t>AUD</t>
        </is>
      </c>
      <c r="U495" t="n">
        <v>0</v>
      </c>
    </row>
    <row r="496">
      <c r="A496" s="5" t="inlineStr">
        <is>
          <t>01a1212c-5371-7679-9fc3-d34ca0c66dd2</t>
        </is>
      </c>
      <c r="C496" s="5" t="inlineStr">
        <is>
          <t>01a1212c-4b57-70cf-80fd-c2192cb3bf81</t>
        </is>
      </c>
      <c r="D496" s="4" t="n">
        <v>46304.62402205313</v>
      </c>
      <c r="E496" s="4" t="n">
        <v>46304.62402205322</v>
      </c>
      <c r="F496" t="b">
        <v>1</v>
      </c>
      <c r="G496" t="n">
        <v/>
      </c>
      <c r="H496" t="inlineStr">
        <is>
          <t>MYS</t>
        </is>
      </c>
      <c r="I496" t="inlineStr">
        <is>
          <t>Mystate Ltd</t>
        </is>
      </c>
      <c r="J496" t="inlineStr">
        <is>
          <t>AUD</t>
        </is>
      </c>
      <c r="K496" s="5" t="inlineStr">
        <is>
          <t>01a1212c-4c04-75ce-bbb2-e3322e18816e</t>
        </is>
      </c>
      <c r="M496" t="inlineStr">
        <is>
          <t>UNKNOWN</t>
        </is>
      </c>
      <c r="N496" t="inlineStr">
        <is>
          <t>DEFAULT</t>
        </is>
      </c>
      <c r="Q496" t="n">
        <v>0</v>
      </c>
      <c r="R496" t="inlineStr">
        <is>
          <t>AUD</t>
        </is>
      </c>
      <c r="S496" t="n">
        <v>0</v>
      </c>
      <c r="T496" t="inlineStr">
        <is>
          <t>AUD</t>
        </is>
      </c>
      <c r="U496" t="n">
        <v>0</v>
      </c>
    </row>
    <row r="497">
      <c r="A497" s="5" t="inlineStr">
        <is>
          <t>01a1212c-5374-70ae-a08b-8563e807d9b4</t>
        </is>
      </c>
      <c r="C497" s="5" t="inlineStr">
        <is>
          <t>01a1212c-4b57-70cf-80fd-c2192cb3bf81</t>
        </is>
      </c>
      <c r="D497" s="4" t="n">
        <v>46304.62402208557</v>
      </c>
      <c r="E497" s="4" t="n">
        <v>46304.62402208565</v>
      </c>
      <c r="F497" t="b">
        <v>1</v>
      </c>
      <c r="G497" t="n">
        <v/>
      </c>
      <c r="H497" t="inlineStr">
        <is>
          <t>APZ</t>
        </is>
      </c>
      <c r="I497" t="inlineStr">
        <is>
          <t>Aspen Group</t>
        </is>
      </c>
      <c r="J497" t="inlineStr">
        <is>
          <t>AUD</t>
        </is>
      </c>
      <c r="K497" s="5" t="inlineStr">
        <is>
          <t>01a1212c-4c04-75ce-bbb2-e3322e18816e</t>
        </is>
      </c>
      <c r="M497" t="inlineStr">
        <is>
          <t>UNKNOWN</t>
        </is>
      </c>
      <c r="N497" t="inlineStr">
        <is>
          <t>DEFAULT</t>
        </is>
      </c>
      <c r="Q497" t="n">
        <v>0</v>
      </c>
      <c r="R497" t="inlineStr">
        <is>
          <t>AUD</t>
        </is>
      </c>
      <c r="S497" t="n">
        <v>0</v>
      </c>
      <c r="T497" t="inlineStr">
        <is>
          <t>AUD</t>
        </is>
      </c>
      <c r="U497" t="n">
        <v>0</v>
      </c>
    </row>
    <row r="498">
      <c r="A498" s="5" t="inlineStr">
        <is>
          <t>01a1212c-5376-746e-8672-0a1811b954e9</t>
        </is>
      </c>
      <c r="C498" s="5" t="inlineStr">
        <is>
          <t>01a1212c-4b57-70cf-80fd-c2192cb3bf81</t>
        </is>
      </c>
      <c r="D498" s="4" t="n">
        <v>46304.624022116</v>
      </c>
      <c r="E498" s="4" t="n">
        <v>46304.62402211608</v>
      </c>
      <c r="F498" t="b">
        <v>1</v>
      </c>
      <c r="G498" t="n">
        <v/>
      </c>
      <c r="H498" t="inlineStr">
        <is>
          <t>IMM</t>
        </is>
      </c>
      <c r="I498" t="inlineStr">
        <is>
          <t>Immutep Ltd</t>
        </is>
      </c>
      <c r="J498" t="inlineStr">
        <is>
          <t>AUD</t>
        </is>
      </c>
      <c r="K498" s="5" t="inlineStr">
        <is>
          <t>01a1212c-4c04-75ce-bbb2-e3322e18816e</t>
        </is>
      </c>
      <c r="M498" t="inlineStr">
        <is>
          <t>UNKNOWN</t>
        </is>
      </c>
      <c r="N498" t="inlineStr">
        <is>
          <t>DEFAULT</t>
        </is>
      </c>
      <c r="Q498" t="n">
        <v>0</v>
      </c>
      <c r="R498" t="inlineStr">
        <is>
          <t>AUD</t>
        </is>
      </c>
      <c r="S498" t="n">
        <v>0</v>
      </c>
      <c r="T498" t="inlineStr">
        <is>
          <t>AUD</t>
        </is>
      </c>
      <c r="U498" t="n">
        <v>0</v>
      </c>
    </row>
    <row r="499">
      <c r="A499" s="5" t="inlineStr">
        <is>
          <t>01a1212c-5379-70d4-b402-10675c38dec2</t>
        </is>
      </c>
      <c r="C499" s="5" t="inlineStr">
        <is>
          <t>01a1212c-4b57-70cf-80fd-c2192cb3bf81</t>
        </is>
      </c>
      <c r="D499" s="4" t="n">
        <v>46304.62402214882</v>
      </c>
      <c r="E499" s="4" t="n">
        <v>46304.6240221489</v>
      </c>
      <c r="F499" t="b">
        <v>1</v>
      </c>
      <c r="G499" t="n">
        <v/>
      </c>
      <c r="H499" t="inlineStr">
        <is>
          <t>LRS</t>
        </is>
      </c>
      <c r="I499" t="inlineStr">
        <is>
          <t>Latin Resources Ltd</t>
        </is>
      </c>
      <c r="J499" t="inlineStr">
        <is>
          <t>AUD</t>
        </is>
      </c>
      <c r="K499" s="5" t="inlineStr">
        <is>
          <t>01a1212c-4c04-75ce-bbb2-e3322e18816e</t>
        </is>
      </c>
      <c r="M499" t="inlineStr">
        <is>
          <t>UNKNOWN</t>
        </is>
      </c>
      <c r="N499" t="inlineStr">
        <is>
          <t>DEFAULT</t>
        </is>
      </c>
      <c r="Q499" t="n">
        <v>0</v>
      </c>
      <c r="R499" t="inlineStr">
        <is>
          <t>AUD</t>
        </is>
      </c>
      <c r="S499" t="n">
        <v>0</v>
      </c>
      <c r="T499" t="inlineStr">
        <is>
          <t>AUD</t>
        </is>
      </c>
      <c r="U499" t="n">
        <v>0</v>
      </c>
    </row>
    <row r="500">
      <c r="A500" s="5" t="inlineStr">
        <is>
          <t>01a1212c-537c-77f5-81d6-96b9384f7f8e</t>
        </is>
      </c>
      <c r="C500" s="5" t="inlineStr">
        <is>
          <t>01a1212c-4b57-70cf-80fd-c2192cb3bf81</t>
        </is>
      </c>
      <c r="D500" s="4" t="n">
        <v>46304.62402217924</v>
      </c>
      <c r="E500" s="4" t="n">
        <v>46304.62402217931</v>
      </c>
      <c r="F500" t="b">
        <v>1</v>
      </c>
      <c r="G500" t="n">
        <v/>
      </c>
      <c r="H500" t="inlineStr">
        <is>
          <t>IJH</t>
        </is>
      </c>
      <c r="I500" t="inlineStr">
        <is>
          <t>Ishares S&amp;P Mid-Cap ETF</t>
        </is>
      </c>
      <c r="J500" t="inlineStr">
        <is>
          <t>AUD</t>
        </is>
      </c>
      <c r="K500" s="5" t="inlineStr">
        <is>
          <t>01a1212c-4c04-75ce-bbb2-e3322e18816e</t>
        </is>
      </c>
      <c r="M500" t="inlineStr">
        <is>
          <t>UNKNOWN</t>
        </is>
      </c>
      <c r="N500" t="inlineStr">
        <is>
          <t>DEFAULT</t>
        </is>
      </c>
      <c r="Q500" t="n">
        <v>0</v>
      </c>
      <c r="R500" t="inlineStr">
        <is>
          <t>AUD</t>
        </is>
      </c>
      <c r="S500" t="n">
        <v>0</v>
      </c>
      <c r="T500" t="inlineStr">
        <is>
          <t>AUD</t>
        </is>
      </c>
      <c r="U500" t="n">
        <v>0</v>
      </c>
    </row>
    <row r="501">
      <c r="A501" s="5" t="inlineStr">
        <is>
          <t>01a1212c-537e-7367-81ed-39db3cc4c39b</t>
        </is>
      </c>
      <c r="C501" s="5" t="inlineStr">
        <is>
          <t>01a1212c-4b57-70cf-80fd-c2192cb3bf81</t>
        </is>
      </c>
      <c r="D501" s="4" t="n">
        <v>46304.62402220941</v>
      </c>
      <c r="E501" s="4" t="n">
        <v>46304.62402220949</v>
      </c>
      <c r="F501" t="b">
        <v>1</v>
      </c>
      <c r="G501" t="n">
        <v/>
      </c>
      <c r="H501" t="inlineStr">
        <is>
          <t>VAE</t>
        </is>
      </c>
      <c r="I501" t="inlineStr">
        <is>
          <t>Vanguard Ftse Asia Ex Japan Shares INDEX ETF</t>
        </is>
      </c>
      <c r="J501" t="inlineStr">
        <is>
          <t>AUD</t>
        </is>
      </c>
      <c r="K501" s="5" t="inlineStr">
        <is>
          <t>01a1212c-4c04-75ce-bbb2-e3322e18816e</t>
        </is>
      </c>
      <c r="M501" t="inlineStr">
        <is>
          <t>UNIT_TRUST</t>
        </is>
      </c>
      <c r="N501" t="inlineStr">
        <is>
          <t>SUGGESTED</t>
        </is>
      </c>
      <c r="Q501" t="n">
        <v>0</v>
      </c>
      <c r="R501" t="inlineStr">
        <is>
          <t>AUD</t>
        </is>
      </c>
      <c r="S501" t="n">
        <v>0</v>
      </c>
      <c r="T501" t="inlineStr">
        <is>
          <t>AUD</t>
        </is>
      </c>
      <c r="U501" t="n">
        <v>0</v>
      </c>
    </row>
    <row r="502">
      <c r="A502" s="5" t="inlineStr">
        <is>
          <t>01a1212c-5381-7102-af20-3e40135e6652</t>
        </is>
      </c>
      <c r="C502" s="5" t="inlineStr">
        <is>
          <t>01a1212c-4b57-70cf-80fd-c2192cb3bf81</t>
        </is>
      </c>
      <c r="D502" s="4" t="n">
        <v>46304.62402224657</v>
      </c>
      <c r="E502" s="4" t="n">
        <v>46304.62402224667</v>
      </c>
      <c r="F502" t="b">
        <v>1</v>
      </c>
      <c r="G502" t="n">
        <v/>
      </c>
      <c r="H502" t="inlineStr">
        <is>
          <t>REIT</t>
        </is>
      </c>
      <c r="I502" t="inlineStr">
        <is>
          <t>Vaneck Ftse International Property (Aud Hedged) ETF</t>
        </is>
      </c>
      <c r="J502" t="inlineStr">
        <is>
          <t>AUD</t>
        </is>
      </c>
      <c r="K502" s="5" t="inlineStr">
        <is>
          <t>01a1212c-4c04-75ce-bbb2-e3322e18816e</t>
        </is>
      </c>
      <c r="M502" t="inlineStr">
        <is>
          <t>UNKNOWN</t>
        </is>
      </c>
      <c r="N502" t="inlineStr">
        <is>
          <t>DEFAULT</t>
        </is>
      </c>
      <c r="Q502" t="n">
        <v>0</v>
      </c>
      <c r="R502" t="inlineStr">
        <is>
          <t>AUD</t>
        </is>
      </c>
      <c r="S502" t="n">
        <v>0</v>
      </c>
      <c r="T502" t="inlineStr">
        <is>
          <t>AUD</t>
        </is>
      </c>
      <c r="U502" t="n">
        <v>0</v>
      </c>
    </row>
    <row r="503">
      <c r="A503" s="5" t="inlineStr">
        <is>
          <t>01a1212c-5384-71bb-b5ed-20d24bf3124c</t>
        </is>
      </c>
      <c r="C503" s="5" t="inlineStr">
        <is>
          <t>01a1212c-4b57-70cf-80fd-c2192cb3bf81</t>
        </is>
      </c>
      <c r="D503" s="4" t="n">
        <v>46304.62402227746</v>
      </c>
      <c r="E503" s="4" t="n">
        <v>46304.62402227755</v>
      </c>
      <c r="F503" t="b">
        <v>1</v>
      </c>
      <c r="G503" t="n">
        <v/>
      </c>
      <c r="H503" t="inlineStr">
        <is>
          <t>FSF</t>
        </is>
      </c>
      <c r="I503" t="inlineStr">
        <is>
          <t>Fonterra Shareholders' Fund</t>
        </is>
      </c>
      <c r="J503" t="inlineStr">
        <is>
          <t>AUD</t>
        </is>
      </c>
      <c r="K503" s="5" t="inlineStr">
        <is>
          <t>01a1212c-4c04-75ce-bbb2-e3322e18816e</t>
        </is>
      </c>
      <c r="M503" t="inlineStr">
        <is>
          <t>UNKNOWN</t>
        </is>
      </c>
      <c r="N503" t="inlineStr">
        <is>
          <t>DEFAULT</t>
        </is>
      </c>
      <c r="Q503" t="n">
        <v>0</v>
      </c>
      <c r="R503" t="inlineStr">
        <is>
          <t>AUD</t>
        </is>
      </c>
      <c r="S503" t="n">
        <v>0</v>
      </c>
      <c r="T503" t="inlineStr">
        <is>
          <t>AUD</t>
        </is>
      </c>
      <c r="U503" t="n">
        <v>0</v>
      </c>
    </row>
    <row r="504">
      <c r="A504" s="5" t="inlineStr">
        <is>
          <t>01a1212c-5387-73a3-bae6-dc852b9854f7</t>
        </is>
      </c>
      <c r="C504" s="5" t="inlineStr">
        <is>
          <t>01a1212c-4b57-70cf-80fd-c2192cb3bf81</t>
        </is>
      </c>
      <c r="D504" s="4" t="n">
        <v>46304.62402230752</v>
      </c>
      <c r="E504" s="4" t="n">
        <v>46304.62402230759</v>
      </c>
      <c r="F504" t="b">
        <v>1</v>
      </c>
      <c r="G504" t="n">
        <v/>
      </c>
      <c r="H504" t="inlineStr">
        <is>
          <t>CHN</t>
        </is>
      </c>
      <c r="I504" t="inlineStr">
        <is>
          <t>Chalice Mining Ltd</t>
        </is>
      </c>
      <c r="J504" t="inlineStr">
        <is>
          <t>AUD</t>
        </is>
      </c>
      <c r="K504" s="5" t="inlineStr">
        <is>
          <t>01a1212c-4c04-75ce-bbb2-e3322e18816e</t>
        </is>
      </c>
      <c r="M504" t="inlineStr">
        <is>
          <t>UNKNOWN</t>
        </is>
      </c>
      <c r="N504" t="inlineStr">
        <is>
          <t>DEFAULT</t>
        </is>
      </c>
      <c r="Q504" t="n">
        <v>0</v>
      </c>
      <c r="R504" t="inlineStr">
        <is>
          <t>AUD</t>
        </is>
      </c>
      <c r="S504" t="n">
        <v>0</v>
      </c>
      <c r="T504" t="inlineStr">
        <is>
          <t>AUD</t>
        </is>
      </c>
      <c r="U504" t="n">
        <v>0</v>
      </c>
    </row>
    <row r="505">
      <c r="A505" s="5" t="inlineStr">
        <is>
          <t>01a1212c-5389-72ce-9843-0238df03e8aa</t>
        </is>
      </c>
      <c r="C505" s="5" t="inlineStr">
        <is>
          <t>01a1212c-4b57-70cf-80fd-c2192cb3bf81</t>
        </is>
      </c>
      <c r="D505" s="4" t="n">
        <v>46304.62402233756</v>
      </c>
      <c r="E505" s="4" t="n">
        <v>46304.62402233764</v>
      </c>
      <c r="F505" t="b">
        <v>1</v>
      </c>
      <c r="G505" t="n">
        <v/>
      </c>
      <c r="H505" t="inlineStr">
        <is>
          <t>MHHT</t>
        </is>
      </c>
      <c r="I505" t="inlineStr">
        <is>
          <t>Magellan High Conviction Trust - Active ETF</t>
        </is>
      </c>
      <c r="J505" t="inlineStr">
        <is>
          <t>AUD</t>
        </is>
      </c>
      <c r="K505" s="5" t="inlineStr">
        <is>
          <t>01a1212c-4c04-75ce-bbb2-e3322e18816e</t>
        </is>
      </c>
      <c r="M505" t="inlineStr">
        <is>
          <t>UNKNOWN</t>
        </is>
      </c>
      <c r="N505" t="inlineStr">
        <is>
          <t>DEFAULT</t>
        </is>
      </c>
      <c r="Q505" t="n">
        <v>0</v>
      </c>
      <c r="R505" t="inlineStr">
        <is>
          <t>AUD</t>
        </is>
      </c>
      <c r="S505" t="n">
        <v>0</v>
      </c>
      <c r="T505" t="inlineStr">
        <is>
          <t>AUD</t>
        </is>
      </c>
      <c r="U505" t="n">
        <v>0</v>
      </c>
    </row>
    <row r="506">
      <c r="A506" s="5" t="inlineStr">
        <is>
          <t>01a1212c-538c-7077-a8a3-98aee237e187</t>
        </is>
      </c>
      <c r="C506" s="5" t="inlineStr">
        <is>
          <t>01a1212c-4b57-70cf-80fd-c2192cb3bf81</t>
        </is>
      </c>
      <c r="D506" s="4" t="n">
        <v>46304.6240223678</v>
      </c>
      <c r="E506" s="4" t="n">
        <v>46304.62402236788</v>
      </c>
      <c r="F506" t="b">
        <v>1</v>
      </c>
      <c r="G506" t="n">
        <v/>
      </c>
      <c r="H506" t="inlineStr">
        <is>
          <t>VG1</t>
        </is>
      </c>
      <c r="I506" t="inlineStr">
        <is>
          <t>Vgi Partners Global Investments Ltd</t>
        </is>
      </c>
      <c r="J506" t="inlineStr">
        <is>
          <t>AUD</t>
        </is>
      </c>
      <c r="K506" s="5" t="inlineStr">
        <is>
          <t>01a1212c-4c04-75ce-bbb2-e3322e18816e</t>
        </is>
      </c>
      <c r="M506" t="inlineStr">
        <is>
          <t>UNKNOWN</t>
        </is>
      </c>
      <c r="N506" t="inlineStr">
        <is>
          <t>DEFAULT</t>
        </is>
      </c>
      <c r="Q506" t="n">
        <v>0</v>
      </c>
      <c r="R506" t="inlineStr">
        <is>
          <t>AUD</t>
        </is>
      </c>
      <c r="S506" t="n">
        <v>0</v>
      </c>
      <c r="T506" t="inlineStr">
        <is>
          <t>AUD</t>
        </is>
      </c>
      <c r="U506" t="n">
        <v>0</v>
      </c>
    </row>
    <row r="507">
      <c r="A507" s="5" t="inlineStr">
        <is>
          <t>01a1212c-538f-7178-a24a-e9a1a9317ae4</t>
        </is>
      </c>
      <c r="C507" s="5" t="inlineStr">
        <is>
          <t>01a1212c-4b57-70cf-80fd-c2192cb3bf81</t>
        </is>
      </c>
      <c r="D507" s="4" t="n">
        <v>46304.624022401</v>
      </c>
      <c r="E507" s="4" t="n">
        <v>46304.62402240108</v>
      </c>
      <c r="F507" t="b">
        <v>1</v>
      </c>
      <c r="G507" t="n">
        <v/>
      </c>
      <c r="H507" t="inlineStr">
        <is>
          <t>MVF</t>
        </is>
      </c>
      <c r="I507" t="inlineStr">
        <is>
          <t>Monash Ivf Group Ltd</t>
        </is>
      </c>
      <c r="J507" t="inlineStr">
        <is>
          <t>AUD</t>
        </is>
      </c>
      <c r="K507" s="5" t="inlineStr">
        <is>
          <t>01a1212c-4c04-75ce-bbb2-e3322e18816e</t>
        </is>
      </c>
      <c r="M507" t="inlineStr">
        <is>
          <t>UNKNOWN</t>
        </is>
      </c>
      <c r="N507" t="inlineStr">
        <is>
          <t>DEFAULT</t>
        </is>
      </c>
      <c r="Q507" t="n">
        <v>0</v>
      </c>
      <c r="R507" t="inlineStr">
        <is>
          <t>AUD</t>
        </is>
      </c>
      <c r="S507" t="n">
        <v>0</v>
      </c>
      <c r="T507" t="inlineStr">
        <is>
          <t>AUD</t>
        </is>
      </c>
      <c r="U507" t="n">
        <v>0</v>
      </c>
    </row>
    <row r="508">
      <c r="A508" s="5" t="inlineStr">
        <is>
          <t>01a1212c-5392-71f5-846b-f5f1af56eb20</t>
        </is>
      </c>
      <c r="C508" s="5" t="inlineStr">
        <is>
          <t>01a1212c-4b57-70cf-80fd-c2192cb3bf81</t>
        </is>
      </c>
      <c r="D508" s="4" t="n">
        <v>46304.62402243409</v>
      </c>
      <c r="E508" s="4" t="n">
        <v>46304.62402243418</v>
      </c>
      <c r="F508" t="b">
        <v>1</v>
      </c>
      <c r="G508" t="n">
        <v/>
      </c>
      <c r="H508" t="inlineStr">
        <is>
          <t>SX2</t>
        </is>
      </c>
      <c r="I508" t="inlineStr">
        <is>
          <t>Southern Cross Gold Consolidated Ltd</t>
        </is>
      </c>
      <c r="J508" t="inlineStr">
        <is>
          <t>AUD</t>
        </is>
      </c>
      <c r="K508" s="5" t="inlineStr">
        <is>
          <t>01a1212c-4c04-75ce-bbb2-e3322e18816e</t>
        </is>
      </c>
      <c r="M508" t="inlineStr">
        <is>
          <t>UNKNOWN</t>
        </is>
      </c>
      <c r="N508" t="inlineStr">
        <is>
          <t>DEFAULT</t>
        </is>
      </c>
      <c r="Q508" t="n">
        <v>0</v>
      </c>
      <c r="R508" t="inlineStr">
        <is>
          <t>AUD</t>
        </is>
      </c>
      <c r="S508" t="n">
        <v>0</v>
      </c>
      <c r="T508" t="inlineStr">
        <is>
          <t>AUD</t>
        </is>
      </c>
      <c r="U508" t="n">
        <v>0</v>
      </c>
    </row>
    <row r="509">
      <c r="A509" s="5" t="inlineStr">
        <is>
          <t>01a1212c-5394-76a1-95da-84cdc823fa47</t>
        </is>
      </c>
      <c r="C509" s="5" t="inlineStr">
        <is>
          <t>01a1212c-4b57-70cf-80fd-c2192cb3bf81</t>
        </is>
      </c>
      <c r="D509" s="4" t="n">
        <v>46304.62402246487</v>
      </c>
      <c r="E509" s="4" t="n">
        <v>46304.62402246495</v>
      </c>
      <c r="F509" t="b">
        <v>1</v>
      </c>
      <c r="G509" t="n">
        <v/>
      </c>
      <c r="H509" t="inlineStr">
        <is>
          <t>PIC</t>
        </is>
      </c>
      <c r="I509" t="inlineStr">
        <is>
          <t>Perpetual Equity Investment Company Ltd</t>
        </is>
      </c>
      <c r="J509" t="inlineStr">
        <is>
          <t>AUD</t>
        </is>
      </c>
      <c r="K509" s="5" t="inlineStr">
        <is>
          <t>01a1212c-4c04-75ce-bbb2-e3322e18816e</t>
        </is>
      </c>
      <c r="M509" t="inlineStr">
        <is>
          <t>COMPANY</t>
        </is>
      </c>
      <c r="N509" t="inlineStr">
        <is>
          <t>SUGGESTED</t>
        </is>
      </c>
      <c r="Q509" t="n">
        <v>0</v>
      </c>
      <c r="R509" t="inlineStr">
        <is>
          <t>AUD</t>
        </is>
      </c>
      <c r="S509" t="n">
        <v>0</v>
      </c>
      <c r="T509" t="inlineStr">
        <is>
          <t>AUD</t>
        </is>
      </c>
      <c r="U509" t="n">
        <v>0</v>
      </c>
    </row>
    <row r="510">
      <c r="A510" s="5" t="inlineStr">
        <is>
          <t>01a1212c-5397-7201-ba8c-a46ee8e38214</t>
        </is>
      </c>
      <c r="C510" s="5" t="inlineStr">
        <is>
          <t>01a1212c-4b57-70cf-80fd-c2192cb3bf81</t>
        </is>
      </c>
      <c r="D510" s="4" t="n">
        <v>46304.62402249814</v>
      </c>
      <c r="E510" s="4" t="n">
        <v>46304.62402249822</v>
      </c>
      <c r="F510" t="b">
        <v>1</v>
      </c>
      <c r="G510" t="n">
        <v/>
      </c>
      <c r="H510" t="inlineStr">
        <is>
          <t>GNG</t>
        </is>
      </c>
      <c r="I510" t="inlineStr">
        <is>
          <t>GR Engineering Services Ltd</t>
        </is>
      </c>
      <c r="J510" t="inlineStr">
        <is>
          <t>AUD</t>
        </is>
      </c>
      <c r="K510" s="5" t="inlineStr">
        <is>
          <t>01a1212c-4c04-75ce-bbb2-e3322e18816e</t>
        </is>
      </c>
      <c r="M510" t="inlineStr">
        <is>
          <t>UNKNOWN</t>
        </is>
      </c>
      <c r="N510" t="inlineStr">
        <is>
          <t>DEFAULT</t>
        </is>
      </c>
      <c r="Q510" t="n">
        <v>0</v>
      </c>
      <c r="R510" t="inlineStr">
        <is>
          <t>AUD</t>
        </is>
      </c>
      <c r="S510" t="n">
        <v>0</v>
      </c>
      <c r="T510" t="inlineStr">
        <is>
          <t>AUD</t>
        </is>
      </c>
      <c r="U510" t="n">
        <v>0</v>
      </c>
    </row>
    <row r="511">
      <c r="A511" s="5" t="inlineStr">
        <is>
          <t>01a1212c-539a-7636-874c-472e61e40855</t>
        </is>
      </c>
      <c r="C511" s="5" t="inlineStr">
        <is>
          <t>01a1212c-4b57-70cf-80fd-c2192cb3bf81</t>
        </is>
      </c>
      <c r="D511" s="4" t="n">
        <v>46304.62402253027</v>
      </c>
      <c r="E511" s="4" t="n">
        <v>46304.62402253033</v>
      </c>
      <c r="F511" t="b">
        <v>1</v>
      </c>
      <c r="G511" t="n">
        <v/>
      </c>
      <c r="H511" t="inlineStr">
        <is>
          <t>RBD</t>
        </is>
      </c>
      <c r="I511" t="inlineStr">
        <is>
          <t>Restaurant Brands New Zealand Ltd</t>
        </is>
      </c>
      <c r="J511" t="inlineStr">
        <is>
          <t>AUD</t>
        </is>
      </c>
      <c r="K511" s="5" t="inlineStr">
        <is>
          <t>01a1212c-4c04-75ce-bbb2-e3322e18816e</t>
        </is>
      </c>
      <c r="M511" t="inlineStr">
        <is>
          <t>UNKNOWN</t>
        </is>
      </c>
      <c r="N511" t="inlineStr">
        <is>
          <t>DEFAULT</t>
        </is>
      </c>
      <c r="Q511" t="n">
        <v>0</v>
      </c>
      <c r="R511" t="inlineStr">
        <is>
          <t>AUD</t>
        </is>
      </c>
      <c r="S511" t="n">
        <v>0</v>
      </c>
      <c r="T511" t="inlineStr">
        <is>
          <t>AUD</t>
        </is>
      </c>
      <c r="U511" t="n">
        <v>0</v>
      </c>
    </row>
    <row r="512">
      <c r="A512" s="5" t="inlineStr">
        <is>
          <t>01a1212c-539d-7462-8eb5-a9cf3202853b</t>
        </is>
      </c>
      <c r="C512" s="5" t="inlineStr">
        <is>
          <t>01a1212c-4b57-70cf-80fd-c2192cb3bf81</t>
        </is>
      </c>
      <c r="D512" s="4" t="n">
        <v>46304.62402256046</v>
      </c>
      <c r="E512" s="4" t="n">
        <v>46304.62402256054</v>
      </c>
      <c r="F512" t="b">
        <v>1</v>
      </c>
      <c r="G512" t="n">
        <v/>
      </c>
      <c r="H512" t="inlineStr">
        <is>
          <t>EHL</t>
        </is>
      </c>
      <c r="I512" t="inlineStr">
        <is>
          <t>Emeco Holdings Ltd</t>
        </is>
      </c>
      <c r="J512" t="inlineStr">
        <is>
          <t>AUD</t>
        </is>
      </c>
      <c r="K512" s="5" t="inlineStr">
        <is>
          <t>01a1212c-4c04-75ce-bbb2-e3322e18816e</t>
        </is>
      </c>
      <c r="M512" t="inlineStr">
        <is>
          <t>UNKNOWN</t>
        </is>
      </c>
      <c r="N512" t="inlineStr">
        <is>
          <t>DEFAULT</t>
        </is>
      </c>
      <c r="Q512" t="n">
        <v>0</v>
      </c>
      <c r="R512" t="inlineStr">
        <is>
          <t>AUD</t>
        </is>
      </c>
      <c r="S512" t="n">
        <v>0</v>
      </c>
      <c r="T512" t="inlineStr">
        <is>
          <t>AUD</t>
        </is>
      </c>
      <c r="U512" t="n">
        <v>0</v>
      </c>
    </row>
    <row r="513">
      <c r="A513" s="5" t="inlineStr">
        <is>
          <t>01a1212c-539f-70a1-9656-a9e2ae06e8df</t>
        </is>
      </c>
      <c r="C513" s="5" t="inlineStr">
        <is>
          <t>01a1212c-4b57-70cf-80fd-c2192cb3bf81</t>
        </is>
      </c>
      <c r="D513" s="4" t="n">
        <v>46304.62402259174</v>
      </c>
      <c r="E513" s="4" t="n">
        <v>46304.62402259181</v>
      </c>
      <c r="F513" t="b">
        <v>1</v>
      </c>
      <c r="G513" t="n">
        <v/>
      </c>
      <c r="H513" t="inlineStr">
        <is>
          <t>SVM</t>
        </is>
      </c>
      <c r="I513" t="inlineStr">
        <is>
          <t>Sovereign Metals Ltd</t>
        </is>
      </c>
      <c r="J513" t="inlineStr">
        <is>
          <t>AUD</t>
        </is>
      </c>
      <c r="K513" s="5" t="inlineStr">
        <is>
          <t>01a1212c-4c04-75ce-bbb2-e3322e18816e</t>
        </is>
      </c>
      <c r="M513" t="inlineStr">
        <is>
          <t>UNKNOWN</t>
        </is>
      </c>
      <c r="N513" t="inlineStr">
        <is>
          <t>DEFAULT</t>
        </is>
      </c>
      <c r="Q513" t="n">
        <v>0</v>
      </c>
      <c r="R513" t="inlineStr">
        <is>
          <t>AUD</t>
        </is>
      </c>
      <c r="S513" t="n">
        <v>0</v>
      </c>
      <c r="T513" t="inlineStr">
        <is>
          <t>AUD</t>
        </is>
      </c>
      <c r="U513" t="n">
        <v>0</v>
      </c>
    </row>
    <row r="514">
      <c r="A514" s="5" t="inlineStr">
        <is>
          <t>01a1212c-53a2-7125-8c43-359b676fcc5b</t>
        </is>
      </c>
      <c r="C514" s="5" t="inlineStr">
        <is>
          <t>01a1212c-4b57-70cf-80fd-c2192cb3bf81</t>
        </is>
      </c>
      <c r="D514" s="4" t="n">
        <v>46304.62402262428</v>
      </c>
      <c r="E514" s="4" t="n">
        <v>46304.62402262438</v>
      </c>
      <c r="F514" t="b">
        <v>1</v>
      </c>
      <c r="G514" t="n">
        <v/>
      </c>
      <c r="H514" t="inlineStr">
        <is>
          <t>AQZ</t>
        </is>
      </c>
      <c r="I514" t="inlineStr">
        <is>
          <t>Alliance Aviation Services Ltd</t>
        </is>
      </c>
      <c r="J514" t="inlineStr">
        <is>
          <t>AUD</t>
        </is>
      </c>
      <c r="K514" s="5" t="inlineStr">
        <is>
          <t>01a1212c-4c04-75ce-bbb2-e3322e18816e</t>
        </is>
      </c>
      <c r="M514" t="inlineStr">
        <is>
          <t>UNKNOWN</t>
        </is>
      </c>
      <c r="N514" t="inlineStr">
        <is>
          <t>DEFAULT</t>
        </is>
      </c>
      <c r="Q514" t="n">
        <v>0</v>
      </c>
      <c r="R514" t="inlineStr">
        <is>
          <t>AUD</t>
        </is>
      </c>
      <c r="S514" t="n">
        <v>0</v>
      </c>
      <c r="T514" t="inlineStr">
        <is>
          <t>AUD</t>
        </is>
      </c>
      <c r="U514" t="n">
        <v>0</v>
      </c>
    </row>
    <row r="515">
      <c r="A515" s="5" t="inlineStr">
        <is>
          <t>01a1212c-53a5-7163-b91e-6d6f3c591d77</t>
        </is>
      </c>
      <c r="C515" s="5" t="inlineStr">
        <is>
          <t>01a1212c-4b57-70cf-80fd-c2192cb3bf81</t>
        </is>
      </c>
      <c r="D515" s="4" t="n">
        <v>46304.62402265734</v>
      </c>
      <c r="E515" s="4" t="n">
        <v>46304.62402265741</v>
      </c>
      <c r="F515" t="b">
        <v>1</v>
      </c>
      <c r="G515" t="n">
        <v/>
      </c>
      <c r="H515" t="inlineStr">
        <is>
          <t>SYI</t>
        </is>
      </c>
      <c r="I515" t="inlineStr">
        <is>
          <t>SPDR MSCI Australia Select High Dividend Yield Fund</t>
        </is>
      </c>
      <c r="J515" t="inlineStr">
        <is>
          <t>AUD</t>
        </is>
      </c>
      <c r="K515" s="5" t="inlineStr">
        <is>
          <t>01a1212c-4c04-75ce-bbb2-e3322e18816e</t>
        </is>
      </c>
      <c r="M515" t="inlineStr">
        <is>
          <t>UNKNOWN</t>
        </is>
      </c>
      <c r="N515" t="inlineStr">
        <is>
          <t>DEFAULT</t>
        </is>
      </c>
      <c r="Q515" t="n">
        <v>0</v>
      </c>
      <c r="R515" t="inlineStr">
        <is>
          <t>AUD</t>
        </is>
      </c>
      <c r="S515" t="n">
        <v>0</v>
      </c>
      <c r="T515" t="inlineStr">
        <is>
          <t>AUD</t>
        </is>
      </c>
      <c r="U515" t="n">
        <v>0</v>
      </c>
    </row>
    <row r="516">
      <c r="A516" s="5" t="inlineStr">
        <is>
          <t>01a1212c-53a8-771b-95e1-ef82d92480ba</t>
        </is>
      </c>
      <c r="C516" s="5" t="inlineStr">
        <is>
          <t>01a1212c-4b57-70cf-80fd-c2192cb3bf81</t>
        </is>
      </c>
      <c r="D516" s="4" t="n">
        <v>46304.62402268771</v>
      </c>
      <c r="E516" s="4" t="n">
        <v>46304.62402268779</v>
      </c>
      <c r="F516" t="b">
        <v>1</v>
      </c>
      <c r="G516" t="n">
        <v/>
      </c>
      <c r="H516" t="inlineStr">
        <is>
          <t>LYL</t>
        </is>
      </c>
      <c r="I516" t="inlineStr">
        <is>
          <t>Lycopodium Ltd</t>
        </is>
      </c>
      <c r="J516" t="inlineStr">
        <is>
          <t>AUD</t>
        </is>
      </c>
      <c r="K516" s="5" t="inlineStr">
        <is>
          <t>01a1212c-4c04-75ce-bbb2-e3322e18816e</t>
        </is>
      </c>
      <c r="M516" t="inlineStr">
        <is>
          <t>UNKNOWN</t>
        </is>
      </c>
      <c r="N516" t="inlineStr">
        <is>
          <t>DEFAULT</t>
        </is>
      </c>
      <c r="Q516" t="n">
        <v>0</v>
      </c>
      <c r="R516" t="inlineStr">
        <is>
          <t>AUD</t>
        </is>
      </c>
      <c r="S516" t="n">
        <v>0</v>
      </c>
      <c r="T516" t="inlineStr">
        <is>
          <t>AUD</t>
        </is>
      </c>
      <c r="U516" t="n">
        <v>0</v>
      </c>
    </row>
    <row r="517">
      <c r="A517" s="5" t="inlineStr">
        <is>
          <t>01a1212c-53aa-75a5-af7d-519feec3dd19</t>
        </is>
      </c>
      <c r="C517" s="5" t="inlineStr">
        <is>
          <t>01a1212c-4b57-70cf-80fd-c2192cb3bf81</t>
        </is>
      </c>
      <c r="D517" s="4" t="n">
        <v>46304.62402271789</v>
      </c>
      <c r="E517" s="4" t="n">
        <v>46304.62402271797</v>
      </c>
      <c r="F517" t="b">
        <v>1</v>
      </c>
      <c r="G517" t="n">
        <v/>
      </c>
      <c r="H517" t="inlineStr">
        <is>
          <t>WXOZ</t>
        </is>
      </c>
      <c r="I517" t="inlineStr">
        <is>
          <t>SPDR S&amp;P World Ex Australia Carbon Control Fund</t>
        </is>
      </c>
      <c r="J517" t="inlineStr">
        <is>
          <t>AUD</t>
        </is>
      </c>
      <c r="K517" s="5" t="inlineStr">
        <is>
          <t>01a1212c-4c04-75ce-bbb2-e3322e18816e</t>
        </is>
      </c>
      <c r="M517" t="inlineStr">
        <is>
          <t>UNKNOWN</t>
        </is>
      </c>
      <c r="N517" t="inlineStr">
        <is>
          <t>DEFAULT</t>
        </is>
      </c>
      <c r="Q517" t="n">
        <v>0</v>
      </c>
      <c r="R517" t="inlineStr">
        <is>
          <t>AUD</t>
        </is>
      </c>
      <c r="S517" t="n">
        <v>0</v>
      </c>
      <c r="T517" t="inlineStr">
        <is>
          <t>AUD</t>
        </is>
      </c>
      <c r="U517" t="n">
        <v>0</v>
      </c>
    </row>
    <row r="518">
      <c r="A518" s="5" t="inlineStr">
        <is>
          <t>01a1212c-53ad-738a-9981-c6497894d859</t>
        </is>
      </c>
      <c r="C518" s="5" t="inlineStr">
        <is>
          <t>01a1212c-4b57-70cf-80fd-c2192cb3bf81</t>
        </is>
      </c>
      <c r="D518" s="4" t="n">
        <v>46304.62402274785</v>
      </c>
      <c r="E518" s="4" t="n">
        <v>46304.62402274793</v>
      </c>
      <c r="F518" t="b">
        <v>1</v>
      </c>
      <c r="G518" t="n">
        <v/>
      </c>
      <c r="H518" t="inlineStr">
        <is>
          <t>ADH</t>
        </is>
      </c>
      <c r="I518" t="inlineStr">
        <is>
          <t>Adairs Ltd</t>
        </is>
      </c>
      <c r="J518" t="inlineStr">
        <is>
          <t>AUD</t>
        </is>
      </c>
      <c r="K518" s="5" t="inlineStr">
        <is>
          <t>01a1212c-4c04-75ce-bbb2-e3322e18816e</t>
        </is>
      </c>
      <c r="M518" t="inlineStr">
        <is>
          <t>UNKNOWN</t>
        </is>
      </c>
      <c r="N518" t="inlineStr">
        <is>
          <t>DEFAULT</t>
        </is>
      </c>
      <c r="Q518" t="n">
        <v>0</v>
      </c>
      <c r="R518" t="inlineStr">
        <is>
          <t>AUD</t>
        </is>
      </c>
      <c r="S518" t="n">
        <v>0</v>
      </c>
      <c r="T518" t="inlineStr">
        <is>
          <t>AUD</t>
        </is>
      </c>
      <c r="U518" t="n">
        <v>0</v>
      </c>
    </row>
    <row r="519">
      <c r="A519" s="5" t="inlineStr">
        <is>
          <t>01a1212c-53af-775b-b072-fccd55f7b2cf</t>
        </is>
      </c>
      <c r="C519" s="5" t="inlineStr">
        <is>
          <t>01a1212c-4b57-70cf-80fd-c2192cb3bf81</t>
        </is>
      </c>
      <c r="D519" s="4" t="n">
        <v>46304.62402277814</v>
      </c>
      <c r="E519" s="4" t="n">
        <v>46304.62402277822</v>
      </c>
      <c r="F519" t="b">
        <v>1</v>
      </c>
      <c r="G519" t="n">
        <v/>
      </c>
      <c r="H519" t="inlineStr">
        <is>
          <t>BFG</t>
        </is>
      </c>
      <c r="I519" t="inlineStr">
        <is>
          <t>Bell Financial Group Ltd</t>
        </is>
      </c>
      <c r="J519" t="inlineStr">
        <is>
          <t>AUD</t>
        </is>
      </c>
      <c r="K519" s="5" t="inlineStr">
        <is>
          <t>01a1212c-4c04-75ce-bbb2-e3322e18816e</t>
        </is>
      </c>
      <c r="M519" t="inlineStr">
        <is>
          <t>UNKNOWN</t>
        </is>
      </c>
      <c r="N519" t="inlineStr">
        <is>
          <t>DEFAULT</t>
        </is>
      </c>
      <c r="Q519" t="n">
        <v>0</v>
      </c>
      <c r="R519" t="inlineStr">
        <is>
          <t>AUD</t>
        </is>
      </c>
      <c r="S519" t="n">
        <v>0</v>
      </c>
      <c r="T519" t="inlineStr">
        <is>
          <t>AUD</t>
        </is>
      </c>
      <c r="U519" t="n">
        <v>0</v>
      </c>
    </row>
    <row r="520">
      <c r="A520" s="5" t="inlineStr">
        <is>
          <t>01a1212c-53b2-7327-80f9-1b1fc550d308</t>
        </is>
      </c>
      <c r="C520" s="5" t="inlineStr">
        <is>
          <t>01a1212c-4b57-70cf-80fd-c2192cb3bf81</t>
        </is>
      </c>
      <c r="D520" s="4" t="n">
        <v>46304.62402281087</v>
      </c>
      <c r="E520" s="4" t="n">
        <v>46304.624022811</v>
      </c>
      <c r="F520" t="b">
        <v>1</v>
      </c>
      <c r="G520" t="n">
        <v/>
      </c>
      <c r="H520" t="inlineStr">
        <is>
          <t>CWP</t>
        </is>
      </c>
      <c r="I520" t="inlineStr">
        <is>
          <t>Cedar Woods Properties Ltd</t>
        </is>
      </c>
      <c r="J520" t="inlineStr">
        <is>
          <t>AUD</t>
        </is>
      </c>
      <c r="K520" s="5" t="inlineStr">
        <is>
          <t>01a1212c-4c04-75ce-bbb2-e3322e18816e</t>
        </is>
      </c>
      <c r="M520" t="inlineStr">
        <is>
          <t>UNKNOWN</t>
        </is>
      </c>
      <c r="N520" t="inlineStr">
        <is>
          <t>DEFAULT</t>
        </is>
      </c>
      <c r="Q520" t="n">
        <v>0</v>
      </c>
      <c r="R520" t="inlineStr">
        <is>
          <t>AUD</t>
        </is>
      </c>
      <c r="S520" t="n">
        <v>0</v>
      </c>
      <c r="T520" t="inlineStr">
        <is>
          <t>AUD</t>
        </is>
      </c>
      <c r="U520" t="n">
        <v>0</v>
      </c>
    </row>
    <row r="521">
      <c r="A521" s="5" t="inlineStr">
        <is>
          <t>01a1212c-53b5-7291-8ca1-eba575da8771</t>
        </is>
      </c>
      <c r="C521" s="5" t="inlineStr">
        <is>
          <t>01a1212c-4b57-70cf-80fd-c2192cb3bf81</t>
        </is>
      </c>
      <c r="D521" s="4" t="n">
        <v>46304.62402284358</v>
      </c>
      <c r="E521" s="4" t="n">
        <v>46304.62402284366</v>
      </c>
      <c r="F521" t="b">
        <v>1</v>
      </c>
      <c r="G521" t="n">
        <v/>
      </c>
      <c r="H521" t="inlineStr">
        <is>
          <t>DJRE</t>
        </is>
      </c>
      <c r="I521" t="inlineStr">
        <is>
          <t>SPDR Dow Jones Global Real Estate Esg Fund</t>
        </is>
      </c>
      <c r="J521" t="inlineStr">
        <is>
          <t>AUD</t>
        </is>
      </c>
      <c r="K521" s="5" t="inlineStr">
        <is>
          <t>01a1212c-4c04-75ce-bbb2-e3322e18816e</t>
        </is>
      </c>
      <c r="M521" t="inlineStr">
        <is>
          <t>UNKNOWN</t>
        </is>
      </c>
      <c r="N521" t="inlineStr">
        <is>
          <t>DEFAULT</t>
        </is>
      </c>
      <c r="Q521" t="n">
        <v>0</v>
      </c>
      <c r="R521" t="inlineStr">
        <is>
          <t>AUD</t>
        </is>
      </c>
      <c r="S521" t="n">
        <v>0</v>
      </c>
      <c r="T521" t="inlineStr">
        <is>
          <t>AUD</t>
        </is>
      </c>
      <c r="U521" t="n">
        <v>0</v>
      </c>
    </row>
    <row r="522">
      <c r="A522" s="5" t="inlineStr">
        <is>
          <t>01a1212c-53b8-7216-8492-5e6f92fb97f0</t>
        </is>
      </c>
      <c r="C522" s="5" t="inlineStr">
        <is>
          <t>01a1212c-4b57-70cf-80fd-c2192cb3bf81</t>
        </is>
      </c>
      <c r="D522" s="4" t="n">
        <v>46304.62402287414</v>
      </c>
      <c r="E522" s="4" t="n">
        <v>46304.62402287421</v>
      </c>
      <c r="F522" t="b">
        <v>1</v>
      </c>
      <c r="G522" t="n">
        <v/>
      </c>
      <c r="H522" t="inlineStr">
        <is>
          <t>SST</t>
        </is>
      </c>
      <c r="I522" t="inlineStr">
        <is>
          <t>Steamships Trading Company Ltd</t>
        </is>
      </c>
      <c r="J522" t="inlineStr">
        <is>
          <t>AUD</t>
        </is>
      </c>
      <c r="K522" s="5" t="inlineStr">
        <is>
          <t>01a1212c-4c04-75ce-bbb2-e3322e18816e</t>
        </is>
      </c>
      <c r="M522" t="inlineStr">
        <is>
          <t>UNKNOWN</t>
        </is>
      </c>
      <c r="N522" t="inlineStr">
        <is>
          <t>DEFAULT</t>
        </is>
      </c>
      <c r="Q522" t="n">
        <v>0</v>
      </c>
      <c r="R522" t="inlineStr">
        <is>
          <t>AUD</t>
        </is>
      </c>
      <c r="S522" t="n">
        <v>0</v>
      </c>
      <c r="T522" t="inlineStr">
        <is>
          <t>AUD</t>
        </is>
      </c>
      <c r="U522" t="n">
        <v>0</v>
      </c>
    </row>
    <row r="523">
      <c r="A523" s="5" t="inlineStr">
        <is>
          <t>01a1212c-53ba-7313-93f3-e472ec151fa5</t>
        </is>
      </c>
      <c r="C523" s="5" t="inlineStr">
        <is>
          <t>01a1212c-4b57-70cf-80fd-c2192cb3bf81</t>
        </is>
      </c>
      <c r="D523" s="4" t="n">
        <v>46304.62402290425</v>
      </c>
      <c r="E523" s="4" t="n">
        <v>46304.62402290433</v>
      </c>
      <c r="F523" t="b">
        <v>1</v>
      </c>
      <c r="G523" t="n">
        <v/>
      </c>
      <c r="H523" t="inlineStr">
        <is>
          <t>WMI</t>
        </is>
      </c>
      <c r="I523" t="inlineStr">
        <is>
          <t>Wam Microcap Ltd</t>
        </is>
      </c>
      <c r="J523" t="inlineStr">
        <is>
          <t>AUD</t>
        </is>
      </c>
      <c r="K523" s="5" t="inlineStr">
        <is>
          <t>01a1212c-4c04-75ce-bbb2-e3322e18816e</t>
        </is>
      </c>
      <c r="M523" t="inlineStr">
        <is>
          <t>COMPANY</t>
        </is>
      </c>
      <c r="N523" t="inlineStr">
        <is>
          <t>SUGGESTED</t>
        </is>
      </c>
      <c r="Q523" t="n">
        <v>0</v>
      </c>
      <c r="R523" t="inlineStr">
        <is>
          <t>AUD</t>
        </is>
      </c>
      <c r="S523" t="n">
        <v>0</v>
      </c>
      <c r="T523" t="inlineStr">
        <is>
          <t>AUD</t>
        </is>
      </c>
      <c r="U523" t="n">
        <v>0</v>
      </c>
    </row>
    <row r="524">
      <c r="A524" s="5" t="inlineStr">
        <is>
          <t>01a1212c-53bd-72a6-be2c-7ec9a5e4b535</t>
        </is>
      </c>
      <c r="C524" s="5" t="inlineStr">
        <is>
          <t>01a1212c-4b57-70cf-80fd-c2192cb3bf81</t>
        </is>
      </c>
      <c r="D524" s="4" t="n">
        <v>46304.62402293963</v>
      </c>
      <c r="E524" s="4" t="n">
        <v>46304.6240229397</v>
      </c>
      <c r="F524" t="b">
        <v>1</v>
      </c>
      <c r="G524" t="n">
        <v/>
      </c>
      <c r="H524" t="inlineStr">
        <is>
          <t>TRA</t>
        </is>
      </c>
      <c r="I524" t="inlineStr">
        <is>
          <t>Turners Automotive Group Ltd</t>
        </is>
      </c>
      <c r="J524" t="inlineStr">
        <is>
          <t>AUD</t>
        </is>
      </c>
      <c r="K524" s="5" t="inlineStr">
        <is>
          <t>01a1212c-4c04-75ce-bbb2-e3322e18816e</t>
        </is>
      </c>
      <c r="M524" t="inlineStr">
        <is>
          <t>UNKNOWN</t>
        </is>
      </c>
      <c r="N524" t="inlineStr">
        <is>
          <t>DEFAULT</t>
        </is>
      </c>
      <c r="Q524" t="n">
        <v>0</v>
      </c>
      <c r="R524" t="inlineStr">
        <is>
          <t>AUD</t>
        </is>
      </c>
      <c r="S524" t="n">
        <v>0</v>
      </c>
      <c r="T524" t="inlineStr">
        <is>
          <t>AUD</t>
        </is>
      </c>
      <c r="U524" t="n">
        <v>0</v>
      </c>
    </row>
    <row r="525">
      <c r="A525" s="5" t="inlineStr">
        <is>
          <t>01a1212c-53c0-7753-b4d6-be82ead1cc5c</t>
        </is>
      </c>
      <c r="C525" s="5" t="inlineStr">
        <is>
          <t>01a1212c-4b57-70cf-80fd-c2192cb3bf81</t>
        </is>
      </c>
      <c r="D525" s="4" t="n">
        <v>46304.62402297017</v>
      </c>
      <c r="E525" s="4" t="n">
        <v>46304.62402297025</v>
      </c>
      <c r="F525" t="b">
        <v>1</v>
      </c>
      <c r="G525" t="n">
        <v/>
      </c>
      <c r="H525" t="inlineStr">
        <is>
          <t>TWR</t>
        </is>
      </c>
      <c r="I525" t="inlineStr">
        <is>
          <t>Tower Ltd</t>
        </is>
      </c>
      <c r="J525" t="inlineStr">
        <is>
          <t>AUD</t>
        </is>
      </c>
      <c r="K525" s="5" t="inlineStr">
        <is>
          <t>01a1212c-4c04-75ce-bbb2-e3322e18816e</t>
        </is>
      </c>
      <c r="M525" t="inlineStr">
        <is>
          <t>UNKNOWN</t>
        </is>
      </c>
      <c r="N525" t="inlineStr">
        <is>
          <t>DEFAULT</t>
        </is>
      </c>
      <c r="Q525" t="n">
        <v>0</v>
      </c>
      <c r="R525" t="inlineStr">
        <is>
          <t>AUD</t>
        </is>
      </c>
      <c r="S525" t="n">
        <v>0</v>
      </c>
      <c r="T525" t="inlineStr">
        <is>
          <t>AUD</t>
        </is>
      </c>
      <c r="U525" t="n">
        <v>0</v>
      </c>
    </row>
    <row r="526">
      <c r="A526" s="5" t="inlineStr">
        <is>
          <t>01a1212c-53c3-75e3-bc83-cd92210bff1d</t>
        </is>
      </c>
      <c r="C526" s="5" t="inlineStr">
        <is>
          <t>01a1212c-4b57-70cf-80fd-c2192cb3bf81</t>
        </is>
      </c>
      <c r="D526" s="4" t="n">
        <v>46304.62402300081</v>
      </c>
      <c r="E526" s="4" t="n">
        <v>46304.62402300089</v>
      </c>
      <c r="F526" t="b">
        <v>1</v>
      </c>
      <c r="G526" t="n">
        <v/>
      </c>
      <c r="H526" t="inlineStr">
        <is>
          <t>INR</t>
        </is>
      </c>
      <c r="I526" t="inlineStr">
        <is>
          <t>Ioneer Ltd</t>
        </is>
      </c>
      <c r="J526" t="inlineStr">
        <is>
          <t>AUD</t>
        </is>
      </c>
      <c r="K526" s="5" t="inlineStr">
        <is>
          <t>01a1212c-4c04-75ce-bbb2-e3322e18816e</t>
        </is>
      </c>
      <c r="M526" t="inlineStr">
        <is>
          <t>UNKNOWN</t>
        </is>
      </c>
      <c r="N526" t="inlineStr">
        <is>
          <t>DEFAULT</t>
        </is>
      </c>
      <c r="Q526" t="n">
        <v>0</v>
      </c>
      <c r="R526" t="inlineStr">
        <is>
          <t>AUD</t>
        </is>
      </c>
      <c r="S526" t="n">
        <v>0</v>
      </c>
      <c r="T526" t="inlineStr">
        <is>
          <t>AUD</t>
        </is>
      </c>
      <c r="U526" t="n">
        <v>0</v>
      </c>
    </row>
    <row r="527">
      <c r="A527" s="5" t="inlineStr">
        <is>
          <t>01a1212c-53c5-7295-bdaf-59406502846e</t>
        </is>
      </c>
      <c r="C527" s="5" t="inlineStr">
        <is>
          <t>01a1212c-4b57-70cf-80fd-c2192cb3bf81</t>
        </is>
      </c>
      <c r="D527" s="4" t="n">
        <v>46304.62402303169</v>
      </c>
      <c r="E527" s="4" t="n">
        <v>46304.62402303177</v>
      </c>
      <c r="F527" t="b">
        <v>1</v>
      </c>
      <c r="G527" t="n">
        <v/>
      </c>
      <c r="H527" t="inlineStr">
        <is>
          <t>VBLD</t>
        </is>
      </c>
      <c r="I527" t="inlineStr">
        <is>
          <t>Vanguard Global Infrastructure INDEX ETF</t>
        </is>
      </c>
      <c r="J527" t="inlineStr">
        <is>
          <t>AUD</t>
        </is>
      </c>
      <c r="K527" s="5" t="inlineStr">
        <is>
          <t>01a1212c-4c04-75ce-bbb2-e3322e18816e</t>
        </is>
      </c>
      <c r="M527" t="inlineStr">
        <is>
          <t>UNKNOWN</t>
        </is>
      </c>
      <c r="N527" t="inlineStr">
        <is>
          <t>DEFAULT</t>
        </is>
      </c>
      <c r="Q527" t="n">
        <v>0</v>
      </c>
      <c r="R527" t="inlineStr">
        <is>
          <t>AUD</t>
        </is>
      </c>
      <c r="S527" t="n">
        <v>0</v>
      </c>
      <c r="T527" t="inlineStr">
        <is>
          <t>AUD</t>
        </is>
      </c>
      <c r="U527" t="n">
        <v>0</v>
      </c>
    </row>
    <row r="528">
      <c r="A528" s="5" t="inlineStr">
        <is>
          <t>01a1212c-53c8-70c3-ab62-b166243941ab</t>
        </is>
      </c>
      <c r="C528" s="5" t="inlineStr">
        <is>
          <t>01a1212c-4b57-70cf-80fd-c2192cb3bf81</t>
        </is>
      </c>
      <c r="D528" s="4" t="n">
        <v>46304.62402306496</v>
      </c>
      <c r="E528" s="4" t="n">
        <v>46304.62402306504</v>
      </c>
      <c r="F528" t="b">
        <v>1</v>
      </c>
      <c r="G528" t="n">
        <v/>
      </c>
      <c r="H528" t="inlineStr">
        <is>
          <t>TYR</t>
        </is>
      </c>
      <c r="I528" t="inlineStr">
        <is>
          <t>Tyro Payments Ltd</t>
        </is>
      </c>
      <c r="J528" t="inlineStr">
        <is>
          <t>AUD</t>
        </is>
      </c>
      <c r="K528" s="5" t="inlineStr">
        <is>
          <t>01a1212c-4c04-75ce-bbb2-e3322e18816e</t>
        </is>
      </c>
      <c r="M528" t="inlineStr">
        <is>
          <t>UNKNOWN</t>
        </is>
      </c>
      <c r="N528" t="inlineStr">
        <is>
          <t>DEFAULT</t>
        </is>
      </c>
      <c r="Q528" t="n">
        <v>0</v>
      </c>
      <c r="R528" t="inlineStr">
        <is>
          <t>AUD</t>
        </is>
      </c>
      <c r="S528" t="n">
        <v>0</v>
      </c>
      <c r="T528" t="inlineStr">
        <is>
          <t>AUD</t>
        </is>
      </c>
      <c r="U528" t="n">
        <v>0</v>
      </c>
    </row>
    <row r="529">
      <c r="A529" s="5" t="inlineStr">
        <is>
          <t>01a1212c-53cb-72a7-847f-b3804bd1aacb</t>
        </is>
      </c>
      <c r="C529" s="5" t="inlineStr">
        <is>
          <t>01a1212c-4b57-70cf-80fd-c2192cb3bf81</t>
        </is>
      </c>
      <c r="D529" s="4" t="n">
        <v>46304.62402309626</v>
      </c>
      <c r="E529" s="4" t="n">
        <v>46304.62402309634</v>
      </c>
      <c r="F529" t="b">
        <v>1</v>
      </c>
      <c r="G529" t="n">
        <v/>
      </c>
      <c r="H529" t="inlineStr">
        <is>
          <t>BC8</t>
        </is>
      </c>
      <c r="I529" t="inlineStr">
        <is>
          <t>Black Cat Syndicate Ltd</t>
        </is>
      </c>
      <c r="J529" t="inlineStr">
        <is>
          <t>AUD</t>
        </is>
      </c>
      <c r="K529" s="5" t="inlineStr">
        <is>
          <t>01a1212c-4c04-75ce-bbb2-e3322e18816e</t>
        </is>
      </c>
      <c r="M529" t="inlineStr">
        <is>
          <t>UNKNOWN</t>
        </is>
      </c>
      <c r="N529" t="inlineStr">
        <is>
          <t>DEFAULT</t>
        </is>
      </c>
      <c r="Q529" t="n">
        <v>0</v>
      </c>
      <c r="R529" t="inlineStr">
        <is>
          <t>AUD</t>
        </is>
      </c>
      <c r="S529" t="n">
        <v>0</v>
      </c>
      <c r="T529" t="inlineStr">
        <is>
          <t>AUD</t>
        </is>
      </c>
      <c r="U529" t="n">
        <v>0</v>
      </c>
    </row>
    <row r="530">
      <c r="A530" s="5" t="inlineStr">
        <is>
          <t>01a1212c-53ce-7527-947a-aaa4a9d72f4f</t>
        </is>
      </c>
      <c r="C530" s="5" t="inlineStr">
        <is>
          <t>01a1212c-4b57-70cf-80fd-c2192cb3bf81</t>
        </is>
      </c>
      <c r="D530" s="4" t="n">
        <v>46304.62402312963</v>
      </c>
      <c r="E530" s="4" t="n">
        <v>46304.62402312972</v>
      </c>
      <c r="F530" t="b">
        <v>1</v>
      </c>
      <c r="G530" t="n">
        <v/>
      </c>
      <c r="H530" t="inlineStr">
        <is>
          <t>AFG</t>
        </is>
      </c>
      <c r="I530" t="inlineStr">
        <is>
          <t>Australian Finance Group Ltd</t>
        </is>
      </c>
      <c r="J530" t="inlineStr">
        <is>
          <t>AUD</t>
        </is>
      </c>
      <c r="K530" s="5" t="inlineStr">
        <is>
          <t>01a1212c-4c04-75ce-bbb2-e3322e18816e</t>
        </is>
      </c>
      <c r="M530" t="inlineStr">
        <is>
          <t>UNKNOWN</t>
        </is>
      </c>
      <c r="N530" t="inlineStr">
        <is>
          <t>DEFAULT</t>
        </is>
      </c>
      <c r="Q530" t="n">
        <v>0</v>
      </c>
      <c r="R530" t="inlineStr">
        <is>
          <t>AUD</t>
        </is>
      </c>
      <c r="S530" t="n">
        <v>0</v>
      </c>
      <c r="T530" t="inlineStr">
        <is>
          <t>AUD</t>
        </is>
      </c>
      <c r="U530" t="n">
        <v>0</v>
      </c>
    </row>
    <row r="531">
      <c r="A531" s="5" t="inlineStr">
        <is>
          <t>01a1212c-53d1-7029-9ed0-6a0d6d0d738c</t>
        </is>
      </c>
      <c r="C531" s="5" t="inlineStr">
        <is>
          <t>01a1212c-4b57-70cf-80fd-c2192cb3bf81</t>
        </is>
      </c>
      <c r="D531" s="4" t="n">
        <v>46304.62402316184</v>
      </c>
      <c r="E531" s="4" t="n">
        <v>46304.62402316193</v>
      </c>
      <c r="F531" t="b">
        <v>1</v>
      </c>
      <c r="G531" t="n">
        <v/>
      </c>
      <c r="H531" t="inlineStr">
        <is>
          <t>SUNPI</t>
        </is>
      </c>
      <c r="I531" t="inlineStr">
        <is>
          <t>Suncorp Group Ltd</t>
        </is>
      </c>
      <c r="J531" t="inlineStr">
        <is>
          <t>AUD</t>
        </is>
      </c>
      <c r="K531" s="5" t="inlineStr">
        <is>
          <t>01a1212c-4c04-75ce-bbb2-e3322e18816e</t>
        </is>
      </c>
      <c r="M531" t="inlineStr">
        <is>
          <t>UNKNOWN</t>
        </is>
      </c>
      <c r="N531" t="inlineStr">
        <is>
          <t>DEFAULT</t>
        </is>
      </c>
      <c r="Q531" t="n">
        <v>0</v>
      </c>
      <c r="R531" t="inlineStr">
        <is>
          <t>AUD</t>
        </is>
      </c>
      <c r="S531" t="n">
        <v>0</v>
      </c>
      <c r="T531" t="inlineStr">
        <is>
          <t>AUD</t>
        </is>
      </c>
      <c r="U531" t="n">
        <v>0</v>
      </c>
    </row>
    <row r="532">
      <c r="A532" s="5" t="inlineStr">
        <is>
          <t>01a1212c-53d3-7748-a490-8ce63dd7af16</t>
        </is>
      </c>
      <c r="C532" s="5" t="inlineStr">
        <is>
          <t>01a1212c-4b57-70cf-80fd-c2192cb3bf81</t>
        </is>
      </c>
      <c r="D532" s="4" t="n">
        <v>46304.62402319314</v>
      </c>
      <c r="E532" s="4" t="n">
        <v>46304.62402319323</v>
      </c>
      <c r="F532" t="b">
        <v>1</v>
      </c>
      <c r="G532" t="n">
        <v/>
      </c>
      <c r="H532" t="inlineStr">
        <is>
          <t>SKO</t>
        </is>
      </c>
      <c r="I532" t="inlineStr">
        <is>
          <t>Serko Ltd</t>
        </is>
      </c>
      <c r="J532" t="inlineStr">
        <is>
          <t>AUD</t>
        </is>
      </c>
      <c r="K532" s="5" t="inlineStr">
        <is>
          <t>01a1212c-4c04-75ce-bbb2-e3322e18816e</t>
        </is>
      </c>
      <c r="M532" t="inlineStr">
        <is>
          <t>UNKNOWN</t>
        </is>
      </c>
      <c r="N532" t="inlineStr">
        <is>
          <t>DEFAULT</t>
        </is>
      </c>
      <c r="Q532" t="n">
        <v>0</v>
      </c>
      <c r="R532" t="inlineStr">
        <is>
          <t>AUD</t>
        </is>
      </c>
      <c r="S532" t="n">
        <v>0</v>
      </c>
      <c r="T532" t="inlineStr">
        <is>
          <t>AUD</t>
        </is>
      </c>
      <c r="U532" t="n">
        <v>0</v>
      </c>
    </row>
    <row r="533">
      <c r="A533" s="5" t="inlineStr">
        <is>
          <t>01a1212c-53d6-76ce-b240-35125beead69</t>
        </is>
      </c>
      <c r="C533" s="5" t="inlineStr">
        <is>
          <t>01a1212c-4b57-70cf-80fd-c2192cb3bf81</t>
        </is>
      </c>
      <c r="D533" s="4" t="n">
        <v>46304.62402322738</v>
      </c>
      <c r="E533" s="4" t="n">
        <v>46304.62402322748</v>
      </c>
      <c r="F533" t="b">
        <v>1</v>
      </c>
      <c r="G533" t="n">
        <v/>
      </c>
      <c r="H533" t="inlineStr">
        <is>
          <t>BOQPG</t>
        </is>
      </c>
      <c r="I533" t="inlineStr">
        <is>
          <t>Bank of Queensland Ltd</t>
        </is>
      </c>
      <c r="J533" t="inlineStr">
        <is>
          <t>AUD</t>
        </is>
      </c>
      <c r="K533" s="5" t="inlineStr">
        <is>
          <t>01a1212c-4c04-75ce-bbb2-e3322e18816e</t>
        </is>
      </c>
      <c r="M533" t="inlineStr">
        <is>
          <t>UNKNOWN</t>
        </is>
      </c>
      <c r="N533" t="inlineStr">
        <is>
          <t>DEFAULT</t>
        </is>
      </c>
      <c r="Q533" t="n">
        <v>0</v>
      </c>
      <c r="R533" t="inlineStr">
        <is>
          <t>AUD</t>
        </is>
      </c>
      <c r="S533" t="n">
        <v>0</v>
      </c>
      <c r="T533" t="inlineStr">
        <is>
          <t>AUD</t>
        </is>
      </c>
      <c r="U533" t="n">
        <v>0</v>
      </c>
    </row>
    <row r="534">
      <c r="A534" s="5" t="inlineStr">
        <is>
          <t>01a1212c-53d9-7318-ad27-92db7c654e98</t>
        </is>
      </c>
      <c r="C534" s="5" t="inlineStr">
        <is>
          <t>01a1212c-4b57-70cf-80fd-c2192cb3bf81</t>
        </is>
      </c>
      <c r="D534" s="4" t="n">
        <v>46304.62402325893</v>
      </c>
      <c r="E534" s="4" t="n">
        <v>46304.62402325904</v>
      </c>
      <c r="F534" t="b">
        <v>1</v>
      </c>
      <c r="G534" t="n">
        <v/>
      </c>
      <c r="H534" t="inlineStr">
        <is>
          <t>RARI</t>
        </is>
      </c>
      <c r="I534" t="inlineStr">
        <is>
          <t>Russell Investments Australian Responsible Investment ETF</t>
        </is>
      </c>
      <c r="J534" t="inlineStr">
        <is>
          <t>AUD</t>
        </is>
      </c>
      <c r="K534" s="5" t="inlineStr">
        <is>
          <t>01a1212c-4c04-75ce-bbb2-e3322e18816e</t>
        </is>
      </c>
      <c r="M534" t="inlineStr">
        <is>
          <t>UNKNOWN</t>
        </is>
      </c>
      <c r="N534" t="inlineStr">
        <is>
          <t>DEFAULT</t>
        </is>
      </c>
      <c r="Q534" t="n">
        <v>0</v>
      </c>
      <c r="R534" t="inlineStr">
        <is>
          <t>AUD</t>
        </is>
      </c>
      <c r="S534" t="n">
        <v>0</v>
      </c>
      <c r="T534" t="inlineStr">
        <is>
          <t>AUD</t>
        </is>
      </c>
      <c r="U534" t="n">
        <v>0</v>
      </c>
    </row>
    <row r="535">
      <c r="A535" s="5" t="inlineStr">
        <is>
          <t>01a1212c-53dc-73b6-a7e9-a8c2097186c3</t>
        </is>
      </c>
      <c r="C535" s="5" t="inlineStr">
        <is>
          <t>01a1212c-4b57-70cf-80fd-c2192cb3bf81</t>
        </is>
      </c>
      <c r="D535" s="4" t="n">
        <v>46304.62402329026</v>
      </c>
      <c r="E535" s="4" t="n">
        <v>46304.62402329034</v>
      </c>
      <c r="F535" t="b">
        <v>1</v>
      </c>
      <c r="G535" t="n">
        <v/>
      </c>
      <c r="H535" t="inlineStr">
        <is>
          <t>AYUPA</t>
        </is>
      </c>
      <c r="I535" t="inlineStr">
        <is>
          <t>Australian Unity Ltd</t>
        </is>
      </c>
      <c r="J535" t="inlineStr">
        <is>
          <t>AUD</t>
        </is>
      </c>
      <c r="K535" s="5" t="inlineStr">
        <is>
          <t>01a1212c-4c04-75ce-bbb2-e3322e18816e</t>
        </is>
      </c>
      <c r="M535" t="inlineStr">
        <is>
          <t>UNKNOWN</t>
        </is>
      </c>
      <c r="N535" t="inlineStr">
        <is>
          <t>DEFAULT</t>
        </is>
      </c>
      <c r="Q535" t="n">
        <v>0</v>
      </c>
      <c r="R535" t="inlineStr">
        <is>
          <t>AUD</t>
        </is>
      </c>
      <c r="S535" t="n">
        <v>0</v>
      </c>
      <c r="T535" t="inlineStr">
        <is>
          <t>AUD</t>
        </is>
      </c>
      <c r="U535" t="n">
        <v>0</v>
      </c>
    </row>
    <row r="536">
      <c r="A536" s="5" t="inlineStr">
        <is>
          <t>01a1212c-53df-7071-8462-222b209240be</t>
        </is>
      </c>
      <c r="C536" s="5" t="inlineStr">
        <is>
          <t>01a1212c-4b57-70cf-80fd-c2192cb3bf81</t>
        </is>
      </c>
      <c r="D536" s="4" t="n">
        <v>46304.62402332396</v>
      </c>
      <c r="E536" s="4" t="n">
        <v>46304.62402332404</v>
      </c>
      <c r="F536" t="b">
        <v>1</v>
      </c>
      <c r="G536" t="n">
        <v/>
      </c>
      <c r="H536" t="inlineStr">
        <is>
          <t>SYL</t>
        </is>
      </c>
      <c r="I536" t="inlineStr">
        <is>
          <t>Symal Group Ltd</t>
        </is>
      </c>
      <c r="J536" t="inlineStr">
        <is>
          <t>AUD</t>
        </is>
      </c>
      <c r="K536" s="5" t="inlineStr">
        <is>
          <t>01a1212c-4c04-75ce-bbb2-e3322e18816e</t>
        </is>
      </c>
      <c r="M536" t="inlineStr">
        <is>
          <t>UNKNOWN</t>
        </is>
      </c>
      <c r="N536" t="inlineStr">
        <is>
          <t>DEFAULT</t>
        </is>
      </c>
      <c r="Q536" t="n">
        <v>0</v>
      </c>
      <c r="R536" t="inlineStr">
        <is>
          <t>AUD</t>
        </is>
      </c>
      <c r="S536" t="n">
        <v>0</v>
      </c>
      <c r="T536" t="inlineStr">
        <is>
          <t>AUD</t>
        </is>
      </c>
      <c r="U536" t="n">
        <v>0</v>
      </c>
    </row>
    <row r="537">
      <c r="A537" s="5" t="inlineStr">
        <is>
          <t>01a1212c-53e1-75c6-8cc0-1587a5248f2f</t>
        </is>
      </c>
      <c r="C537" s="5" t="inlineStr">
        <is>
          <t>01a1212c-4b57-70cf-80fd-c2192cb3bf81</t>
        </is>
      </c>
      <c r="D537" s="4" t="n">
        <v>46304.62402335742</v>
      </c>
      <c r="E537" s="4" t="n">
        <v>46304.6240233575</v>
      </c>
      <c r="F537" t="b">
        <v>1</v>
      </c>
      <c r="G537" t="n">
        <v/>
      </c>
      <c r="H537" t="inlineStr">
        <is>
          <t>PMC</t>
        </is>
      </c>
      <c r="I537" t="inlineStr">
        <is>
          <t>Platinum Capital Ltd</t>
        </is>
      </c>
      <c r="J537" t="inlineStr">
        <is>
          <t>AUD</t>
        </is>
      </c>
      <c r="K537" s="5" t="inlineStr">
        <is>
          <t>01a1212c-4c04-75ce-bbb2-e3322e18816e</t>
        </is>
      </c>
      <c r="M537" t="inlineStr">
        <is>
          <t>UNKNOWN</t>
        </is>
      </c>
      <c r="N537" t="inlineStr">
        <is>
          <t>DEFAULT</t>
        </is>
      </c>
      <c r="Q537" t="n">
        <v>0</v>
      </c>
      <c r="R537" t="inlineStr">
        <is>
          <t>AUD</t>
        </is>
      </c>
      <c r="S537" t="n">
        <v>0</v>
      </c>
      <c r="T537" t="inlineStr">
        <is>
          <t>AUD</t>
        </is>
      </c>
      <c r="U537" t="n">
        <v>0</v>
      </c>
    </row>
    <row r="538">
      <c r="A538" s="5" t="inlineStr">
        <is>
          <t>01a1212c-53e4-76b4-a188-6363ddb814ef</t>
        </is>
      </c>
      <c r="C538" s="5" t="inlineStr">
        <is>
          <t>01a1212c-4b57-70cf-80fd-c2192cb3bf81</t>
        </is>
      </c>
      <c r="D538" s="4" t="n">
        <v>46304.6240233885</v>
      </c>
      <c r="E538" s="4" t="n">
        <v>46304.62402338858</v>
      </c>
      <c r="F538" t="b">
        <v>1</v>
      </c>
      <c r="G538" t="n">
        <v/>
      </c>
      <c r="H538" t="inlineStr">
        <is>
          <t>ALI</t>
        </is>
      </c>
      <c r="I538" t="inlineStr">
        <is>
          <t>Argo Global Listed Infrastructure Ltd</t>
        </is>
      </c>
      <c r="J538" t="inlineStr">
        <is>
          <t>AUD</t>
        </is>
      </c>
      <c r="K538" s="5" t="inlineStr">
        <is>
          <t>01a1212c-4c04-75ce-bbb2-e3322e18816e</t>
        </is>
      </c>
      <c r="M538" t="inlineStr">
        <is>
          <t>UNKNOWN</t>
        </is>
      </c>
      <c r="N538" t="inlineStr">
        <is>
          <t>DEFAULT</t>
        </is>
      </c>
      <c r="Q538" t="n">
        <v>0</v>
      </c>
      <c r="R538" t="inlineStr">
        <is>
          <t>AUD</t>
        </is>
      </c>
      <c r="S538" t="n">
        <v>0</v>
      </c>
      <c r="T538" t="inlineStr">
        <is>
          <t>AUD</t>
        </is>
      </c>
      <c r="U538" t="n">
        <v>0</v>
      </c>
    </row>
    <row r="539">
      <c r="A539" s="5" t="inlineStr">
        <is>
          <t>01a1212c-53e7-75f9-aaea-980fb9c945cb</t>
        </is>
      </c>
      <c r="C539" s="5" t="inlineStr">
        <is>
          <t>01a1212c-4b57-70cf-80fd-c2192cb3bf81</t>
        </is>
      </c>
      <c r="D539" s="4" t="n">
        <v>46304.62402341916</v>
      </c>
      <c r="E539" s="4" t="n">
        <v>46304.62402341922</v>
      </c>
      <c r="F539" t="b">
        <v>1</v>
      </c>
      <c r="G539" t="n">
        <v/>
      </c>
      <c r="H539" t="inlineStr">
        <is>
          <t>WCMQ</t>
        </is>
      </c>
      <c r="I539" t="inlineStr">
        <is>
          <t>WCM Quality Global Growth Fund (Quoted Managed Fund)</t>
        </is>
      </c>
      <c r="J539" t="inlineStr">
        <is>
          <t>AUD</t>
        </is>
      </c>
      <c r="K539" s="5" t="inlineStr">
        <is>
          <t>01a1212c-4c04-75ce-bbb2-e3322e18816e</t>
        </is>
      </c>
      <c r="M539" t="inlineStr">
        <is>
          <t>UNKNOWN</t>
        </is>
      </c>
      <c r="N539" t="inlineStr">
        <is>
          <t>DEFAULT</t>
        </is>
      </c>
      <c r="Q539" t="n">
        <v>0</v>
      </c>
      <c r="R539" t="inlineStr">
        <is>
          <t>AUD</t>
        </is>
      </c>
      <c r="S539" t="n">
        <v>0</v>
      </c>
      <c r="T539" t="inlineStr">
        <is>
          <t>AUD</t>
        </is>
      </c>
      <c r="U539" t="n">
        <v>0</v>
      </c>
    </row>
    <row r="540">
      <c r="A540" s="5" t="inlineStr">
        <is>
          <t>01a1212c-53e9-75f8-baae-463fc9f34333</t>
        </is>
      </c>
      <c r="C540" s="5" t="inlineStr">
        <is>
          <t>01a1212c-4b57-70cf-80fd-c2192cb3bf81</t>
        </is>
      </c>
      <c r="D540" s="4" t="n">
        <v>46304.62402344976</v>
      </c>
      <c r="E540" s="4" t="n">
        <v>46304.62402344984</v>
      </c>
      <c r="F540" t="b">
        <v>1</v>
      </c>
      <c r="G540" t="n">
        <v/>
      </c>
      <c r="H540" t="inlineStr">
        <is>
          <t>PPS</t>
        </is>
      </c>
      <c r="I540" t="inlineStr">
        <is>
          <t>Praemium Ltd</t>
        </is>
      </c>
      <c r="J540" t="inlineStr">
        <is>
          <t>AUD</t>
        </is>
      </c>
      <c r="K540" s="5" t="inlineStr">
        <is>
          <t>01a1212c-4c04-75ce-bbb2-e3322e18816e</t>
        </is>
      </c>
      <c r="M540" t="inlineStr">
        <is>
          <t>UNKNOWN</t>
        </is>
      </c>
      <c r="N540" t="inlineStr">
        <is>
          <t>DEFAULT</t>
        </is>
      </c>
      <c r="Q540" t="n">
        <v>0</v>
      </c>
      <c r="R540" t="inlineStr">
        <is>
          <t>AUD</t>
        </is>
      </c>
      <c r="S540" t="n">
        <v>0</v>
      </c>
      <c r="T540" t="inlineStr">
        <is>
          <t>AUD</t>
        </is>
      </c>
      <c r="U540" t="n">
        <v>0</v>
      </c>
    </row>
    <row r="541">
      <c r="A541" s="5" t="inlineStr">
        <is>
          <t>01a1212c-53ec-74ed-b631-34e683895941</t>
        </is>
      </c>
      <c r="C541" s="5" t="inlineStr">
        <is>
          <t>01a1212c-4b57-70cf-80fd-c2192cb3bf81</t>
        </is>
      </c>
      <c r="D541" s="4" t="n">
        <v>46304.62402348113</v>
      </c>
      <c r="E541" s="4" t="n">
        <v>46304.62402348121</v>
      </c>
      <c r="F541" t="b">
        <v>1</v>
      </c>
      <c r="G541" t="n">
        <v/>
      </c>
      <c r="H541" t="inlineStr">
        <is>
          <t>IMR</t>
        </is>
      </c>
      <c r="I541" t="inlineStr">
        <is>
          <t>Imricor Medical Systems Inc</t>
        </is>
      </c>
      <c r="J541" t="inlineStr">
        <is>
          <t>AUD</t>
        </is>
      </c>
      <c r="K541" s="5" t="inlineStr">
        <is>
          <t>01a1212c-4c04-75ce-bbb2-e3322e18816e</t>
        </is>
      </c>
      <c r="M541" t="inlineStr">
        <is>
          <t>UNKNOWN</t>
        </is>
      </c>
      <c r="N541" t="inlineStr">
        <is>
          <t>DEFAULT</t>
        </is>
      </c>
      <c r="Q541" t="n">
        <v>0</v>
      </c>
      <c r="R541" t="inlineStr">
        <is>
          <t>AUD</t>
        </is>
      </c>
      <c r="S541" t="n">
        <v>0</v>
      </c>
      <c r="T541" t="inlineStr">
        <is>
          <t>AUD</t>
        </is>
      </c>
      <c r="U541" t="n">
        <v>0</v>
      </c>
    </row>
    <row r="542">
      <c r="A542" s="5" t="inlineStr">
        <is>
          <t>01a1212c-53ef-7117-8c01-41d966b1fd06</t>
        </is>
      </c>
      <c r="C542" s="5" t="inlineStr">
        <is>
          <t>01a1212c-4b57-70cf-80fd-c2192cb3bf81</t>
        </is>
      </c>
      <c r="D542" s="4" t="n">
        <v>46304.62402351419</v>
      </c>
      <c r="E542" s="4" t="n">
        <v>46304.62402351427</v>
      </c>
      <c r="F542" t="b">
        <v>1</v>
      </c>
      <c r="G542" t="n">
        <v/>
      </c>
      <c r="H542" t="inlineStr">
        <is>
          <t>MLX</t>
        </is>
      </c>
      <c r="I542" t="inlineStr">
        <is>
          <t>Metals X Ltd</t>
        </is>
      </c>
      <c r="J542" t="inlineStr">
        <is>
          <t>AUD</t>
        </is>
      </c>
      <c r="K542" s="5" t="inlineStr">
        <is>
          <t>01a1212c-4c04-75ce-bbb2-e3322e18816e</t>
        </is>
      </c>
      <c r="M542" t="inlineStr">
        <is>
          <t>UNKNOWN</t>
        </is>
      </c>
      <c r="N542" t="inlineStr">
        <is>
          <t>DEFAULT</t>
        </is>
      </c>
      <c r="Q542" t="n">
        <v>0</v>
      </c>
      <c r="R542" t="inlineStr">
        <is>
          <t>AUD</t>
        </is>
      </c>
      <c r="S542" t="n">
        <v>0</v>
      </c>
      <c r="T542" t="inlineStr">
        <is>
          <t>AUD</t>
        </is>
      </c>
      <c r="U542" t="n">
        <v>0</v>
      </c>
    </row>
    <row r="543">
      <c r="A543" s="5" t="inlineStr">
        <is>
          <t>01a1212c-53f2-749c-a260-f1578de300bc</t>
        </is>
      </c>
      <c r="C543" s="5" t="inlineStr">
        <is>
          <t>01a1212c-4b57-70cf-80fd-c2192cb3bf81</t>
        </is>
      </c>
      <c r="D543" s="4" t="n">
        <v>46304.62402354492</v>
      </c>
      <c r="E543" s="4" t="n">
        <v>46304.624023545</v>
      </c>
      <c r="F543" t="b">
        <v>1</v>
      </c>
      <c r="G543" t="n">
        <v/>
      </c>
      <c r="H543" t="inlineStr">
        <is>
          <t>PTM</t>
        </is>
      </c>
      <c r="I543" t="inlineStr">
        <is>
          <t>Platinum Asset Management Ltd</t>
        </is>
      </c>
      <c r="J543" t="inlineStr">
        <is>
          <t>AUD</t>
        </is>
      </c>
      <c r="K543" s="5" t="inlineStr">
        <is>
          <t>01a1212c-4c04-75ce-bbb2-e3322e18816e</t>
        </is>
      </c>
      <c r="M543" t="inlineStr">
        <is>
          <t>UNKNOWN</t>
        </is>
      </c>
      <c r="N543" t="inlineStr">
        <is>
          <t>DEFAULT</t>
        </is>
      </c>
      <c r="Q543" t="n">
        <v>0</v>
      </c>
      <c r="R543" t="inlineStr">
        <is>
          <t>AUD</t>
        </is>
      </c>
      <c r="S543" t="n">
        <v>0</v>
      </c>
      <c r="T543" t="inlineStr">
        <is>
          <t>AUD</t>
        </is>
      </c>
      <c r="U543" t="n">
        <v>0</v>
      </c>
    </row>
    <row r="544">
      <c r="A544" s="5" t="inlineStr">
        <is>
          <t>01a1212c-53f4-7434-9bc1-923e76c97cd6</t>
        </is>
      </c>
      <c r="C544" s="5" t="inlineStr">
        <is>
          <t>01a1212c-4b57-70cf-80fd-c2192cb3bf81</t>
        </is>
      </c>
      <c r="D544" s="4" t="n">
        <v>46304.62402357568</v>
      </c>
      <c r="E544" s="4" t="n">
        <v>46304.62402357575</v>
      </c>
      <c r="F544" t="b">
        <v>1</v>
      </c>
      <c r="G544" t="n">
        <v/>
      </c>
      <c r="H544" t="inlineStr">
        <is>
          <t>MVR</t>
        </is>
      </c>
      <c r="I544" t="inlineStr">
        <is>
          <t>Vaneck Australian Resources ETF</t>
        </is>
      </c>
      <c r="J544" t="inlineStr">
        <is>
          <t>AUD</t>
        </is>
      </c>
      <c r="K544" s="5" t="inlineStr">
        <is>
          <t>01a1212c-4c04-75ce-bbb2-e3322e18816e</t>
        </is>
      </c>
      <c r="M544" t="inlineStr">
        <is>
          <t>UNKNOWN</t>
        </is>
      </c>
      <c r="N544" t="inlineStr">
        <is>
          <t>DEFAULT</t>
        </is>
      </c>
      <c r="Q544" t="n">
        <v>0</v>
      </c>
      <c r="R544" t="inlineStr">
        <is>
          <t>AUD</t>
        </is>
      </c>
      <c r="S544" t="n">
        <v>0</v>
      </c>
      <c r="T544" t="inlineStr">
        <is>
          <t>AUD</t>
        </is>
      </c>
      <c r="U544" t="n">
        <v>0</v>
      </c>
    </row>
    <row r="545">
      <c r="A545" s="5" t="inlineStr">
        <is>
          <t>01a1212c-53f7-742d-a4d6-7205c8e52aa1</t>
        </is>
      </c>
      <c r="C545" s="5" t="inlineStr">
        <is>
          <t>01a1212c-4b57-70cf-80fd-c2192cb3bf81</t>
        </is>
      </c>
      <c r="D545" s="4" t="n">
        <v>46304.62402360665</v>
      </c>
      <c r="E545" s="4" t="n">
        <v>46304.62402360674</v>
      </c>
      <c r="F545" t="b">
        <v>1</v>
      </c>
      <c r="G545" t="n">
        <v/>
      </c>
      <c r="H545" t="inlineStr">
        <is>
          <t>CGFPC</t>
        </is>
      </c>
      <c r="I545" t="inlineStr">
        <is>
          <t>Challenger Ltd</t>
        </is>
      </c>
      <c r="J545" t="inlineStr">
        <is>
          <t>AUD</t>
        </is>
      </c>
      <c r="K545" s="5" t="inlineStr">
        <is>
          <t>01a1212c-4c04-75ce-bbb2-e3322e18816e</t>
        </is>
      </c>
      <c r="M545" t="inlineStr">
        <is>
          <t>UNKNOWN</t>
        </is>
      </c>
      <c r="N545" t="inlineStr">
        <is>
          <t>DEFAULT</t>
        </is>
      </c>
      <c r="Q545" t="n">
        <v>0</v>
      </c>
      <c r="R545" t="inlineStr">
        <is>
          <t>AUD</t>
        </is>
      </c>
      <c r="S545" t="n">
        <v>0</v>
      </c>
      <c r="T545" t="inlineStr">
        <is>
          <t>AUD</t>
        </is>
      </c>
      <c r="U545" t="n">
        <v>0</v>
      </c>
    </row>
    <row r="546">
      <c r="A546" s="5" t="inlineStr">
        <is>
          <t>01a1212c-53fa-7483-8859-5bccd40085a6</t>
        </is>
      </c>
      <c r="C546" s="5" t="inlineStr">
        <is>
          <t>01a1212c-4b57-70cf-80fd-c2192cb3bf81</t>
        </is>
      </c>
      <c r="D546" s="4" t="n">
        <v>46304.62402363913</v>
      </c>
      <c r="E546" s="4" t="n">
        <v>46304.62402363921</v>
      </c>
      <c r="F546" t="b">
        <v>1</v>
      </c>
      <c r="G546" t="n">
        <v/>
      </c>
      <c r="H546" t="inlineStr">
        <is>
          <t>AVJ</t>
        </is>
      </c>
      <c r="I546" t="inlineStr">
        <is>
          <t>Avjennings Ltd</t>
        </is>
      </c>
      <c r="J546" t="inlineStr">
        <is>
          <t>AUD</t>
        </is>
      </c>
      <c r="K546" s="5" t="inlineStr">
        <is>
          <t>01a1212c-4c04-75ce-bbb2-e3322e18816e</t>
        </is>
      </c>
      <c r="M546" t="inlineStr">
        <is>
          <t>UNKNOWN</t>
        </is>
      </c>
      <c r="N546" t="inlineStr">
        <is>
          <t>DEFAULT</t>
        </is>
      </c>
      <c r="Q546" t="n">
        <v>0</v>
      </c>
      <c r="R546" t="inlineStr">
        <is>
          <t>AUD</t>
        </is>
      </c>
      <c r="S546" t="n">
        <v>0</v>
      </c>
      <c r="T546" t="inlineStr">
        <is>
          <t>AUD</t>
        </is>
      </c>
      <c r="U546" t="n">
        <v>0</v>
      </c>
    </row>
    <row r="547">
      <c r="A547" s="5" t="inlineStr">
        <is>
          <t>01a1212c-53fd-7422-81ea-6fa016b707a1</t>
        </is>
      </c>
      <c r="C547" s="5" t="inlineStr">
        <is>
          <t>01a1212c-4b57-70cf-80fd-c2192cb3bf81</t>
        </is>
      </c>
      <c r="D547" s="4" t="n">
        <v>46304.62402367291</v>
      </c>
      <c r="E547" s="4" t="n">
        <v>46304.62402367299</v>
      </c>
      <c r="F547" t="b">
        <v>1</v>
      </c>
      <c r="G547" t="n">
        <v/>
      </c>
      <c r="H547" t="inlineStr">
        <is>
          <t>SUNPH</t>
        </is>
      </c>
      <c r="I547" t="inlineStr">
        <is>
          <t>Suncorp Group Ltd</t>
        </is>
      </c>
      <c r="J547" t="inlineStr">
        <is>
          <t>AUD</t>
        </is>
      </c>
      <c r="K547" s="5" t="inlineStr">
        <is>
          <t>01a1212c-4c04-75ce-bbb2-e3322e18816e</t>
        </is>
      </c>
      <c r="M547" t="inlineStr">
        <is>
          <t>UNKNOWN</t>
        </is>
      </c>
      <c r="N547" t="inlineStr">
        <is>
          <t>DEFAULT</t>
        </is>
      </c>
      <c r="Q547" t="n">
        <v>0</v>
      </c>
      <c r="R547" t="inlineStr">
        <is>
          <t>AUD</t>
        </is>
      </c>
      <c r="S547" t="n">
        <v>0</v>
      </c>
      <c r="T547" t="inlineStr">
        <is>
          <t>AUD</t>
        </is>
      </c>
      <c r="U547" t="n">
        <v>0</v>
      </c>
    </row>
    <row r="548">
      <c r="A548" s="5" t="inlineStr">
        <is>
          <t>01a1212c-53ff-7544-8554-e44a5b1397bc</t>
        </is>
      </c>
      <c r="C548" s="5" t="inlineStr">
        <is>
          <t>01a1212c-4b57-70cf-80fd-c2192cb3bf81</t>
        </is>
      </c>
      <c r="D548" s="4" t="n">
        <v>46304.62402370456</v>
      </c>
      <c r="E548" s="4" t="n">
        <v>46304.62402370463</v>
      </c>
      <c r="F548" t="b">
        <v>1</v>
      </c>
      <c r="G548" t="n">
        <v/>
      </c>
      <c r="H548" t="inlineStr">
        <is>
          <t>THL</t>
        </is>
      </c>
      <c r="I548" t="inlineStr">
        <is>
          <t>Tourism Holdings Rentals Ltd</t>
        </is>
      </c>
      <c r="J548" t="inlineStr">
        <is>
          <t>AUD</t>
        </is>
      </c>
      <c r="K548" s="5" t="inlineStr">
        <is>
          <t>01a1212c-4c04-75ce-bbb2-e3322e18816e</t>
        </is>
      </c>
      <c r="M548" t="inlineStr">
        <is>
          <t>UNKNOWN</t>
        </is>
      </c>
      <c r="N548" t="inlineStr">
        <is>
          <t>DEFAULT</t>
        </is>
      </c>
      <c r="Q548" t="n">
        <v>0</v>
      </c>
      <c r="R548" t="inlineStr">
        <is>
          <t>AUD</t>
        </is>
      </c>
      <c r="S548" t="n">
        <v>0</v>
      </c>
      <c r="T548" t="inlineStr">
        <is>
          <t>AUD</t>
        </is>
      </c>
      <c r="U548" t="n">
        <v>0</v>
      </c>
    </row>
    <row r="549">
      <c r="A549" s="5" t="inlineStr">
        <is>
          <t>01a1212c-5402-768f-818b-0b615057fdc8</t>
        </is>
      </c>
      <c r="C549" s="5" t="inlineStr">
        <is>
          <t>01a1212c-4b57-70cf-80fd-c2192cb3bf81</t>
        </is>
      </c>
      <c r="D549" s="4" t="n">
        <v>46304.6240237352</v>
      </c>
      <c r="E549" s="4" t="n">
        <v>46304.62402373527</v>
      </c>
      <c r="F549" t="b">
        <v>1</v>
      </c>
      <c r="G549" t="n">
        <v/>
      </c>
      <c r="H549" t="inlineStr">
        <is>
          <t>ATA</t>
        </is>
      </c>
      <c r="I549" t="inlineStr">
        <is>
          <t>Atturra Ltd</t>
        </is>
      </c>
      <c r="J549" t="inlineStr">
        <is>
          <t>AUD</t>
        </is>
      </c>
      <c r="K549" s="5" t="inlineStr">
        <is>
          <t>01a1212c-4c04-75ce-bbb2-e3322e18816e</t>
        </is>
      </c>
      <c r="M549" t="inlineStr">
        <is>
          <t>UNKNOWN</t>
        </is>
      </c>
      <c r="N549" t="inlineStr">
        <is>
          <t>DEFAULT</t>
        </is>
      </c>
      <c r="Q549" t="n">
        <v>0</v>
      </c>
      <c r="R549" t="inlineStr">
        <is>
          <t>AUD</t>
        </is>
      </c>
      <c r="S549" t="n">
        <v>0</v>
      </c>
      <c r="T549" t="inlineStr">
        <is>
          <t>AUD</t>
        </is>
      </c>
      <c r="U549" t="n">
        <v>0</v>
      </c>
    </row>
    <row r="550">
      <c r="A550" s="5" t="inlineStr">
        <is>
          <t>01a1212c-5405-7425-a67b-99707c925916</t>
        </is>
      </c>
      <c r="C550" s="5" t="inlineStr">
        <is>
          <t>01a1212c-4b57-70cf-80fd-c2192cb3bf81</t>
        </is>
      </c>
      <c r="D550" s="4" t="n">
        <v>46304.62402376629</v>
      </c>
      <c r="E550" s="4" t="n">
        <v>46304.62402376638</v>
      </c>
      <c r="F550" t="b">
        <v>1</v>
      </c>
      <c r="G550" t="n">
        <v/>
      </c>
      <c r="H550" t="inlineStr">
        <is>
          <t>RMC</t>
        </is>
      </c>
      <c r="I550" t="inlineStr">
        <is>
          <t>Resimac Group Ltd</t>
        </is>
      </c>
      <c r="J550" t="inlineStr">
        <is>
          <t>AUD</t>
        </is>
      </c>
      <c r="K550" s="5" t="inlineStr">
        <is>
          <t>01a1212c-4c04-75ce-bbb2-e3322e18816e</t>
        </is>
      </c>
      <c r="M550" t="inlineStr">
        <is>
          <t>UNKNOWN</t>
        </is>
      </c>
      <c r="N550" t="inlineStr">
        <is>
          <t>DEFAULT</t>
        </is>
      </c>
      <c r="Q550" t="n">
        <v>0</v>
      </c>
      <c r="R550" t="inlineStr">
        <is>
          <t>AUD</t>
        </is>
      </c>
      <c r="S550" t="n">
        <v>0</v>
      </c>
      <c r="T550" t="inlineStr">
        <is>
          <t>AUD</t>
        </is>
      </c>
      <c r="U550" t="n">
        <v>0</v>
      </c>
    </row>
    <row r="551">
      <c r="A551" s="5" t="inlineStr">
        <is>
          <t>01a1212c-5408-705f-aba7-f679e16cbaf5</t>
        </is>
      </c>
      <c r="C551" s="5" t="inlineStr">
        <is>
          <t>01a1212c-4b57-70cf-80fd-c2192cb3bf81</t>
        </is>
      </c>
      <c r="D551" s="4" t="n">
        <v>46304.62402379952</v>
      </c>
      <c r="E551" s="4" t="n">
        <v>46304.62402379961</v>
      </c>
      <c r="F551" t="b">
        <v>1</v>
      </c>
      <c r="G551" t="n">
        <v/>
      </c>
      <c r="H551" t="inlineStr">
        <is>
          <t>DXC</t>
        </is>
      </c>
      <c r="I551" t="inlineStr">
        <is>
          <t>Dexus Convenience Retail REIT</t>
        </is>
      </c>
      <c r="J551" t="inlineStr">
        <is>
          <t>AUD</t>
        </is>
      </c>
      <c r="K551" s="5" t="inlineStr">
        <is>
          <t>01a1212c-4c04-75ce-bbb2-e3322e18816e</t>
        </is>
      </c>
      <c r="M551" t="inlineStr">
        <is>
          <t>UNKNOWN</t>
        </is>
      </c>
      <c r="N551" t="inlineStr">
        <is>
          <t>DEFAULT</t>
        </is>
      </c>
      <c r="Q551" t="n">
        <v>0</v>
      </c>
      <c r="R551" t="inlineStr">
        <is>
          <t>AUD</t>
        </is>
      </c>
      <c r="S551" t="n">
        <v>0</v>
      </c>
      <c r="T551" t="inlineStr">
        <is>
          <t>AUD</t>
        </is>
      </c>
      <c r="U551" t="n">
        <v>0</v>
      </c>
    </row>
    <row r="552">
      <c r="A552" s="5" t="inlineStr">
        <is>
          <t>01a1212c-540a-730d-81d9-a660d15f2344</t>
        </is>
      </c>
      <c r="C552" s="5" t="inlineStr">
        <is>
          <t>01a1212c-4b57-70cf-80fd-c2192cb3bf81</t>
        </is>
      </c>
      <c r="D552" s="4" t="n">
        <v>46304.62402383008</v>
      </c>
      <c r="E552" s="4" t="n">
        <v>46304.62402383016</v>
      </c>
      <c r="F552" t="b">
        <v>1</v>
      </c>
      <c r="G552" t="n">
        <v/>
      </c>
      <c r="H552" t="inlineStr">
        <is>
          <t>MGX</t>
        </is>
      </c>
      <c r="I552" t="inlineStr">
        <is>
          <t>Mount Gibson Iron Ltd</t>
        </is>
      </c>
      <c r="J552" t="inlineStr">
        <is>
          <t>AUD</t>
        </is>
      </c>
      <c r="K552" s="5" t="inlineStr">
        <is>
          <t>01a1212c-4c04-75ce-bbb2-e3322e18816e</t>
        </is>
      </c>
      <c r="M552" t="inlineStr">
        <is>
          <t>UNKNOWN</t>
        </is>
      </c>
      <c r="N552" t="inlineStr">
        <is>
          <t>DEFAULT</t>
        </is>
      </c>
      <c r="Q552" t="n">
        <v>0</v>
      </c>
      <c r="R552" t="inlineStr">
        <is>
          <t>AUD</t>
        </is>
      </c>
      <c r="S552" t="n">
        <v>0</v>
      </c>
      <c r="T552" t="inlineStr">
        <is>
          <t>AUD</t>
        </is>
      </c>
      <c r="U552" t="n">
        <v>0</v>
      </c>
    </row>
    <row r="553">
      <c r="A553" s="5" t="inlineStr">
        <is>
          <t>01a1212c-540d-721c-b234-1b8b5321c73d</t>
        </is>
      </c>
      <c r="C553" s="5" t="inlineStr">
        <is>
          <t>01a1212c-4b57-70cf-80fd-c2192cb3bf81</t>
        </is>
      </c>
      <c r="D553" s="4" t="n">
        <v>46304.62402386303</v>
      </c>
      <c r="E553" s="4" t="n">
        <v>46304.62402386312</v>
      </c>
      <c r="F553" t="b">
        <v>1</v>
      </c>
      <c r="G553" t="n">
        <v/>
      </c>
      <c r="H553" t="inlineStr">
        <is>
          <t>OBL</t>
        </is>
      </c>
      <c r="I553" t="inlineStr">
        <is>
          <t>Omni Bridgeway Ltd</t>
        </is>
      </c>
      <c r="J553" t="inlineStr">
        <is>
          <t>AUD</t>
        </is>
      </c>
      <c r="K553" s="5" t="inlineStr">
        <is>
          <t>01a1212c-4c04-75ce-bbb2-e3322e18816e</t>
        </is>
      </c>
      <c r="M553" t="inlineStr">
        <is>
          <t>UNKNOWN</t>
        </is>
      </c>
      <c r="N553" t="inlineStr">
        <is>
          <t>DEFAULT</t>
        </is>
      </c>
      <c r="Q553" t="n">
        <v>0</v>
      </c>
      <c r="R553" t="inlineStr">
        <is>
          <t>AUD</t>
        </is>
      </c>
      <c r="S553" t="n">
        <v>0</v>
      </c>
      <c r="T553" t="inlineStr">
        <is>
          <t>AUD</t>
        </is>
      </c>
      <c r="U553" t="n">
        <v>0</v>
      </c>
    </row>
    <row r="554">
      <c r="A554" s="5" t="inlineStr">
        <is>
          <t>01a1212c-5410-7154-9f3a-dfa87d400743</t>
        </is>
      </c>
      <c r="C554" s="5" t="inlineStr">
        <is>
          <t>01a1212c-4b57-70cf-80fd-c2192cb3bf81</t>
        </is>
      </c>
      <c r="D554" s="4" t="n">
        <v>46304.62402389417</v>
      </c>
      <c r="E554" s="4" t="n">
        <v>46304.62402389425</v>
      </c>
      <c r="F554" t="b">
        <v>1</v>
      </c>
      <c r="G554" t="n">
        <v/>
      </c>
      <c r="H554" t="inlineStr">
        <is>
          <t>WQG</t>
        </is>
      </c>
      <c r="I554" t="inlineStr">
        <is>
          <t>WCM Global Growth Ltd</t>
        </is>
      </c>
      <c r="J554" t="inlineStr">
        <is>
          <t>AUD</t>
        </is>
      </c>
      <c r="K554" s="5" t="inlineStr">
        <is>
          <t>01a1212c-4c04-75ce-bbb2-e3322e18816e</t>
        </is>
      </c>
      <c r="M554" t="inlineStr">
        <is>
          <t>UNKNOWN</t>
        </is>
      </c>
      <c r="N554" t="inlineStr">
        <is>
          <t>DEFAULT</t>
        </is>
      </c>
      <c r="Q554" t="n">
        <v>0</v>
      </c>
      <c r="R554" t="inlineStr">
        <is>
          <t>AUD</t>
        </is>
      </c>
      <c r="S554" t="n">
        <v>0</v>
      </c>
      <c r="T554" t="inlineStr">
        <is>
          <t>AUD</t>
        </is>
      </c>
      <c r="U554" t="n">
        <v>0</v>
      </c>
    </row>
    <row r="555">
      <c r="A555" s="5" t="inlineStr">
        <is>
          <t>01a1212c-5413-70dc-ac8f-b17085535bef</t>
        </is>
      </c>
      <c r="C555" s="5" t="inlineStr">
        <is>
          <t>01a1212c-4b57-70cf-80fd-c2192cb3bf81</t>
        </is>
      </c>
      <c r="D555" s="4" t="n">
        <v>46304.62402392718</v>
      </c>
      <c r="E555" s="4" t="n">
        <v>46304.62402392726</v>
      </c>
      <c r="F555" t="b">
        <v>1</v>
      </c>
      <c r="G555" t="n">
        <v/>
      </c>
      <c r="H555" t="inlineStr">
        <is>
          <t>SXE</t>
        </is>
      </c>
      <c r="I555" t="inlineStr">
        <is>
          <t>Southern Cross Electrical Engineering Ltd</t>
        </is>
      </c>
      <c r="J555" t="inlineStr">
        <is>
          <t>AUD</t>
        </is>
      </c>
      <c r="K555" s="5" t="inlineStr">
        <is>
          <t>01a1212c-4c04-75ce-bbb2-e3322e18816e</t>
        </is>
      </c>
      <c r="M555" t="inlineStr">
        <is>
          <t>UNKNOWN</t>
        </is>
      </c>
      <c r="N555" t="inlineStr">
        <is>
          <t>DEFAULT</t>
        </is>
      </c>
      <c r="Q555" t="n">
        <v>0</v>
      </c>
      <c r="R555" t="inlineStr">
        <is>
          <t>AUD</t>
        </is>
      </c>
      <c r="S555" t="n">
        <v>0</v>
      </c>
      <c r="T555" t="inlineStr">
        <is>
          <t>AUD</t>
        </is>
      </c>
      <c r="U555" t="n">
        <v>0</v>
      </c>
    </row>
    <row r="556">
      <c r="A556" s="5" t="inlineStr">
        <is>
          <t>01a1212c-5415-7325-876e-efec719b50b8</t>
        </is>
      </c>
      <c r="C556" s="5" t="inlineStr">
        <is>
          <t>01a1212c-4b57-70cf-80fd-c2192cb3bf81</t>
        </is>
      </c>
      <c r="D556" s="4" t="n">
        <v>46304.62402395773</v>
      </c>
      <c r="E556" s="4" t="n">
        <v>46304.62402395781</v>
      </c>
      <c r="F556" t="b">
        <v>1</v>
      </c>
      <c r="G556" t="n">
        <v/>
      </c>
      <c r="H556" t="inlineStr">
        <is>
          <t>RDY</t>
        </is>
      </c>
      <c r="I556" t="inlineStr">
        <is>
          <t>Readytech Holdings Ltd</t>
        </is>
      </c>
      <c r="J556" t="inlineStr">
        <is>
          <t>AUD</t>
        </is>
      </c>
      <c r="K556" s="5" t="inlineStr">
        <is>
          <t>01a1212c-4c04-75ce-bbb2-e3322e18816e</t>
        </is>
      </c>
      <c r="M556" t="inlineStr">
        <is>
          <t>UNKNOWN</t>
        </is>
      </c>
      <c r="N556" t="inlineStr">
        <is>
          <t>DEFAULT</t>
        </is>
      </c>
      <c r="Q556" t="n">
        <v>0</v>
      </c>
      <c r="R556" t="inlineStr">
        <is>
          <t>AUD</t>
        </is>
      </c>
      <c r="S556" t="n">
        <v>0</v>
      </c>
      <c r="T556" t="inlineStr">
        <is>
          <t>AUD</t>
        </is>
      </c>
      <c r="U556" t="n">
        <v>0</v>
      </c>
    </row>
    <row r="557">
      <c r="A557" s="5" t="inlineStr">
        <is>
          <t>01a1212c-5418-74ef-bab3-40dcbbeed7bd</t>
        </is>
      </c>
      <c r="C557" s="5" t="inlineStr">
        <is>
          <t>01a1212c-4b57-70cf-80fd-c2192cb3bf81</t>
        </is>
      </c>
      <c r="D557" s="4" t="n">
        <v>46304.62402398798</v>
      </c>
      <c r="E557" s="4" t="n">
        <v>46304.62402398806</v>
      </c>
      <c r="F557" t="b">
        <v>1</v>
      </c>
      <c r="G557" t="n">
        <v/>
      </c>
      <c r="H557" t="inlineStr">
        <is>
          <t>PE1</t>
        </is>
      </c>
      <c r="I557" t="inlineStr">
        <is>
          <t>Pengana Private Equity Trust</t>
        </is>
      </c>
      <c r="J557" t="inlineStr">
        <is>
          <t>AUD</t>
        </is>
      </c>
      <c r="K557" s="5" t="inlineStr">
        <is>
          <t>01a1212c-4c04-75ce-bbb2-e3322e18816e</t>
        </is>
      </c>
      <c r="M557" t="inlineStr">
        <is>
          <t>UNKNOWN</t>
        </is>
      </c>
      <c r="N557" t="inlineStr">
        <is>
          <t>DEFAULT</t>
        </is>
      </c>
      <c r="Q557" t="n">
        <v>0</v>
      </c>
      <c r="R557" t="inlineStr">
        <is>
          <t>AUD</t>
        </is>
      </c>
      <c r="S557" t="n">
        <v>0</v>
      </c>
      <c r="T557" t="inlineStr">
        <is>
          <t>AUD</t>
        </is>
      </c>
      <c r="U557" t="n">
        <v>0</v>
      </c>
    </row>
    <row r="558">
      <c r="A558" s="5" t="inlineStr">
        <is>
          <t>01a1212c-541b-7233-b978-569e92118af7</t>
        </is>
      </c>
      <c r="C558" s="5" t="inlineStr">
        <is>
          <t>01a1212c-4b57-70cf-80fd-c2192cb3bf81</t>
        </is>
      </c>
      <c r="D558" s="4" t="n">
        <v>46304.62402401795</v>
      </c>
      <c r="E558" s="4" t="n">
        <v>46304.62402401803</v>
      </c>
      <c r="F558" t="b">
        <v>1</v>
      </c>
      <c r="G558" t="n">
        <v/>
      </c>
      <c r="H558" t="inlineStr">
        <is>
          <t>OCC</t>
        </is>
      </c>
      <c r="I558" t="inlineStr">
        <is>
          <t>Orthocell Ltd</t>
        </is>
      </c>
      <c r="J558" t="inlineStr">
        <is>
          <t>AUD</t>
        </is>
      </c>
      <c r="K558" s="5" t="inlineStr">
        <is>
          <t>01a1212c-4c04-75ce-bbb2-e3322e18816e</t>
        </is>
      </c>
      <c r="M558" t="inlineStr">
        <is>
          <t>UNKNOWN</t>
        </is>
      </c>
      <c r="N558" t="inlineStr">
        <is>
          <t>DEFAULT</t>
        </is>
      </c>
      <c r="Q558" t="n">
        <v>0</v>
      </c>
      <c r="R558" t="inlineStr">
        <is>
          <t>AUD</t>
        </is>
      </c>
      <c r="S558" t="n">
        <v>0</v>
      </c>
      <c r="T558" t="inlineStr">
        <is>
          <t>AUD</t>
        </is>
      </c>
      <c r="U558" t="n">
        <v>0</v>
      </c>
    </row>
    <row r="559">
      <c r="A559" s="5" t="inlineStr">
        <is>
          <t>01a1212c-541e-7315-898b-70cbac179605</t>
        </is>
      </c>
      <c r="C559" s="5" t="inlineStr">
        <is>
          <t>01a1212c-4b57-70cf-80fd-c2192cb3bf81</t>
        </is>
      </c>
      <c r="D559" s="4" t="n">
        <v>46304.62402405454</v>
      </c>
      <c r="E559" s="4" t="n">
        <v>46304.62402405463</v>
      </c>
      <c r="F559" t="b">
        <v>1</v>
      </c>
      <c r="G559" t="n">
        <v/>
      </c>
      <c r="H559" t="inlineStr">
        <is>
          <t>IPG</t>
        </is>
      </c>
      <c r="I559" t="inlineStr">
        <is>
          <t>Ipd Group Ltd</t>
        </is>
      </c>
      <c r="J559" t="inlineStr">
        <is>
          <t>AUD</t>
        </is>
      </c>
      <c r="K559" s="5" t="inlineStr">
        <is>
          <t>01a1212c-4c04-75ce-bbb2-e3322e18816e</t>
        </is>
      </c>
      <c r="M559" t="inlineStr">
        <is>
          <t>UNKNOWN</t>
        </is>
      </c>
      <c r="N559" t="inlineStr">
        <is>
          <t>DEFAULT</t>
        </is>
      </c>
      <c r="Q559" t="n">
        <v>0</v>
      </c>
      <c r="R559" t="inlineStr">
        <is>
          <t>AUD</t>
        </is>
      </c>
      <c r="S559" t="n">
        <v>0</v>
      </c>
      <c r="T559" t="inlineStr">
        <is>
          <t>AUD</t>
        </is>
      </c>
      <c r="U559" t="n">
        <v>0</v>
      </c>
    </row>
    <row r="560">
      <c r="A560" s="5" t="inlineStr">
        <is>
          <t>01a1212c-5420-701b-9468-73c4da8480ff</t>
        </is>
      </c>
      <c r="C560" s="5" t="inlineStr">
        <is>
          <t>01a1212c-4b57-70cf-80fd-c2192cb3bf81</t>
        </is>
      </c>
      <c r="D560" s="4" t="n">
        <v>46304.62402408577</v>
      </c>
      <c r="E560" s="4" t="n">
        <v>46304.62402408585</v>
      </c>
      <c r="F560" t="b">
        <v>1</v>
      </c>
      <c r="G560" t="n">
        <v/>
      </c>
      <c r="H560" t="inlineStr">
        <is>
          <t>HTA</t>
        </is>
      </c>
      <c r="I560" t="inlineStr">
        <is>
          <t>Hutchison Telecommunications (Australia) Ltd</t>
        </is>
      </c>
      <c r="J560" t="inlineStr">
        <is>
          <t>AUD</t>
        </is>
      </c>
      <c r="K560" s="5" t="inlineStr">
        <is>
          <t>01a1212c-4c04-75ce-bbb2-e3322e18816e</t>
        </is>
      </c>
      <c r="M560" t="inlineStr">
        <is>
          <t>UNKNOWN</t>
        </is>
      </c>
      <c r="N560" t="inlineStr">
        <is>
          <t>DEFAULT</t>
        </is>
      </c>
      <c r="Q560" t="n">
        <v>0</v>
      </c>
      <c r="R560" t="inlineStr">
        <is>
          <t>AUD</t>
        </is>
      </c>
      <c r="S560" t="n">
        <v>0</v>
      </c>
      <c r="T560" t="inlineStr">
        <is>
          <t>AUD</t>
        </is>
      </c>
      <c r="U560" t="n">
        <v>0</v>
      </c>
    </row>
    <row r="561">
      <c r="A561" s="5" t="inlineStr">
        <is>
          <t>01a1212c-5423-7353-b748-a7992d1fc795</t>
        </is>
      </c>
      <c r="C561" s="5" t="inlineStr">
        <is>
          <t>01a1212c-4b57-70cf-80fd-c2192cb3bf81</t>
        </is>
      </c>
      <c r="D561" s="4" t="n">
        <v>46304.62402411619</v>
      </c>
      <c r="E561" s="4" t="n">
        <v>46304.62402411627</v>
      </c>
      <c r="F561" t="b">
        <v>1</v>
      </c>
      <c r="G561" t="n">
        <v/>
      </c>
      <c r="H561" t="inlineStr">
        <is>
          <t>PAI</t>
        </is>
      </c>
      <c r="I561" t="inlineStr">
        <is>
          <t>Platinum Asia Investments Ltd</t>
        </is>
      </c>
      <c r="J561" t="inlineStr">
        <is>
          <t>AUD</t>
        </is>
      </c>
      <c r="K561" s="5" t="inlineStr">
        <is>
          <t>01a1212c-4c04-75ce-bbb2-e3322e18816e</t>
        </is>
      </c>
      <c r="M561" t="inlineStr">
        <is>
          <t>UNKNOWN</t>
        </is>
      </c>
      <c r="N561" t="inlineStr">
        <is>
          <t>DEFAULT</t>
        </is>
      </c>
      <c r="Q561" t="n">
        <v>0</v>
      </c>
      <c r="R561" t="inlineStr">
        <is>
          <t>AUD</t>
        </is>
      </c>
      <c r="S561" t="n">
        <v>0</v>
      </c>
      <c r="T561" t="inlineStr">
        <is>
          <t>AUD</t>
        </is>
      </c>
      <c r="U561" t="n">
        <v>0</v>
      </c>
    </row>
    <row r="562">
      <c r="A562" s="5" t="inlineStr">
        <is>
          <t>01a1212c-5426-703b-a2df-a99b427ead9b</t>
        </is>
      </c>
      <c r="C562" s="5" t="inlineStr">
        <is>
          <t>01a1212c-4b57-70cf-80fd-c2192cb3bf81</t>
        </is>
      </c>
      <c r="D562" s="4" t="n">
        <v>46304.62402414664</v>
      </c>
      <c r="E562" s="4" t="n">
        <v>46304.62402414672</v>
      </c>
      <c r="F562" t="b">
        <v>1</v>
      </c>
      <c r="G562" t="n">
        <v/>
      </c>
      <c r="H562" t="inlineStr">
        <is>
          <t>DUR</t>
        </is>
      </c>
      <c r="I562" t="inlineStr">
        <is>
          <t>Duratec Ltd</t>
        </is>
      </c>
      <c r="J562" t="inlineStr">
        <is>
          <t>AUD</t>
        </is>
      </c>
      <c r="K562" s="5" t="inlineStr">
        <is>
          <t>01a1212c-4c04-75ce-bbb2-e3322e18816e</t>
        </is>
      </c>
      <c r="M562" t="inlineStr">
        <is>
          <t>UNKNOWN</t>
        </is>
      </c>
      <c r="N562" t="inlineStr">
        <is>
          <t>DEFAULT</t>
        </is>
      </c>
      <c r="Q562" t="n">
        <v>0</v>
      </c>
      <c r="R562" t="inlineStr">
        <is>
          <t>AUD</t>
        </is>
      </c>
      <c r="S562" t="n">
        <v>0</v>
      </c>
      <c r="T562" t="inlineStr">
        <is>
          <t>AUD</t>
        </is>
      </c>
      <c r="U562" t="n">
        <v>0</v>
      </c>
    </row>
    <row r="563">
      <c r="A563" s="5" t="inlineStr">
        <is>
          <t>01a1212c-5428-7192-8b3d-69d107196f44</t>
        </is>
      </c>
      <c r="C563" s="5" t="inlineStr">
        <is>
          <t>01a1212c-4b57-70cf-80fd-c2192cb3bf81</t>
        </is>
      </c>
      <c r="D563" s="4" t="n">
        <v>46304.62402417722</v>
      </c>
      <c r="E563" s="4" t="n">
        <v>46304.62402417729</v>
      </c>
      <c r="F563" t="b">
        <v>1</v>
      </c>
      <c r="G563" t="n">
        <v/>
      </c>
      <c r="H563" t="inlineStr">
        <is>
          <t>EX20</t>
        </is>
      </c>
      <c r="I563" t="inlineStr">
        <is>
          <t>Betashares Australian Ex-20 Portfolio Diversifier ETF</t>
        </is>
      </c>
      <c r="J563" t="inlineStr">
        <is>
          <t>AUD</t>
        </is>
      </c>
      <c r="K563" s="5" t="inlineStr">
        <is>
          <t>01a1212c-4c04-75ce-bbb2-e3322e18816e</t>
        </is>
      </c>
      <c r="M563" t="inlineStr">
        <is>
          <t>UNKNOWN</t>
        </is>
      </c>
      <c r="N563" t="inlineStr">
        <is>
          <t>DEFAULT</t>
        </is>
      </c>
      <c r="Q563" t="n">
        <v>0</v>
      </c>
      <c r="R563" t="inlineStr">
        <is>
          <t>AUD</t>
        </is>
      </c>
      <c r="S563" t="n">
        <v>0</v>
      </c>
      <c r="T563" t="inlineStr">
        <is>
          <t>AUD</t>
        </is>
      </c>
      <c r="U563" t="n">
        <v>0</v>
      </c>
    </row>
    <row r="564">
      <c r="A564" s="5" t="inlineStr">
        <is>
          <t>01a1212c-542b-7492-b7ac-dc8e8d4c3883</t>
        </is>
      </c>
      <c r="C564" s="5" t="inlineStr">
        <is>
          <t>01a1212c-4b57-70cf-80fd-c2192cb3bf81</t>
        </is>
      </c>
      <c r="D564" s="4" t="n">
        <v>46304.62402420925</v>
      </c>
      <c r="E564" s="4" t="n">
        <v>46304.62402420933</v>
      </c>
      <c r="F564" t="b">
        <v>1</v>
      </c>
      <c r="G564" t="n">
        <v/>
      </c>
      <c r="H564" t="inlineStr">
        <is>
          <t>TECH</t>
        </is>
      </c>
      <c r="I564" t="inlineStr">
        <is>
          <t>Global X Morningstar Global Technology ETF</t>
        </is>
      </c>
      <c r="J564" t="inlineStr">
        <is>
          <t>AUD</t>
        </is>
      </c>
      <c r="K564" s="5" t="inlineStr">
        <is>
          <t>01a1212c-4c04-75ce-bbb2-e3322e18816e</t>
        </is>
      </c>
      <c r="M564" t="inlineStr">
        <is>
          <t>UNKNOWN</t>
        </is>
      </c>
      <c r="N564" t="inlineStr">
        <is>
          <t>DEFAULT</t>
        </is>
      </c>
      <c r="Q564" t="n">
        <v>0</v>
      </c>
      <c r="R564" t="inlineStr">
        <is>
          <t>AUD</t>
        </is>
      </c>
      <c r="S564" t="n">
        <v>0</v>
      </c>
      <c r="T564" t="inlineStr">
        <is>
          <t>AUD</t>
        </is>
      </c>
      <c r="U564" t="n">
        <v>0</v>
      </c>
    </row>
    <row r="565">
      <c r="A565" s="5" t="inlineStr">
        <is>
          <t>01a1212c-542e-774f-a653-2d88342f4f72</t>
        </is>
      </c>
      <c r="C565" s="5" t="inlineStr">
        <is>
          <t>01a1212c-4b57-70cf-80fd-c2192cb3bf81</t>
        </is>
      </c>
      <c r="D565" s="4" t="n">
        <v>46304.62402424199</v>
      </c>
      <c r="E565" s="4" t="n">
        <v>46304.62402424208</v>
      </c>
      <c r="F565" t="b">
        <v>1</v>
      </c>
      <c r="G565" t="n">
        <v/>
      </c>
      <c r="H565" t="inlineStr">
        <is>
          <t>CDP</t>
        </is>
      </c>
      <c r="I565" t="inlineStr">
        <is>
          <t>Carindale Property Trust</t>
        </is>
      </c>
      <c r="J565" t="inlineStr">
        <is>
          <t>AUD</t>
        </is>
      </c>
      <c r="K565" s="5" t="inlineStr">
        <is>
          <t>01a1212c-4c04-75ce-bbb2-e3322e18816e</t>
        </is>
      </c>
      <c r="M565" t="inlineStr">
        <is>
          <t>UNKNOWN</t>
        </is>
      </c>
      <c r="N565" t="inlineStr">
        <is>
          <t>DEFAULT</t>
        </is>
      </c>
      <c r="Q565" t="n">
        <v>0</v>
      </c>
      <c r="R565" t="inlineStr">
        <is>
          <t>AUD</t>
        </is>
      </c>
      <c r="S565" t="n">
        <v>0</v>
      </c>
      <c r="T565" t="inlineStr">
        <is>
          <t>AUD</t>
        </is>
      </c>
      <c r="U565" t="n">
        <v>0</v>
      </c>
    </row>
    <row r="566">
      <c r="A566" s="5" t="inlineStr">
        <is>
          <t>01a1212c-5431-7444-a92e-3192c0629329</t>
        </is>
      </c>
      <c r="C566" s="5" t="inlineStr">
        <is>
          <t>01a1212c-4b57-70cf-80fd-c2192cb3bf81</t>
        </is>
      </c>
      <c r="D566" s="4" t="n">
        <v>46304.62402427339</v>
      </c>
      <c r="E566" s="4" t="n">
        <v>46304.62402427347</v>
      </c>
      <c r="F566" t="b">
        <v>1</v>
      </c>
      <c r="G566" t="n">
        <v/>
      </c>
      <c r="H566" t="inlineStr">
        <is>
          <t>SUNPJ</t>
        </is>
      </c>
      <c r="I566" t="inlineStr">
        <is>
          <t>Suncorp Group Ltd</t>
        </is>
      </c>
      <c r="J566" t="inlineStr">
        <is>
          <t>AUD</t>
        </is>
      </c>
      <c r="K566" s="5" t="inlineStr">
        <is>
          <t>01a1212c-4c04-75ce-bbb2-e3322e18816e</t>
        </is>
      </c>
      <c r="M566" t="inlineStr">
        <is>
          <t>UNKNOWN</t>
        </is>
      </c>
      <c r="N566" t="inlineStr">
        <is>
          <t>DEFAULT</t>
        </is>
      </c>
      <c r="Q566" t="n">
        <v>0</v>
      </c>
      <c r="R566" t="inlineStr">
        <is>
          <t>AUD</t>
        </is>
      </c>
      <c r="S566" t="n">
        <v>0</v>
      </c>
      <c r="T566" t="inlineStr">
        <is>
          <t>AUD</t>
        </is>
      </c>
      <c r="U566" t="n">
        <v>0</v>
      </c>
    </row>
    <row r="567">
      <c r="A567" s="5" t="inlineStr">
        <is>
          <t>01a1212c-5433-76c1-b160-5d7c111243a7</t>
        </is>
      </c>
      <c r="C567" s="5" t="inlineStr">
        <is>
          <t>01a1212c-4b57-70cf-80fd-c2192cb3bf81</t>
        </is>
      </c>
      <c r="D567" s="4" t="n">
        <v>46304.62402430374</v>
      </c>
      <c r="E567" s="4" t="n">
        <v>46304.6240243038</v>
      </c>
      <c r="F567" t="b">
        <v>1</v>
      </c>
      <c r="G567" t="n">
        <v/>
      </c>
      <c r="H567" t="inlineStr">
        <is>
          <t>CGFPD</t>
        </is>
      </c>
      <c r="I567" t="inlineStr">
        <is>
          <t>Challenger Ltd</t>
        </is>
      </c>
      <c r="J567" t="inlineStr">
        <is>
          <t>AUD</t>
        </is>
      </c>
      <c r="K567" s="5" t="inlineStr">
        <is>
          <t>01a1212c-4c04-75ce-bbb2-e3322e18816e</t>
        </is>
      </c>
      <c r="M567" t="inlineStr">
        <is>
          <t>UNKNOWN</t>
        </is>
      </c>
      <c r="N567" t="inlineStr">
        <is>
          <t>DEFAULT</t>
        </is>
      </c>
      <c r="Q567" t="n">
        <v>0</v>
      </c>
      <c r="R567" t="inlineStr">
        <is>
          <t>AUD</t>
        </is>
      </c>
      <c r="S567" t="n">
        <v>0</v>
      </c>
      <c r="T567" t="inlineStr">
        <is>
          <t>AUD</t>
        </is>
      </c>
      <c r="U567" t="n">
        <v>0</v>
      </c>
    </row>
    <row r="568">
      <c r="A568" s="5" t="inlineStr">
        <is>
          <t>01a1212c-5436-774a-963a-11244e25c74e</t>
        </is>
      </c>
      <c r="C568" s="5" t="inlineStr">
        <is>
          <t>01a1212c-4b57-70cf-80fd-c2192cb3bf81</t>
        </is>
      </c>
      <c r="D568" s="4" t="n">
        <v>46304.62402433597</v>
      </c>
      <c r="E568" s="4" t="n">
        <v>46304.62402433605</v>
      </c>
      <c r="F568" t="b">
        <v>1</v>
      </c>
      <c r="G568" t="n">
        <v/>
      </c>
      <c r="H568" t="inlineStr">
        <is>
          <t>IGB</t>
        </is>
      </c>
      <c r="I568" t="inlineStr">
        <is>
          <t>Ishares Treasury ETF</t>
        </is>
      </c>
      <c r="J568" t="inlineStr">
        <is>
          <t>AUD</t>
        </is>
      </c>
      <c r="K568" s="5" t="inlineStr">
        <is>
          <t>01a1212c-4c04-75ce-bbb2-e3322e18816e</t>
        </is>
      </c>
      <c r="M568" t="inlineStr">
        <is>
          <t>UNKNOWN</t>
        </is>
      </c>
      <c r="N568" t="inlineStr">
        <is>
          <t>DEFAULT</t>
        </is>
      </c>
      <c r="Q568" t="n">
        <v>0</v>
      </c>
      <c r="R568" t="inlineStr">
        <is>
          <t>AUD</t>
        </is>
      </c>
      <c r="S568" t="n">
        <v>0</v>
      </c>
      <c r="T568" t="inlineStr">
        <is>
          <t>AUD</t>
        </is>
      </c>
      <c r="U568" t="n">
        <v>0</v>
      </c>
    </row>
    <row r="569">
      <c r="A569" s="5" t="inlineStr">
        <is>
          <t>01a1212c-5439-7385-87b4-d3343cf98ebd</t>
        </is>
      </c>
      <c r="C569" s="5" t="inlineStr">
        <is>
          <t>01a1212c-4b57-70cf-80fd-c2192cb3bf81</t>
        </is>
      </c>
      <c r="D569" s="4" t="n">
        <v>46304.62402436663</v>
      </c>
      <c r="E569" s="4" t="n">
        <v>46304.62402436671</v>
      </c>
      <c r="F569" t="b">
        <v>1</v>
      </c>
      <c r="G569" t="n">
        <v/>
      </c>
      <c r="H569" t="inlineStr">
        <is>
          <t>AMH</t>
        </is>
      </c>
      <c r="I569" t="inlineStr">
        <is>
          <t>Amcil Ltd</t>
        </is>
      </c>
      <c r="J569" t="inlineStr">
        <is>
          <t>AUD</t>
        </is>
      </c>
      <c r="K569" s="5" t="inlineStr">
        <is>
          <t>01a1212c-4c04-75ce-bbb2-e3322e18816e</t>
        </is>
      </c>
      <c r="M569" t="inlineStr">
        <is>
          <t>COMPANY</t>
        </is>
      </c>
      <c r="N569" t="inlineStr">
        <is>
          <t>SUGGESTED</t>
        </is>
      </c>
      <c r="Q569" t="n">
        <v>0</v>
      </c>
      <c r="R569" t="inlineStr">
        <is>
          <t>AUD</t>
        </is>
      </c>
      <c r="S569" t="n">
        <v>0</v>
      </c>
      <c r="T569" t="inlineStr">
        <is>
          <t>AUD</t>
        </is>
      </c>
      <c r="U569" t="n">
        <v>0</v>
      </c>
    </row>
    <row r="570">
      <c r="A570" s="5" t="inlineStr">
        <is>
          <t>01a1212c-543c-76c6-a245-534da6cf627f</t>
        </is>
      </c>
      <c r="C570" s="5" t="inlineStr">
        <is>
          <t>01a1212c-4b57-70cf-80fd-c2192cb3bf81</t>
        </is>
      </c>
      <c r="D570" s="4" t="n">
        <v>46304.62402440023</v>
      </c>
      <c r="E570" s="4" t="n">
        <v>46304.62402440031</v>
      </c>
      <c r="F570" t="b">
        <v>1</v>
      </c>
      <c r="G570" t="n">
        <v/>
      </c>
      <c r="H570" t="inlineStr">
        <is>
          <t>KCN</t>
        </is>
      </c>
      <c r="I570" t="inlineStr">
        <is>
          <t>Kingsgate Consolidated Ltd</t>
        </is>
      </c>
      <c r="J570" t="inlineStr">
        <is>
          <t>AUD</t>
        </is>
      </c>
      <c r="K570" s="5" t="inlineStr">
        <is>
          <t>01a1212c-4c04-75ce-bbb2-e3322e18816e</t>
        </is>
      </c>
      <c r="M570" t="inlineStr">
        <is>
          <t>UNKNOWN</t>
        </is>
      </c>
      <c r="N570" t="inlineStr">
        <is>
          <t>DEFAULT</t>
        </is>
      </c>
      <c r="Q570" t="n">
        <v>0</v>
      </c>
      <c r="R570" t="inlineStr">
        <is>
          <t>AUD</t>
        </is>
      </c>
      <c r="S570" t="n">
        <v>0</v>
      </c>
      <c r="T570" t="inlineStr">
        <is>
          <t>AUD</t>
        </is>
      </c>
      <c r="U570" t="n">
        <v>0</v>
      </c>
    </row>
    <row r="571">
      <c r="A571" s="5" t="inlineStr">
        <is>
          <t>01a1212c-543e-7319-8c31-635484262e8d</t>
        </is>
      </c>
      <c r="C571" s="5" t="inlineStr">
        <is>
          <t>01a1212c-4b57-70cf-80fd-c2192cb3bf81</t>
        </is>
      </c>
      <c r="D571" s="4" t="n">
        <v>46304.62402443215</v>
      </c>
      <c r="E571" s="4" t="n">
        <v>46304.62402443223</v>
      </c>
      <c r="F571" t="b">
        <v>1</v>
      </c>
      <c r="G571" t="n">
        <v/>
      </c>
      <c r="H571" t="inlineStr">
        <is>
          <t>SEMI</t>
        </is>
      </c>
      <c r="I571" t="inlineStr">
        <is>
          <t>Global X Semiconductor ETF</t>
        </is>
      </c>
      <c r="J571" t="inlineStr">
        <is>
          <t>AUD</t>
        </is>
      </c>
      <c r="K571" s="5" t="inlineStr">
        <is>
          <t>01a1212c-4c04-75ce-bbb2-e3322e18816e</t>
        </is>
      </c>
      <c r="M571" t="inlineStr">
        <is>
          <t>UNKNOWN</t>
        </is>
      </c>
      <c r="N571" t="inlineStr">
        <is>
          <t>DEFAULT</t>
        </is>
      </c>
      <c r="Q571" t="n">
        <v>0</v>
      </c>
      <c r="R571" t="inlineStr">
        <is>
          <t>AUD</t>
        </is>
      </c>
      <c r="S571" t="n">
        <v>0</v>
      </c>
      <c r="T571" t="inlineStr">
        <is>
          <t>AUD</t>
        </is>
      </c>
      <c r="U571" t="n">
        <v>0</v>
      </c>
    </row>
    <row r="572">
      <c r="A572" s="5" t="inlineStr">
        <is>
          <t>01a1212c-5441-722c-8901-f8285d279d53</t>
        </is>
      </c>
      <c r="C572" s="5" t="inlineStr">
        <is>
          <t>01a1212c-4b57-70cf-80fd-c2192cb3bf81</t>
        </is>
      </c>
      <c r="D572" s="4" t="n">
        <v>46304.62402446369</v>
      </c>
      <c r="E572" s="4" t="n">
        <v>46304.62402446376</v>
      </c>
      <c r="F572" t="b">
        <v>1</v>
      </c>
      <c r="G572" t="n">
        <v/>
      </c>
      <c r="H572" t="inlineStr">
        <is>
          <t>IAGPF</t>
        </is>
      </c>
      <c r="I572" t="inlineStr">
        <is>
          <t>Insurance Australia Group Ltd</t>
        </is>
      </c>
      <c r="J572" t="inlineStr">
        <is>
          <t>AUD</t>
        </is>
      </c>
      <c r="K572" s="5" t="inlineStr">
        <is>
          <t>01a1212c-4c04-75ce-bbb2-e3322e18816e</t>
        </is>
      </c>
      <c r="M572" t="inlineStr">
        <is>
          <t>UNKNOWN</t>
        </is>
      </c>
      <c r="N572" t="inlineStr">
        <is>
          <t>DEFAULT</t>
        </is>
      </c>
      <c r="Q572" t="n">
        <v>0</v>
      </c>
      <c r="R572" t="inlineStr">
        <is>
          <t>AUD</t>
        </is>
      </c>
      <c r="S572" t="n">
        <v>0</v>
      </c>
      <c r="T572" t="inlineStr">
        <is>
          <t>AUD</t>
        </is>
      </c>
      <c r="U572" t="n">
        <v>0</v>
      </c>
    </row>
    <row r="573">
      <c r="A573" s="5" t="inlineStr">
        <is>
          <t>01a1212c-5444-7435-b57c-79cf97d48eee</t>
        </is>
      </c>
      <c r="C573" s="5" t="inlineStr">
        <is>
          <t>01a1212c-4b57-70cf-80fd-c2192cb3bf81</t>
        </is>
      </c>
      <c r="D573" s="4" t="n">
        <v>46304.62402449628</v>
      </c>
      <c r="E573" s="4" t="n">
        <v>46304.62402449636</v>
      </c>
      <c r="F573" t="b">
        <v>1</v>
      </c>
      <c r="G573" t="n">
        <v/>
      </c>
      <c r="H573" t="inlineStr">
        <is>
          <t>MYX</t>
        </is>
      </c>
      <c r="I573" t="inlineStr">
        <is>
          <t>Mayne Pharma Group Ltd</t>
        </is>
      </c>
      <c r="J573" t="inlineStr">
        <is>
          <t>AUD</t>
        </is>
      </c>
      <c r="K573" s="5" t="inlineStr">
        <is>
          <t>01a1212c-4c04-75ce-bbb2-e3322e18816e</t>
        </is>
      </c>
      <c r="M573" t="inlineStr">
        <is>
          <t>UNKNOWN</t>
        </is>
      </c>
      <c r="N573" t="inlineStr">
        <is>
          <t>DEFAULT</t>
        </is>
      </c>
      <c r="Q573" t="n">
        <v>0</v>
      </c>
      <c r="R573" t="inlineStr">
        <is>
          <t>AUD</t>
        </is>
      </c>
      <c r="S573" t="n">
        <v>0</v>
      </c>
      <c r="T573" t="inlineStr">
        <is>
          <t>AUD</t>
        </is>
      </c>
      <c r="U573" t="n">
        <v>0</v>
      </c>
    </row>
    <row r="574">
      <c r="A574" s="5" t="inlineStr">
        <is>
          <t>01a1212c-5447-70c1-86b3-4090a30181cf</t>
        </is>
      </c>
      <c r="C574" s="5" t="inlineStr">
        <is>
          <t>01a1212c-4b57-70cf-80fd-c2192cb3bf81</t>
        </is>
      </c>
      <c r="D574" s="4" t="n">
        <v>46304.62402452692</v>
      </c>
      <c r="E574" s="4" t="n">
        <v>46304.624024527</v>
      </c>
      <c r="F574" t="b">
        <v>1</v>
      </c>
      <c r="G574" t="n">
        <v/>
      </c>
      <c r="H574" t="inlineStr">
        <is>
          <t>SKT</t>
        </is>
      </c>
      <c r="I574" t="inlineStr">
        <is>
          <t>Sky Network Television Ltd</t>
        </is>
      </c>
      <c r="J574" t="inlineStr">
        <is>
          <t>AUD</t>
        </is>
      </c>
      <c r="K574" s="5" t="inlineStr">
        <is>
          <t>01a1212c-4c04-75ce-bbb2-e3322e18816e</t>
        </is>
      </c>
      <c r="M574" t="inlineStr">
        <is>
          <t>UNKNOWN</t>
        </is>
      </c>
      <c r="N574" t="inlineStr">
        <is>
          <t>DEFAULT</t>
        </is>
      </c>
      <c r="Q574" t="n">
        <v>0</v>
      </c>
      <c r="R574" t="inlineStr">
        <is>
          <t>AUD</t>
        </is>
      </c>
      <c r="S574" t="n">
        <v>0</v>
      </c>
      <c r="T574" t="inlineStr">
        <is>
          <t>AUD</t>
        </is>
      </c>
      <c r="U574" t="n">
        <v>0</v>
      </c>
    </row>
    <row r="575">
      <c r="A575" s="5" t="inlineStr">
        <is>
          <t>01a1212c-5449-7427-bed6-4ecb5fe2bd3d</t>
        </is>
      </c>
      <c r="C575" s="5" t="inlineStr">
        <is>
          <t>01a1212c-4b57-70cf-80fd-c2192cb3bf81</t>
        </is>
      </c>
      <c r="D575" s="4" t="n">
        <v>46304.62402455753</v>
      </c>
      <c r="E575" s="4" t="n">
        <v>46304.6240245576</v>
      </c>
      <c r="F575" t="b">
        <v>1</v>
      </c>
      <c r="G575" t="n">
        <v/>
      </c>
      <c r="H575" t="inlineStr">
        <is>
          <t>NVX</t>
        </is>
      </c>
      <c r="I575" t="inlineStr">
        <is>
          <t>Novonix Ltd</t>
        </is>
      </c>
      <c r="J575" t="inlineStr">
        <is>
          <t>AUD</t>
        </is>
      </c>
      <c r="K575" s="5" t="inlineStr">
        <is>
          <t>01a1212c-4c04-75ce-bbb2-e3322e18816e</t>
        </is>
      </c>
      <c r="M575" t="inlineStr">
        <is>
          <t>UNKNOWN</t>
        </is>
      </c>
      <c r="N575" t="inlineStr">
        <is>
          <t>DEFAULT</t>
        </is>
      </c>
      <c r="Q575" t="n">
        <v>0</v>
      </c>
      <c r="R575" t="inlineStr">
        <is>
          <t>AUD</t>
        </is>
      </c>
      <c r="S575" t="n">
        <v>0</v>
      </c>
      <c r="T575" t="inlineStr">
        <is>
          <t>AUD</t>
        </is>
      </c>
      <c r="U575" t="n">
        <v>0</v>
      </c>
    </row>
    <row r="576">
      <c r="A576" s="5" t="inlineStr">
        <is>
          <t>01a1212c-544c-708c-81e4-4e1dbe02a435</t>
        </is>
      </c>
      <c r="C576" s="5" t="inlineStr">
        <is>
          <t>01a1212c-4b57-70cf-80fd-c2192cb3bf81</t>
        </is>
      </c>
      <c r="D576" s="4" t="n">
        <v>46304.62402458796</v>
      </c>
      <c r="E576" s="4" t="n">
        <v>46304.62402458811</v>
      </c>
      <c r="F576" t="b">
        <v>1</v>
      </c>
      <c r="G576" t="n">
        <v/>
      </c>
      <c r="H576" t="inlineStr">
        <is>
          <t>GBND</t>
        </is>
      </c>
      <c r="I576" t="inlineStr">
        <is>
          <t>Betashares Sustainability Leaders DVRSFD Bond ETF - Cur HDG</t>
        </is>
      </c>
      <c r="J576" t="inlineStr">
        <is>
          <t>AUD</t>
        </is>
      </c>
      <c r="K576" s="5" t="inlineStr">
        <is>
          <t>01a1212c-4c04-75ce-bbb2-e3322e18816e</t>
        </is>
      </c>
      <c r="M576" t="inlineStr">
        <is>
          <t>UNKNOWN</t>
        </is>
      </c>
      <c r="N576" t="inlineStr">
        <is>
          <t>DEFAULT</t>
        </is>
      </c>
      <c r="Q576" t="n">
        <v>0</v>
      </c>
      <c r="R576" t="inlineStr">
        <is>
          <t>AUD</t>
        </is>
      </c>
      <c r="S576" t="n">
        <v>0</v>
      </c>
      <c r="T576" t="inlineStr">
        <is>
          <t>AUD</t>
        </is>
      </c>
      <c r="U576" t="n">
        <v>0</v>
      </c>
    </row>
    <row r="577">
      <c r="A577" s="5" t="inlineStr">
        <is>
          <t>01a1212c-544f-7001-a74e-7ceb4bd0c680</t>
        </is>
      </c>
      <c r="C577" s="5" t="inlineStr">
        <is>
          <t>01a1212c-4b57-70cf-80fd-c2192cb3bf81</t>
        </is>
      </c>
      <c r="D577" s="4" t="n">
        <v>46304.62402462255</v>
      </c>
      <c r="E577" s="4" t="n">
        <v>46304.62402462263</v>
      </c>
      <c r="F577" t="b">
        <v>1</v>
      </c>
      <c r="G577" t="n">
        <v/>
      </c>
      <c r="H577" t="inlineStr">
        <is>
          <t>ASG</t>
        </is>
      </c>
      <c r="I577" t="inlineStr">
        <is>
          <t>Autosports Group Ltd</t>
        </is>
      </c>
      <c r="J577" t="inlineStr">
        <is>
          <t>AUD</t>
        </is>
      </c>
      <c r="K577" s="5" t="inlineStr">
        <is>
          <t>01a1212c-4c04-75ce-bbb2-e3322e18816e</t>
        </is>
      </c>
      <c r="M577" t="inlineStr">
        <is>
          <t>UNKNOWN</t>
        </is>
      </c>
      <c r="N577" t="inlineStr">
        <is>
          <t>DEFAULT</t>
        </is>
      </c>
      <c r="Q577" t="n">
        <v>0</v>
      </c>
      <c r="R577" t="inlineStr">
        <is>
          <t>AUD</t>
        </is>
      </c>
      <c r="S577" t="n">
        <v>0</v>
      </c>
      <c r="T577" t="inlineStr">
        <is>
          <t>AUD</t>
        </is>
      </c>
      <c r="U577" t="n">
        <v>0</v>
      </c>
    </row>
    <row r="578">
      <c r="A578" s="5" t="inlineStr">
        <is>
          <t>01a1212c-5451-7360-abd2-96ea377c1212</t>
        </is>
      </c>
      <c r="C578" s="5" t="inlineStr">
        <is>
          <t>01a1212c-4b57-70cf-80fd-c2192cb3bf81</t>
        </is>
      </c>
      <c r="D578" s="4" t="n">
        <v>46304.62402465375</v>
      </c>
      <c r="E578" s="4" t="n">
        <v>46304.62402465382</v>
      </c>
      <c r="F578" t="b">
        <v>1</v>
      </c>
      <c r="G578" t="n">
        <v/>
      </c>
      <c r="H578" t="inlineStr">
        <is>
          <t>MMI</t>
        </is>
      </c>
      <c r="I578" t="inlineStr">
        <is>
          <t>Metro Mining Ltd</t>
        </is>
      </c>
      <c r="J578" t="inlineStr">
        <is>
          <t>AUD</t>
        </is>
      </c>
      <c r="K578" s="5" t="inlineStr">
        <is>
          <t>01a1212c-4c04-75ce-bbb2-e3322e18816e</t>
        </is>
      </c>
      <c r="M578" t="inlineStr">
        <is>
          <t>UNKNOWN</t>
        </is>
      </c>
      <c r="N578" t="inlineStr">
        <is>
          <t>DEFAULT</t>
        </is>
      </c>
      <c r="Q578" t="n">
        <v>0</v>
      </c>
      <c r="R578" t="inlineStr">
        <is>
          <t>AUD</t>
        </is>
      </c>
      <c r="S578" t="n">
        <v>0</v>
      </c>
      <c r="T578" t="inlineStr">
        <is>
          <t>AUD</t>
        </is>
      </c>
      <c r="U578" t="n">
        <v>0</v>
      </c>
    </row>
    <row r="579">
      <c r="A579" s="5" t="inlineStr">
        <is>
          <t>01a1212c-5454-7452-9fe6-38f5da5bc40b</t>
        </is>
      </c>
      <c r="C579" s="5" t="inlineStr">
        <is>
          <t>01a1212c-4b57-70cf-80fd-c2192cb3bf81</t>
        </is>
      </c>
      <c r="D579" s="4" t="n">
        <v>46304.62402468445</v>
      </c>
      <c r="E579" s="4" t="n">
        <v>46304.62402468453</v>
      </c>
      <c r="F579" t="b">
        <v>1</v>
      </c>
      <c r="G579" t="n">
        <v/>
      </c>
      <c r="H579" t="inlineStr">
        <is>
          <t>PLUS</t>
        </is>
      </c>
      <c r="I579" t="inlineStr">
        <is>
          <t>Vaneck Australian Corporate Bond Plus ETF</t>
        </is>
      </c>
      <c r="J579" t="inlineStr">
        <is>
          <t>AUD</t>
        </is>
      </c>
      <c r="K579" s="5" t="inlineStr">
        <is>
          <t>01a1212c-4c04-75ce-bbb2-e3322e18816e</t>
        </is>
      </c>
      <c r="M579" t="inlineStr">
        <is>
          <t>UNIT_TRUST</t>
        </is>
      </c>
      <c r="N579" t="inlineStr">
        <is>
          <t>SUGGESTED</t>
        </is>
      </c>
      <c r="Q579" t="n">
        <v>0</v>
      </c>
      <c r="R579" t="inlineStr">
        <is>
          <t>AUD</t>
        </is>
      </c>
      <c r="S579" t="n">
        <v>0</v>
      </c>
      <c r="T579" t="inlineStr">
        <is>
          <t>AUD</t>
        </is>
      </c>
      <c r="U579" t="n">
        <v>0</v>
      </c>
    </row>
    <row r="580">
      <c r="A580" s="5" t="inlineStr">
        <is>
          <t>01a1212c-5457-74e1-b012-c3e5c67059eb</t>
        </is>
      </c>
      <c r="C580" s="5" t="inlineStr">
        <is>
          <t>01a1212c-4b57-70cf-80fd-c2192cb3bf81</t>
        </is>
      </c>
      <c r="D580" s="4" t="n">
        <v>46304.62402471813</v>
      </c>
      <c r="E580" s="4" t="n">
        <v>46304.62402471821</v>
      </c>
      <c r="F580" t="b">
        <v>1</v>
      </c>
      <c r="G580" t="n">
        <v/>
      </c>
      <c r="H580" t="inlineStr">
        <is>
          <t>F100</t>
        </is>
      </c>
      <c r="I580" t="inlineStr">
        <is>
          <t>Betashares Ftse 100 ETF</t>
        </is>
      </c>
      <c r="J580" t="inlineStr">
        <is>
          <t>AUD</t>
        </is>
      </c>
      <c r="K580" s="5" t="inlineStr">
        <is>
          <t>01a1212c-4c04-75ce-bbb2-e3322e18816e</t>
        </is>
      </c>
      <c r="M580" t="inlineStr">
        <is>
          <t>UNKNOWN</t>
        </is>
      </c>
      <c r="N580" t="inlineStr">
        <is>
          <t>DEFAULT</t>
        </is>
      </c>
      <c r="Q580" t="n">
        <v>0</v>
      </c>
      <c r="R580" t="inlineStr">
        <is>
          <t>AUD</t>
        </is>
      </c>
      <c r="S580" t="n">
        <v>0</v>
      </c>
      <c r="T580" t="inlineStr">
        <is>
          <t>AUD</t>
        </is>
      </c>
      <c r="U580" t="n">
        <v>0</v>
      </c>
    </row>
    <row r="581">
      <c r="A581" s="5" t="inlineStr">
        <is>
          <t>01a1212c-545a-76a9-9be0-63963b40e9fc</t>
        </is>
      </c>
      <c r="C581" s="5" t="inlineStr">
        <is>
          <t>01a1212c-4b57-70cf-80fd-c2192cb3bf81</t>
        </is>
      </c>
      <c r="D581" s="4" t="n">
        <v>46304.62402475064</v>
      </c>
      <c r="E581" s="4" t="n">
        <v>46304.62402475072</v>
      </c>
      <c r="F581" t="b">
        <v>1</v>
      </c>
      <c r="G581" t="n">
        <v/>
      </c>
      <c r="H581" t="inlineStr">
        <is>
          <t>AQLT</t>
        </is>
      </c>
      <c r="I581" t="inlineStr">
        <is>
          <t>Betashares Australian Quality ETF</t>
        </is>
      </c>
      <c r="J581" t="inlineStr">
        <is>
          <t>AUD</t>
        </is>
      </c>
      <c r="K581" s="5" t="inlineStr">
        <is>
          <t>01a1212c-4c04-75ce-bbb2-e3322e18816e</t>
        </is>
      </c>
      <c r="M581" t="inlineStr">
        <is>
          <t>UNKNOWN</t>
        </is>
      </c>
      <c r="N581" t="inlineStr">
        <is>
          <t>DEFAULT</t>
        </is>
      </c>
      <c r="Q581" t="n">
        <v>0</v>
      </c>
      <c r="R581" t="inlineStr">
        <is>
          <t>AUD</t>
        </is>
      </c>
      <c r="S581" t="n">
        <v>0</v>
      </c>
      <c r="T581" t="inlineStr">
        <is>
          <t>AUD</t>
        </is>
      </c>
      <c r="U581" t="n">
        <v>0</v>
      </c>
    </row>
    <row r="582">
      <c r="A582" s="5" t="inlineStr">
        <is>
          <t>01a1212c-545c-73e0-af5c-1f88b382a198</t>
        </is>
      </c>
      <c r="C582" s="5" t="inlineStr">
        <is>
          <t>01a1212c-4b57-70cf-80fd-c2192cb3bf81</t>
        </is>
      </c>
      <c r="D582" s="4" t="n">
        <v>46304.62402478106</v>
      </c>
      <c r="E582" s="4" t="n">
        <v>46304.62402478114</v>
      </c>
      <c r="F582" t="b">
        <v>1</v>
      </c>
      <c r="G582" t="n">
        <v/>
      </c>
      <c r="H582" t="inlineStr">
        <is>
          <t>L1IF</t>
        </is>
      </c>
      <c r="I582" t="inlineStr">
        <is>
          <t>L1 Capital International Fund (Managed Fund)</t>
        </is>
      </c>
      <c r="J582" t="inlineStr">
        <is>
          <t>AUD</t>
        </is>
      </c>
      <c r="K582" s="5" t="inlineStr">
        <is>
          <t>01a1212c-4c04-75ce-bbb2-e3322e18816e</t>
        </is>
      </c>
      <c r="M582" t="inlineStr">
        <is>
          <t>UNKNOWN</t>
        </is>
      </c>
      <c r="N582" t="inlineStr">
        <is>
          <t>DEFAULT</t>
        </is>
      </c>
      <c r="Q582" t="n">
        <v>0</v>
      </c>
      <c r="R582" t="inlineStr">
        <is>
          <t>AUD</t>
        </is>
      </c>
      <c r="S582" t="n">
        <v>0</v>
      </c>
      <c r="T582" t="inlineStr">
        <is>
          <t>AUD</t>
        </is>
      </c>
      <c r="U582" t="n">
        <v>0</v>
      </c>
    </row>
    <row r="583">
      <c r="A583" s="5" t="inlineStr">
        <is>
          <t>01a1212c-545f-7215-a65a-090320efed94</t>
        </is>
      </c>
      <c r="C583" s="5" t="inlineStr">
        <is>
          <t>01a1212c-4b57-70cf-80fd-c2192cb3bf81</t>
        </is>
      </c>
      <c r="D583" s="4" t="n">
        <v>46304.6240248129</v>
      </c>
      <c r="E583" s="4" t="n">
        <v>46304.62402481298</v>
      </c>
      <c r="F583" t="b">
        <v>1</v>
      </c>
      <c r="G583" t="n">
        <v/>
      </c>
      <c r="H583" t="inlineStr">
        <is>
          <t>ACF</t>
        </is>
      </c>
      <c r="I583" t="inlineStr">
        <is>
          <t>Acrow Ltd</t>
        </is>
      </c>
      <c r="J583" t="inlineStr">
        <is>
          <t>AUD</t>
        </is>
      </c>
      <c r="K583" s="5" t="inlineStr">
        <is>
          <t>01a1212c-4c04-75ce-bbb2-e3322e18816e</t>
        </is>
      </c>
      <c r="M583" t="inlineStr">
        <is>
          <t>UNKNOWN</t>
        </is>
      </c>
      <c r="N583" t="inlineStr">
        <is>
          <t>DEFAULT</t>
        </is>
      </c>
      <c r="Q583" t="n">
        <v>0</v>
      </c>
      <c r="R583" t="inlineStr">
        <is>
          <t>AUD</t>
        </is>
      </c>
      <c r="S583" t="n">
        <v>0</v>
      </c>
      <c r="T583" t="inlineStr">
        <is>
          <t>AUD</t>
        </is>
      </c>
      <c r="U583" t="n">
        <v>0</v>
      </c>
    </row>
    <row r="584">
      <c r="A584" s="5" t="inlineStr">
        <is>
          <t>01a1212c-5462-700f-bcb4-adee5e87997a</t>
        </is>
      </c>
      <c r="C584" s="5" t="inlineStr">
        <is>
          <t>01a1212c-4b57-70cf-80fd-c2192cb3bf81</t>
        </is>
      </c>
      <c r="D584" s="4" t="n">
        <v>46304.62402484531</v>
      </c>
      <c r="E584" s="4" t="n">
        <v>46304.62402484541</v>
      </c>
      <c r="F584" t="b">
        <v>1</v>
      </c>
      <c r="G584" t="n">
        <v/>
      </c>
      <c r="H584" t="inlineStr">
        <is>
          <t>QMIX</t>
        </is>
      </c>
      <c r="I584" t="inlineStr">
        <is>
          <t>SPDR MSCI World Quality MIX Fund</t>
        </is>
      </c>
      <c r="J584" t="inlineStr">
        <is>
          <t>AUD</t>
        </is>
      </c>
      <c r="K584" s="5" t="inlineStr">
        <is>
          <t>01a1212c-4c04-75ce-bbb2-e3322e18816e</t>
        </is>
      </c>
      <c r="M584" t="inlineStr">
        <is>
          <t>UNKNOWN</t>
        </is>
      </c>
      <c r="N584" t="inlineStr">
        <is>
          <t>DEFAULT</t>
        </is>
      </c>
      <c r="Q584" t="n">
        <v>0</v>
      </c>
      <c r="R584" t="inlineStr">
        <is>
          <t>AUD</t>
        </is>
      </c>
      <c r="S584" t="n">
        <v>0</v>
      </c>
      <c r="T584" t="inlineStr">
        <is>
          <t>AUD</t>
        </is>
      </c>
      <c r="U584" t="n">
        <v>0</v>
      </c>
    </row>
    <row r="585">
      <c r="A585" s="5" t="inlineStr">
        <is>
          <t>01a1212c-5465-7623-aa87-f7f7c5a0623b</t>
        </is>
      </c>
      <c r="C585" s="5" t="inlineStr">
        <is>
          <t>01a1212c-4b57-70cf-80fd-c2192cb3bf81</t>
        </is>
      </c>
      <c r="D585" s="4" t="n">
        <v>46304.62402487664</v>
      </c>
      <c r="E585" s="4" t="n">
        <v>46304.62402487673</v>
      </c>
      <c r="F585" t="b">
        <v>1</v>
      </c>
      <c r="G585" t="n">
        <v/>
      </c>
      <c r="H585" t="inlineStr">
        <is>
          <t>MAU</t>
        </is>
      </c>
      <c r="I585" t="inlineStr">
        <is>
          <t>Magnetic Resources NL</t>
        </is>
      </c>
      <c r="J585" t="inlineStr">
        <is>
          <t>AUD</t>
        </is>
      </c>
      <c r="K585" s="5" t="inlineStr">
        <is>
          <t>01a1212c-4c04-75ce-bbb2-e3322e18816e</t>
        </is>
      </c>
      <c r="M585" t="inlineStr">
        <is>
          <t>UNKNOWN</t>
        </is>
      </c>
      <c r="N585" t="inlineStr">
        <is>
          <t>DEFAULT</t>
        </is>
      </c>
      <c r="Q585" t="n">
        <v>0</v>
      </c>
      <c r="R585" t="inlineStr">
        <is>
          <t>AUD</t>
        </is>
      </c>
      <c r="S585" t="n">
        <v>0</v>
      </c>
      <c r="T585" t="inlineStr">
        <is>
          <t>AUD</t>
        </is>
      </c>
      <c r="U585" t="n">
        <v>0</v>
      </c>
    </row>
    <row r="586">
      <c r="A586" s="5" t="inlineStr">
        <is>
          <t>01a1212c-5468-75c8-9339-300261e28e18</t>
        </is>
      </c>
      <c r="C586" s="5" t="inlineStr">
        <is>
          <t>01a1212c-4b57-70cf-80fd-c2192cb3bf81</t>
        </is>
      </c>
      <c r="D586" s="4" t="n">
        <v>46304.62402491082</v>
      </c>
      <c r="E586" s="4" t="n">
        <v>46304.62402491092</v>
      </c>
      <c r="F586" t="b">
        <v>1</v>
      </c>
      <c r="G586" t="n">
        <v/>
      </c>
      <c r="H586" t="inlineStr">
        <is>
          <t>SGR</t>
        </is>
      </c>
      <c r="I586" t="inlineStr">
        <is>
          <t>The Star Entertainment Group Ltd</t>
        </is>
      </c>
      <c r="J586" t="inlineStr">
        <is>
          <t>AUD</t>
        </is>
      </c>
      <c r="K586" s="5" t="inlineStr">
        <is>
          <t>01a1212c-4c04-75ce-bbb2-e3322e18816e</t>
        </is>
      </c>
      <c r="M586" t="inlineStr">
        <is>
          <t>UNKNOWN</t>
        </is>
      </c>
      <c r="N586" t="inlineStr">
        <is>
          <t>DEFAULT</t>
        </is>
      </c>
      <c r="Q586" t="n">
        <v>0</v>
      </c>
      <c r="R586" t="inlineStr">
        <is>
          <t>AUD</t>
        </is>
      </c>
      <c r="S586" t="n">
        <v>0</v>
      </c>
      <c r="T586" t="inlineStr">
        <is>
          <t>AUD</t>
        </is>
      </c>
      <c r="U586" t="n">
        <v>0</v>
      </c>
    </row>
    <row r="587">
      <c r="A587" s="5" t="inlineStr">
        <is>
          <t>01a1212c-546b-706f-9e72-d80572027bc9</t>
        </is>
      </c>
      <c r="C587" s="5" t="inlineStr">
        <is>
          <t>01a1212c-4b57-70cf-80fd-c2192cb3bf81</t>
        </is>
      </c>
      <c r="D587" s="4" t="n">
        <v>46304.62402494864</v>
      </c>
      <c r="E587" s="4" t="n">
        <v>46304.62402494876</v>
      </c>
      <c r="F587" t="b">
        <v>1</v>
      </c>
      <c r="G587" t="n">
        <v/>
      </c>
      <c r="H587" t="inlineStr">
        <is>
          <t>MVE</t>
        </is>
      </c>
      <c r="I587" t="inlineStr">
        <is>
          <t>Vaneck S&amp;P/ASX Midcap ETF</t>
        </is>
      </c>
      <c r="J587" t="inlineStr">
        <is>
          <t>AUD</t>
        </is>
      </c>
      <c r="K587" s="5" t="inlineStr">
        <is>
          <t>01a1212c-4c04-75ce-bbb2-e3322e18816e</t>
        </is>
      </c>
      <c r="M587" t="inlineStr">
        <is>
          <t>UNKNOWN</t>
        </is>
      </c>
      <c r="N587" t="inlineStr">
        <is>
          <t>DEFAULT</t>
        </is>
      </c>
      <c r="Q587" t="n">
        <v>0</v>
      </c>
      <c r="R587" t="inlineStr">
        <is>
          <t>AUD</t>
        </is>
      </c>
      <c r="S587" t="n">
        <v>0</v>
      </c>
      <c r="T587" t="inlineStr">
        <is>
          <t>AUD</t>
        </is>
      </c>
      <c r="U587" t="n">
        <v>0</v>
      </c>
    </row>
    <row r="588">
      <c r="A588" s="5" t="inlineStr">
        <is>
          <t>01a1212c-546e-72f6-8af3-6d3ef7c32ace</t>
        </is>
      </c>
      <c r="C588" s="5" t="inlineStr">
        <is>
          <t>01a1212c-4b57-70cf-80fd-c2192cb3bf81</t>
        </is>
      </c>
      <c r="D588" s="4" t="n">
        <v>46304.62402498753</v>
      </c>
      <c r="E588" s="4" t="n">
        <v>46304.62402498764</v>
      </c>
      <c r="F588" t="b">
        <v>1</v>
      </c>
      <c r="G588" t="n">
        <v/>
      </c>
      <c r="H588" t="inlineStr">
        <is>
          <t>IGL</t>
        </is>
      </c>
      <c r="I588" t="inlineStr">
        <is>
          <t>Ive Group Ltd</t>
        </is>
      </c>
      <c r="J588" t="inlineStr">
        <is>
          <t>AUD</t>
        </is>
      </c>
      <c r="K588" s="5" t="inlineStr">
        <is>
          <t>01a1212c-4c04-75ce-bbb2-e3322e18816e</t>
        </is>
      </c>
      <c r="M588" t="inlineStr">
        <is>
          <t>UNKNOWN</t>
        </is>
      </c>
      <c r="N588" t="inlineStr">
        <is>
          <t>DEFAULT</t>
        </is>
      </c>
      <c r="Q588" t="n">
        <v>0</v>
      </c>
      <c r="R588" t="inlineStr">
        <is>
          <t>AUD</t>
        </is>
      </c>
      <c r="S588" t="n">
        <v>0</v>
      </c>
      <c r="T588" t="inlineStr">
        <is>
          <t>AUD</t>
        </is>
      </c>
      <c r="U588" t="n">
        <v>0</v>
      </c>
    </row>
    <row r="589">
      <c r="A589" s="5" t="inlineStr">
        <is>
          <t>01a1212c-5471-764f-adfe-0cd64368c4e3</t>
        </is>
      </c>
      <c r="C589" s="5" t="inlineStr">
        <is>
          <t>01a1212c-4b57-70cf-80fd-c2192cb3bf81</t>
        </is>
      </c>
      <c r="D589" s="4" t="n">
        <v>46304.6240250211</v>
      </c>
      <c r="E589" s="4" t="n">
        <v>46304.62402502119</v>
      </c>
      <c r="F589" t="b">
        <v>1</v>
      </c>
      <c r="G589" t="n">
        <v/>
      </c>
      <c r="H589" t="inlineStr">
        <is>
          <t>AGX1</t>
        </is>
      </c>
      <c r="I589" t="inlineStr">
        <is>
          <t>Antipodes Global Shares (Quoted Managed Fund)</t>
        </is>
      </c>
      <c r="J589" t="inlineStr">
        <is>
          <t>AUD</t>
        </is>
      </c>
      <c r="K589" s="5" t="inlineStr">
        <is>
          <t>01a1212c-4c04-75ce-bbb2-e3322e18816e</t>
        </is>
      </c>
      <c r="M589" t="inlineStr">
        <is>
          <t>UNKNOWN</t>
        </is>
      </c>
      <c r="N589" t="inlineStr">
        <is>
          <t>DEFAULT</t>
        </is>
      </c>
      <c r="Q589" t="n">
        <v>0</v>
      </c>
      <c r="R589" t="inlineStr">
        <is>
          <t>AUD</t>
        </is>
      </c>
      <c r="S589" t="n">
        <v>0</v>
      </c>
      <c r="T589" t="inlineStr">
        <is>
          <t>AUD</t>
        </is>
      </c>
      <c r="U589" t="n">
        <v>0</v>
      </c>
    </row>
    <row r="590">
      <c r="A590" s="5" t="inlineStr">
        <is>
          <t>01a1212c-5474-73d8-a7ca-4b3da46d171f</t>
        </is>
      </c>
      <c r="C590" s="5" t="inlineStr">
        <is>
          <t>01a1212c-4b57-70cf-80fd-c2192cb3bf81</t>
        </is>
      </c>
      <c r="D590" s="4" t="n">
        <v>46304.62402505633</v>
      </c>
      <c r="E590" s="4" t="n">
        <v>46304.62402505644</v>
      </c>
      <c r="F590" t="b">
        <v>1</v>
      </c>
      <c r="G590" t="n">
        <v/>
      </c>
      <c r="H590" t="inlineStr">
        <is>
          <t>HZN</t>
        </is>
      </c>
      <c r="I590" t="inlineStr">
        <is>
          <t>Horizon Oil Ltd</t>
        </is>
      </c>
      <c r="J590" t="inlineStr">
        <is>
          <t>AUD</t>
        </is>
      </c>
      <c r="K590" s="5" t="inlineStr">
        <is>
          <t>01a1212c-4c04-75ce-bbb2-e3322e18816e</t>
        </is>
      </c>
      <c r="M590" t="inlineStr">
        <is>
          <t>UNKNOWN</t>
        </is>
      </c>
      <c r="N590" t="inlineStr">
        <is>
          <t>DEFAULT</t>
        </is>
      </c>
      <c r="Q590" t="n">
        <v>0</v>
      </c>
      <c r="R590" t="inlineStr">
        <is>
          <t>AUD</t>
        </is>
      </c>
      <c r="S590" t="n">
        <v>0</v>
      </c>
      <c r="T590" t="inlineStr">
        <is>
          <t>AUD</t>
        </is>
      </c>
      <c r="U590" t="n">
        <v>0</v>
      </c>
    </row>
    <row r="591">
      <c r="A591" s="5" t="inlineStr">
        <is>
          <t>01a1212c-5477-7262-98e9-a3d0de93ef39</t>
        </is>
      </c>
      <c r="C591" s="5" t="inlineStr">
        <is>
          <t>01a1212c-4b57-70cf-80fd-c2192cb3bf81</t>
        </is>
      </c>
      <c r="D591" s="4" t="n">
        <v>46304.62402508792</v>
      </c>
      <c r="E591" s="4" t="n">
        <v>46304.62402508801</v>
      </c>
      <c r="F591" t="b">
        <v>1</v>
      </c>
      <c r="G591" t="n">
        <v/>
      </c>
      <c r="H591" t="inlineStr">
        <is>
          <t>TTT</t>
        </is>
      </c>
      <c r="I591" t="inlineStr">
        <is>
          <t>Titomic Ltd</t>
        </is>
      </c>
      <c r="J591" t="inlineStr">
        <is>
          <t>AUD</t>
        </is>
      </c>
      <c r="K591" s="5" t="inlineStr">
        <is>
          <t>01a1212c-4c04-75ce-bbb2-e3322e18816e</t>
        </is>
      </c>
      <c r="M591" t="inlineStr">
        <is>
          <t>UNKNOWN</t>
        </is>
      </c>
      <c r="N591" t="inlineStr">
        <is>
          <t>DEFAULT</t>
        </is>
      </c>
      <c r="Q591" t="n">
        <v>0</v>
      </c>
      <c r="R591" t="inlineStr">
        <is>
          <t>AUD</t>
        </is>
      </c>
      <c r="S591" t="n">
        <v>0</v>
      </c>
      <c r="T591" t="inlineStr">
        <is>
          <t>AUD</t>
        </is>
      </c>
      <c r="U591" t="n">
        <v>0</v>
      </c>
    </row>
    <row r="592">
      <c r="A592" s="5" t="inlineStr">
        <is>
          <t>01a1212c-547a-7500-8635-520dd59e56ea</t>
        </is>
      </c>
      <c r="C592" s="5" t="inlineStr">
        <is>
          <t>01a1212c-4b57-70cf-80fd-c2192cb3bf81</t>
        </is>
      </c>
      <c r="D592" s="4" t="n">
        <v>46304.62402512</v>
      </c>
      <c r="E592" s="4" t="n">
        <v>46304.62402512008</v>
      </c>
      <c r="F592" t="b">
        <v>1</v>
      </c>
      <c r="G592" t="n">
        <v/>
      </c>
      <c r="H592" t="inlineStr">
        <is>
          <t>ALK</t>
        </is>
      </c>
      <c r="I592" t="inlineStr">
        <is>
          <t>Alkane Resources Ltd</t>
        </is>
      </c>
      <c r="J592" t="inlineStr">
        <is>
          <t>AUD</t>
        </is>
      </c>
      <c r="K592" s="5" t="inlineStr">
        <is>
          <t>01a1212c-4c04-75ce-bbb2-e3322e18816e</t>
        </is>
      </c>
      <c r="M592" t="inlineStr">
        <is>
          <t>UNKNOWN</t>
        </is>
      </c>
      <c r="N592" t="inlineStr">
        <is>
          <t>DEFAULT</t>
        </is>
      </c>
      <c r="Q592" t="n">
        <v>0</v>
      </c>
      <c r="R592" t="inlineStr">
        <is>
          <t>AUD</t>
        </is>
      </c>
      <c r="S592" t="n">
        <v>0</v>
      </c>
      <c r="T592" t="inlineStr">
        <is>
          <t>AUD</t>
        </is>
      </c>
      <c r="U592" t="n">
        <v>0</v>
      </c>
    </row>
    <row r="593">
      <c r="A593" s="5" t="inlineStr">
        <is>
          <t>01a1212c-547d-73db-bbab-30d392a7f19d</t>
        </is>
      </c>
      <c r="C593" s="5" t="inlineStr">
        <is>
          <t>01a1212c-4b57-70cf-80fd-c2192cb3bf81</t>
        </is>
      </c>
      <c r="D593" s="4" t="n">
        <v>46304.62402515183</v>
      </c>
      <c r="E593" s="4" t="n">
        <v>46304.62402515191</v>
      </c>
      <c r="F593" t="b">
        <v>1</v>
      </c>
      <c r="G593" t="n">
        <v/>
      </c>
      <c r="H593" t="inlineStr">
        <is>
          <t>ATEC</t>
        </is>
      </c>
      <c r="I593" t="inlineStr">
        <is>
          <t>Betashares S&amp;P/ASX Australian Technology ETF</t>
        </is>
      </c>
      <c r="J593" t="inlineStr">
        <is>
          <t>AUD</t>
        </is>
      </c>
      <c r="K593" s="5" t="inlineStr">
        <is>
          <t>01a1212c-4c04-75ce-bbb2-e3322e18816e</t>
        </is>
      </c>
      <c r="M593" t="inlineStr">
        <is>
          <t>UNKNOWN</t>
        </is>
      </c>
      <c r="N593" t="inlineStr">
        <is>
          <t>DEFAULT</t>
        </is>
      </c>
      <c r="Q593" t="n">
        <v>0</v>
      </c>
      <c r="R593" t="inlineStr">
        <is>
          <t>AUD</t>
        </is>
      </c>
      <c r="S593" t="n">
        <v>0</v>
      </c>
      <c r="T593" t="inlineStr">
        <is>
          <t>AUD</t>
        </is>
      </c>
      <c r="U593" t="n">
        <v>0</v>
      </c>
    </row>
    <row r="594">
      <c r="A594" s="5" t="inlineStr">
        <is>
          <t>01a1212c-5480-74d7-92d7-9e61eddad00a</t>
        </is>
      </c>
      <c r="C594" s="5" t="inlineStr">
        <is>
          <t>01a1212c-4b57-70cf-80fd-c2192cb3bf81</t>
        </is>
      </c>
      <c r="D594" s="4" t="n">
        <v>46304.62402518874</v>
      </c>
      <c r="E594" s="4" t="n">
        <v>46304.62402518883</v>
      </c>
      <c r="F594" t="b">
        <v>1</v>
      </c>
      <c r="G594" t="n">
        <v/>
      </c>
      <c r="H594" t="inlineStr">
        <is>
          <t>ARU</t>
        </is>
      </c>
      <c r="I594" t="inlineStr">
        <is>
          <t>Arafura Rare EARTHS Ltd</t>
        </is>
      </c>
      <c r="J594" t="inlineStr">
        <is>
          <t>AUD</t>
        </is>
      </c>
      <c r="K594" s="5" t="inlineStr">
        <is>
          <t>01a1212c-4c04-75ce-bbb2-e3322e18816e</t>
        </is>
      </c>
      <c r="M594" t="inlineStr">
        <is>
          <t>UNKNOWN</t>
        </is>
      </c>
      <c r="N594" t="inlineStr">
        <is>
          <t>DEFAULT</t>
        </is>
      </c>
      <c r="Q594" t="n">
        <v>0</v>
      </c>
      <c r="R594" t="inlineStr">
        <is>
          <t>AUD</t>
        </is>
      </c>
      <c r="S594" t="n">
        <v>0</v>
      </c>
      <c r="T594" t="inlineStr">
        <is>
          <t>AUD</t>
        </is>
      </c>
      <c r="U594" t="n">
        <v>0</v>
      </c>
    </row>
    <row r="595">
      <c r="A595" s="5" t="inlineStr">
        <is>
          <t>01a1212c-5483-7723-8272-9f14a0aec7e5</t>
        </is>
      </c>
      <c r="C595" s="5" t="inlineStr">
        <is>
          <t>01a1212c-4b57-70cf-80fd-c2192cb3bf81</t>
        </is>
      </c>
      <c r="D595" s="4" t="n">
        <v>46304.62402522522</v>
      </c>
      <c r="E595" s="4" t="n">
        <v>46304.6240252253</v>
      </c>
      <c r="F595" t="b">
        <v>1</v>
      </c>
      <c r="G595" t="n">
        <v/>
      </c>
      <c r="H595" t="inlineStr">
        <is>
          <t>KSL</t>
        </is>
      </c>
      <c r="I595" t="inlineStr">
        <is>
          <t>Kina Securities Ltd</t>
        </is>
      </c>
      <c r="J595" t="inlineStr">
        <is>
          <t>AUD</t>
        </is>
      </c>
      <c r="K595" s="5" t="inlineStr">
        <is>
          <t>01a1212c-4c04-75ce-bbb2-e3322e18816e</t>
        </is>
      </c>
      <c r="M595" t="inlineStr">
        <is>
          <t>UNKNOWN</t>
        </is>
      </c>
      <c r="N595" t="inlineStr">
        <is>
          <t>DEFAULT</t>
        </is>
      </c>
      <c r="Q595" t="n">
        <v>0</v>
      </c>
      <c r="R595" t="inlineStr">
        <is>
          <t>AUD</t>
        </is>
      </c>
      <c r="S595" t="n">
        <v>0</v>
      </c>
      <c r="T595" t="inlineStr">
        <is>
          <t>AUD</t>
        </is>
      </c>
      <c r="U595" t="n">
        <v>0</v>
      </c>
    </row>
    <row r="596">
      <c r="A596" s="5" t="inlineStr">
        <is>
          <t>01a1212c-5486-7119-8e8f-f13ebfcf451f</t>
        </is>
      </c>
      <c r="C596" s="5" t="inlineStr">
        <is>
          <t>01a1212c-4b57-70cf-80fd-c2192cb3bf81</t>
        </is>
      </c>
      <c r="D596" s="4" t="n">
        <v>46304.62402525671</v>
      </c>
      <c r="E596" s="4" t="n">
        <v>46304.62402525679</v>
      </c>
      <c r="F596" t="b">
        <v>1</v>
      </c>
      <c r="G596" t="n">
        <v/>
      </c>
      <c r="H596" t="inlineStr">
        <is>
          <t>PIA</t>
        </is>
      </c>
      <c r="I596" t="inlineStr">
        <is>
          <t>Pengana International Equities Ltd</t>
        </is>
      </c>
      <c r="J596" t="inlineStr">
        <is>
          <t>AUD</t>
        </is>
      </c>
      <c r="K596" s="5" t="inlineStr">
        <is>
          <t>01a1212c-4c04-75ce-bbb2-e3322e18816e</t>
        </is>
      </c>
      <c r="M596" t="inlineStr">
        <is>
          <t>UNKNOWN</t>
        </is>
      </c>
      <c r="N596" t="inlineStr">
        <is>
          <t>DEFAULT</t>
        </is>
      </c>
      <c r="Q596" t="n">
        <v>0</v>
      </c>
      <c r="R596" t="inlineStr">
        <is>
          <t>AUD</t>
        </is>
      </c>
      <c r="S596" t="n">
        <v>0</v>
      </c>
      <c r="T596" t="inlineStr">
        <is>
          <t>AUD</t>
        </is>
      </c>
      <c r="U596" t="n">
        <v>0</v>
      </c>
    </row>
    <row r="597">
      <c r="A597" s="5" t="inlineStr">
        <is>
          <t>01a1212c-5488-709a-8f53-a44b8c49d8fe</t>
        </is>
      </c>
      <c r="C597" s="5" t="inlineStr">
        <is>
          <t>01a1212c-4b57-70cf-80fd-c2192cb3bf81</t>
        </is>
      </c>
      <c r="D597" s="4" t="n">
        <v>46304.62402528813</v>
      </c>
      <c r="E597" s="4" t="n">
        <v>46304.62402528822</v>
      </c>
      <c r="F597" t="b">
        <v>1</v>
      </c>
      <c r="G597" t="n">
        <v/>
      </c>
      <c r="H597" t="inlineStr">
        <is>
          <t>CAY</t>
        </is>
      </c>
      <c r="I597" t="inlineStr">
        <is>
          <t>Canyon Resources Ltd</t>
        </is>
      </c>
      <c r="J597" t="inlineStr">
        <is>
          <t>AUD</t>
        </is>
      </c>
      <c r="K597" s="5" t="inlineStr">
        <is>
          <t>01a1212c-4c04-75ce-bbb2-e3322e18816e</t>
        </is>
      </c>
      <c r="M597" t="inlineStr">
        <is>
          <t>UNKNOWN</t>
        </is>
      </c>
      <c r="N597" t="inlineStr">
        <is>
          <t>DEFAULT</t>
        </is>
      </c>
      <c r="Q597" t="n">
        <v>0</v>
      </c>
      <c r="R597" t="inlineStr">
        <is>
          <t>AUD</t>
        </is>
      </c>
      <c r="S597" t="n">
        <v>0</v>
      </c>
      <c r="T597" t="inlineStr">
        <is>
          <t>AUD</t>
        </is>
      </c>
      <c r="U597" t="n">
        <v>0</v>
      </c>
    </row>
    <row r="598">
      <c r="A598" s="5" t="inlineStr">
        <is>
          <t>01a1212c-548b-7062-af77-8fa0dee50e63</t>
        </is>
      </c>
      <c r="C598" s="5" t="inlineStr">
        <is>
          <t>01a1212c-4b57-70cf-80fd-c2192cb3bf81</t>
        </is>
      </c>
      <c r="D598" s="4" t="n">
        <v>46304.62402531935</v>
      </c>
      <c r="E598" s="4" t="n">
        <v>46304.62402531943</v>
      </c>
      <c r="F598" t="b">
        <v>1</v>
      </c>
      <c r="G598" t="n">
        <v/>
      </c>
      <c r="H598" t="inlineStr">
        <is>
          <t>GLPR</t>
        </is>
      </c>
      <c r="I598" t="inlineStr">
        <is>
          <t>Ishares Ftse GBL Property Ex Aus (Aud Hedged) ETF</t>
        </is>
      </c>
      <c r="J598" t="inlineStr">
        <is>
          <t>AUD</t>
        </is>
      </c>
      <c r="K598" s="5" t="inlineStr">
        <is>
          <t>01a1212c-4c04-75ce-bbb2-e3322e18816e</t>
        </is>
      </c>
      <c r="M598" t="inlineStr">
        <is>
          <t>UNKNOWN</t>
        </is>
      </c>
      <c r="N598" t="inlineStr">
        <is>
          <t>DEFAULT</t>
        </is>
      </c>
      <c r="Q598" t="n">
        <v>0</v>
      </c>
      <c r="R598" t="inlineStr">
        <is>
          <t>AUD</t>
        </is>
      </c>
      <c r="S598" t="n">
        <v>0</v>
      </c>
      <c r="T598" t="inlineStr">
        <is>
          <t>AUD</t>
        </is>
      </c>
      <c r="U598" t="n">
        <v>0</v>
      </c>
    </row>
    <row r="599">
      <c r="A599" s="5" t="inlineStr">
        <is>
          <t>01a1212c-548e-74b0-9b94-c3ec1651e4bd</t>
        </is>
      </c>
      <c r="C599" s="5" t="inlineStr">
        <is>
          <t>01a1212c-4b57-70cf-80fd-c2192cb3bf81</t>
        </is>
      </c>
      <c r="D599" s="4" t="n">
        <v>46304.62402535247</v>
      </c>
      <c r="E599" s="4" t="n">
        <v>46304.62402535256</v>
      </c>
      <c r="F599" t="b">
        <v>1</v>
      </c>
      <c r="G599" t="n">
        <v/>
      </c>
      <c r="H599" t="inlineStr">
        <is>
          <t>IHD</t>
        </is>
      </c>
      <c r="I599" t="inlineStr">
        <is>
          <t>Ishares S&amp;P/ASX DIV Opportunities Esg Screened ETF</t>
        </is>
      </c>
      <c r="J599" t="inlineStr">
        <is>
          <t>AUD</t>
        </is>
      </c>
      <c r="K599" s="5" t="inlineStr">
        <is>
          <t>01a1212c-4c04-75ce-bbb2-e3322e18816e</t>
        </is>
      </c>
      <c r="M599" t="inlineStr">
        <is>
          <t>UNKNOWN</t>
        </is>
      </c>
      <c r="N599" t="inlineStr">
        <is>
          <t>DEFAULT</t>
        </is>
      </c>
      <c r="Q599" t="n">
        <v>0</v>
      </c>
      <c r="R599" t="inlineStr">
        <is>
          <t>AUD</t>
        </is>
      </c>
      <c r="S599" t="n">
        <v>0</v>
      </c>
      <c r="T599" t="inlineStr">
        <is>
          <t>AUD</t>
        </is>
      </c>
      <c r="U599" t="n">
        <v>0</v>
      </c>
    </row>
    <row r="600">
      <c r="A600" s="5" t="inlineStr">
        <is>
          <t>01a1212c-5491-745f-8e6c-27714d6f589f</t>
        </is>
      </c>
      <c r="C600" s="5" t="inlineStr">
        <is>
          <t>01a1212c-4b57-70cf-80fd-c2192cb3bf81</t>
        </is>
      </c>
      <c r="D600" s="4" t="n">
        <v>46304.62402538725</v>
      </c>
      <c r="E600" s="4" t="n">
        <v>46304.62402538733</v>
      </c>
      <c r="F600" t="b">
        <v>1</v>
      </c>
      <c r="G600" t="n">
        <v/>
      </c>
      <c r="H600" t="inlineStr">
        <is>
          <t>SPY</t>
        </is>
      </c>
      <c r="I600" t="inlineStr">
        <is>
          <t>SPDR S&amp;P 500 ETF Trust</t>
        </is>
      </c>
      <c r="J600" t="inlineStr">
        <is>
          <t>AUD</t>
        </is>
      </c>
      <c r="K600" s="5" t="inlineStr">
        <is>
          <t>01a1212c-4c04-75ce-bbb2-e3322e18816e</t>
        </is>
      </c>
      <c r="M600" t="inlineStr">
        <is>
          <t>UNIT_TRUST</t>
        </is>
      </c>
      <c r="N600" t="inlineStr">
        <is>
          <t>SUGGESTED</t>
        </is>
      </c>
      <c r="Q600" t="n">
        <v>0</v>
      </c>
      <c r="R600" t="inlineStr">
        <is>
          <t>AUD</t>
        </is>
      </c>
      <c r="S600" t="n">
        <v>0</v>
      </c>
      <c r="T600" t="inlineStr">
        <is>
          <t>AUD</t>
        </is>
      </c>
      <c r="U600" t="n">
        <v>0</v>
      </c>
    </row>
    <row r="601">
      <c r="A601" s="5" t="inlineStr">
        <is>
          <t>01a1212c-5494-7660-8648-0f69ef99d4a1</t>
        </is>
      </c>
      <c r="C601" s="5" t="inlineStr">
        <is>
          <t>01a1212c-4b57-70cf-80fd-c2192cb3bf81</t>
        </is>
      </c>
      <c r="D601" s="4" t="n">
        <v>46304.62402542176</v>
      </c>
      <c r="E601" s="4" t="n">
        <v>46304.62402542184</v>
      </c>
      <c r="F601" t="b">
        <v>1</v>
      </c>
      <c r="G601" t="n">
        <v/>
      </c>
      <c r="H601" t="inlineStr">
        <is>
          <t>HLO</t>
        </is>
      </c>
      <c r="I601" t="inlineStr">
        <is>
          <t>Helloworld Travel Ltd</t>
        </is>
      </c>
      <c r="J601" t="inlineStr">
        <is>
          <t>AUD</t>
        </is>
      </c>
      <c r="K601" s="5" t="inlineStr">
        <is>
          <t>01a1212c-4c04-75ce-bbb2-e3322e18816e</t>
        </is>
      </c>
      <c r="M601" t="inlineStr">
        <is>
          <t>UNKNOWN</t>
        </is>
      </c>
      <c r="N601" t="inlineStr">
        <is>
          <t>DEFAULT</t>
        </is>
      </c>
      <c r="Q601" t="n">
        <v>0</v>
      </c>
      <c r="R601" t="inlineStr">
        <is>
          <t>AUD</t>
        </is>
      </c>
      <c r="S601" t="n">
        <v>0</v>
      </c>
      <c r="T601" t="inlineStr">
        <is>
          <t>AUD</t>
        </is>
      </c>
      <c r="U601" t="n">
        <v>0</v>
      </c>
    </row>
    <row r="602">
      <c r="A602" s="5" t="inlineStr">
        <is>
          <t>01a1212c-5496-775a-b5d5-667758c05cd5</t>
        </is>
      </c>
      <c r="C602" s="5" t="inlineStr">
        <is>
          <t>01a1212c-4b57-70cf-80fd-c2192cb3bf81</t>
        </is>
      </c>
      <c r="D602" s="4" t="n">
        <v>46304.62402545229</v>
      </c>
      <c r="E602" s="4" t="n">
        <v>46304.62402545237</v>
      </c>
      <c r="F602" t="b">
        <v>1</v>
      </c>
      <c r="G602" t="n">
        <v/>
      </c>
      <c r="H602" t="inlineStr">
        <is>
          <t>OFX</t>
        </is>
      </c>
      <c r="I602" t="inlineStr">
        <is>
          <t>OFX Group Ltd</t>
        </is>
      </c>
      <c r="J602" t="inlineStr">
        <is>
          <t>AUD</t>
        </is>
      </c>
      <c r="K602" s="5" t="inlineStr">
        <is>
          <t>01a1212c-4c04-75ce-bbb2-e3322e18816e</t>
        </is>
      </c>
      <c r="M602" t="inlineStr">
        <is>
          <t>UNKNOWN</t>
        </is>
      </c>
      <c r="N602" t="inlineStr">
        <is>
          <t>DEFAULT</t>
        </is>
      </c>
      <c r="Q602" t="n">
        <v>0</v>
      </c>
      <c r="R602" t="inlineStr">
        <is>
          <t>AUD</t>
        </is>
      </c>
      <c r="S602" t="n">
        <v>0</v>
      </c>
      <c r="T602" t="inlineStr">
        <is>
          <t>AUD</t>
        </is>
      </c>
      <c r="U602" t="n">
        <v>0</v>
      </c>
    </row>
    <row r="603">
      <c r="A603" s="5" t="inlineStr">
        <is>
          <t>01a1212c-5499-77d3-8b65-2d61c25823d5</t>
        </is>
      </c>
      <c r="C603" s="5" t="inlineStr">
        <is>
          <t>01a1212c-4b57-70cf-80fd-c2192cb3bf81</t>
        </is>
      </c>
      <c r="D603" s="4" t="n">
        <v>46304.62402548501</v>
      </c>
      <c r="E603" s="4" t="n">
        <v>46304.62402548508</v>
      </c>
      <c r="F603" t="b">
        <v>1</v>
      </c>
      <c r="G603" t="n">
        <v/>
      </c>
      <c r="H603" t="inlineStr">
        <is>
          <t>PSQ</t>
        </is>
      </c>
      <c r="I603" t="inlineStr">
        <is>
          <t>Pacific Smiles Group Ltd</t>
        </is>
      </c>
      <c r="J603" t="inlineStr">
        <is>
          <t>AUD</t>
        </is>
      </c>
      <c r="K603" s="5" t="inlineStr">
        <is>
          <t>01a1212c-4c04-75ce-bbb2-e3322e18816e</t>
        </is>
      </c>
      <c r="M603" t="inlineStr">
        <is>
          <t>UNKNOWN</t>
        </is>
      </c>
      <c r="N603" t="inlineStr">
        <is>
          <t>DEFAULT</t>
        </is>
      </c>
      <c r="Q603" t="n">
        <v>0</v>
      </c>
      <c r="R603" t="inlineStr">
        <is>
          <t>AUD</t>
        </is>
      </c>
      <c r="S603" t="n">
        <v>0</v>
      </c>
      <c r="T603" t="inlineStr">
        <is>
          <t>AUD</t>
        </is>
      </c>
      <c r="U603" t="n">
        <v>0</v>
      </c>
    </row>
    <row r="604">
      <c r="A604" s="5" t="inlineStr">
        <is>
          <t>01a1212c-549c-712b-963d-a097429548a0</t>
        </is>
      </c>
      <c r="C604" s="5" t="inlineStr">
        <is>
          <t>01a1212c-4b57-70cf-80fd-c2192cb3bf81</t>
        </is>
      </c>
      <c r="D604" s="4" t="n">
        <v>46304.6240255157</v>
      </c>
      <c r="E604" s="4" t="n">
        <v>46304.62402551576</v>
      </c>
      <c r="F604" t="b">
        <v>1</v>
      </c>
      <c r="G604" t="n">
        <v/>
      </c>
      <c r="H604" t="inlineStr">
        <is>
          <t>WC8</t>
        </is>
      </c>
      <c r="I604" t="inlineStr">
        <is>
          <t>Wildcat Resources Ltd</t>
        </is>
      </c>
      <c r="J604" t="inlineStr">
        <is>
          <t>AUD</t>
        </is>
      </c>
      <c r="K604" s="5" t="inlineStr">
        <is>
          <t>01a1212c-4c04-75ce-bbb2-e3322e18816e</t>
        </is>
      </c>
      <c r="M604" t="inlineStr">
        <is>
          <t>UNKNOWN</t>
        </is>
      </c>
      <c r="N604" t="inlineStr">
        <is>
          <t>DEFAULT</t>
        </is>
      </c>
      <c r="Q604" t="n">
        <v>0</v>
      </c>
      <c r="R604" t="inlineStr">
        <is>
          <t>AUD</t>
        </is>
      </c>
      <c r="S604" t="n">
        <v>0</v>
      </c>
      <c r="T604" t="inlineStr">
        <is>
          <t>AUD</t>
        </is>
      </c>
      <c r="U604" t="n">
        <v>0</v>
      </c>
    </row>
    <row r="605">
      <c r="A605" s="5" t="inlineStr">
        <is>
          <t>01a1212c-549f-7348-9955-4bbe19c490a5</t>
        </is>
      </c>
      <c r="C605" s="5" t="inlineStr">
        <is>
          <t>01a1212c-4b57-70cf-80fd-c2192cb3bf81</t>
        </is>
      </c>
      <c r="D605" s="4" t="n">
        <v>46304.62402555021</v>
      </c>
      <c r="E605" s="4" t="n">
        <v>46304.62402555029</v>
      </c>
      <c r="F605" t="b">
        <v>1</v>
      </c>
      <c r="G605" t="n">
        <v/>
      </c>
      <c r="H605" t="inlineStr">
        <is>
          <t>GDI</t>
        </is>
      </c>
      <c r="I605" t="inlineStr">
        <is>
          <t>GDI Property Group</t>
        </is>
      </c>
      <c r="J605" t="inlineStr">
        <is>
          <t>AUD</t>
        </is>
      </c>
      <c r="K605" s="5" t="inlineStr">
        <is>
          <t>01a1212c-4c04-75ce-bbb2-e3322e18816e</t>
        </is>
      </c>
      <c r="M605" t="inlineStr">
        <is>
          <t>UNKNOWN</t>
        </is>
      </c>
      <c r="N605" t="inlineStr">
        <is>
          <t>DEFAULT</t>
        </is>
      </c>
      <c r="Q605" t="n">
        <v>0</v>
      </c>
      <c r="R605" t="inlineStr">
        <is>
          <t>AUD</t>
        </is>
      </c>
      <c r="S605" t="n">
        <v>0</v>
      </c>
      <c r="T605" t="inlineStr">
        <is>
          <t>AUD</t>
        </is>
      </c>
      <c r="U605" t="n">
        <v>0</v>
      </c>
    </row>
    <row r="606">
      <c r="A606" s="5" t="inlineStr">
        <is>
          <t>01a1212c-54a2-71f4-8443-3f53f1f6fe8a</t>
        </is>
      </c>
      <c r="C606" s="5" t="inlineStr">
        <is>
          <t>01a1212c-4b57-70cf-80fd-c2192cb3bf81</t>
        </is>
      </c>
      <c r="D606" s="4" t="n">
        <v>46304.6240255839</v>
      </c>
      <c r="E606" s="4" t="n">
        <v>46304.62402558398</v>
      </c>
      <c r="F606" t="b">
        <v>1</v>
      </c>
      <c r="G606" t="n">
        <v/>
      </c>
      <c r="H606" t="inlineStr">
        <is>
          <t>BENPI</t>
        </is>
      </c>
      <c r="I606" t="inlineStr">
        <is>
          <t>Bendigo and Adelaide Bank Ltd</t>
        </is>
      </c>
      <c r="J606" t="inlineStr">
        <is>
          <t>AUD</t>
        </is>
      </c>
      <c r="K606" s="5" t="inlineStr">
        <is>
          <t>01a1212c-4c04-75ce-bbb2-e3322e18816e</t>
        </is>
      </c>
      <c r="M606" t="inlineStr">
        <is>
          <t>UNKNOWN</t>
        </is>
      </c>
      <c r="N606" t="inlineStr">
        <is>
          <t>DEFAULT</t>
        </is>
      </c>
      <c r="Q606" t="n">
        <v>0</v>
      </c>
      <c r="R606" t="inlineStr">
        <is>
          <t>AUD</t>
        </is>
      </c>
      <c r="S606" t="n">
        <v>0</v>
      </c>
      <c r="T606" t="inlineStr">
        <is>
          <t>AUD</t>
        </is>
      </c>
      <c r="U606" t="n">
        <v>0</v>
      </c>
    </row>
    <row r="607">
      <c r="A607" s="5" t="inlineStr">
        <is>
          <t>01a1212c-54a4-740c-9665-a13631393a57</t>
        </is>
      </c>
      <c r="C607" s="5" t="inlineStr">
        <is>
          <t>01a1212c-4b57-70cf-80fd-c2192cb3bf81</t>
        </is>
      </c>
      <c r="D607" s="4" t="n">
        <v>46304.62402561428</v>
      </c>
      <c r="E607" s="4" t="n">
        <v>46304.62402561435</v>
      </c>
      <c r="F607" t="b">
        <v>1</v>
      </c>
      <c r="G607" t="n">
        <v/>
      </c>
      <c r="H607" t="inlineStr">
        <is>
          <t>SMI</t>
        </is>
      </c>
      <c r="I607" t="inlineStr">
        <is>
          <t>Santana Minerals Ltd</t>
        </is>
      </c>
      <c r="J607" t="inlineStr">
        <is>
          <t>AUD</t>
        </is>
      </c>
      <c r="K607" s="5" t="inlineStr">
        <is>
          <t>01a1212c-4c04-75ce-bbb2-e3322e18816e</t>
        </is>
      </c>
      <c r="M607" t="inlineStr">
        <is>
          <t>UNKNOWN</t>
        </is>
      </c>
      <c r="N607" t="inlineStr">
        <is>
          <t>DEFAULT</t>
        </is>
      </c>
      <c r="Q607" t="n">
        <v>0</v>
      </c>
      <c r="R607" t="inlineStr">
        <is>
          <t>AUD</t>
        </is>
      </c>
      <c r="S607" t="n">
        <v>0</v>
      </c>
      <c r="T607" t="inlineStr">
        <is>
          <t>AUD</t>
        </is>
      </c>
      <c r="U607" t="n">
        <v>0</v>
      </c>
    </row>
    <row r="608">
      <c r="A608" s="5" t="inlineStr">
        <is>
          <t>01a1212c-54a7-7480-821a-71ae6b98501a</t>
        </is>
      </c>
      <c r="C608" s="5" t="inlineStr">
        <is>
          <t>01a1212c-4b57-70cf-80fd-c2192cb3bf81</t>
        </is>
      </c>
      <c r="D608" s="4" t="n">
        <v>46304.62402564703</v>
      </c>
      <c r="E608" s="4" t="n">
        <v>46304.62402564712</v>
      </c>
      <c r="F608" t="b">
        <v>1</v>
      </c>
      <c r="G608" t="n">
        <v/>
      </c>
      <c r="H608" t="inlineStr">
        <is>
          <t>RG8</t>
        </is>
      </c>
      <c r="I608" t="inlineStr">
        <is>
          <t>Regal Asian Investments Ltd</t>
        </is>
      </c>
      <c r="J608" t="inlineStr">
        <is>
          <t>AUD</t>
        </is>
      </c>
      <c r="K608" s="5" t="inlineStr">
        <is>
          <t>01a1212c-4c04-75ce-bbb2-e3322e18816e</t>
        </is>
      </c>
      <c r="M608" t="inlineStr">
        <is>
          <t>UNKNOWN</t>
        </is>
      </c>
      <c r="N608" t="inlineStr">
        <is>
          <t>DEFAULT</t>
        </is>
      </c>
      <c r="Q608" t="n">
        <v>0</v>
      </c>
      <c r="R608" t="inlineStr">
        <is>
          <t>AUD</t>
        </is>
      </c>
      <c r="S608" t="n">
        <v>0</v>
      </c>
      <c r="T608" t="inlineStr">
        <is>
          <t>AUD</t>
        </is>
      </c>
      <c r="U608" t="n">
        <v>0</v>
      </c>
    </row>
    <row r="609">
      <c r="A609" s="5" t="inlineStr">
        <is>
          <t>01a1212c-54aa-73f3-8201-3c9a8d03439e</t>
        </is>
      </c>
      <c r="C609" s="5" t="inlineStr">
        <is>
          <t>01a1212c-4b57-70cf-80fd-c2192cb3bf81</t>
        </is>
      </c>
      <c r="D609" s="4" t="n">
        <v>46304.62402567706</v>
      </c>
      <c r="E609" s="4" t="n">
        <v>46304.62402567714</v>
      </c>
      <c r="F609" t="b">
        <v>1</v>
      </c>
      <c r="G609" t="n">
        <v/>
      </c>
      <c r="H609" t="inlineStr">
        <is>
          <t>PBH</t>
        </is>
      </c>
      <c r="I609" t="inlineStr">
        <is>
          <t>Pointsbet Holdings Ltd</t>
        </is>
      </c>
      <c r="J609" t="inlineStr">
        <is>
          <t>AUD</t>
        </is>
      </c>
      <c r="K609" s="5" t="inlineStr">
        <is>
          <t>01a1212c-4c04-75ce-bbb2-e3322e18816e</t>
        </is>
      </c>
      <c r="M609" t="inlineStr">
        <is>
          <t>UNKNOWN</t>
        </is>
      </c>
      <c r="N609" t="inlineStr">
        <is>
          <t>DEFAULT</t>
        </is>
      </c>
      <c r="Q609" t="n">
        <v>0</v>
      </c>
      <c r="R609" t="inlineStr">
        <is>
          <t>AUD</t>
        </is>
      </c>
      <c r="S609" t="n">
        <v>0</v>
      </c>
      <c r="T609" t="inlineStr">
        <is>
          <t>AUD</t>
        </is>
      </c>
      <c r="U609" t="n">
        <v>0</v>
      </c>
    </row>
    <row r="610">
      <c r="A610" s="5" t="inlineStr">
        <is>
          <t>01a1212c-54ad-7548-8d59-f3d55393d878</t>
        </is>
      </c>
      <c r="C610" s="5" t="inlineStr">
        <is>
          <t>01a1212c-4b57-70cf-80fd-c2192cb3bf81</t>
        </is>
      </c>
      <c r="D610" s="4" t="n">
        <v>46304.6240257079</v>
      </c>
      <c r="E610" s="4" t="n">
        <v>46304.62402570798</v>
      </c>
      <c r="F610" t="b">
        <v>1</v>
      </c>
      <c r="G610" t="n">
        <v/>
      </c>
      <c r="H610" t="inlineStr">
        <is>
          <t>SPZ</t>
        </is>
      </c>
      <c r="I610" t="inlineStr">
        <is>
          <t>Smart Parking Ltd</t>
        </is>
      </c>
      <c r="J610" t="inlineStr">
        <is>
          <t>AUD</t>
        </is>
      </c>
      <c r="K610" s="5" t="inlineStr">
        <is>
          <t>01a1212c-4c04-75ce-bbb2-e3322e18816e</t>
        </is>
      </c>
      <c r="M610" t="inlineStr">
        <is>
          <t>UNKNOWN</t>
        </is>
      </c>
      <c r="N610" t="inlineStr">
        <is>
          <t>DEFAULT</t>
        </is>
      </c>
      <c r="Q610" t="n">
        <v>0</v>
      </c>
      <c r="R610" t="inlineStr">
        <is>
          <t>AUD</t>
        </is>
      </c>
      <c r="S610" t="n">
        <v>0</v>
      </c>
      <c r="T610" t="inlineStr">
        <is>
          <t>AUD</t>
        </is>
      </c>
      <c r="U610" t="n">
        <v>0</v>
      </c>
    </row>
    <row r="611">
      <c r="A611" s="5" t="inlineStr">
        <is>
          <t>01a1212c-54b0-764e-8e34-4472a4829050</t>
        </is>
      </c>
      <c r="C611" s="5" t="inlineStr">
        <is>
          <t>01a1212c-4b57-70cf-80fd-c2192cb3bf81</t>
        </is>
      </c>
      <c r="D611" s="4" t="n">
        <v>46304.62402574575</v>
      </c>
      <c r="E611" s="4" t="n">
        <v>46304.62402574585</v>
      </c>
      <c r="F611" t="b">
        <v>1</v>
      </c>
      <c r="G611" t="n">
        <v/>
      </c>
      <c r="H611" t="inlineStr">
        <is>
          <t>EML</t>
        </is>
      </c>
      <c r="I611" t="inlineStr">
        <is>
          <t>EML Payments Ltd</t>
        </is>
      </c>
      <c r="J611" t="inlineStr">
        <is>
          <t>AUD</t>
        </is>
      </c>
      <c r="K611" s="5" t="inlineStr">
        <is>
          <t>01a1212c-4c04-75ce-bbb2-e3322e18816e</t>
        </is>
      </c>
      <c r="M611" t="inlineStr">
        <is>
          <t>UNKNOWN</t>
        </is>
      </c>
      <c r="N611" t="inlineStr">
        <is>
          <t>DEFAULT</t>
        </is>
      </c>
      <c r="Q611" t="n">
        <v>0</v>
      </c>
      <c r="R611" t="inlineStr">
        <is>
          <t>AUD</t>
        </is>
      </c>
      <c r="S611" t="n">
        <v>0</v>
      </c>
      <c r="T611" t="inlineStr">
        <is>
          <t>AUD</t>
        </is>
      </c>
      <c r="U611" t="n">
        <v>0</v>
      </c>
    </row>
    <row r="612">
      <c r="A612" s="5" t="inlineStr">
        <is>
          <t>01a1212c-54b3-75b9-9b20-b5448962ecf8</t>
        </is>
      </c>
      <c r="C612" s="5" t="inlineStr">
        <is>
          <t>01a1212c-4b57-70cf-80fd-c2192cb3bf81</t>
        </is>
      </c>
      <c r="D612" s="4" t="n">
        <v>46304.62402577887</v>
      </c>
      <c r="E612" s="4" t="n">
        <v>46304.62402577896</v>
      </c>
      <c r="F612" t="b">
        <v>1</v>
      </c>
      <c r="G612" t="n">
        <v/>
      </c>
      <c r="H612" t="inlineStr">
        <is>
          <t>ANG</t>
        </is>
      </c>
      <c r="I612" t="inlineStr">
        <is>
          <t>Austin Engineering Ltd</t>
        </is>
      </c>
      <c r="J612" t="inlineStr">
        <is>
          <t>AUD</t>
        </is>
      </c>
      <c r="K612" s="5" t="inlineStr">
        <is>
          <t>01a1212c-4c04-75ce-bbb2-e3322e18816e</t>
        </is>
      </c>
      <c r="M612" t="inlineStr">
        <is>
          <t>UNKNOWN</t>
        </is>
      </c>
      <c r="N612" t="inlineStr">
        <is>
          <t>DEFAULT</t>
        </is>
      </c>
      <c r="Q612" t="n">
        <v>0</v>
      </c>
      <c r="R612" t="inlineStr">
        <is>
          <t>AUD</t>
        </is>
      </c>
      <c r="S612" t="n">
        <v>0</v>
      </c>
      <c r="T612" t="inlineStr">
        <is>
          <t>AUD</t>
        </is>
      </c>
      <c r="U612" t="n">
        <v>0</v>
      </c>
    </row>
    <row r="613">
      <c r="A613" s="5" t="inlineStr">
        <is>
          <t>01a1212c-54b5-72fd-b3af-b93b369d862e</t>
        </is>
      </c>
      <c r="C613" s="5" t="inlineStr">
        <is>
          <t>01a1212c-4b57-70cf-80fd-c2192cb3bf81</t>
        </is>
      </c>
      <c r="D613" s="4" t="n">
        <v>46304.62402580951</v>
      </c>
      <c r="E613" s="4" t="n">
        <v>46304.62402580959</v>
      </c>
      <c r="F613" t="b">
        <v>1</v>
      </c>
      <c r="G613" t="n">
        <v/>
      </c>
      <c r="H613" t="inlineStr">
        <is>
          <t>IHCB</t>
        </is>
      </c>
      <c r="I613" t="inlineStr">
        <is>
          <t>Ishares Core Global Corporate Bond(Aud Hedged) ETF</t>
        </is>
      </c>
      <c r="J613" t="inlineStr">
        <is>
          <t>AUD</t>
        </is>
      </c>
      <c r="K613" s="5" t="inlineStr">
        <is>
          <t>01a1212c-4c04-75ce-bbb2-e3322e18816e</t>
        </is>
      </c>
      <c r="M613" t="inlineStr">
        <is>
          <t>UNKNOWN</t>
        </is>
      </c>
      <c r="N613" t="inlineStr">
        <is>
          <t>DEFAULT</t>
        </is>
      </c>
      <c r="Q613" t="n">
        <v>0</v>
      </c>
      <c r="R613" t="inlineStr">
        <is>
          <t>AUD</t>
        </is>
      </c>
      <c r="S613" t="n">
        <v>0</v>
      </c>
      <c r="T613" t="inlineStr">
        <is>
          <t>AUD</t>
        </is>
      </c>
      <c r="U613" t="n">
        <v>0</v>
      </c>
    </row>
    <row r="614">
      <c r="A614" s="5" t="inlineStr">
        <is>
          <t>01a1212c-54b8-7562-9ac5-107bf388b8ea</t>
        </is>
      </c>
      <c r="C614" s="5" t="inlineStr">
        <is>
          <t>01a1212c-4b57-70cf-80fd-c2192cb3bf81</t>
        </is>
      </c>
      <c r="D614" s="4" t="n">
        <v>46304.62402583956</v>
      </c>
      <c r="E614" s="4" t="n">
        <v>46304.62402583963</v>
      </c>
      <c r="F614" t="b">
        <v>1</v>
      </c>
      <c r="G614" t="n">
        <v/>
      </c>
      <c r="H614" t="inlineStr">
        <is>
          <t>DSE</t>
        </is>
      </c>
      <c r="I614" t="inlineStr">
        <is>
          <t>Dropsuite Ltd</t>
        </is>
      </c>
      <c r="J614" t="inlineStr">
        <is>
          <t>AUD</t>
        </is>
      </c>
      <c r="K614" s="5" t="inlineStr">
        <is>
          <t>01a1212c-4c04-75ce-bbb2-e3322e18816e</t>
        </is>
      </c>
      <c r="M614" t="inlineStr">
        <is>
          <t>UNKNOWN</t>
        </is>
      </c>
      <c r="N614" t="inlineStr">
        <is>
          <t>DEFAULT</t>
        </is>
      </c>
      <c r="Q614" t="n">
        <v>0</v>
      </c>
      <c r="R614" t="inlineStr">
        <is>
          <t>AUD</t>
        </is>
      </c>
      <c r="S614" t="n">
        <v>0</v>
      </c>
      <c r="T614" t="inlineStr">
        <is>
          <t>AUD</t>
        </is>
      </c>
      <c r="U614" t="n">
        <v>0</v>
      </c>
    </row>
    <row r="615">
      <c r="A615" s="5" t="inlineStr">
        <is>
          <t>01a1212c-54bb-75a0-b971-2ca8414ac1d5</t>
        </is>
      </c>
      <c r="C615" s="5" t="inlineStr">
        <is>
          <t>01a1212c-4b57-70cf-80fd-c2192cb3bf81</t>
        </is>
      </c>
      <c r="D615" s="4" t="n">
        <v>46304.62402586966</v>
      </c>
      <c r="E615" s="4" t="n">
        <v>46304.62402586972</v>
      </c>
      <c r="F615" t="b">
        <v>1</v>
      </c>
      <c r="G615" t="n">
        <v/>
      </c>
      <c r="H615" t="inlineStr">
        <is>
          <t>QRE</t>
        </is>
      </c>
      <c r="I615" t="inlineStr">
        <is>
          <t>Betashares Australian Resources Sector ETF</t>
        </is>
      </c>
      <c r="J615" t="inlineStr">
        <is>
          <t>AUD</t>
        </is>
      </c>
      <c r="K615" s="5" t="inlineStr">
        <is>
          <t>01a1212c-4c04-75ce-bbb2-e3322e18816e</t>
        </is>
      </c>
      <c r="M615" t="inlineStr">
        <is>
          <t>UNKNOWN</t>
        </is>
      </c>
      <c r="N615" t="inlineStr">
        <is>
          <t>DEFAULT</t>
        </is>
      </c>
      <c r="Q615" t="n">
        <v>0</v>
      </c>
      <c r="R615" t="inlineStr">
        <is>
          <t>AUD</t>
        </is>
      </c>
      <c r="S615" t="n">
        <v>0</v>
      </c>
      <c r="T615" t="inlineStr">
        <is>
          <t>AUD</t>
        </is>
      </c>
      <c r="U615" t="n">
        <v>0</v>
      </c>
    </row>
    <row r="616">
      <c r="A616" s="5" t="inlineStr">
        <is>
          <t>01a1212c-54bd-7221-91a2-1768529d60de</t>
        </is>
      </c>
      <c r="C616" s="5" t="inlineStr">
        <is>
          <t>01a1212c-4b57-70cf-80fd-c2192cb3bf81</t>
        </is>
      </c>
      <c r="D616" s="4" t="n">
        <v>46304.62402590003</v>
      </c>
      <c r="E616" s="4" t="n">
        <v>46304.62402590011</v>
      </c>
      <c r="F616" t="b">
        <v>1</v>
      </c>
      <c r="G616" t="n">
        <v/>
      </c>
      <c r="H616" t="inlineStr">
        <is>
          <t>IESG</t>
        </is>
      </c>
      <c r="I616" t="inlineStr">
        <is>
          <t>Ishares Core MSCI Australia Esg ETF</t>
        </is>
      </c>
      <c r="J616" t="inlineStr">
        <is>
          <t>AUD</t>
        </is>
      </c>
      <c r="K616" s="5" t="inlineStr">
        <is>
          <t>01a1212c-4c04-75ce-bbb2-e3322e18816e</t>
        </is>
      </c>
      <c r="M616" t="inlineStr">
        <is>
          <t>UNKNOWN</t>
        </is>
      </c>
      <c r="N616" t="inlineStr">
        <is>
          <t>DEFAULT</t>
        </is>
      </c>
      <c r="Q616" t="n">
        <v>0</v>
      </c>
      <c r="R616" t="inlineStr">
        <is>
          <t>AUD</t>
        </is>
      </c>
      <c r="S616" t="n">
        <v>0</v>
      </c>
      <c r="T616" t="inlineStr">
        <is>
          <t>AUD</t>
        </is>
      </c>
      <c r="U616" t="n">
        <v>0</v>
      </c>
    </row>
    <row r="617">
      <c r="A617" s="5" t="inlineStr">
        <is>
          <t>01a1212c-54c1-7035-a879-ac2b90579c58</t>
        </is>
      </c>
      <c r="C617" s="5" t="inlineStr">
        <is>
          <t>01a1212c-4b57-70cf-80fd-c2192cb3bf81</t>
        </is>
      </c>
      <c r="D617" s="4" t="n">
        <v>46304.62402594293</v>
      </c>
      <c r="E617" s="4" t="n">
        <v>46304.62402594303</v>
      </c>
      <c r="F617" t="b">
        <v>1</v>
      </c>
      <c r="G617" t="n">
        <v/>
      </c>
      <c r="H617" t="inlineStr">
        <is>
          <t>RBTZ</t>
        </is>
      </c>
      <c r="I617" t="inlineStr">
        <is>
          <t>Betashares Global Robotics and Artificial Intelligence ETF</t>
        </is>
      </c>
      <c r="J617" t="inlineStr">
        <is>
          <t>AUD</t>
        </is>
      </c>
      <c r="K617" s="5" t="inlineStr">
        <is>
          <t>01a1212c-4c04-75ce-bbb2-e3322e18816e</t>
        </is>
      </c>
      <c r="M617" t="inlineStr">
        <is>
          <t>UNKNOWN</t>
        </is>
      </c>
      <c r="N617" t="inlineStr">
        <is>
          <t>DEFAULT</t>
        </is>
      </c>
      <c r="Q617" t="n">
        <v>0</v>
      </c>
      <c r="R617" t="inlineStr">
        <is>
          <t>AUD</t>
        </is>
      </c>
      <c r="S617" t="n">
        <v>0</v>
      </c>
      <c r="T617" t="inlineStr">
        <is>
          <t>AUD</t>
        </is>
      </c>
      <c r="U617" t="n">
        <v>0</v>
      </c>
    </row>
    <row r="618">
      <c r="A618" s="5" t="inlineStr">
        <is>
          <t>01a1212c-54c4-7262-974b-f7fdf9d9b41c</t>
        </is>
      </c>
      <c r="C618" s="5" t="inlineStr">
        <is>
          <t>01a1212c-4b57-70cf-80fd-c2192cb3bf81</t>
        </is>
      </c>
      <c r="D618" s="4" t="n">
        <v>46304.62402597401</v>
      </c>
      <c r="E618" s="4" t="n">
        <v>46304.62402597407</v>
      </c>
      <c r="F618" t="b">
        <v>1</v>
      </c>
      <c r="G618" t="n">
        <v/>
      </c>
      <c r="H618" t="inlineStr">
        <is>
          <t>SFC</t>
        </is>
      </c>
      <c r="I618" t="inlineStr">
        <is>
          <t>Schaffer Corporation Ltd</t>
        </is>
      </c>
      <c r="J618" t="inlineStr">
        <is>
          <t>AUD</t>
        </is>
      </c>
      <c r="K618" s="5" t="inlineStr">
        <is>
          <t>01a1212c-4c04-75ce-bbb2-e3322e18816e</t>
        </is>
      </c>
      <c r="M618" t="inlineStr">
        <is>
          <t>UNKNOWN</t>
        </is>
      </c>
      <c r="N618" t="inlineStr">
        <is>
          <t>DEFAULT</t>
        </is>
      </c>
      <c r="Q618" t="n">
        <v>0</v>
      </c>
      <c r="R618" t="inlineStr">
        <is>
          <t>AUD</t>
        </is>
      </c>
      <c r="S618" t="n">
        <v>0</v>
      </c>
      <c r="T618" t="inlineStr">
        <is>
          <t>AUD</t>
        </is>
      </c>
      <c r="U618" t="n">
        <v>0</v>
      </c>
    </row>
    <row r="619">
      <c r="A619" s="5" t="inlineStr">
        <is>
          <t>01a1212c-54c6-76dd-a60e-ade94ec6e584</t>
        </is>
      </c>
      <c r="C619" s="5" t="inlineStr">
        <is>
          <t>01a1212c-4b57-70cf-80fd-c2192cb3bf81</t>
        </is>
      </c>
      <c r="D619" s="4" t="n">
        <v>46304.62402600425</v>
      </c>
      <c r="E619" s="4" t="n">
        <v>46304.62402600433</v>
      </c>
      <c r="F619" t="b">
        <v>1</v>
      </c>
      <c r="G619" t="n">
        <v/>
      </c>
      <c r="H619" t="inlineStr">
        <is>
          <t>29M</t>
        </is>
      </c>
      <c r="I619" t="inlineStr">
        <is>
          <t>29METALS Ltd</t>
        </is>
      </c>
      <c r="J619" t="inlineStr">
        <is>
          <t>AUD</t>
        </is>
      </c>
      <c r="K619" s="5" t="inlineStr">
        <is>
          <t>01a1212c-4c04-75ce-bbb2-e3322e18816e</t>
        </is>
      </c>
      <c r="M619" t="inlineStr">
        <is>
          <t>UNKNOWN</t>
        </is>
      </c>
      <c r="N619" t="inlineStr">
        <is>
          <t>DEFAULT</t>
        </is>
      </c>
      <c r="Q619" t="n">
        <v>0</v>
      </c>
      <c r="R619" t="inlineStr">
        <is>
          <t>AUD</t>
        </is>
      </c>
      <c r="S619" t="n">
        <v>0</v>
      </c>
      <c r="T619" t="inlineStr">
        <is>
          <t>AUD</t>
        </is>
      </c>
      <c r="U619" t="n">
        <v>0</v>
      </c>
    </row>
    <row r="620">
      <c r="A620" s="5" t="inlineStr">
        <is>
          <t>01a1212c-54c9-71c4-b1e1-0404c41a3345</t>
        </is>
      </c>
      <c r="C620" s="5" t="inlineStr">
        <is>
          <t>01a1212c-4b57-70cf-80fd-c2192cb3bf81</t>
        </is>
      </c>
      <c r="D620" s="4" t="n">
        <v>46304.62402603467</v>
      </c>
      <c r="E620" s="4" t="n">
        <v>46304.62402603475</v>
      </c>
      <c r="F620" t="b">
        <v>1</v>
      </c>
      <c r="G620" t="n">
        <v/>
      </c>
      <c r="H620" t="inlineStr">
        <is>
          <t>IZZ</t>
        </is>
      </c>
      <c r="I620" t="inlineStr">
        <is>
          <t>Ishares China Large-Cap ETF</t>
        </is>
      </c>
      <c r="J620" t="inlineStr">
        <is>
          <t>AUD</t>
        </is>
      </c>
      <c r="K620" s="5" t="inlineStr">
        <is>
          <t>01a1212c-4c04-75ce-bbb2-e3322e18816e</t>
        </is>
      </c>
      <c r="M620" t="inlineStr">
        <is>
          <t>UNKNOWN</t>
        </is>
      </c>
      <c r="N620" t="inlineStr">
        <is>
          <t>DEFAULT</t>
        </is>
      </c>
      <c r="Q620" t="n">
        <v>0</v>
      </c>
      <c r="R620" t="inlineStr">
        <is>
          <t>AUD</t>
        </is>
      </c>
      <c r="S620" t="n">
        <v>0</v>
      </c>
      <c r="T620" t="inlineStr">
        <is>
          <t>AUD</t>
        </is>
      </c>
      <c r="U620" t="n">
        <v>0</v>
      </c>
    </row>
    <row r="621">
      <c r="A621" s="5" t="inlineStr">
        <is>
          <t>01a1212c-54cc-71be-a469-0fa796ffc8f8</t>
        </is>
      </c>
      <c r="C621" s="5" t="inlineStr">
        <is>
          <t>01a1212c-4b57-70cf-80fd-c2192cb3bf81</t>
        </is>
      </c>
      <c r="D621" s="4" t="n">
        <v>46304.62402606713</v>
      </c>
      <c r="E621" s="4" t="n">
        <v>46304.6240260672</v>
      </c>
      <c r="F621" t="b">
        <v>1</v>
      </c>
      <c r="G621" t="n">
        <v/>
      </c>
      <c r="H621" t="inlineStr">
        <is>
          <t>GGUS</t>
        </is>
      </c>
      <c r="I621" t="inlineStr">
        <is>
          <t>Betashares Geared US Equity Fund Currency Hedged (Hedgefund)</t>
        </is>
      </c>
      <c r="J621" t="inlineStr">
        <is>
          <t>AUD</t>
        </is>
      </c>
      <c r="K621" s="5" t="inlineStr">
        <is>
          <t>01a1212c-4c04-75ce-bbb2-e3322e18816e</t>
        </is>
      </c>
      <c r="M621" t="inlineStr">
        <is>
          <t>UNKNOWN</t>
        </is>
      </c>
      <c r="N621" t="inlineStr">
        <is>
          <t>DEFAULT</t>
        </is>
      </c>
      <c r="Q621" t="n">
        <v>0</v>
      </c>
      <c r="R621" t="inlineStr">
        <is>
          <t>AUD</t>
        </is>
      </c>
      <c r="S621" t="n">
        <v>0</v>
      </c>
      <c r="T621" t="inlineStr">
        <is>
          <t>AUD</t>
        </is>
      </c>
      <c r="U621" t="n">
        <v>0</v>
      </c>
    </row>
    <row r="622">
      <c r="A622" s="5" t="inlineStr">
        <is>
          <t>01a1212c-54ce-75f3-82b0-ca922188ef83</t>
        </is>
      </c>
      <c r="C622" s="5" t="inlineStr">
        <is>
          <t>01a1212c-4b57-70cf-80fd-c2192cb3bf81</t>
        </is>
      </c>
      <c r="D622" s="4" t="n">
        <v>46304.6240261</v>
      </c>
      <c r="E622" s="4" t="n">
        <v>46304.62402610008</v>
      </c>
      <c r="F622" t="b">
        <v>1</v>
      </c>
      <c r="G622" t="n">
        <v/>
      </c>
      <c r="H622" t="inlineStr">
        <is>
          <t>MAET</t>
        </is>
      </c>
      <c r="I622" t="inlineStr">
        <is>
          <t>Munro Global Growth Fund Complex ETF</t>
        </is>
      </c>
      <c r="J622" t="inlineStr">
        <is>
          <t>AUD</t>
        </is>
      </c>
      <c r="K622" s="5" t="inlineStr">
        <is>
          <t>01a1212c-4c04-75ce-bbb2-e3322e18816e</t>
        </is>
      </c>
      <c r="M622" t="inlineStr">
        <is>
          <t>UNKNOWN</t>
        </is>
      </c>
      <c r="N622" t="inlineStr">
        <is>
          <t>DEFAULT</t>
        </is>
      </c>
      <c r="Q622" t="n">
        <v>0</v>
      </c>
      <c r="R622" t="inlineStr">
        <is>
          <t>AUD</t>
        </is>
      </c>
      <c r="S622" t="n">
        <v>0</v>
      </c>
      <c r="T622" t="inlineStr">
        <is>
          <t>AUD</t>
        </is>
      </c>
      <c r="U622" t="n">
        <v>0</v>
      </c>
    </row>
    <row r="623">
      <c r="A623" s="5" t="inlineStr">
        <is>
          <t>01a1212c-54d1-75d8-9492-bce1eeed3734</t>
        </is>
      </c>
      <c r="C623" s="5" t="inlineStr">
        <is>
          <t>01a1212c-4b57-70cf-80fd-c2192cb3bf81</t>
        </is>
      </c>
      <c r="D623" s="4" t="n">
        <v>46304.62402613158</v>
      </c>
      <c r="E623" s="4" t="n">
        <v>46304.62402613166</v>
      </c>
      <c r="F623" t="b">
        <v>1</v>
      </c>
      <c r="G623" t="n">
        <v/>
      </c>
      <c r="H623" t="inlineStr">
        <is>
          <t>AMI</t>
        </is>
      </c>
      <c r="I623" t="inlineStr">
        <is>
          <t>Aurelia Metals Ltd</t>
        </is>
      </c>
      <c r="J623" t="inlineStr">
        <is>
          <t>AUD</t>
        </is>
      </c>
      <c r="K623" s="5" t="inlineStr">
        <is>
          <t>01a1212c-4c04-75ce-bbb2-e3322e18816e</t>
        </is>
      </c>
      <c r="M623" t="inlineStr">
        <is>
          <t>UNKNOWN</t>
        </is>
      </c>
      <c r="N623" t="inlineStr">
        <is>
          <t>DEFAULT</t>
        </is>
      </c>
      <c r="Q623" t="n">
        <v>0</v>
      </c>
      <c r="R623" t="inlineStr">
        <is>
          <t>AUD</t>
        </is>
      </c>
      <c r="S623" t="n">
        <v>0</v>
      </c>
      <c r="T623" t="inlineStr">
        <is>
          <t>AUD</t>
        </is>
      </c>
      <c r="U623" t="n">
        <v>0</v>
      </c>
    </row>
    <row r="624">
      <c r="A624" s="5" t="inlineStr">
        <is>
          <t>01a1212c-54d4-73c5-9077-519e846e2228</t>
        </is>
      </c>
      <c r="C624" s="5" t="inlineStr">
        <is>
          <t>01a1212c-4b57-70cf-80fd-c2192cb3bf81</t>
        </is>
      </c>
      <c r="D624" s="4" t="n">
        <v>46304.62402616355</v>
      </c>
      <c r="E624" s="4" t="n">
        <v>46304.62402616363</v>
      </c>
      <c r="F624" t="b">
        <v>1</v>
      </c>
      <c r="G624" t="n">
        <v/>
      </c>
      <c r="H624" t="inlineStr">
        <is>
          <t>MRE</t>
        </is>
      </c>
      <c r="I624" t="inlineStr">
        <is>
          <t>Metrics Real Estate Multi-Strategy Fund</t>
        </is>
      </c>
      <c r="J624" t="inlineStr">
        <is>
          <t>AUD</t>
        </is>
      </c>
      <c r="K624" s="5" t="inlineStr">
        <is>
          <t>01a1212c-4c04-75ce-bbb2-e3322e18816e</t>
        </is>
      </c>
      <c r="M624" t="inlineStr">
        <is>
          <t>UNKNOWN</t>
        </is>
      </c>
      <c r="N624" t="inlineStr">
        <is>
          <t>DEFAULT</t>
        </is>
      </c>
      <c r="Q624" t="n">
        <v>0</v>
      </c>
      <c r="R624" t="inlineStr">
        <is>
          <t>AUD</t>
        </is>
      </c>
      <c r="S624" t="n">
        <v>0</v>
      </c>
      <c r="T624" t="inlineStr">
        <is>
          <t>AUD</t>
        </is>
      </c>
      <c r="U624" t="n">
        <v>0</v>
      </c>
    </row>
    <row r="625">
      <c r="A625" s="5" t="inlineStr">
        <is>
          <t>01a1212c-54d7-7069-ae97-ff6d8125afca</t>
        </is>
      </c>
      <c r="C625" s="5" t="inlineStr">
        <is>
          <t>01a1212c-4b57-70cf-80fd-c2192cb3bf81</t>
        </is>
      </c>
      <c r="D625" s="4" t="n">
        <v>46304.62402619397</v>
      </c>
      <c r="E625" s="4" t="n">
        <v>46304.62402619404</v>
      </c>
      <c r="F625" t="b">
        <v>1</v>
      </c>
      <c r="G625" t="n">
        <v/>
      </c>
      <c r="H625" t="inlineStr">
        <is>
          <t>VLUE</t>
        </is>
      </c>
      <c r="I625" t="inlineStr">
        <is>
          <t>Vaneck MSCI International Value ETF</t>
        </is>
      </c>
      <c r="J625" t="inlineStr">
        <is>
          <t>AUD</t>
        </is>
      </c>
      <c r="K625" s="5" t="inlineStr">
        <is>
          <t>01a1212c-4c04-75ce-bbb2-e3322e18816e</t>
        </is>
      </c>
      <c r="M625" t="inlineStr">
        <is>
          <t>UNKNOWN</t>
        </is>
      </c>
      <c r="N625" t="inlineStr">
        <is>
          <t>DEFAULT</t>
        </is>
      </c>
      <c r="Q625" t="n">
        <v>0</v>
      </c>
      <c r="R625" t="inlineStr">
        <is>
          <t>AUD</t>
        </is>
      </c>
      <c r="S625" t="n">
        <v>0</v>
      </c>
      <c r="T625" t="inlineStr">
        <is>
          <t>AUD</t>
        </is>
      </c>
      <c r="U625" t="n">
        <v>0</v>
      </c>
    </row>
    <row r="626">
      <c r="A626" s="5" t="inlineStr">
        <is>
          <t>01a1212c-54d9-7327-8bd5-89329e456b54</t>
        </is>
      </c>
      <c r="C626" s="5" t="inlineStr">
        <is>
          <t>01a1212c-4b57-70cf-80fd-c2192cb3bf81</t>
        </is>
      </c>
      <c r="D626" s="4" t="n">
        <v>46304.62402622659</v>
      </c>
      <c r="E626" s="4" t="n">
        <v>46304.62402622666</v>
      </c>
      <c r="F626" t="b">
        <v>1</v>
      </c>
      <c r="G626" t="n">
        <v/>
      </c>
      <c r="H626" t="inlineStr">
        <is>
          <t>REP</t>
        </is>
      </c>
      <c r="I626" t="inlineStr">
        <is>
          <t>Ram Essential Services Property Fund</t>
        </is>
      </c>
      <c r="J626" t="inlineStr">
        <is>
          <t>AUD</t>
        </is>
      </c>
      <c r="K626" s="5" t="inlineStr">
        <is>
          <t>01a1212c-4c04-75ce-bbb2-e3322e18816e</t>
        </is>
      </c>
      <c r="M626" t="inlineStr">
        <is>
          <t>UNKNOWN</t>
        </is>
      </c>
      <c r="N626" t="inlineStr">
        <is>
          <t>DEFAULT</t>
        </is>
      </c>
      <c r="Q626" t="n">
        <v>0</v>
      </c>
      <c r="R626" t="inlineStr">
        <is>
          <t>AUD</t>
        </is>
      </c>
      <c r="S626" t="n">
        <v>0</v>
      </c>
      <c r="T626" t="inlineStr">
        <is>
          <t>AUD</t>
        </is>
      </c>
      <c r="U626" t="n">
        <v>0</v>
      </c>
    </row>
    <row r="627">
      <c r="A627" s="5" t="inlineStr">
        <is>
          <t>01a1212c-54dc-7525-8655-f93dc1099f3c</t>
        </is>
      </c>
      <c r="C627" s="5" t="inlineStr">
        <is>
          <t>01a1212c-4b57-70cf-80fd-c2192cb3bf81</t>
        </is>
      </c>
      <c r="D627" s="4" t="n">
        <v>46304.62402625725</v>
      </c>
      <c r="E627" s="4" t="n">
        <v>46304.62402625731</v>
      </c>
      <c r="F627" t="b">
        <v>1</v>
      </c>
      <c r="G627" t="n">
        <v/>
      </c>
      <c r="H627" t="inlineStr">
        <is>
          <t>GLOB</t>
        </is>
      </c>
      <c r="I627" t="inlineStr">
        <is>
          <t>Barrow Hanley Global Share Fund (Managed Fund)</t>
        </is>
      </c>
      <c r="J627" t="inlineStr">
        <is>
          <t>AUD</t>
        </is>
      </c>
      <c r="K627" s="5" t="inlineStr">
        <is>
          <t>01a1212c-4c04-75ce-bbb2-e3322e18816e</t>
        </is>
      </c>
      <c r="M627" t="inlineStr">
        <is>
          <t>UNKNOWN</t>
        </is>
      </c>
      <c r="N627" t="inlineStr">
        <is>
          <t>DEFAULT</t>
        </is>
      </c>
      <c r="Q627" t="n">
        <v>0</v>
      </c>
      <c r="R627" t="inlineStr">
        <is>
          <t>AUD</t>
        </is>
      </c>
      <c r="S627" t="n">
        <v>0</v>
      </c>
      <c r="T627" t="inlineStr">
        <is>
          <t>AUD</t>
        </is>
      </c>
      <c r="U627" t="n">
        <v>0</v>
      </c>
    </row>
    <row r="628">
      <c r="A628" s="5" t="inlineStr">
        <is>
          <t>01a1212c-54df-716b-8120-0474f227a0f7</t>
        </is>
      </c>
      <c r="C628" s="5" t="inlineStr">
        <is>
          <t>01a1212c-4b57-70cf-80fd-c2192cb3bf81</t>
        </is>
      </c>
      <c r="D628" s="4" t="n">
        <v>46304.6240262903</v>
      </c>
      <c r="E628" s="4" t="n">
        <v>46304.62402629038</v>
      </c>
      <c r="F628" t="b">
        <v>1</v>
      </c>
      <c r="G628" t="n">
        <v/>
      </c>
      <c r="H628" t="inlineStr">
        <is>
          <t>WJL</t>
        </is>
      </c>
      <c r="I628" t="inlineStr">
        <is>
          <t>Webjet Group Ltd</t>
        </is>
      </c>
      <c r="J628" t="inlineStr">
        <is>
          <t>AUD</t>
        </is>
      </c>
      <c r="K628" s="5" t="inlineStr">
        <is>
          <t>01a1212c-4c04-75ce-bbb2-e3322e18816e</t>
        </is>
      </c>
      <c r="M628" t="inlineStr">
        <is>
          <t>UNKNOWN</t>
        </is>
      </c>
      <c r="N628" t="inlineStr">
        <is>
          <t>DEFAULT</t>
        </is>
      </c>
      <c r="Q628" t="n">
        <v>0</v>
      </c>
      <c r="R628" t="inlineStr">
        <is>
          <t>AUD</t>
        </is>
      </c>
      <c r="S628" t="n">
        <v>0</v>
      </c>
      <c r="T628" t="inlineStr">
        <is>
          <t>AUD</t>
        </is>
      </c>
      <c r="U628" t="n">
        <v>0</v>
      </c>
    </row>
    <row r="629">
      <c r="A629" s="5" t="inlineStr">
        <is>
          <t>01a1212c-54e2-7296-8493-2a2e8c0b10e6</t>
        </is>
      </c>
      <c r="C629" s="5" t="inlineStr">
        <is>
          <t>01a1212c-4b57-70cf-80fd-c2192cb3bf81</t>
        </is>
      </c>
      <c r="D629" s="4" t="n">
        <v>46304.62402632132</v>
      </c>
      <c r="E629" s="4" t="n">
        <v>46304.62402632139</v>
      </c>
      <c r="F629" t="b">
        <v>1</v>
      </c>
      <c r="G629" t="n">
        <v/>
      </c>
      <c r="H629" t="inlineStr">
        <is>
          <t>VEQ</t>
        </is>
      </c>
      <c r="I629" t="inlineStr">
        <is>
          <t>Vanguard Ftse Europe Shares ETF</t>
        </is>
      </c>
      <c r="J629" t="inlineStr">
        <is>
          <t>AUD</t>
        </is>
      </c>
      <c r="K629" s="5" t="inlineStr">
        <is>
          <t>01a1212c-4c04-75ce-bbb2-e3322e18816e</t>
        </is>
      </c>
      <c r="M629" t="inlineStr">
        <is>
          <t>UNKNOWN</t>
        </is>
      </c>
      <c r="N629" t="inlineStr">
        <is>
          <t>DEFAULT</t>
        </is>
      </c>
      <c r="Q629" t="n">
        <v>0</v>
      </c>
      <c r="R629" t="inlineStr">
        <is>
          <t>AUD</t>
        </is>
      </c>
      <c r="S629" t="n">
        <v>0</v>
      </c>
      <c r="T629" t="inlineStr">
        <is>
          <t>AUD</t>
        </is>
      </c>
      <c r="U629" t="n">
        <v>0</v>
      </c>
    </row>
    <row r="630">
      <c r="A630" s="5" t="inlineStr">
        <is>
          <t>01a1212c-54e4-750a-9621-cc459bec48ab</t>
        </is>
      </c>
      <c r="C630" s="5" t="inlineStr">
        <is>
          <t>01a1212c-4b57-70cf-80fd-c2192cb3bf81</t>
        </is>
      </c>
      <c r="D630" s="4" t="n">
        <v>46304.62402635349</v>
      </c>
      <c r="E630" s="4" t="n">
        <v>46304.62402635357</v>
      </c>
      <c r="F630" t="b">
        <v>1</v>
      </c>
      <c r="G630" t="n">
        <v/>
      </c>
      <c r="H630" t="inlineStr">
        <is>
          <t>WGN</t>
        </is>
      </c>
      <c r="I630" t="inlineStr">
        <is>
          <t>Wagners Holding Company Ltd</t>
        </is>
      </c>
      <c r="J630" t="inlineStr">
        <is>
          <t>AUD</t>
        </is>
      </c>
      <c r="K630" s="5" t="inlineStr">
        <is>
          <t>01a1212c-4c04-75ce-bbb2-e3322e18816e</t>
        </is>
      </c>
      <c r="M630" t="inlineStr">
        <is>
          <t>UNKNOWN</t>
        </is>
      </c>
      <c r="N630" t="inlineStr">
        <is>
          <t>DEFAULT</t>
        </is>
      </c>
      <c r="Q630" t="n">
        <v>0</v>
      </c>
      <c r="R630" t="inlineStr">
        <is>
          <t>AUD</t>
        </is>
      </c>
      <c r="S630" t="n">
        <v>0</v>
      </c>
      <c r="T630" t="inlineStr">
        <is>
          <t>AUD</t>
        </is>
      </c>
      <c r="U630" t="n">
        <v>0</v>
      </c>
    </row>
    <row r="631">
      <c r="A631" s="5" t="inlineStr">
        <is>
          <t>01a1212c-54e7-7358-bc5c-7bf3e4f989c1</t>
        </is>
      </c>
      <c r="C631" s="5" t="inlineStr">
        <is>
          <t>01a1212c-4b57-70cf-80fd-c2192cb3bf81</t>
        </is>
      </c>
      <c r="D631" s="4" t="n">
        <v>46304.62402638406</v>
      </c>
      <c r="E631" s="4" t="n">
        <v>46304.62402638415</v>
      </c>
      <c r="F631" t="b">
        <v>1</v>
      </c>
      <c r="G631" t="n">
        <v/>
      </c>
      <c r="H631" t="inlineStr">
        <is>
          <t>TBN</t>
        </is>
      </c>
      <c r="I631" t="inlineStr">
        <is>
          <t>Tamboran Resources Corporation</t>
        </is>
      </c>
      <c r="J631" t="inlineStr">
        <is>
          <t>AUD</t>
        </is>
      </c>
      <c r="K631" s="5" t="inlineStr">
        <is>
          <t>01a1212c-4c04-75ce-bbb2-e3322e18816e</t>
        </is>
      </c>
      <c r="M631" t="inlineStr">
        <is>
          <t>UNKNOWN</t>
        </is>
      </c>
      <c r="N631" t="inlineStr">
        <is>
          <t>DEFAULT</t>
        </is>
      </c>
      <c r="Q631" t="n">
        <v>0</v>
      </c>
      <c r="R631" t="inlineStr">
        <is>
          <t>AUD</t>
        </is>
      </c>
      <c r="S631" t="n">
        <v>0</v>
      </c>
      <c r="T631" t="inlineStr">
        <is>
          <t>AUD</t>
        </is>
      </c>
      <c r="U631" t="n">
        <v>0</v>
      </c>
    </row>
    <row r="632">
      <c r="A632" s="5" t="inlineStr">
        <is>
          <t>01a1212c-54ea-70aa-9c6d-922aaf1b07bc</t>
        </is>
      </c>
      <c r="C632" s="5" t="inlineStr">
        <is>
          <t>01a1212c-4b57-70cf-80fd-c2192cb3bf81</t>
        </is>
      </c>
      <c r="D632" s="4" t="n">
        <v>46304.62402641474</v>
      </c>
      <c r="E632" s="4" t="n">
        <v>46304.62402641481</v>
      </c>
      <c r="F632" t="b">
        <v>1</v>
      </c>
      <c r="G632" t="n">
        <v/>
      </c>
      <c r="H632" t="inlineStr">
        <is>
          <t>HUM</t>
        </is>
      </c>
      <c r="I632" t="inlineStr">
        <is>
          <t>Humm Group Ltd</t>
        </is>
      </c>
      <c r="J632" t="inlineStr">
        <is>
          <t>AUD</t>
        </is>
      </c>
      <c r="K632" s="5" t="inlineStr">
        <is>
          <t>01a1212c-4c04-75ce-bbb2-e3322e18816e</t>
        </is>
      </c>
      <c r="M632" t="inlineStr">
        <is>
          <t>UNKNOWN</t>
        </is>
      </c>
      <c r="N632" t="inlineStr">
        <is>
          <t>DEFAULT</t>
        </is>
      </c>
      <c r="Q632" t="n">
        <v>0</v>
      </c>
      <c r="R632" t="inlineStr">
        <is>
          <t>AUD</t>
        </is>
      </c>
      <c r="S632" t="n">
        <v>0</v>
      </c>
      <c r="T632" t="inlineStr">
        <is>
          <t>AUD</t>
        </is>
      </c>
      <c r="U632" t="n">
        <v>0</v>
      </c>
    </row>
    <row r="633">
      <c r="A633" s="5" t="inlineStr">
        <is>
          <t>01a1212c-54ec-70ef-b4f7-59e8096b6e31</t>
        </is>
      </c>
      <c r="C633" s="5" t="inlineStr">
        <is>
          <t>01a1212c-4b57-70cf-80fd-c2192cb3bf81</t>
        </is>
      </c>
      <c r="D633" s="4" t="n">
        <v>46304.62402644513</v>
      </c>
      <c r="E633" s="4" t="n">
        <v>46304.6240264452</v>
      </c>
      <c r="F633" t="b">
        <v>1</v>
      </c>
      <c r="G633" t="n">
        <v/>
      </c>
      <c r="H633" t="inlineStr">
        <is>
          <t>JMS</t>
        </is>
      </c>
      <c r="I633" t="inlineStr">
        <is>
          <t>Jupiter Mines Ltd</t>
        </is>
      </c>
      <c r="J633" t="inlineStr">
        <is>
          <t>AUD</t>
        </is>
      </c>
      <c r="K633" s="5" t="inlineStr">
        <is>
          <t>01a1212c-4c04-75ce-bbb2-e3322e18816e</t>
        </is>
      </c>
      <c r="M633" t="inlineStr">
        <is>
          <t>UNKNOWN</t>
        </is>
      </c>
      <c r="N633" t="inlineStr">
        <is>
          <t>DEFAULT</t>
        </is>
      </c>
      <c r="Q633" t="n">
        <v>0</v>
      </c>
      <c r="R633" t="inlineStr">
        <is>
          <t>AUD</t>
        </is>
      </c>
      <c r="S633" t="n">
        <v>0</v>
      </c>
      <c r="T633" t="inlineStr">
        <is>
          <t>AUD</t>
        </is>
      </c>
      <c r="U633" t="n">
        <v>0</v>
      </c>
    </row>
    <row r="634">
      <c r="A634" s="5" t="inlineStr">
        <is>
          <t>01a1212c-54ef-7726-b27a-3196b22e1f25</t>
        </is>
      </c>
      <c r="C634" s="5" t="inlineStr">
        <is>
          <t>01a1212c-4b57-70cf-80fd-c2192cb3bf81</t>
        </is>
      </c>
      <c r="D634" s="4" t="n">
        <v>46304.62402647888</v>
      </c>
      <c r="E634" s="4" t="n">
        <v>46304.62402647896</v>
      </c>
      <c r="F634" t="b">
        <v>1</v>
      </c>
      <c r="G634" t="n">
        <v/>
      </c>
      <c r="H634" t="inlineStr">
        <is>
          <t>IMU</t>
        </is>
      </c>
      <c r="I634" t="inlineStr">
        <is>
          <t>Imugene Ltd</t>
        </is>
      </c>
      <c r="J634" t="inlineStr">
        <is>
          <t>AUD</t>
        </is>
      </c>
      <c r="K634" s="5" t="inlineStr">
        <is>
          <t>01a1212c-4c04-75ce-bbb2-e3322e18816e</t>
        </is>
      </c>
      <c r="M634" t="inlineStr">
        <is>
          <t>UNKNOWN</t>
        </is>
      </c>
      <c r="N634" t="inlineStr">
        <is>
          <t>DEFAULT</t>
        </is>
      </c>
      <c r="Q634" t="n">
        <v>0</v>
      </c>
      <c r="R634" t="inlineStr">
        <is>
          <t>AUD</t>
        </is>
      </c>
      <c r="S634" t="n">
        <v>0</v>
      </c>
      <c r="T634" t="inlineStr">
        <is>
          <t>AUD</t>
        </is>
      </c>
      <c r="U634" t="n">
        <v>0</v>
      </c>
    </row>
    <row r="635">
      <c r="A635" s="5" t="inlineStr">
        <is>
          <t>01a1212c-54f2-733f-95d6-61d1fd54443e</t>
        </is>
      </c>
      <c r="C635" s="5" t="inlineStr">
        <is>
          <t>01a1212c-4b57-70cf-80fd-c2192cb3bf81</t>
        </is>
      </c>
      <c r="D635" s="4" t="n">
        <v>46304.62402651214</v>
      </c>
      <c r="E635" s="4" t="n">
        <v>46304.62402651223</v>
      </c>
      <c r="F635" t="b">
        <v>1</v>
      </c>
      <c r="G635" t="n">
        <v/>
      </c>
      <c r="H635" t="inlineStr">
        <is>
          <t>WXHG</t>
        </is>
      </c>
      <c r="I635" t="inlineStr">
        <is>
          <t>SPDR S&amp;P World Ex Aus Carbon Control (Hedged) Fund</t>
        </is>
      </c>
      <c r="J635" t="inlineStr">
        <is>
          <t>AUD</t>
        </is>
      </c>
      <c r="K635" s="5" t="inlineStr">
        <is>
          <t>01a1212c-4c04-75ce-bbb2-e3322e18816e</t>
        </is>
      </c>
      <c r="M635" t="inlineStr">
        <is>
          <t>UNKNOWN</t>
        </is>
      </c>
      <c r="N635" t="inlineStr">
        <is>
          <t>DEFAULT</t>
        </is>
      </c>
      <c r="Q635" t="n">
        <v>0</v>
      </c>
      <c r="R635" t="inlineStr">
        <is>
          <t>AUD</t>
        </is>
      </c>
      <c r="S635" t="n">
        <v>0</v>
      </c>
      <c r="T635" t="inlineStr">
        <is>
          <t>AUD</t>
        </is>
      </c>
      <c r="U635" t="n">
        <v>0</v>
      </c>
    </row>
    <row r="636">
      <c r="A636" s="5" t="inlineStr">
        <is>
          <t>01a1212c-54f5-77cc-a063-bdf6ed45307a</t>
        </is>
      </c>
      <c r="C636" s="5" t="inlineStr">
        <is>
          <t>01a1212c-4b57-70cf-80fd-c2192cb3bf81</t>
        </is>
      </c>
      <c r="D636" s="4" t="n">
        <v>46304.6240265423</v>
      </c>
      <c r="E636" s="4" t="n">
        <v>46304.62402654237</v>
      </c>
      <c r="F636" t="b">
        <v>1</v>
      </c>
      <c r="G636" t="n">
        <v/>
      </c>
      <c r="H636" t="inlineStr">
        <is>
          <t>AMPPB</t>
        </is>
      </c>
      <c r="I636" t="inlineStr">
        <is>
          <t>AMP Ltd</t>
        </is>
      </c>
      <c r="J636" t="inlineStr">
        <is>
          <t>AUD</t>
        </is>
      </c>
      <c r="K636" s="5" t="inlineStr">
        <is>
          <t>01a1212c-4c04-75ce-bbb2-e3322e18816e</t>
        </is>
      </c>
      <c r="M636" t="inlineStr">
        <is>
          <t>UNKNOWN</t>
        </is>
      </c>
      <c r="N636" t="inlineStr">
        <is>
          <t>DEFAULT</t>
        </is>
      </c>
      <c r="Q636" t="n">
        <v>0</v>
      </c>
      <c r="R636" t="inlineStr">
        <is>
          <t>AUD</t>
        </is>
      </c>
      <c r="S636" t="n">
        <v>0</v>
      </c>
      <c r="T636" t="inlineStr">
        <is>
          <t>AUD</t>
        </is>
      </c>
      <c r="U636" t="n">
        <v>0</v>
      </c>
    </row>
    <row r="637">
      <c r="A637" s="5" t="inlineStr">
        <is>
          <t>01a1212c-54f7-71dd-acc0-27c49a157708</t>
        </is>
      </c>
      <c r="C637" s="5" t="inlineStr">
        <is>
          <t>01a1212c-4b57-70cf-80fd-c2192cb3bf81</t>
        </is>
      </c>
      <c r="D637" s="4" t="n">
        <v>46304.6240265726</v>
      </c>
      <c r="E637" s="4" t="n">
        <v>46304.62402657269</v>
      </c>
      <c r="F637" t="b">
        <v>1</v>
      </c>
      <c r="G637" t="n">
        <v/>
      </c>
      <c r="H637" t="inlineStr">
        <is>
          <t>RCB</t>
        </is>
      </c>
      <c r="I637" t="inlineStr">
        <is>
          <t>Russell Investments Australian Select Corporate Bond ETF</t>
        </is>
      </c>
      <c r="J637" t="inlineStr">
        <is>
          <t>AUD</t>
        </is>
      </c>
      <c r="K637" s="5" t="inlineStr">
        <is>
          <t>01a1212c-4c04-75ce-bbb2-e3322e18816e</t>
        </is>
      </c>
      <c r="M637" t="inlineStr">
        <is>
          <t>UNKNOWN</t>
        </is>
      </c>
      <c r="N637" t="inlineStr">
        <is>
          <t>DEFAULT</t>
        </is>
      </c>
      <c r="Q637" t="n">
        <v>0</v>
      </c>
      <c r="R637" t="inlineStr">
        <is>
          <t>AUD</t>
        </is>
      </c>
      <c r="S637" t="n">
        <v>0</v>
      </c>
      <c r="T637" t="inlineStr">
        <is>
          <t>AUD</t>
        </is>
      </c>
      <c r="U637" t="n">
        <v>0</v>
      </c>
    </row>
    <row r="638">
      <c r="A638" s="5" t="inlineStr">
        <is>
          <t>01a1212c-54fa-7232-a2e4-32a20ee4aedc</t>
        </is>
      </c>
      <c r="C638" s="5" t="inlineStr">
        <is>
          <t>01a1212c-4b57-70cf-80fd-c2192cb3bf81</t>
        </is>
      </c>
      <c r="D638" s="4" t="n">
        <v>46304.62402660298</v>
      </c>
      <c r="E638" s="4" t="n">
        <v>46304.62402660304</v>
      </c>
      <c r="F638" t="b">
        <v>1</v>
      </c>
      <c r="G638" t="n">
        <v/>
      </c>
      <c r="H638" t="inlineStr">
        <is>
          <t>MSTR</t>
        </is>
      </c>
      <c r="I638" t="inlineStr">
        <is>
          <t>Morningstar International Shares Active ETF (Managed Fund)</t>
        </is>
      </c>
      <c r="J638" t="inlineStr">
        <is>
          <t>AUD</t>
        </is>
      </c>
      <c r="K638" s="5" t="inlineStr">
        <is>
          <t>01a1212c-4c04-75ce-bbb2-e3322e18816e</t>
        </is>
      </c>
      <c r="M638" t="inlineStr">
        <is>
          <t>UNKNOWN</t>
        </is>
      </c>
      <c r="N638" t="inlineStr">
        <is>
          <t>DEFAULT</t>
        </is>
      </c>
      <c r="Q638" t="n">
        <v>0</v>
      </c>
      <c r="R638" t="inlineStr">
        <is>
          <t>AUD</t>
        </is>
      </c>
      <c r="S638" t="n">
        <v>0</v>
      </c>
      <c r="T638" t="inlineStr">
        <is>
          <t>AUD</t>
        </is>
      </c>
      <c r="U638" t="n">
        <v>0</v>
      </c>
    </row>
    <row r="639">
      <c r="A639" s="5" t="inlineStr">
        <is>
          <t>01a1212c-54fd-7567-82bd-92d3cf31db96</t>
        </is>
      </c>
      <c r="C639" s="5" t="inlineStr">
        <is>
          <t>01a1212c-4b57-70cf-80fd-c2192cb3bf81</t>
        </is>
      </c>
      <c r="D639" s="4" t="n">
        <v>46304.62402663312</v>
      </c>
      <c r="E639" s="4" t="n">
        <v>46304.6240266332</v>
      </c>
      <c r="F639" t="b">
        <v>1</v>
      </c>
      <c r="G639" t="n">
        <v/>
      </c>
      <c r="H639" t="inlineStr">
        <is>
          <t>RHCPA</t>
        </is>
      </c>
      <c r="I639" t="inlineStr">
        <is>
          <t>Ramsay Health Care Ltd</t>
        </is>
      </c>
      <c r="J639" t="inlineStr">
        <is>
          <t>AUD</t>
        </is>
      </c>
      <c r="K639" s="5" t="inlineStr">
        <is>
          <t>01a1212c-4c04-75ce-bbb2-e3322e18816e</t>
        </is>
      </c>
      <c r="M639" t="inlineStr">
        <is>
          <t>UNKNOWN</t>
        </is>
      </c>
      <c r="N639" t="inlineStr">
        <is>
          <t>DEFAULT</t>
        </is>
      </c>
      <c r="Q639" t="n">
        <v>0</v>
      </c>
      <c r="R639" t="inlineStr">
        <is>
          <t>AUD</t>
        </is>
      </c>
      <c r="S639" t="n">
        <v>0</v>
      </c>
      <c r="T639" t="inlineStr">
        <is>
          <t>AUD</t>
        </is>
      </c>
      <c r="U639" t="n">
        <v>0</v>
      </c>
    </row>
    <row r="640">
      <c r="A640" s="5" t="inlineStr">
        <is>
          <t>01a1212c-5500-70bc-8cd6-257a66e278bd</t>
        </is>
      </c>
      <c r="C640" s="5" t="inlineStr">
        <is>
          <t>01a1212c-4b57-70cf-80fd-c2192cb3bf81</t>
        </is>
      </c>
      <c r="D640" s="4" t="n">
        <v>46304.62402667476</v>
      </c>
      <c r="E640" s="4" t="n">
        <v>46304.62402667485</v>
      </c>
      <c r="F640" t="b">
        <v>1</v>
      </c>
      <c r="G640" t="n">
        <v/>
      </c>
      <c r="H640" t="inlineStr">
        <is>
          <t>KMD</t>
        </is>
      </c>
      <c r="I640" t="inlineStr">
        <is>
          <t>KMD Brands Ltd</t>
        </is>
      </c>
      <c r="J640" t="inlineStr">
        <is>
          <t>AUD</t>
        </is>
      </c>
      <c r="K640" s="5" t="inlineStr">
        <is>
          <t>01a1212c-4c04-75ce-bbb2-e3322e18816e</t>
        </is>
      </c>
      <c r="M640" t="inlineStr">
        <is>
          <t>UNKNOWN</t>
        </is>
      </c>
      <c r="N640" t="inlineStr">
        <is>
          <t>DEFAULT</t>
        </is>
      </c>
      <c r="Q640" t="n">
        <v>0</v>
      </c>
      <c r="R640" t="inlineStr">
        <is>
          <t>AUD</t>
        </is>
      </c>
      <c r="S640" t="n">
        <v>0</v>
      </c>
      <c r="T640" t="inlineStr">
        <is>
          <t>AUD</t>
        </is>
      </c>
      <c r="U640" t="n">
        <v>0</v>
      </c>
    </row>
    <row r="641">
      <c r="A641" s="5" t="inlineStr">
        <is>
          <t>01a1212c-5503-7197-b667-8655eedb2aae</t>
        </is>
      </c>
      <c r="C641" s="5" t="inlineStr">
        <is>
          <t>01a1212c-4b57-70cf-80fd-c2192cb3bf81</t>
        </is>
      </c>
      <c r="D641" s="4" t="n">
        <v>46304.62402670732</v>
      </c>
      <c r="E641" s="4" t="n">
        <v>46304.6240267074</v>
      </c>
      <c r="F641" t="b">
        <v>1</v>
      </c>
      <c r="G641" t="n">
        <v/>
      </c>
      <c r="H641" t="inlineStr">
        <is>
          <t>TCG</t>
        </is>
      </c>
      <c r="I641" t="inlineStr">
        <is>
          <t>Turaco Gold Ltd</t>
        </is>
      </c>
      <c r="J641" t="inlineStr">
        <is>
          <t>AUD</t>
        </is>
      </c>
      <c r="K641" s="5" t="inlineStr">
        <is>
          <t>01a1212c-4c04-75ce-bbb2-e3322e18816e</t>
        </is>
      </c>
      <c r="M641" t="inlineStr">
        <is>
          <t>UNKNOWN</t>
        </is>
      </c>
      <c r="N641" t="inlineStr">
        <is>
          <t>DEFAULT</t>
        </is>
      </c>
      <c r="Q641" t="n">
        <v>0</v>
      </c>
      <c r="R641" t="inlineStr">
        <is>
          <t>AUD</t>
        </is>
      </c>
      <c r="S641" t="n">
        <v>0</v>
      </c>
      <c r="T641" t="inlineStr">
        <is>
          <t>AUD</t>
        </is>
      </c>
      <c r="U641" t="n">
        <v>0</v>
      </c>
    </row>
    <row r="642">
      <c r="A642" s="5" t="inlineStr">
        <is>
          <t>01a1212c-5506-7440-b21a-d5d50bafd6bc</t>
        </is>
      </c>
      <c r="C642" s="5" t="inlineStr">
        <is>
          <t>01a1212c-4b57-70cf-80fd-c2192cb3bf81</t>
        </is>
      </c>
      <c r="D642" s="4" t="n">
        <v>46304.62402673935</v>
      </c>
      <c r="E642" s="4" t="n">
        <v>46304.62402673943</v>
      </c>
      <c r="F642" t="b">
        <v>1</v>
      </c>
      <c r="G642" t="n">
        <v/>
      </c>
      <c r="H642" t="inlineStr">
        <is>
          <t>VLC</t>
        </is>
      </c>
      <c r="I642" t="inlineStr">
        <is>
          <t>Vanguard MSCI Australian Large Companies INDEX ETF</t>
        </is>
      </c>
      <c r="J642" t="inlineStr">
        <is>
          <t>AUD</t>
        </is>
      </c>
      <c r="K642" s="5" t="inlineStr">
        <is>
          <t>01a1212c-4c04-75ce-bbb2-e3322e18816e</t>
        </is>
      </c>
      <c r="M642" t="inlineStr">
        <is>
          <t>UNIT_TRUST</t>
        </is>
      </c>
      <c r="N642" t="inlineStr">
        <is>
          <t>SUGGESTED</t>
        </is>
      </c>
      <c r="Q642" t="n">
        <v>0</v>
      </c>
      <c r="R642" t="inlineStr">
        <is>
          <t>AUD</t>
        </is>
      </c>
      <c r="S642" t="n">
        <v>0</v>
      </c>
      <c r="T642" t="inlineStr">
        <is>
          <t>AUD</t>
        </is>
      </c>
      <c r="U642" t="n">
        <v>0</v>
      </c>
    </row>
    <row r="643">
      <c r="A643" s="5" t="inlineStr">
        <is>
          <t>01a1212c-5509-7276-b029-40f076fbe33e</t>
        </is>
      </c>
      <c r="C643" s="5" t="inlineStr">
        <is>
          <t>01a1212c-4b57-70cf-80fd-c2192cb3bf81</t>
        </is>
      </c>
      <c r="D643" s="4" t="n">
        <v>46304.62402677579</v>
      </c>
      <c r="E643" s="4" t="n">
        <v>46304.62402677587</v>
      </c>
      <c r="F643" t="b">
        <v>1</v>
      </c>
      <c r="G643" t="n">
        <v/>
      </c>
      <c r="H643" t="inlineStr">
        <is>
          <t>FID</t>
        </is>
      </c>
      <c r="I643" t="inlineStr">
        <is>
          <t>Fiducian Group Ltd</t>
        </is>
      </c>
      <c r="J643" t="inlineStr">
        <is>
          <t>AUD</t>
        </is>
      </c>
      <c r="K643" s="5" t="inlineStr">
        <is>
          <t>01a1212c-4c04-75ce-bbb2-e3322e18816e</t>
        </is>
      </c>
      <c r="M643" t="inlineStr">
        <is>
          <t>UNKNOWN</t>
        </is>
      </c>
      <c r="N643" t="inlineStr">
        <is>
          <t>DEFAULT</t>
        </is>
      </c>
      <c r="Q643" t="n">
        <v>0</v>
      </c>
      <c r="R643" t="inlineStr">
        <is>
          <t>AUD</t>
        </is>
      </c>
      <c r="S643" t="n">
        <v>0</v>
      </c>
      <c r="T643" t="inlineStr">
        <is>
          <t>AUD</t>
        </is>
      </c>
      <c r="U643" t="n">
        <v>0</v>
      </c>
    </row>
    <row r="644">
      <c r="A644" s="5" t="inlineStr">
        <is>
          <t>01a1212c-550c-743d-8302-0706d5e6cf80</t>
        </is>
      </c>
      <c r="C644" s="5" t="inlineStr">
        <is>
          <t>01a1212c-4b57-70cf-80fd-c2192cb3bf81</t>
        </is>
      </c>
      <c r="D644" s="4" t="n">
        <v>46304.62402681128</v>
      </c>
      <c r="E644" s="4" t="n">
        <v>46304.62402681138</v>
      </c>
      <c r="F644" t="b">
        <v>1</v>
      </c>
      <c r="G644" t="n">
        <v/>
      </c>
      <c r="H644" t="inlineStr">
        <is>
          <t>WDIV</t>
        </is>
      </c>
      <c r="I644" t="inlineStr">
        <is>
          <t>SPDR S&amp;P Global Dividend Fund</t>
        </is>
      </c>
      <c r="J644" t="inlineStr">
        <is>
          <t>AUD</t>
        </is>
      </c>
      <c r="K644" s="5" t="inlineStr">
        <is>
          <t>01a1212c-4c04-75ce-bbb2-e3322e18816e</t>
        </is>
      </c>
      <c r="M644" t="inlineStr">
        <is>
          <t>UNKNOWN</t>
        </is>
      </c>
      <c r="N644" t="inlineStr">
        <is>
          <t>DEFAULT</t>
        </is>
      </c>
      <c r="Q644" t="n">
        <v>0</v>
      </c>
      <c r="R644" t="inlineStr">
        <is>
          <t>AUD</t>
        </is>
      </c>
      <c r="S644" t="n">
        <v>0</v>
      </c>
      <c r="T644" t="inlineStr">
        <is>
          <t>AUD</t>
        </is>
      </c>
      <c r="U644" t="n">
        <v>0</v>
      </c>
    </row>
    <row r="645">
      <c r="A645" s="5" t="inlineStr">
        <is>
          <t>01a1212c-550f-779e-8f29-dcdcf2c12a92</t>
        </is>
      </c>
      <c r="C645" s="5" t="inlineStr">
        <is>
          <t>01a1212c-4b57-70cf-80fd-c2192cb3bf81</t>
        </is>
      </c>
      <c r="D645" s="4" t="n">
        <v>46304.62402684838</v>
      </c>
      <c r="E645" s="4" t="n">
        <v>46304.62402684848</v>
      </c>
      <c r="F645" t="b">
        <v>1</v>
      </c>
      <c r="G645" t="n">
        <v/>
      </c>
      <c r="H645" t="inlineStr">
        <is>
          <t>MEK</t>
        </is>
      </c>
      <c r="I645" t="inlineStr">
        <is>
          <t>Meeka Metals Ltd</t>
        </is>
      </c>
      <c r="J645" t="inlineStr">
        <is>
          <t>AUD</t>
        </is>
      </c>
      <c r="K645" s="5" t="inlineStr">
        <is>
          <t>01a1212c-4c04-75ce-bbb2-e3322e18816e</t>
        </is>
      </c>
      <c r="M645" t="inlineStr">
        <is>
          <t>UNKNOWN</t>
        </is>
      </c>
      <c r="N645" t="inlineStr">
        <is>
          <t>DEFAULT</t>
        </is>
      </c>
      <c r="Q645" t="n">
        <v>0</v>
      </c>
      <c r="R645" t="inlineStr">
        <is>
          <t>AUD</t>
        </is>
      </c>
      <c r="S645" t="n">
        <v>0</v>
      </c>
      <c r="T645" t="inlineStr">
        <is>
          <t>AUD</t>
        </is>
      </c>
      <c r="U645" t="n">
        <v>0</v>
      </c>
    </row>
    <row r="646">
      <c r="A646" s="5" t="inlineStr">
        <is>
          <t>01a1212c-5512-73b2-bc18-1535e63704d4</t>
        </is>
      </c>
      <c r="C646" s="5" t="inlineStr">
        <is>
          <t>01a1212c-4b57-70cf-80fd-c2192cb3bf81</t>
        </is>
      </c>
      <c r="D646" s="4" t="n">
        <v>46304.62402688147</v>
      </c>
      <c r="E646" s="4" t="n">
        <v>46304.62402688156</v>
      </c>
      <c r="F646" t="b">
        <v>1</v>
      </c>
      <c r="G646" t="n">
        <v/>
      </c>
      <c r="H646" t="inlineStr">
        <is>
          <t>PWR</t>
        </is>
      </c>
      <c r="I646" t="inlineStr">
        <is>
          <t>Peter Warren Automotive Holdings Ltd</t>
        </is>
      </c>
      <c r="J646" t="inlineStr">
        <is>
          <t>AUD</t>
        </is>
      </c>
      <c r="K646" s="5" t="inlineStr">
        <is>
          <t>01a1212c-4c04-75ce-bbb2-e3322e18816e</t>
        </is>
      </c>
      <c r="M646" t="inlineStr">
        <is>
          <t>UNKNOWN</t>
        </is>
      </c>
      <c r="N646" t="inlineStr">
        <is>
          <t>DEFAULT</t>
        </is>
      </c>
      <c r="Q646" t="n">
        <v>0</v>
      </c>
      <c r="R646" t="inlineStr">
        <is>
          <t>AUD</t>
        </is>
      </c>
      <c r="S646" t="n">
        <v>0</v>
      </c>
      <c r="T646" t="inlineStr">
        <is>
          <t>AUD</t>
        </is>
      </c>
      <c r="U646" t="n">
        <v>0</v>
      </c>
    </row>
    <row r="647">
      <c r="A647" s="5" t="inlineStr">
        <is>
          <t>01a1212c-5515-7615-8673-e4832bc91925</t>
        </is>
      </c>
      <c r="C647" s="5" t="inlineStr">
        <is>
          <t>01a1212c-4b57-70cf-80fd-c2192cb3bf81</t>
        </is>
      </c>
      <c r="D647" s="4" t="n">
        <v>46304.62402691671</v>
      </c>
      <c r="E647" s="4" t="n">
        <v>46304.6240269168</v>
      </c>
      <c r="F647" t="b">
        <v>1</v>
      </c>
      <c r="G647" t="n">
        <v/>
      </c>
      <c r="H647" t="inlineStr">
        <is>
          <t>BOQPF</t>
        </is>
      </c>
      <c r="I647" t="inlineStr">
        <is>
          <t>Bank of Queensland Ltd</t>
        </is>
      </c>
      <c r="J647" t="inlineStr">
        <is>
          <t>AUD</t>
        </is>
      </c>
      <c r="K647" s="5" t="inlineStr">
        <is>
          <t>01a1212c-4c04-75ce-bbb2-e3322e18816e</t>
        </is>
      </c>
      <c r="M647" t="inlineStr">
        <is>
          <t>UNKNOWN</t>
        </is>
      </c>
      <c r="N647" t="inlineStr">
        <is>
          <t>DEFAULT</t>
        </is>
      </c>
      <c r="Q647" t="n">
        <v>0</v>
      </c>
      <c r="R647" t="inlineStr">
        <is>
          <t>AUD</t>
        </is>
      </c>
      <c r="S647" t="n">
        <v>0</v>
      </c>
      <c r="T647" t="inlineStr">
        <is>
          <t>AUD</t>
        </is>
      </c>
      <c r="U647" t="n">
        <v>0</v>
      </c>
    </row>
    <row r="648">
      <c r="A648" s="5" t="inlineStr">
        <is>
          <t>01a1212c-5518-721f-bbc7-8d45bd2a29de</t>
        </is>
      </c>
      <c r="C648" s="5" t="inlineStr">
        <is>
          <t>01a1212c-4b57-70cf-80fd-c2192cb3bf81</t>
        </is>
      </c>
      <c r="D648" s="4" t="n">
        <v>46304.62402695272</v>
      </c>
      <c r="E648" s="4" t="n">
        <v>46304.62402695281</v>
      </c>
      <c r="F648" t="b">
        <v>1</v>
      </c>
      <c r="G648" t="n">
        <v/>
      </c>
      <c r="H648" t="inlineStr">
        <is>
          <t>WAT</t>
        </is>
      </c>
      <c r="I648" t="inlineStr">
        <is>
          <t>Waterco Ltd</t>
        </is>
      </c>
      <c r="J648" t="inlineStr">
        <is>
          <t>AUD</t>
        </is>
      </c>
      <c r="K648" s="5" t="inlineStr">
        <is>
          <t>01a1212c-4c04-75ce-bbb2-e3322e18816e</t>
        </is>
      </c>
      <c r="M648" t="inlineStr">
        <is>
          <t>UNKNOWN</t>
        </is>
      </c>
      <c r="N648" t="inlineStr">
        <is>
          <t>DEFAULT</t>
        </is>
      </c>
      <c r="Q648" t="n">
        <v>0</v>
      </c>
      <c r="R648" t="inlineStr">
        <is>
          <t>AUD</t>
        </is>
      </c>
      <c r="S648" t="n">
        <v>0</v>
      </c>
      <c r="T648" t="inlineStr">
        <is>
          <t>AUD</t>
        </is>
      </c>
      <c r="U648" t="n">
        <v>0</v>
      </c>
    </row>
    <row r="649">
      <c r="A649" s="5" t="inlineStr">
        <is>
          <t>01a1212c-551b-779f-988b-13968532fd5f</t>
        </is>
      </c>
      <c r="C649" s="5" t="inlineStr">
        <is>
          <t>01a1212c-4b57-70cf-80fd-c2192cb3bf81</t>
        </is>
      </c>
      <c r="D649" s="4" t="n">
        <v>46304.62402698558</v>
      </c>
      <c r="E649" s="4" t="n">
        <v>46304.62402698569</v>
      </c>
      <c r="F649" t="b">
        <v>1</v>
      </c>
      <c r="G649" t="n">
        <v/>
      </c>
      <c r="H649" t="inlineStr">
        <is>
          <t>PGH</t>
        </is>
      </c>
      <c r="I649" t="inlineStr">
        <is>
          <t>Pact Group Holdings Ltd</t>
        </is>
      </c>
      <c r="J649" t="inlineStr">
        <is>
          <t>AUD</t>
        </is>
      </c>
      <c r="K649" s="5" t="inlineStr">
        <is>
          <t>01a1212c-4c04-75ce-bbb2-e3322e18816e</t>
        </is>
      </c>
      <c r="M649" t="inlineStr">
        <is>
          <t>UNKNOWN</t>
        </is>
      </c>
      <c r="N649" t="inlineStr">
        <is>
          <t>DEFAULT</t>
        </is>
      </c>
      <c r="Q649" t="n">
        <v>0</v>
      </c>
      <c r="R649" t="inlineStr">
        <is>
          <t>AUD</t>
        </is>
      </c>
      <c r="S649" t="n">
        <v>0</v>
      </c>
      <c r="T649" t="inlineStr">
        <is>
          <t>AUD</t>
        </is>
      </c>
      <c r="U649" t="n">
        <v>0</v>
      </c>
    </row>
    <row r="650">
      <c r="A650" s="5" t="inlineStr">
        <is>
          <t>01a1212c-551e-737c-9c38-00ee54bd69f0</t>
        </is>
      </c>
      <c r="C650" s="5" t="inlineStr">
        <is>
          <t>01a1212c-4b57-70cf-80fd-c2192cb3bf81</t>
        </is>
      </c>
      <c r="D650" s="4" t="n">
        <v>46304.62402701822</v>
      </c>
      <c r="E650" s="4" t="n">
        <v>46304.62402701841</v>
      </c>
      <c r="F650" t="b">
        <v>1</v>
      </c>
      <c r="G650" t="n">
        <v/>
      </c>
      <c r="H650" t="inlineStr">
        <is>
          <t>AFP</t>
        </is>
      </c>
      <c r="I650" t="inlineStr">
        <is>
          <t>Aft Pharmaceuticals Ltd</t>
        </is>
      </c>
      <c r="J650" t="inlineStr">
        <is>
          <t>AUD</t>
        </is>
      </c>
      <c r="K650" s="5" t="inlineStr">
        <is>
          <t>01a1212c-4c04-75ce-bbb2-e3322e18816e</t>
        </is>
      </c>
      <c r="M650" t="inlineStr">
        <is>
          <t>UNKNOWN</t>
        </is>
      </c>
      <c r="N650" t="inlineStr">
        <is>
          <t>DEFAULT</t>
        </is>
      </c>
      <c r="Q650" t="n">
        <v>0</v>
      </c>
      <c r="R650" t="inlineStr">
        <is>
          <t>AUD</t>
        </is>
      </c>
      <c r="S650" t="n">
        <v>0</v>
      </c>
      <c r="T650" t="inlineStr">
        <is>
          <t>AUD</t>
        </is>
      </c>
      <c r="U650" t="n">
        <v>0</v>
      </c>
    </row>
    <row r="651">
      <c r="A651" s="5" t="inlineStr">
        <is>
          <t>01a1212c-5521-70e7-ae19-2a07434adf74</t>
        </is>
      </c>
      <c r="C651" s="5" t="inlineStr">
        <is>
          <t>01a1212c-4b57-70cf-80fd-c2192cb3bf81</t>
        </is>
      </c>
      <c r="D651" s="4" t="n">
        <v>46304.62402705282</v>
      </c>
      <c r="E651" s="4" t="n">
        <v>46304.62402705292</v>
      </c>
      <c r="F651" t="b">
        <v>1</v>
      </c>
      <c r="G651" t="n">
        <v/>
      </c>
      <c r="H651" t="inlineStr">
        <is>
          <t>LAU</t>
        </is>
      </c>
      <c r="I651" t="inlineStr">
        <is>
          <t>Lindsay Australia Ltd</t>
        </is>
      </c>
      <c r="J651" t="inlineStr">
        <is>
          <t>AUD</t>
        </is>
      </c>
      <c r="K651" s="5" t="inlineStr">
        <is>
          <t>01a1212c-4c04-75ce-bbb2-e3322e18816e</t>
        </is>
      </c>
      <c r="M651" t="inlineStr">
        <is>
          <t>UNKNOWN</t>
        </is>
      </c>
      <c r="N651" t="inlineStr">
        <is>
          <t>DEFAULT</t>
        </is>
      </c>
      <c r="Q651" t="n">
        <v>0</v>
      </c>
      <c r="R651" t="inlineStr">
        <is>
          <t>AUD</t>
        </is>
      </c>
      <c r="S651" t="n">
        <v>0</v>
      </c>
      <c r="T651" t="inlineStr">
        <is>
          <t>AUD</t>
        </is>
      </c>
      <c r="U651" t="n">
        <v>0</v>
      </c>
    </row>
    <row r="652">
      <c r="A652" s="5" t="inlineStr">
        <is>
          <t>01a1212c-5524-700b-a780-abf8ec2bb43e</t>
        </is>
      </c>
      <c r="C652" s="5" t="inlineStr">
        <is>
          <t>01a1212c-4b57-70cf-80fd-c2192cb3bf81</t>
        </is>
      </c>
      <c r="D652" s="4" t="n">
        <v>46304.62402708517</v>
      </c>
      <c r="E652" s="4" t="n">
        <v>46304.62402708526</v>
      </c>
      <c r="F652" t="b">
        <v>1</v>
      </c>
      <c r="G652" t="n">
        <v/>
      </c>
      <c r="H652" t="inlineStr">
        <is>
          <t>SBM</t>
        </is>
      </c>
      <c r="I652" t="inlineStr">
        <is>
          <t>ST Barbara Ltd</t>
        </is>
      </c>
      <c r="J652" t="inlineStr">
        <is>
          <t>AUD</t>
        </is>
      </c>
      <c r="K652" s="5" t="inlineStr">
        <is>
          <t>01a1212c-4c04-75ce-bbb2-e3322e18816e</t>
        </is>
      </c>
      <c r="M652" t="inlineStr">
        <is>
          <t>UNKNOWN</t>
        </is>
      </c>
      <c r="N652" t="inlineStr">
        <is>
          <t>DEFAULT</t>
        </is>
      </c>
      <c r="Q652" t="n">
        <v>0</v>
      </c>
      <c r="R652" t="inlineStr">
        <is>
          <t>AUD</t>
        </is>
      </c>
      <c r="S652" t="n">
        <v>0</v>
      </c>
      <c r="T652" t="inlineStr">
        <is>
          <t>AUD</t>
        </is>
      </c>
      <c r="U652" t="n">
        <v>0</v>
      </c>
    </row>
    <row r="653">
      <c r="A653" s="5" t="inlineStr">
        <is>
          <t>01a1212c-5526-72eb-8196-09f408eede81</t>
        </is>
      </c>
      <c r="C653" s="5" t="inlineStr">
        <is>
          <t>01a1212c-4b57-70cf-80fd-c2192cb3bf81</t>
        </is>
      </c>
      <c r="D653" s="4" t="n">
        <v>46304.62402711935</v>
      </c>
      <c r="E653" s="4" t="n">
        <v>46304.62402711945</v>
      </c>
      <c r="F653" t="b">
        <v>1</v>
      </c>
      <c r="G653" t="n">
        <v/>
      </c>
      <c r="H653" t="inlineStr">
        <is>
          <t>ARX</t>
        </is>
      </c>
      <c r="I653" t="inlineStr">
        <is>
          <t>Aroa Biosurgery Ltd</t>
        </is>
      </c>
      <c r="J653" t="inlineStr">
        <is>
          <t>AUD</t>
        </is>
      </c>
      <c r="K653" s="5" t="inlineStr">
        <is>
          <t>01a1212c-4c04-75ce-bbb2-e3322e18816e</t>
        </is>
      </c>
      <c r="M653" t="inlineStr">
        <is>
          <t>UNKNOWN</t>
        </is>
      </c>
      <c r="N653" t="inlineStr">
        <is>
          <t>DEFAULT</t>
        </is>
      </c>
      <c r="Q653" t="n">
        <v>0</v>
      </c>
      <c r="R653" t="inlineStr">
        <is>
          <t>AUD</t>
        </is>
      </c>
      <c r="S653" t="n">
        <v>0</v>
      </c>
      <c r="T653" t="inlineStr">
        <is>
          <t>AUD</t>
        </is>
      </c>
      <c r="U653" t="n">
        <v>0</v>
      </c>
    </row>
    <row r="654">
      <c r="A654" s="5" t="inlineStr">
        <is>
          <t>01a1212c-5529-7524-99b5-7c36b582fcd1</t>
        </is>
      </c>
      <c r="C654" s="5" t="inlineStr">
        <is>
          <t>01a1212c-4b57-70cf-80fd-c2192cb3bf81</t>
        </is>
      </c>
      <c r="D654" s="4" t="n">
        <v>46304.62402715084</v>
      </c>
      <c r="E654" s="4" t="n">
        <v>46304.62402715092</v>
      </c>
      <c r="F654" t="b">
        <v>1</v>
      </c>
      <c r="G654" t="n">
        <v/>
      </c>
      <c r="H654" t="inlineStr">
        <is>
          <t>BRE</t>
        </is>
      </c>
      <c r="I654" t="inlineStr">
        <is>
          <t>Brazilian Rare EARTHS Ltd</t>
        </is>
      </c>
      <c r="J654" t="inlineStr">
        <is>
          <t>AUD</t>
        </is>
      </c>
      <c r="K654" s="5" t="inlineStr">
        <is>
          <t>01a1212c-4c04-75ce-bbb2-e3322e18816e</t>
        </is>
      </c>
      <c r="M654" t="inlineStr">
        <is>
          <t>UNKNOWN</t>
        </is>
      </c>
      <c r="N654" t="inlineStr">
        <is>
          <t>DEFAULT</t>
        </is>
      </c>
      <c r="Q654" t="n">
        <v>0</v>
      </c>
      <c r="R654" t="inlineStr">
        <is>
          <t>AUD</t>
        </is>
      </c>
      <c r="S654" t="n">
        <v>0</v>
      </c>
      <c r="T654" t="inlineStr">
        <is>
          <t>AUD</t>
        </is>
      </c>
      <c r="U654" t="n">
        <v>0</v>
      </c>
    </row>
    <row r="655">
      <c r="A655" s="5" t="inlineStr">
        <is>
          <t>01a1212c-552c-74ff-82ea-3689f1798d3a</t>
        </is>
      </c>
      <c r="C655" s="5" t="inlineStr">
        <is>
          <t>01a1212c-4b57-70cf-80fd-c2192cb3bf81</t>
        </is>
      </c>
      <c r="D655" s="4" t="n">
        <v>46304.62402718166</v>
      </c>
      <c r="E655" s="4" t="n">
        <v>46304.62402718174</v>
      </c>
      <c r="F655" t="b">
        <v>1</v>
      </c>
      <c r="G655" t="n">
        <v/>
      </c>
      <c r="H655" t="inlineStr">
        <is>
          <t>SYA</t>
        </is>
      </c>
      <c r="I655" t="inlineStr">
        <is>
          <t>Sayona Mining Ltd</t>
        </is>
      </c>
      <c r="J655" t="inlineStr">
        <is>
          <t>AUD</t>
        </is>
      </c>
      <c r="K655" s="5" t="inlineStr">
        <is>
          <t>01a1212c-4c04-75ce-bbb2-e3322e18816e</t>
        </is>
      </c>
      <c r="M655" t="inlineStr">
        <is>
          <t>UNKNOWN</t>
        </is>
      </c>
      <c r="N655" t="inlineStr">
        <is>
          <t>DEFAULT</t>
        </is>
      </c>
      <c r="Q655" t="n">
        <v>0</v>
      </c>
      <c r="R655" t="inlineStr">
        <is>
          <t>AUD</t>
        </is>
      </c>
      <c r="S655" t="n">
        <v>0</v>
      </c>
      <c r="T655" t="inlineStr">
        <is>
          <t>AUD</t>
        </is>
      </c>
      <c r="U655" t="n">
        <v>0</v>
      </c>
    </row>
    <row r="656">
      <c r="A656" s="5" t="inlineStr">
        <is>
          <t>01a1212c-552f-70ff-b012-7773d1049077</t>
        </is>
      </c>
      <c r="C656" s="5" t="inlineStr">
        <is>
          <t>01a1212c-4b57-70cf-80fd-c2192cb3bf81</t>
        </is>
      </c>
      <c r="D656" s="4" t="n">
        <v>46304.62402721258</v>
      </c>
      <c r="E656" s="4" t="n">
        <v>46304.62402721266</v>
      </c>
      <c r="F656" t="b">
        <v>1</v>
      </c>
      <c r="G656" t="n">
        <v/>
      </c>
      <c r="H656" t="inlineStr">
        <is>
          <t>SVR</t>
        </is>
      </c>
      <c r="I656" t="inlineStr">
        <is>
          <t>Solvar Ltd</t>
        </is>
      </c>
      <c r="J656" t="inlineStr">
        <is>
          <t>AUD</t>
        </is>
      </c>
      <c r="K656" s="5" t="inlineStr">
        <is>
          <t>01a1212c-4c04-75ce-bbb2-e3322e18816e</t>
        </is>
      </c>
      <c r="M656" t="inlineStr">
        <is>
          <t>UNKNOWN</t>
        </is>
      </c>
      <c r="N656" t="inlineStr">
        <is>
          <t>DEFAULT</t>
        </is>
      </c>
      <c r="Q656" t="n">
        <v>0</v>
      </c>
      <c r="R656" t="inlineStr">
        <is>
          <t>AUD</t>
        </is>
      </c>
      <c r="S656" t="n">
        <v>0</v>
      </c>
      <c r="T656" t="inlineStr">
        <is>
          <t>AUD</t>
        </is>
      </c>
      <c r="U656" t="n">
        <v>0</v>
      </c>
    </row>
    <row r="657">
      <c r="A657" s="5" t="inlineStr">
        <is>
          <t>01a1212c-5532-745c-a245-b274b743ddae</t>
        </is>
      </c>
      <c r="C657" s="5" t="inlineStr">
        <is>
          <t>01a1212c-4b57-70cf-80fd-c2192cb3bf81</t>
        </is>
      </c>
      <c r="D657" s="4" t="n">
        <v>46304.62402724804</v>
      </c>
      <c r="E657" s="4" t="n">
        <v>46304.62402724814</v>
      </c>
      <c r="F657" t="b">
        <v>1</v>
      </c>
      <c r="G657" t="n">
        <v/>
      </c>
      <c r="H657" t="inlineStr">
        <is>
          <t>SM1</t>
        </is>
      </c>
      <c r="I657" t="inlineStr">
        <is>
          <t>Synlait Milk Ltd</t>
        </is>
      </c>
      <c r="J657" t="inlineStr">
        <is>
          <t>AUD</t>
        </is>
      </c>
      <c r="K657" s="5" t="inlineStr">
        <is>
          <t>01a1212c-4c04-75ce-bbb2-e3322e18816e</t>
        </is>
      </c>
      <c r="M657" t="inlineStr">
        <is>
          <t>UNKNOWN</t>
        </is>
      </c>
      <c r="N657" t="inlineStr">
        <is>
          <t>DEFAULT</t>
        </is>
      </c>
      <c r="Q657" t="n">
        <v>0</v>
      </c>
      <c r="R657" t="inlineStr">
        <is>
          <t>AUD</t>
        </is>
      </c>
      <c r="S657" t="n">
        <v>0</v>
      </c>
      <c r="T657" t="inlineStr">
        <is>
          <t>AUD</t>
        </is>
      </c>
      <c r="U657" t="n">
        <v>0</v>
      </c>
    </row>
    <row r="658">
      <c r="A658" s="5" t="inlineStr">
        <is>
          <t>01a1212c-5535-75b9-ab17-f49892c7a145</t>
        </is>
      </c>
      <c r="C658" s="5" t="inlineStr">
        <is>
          <t>01a1212c-4b57-70cf-80fd-c2192cb3bf81</t>
        </is>
      </c>
      <c r="D658" s="4" t="n">
        <v>46304.62402728137</v>
      </c>
      <c r="E658" s="4" t="n">
        <v>46304.62402728143</v>
      </c>
      <c r="F658" t="b">
        <v>1</v>
      </c>
      <c r="G658" t="n">
        <v/>
      </c>
      <c r="H658" t="inlineStr">
        <is>
          <t>URF</t>
        </is>
      </c>
      <c r="I658" t="inlineStr">
        <is>
          <t>US Masters Residential Property Fund</t>
        </is>
      </c>
      <c r="J658" t="inlineStr">
        <is>
          <t>AUD</t>
        </is>
      </c>
      <c r="K658" s="5" t="inlineStr">
        <is>
          <t>01a1212c-4c04-75ce-bbb2-e3322e18816e</t>
        </is>
      </c>
      <c r="M658" t="inlineStr">
        <is>
          <t>UNKNOWN</t>
        </is>
      </c>
      <c r="N658" t="inlineStr">
        <is>
          <t>DEFAULT</t>
        </is>
      </c>
      <c r="Q658" t="n">
        <v>0</v>
      </c>
      <c r="R658" t="inlineStr">
        <is>
          <t>AUD</t>
        </is>
      </c>
      <c r="S658" t="n">
        <v>0</v>
      </c>
      <c r="T658" t="inlineStr">
        <is>
          <t>AUD</t>
        </is>
      </c>
      <c r="U658" t="n">
        <v>0</v>
      </c>
    </row>
    <row r="659">
      <c r="A659" s="5" t="inlineStr">
        <is>
          <t>01a1212c-5537-758b-b7d1-68cb8ecfa73a</t>
        </is>
      </c>
      <c r="C659" s="5" t="inlineStr">
        <is>
          <t>01a1212c-4b57-70cf-80fd-c2192cb3bf81</t>
        </is>
      </c>
      <c r="D659" s="4" t="n">
        <v>46304.62402731262</v>
      </c>
      <c r="E659" s="4" t="n">
        <v>46304.62402731271</v>
      </c>
      <c r="F659" t="b">
        <v>1</v>
      </c>
      <c r="G659" t="n">
        <v/>
      </c>
      <c r="H659" t="inlineStr">
        <is>
          <t>CYC</t>
        </is>
      </c>
      <c r="I659" t="inlineStr">
        <is>
          <t>Cyclopharm Ltd</t>
        </is>
      </c>
      <c r="J659" t="inlineStr">
        <is>
          <t>AUD</t>
        </is>
      </c>
      <c r="K659" s="5" t="inlineStr">
        <is>
          <t>01a1212c-4c04-75ce-bbb2-e3322e18816e</t>
        </is>
      </c>
      <c r="M659" t="inlineStr">
        <is>
          <t>UNKNOWN</t>
        </is>
      </c>
      <c r="N659" t="inlineStr">
        <is>
          <t>DEFAULT</t>
        </is>
      </c>
      <c r="Q659" t="n">
        <v>0</v>
      </c>
      <c r="R659" t="inlineStr">
        <is>
          <t>AUD</t>
        </is>
      </c>
      <c r="S659" t="n">
        <v>0</v>
      </c>
      <c r="T659" t="inlineStr">
        <is>
          <t>AUD</t>
        </is>
      </c>
      <c r="U659" t="n">
        <v>0</v>
      </c>
    </row>
    <row r="660">
      <c r="A660" s="5" t="inlineStr">
        <is>
          <t>01a1212c-553a-7702-98b3-f3bd58b0c5a1</t>
        </is>
      </c>
      <c r="C660" s="5" t="inlineStr">
        <is>
          <t>01a1212c-4b57-70cf-80fd-c2192cb3bf81</t>
        </is>
      </c>
      <c r="D660" s="4" t="n">
        <v>46304.62402734385</v>
      </c>
      <c r="E660" s="4" t="n">
        <v>46304.62402734393</v>
      </c>
      <c r="F660" t="b">
        <v>1</v>
      </c>
      <c r="G660" t="n">
        <v/>
      </c>
      <c r="H660" t="inlineStr">
        <is>
          <t>UMAX</t>
        </is>
      </c>
      <c r="I660" t="inlineStr">
        <is>
          <t>Betashares S&amp;P 500 Yield Maximiser Fund (Managed Fund)</t>
        </is>
      </c>
      <c r="J660" t="inlineStr">
        <is>
          <t>AUD</t>
        </is>
      </c>
      <c r="K660" s="5" t="inlineStr">
        <is>
          <t>01a1212c-4c04-75ce-bbb2-e3322e18816e</t>
        </is>
      </c>
      <c r="M660" t="inlineStr">
        <is>
          <t>UNKNOWN</t>
        </is>
      </c>
      <c r="N660" t="inlineStr">
        <is>
          <t>DEFAULT</t>
        </is>
      </c>
      <c r="Q660" t="n">
        <v>0</v>
      </c>
      <c r="R660" t="inlineStr">
        <is>
          <t>AUD</t>
        </is>
      </c>
      <c r="S660" t="n">
        <v>0</v>
      </c>
      <c r="T660" t="inlineStr">
        <is>
          <t>AUD</t>
        </is>
      </c>
      <c r="U660" t="n">
        <v>0</v>
      </c>
    </row>
    <row r="661">
      <c r="A661" s="5" t="inlineStr">
        <is>
          <t>01a1212c-553d-738d-b1f0-e500ca14e617</t>
        </is>
      </c>
      <c r="C661" s="5" t="inlineStr">
        <is>
          <t>01a1212c-4b57-70cf-80fd-c2192cb3bf81</t>
        </is>
      </c>
      <c r="D661" s="4" t="n">
        <v>46304.62402737427</v>
      </c>
      <c r="E661" s="4" t="n">
        <v>46304.62402737434</v>
      </c>
      <c r="F661" t="b">
        <v>1</v>
      </c>
      <c r="G661" t="n">
        <v/>
      </c>
      <c r="H661" t="inlineStr">
        <is>
          <t>OMH</t>
        </is>
      </c>
      <c r="I661" t="inlineStr">
        <is>
          <t>Om Holdings Ltd</t>
        </is>
      </c>
      <c r="J661" t="inlineStr">
        <is>
          <t>AUD</t>
        </is>
      </c>
      <c r="K661" s="5" t="inlineStr">
        <is>
          <t>01a1212c-4c04-75ce-bbb2-e3322e18816e</t>
        </is>
      </c>
      <c r="M661" t="inlineStr">
        <is>
          <t>UNKNOWN</t>
        </is>
      </c>
      <c r="N661" t="inlineStr">
        <is>
          <t>DEFAULT</t>
        </is>
      </c>
      <c r="Q661" t="n">
        <v>0</v>
      </c>
      <c r="R661" t="inlineStr">
        <is>
          <t>AUD</t>
        </is>
      </c>
      <c r="S661" t="n">
        <v>0</v>
      </c>
      <c r="T661" t="inlineStr">
        <is>
          <t>AUD</t>
        </is>
      </c>
      <c r="U661" t="n">
        <v>0</v>
      </c>
    </row>
    <row r="662">
      <c r="A662" s="5" t="inlineStr">
        <is>
          <t>01a1212c-553f-769d-9074-e2264ed0bda7</t>
        </is>
      </c>
      <c r="C662" s="5" t="inlineStr">
        <is>
          <t>01a1212c-4b57-70cf-80fd-c2192cb3bf81</t>
        </is>
      </c>
      <c r="D662" s="4" t="n">
        <v>46304.62402740751</v>
      </c>
      <c r="E662" s="4" t="n">
        <v>46304.62402740759</v>
      </c>
      <c r="F662" t="b">
        <v>1</v>
      </c>
      <c r="G662" t="n">
        <v/>
      </c>
      <c r="H662" t="inlineStr">
        <is>
          <t>ICOR</t>
        </is>
      </c>
      <c r="I662" t="inlineStr">
        <is>
          <t>Ishares Core Corporate Bond ETF</t>
        </is>
      </c>
      <c r="J662" t="inlineStr">
        <is>
          <t>AUD</t>
        </is>
      </c>
      <c r="K662" s="5" t="inlineStr">
        <is>
          <t>01a1212c-4c04-75ce-bbb2-e3322e18816e</t>
        </is>
      </c>
      <c r="M662" t="inlineStr">
        <is>
          <t>UNKNOWN</t>
        </is>
      </c>
      <c r="N662" t="inlineStr">
        <is>
          <t>DEFAULT</t>
        </is>
      </c>
      <c r="Q662" t="n">
        <v>0</v>
      </c>
      <c r="R662" t="inlineStr">
        <is>
          <t>AUD</t>
        </is>
      </c>
      <c r="S662" t="n">
        <v>0</v>
      </c>
      <c r="T662" t="inlineStr">
        <is>
          <t>AUD</t>
        </is>
      </c>
      <c r="U662" t="n">
        <v>0</v>
      </c>
    </row>
    <row r="663">
      <c r="A663" s="5" t="inlineStr">
        <is>
          <t>01a1212c-5542-7595-b536-60d76aaebc37</t>
        </is>
      </c>
      <c r="C663" s="5" t="inlineStr">
        <is>
          <t>01a1212c-4b57-70cf-80fd-c2192cb3bf81</t>
        </is>
      </c>
      <c r="D663" s="4" t="n">
        <v>46304.62402743824</v>
      </c>
      <c r="E663" s="4" t="n">
        <v>46304.62402743832</v>
      </c>
      <c r="F663" t="b">
        <v>1</v>
      </c>
      <c r="G663" t="n">
        <v/>
      </c>
      <c r="H663" t="inlineStr">
        <is>
          <t>RHI</t>
        </is>
      </c>
      <c r="I663" t="inlineStr">
        <is>
          <t>Red Hill Minerals Ltd</t>
        </is>
      </c>
      <c r="J663" t="inlineStr">
        <is>
          <t>AUD</t>
        </is>
      </c>
      <c r="K663" s="5" t="inlineStr">
        <is>
          <t>01a1212c-4c04-75ce-bbb2-e3322e18816e</t>
        </is>
      </c>
      <c r="M663" t="inlineStr">
        <is>
          <t>UNKNOWN</t>
        </is>
      </c>
      <c r="N663" t="inlineStr">
        <is>
          <t>DEFAULT</t>
        </is>
      </c>
      <c r="Q663" t="n">
        <v>0</v>
      </c>
      <c r="R663" t="inlineStr">
        <is>
          <t>AUD</t>
        </is>
      </c>
      <c r="S663" t="n">
        <v>0</v>
      </c>
      <c r="T663" t="inlineStr">
        <is>
          <t>AUD</t>
        </is>
      </c>
      <c r="U663" t="n">
        <v>0</v>
      </c>
    </row>
    <row r="664">
      <c r="A664" s="5" t="inlineStr">
        <is>
          <t>01a1212c-5545-7193-90bc-96d5b434afd0</t>
        </is>
      </c>
      <c r="C664" s="5" t="inlineStr">
        <is>
          <t>01a1212c-4b57-70cf-80fd-c2192cb3bf81</t>
        </is>
      </c>
      <c r="D664" s="4" t="n">
        <v>46304.62402746893</v>
      </c>
      <c r="E664" s="4" t="n">
        <v>46304.62402746901</v>
      </c>
      <c r="F664" t="b">
        <v>1</v>
      </c>
      <c r="G664" t="n">
        <v/>
      </c>
      <c r="H664" t="inlineStr">
        <is>
          <t>ISEC</t>
        </is>
      </c>
      <c r="I664" t="inlineStr">
        <is>
          <t>Ishares Enhanced Cash ETF</t>
        </is>
      </c>
      <c r="J664" t="inlineStr">
        <is>
          <t>AUD</t>
        </is>
      </c>
      <c r="K664" s="5" t="inlineStr">
        <is>
          <t>01a1212c-4c04-75ce-bbb2-e3322e18816e</t>
        </is>
      </c>
      <c r="M664" t="inlineStr">
        <is>
          <t>UNKNOWN</t>
        </is>
      </c>
      <c r="N664" t="inlineStr">
        <is>
          <t>DEFAULT</t>
        </is>
      </c>
      <c r="Q664" t="n">
        <v>0</v>
      </c>
      <c r="R664" t="inlineStr">
        <is>
          <t>AUD</t>
        </is>
      </c>
      <c r="S664" t="n">
        <v>0</v>
      </c>
      <c r="T664" t="inlineStr">
        <is>
          <t>AUD</t>
        </is>
      </c>
      <c r="U664" t="n">
        <v>0</v>
      </c>
    </row>
    <row r="665">
      <c r="A665" s="5" t="inlineStr">
        <is>
          <t>01a1212c-5547-7207-9de1-1d72b7722552</t>
        </is>
      </c>
      <c r="C665" s="5" t="inlineStr">
        <is>
          <t>01a1212c-4b57-70cf-80fd-c2192cb3bf81</t>
        </is>
      </c>
      <c r="D665" s="4" t="n">
        <v>46304.62402749941</v>
      </c>
      <c r="E665" s="4" t="n">
        <v>46304.62402749949</v>
      </c>
      <c r="F665" t="b">
        <v>1</v>
      </c>
      <c r="G665" t="n">
        <v/>
      </c>
      <c r="H665" t="inlineStr">
        <is>
          <t>RDV</t>
        </is>
      </c>
      <c r="I665" t="inlineStr">
        <is>
          <t>Russell Investments High Dividend Australian Shares ETF</t>
        </is>
      </c>
      <c r="J665" t="inlineStr">
        <is>
          <t>AUD</t>
        </is>
      </c>
      <c r="K665" s="5" t="inlineStr">
        <is>
          <t>01a1212c-4c04-75ce-bbb2-e3322e18816e</t>
        </is>
      </c>
      <c r="M665" t="inlineStr">
        <is>
          <t>UNKNOWN</t>
        </is>
      </c>
      <c r="N665" t="inlineStr">
        <is>
          <t>DEFAULT</t>
        </is>
      </c>
      <c r="Q665" t="n">
        <v>0</v>
      </c>
      <c r="R665" t="inlineStr">
        <is>
          <t>AUD</t>
        </is>
      </c>
      <c r="S665" t="n">
        <v>0</v>
      </c>
      <c r="T665" t="inlineStr">
        <is>
          <t>AUD</t>
        </is>
      </c>
      <c r="U665" t="n">
        <v>0</v>
      </c>
    </row>
    <row r="666">
      <c r="A666" s="5" t="inlineStr">
        <is>
          <t>01a1212c-554a-765f-89cf-7b0e00917d20</t>
        </is>
      </c>
      <c r="C666" s="5" t="inlineStr">
        <is>
          <t>01a1212c-4b57-70cf-80fd-c2192cb3bf81</t>
        </is>
      </c>
      <c r="D666" s="4" t="n">
        <v>46304.6240275317</v>
      </c>
      <c r="E666" s="4" t="n">
        <v>46304.62402753178</v>
      </c>
      <c r="F666" t="b">
        <v>1</v>
      </c>
      <c r="G666" t="n">
        <v/>
      </c>
      <c r="H666" t="inlineStr">
        <is>
          <t>XGOV</t>
        </is>
      </c>
      <c r="I666" t="inlineStr">
        <is>
          <t>Vaneck 10+ Year Australian Government Bond ETF</t>
        </is>
      </c>
      <c r="J666" t="inlineStr">
        <is>
          <t>AUD</t>
        </is>
      </c>
      <c r="K666" s="5" t="inlineStr">
        <is>
          <t>01a1212c-4c04-75ce-bbb2-e3322e18816e</t>
        </is>
      </c>
      <c r="M666" t="inlineStr">
        <is>
          <t>UNKNOWN</t>
        </is>
      </c>
      <c r="N666" t="inlineStr">
        <is>
          <t>DEFAULT</t>
        </is>
      </c>
      <c r="Q666" t="n">
        <v>0</v>
      </c>
      <c r="R666" t="inlineStr">
        <is>
          <t>AUD</t>
        </is>
      </c>
      <c r="S666" t="n">
        <v>0</v>
      </c>
      <c r="T666" t="inlineStr">
        <is>
          <t>AUD</t>
        </is>
      </c>
      <c r="U666" t="n">
        <v>0</v>
      </c>
    </row>
    <row r="667">
      <c r="A667" s="5" t="inlineStr">
        <is>
          <t>01a1212c-554d-704d-af2c-ffd4362b9eaa</t>
        </is>
      </c>
      <c r="C667" s="5" t="inlineStr">
        <is>
          <t>01a1212c-4b57-70cf-80fd-c2192cb3bf81</t>
        </is>
      </c>
      <c r="D667" s="4" t="n">
        <v>46304.62402756227</v>
      </c>
      <c r="E667" s="4" t="n">
        <v>46304.62402756233</v>
      </c>
      <c r="F667" t="b">
        <v>1</v>
      </c>
      <c r="G667" t="n">
        <v/>
      </c>
      <c r="H667" t="inlineStr">
        <is>
          <t>XRF</t>
        </is>
      </c>
      <c r="I667" t="inlineStr">
        <is>
          <t>XRF Scientific Ltd</t>
        </is>
      </c>
      <c r="J667" t="inlineStr">
        <is>
          <t>AUD</t>
        </is>
      </c>
      <c r="K667" s="5" t="inlineStr">
        <is>
          <t>01a1212c-4c04-75ce-bbb2-e3322e18816e</t>
        </is>
      </c>
      <c r="M667" t="inlineStr">
        <is>
          <t>UNKNOWN</t>
        </is>
      </c>
      <c r="N667" t="inlineStr">
        <is>
          <t>DEFAULT</t>
        </is>
      </c>
      <c r="Q667" t="n">
        <v>0</v>
      </c>
      <c r="R667" t="inlineStr">
        <is>
          <t>AUD</t>
        </is>
      </c>
      <c r="S667" t="n">
        <v>0</v>
      </c>
      <c r="T667" t="inlineStr">
        <is>
          <t>AUD</t>
        </is>
      </c>
      <c r="U667" t="n">
        <v>0</v>
      </c>
    </row>
    <row r="668">
      <c r="A668" s="5" t="inlineStr">
        <is>
          <t>01a1212c-554f-7474-bc96-7fe477b811ee</t>
        </is>
      </c>
      <c r="C668" s="5" t="inlineStr">
        <is>
          <t>01a1212c-4b57-70cf-80fd-c2192cb3bf81</t>
        </is>
      </c>
      <c r="D668" s="4" t="n">
        <v>46304.6240275927</v>
      </c>
      <c r="E668" s="4" t="n">
        <v>46304.62402759278</v>
      </c>
      <c r="F668" t="b">
        <v>1</v>
      </c>
      <c r="G668" t="n">
        <v/>
      </c>
      <c r="H668" t="inlineStr">
        <is>
          <t>XARO</t>
        </is>
      </c>
      <c r="I668" t="inlineStr">
        <is>
          <t>Ardea Real Outcome Bond Complex ETF</t>
        </is>
      </c>
      <c r="J668" t="inlineStr">
        <is>
          <t>AUD</t>
        </is>
      </c>
      <c r="K668" s="5" t="inlineStr">
        <is>
          <t>01a1212c-4c04-75ce-bbb2-e3322e18816e</t>
        </is>
      </c>
      <c r="M668" t="inlineStr">
        <is>
          <t>UNKNOWN</t>
        </is>
      </c>
      <c r="N668" t="inlineStr">
        <is>
          <t>DEFAULT</t>
        </is>
      </c>
      <c r="Q668" t="n">
        <v>0</v>
      </c>
      <c r="R668" t="inlineStr">
        <is>
          <t>AUD</t>
        </is>
      </c>
      <c r="S668" t="n">
        <v>0</v>
      </c>
      <c r="T668" t="inlineStr">
        <is>
          <t>AUD</t>
        </is>
      </c>
      <c r="U668" t="n">
        <v>0</v>
      </c>
    </row>
    <row r="669">
      <c r="A669" s="5" t="inlineStr">
        <is>
          <t>01a1212c-5552-71f4-b5ec-cf006fc64c32</t>
        </is>
      </c>
      <c r="C669" s="5" t="inlineStr">
        <is>
          <t>01a1212c-4b57-70cf-80fd-c2192cb3bf81</t>
        </is>
      </c>
      <c r="D669" s="4" t="n">
        <v>46304.62402762554</v>
      </c>
      <c r="E669" s="4" t="n">
        <v>46304.62402762563</v>
      </c>
      <c r="F669" t="b">
        <v>1</v>
      </c>
      <c r="G669" t="n">
        <v/>
      </c>
      <c r="H669" t="inlineStr">
        <is>
          <t>EGH</t>
        </is>
      </c>
      <c r="I669" t="inlineStr">
        <is>
          <t>Eureka Group Holdings Ltd</t>
        </is>
      </c>
      <c r="J669" t="inlineStr">
        <is>
          <t>AUD</t>
        </is>
      </c>
      <c r="K669" s="5" t="inlineStr">
        <is>
          <t>01a1212c-4c04-75ce-bbb2-e3322e18816e</t>
        </is>
      </c>
      <c r="M669" t="inlineStr">
        <is>
          <t>UNKNOWN</t>
        </is>
      </c>
      <c r="N669" t="inlineStr">
        <is>
          <t>DEFAULT</t>
        </is>
      </c>
      <c r="Q669" t="n">
        <v>0</v>
      </c>
      <c r="R669" t="inlineStr">
        <is>
          <t>AUD</t>
        </is>
      </c>
      <c r="S669" t="n">
        <v>0</v>
      </c>
      <c r="T669" t="inlineStr">
        <is>
          <t>AUD</t>
        </is>
      </c>
      <c r="U669" t="n">
        <v>0</v>
      </c>
    </row>
    <row r="670">
      <c r="A670" s="5" t="inlineStr">
        <is>
          <t>01a1212c-5555-75d4-8b84-3aa31db92937</t>
        </is>
      </c>
      <c r="C670" s="5" t="inlineStr">
        <is>
          <t>01a1212c-4b57-70cf-80fd-c2192cb3bf81</t>
        </is>
      </c>
      <c r="D670" s="4" t="n">
        <v>46304.62402765665</v>
      </c>
      <c r="E670" s="4" t="n">
        <v>46304.62402765673</v>
      </c>
      <c r="F670" t="b">
        <v>1</v>
      </c>
      <c r="G670" t="n">
        <v/>
      </c>
      <c r="H670" t="inlineStr">
        <is>
          <t>GDF</t>
        </is>
      </c>
      <c r="I670" t="inlineStr">
        <is>
          <t>Garda Property Group</t>
        </is>
      </c>
      <c r="J670" t="inlineStr">
        <is>
          <t>AUD</t>
        </is>
      </c>
      <c r="K670" s="5" t="inlineStr">
        <is>
          <t>01a1212c-4c04-75ce-bbb2-e3322e18816e</t>
        </is>
      </c>
      <c r="M670" t="inlineStr">
        <is>
          <t>UNKNOWN</t>
        </is>
      </c>
      <c r="N670" t="inlineStr">
        <is>
          <t>DEFAULT</t>
        </is>
      </c>
      <c r="Q670" t="n">
        <v>0</v>
      </c>
      <c r="R670" t="inlineStr">
        <is>
          <t>AUD</t>
        </is>
      </c>
      <c r="S670" t="n">
        <v>0</v>
      </c>
      <c r="T670" t="inlineStr">
        <is>
          <t>AUD</t>
        </is>
      </c>
      <c r="U670" t="n">
        <v>0</v>
      </c>
    </row>
    <row r="671">
      <c r="A671" s="5" t="inlineStr">
        <is>
          <t>01a1212c-5558-750c-b1a9-2eabd222f682</t>
        </is>
      </c>
      <c r="C671" s="5" t="inlineStr">
        <is>
          <t>01a1212c-4b57-70cf-80fd-c2192cb3bf81</t>
        </is>
      </c>
      <c r="D671" s="4" t="n">
        <v>46304.62402768923</v>
      </c>
      <c r="E671" s="4" t="n">
        <v>46304.62402768929</v>
      </c>
      <c r="F671" t="b">
        <v>1</v>
      </c>
      <c r="G671" t="n">
        <v/>
      </c>
      <c r="H671" t="inlineStr">
        <is>
          <t>ABA</t>
        </is>
      </c>
      <c r="I671" t="inlineStr">
        <is>
          <t>Auswide Bank Ltd</t>
        </is>
      </c>
      <c r="J671" t="inlineStr">
        <is>
          <t>AUD</t>
        </is>
      </c>
      <c r="K671" s="5" t="inlineStr">
        <is>
          <t>01a1212c-4c04-75ce-bbb2-e3322e18816e</t>
        </is>
      </c>
      <c r="M671" t="inlineStr">
        <is>
          <t>UNKNOWN</t>
        </is>
      </c>
      <c r="N671" t="inlineStr">
        <is>
          <t>DEFAULT</t>
        </is>
      </c>
      <c r="Q671" t="n">
        <v>0</v>
      </c>
      <c r="R671" t="inlineStr">
        <is>
          <t>AUD</t>
        </is>
      </c>
      <c r="S671" t="n">
        <v>0</v>
      </c>
      <c r="T671" t="inlineStr">
        <is>
          <t>AUD</t>
        </is>
      </c>
      <c r="U671" t="n">
        <v>0</v>
      </c>
    </row>
    <row r="672">
      <c r="A672" s="5" t="inlineStr">
        <is>
          <t>01a1212c-555b-705d-a962-44a110fac914</t>
        </is>
      </c>
      <c r="C672" s="5" t="inlineStr">
        <is>
          <t>01a1212c-4b57-70cf-80fd-c2192cb3bf81</t>
        </is>
      </c>
      <c r="D672" s="4" t="n">
        <v>46304.62402772178</v>
      </c>
      <c r="E672" s="4" t="n">
        <v>46304.62402772186</v>
      </c>
      <c r="F672" t="b">
        <v>1</v>
      </c>
      <c r="G672" t="n">
        <v/>
      </c>
      <c r="H672" t="inlineStr">
        <is>
          <t>QHSM</t>
        </is>
      </c>
      <c r="I672" t="inlineStr">
        <is>
          <t>Vaneck MSCI Intl SML Comp Quality (Aud Hedged) ETF</t>
        </is>
      </c>
      <c r="J672" t="inlineStr">
        <is>
          <t>AUD</t>
        </is>
      </c>
      <c r="K672" s="5" t="inlineStr">
        <is>
          <t>01a1212c-4c04-75ce-bbb2-e3322e18816e</t>
        </is>
      </c>
      <c r="M672" t="inlineStr">
        <is>
          <t>UNKNOWN</t>
        </is>
      </c>
      <c r="N672" t="inlineStr">
        <is>
          <t>DEFAULT</t>
        </is>
      </c>
      <c r="Q672" t="n">
        <v>0</v>
      </c>
      <c r="R672" t="inlineStr">
        <is>
          <t>AUD</t>
        </is>
      </c>
      <c r="S672" t="n">
        <v>0</v>
      </c>
      <c r="T672" t="inlineStr">
        <is>
          <t>AUD</t>
        </is>
      </c>
      <c r="U672" t="n">
        <v>0</v>
      </c>
    </row>
    <row r="673">
      <c r="A673" s="5" t="inlineStr">
        <is>
          <t>01a1212c-555d-7715-afc7-5140b43c4172</t>
        </is>
      </c>
      <c r="C673" s="5" t="inlineStr">
        <is>
          <t>01a1212c-4b57-70cf-80fd-c2192cb3bf81</t>
        </is>
      </c>
      <c r="D673" s="4" t="n">
        <v>46304.62402775256</v>
      </c>
      <c r="E673" s="4" t="n">
        <v>46304.62402775264</v>
      </c>
      <c r="F673" t="b">
        <v>1</v>
      </c>
      <c r="G673" t="n">
        <v/>
      </c>
      <c r="H673" t="inlineStr">
        <is>
          <t>AMA</t>
        </is>
      </c>
      <c r="I673" t="inlineStr">
        <is>
          <t>AMA Group Ltd</t>
        </is>
      </c>
      <c r="J673" t="inlineStr">
        <is>
          <t>AUD</t>
        </is>
      </c>
      <c r="K673" s="5" t="inlineStr">
        <is>
          <t>01a1212c-4c04-75ce-bbb2-e3322e18816e</t>
        </is>
      </c>
      <c r="M673" t="inlineStr">
        <is>
          <t>UNKNOWN</t>
        </is>
      </c>
      <c r="N673" t="inlineStr">
        <is>
          <t>DEFAULT</t>
        </is>
      </c>
      <c r="Q673" t="n">
        <v>0</v>
      </c>
      <c r="R673" t="inlineStr">
        <is>
          <t>AUD</t>
        </is>
      </c>
      <c r="S673" t="n">
        <v>0</v>
      </c>
      <c r="T673" t="inlineStr">
        <is>
          <t>AUD</t>
        </is>
      </c>
      <c r="U673" t="n">
        <v>0</v>
      </c>
    </row>
    <row r="674">
      <c r="A674" s="5" t="inlineStr">
        <is>
          <t>01a1212c-5560-748e-893c-a6830ec04527</t>
        </is>
      </c>
      <c r="C674" s="5" t="inlineStr">
        <is>
          <t>01a1212c-4b57-70cf-80fd-c2192cb3bf81</t>
        </is>
      </c>
      <c r="D674" s="4" t="n">
        <v>46304.62402778286</v>
      </c>
      <c r="E674" s="4" t="n">
        <v>46304.62402778295</v>
      </c>
      <c r="F674" t="b">
        <v>1</v>
      </c>
      <c r="G674" t="n">
        <v/>
      </c>
      <c r="H674" t="inlineStr">
        <is>
          <t>LGI</t>
        </is>
      </c>
      <c r="I674" t="inlineStr">
        <is>
          <t>LGI Ltd</t>
        </is>
      </c>
      <c r="J674" t="inlineStr">
        <is>
          <t>AUD</t>
        </is>
      </c>
      <c r="K674" s="5" t="inlineStr">
        <is>
          <t>01a1212c-4c04-75ce-bbb2-e3322e18816e</t>
        </is>
      </c>
      <c r="M674" t="inlineStr">
        <is>
          <t>UNKNOWN</t>
        </is>
      </c>
      <c r="N674" t="inlineStr">
        <is>
          <t>DEFAULT</t>
        </is>
      </c>
      <c r="Q674" t="n">
        <v>0</v>
      </c>
      <c r="R674" t="inlineStr">
        <is>
          <t>AUD</t>
        </is>
      </c>
      <c r="S674" t="n">
        <v>0</v>
      </c>
      <c r="T674" t="inlineStr">
        <is>
          <t>AUD</t>
        </is>
      </c>
      <c r="U674" t="n">
        <v>0</v>
      </c>
    </row>
    <row r="675">
      <c r="A675" s="5" t="inlineStr">
        <is>
          <t>01a1212c-5563-75ea-908e-13ce03d4d3f5</t>
        </is>
      </c>
      <c r="C675" s="5" t="inlineStr">
        <is>
          <t>01a1212c-4b57-70cf-80fd-c2192cb3bf81</t>
        </is>
      </c>
      <c r="D675" s="4" t="n">
        <v>46304.62402781582</v>
      </c>
      <c r="E675" s="4" t="n">
        <v>46304.62402781589</v>
      </c>
      <c r="F675" t="b">
        <v>1</v>
      </c>
      <c r="G675" t="n">
        <v/>
      </c>
      <c r="H675" t="inlineStr">
        <is>
          <t>ROBO</t>
        </is>
      </c>
      <c r="I675" t="inlineStr">
        <is>
          <t>Global X Robo Global Robotics &amp; Automation ETF</t>
        </is>
      </c>
      <c r="J675" t="inlineStr">
        <is>
          <t>AUD</t>
        </is>
      </c>
      <c r="K675" s="5" t="inlineStr">
        <is>
          <t>01a1212c-4c04-75ce-bbb2-e3322e18816e</t>
        </is>
      </c>
      <c r="M675" t="inlineStr">
        <is>
          <t>UNIT_TRUST</t>
        </is>
      </c>
      <c r="N675" t="inlineStr">
        <is>
          <t>SUGGESTED</t>
        </is>
      </c>
      <c r="Q675" t="n">
        <v>0</v>
      </c>
      <c r="R675" t="inlineStr">
        <is>
          <t>AUD</t>
        </is>
      </c>
      <c r="S675" t="n">
        <v>0</v>
      </c>
      <c r="T675" t="inlineStr">
        <is>
          <t>AUD</t>
        </is>
      </c>
      <c r="U675" t="n">
        <v>0</v>
      </c>
    </row>
    <row r="676">
      <c r="A676" s="5" t="inlineStr">
        <is>
          <t>01a1212c-5566-7772-9e80-69d49b406fe1</t>
        </is>
      </c>
      <c r="C676" s="5" t="inlineStr">
        <is>
          <t>01a1212c-4b57-70cf-80fd-c2192cb3bf81</t>
        </is>
      </c>
      <c r="D676" s="4" t="n">
        <v>46304.6240278496</v>
      </c>
      <c r="E676" s="4" t="n">
        <v>46304.62402784968</v>
      </c>
      <c r="F676" t="b">
        <v>1</v>
      </c>
      <c r="G676" t="n">
        <v/>
      </c>
      <c r="H676" t="inlineStr">
        <is>
          <t>4DX</t>
        </is>
      </c>
      <c r="I676" t="inlineStr">
        <is>
          <t>4DMEDICAL Ltd</t>
        </is>
      </c>
      <c r="J676" t="inlineStr">
        <is>
          <t>AUD</t>
        </is>
      </c>
      <c r="K676" s="5" t="inlineStr">
        <is>
          <t>01a1212c-4c04-75ce-bbb2-e3322e18816e</t>
        </is>
      </c>
      <c r="M676" t="inlineStr">
        <is>
          <t>UNKNOWN</t>
        </is>
      </c>
      <c r="N676" t="inlineStr">
        <is>
          <t>DEFAULT</t>
        </is>
      </c>
      <c r="Q676" t="n">
        <v>0</v>
      </c>
      <c r="R676" t="inlineStr">
        <is>
          <t>AUD</t>
        </is>
      </c>
      <c r="S676" t="n">
        <v>0</v>
      </c>
      <c r="T676" t="inlineStr">
        <is>
          <t>AUD</t>
        </is>
      </c>
      <c r="U676" t="n">
        <v>0</v>
      </c>
    </row>
    <row r="677">
      <c r="A677" s="5" t="inlineStr">
        <is>
          <t>01a1212c-5568-74db-b141-2765f1ac3bb1</t>
        </is>
      </c>
      <c r="C677" s="5" t="inlineStr">
        <is>
          <t>01a1212c-4b57-70cf-80fd-c2192cb3bf81</t>
        </is>
      </c>
      <c r="D677" s="4" t="n">
        <v>46304.6240278828</v>
      </c>
      <c r="E677" s="4" t="n">
        <v>46304.62402788288</v>
      </c>
      <c r="F677" t="b">
        <v>1</v>
      </c>
      <c r="G677" t="n">
        <v/>
      </c>
      <c r="H677" t="inlineStr">
        <is>
          <t>DXB</t>
        </is>
      </c>
      <c r="I677" t="inlineStr">
        <is>
          <t>Dimerix Ltd</t>
        </is>
      </c>
      <c r="J677" t="inlineStr">
        <is>
          <t>AUD</t>
        </is>
      </c>
      <c r="K677" s="5" t="inlineStr">
        <is>
          <t>01a1212c-4c04-75ce-bbb2-e3322e18816e</t>
        </is>
      </c>
      <c r="M677" t="inlineStr">
        <is>
          <t>UNKNOWN</t>
        </is>
      </c>
      <c r="N677" t="inlineStr">
        <is>
          <t>DEFAULT</t>
        </is>
      </c>
      <c r="Q677" t="n">
        <v>0</v>
      </c>
      <c r="R677" t="inlineStr">
        <is>
          <t>AUD</t>
        </is>
      </c>
      <c r="S677" t="n">
        <v>0</v>
      </c>
      <c r="T677" t="inlineStr">
        <is>
          <t>AUD</t>
        </is>
      </c>
      <c r="U677" t="n">
        <v>0</v>
      </c>
    </row>
    <row r="678">
      <c r="A678" s="5" t="inlineStr">
        <is>
          <t>01a1212c-556b-76a4-9109-18101bc58b03</t>
        </is>
      </c>
      <c r="C678" s="5" t="inlineStr">
        <is>
          <t>01a1212c-4b57-70cf-80fd-c2192cb3bf81</t>
        </is>
      </c>
      <c r="D678" s="4" t="n">
        <v>46304.62402791449</v>
      </c>
      <c r="E678" s="4" t="n">
        <v>46304.62402791456</v>
      </c>
      <c r="F678" t="b">
        <v>1</v>
      </c>
      <c r="G678" t="n">
        <v/>
      </c>
      <c r="H678" t="inlineStr">
        <is>
          <t>SWM</t>
        </is>
      </c>
      <c r="I678" t="inlineStr">
        <is>
          <t>Seven West Media Ltd</t>
        </is>
      </c>
      <c r="J678" t="inlineStr">
        <is>
          <t>AUD</t>
        </is>
      </c>
      <c r="K678" s="5" t="inlineStr">
        <is>
          <t>01a1212c-4c04-75ce-bbb2-e3322e18816e</t>
        </is>
      </c>
      <c r="M678" t="inlineStr">
        <is>
          <t>UNKNOWN</t>
        </is>
      </c>
      <c r="N678" t="inlineStr">
        <is>
          <t>DEFAULT</t>
        </is>
      </c>
      <c r="Q678" t="n">
        <v>0</v>
      </c>
      <c r="R678" t="inlineStr">
        <is>
          <t>AUD</t>
        </is>
      </c>
      <c r="S678" t="n">
        <v>0</v>
      </c>
      <c r="T678" t="inlineStr">
        <is>
          <t>AUD</t>
        </is>
      </c>
      <c r="U678" t="n">
        <v>0</v>
      </c>
    </row>
    <row r="679">
      <c r="A679" s="5" t="inlineStr">
        <is>
          <t>01a1212c-556e-70de-a15a-16a65140e56c</t>
        </is>
      </c>
      <c r="C679" s="5" t="inlineStr">
        <is>
          <t>01a1212c-4b57-70cf-80fd-c2192cb3bf81</t>
        </is>
      </c>
      <c r="D679" s="4" t="n">
        <v>46304.62402794714</v>
      </c>
      <c r="E679" s="4" t="n">
        <v>46304.62402794723</v>
      </c>
      <c r="F679" t="b">
        <v>1</v>
      </c>
      <c r="G679" t="n">
        <v/>
      </c>
      <c r="H679" t="inlineStr">
        <is>
          <t>ECF</t>
        </is>
      </c>
      <c r="I679" t="inlineStr">
        <is>
          <t>Elanor Commercial Property Fund</t>
        </is>
      </c>
      <c r="J679" t="inlineStr">
        <is>
          <t>AUD</t>
        </is>
      </c>
      <c r="K679" s="5" t="inlineStr">
        <is>
          <t>01a1212c-4c04-75ce-bbb2-e3322e18816e</t>
        </is>
      </c>
      <c r="M679" t="inlineStr">
        <is>
          <t>UNKNOWN</t>
        </is>
      </c>
      <c r="N679" t="inlineStr">
        <is>
          <t>DEFAULT</t>
        </is>
      </c>
      <c r="Q679" t="n">
        <v>0</v>
      </c>
      <c r="R679" t="inlineStr">
        <is>
          <t>AUD</t>
        </is>
      </c>
      <c r="S679" t="n">
        <v>0</v>
      </c>
      <c r="T679" t="inlineStr">
        <is>
          <t>AUD</t>
        </is>
      </c>
      <c r="U679" t="n">
        <v>0</v>
      </c>
    </row>
    <row r="680">
      <c r="A680" s="5" t="inlineStr">
        <is>
          <t>01a1212c-5571-73fd-b42b-c72cc641cac6</t>
        </is>
      </c>
      <c r="C680" s="5" t="inlineStr">
        <is>
          <t>01a1212c-4b57-70cf-80fd-c2192cb3bf81</t>
        </is>
      </c>
      <c r="D680" s="4" t="n">
        <v>46304.62402797918</v>
      </c>
      <c r="E680" s="4" t="n">
        <v>46304.62402797931</v>
      </c>
      <c r="F680" t="b">
        <v>1</v>
      </c>
      <c r="G680" t="n">
        <v/>
      </c>
      <c r="H680" t="inlineStr">
        <is>
          <t>BBOZ</t>
        </is>
      </c>
      <c r="I680" t="inlineStr">
        <is>
          <t>Betashares Australian Strong Bear (Hedge Fund)</t>
        </is>
      </c>
      <c r="J680" t="inlineStr">
        <is>
          <t>AUD</t>
        </is>
      </c>
      <c r="K680" s="5" t="inlineStr">
        <is>
          <t>01a1212c-4c04-75ce-bbb2-e3322e18816e</t>
        </is>
      </c>
      <c r="M680" t="inlineStr">
        <is>
          <t>UNKNOWN</t>
        </is>
      </c>
      <c r="N680" t="inlineStr">
        <is>
          <t>DEFAULT</t>
        </is>
      </c>
      <c r="Q680" t="n">
        <v>0</v>
      </c>
      <c r="R680" t="inlineStr">
        <is>
          <t>AUD</t>
        </is>
      </c>
      <c r="S680" t="n">
        <v>0</v>
      </c>
      <c r="T680" t="inlineStr">
        <is>
          <t>AUD</t>
        </is>
      </c>
      <c r="U680" t="n">
        <v>0</v>
      </c>
    </row>
    <row r="681">
      <c r="A681" s="5" t="inlineStr">
        <is>
          <t>01a1212c-5573-71f5-af3d-c42fe58a0690</t>
        </is>
      </c>
      <c r="C681" s="5" t="inlineStr">
        <is>
          <t>01a1212c-4b57-70cf-80fd-c2192cb3bf81</t>
        </is>
      </c>
      <c r="D681" s="4" t="n">
        <v>46304.6240280097</v>
      </c>
      <c r="E681" s="4" t="n">
        <v>46304.62402800978</v>
      </c>
      <c r="F681" t="b">
        <v>1</v>
      </c>
      <c r="G681" t="n">
        <v/>
      </c>
      <c r="H681" t="inlineStr">
        <is>
          <t>PEN</t>
        </is>
      </c>
      <c r="I681" t="inlineStr">
        <is>
          <t>Peninsula Energy Ltd</t>
        </is>
      </c>
      <c r="J681" t="inlineStr">
        <is>
          <t>AUD</t>
        </is>
      </c>
      <c r="K681" s="5" t="inlineStr">
        <is>
          <t>01a1212c-4c04-75ce-bbb2-e3322e18816e</t>
        </is>
      </c>
      <c r="M681" t="inlineStr">
        <is>
          <t>UNKNOWN</t>
        </is>
      </c>
      <c r="N681" t="inlineStr">
        <is>
          <t>DEFAULT</t>
        </is>
      </c>
      <c r="Q681" t="n">
        <v>0</v>
      </c>
      <c r="R681" t="inlineStr">
        <is>
          <t>AUD</t>
        </is>
      </c>
      <c r="S681" t="n">
        <v>0</v>
      </c>
      <c r="T681" t="inlineStr">
        <is>
          <t>AUD</t>
        </is>
      </c>
      <c r="U681" t="n">
        <v>0</v>
      </c>
    </row>
    <row r="682">
      <c r="A682" s="5" t="inlineStr">
        <is>
          <t>01a1212c-5576-72ba-81e2-9704d36d9b9d</t>
        </is>
      </c>
      <c r="C682" s="5" t="inlineStr">
        <is>
          <t>01a1212c-4b57-70cf-80fd-c2192cb3bf81</t>
        </is>
      </c>
      <c r="D682" s="4" t="n">
        <v>46304.62402804039</v>
      </c>
      <c r="E682" s="4" t="n">
        <v>46304.62402804046</v>
      </c>
      <c r="F682" t="b">
        <v>1</v>
      </c>
      <c r="G682" t="n">
        <v/>
      </c>
      <c r="H682" t="inlineStr">
        <is>
          <t>SHA</t>
        </is>
      </c>
      <c r="I682" t="inlineStr">
        <is>
          <t>Shape Australia Corporation Ltd</t>
        </is>
      </c>
      <c r="J682" t="inlineStr">
        <is>
          <t>AUD</t>
        </is>
      </c>
      <c r="K682" s="5" t="inlineStr">
        <is>
          <t>01a1212c-4c04-75ce-bbb2-e3322e18816e</t>
        </is>
      </c>
      <c r="M682" t="inlineStr">
        <is>
          <t>UNKNOWN</t>
        </is>
      </c>
      <c r="N682" t="inlineStr">
        <is>
          <t>DEFAULT</t>
        </is>
      </c>
      <c r="Q682" t="n">
        <v>0</v>
      </c>
      <c r="R682" t="inlineStr">
        <is>
          <t>AUD</t>
        </is>
      </c>
      <c r="S682" t="n">
        <v>0</v>
      </c>
      <c r="T682" t="inlineStr">
        <is>
          <t>AUD</t>
        </is>
      </c>
      <c r="U682" t="n">
        <v>0</v>
      </c>
    </row>
    <row r="683">
      <c r="A683" s="5" t="inlineStr">
        <is>
          <t>01a1212c-5579-724c-bec4-4d95c28ea3f1</t>
        </is>
      </c>
      <c r="C683" s="5" t="inlineStr">
        <is>
          <t>01a1212c-4b57-70cf-80fd-c2192cb3bf81</t>
        </is>
      </c>
      <c r="D683" s="4" t="n">
        <v>46304.62402807055</v>
      </c>
      <c r="E683" s="4" t="n">
        <v>46304.62402807063</v>
      </c>
      <c r="F683" t="b">
        <v>1</v>
      </c>
      <c r="G683" t="n">
        <v/>
      </c>
      <c r="H683" t="inlineStr">
        <is>
          <t>CVW</t>
        </is>
      </c>
      <c r="I683" t="inlineStr">
        <is>
          <t>Clearview Wealth Ltd</t>
        </is>
      </c>
      <c r="J683" t="inlineStr">
        <is>
          <t>AUD</t>
        </is>
      </c>
      <c r="K683" s="5" t="inlineStr">
        <is>
          <t>01a1212c-4c04-75ce-bbb2-e3322e18816e</t>
        </is>
      </c>
      <c r="M683" t="inlineStr">
        <is>
          <t>UNKNOWN</t>
        </is>
      </c>
      <c r="N683" t="inlineStr">
        <is>
          <t>DEFAULT</t>
        </is>
      </c>
      <c r="Q683" t="n">
        <v>0</v>
      </c>
      <c r="R683" t="inlineStr">
        <is>
          <t>AUD</t>
        </is>
      </c>
      <c r="S683" t="n">
        <v>0</v>
      </c>
      <c r="T683" t="inlineStr">
        <is>
          <t>AUD</t>
        </is>
      </c>
      <c r="U683" t="n">
        <v>0</v>
      </c>
    </row>
    <row r="684">
      <c r="A684" s="5" t="inlineStr">
        <is>
          <t>01a1212c-557c-7571-9134-5d3b40c0e81a</t>
        </is>
      </c>
      <c r="C684" s="5" t="inlineStr">
        <is>
          <t>01a1212c-4b57-70cf-80fd-c2192cb3bf81</t>
        </is>
      </c>
      <c r="D684" s="4" t="n">
        <v>46304.62402810327</v>
      </c>
      <c r="E684" s="4" t="n">
        <v>46304.62402810335</v>
      </c>
      <c r="F684" t="b">
        <v>1</v>
      </c>
      <c r="G684" t="n">
        <v/>
      </c>
      <c r="H684" t="inlineStr">
        <is>
          <t>GRR</t>
        </is>
      </c>
      <c r="I684" t="inlineStr">
        <is>
          <t>Grange Resources Ltd</t>
        </is>
      </c>
      <c r="J684" t="inlineStr">
        <is>
          <t>AUD</t>
        </is>
      </c>
      <c r="K684" s="5" t="inlineStr">
        <is>
          <t>01a1212c-4c04-75ce-bbb2-e3322e18816e</t>
        </is>
      </c>
      <c r="M684" t="inlineStr">
        <is>
          <t>UNKNOWN</t>
        </is>
      </c>
      <c r="N684" t="inlineStr">
        <is>
          <t>DEFAULT</t>
        </is>
      </c>
      <c r="Q684" t="n">
        <v>0</v>
      </c>
      <c r="R684" t="inlineStr">
        <is>
          <t>AUD</t>
        </is>
      </c>
      <c r="S684" t="n">
        <v>0</v>
      </c>
      <c r="T684" t="inlineStr">
        <is>
          <t>AUD</t>
        </is>
      </c>
      <c r="U684" t="n">
        <v>0</v>
      </c>
    </row>
    <row r="685">
      <c r="A685" s="5" t="inlineStr">
        <is>
          <t>01a1212c-557e-700b-bcaf-56a740ad6234</t>
        </is>
      </c>
      <c r="C685" s="5" t="inlineStr">
        <is>
          <t>01a1212c-4b57-70cf-80fd-c2192cb3bf81</t>
        </is>
      </c>
      <c r="D685" s="4" t="n">
        <v>46304.62402813391</v>
      </c>
      <c r="E685" s="4" t="n">
        <v>46304.62402813399</v>
      </c>
      <c r="F685" t="b">
        <v>1</v>
      </c>
      <c r="G685" t="n">
        <v/>
      </c>
      <c r="H685" t="inlineStr">
        <is>
          <t>BBN</t>
        </is>
      </c>
      <c r="I685" t="inlineStr">
        <is>
          <t>Baby Bunting Group Ltd</t>
        </is>
      </c>
      <c r="J685" t="inlineStr">
        <is>
          <t>AUD</t>
        </is>
      </c>
      <c r="K685" s="5" t="inlineStr">
        <is>
          <t>01a1212c-4c04-75ce-bbb2-e3322e18816e</t>
        </is>
      </c>
      <c r="M685" t="inlineStr">
        <is>
          <t>UNKNOWN</t>
        </is>
      </c>
      <c r="N685" t="inlineStr">
        <is>
          <t>DEFAULT</t>
        </is>
      </c>
      <c r="Q685" t="n">
        <v>0</v>
      </c>
      <c r="R685" t="inlineStr">
        <is>
          <t>AUD</t>
        </is>
      </c>
      <c r="S685" t="n">
        <v>0</v>
      </c>
      <c r="T685" t="inlineStr">
        <is>
          <t>AUD</t>
        </is>
      </c>
      <c r="U685" t="n">
        <v>0</v>
      </c>
    </row>
    <row r="686">
      <c r="A686" s="5" t="inlineStr">
        <is>
          <t>01a1212c-5581-7212-a25d-0c840e9e8aa2</t>
        </is>
      </c>
      <c r="C686" s="5" t="inlineStr">
        <is>
          <t>01a1212c-4b57-70cf-80fd-c2192cb3bf81</t>
        </is>
      </c>
      <c r="D686" s="4" t="n">
        <v>46304.62402816401</v>
      </c>
      <c r="E686" s="4" t="n">
        <v>46304.6240281641</v>
      </c>
      <c r="F686" t="b">
        <v>1</v>
      </c>
      <c r="G686" t="n">
        <v/>
      </c>
      <c r="H686" t="inlineStr">
        <is>
          <t>WAX</t>
        </is>
      </c>
      <c r="I686" t="inlineStr">
        <is>
          <t>Wam Research Ltd</t>
        </is>
      </c>
      <c r="J686" t="inlineStr">
        <is>
          <t>AUD</t>
        </is>
      </c>
      <c r="K686" s="5" t="inlineStr">
        <is>
          <t>01a1212c-4c04-75ce-bbb2-e3322e18816e</t>
        </is>
      </c>
      <c r="M686" t="inlineStr">
        <is>
          <t>COMPANY</t>
        </is>
      </c>
      <c r="N686" t="inlineStr">
        <is>
          <t>SUGGESTED</t>
        </is>
      </c>
      <c r="Q686" t="n">
        <v>0</v>
      </c>
      <c r="R686" t="inlineStr">
        <is>
          <t>AUD</t>
        </is>
      </c>
      <c r="S686" t="n">
        <v>0</v>
      </c>
      <c r="T686" t="inlineStr">
        <is>
          <t>AUD</t>
        </is>
      </c>
      <c r="U686" t="n">
        <v>0</v>
      </c>
    </row>
    <row r="687">
      <c r="A687" s="5" t="inlineStr">
        <is>
          <t>01a1212c-5584-7436-a1bb-177f18703af7</t>
        </is>
      </c>
      <c r="C687" s="5" t="inlineStr">
        <is>
          <t>01a1212c-4b57-70cf-80fd-c2192cb3bf81</t>
        </is>
      </c>
      <c r="D687" s="4" t="n">
        <v>46304.62402819782</v>
      </c>
      <c r="E687" s="4" t="n">
        <v>46304.6240281979</v>
      </c>
      <c r="F687" t="b">
        <v>1</v>
      </c>
      <c r="G687" t="n">
        <v/>
      </c>
      <c r="H687" t="inlineStr">
        <is>
          <t>HVST</t>
        </is>
      </c>
      <c r="I687" t="inlineStr">
        <is>
          <t>Betashares Australian Dividend Harvester Fund (Managed Fund)</t>
        </is>
      </c>
      <c r="J687" t="inlineStr">
        <is>
          <t>AUD</t>
        </is>
      </c>
      <c r="K687" s="5" t="inlineStr">
        <is>
          <t>01a1212c-4c04-75ce-bbb2-e3322e18816e</t>
        </is>
      </c>
      <c r="M687" t="inlineStr">
        <is>
          <t>UNKNOWN</t>
        </is>
      </c>
      <c r="N687" t="inlineStr">
        <is>
          <t>DEFAULT</t>
        </is>
      </c>
      <c r="Q687" t="n">
        <v>0</v>
      </c>
      <c r="R687" t="inlineStr">
        <is>
          <t>AUD</t>
        </is>
      </c>
      <c r="S687" t="n">
        <v>0</v>
      </c>
      <c r="T687" t="inlineStr">
        <is>
          <t>AUD</t>
        </is>
      </c>
      <c r="U687" t="n">
        <v>0</v>
      </c>
    </row>
    <row r="688">
      <c r="A688" s="5" t="inlineStr">
        <is>
          <t>01a1212c-5586-7427-a6e1-9d1fb6218565</t>
        </is>
      </c>
      <c r="C688" s="5" t="inlineStr">
        <is>
          <t>01a1212c-4b57-70cf-80fd-c2192cb3bf81</t>
        </is>
      </c>
      <c r="D688" s="4" t="n">
        <v>46304.62402822988</v>
      </c>
      <c r="E688" s="4" t="n">
        <v>46304.62402822996</v>
      </c>
      <c r="F688" t="b">
        <v>1</v>
      </c>
      <c r="G688" t="n">
        <v/>
      </c>
      <c r="H688" t="inlineStr">
        <is>
          <t>SKS</t>
        </is>
      </c>
      <c r="I688" t="inlineStr">
        <is>
          <t>SKS Technologies Group Ltd</t>
        </is>
      </c>
      <c r="J688" t="inlineStr">
        <is>
          <t>AUD</t>
        </is>
      </c>
      <c r="K688" s="5" t="inlineStr">
        <is>
          <t>01a1212c-4c04-75ce-bbb2-e3322e18816e</t>
        </is>
      </c>
      <c r="M688" t="inlineStr">
        <is>
          <t>UNKNOWN</t>
        </is>
      </c>
      <c r="N688" t="inlineStr">
        <is>
          <t>DEFAULT</t>
        </is>
      </c>
      <c r="Q688" t="n">
        <v>0</v>
      </c>
      <c r="R688" t="inlineStr">
        <is>
          <t>AUD</t>
        </is>
      </c>
      <c r="S688" t="n">
        <v>0</v>
      </c>
      <c r="T688" t="inlineStr">
        <is>
          <t>AUD</t>
        </is>
      </c>
      <c r="U688" t="n">
        <v>0</v>
      </c>
    </row>
    <row r="689">
      <c r="A689" s="5" t="inlineStr">
        <is>
          <t>01a1212c-5589-7462-b256-598b5389d3e6</t>
        </is>
      </c>
      <c r="C689" s="5" t="inlineStr">
        <is>
          <t>01a1212c-4b57-70cf-80fd-c2192cb3bf81</t>
        </is>
      </c>
      <c r="D689" s="4" t="n">
        <v>46304.62402826048</v>
      </c>
      <c r="E689" s="4" t="n">
        <v>46304.62402826056</v>
      </c>
      <c r="F689" t="b">
        <v>1</v>
      </c>
      <c r="G689" t="n">
        <v/>
      </c>
      <c r="H689" t="inlineStr">
        <is>
          <t>AGI</t>
        </is>
      </c>
      <c r="I689" t="inlineStr">
        <is>
          <t>Ainsworth Game Technology Ltd</t>
        </is>
      </c>
      <c r="J689" t="inlineStr">
        <is>
          <t>AUD</t>
        </is>
      </c>
      <c r="K689" s="5" t="inlineStr">
        <is>
          <t>01a1212c-4c04-75ce-bbb2-e3322e18816e</t>
        </is>
      </c>
      <c r="M689" t="inlineStr">
        <is>
          <t>UNKNOWN</t>
        </is>
      </c>
      <c r="N689" t="inlineStr">
        <is>
          <t>DEFAULT</t>
        </is>
      </c>
      <c r="Q689" t="n">
        <v>0</v>
      </c>
      <c r="R689" t="inlineStr">
        <is>
          <t>AUD</t>
        </is>
      </c>
      <c r="S689" t="n">
        <v>0</v>
      </c>
      <c r="T689" t="inlineStr">
        <is>
          <t>AUD</t>
        </is>
      </c>
      <c r="U689" t="n">
        <v>0</v>
      </c>
    </row>
    <row r="690">
      <c r="A690" s="5" t="inlineStr">
        <is>
          <t>01a1212c-558c-7173-93f6-e43dcf87514a</t>
        </is>
      </c>
      <c r="C690" s="5" t="inlineStr">
        <is>
          <t>01a1212c-4b57-70cf-80fd-c2192cb3bf81</t>
        </is>
      </c>
      <c r="D690" s="4" t="n">
        <v>46304.62402829134</v>
      </c>
      <c r="E690" s="4" t="n">
        <v>46304.62402829142</v>
      </c>
      <c r="F690" t="b">
        <v>1</v>
      </c>
      <c r="G690" t="n">
        <v/>
      </c>
      <c r="H690" t="inlineStr">
        <is>
          <t>BTR</t>
        </is>
      </c>
      <c r="I690" t="inlineStr">
        <is>
          <t>Brightstar Resources Ltd</t>
        </is>
      </c>
      <c r="J690" t="inlineStr">
        <is>
          <t>AUD</t>
        </is>
      </c>
      <c r="K690" s="5" t="inlineStr">
        <is>
          <t>01a1212c-4c04-75ce-bbb2-e3322e18816e</t>
        </is>
      </c>
      <c r="M690" t="inlineStr">
        <is>
          <t>UNKNOWN</t>
        </is>
      </c>
      <c r="N690" t="inlineStr">
        <is>
          <t>DEFAULT</t>
        </is>
      </c>
      <c r="Q690" t="n">
        <v>0</v>
      </c>
      <c r="R690" t="inlineStr">
        <is>
          <t>AUD</t>
        </is>
      </c>
      <c r="S690" t="n">
        <v>0</v>
      </c>
      <c r="T690" t="inlineStr">
        <is>
          <t>AUD</t>
        </is>
      </c>
      <c r="U690" t="n">
        <v>0</v>
      </c>
    </row>
    <row r="691">
      <c r="A691" s="5" t="inlineStr">
        <is>
          <t>01a1212c-558e-714f-b2a8-3044a84b5d9f</t>
        </is>
      </c>
      <c r="C691" s="5" t="inlineStr">
        <is>
          <t>01a1212c-4b57-70cf-80fd-c2192cb3bf81</t>
        </is>
      </c>
      <c r="D691" s="4" t="n">
        <v>46304.6240283215</v>
      </c>
      <c r="E691" s="4" t="n">
        <v>46304.62402832159</v>
      </c>
      <c r="F691" t="b">
        <v>1</v>
      </c>
      <c r="G691" t="n">
        <v/>
      </c>
      <c r="H691" t="inlineStr">
        <is>
          <t>SYR</t>
        </is>
      </c>
      <c r="I691" t="inlineStr">
        <is>
          <t>Syrah Resources Ltd</t>
        </is>
      </c>
      <c r="J691" t="inlineStr">
        <is>
          <t>AUD</t>
        </is>
      </c>
      <c r="K691" s="5" t="inlineStr">
        <is>
          <t>01a1212c-4c04-75ce-bbb2-e3322e18816e</t>
        </is>
      </c>
      <c r="M691" t="inlineStr">
        <is>
          <t>UNKNOWN</t>
        </is>
      </c>
      <c r="N691" t="inlineStr">
        <is>
          <t>DEFAULT</t>
        </is>
      </c>
      <c r="Q691" t="n">
        <v>0</v>
      </c>
      <c r="R691" t="inlineStr">
        <is>
          <t>AUD</t>
        </is>
      </c>
      <c r="S691" t="n">
        <v>0</v>
      </c>
      <c r="T691" t="inlineStr">
        <is>
          <t>AUD</t>
        </is>
      </c>
      <c r="U691" t="n">
        <v>0</v>
      </c>
    </row>
    <row r="692">
      <c r="A692" s="5" t="inlineStr">
        <is>
          <t>01a1212c-5591-7675-89e5-336372b0f459</t>
        </is>
      </c>
      <c r="C692" s="5" t="inlineStr">
        <is>
          <t>01a1212c-4b57-70cf-80fd-c2192cb3bf81</t>
        </is>
      </c>
      <c r="D692" s="4" t="n">
        <v>46304.62402835177</v>
      </c>
      <c r="E692" s="4" t="n">
        <v>46304.62402835185</v>
      </c>
      <c r="F692" t="b">
        <v>1</v>
      </c>
      <c r="G692" t="n">
        <v/>
      </c>
      <c r="H692" t="inlineStr">
        <is>
          <t>WIRE</t>
        </is>
      </c>
      <c r="I692" t="inlineStr">
        <is>
          <t>Global X Copper Miners ETF</t>
        </is>
      </c>
      <c r="J692" t="inlineStr">
        <is>
          <t>AUD</t>
        </is>
      </c>
      <c r="K692" s="5" t="inlineStr">
        <is>
          <t>01a1212c-4c04-75ce-bbb2-e3322e18816e</t>
        </is>
      </c>
      <c r="M692" t="inlineStr">
        <is>
          <t>UNKNOWN</t>
        </is>
      </c>
      <c r="N692" t="inlineStr">
        <is>
          <t>DEFAULT</t>
        </is>
      </c>
      <c r="Q692" t="n">
        <v>0</v>
      </c>
      <c r="R692" t="inlineStr">
        <is>
          <t>AUD</t>
        </is>
      </c>
      <c r="S692" t="n">
        <v>0</v>
      </c>
      <c r="T692" t="inlineStr">
        <is>
          <t>AUD</t>
        </is>
      </c>
      <c r="U692" t="n">
        <v>0</v>
      </c>
    </row>
    <row r="693">
      <c r="A693" s="5" t="inlineStr">
        <is>
          <t>01a1212c-5594-75fe-9fed-7bac4116a1aa</t>
        </is>
      </c>
      <c r="C693" s="5" t="inlineStr">
        <is>
          <t>01a1212c-4b57-70cf-80fd-c2192cb3bf81</t>
        </is>
      </c>
      <c r="D693" s="4" t="n">
        <v>46304.62402838394</v>
      </c>
      <c r="E693" s="4" t="n">
        <v>46304.62402838403</v>
      </c>
      <c r="F693" t="b">
        <v>1</v>
      </c>
      <c r="G693" t="n">
        <v/>
      </c>
      <c r="H693" t="inlineStr">
        <is>
          <t>GVF</t>
        </is>
      </c>
      <c r="I693" t="inlineStr">
        <is>
          <t>Staude Capital Global Value Fund Ltd</t>
        </is>
      </c>
      <c r="J693" t="inlineStr">
        <is>
          <t>AUD</t>
        </is>
      </c>
      <c r="K693" s="5" t="inlineStr">
        <is>
          <t>01a1212c-4c04-75ce-bbb2-e3322e18816e</t>
        </is>
      </c>
      <c r="M693" t="inlineStr">
        <is>
          <t>UNKNOWN</t>
        </is>
      </c>
      <c r="N693" t="inlineStr">
        <is>
          <t>DEFAULT</t>
        </is>
      </c>
      <c r="Q693" t="n">
        <v>0</v>
      </c>
      <c r="R693" t="inlineStr">
        <is>
          <t>AUD</t>
        </is>
      </c>
      <c r="S693" t="n">
        <v>0</v>
      </c>
      <c r="T693" t="inlineStr">
        <is>
          <t>AUD</t>
        </is>
      </c>
      <c r="U693" t="n">
        <v>0</v>
      </c>
    </row>
    <row r="694">
      <c r="A694" s="5" t="inlineStr">
        <is>
          <t>01a1212c-5596-7438-9c67-b7c37943dbe5</t>
        </is>
      </c>
      <c r="C694" s="5" t="inlineStr">
        <is>
          <t>01a1212c-4b57-70cf-80fd-c2192cb3bf81</t>
        </is>
      </c>
      <c r="D694" s="4" t="n">
        <v>46304.62402841439</v>
      </c>
      <c r="E694" s="4" t="n">
        <v>46304.62402841446</v>
      </c>
      <c r="F694" t="b">
        <v>1</v>
      </c>
      <c r="G694" t="n">
        <v/>
      </c>
      <c r="H694" t="inlineStr">
        <is>
          <t>STP</t>
        </is>
      </c>
      <c r="I694" t="inlineStr">
        <is>
          <t>Step One Clothing Ltd</t>
        </is>
      </c>
      <c r="J694" t="inlineStr">
        <is>
          <t>AUD</t>
        </is>
      </c>
      <c r="K694" s="5" t="inlineStr">
        <is>
          <t>01a1212c-4c04-75ce-bbb2-e3322e18816e</t>
        </is>
      </c>
      <c r="M694" t="inlineStr">
        <is>
          <t>UNKNOWN</t>
        </is>
      </c>
      <c r="N694" t="inlineStr">
        <is>
          <t>DEFAULT</t>
        </is>
      </c>
      <c r="Q694" t="n">
        <v>0</v>
      </c>
      <c r="R694" t="inlineStr">
        <is>
          <t>AUD</t>
        </is>
      </c>
      <c r="S694" t="n">
        <v>0</v>
      </c>
      <c r="T694" t="inlineStr">
        <is>
          <t>AUD</t>
        </is>
      </c>
      <c r="U694" t="n">
        <v>0</v>
      </c>
    </row>
    <row r="695">
      <c r="A695" s="5" t="inlineStr">
        <is>
          <t>01a1212c-5599-7556-b42d-4eeefa16f1c6</t>
        </is>
      </c>
      <c r="C695" s="5" t="inlineStr">
        <is>
          <t>01a1212c-4b57-70cf-80fd-c2192cb3bf81</t>
        </is>
      </c>
      <c r="D695" s="4" t="n">
        <v>46304.62402844481</v>
      </c>
      <c r="E695" s="4" t="n">
        <v>46304.62402844489</v>
      </c>
      <c r="F695" t="b">
        <v>1</v>
      </c>
      <c r="G695" t="n">
        <v/>
      </c>
      <c r="H695" t="inlineStr">
        <is>
          <t>VDCO</t>
        </is>
      </c>
      <c r="I695" t="inlineStr">
        <is>
          <t>Vanguard Diversified Conservative INDEX ETF</t>
        </is>
      </c>
      <c r="J695" t="inlineStr">
        <is>
          <t>AUD</t>
        </is>
      </c>
      <c r="K695" s="5" t="inlineStr">
        <is>
          <t>01a1212c-4c04-75ce-bbb2-e3322e18816e</t>
        </is>
      </c>
      <c r="M695" t="inlineStr">
        <is>
          <t>UNIT_TRUST</t>
        </is>
      </c>
      <c r="N695" t="inlineStr">
        <is>
          <t>SUGGESTED</t>
        </is>
      </c>
      <c r="Q695" t="n">
        <v>0</v>
      </c>
      <c r="R695" t="inlineStr">
        <is>
          <t>AUD</t>
        </is>
      </c>
      <c r="S695" t="n">
        <v>0</v>
      </c>
      <c r="T695" t="inlineStr">
        <is>
          <t>AUD</t>
        </is>
      </c>
      <c r="U695" t="n">
        <v>0</v>
      </c>
    </row>
    <row r="696">
      <c r="A696" s="5" t="inlineStr">
        <is>
          <t>01a1212c-559c-74d4-85bf-051a3dec8b02</t>
        </is>
      </c>
      <c r="C696" s="5" t="inlineStr">
        <is>
          <t>01a1212c-4b57-70cf-80fd-c2192cb3bf81</t>
        </is>
      </c>
      <c r="D696" s="4" t="n">
        <v>46304.62402847871</v>
      </c>
      <c r="E696" s="4" t="n">
        <v>46304.62402847879</v>
      </c>
      <c r="F696" t="b">
        <v>1</v>
      </c>
      <c r="G696" t="n">
        <v/>
      </c>
      <c r="H696" t="inlineStr">
        <is>
          <t>NFNG</t>
        </is>
      </c>
      <c r="I696" t="inlineStr">
        <is>
          <t>Nufarm Finance (NZ) Ltd</t>
        </is>
      </c>
      <c r="J696" t="inlineStr">
        <is>
          <t>AUD</t>
        </is>
      </c>
      <c r="K696" s="5" t="inlineStr">
        <is>
          <t>01a1212c-4c04-75ce-bbb2-e3322e18816e</t>
        </is>
      </c>
      <c r="M696" t="inlineStr">
        <is>
          <t>UNKNOWN</t>
        </is>
      </c>
      <c r="N696" t="inlineStr">
        <is>
          <t>DEFAULT</t>
        </is>
      </c>
      <c r="Q696" t="n">
        <v>0</v>
      </c>
      <c r="R696" t="inlineStr">
        <is>
          <t>AUD</t>
        </is>
      </c>
      <c r="S696" t="n">
        <v>0</v>
      </c>
      <c r="T696" t="inlineStr">
        <is>
          <t>AUD</t>
        </is>
      </c>
      <c r="U696" t="n">
        <v>0</v>
      </c>
    </row>
    <row r="697">
      <c r="A697" s="5" t="inlineStr">
        <is>
          <t>01a1212c-559f-74f4-a88c-e8e16204bf34</t>
        </is>
      </c>
      <c r="C697" s="5" t="inlineStr">
        <is>
          <t>01a1212c-4b57-70cf-80fd-c2192cb3bf81</t>
        </is>
      </c>
      <c r="D697" s="4" t="n">
        <v>46304.62402851255</v>
      </c>
      <c r="E697" s="4" t="n">
        <v>46304.62402851268</v>
      </c>
      <c r="F697" t="b">
        <v>1</v>
      </c>
      <c r="G697" t="n">
        <v/>
      </c>
      <c r="H697" t="inlineStr">
        <is>
          <t>CVC</t>
        </is>
      </c>
      <c r="I697" t="inlineStr">
        <is>
          <t>CVC Ltd</t>
        </is>
      </c>
      <c r="J697" t="inlineStr">
        <is>
          <t>AUD</t>
        </is>
      </c>
      <c r="K697" s="5" t="inlineStr">
        <is>
          <t>01a1212c-4c04-75ce-bbb2-e3322e18816e</t>
        </is>
      </c>
      <c r="M697" t="inlineStr">
        <is>
          <t>UNKNOWN</t>
        </is>
      </c>
      <c r="N697" t="inlineStr">
        <is>
          <t>DEFAULT</t>
        </is>
      </c>
      <c r="Q697" t="n">
        <v>0</v>
      </c>
      <c r="R697" t="inlineStr">
        <is>
          <t>AUD</t>
        </is>
      </c>
      <c r="S697" t="n">
        <v>0</v>
      </c>
      <c r="T697" t="inlineStr">
        <is>
          <t>AUD</t>
        </is>
      </c>
      <c r="U697" t="n">
        <v>0</v>
      </c>
    </row>
    <row r="698">
      <c r="A698" s="5" t="inlineStr">
        <is>
          <t>01a1212c-55a2-77f8-9aed-99557a88c90a</t>
        </is>
      </c>
      <c r="C698" s="5" t="inlineStr">
        <is>
          <t>01a1212c-4b57-70cf-80fd-c2192cb3bf81</t>
        </is>
      </c>
      <c r="D698" s="4" t="n">
        <v>46304.62402854389</v>
      </c>
      <c r="E698" s="4" t="n">
        <v>46304.62402854397</v>
      </c>
      <c r="F698" t="b">
        <v>1</v>
      </c>
      <c r="G698" t="n">
        <v/>
      </c>
      <c r="H698" t="inlineStr">
        <is>
          <t>LRV</t>
        </is>
      </c>
      <c r="I698" t="inlineStr">
        <is>
          <t>Larvotto Resources Ltd</t>
        </is>
      </c>
      <c r="J698" t="inlineStr">
        <is>
          <t>AUD</t>
        </is>
      </c>
      <c r="K698" s="5" t="inlineStr">
        <is>
          <t>01a1212c-4c04-75ce-bbb2-e3322e18816e</t>
        </is>
      </c>
      <c r="M698" t="inlineStr">
        <is>
          <t>UNKNOWN</t>
        </is>
      </c>
      <c r="N698" t="inlineStr">
        <is>
          <t>DEFAULT</t>
        </is>
      </c>
      <c r="Q698" t="n">
        <v>0</v>
      </c>
      <c r="R698" t="inlineStr">
        <is>
          <t>AUD</t>
        </is>
      </c>
      <c r="S698" t="n">
        <v>0</v>
      </c>
      <c r="T698" t="inlineStr">
        <is>
          <t>AUD</t>
        </is>
      </c>
      <c r="U698" t="n">
        <v>0</v>
      </c>
    </row>
    <row r="699">
      <c r="A699" s="5" t="inlineStr">
        <is>
          <t>01a1212c-55a4-7339-bca9-423da9acc637</t>
        </is>
      </c>
      <c r="C699" s="5" t="inlineStr">
        <is>
          <t>01a1212c-4b57-70cf-80fd-c2192cb3bf81</t>
        </is>
      </c>
      <c r="D699" s="4" t="n">
        <v>46304.62402857497</v>
      </c>
      <c r="E699" s="4" t="n">
        <v>46304.62402857506</v>
      </c>
      <c r="F699" t="b">
        <v>1</v>
      </c>
      <c r="G699" t="n">
        <v/>
      </c>
      <c r="H699" t="inlineStr">
        <is>
          <t>MVB</t>
        </is>
      </c>
      <c r="I699" t="inlineStr">
        <is>
          <t>Vaneck Australian Banks ETF</t>
        </is>
      </c>
      <c r="J699" t="inlineStr">
        <is>
          <t>AUD</t>
        </is>
      </c>
      <c r="K699" s="5" t="inlineStr">
        <is>
          <t>01a1212c-4c04-75ce-bbb2-e3322e18816e</t>
        </is>
      </c>
      <c r="M699" t="inlineStr">
        <is>
          <t>UNKNOWN</t>
        </is>
      </c>
      <c r="N699" t="inlineStr">
        <is>
          <t>DEFAULT</t>
        </is>
      </c>
      <c r="Q699" t="n">
        <v>0</v>
      </c>
      <c r="R699" t="inlineStr">
        <is>
          <t>AUD</t>
        </is>
      </c>
      <c r="S699" t="n">
        <v>0</v>
      </c>
      <c r="T699" t="inlineStr">
        <is>
          <t>AUD</t>
        </is>
      </c>
      <c r="U699" t="n">
        <v>0</v>
      </c>
    </row>
    <row r="700">
      <c r="A700" s="5" t="inlineStr">
        <is>
          <t>01a1212c-55a7-75cd-8c5b-d960930e58b1</t>
        </is>
      </c>
      <c r="C700" s="5" t="inlineStr">
        <is>
          <t>01a1212c-4b57-70cf-80fd-c2192cb3bf81</t>
        </is>
      </c>
      <c r="D700" s="4" t="n">
        <v>46304.62402860743</v>
      </c>
      <c r="E700" s="4" t="n">
        <v>46304.62402860753</v>
      </c>
      <c r="F700" t="b">
        <v>1</v>
      </c>
      <c r="G700" t="n">
        <v/>
      </c>
      <c r="H700" t="inlineStr">
        <is>
          <t>TVN</t>
        </is>
      </c>
      <c r="I700" t="inlineStr">
        <is>
          <t>Tivan Ltd</t>
        </is>
      </c>
      <c r="J700" t="inlineStr">
        <is>
          <t>AUD</t>
        </is>
      </c>
      <c r="K700" s="5" t="inlineStr">
        <is>
          <t>01a1212c-4c04-75ce-bbb2-e3322e18816e</t>
        </is>
      </c>
      <c r="M700" t="inlineStr">
        <is>
          <t>UNKNOWN</t>
        </is>
      </c>
      <c r="N700" t="inlineStr">
        <is>
          <t>DEFAULT</t>
        </is>
      </c>
      <c r="Q700" t="n">
        <v>0</v>
      </c>
      <c r="R700" t="inlineStr">
        <is>
          <t>AUD</t>
        </is>
      </c>
      <c r="S700" t="n">
        <v>0</v>
      </c>
      <c r="T700" t="inlineStr">
        <is>
          <t>AUD</t>
        </is>
      </c>
      <c r="U700" t="n">
        <v>0</v>
      </c>
    </row>
    <row r="701">
      <c r="A701" s="5" t="inlineStr">
        <is>
          <t>01a1212c-55aa-7212-90ba-9efd77d9c781</t>
        </is>
      </c>
      <c r="C701" s="5" t="inlineStr">
        <is>
          <t>01a1212c-4b57-70cf-80fd-c2192cb3bf81</t>
        </is>
      </c>
      <c r="D701" s="4" t="n">
        <v>46304.62402863965</v>
      </c>
      <c r="E701" s="4" t="n">
        <v>46304.62402863974</v>
      </c>
      <c r="F701" t="b">
        <v>1</v>
      </c>
      <c r="G701" t="n">
        <v/>
      </c>
      <c r="H701" t="inlineStr">
        <is>
          <t>TLG</t>
        </is>
      </c>
      <c r="I701" t="inlineStr">
        <is>
          <t>Talga Group Ltd</t>
        </is>
      </c>
      <c r="J701" t="inlineStr">
        <is>
          <t>AUD</t>
        </is>
      </c>
      <c r="K701" s="5" t="inlineStr">
        <is>
          <t>01a1212c-4c04-75ce-bbb2-e3322e18816e</t>
        </is>
      </c>
      <c r="M701" t="inlineStr">
        <is>
          <t>UNKNOWN</t>
        </is>
      </c>
      <c r="N701" t="inlineStr">
        <is>
          <t>DEFAULT</t>
        </is>
      </c>
      <c r="Q701" t="n">
        <v>0</v>
      </c>
      <c r="R701" t="inlineStr">
        <is>
          <t>AUD</t>
        </is>
      </c>
      <c r="S701" t="n">
        <v>0</v>
      </c>
      <c r="T701" t="inlineStr">
        <is>
          <t>AUD</t>
        </is>
      </c>
      <c r="U701" t="n">
        <v>0</v>
      </c>
    </row>
    <row r="702">
      <c r="A702" s="5" t="inlineStr">
        <is>
          <t>01a1212c-55ad-7434-b1b6-93f16bf05ea8</t>
        </is>
      </c>
      <c r="C702" s="5" t="inlineStr">
        <is>
          <t>01a1212c-4b57-70cf-80fd-c2192cb3bf81</t>
        </is>
      </c>
      <c r="D702" s="4" t="n">
        <v>46304.62402867422</v>
      </c>
      <c r="E702" s="4" t="n">
        <v>46304.62402867432</v>
      </c>
      <c r="F702" t="b">
        <v>1</v>
      </c>
      <c r="G702" t="n">
        <v/>
      </c>
      <c r="H702" t="inlineStr">
        <is>
          <t>CRYP</t>
        </is>
      </c>
      <c r="I702" t="inlineStr">
        <is>
          <t>Betashares CRYPTO Innovators ETF</t>
        </is>
      </c>
      <c r="J702" t="inlineStr">
        <is>
          <t>AUD</t>
        </is>
      </c>
      <c r="K702" s="5" t="inlineStr">
        <is>
          <t>01a1212c-4c04-75ce-bbb2-e3322e18816e</t>
        </is>
      </c>
      <c r="M702" t="inlineStr">
        <is>
          <t>UNKNOWN</t>
        </is>
      </c>
      <c r="N702" t="inlineStr">
        <is>
          <t>DEFAULT</t>
        </is>
      </c>
      <c r="Q702" t="n">
        <v>0</v>
      </c>
      <c r="R702" t="inlineStr">
        <is>
          <t>AUD</t>
        </is>
      </c>
      <c r="S702" t="n">
        <v>0</v>
      </c>
      <c r="T702" t="inlineStr">
        <is>
          <t>AUD</t>
        </is>
      </c>
      <c r="U702" t="n">
        <v>0</v>
      </c>
    </row>
    <row r="703">
      <c r="A703" s="5" t="inlineStr">
        <is>
          <t>01a1212c-55b0-72f8-9664-3be241a0f06f</t>
        </is>
      </c>
      <c r="C703" s="5" t="inlineStr">
        <is>
          <t>01a1212c-4b57-70cf-80fd-c2192cb3bf81</t>
        </is>
      </c>
      <c r="D703" s="4" t="n">
        <v>46304.62402870618</v>
      </c>
      <c r="E703" s="4" t="n">
        <v>46304.62402870628</v>
      </c>
      <c r="F703" t="b">
        <v>1</v>
      </c>
      <c r="G703" t="n">
        <v/>
      </c>
      <c r="H703" t="inlineStr">
        <is>
          <t>EOS</t>
        </is>
      </c>
      <c r="I703" t="inlineStr">
        <is>
          <t>Electro Optic Systems Holdings Ltd</t>
        </is>
      </c>
      <c r="J703" t="inlineStr">
        <is>
          <t>AUD</t>
        </is>
      </c>
      <c r="K703" s="5" t="inlineStr">
        <is>
          <t>01a1212c-4c04-75ce-bbb2-e3322e18816e</t>
        </is>
      </c>
      <c r="M703" t="inlineStr">
        <is>
          <t>UNKNOWN</t>
        </is>
      </c>
      <c r="N703" t="inlineStr">
        <is>
          <t>DEFAULT</t>
        </is>
      </c>
      <c r="Q703" t="n">
        <v>0</v>
      </c>
      <c r="R703" t="inlineStr">
        <is>
          <t>AUD</t>
        </is>
      </c>
      <c r="S703" t="n">
        <v>0</v>
      </c>
      <c r="T703" t="inlineStr">
        <is>
          <t>AUD</t>
        </is>
      </c>
      <c r="U703" t="n">
        <v>0</v>
      </c>
    </row>
    <row r="704">
      <c r="A704" s="5" t="inlineStr">
        <is>
          <t>01a1212c-55b2-778e-92b1-903b9df8524b</t>
        </is>
      </c>
      <c r="C704" s="5" t="inlineStr">
        <is>
          <t>01a1212c-4b57-70cf-80fd-c2192cb3bf81</t>
        </is>
      </c>
      <c r="D704" s="4" t="n">
        <v>46304.62402873747</v>
      </c>
      <c r="E704" s="4" t="n">
        <v>46304.62402873755</v>
      </c>
      <c r="F704" t="b">
        <v>1</v>
      </c>
      <c r="G704" t="n">
        <v/>
      </c>
      <c r="H704" t="inlineStr">
        <is>
          <t>TBR</t>
        </is>
      </c>
      <c r="I704" t="inlineStr">
        <is>
          <t>Tribune Resources Ltd</t>
        </is>
      </c>
      <c r="J704" t="inlineStr">
        <is>
          <t>AUD</t>
        </is>
      </c>
      <c r="K704" s="5" t="inlineStr">
        <is>
          <t>01a1212c-4c04-75ce-bbb2-e3322e18816e</t>
        </is>
      </c>
      <c r="M704" t="inlineStr">
        <is>
          <t>UNKNOWN</t>
        </is>
      </c>
      <c r="N704" t="inlineStr">
        <is>
          <t>DEFAULT</t>
        </is>
      </c>
      <c r="Q704" t="n">
        <v>0</v>
      </c>
      <c r="R704" t="inlineStr">
        <is>
          <t>AUD</t>
        </is>
      </c>
      <c r="S704" t="n">
        <v>0</v>
      </c>
      <c r="T704" t="inlineStr">
        <is>
          <t>AUD</t>
        </is>
      </c>
      <c r="U704" t="n">
        <v>0</v>
      </c>
    </row>
    <row r="705">
      <c r="A705" s="5" t="inlineStr">
        <is>
          <t>01a1212c-55b5-7113-b7cf-b558edf2d9e5</t>
        </is>
      </c>
      <c r="C705" s="5" t="inlineStr">
        <is>
          <t>01a1212c-4b57-70cf-80fd-c2192cb3bf81</t>
        </is>
      </c>
      <c r="D705" s="4" t="n">
        <v>46304.62402876878</v>
      </c>
      <c r="E705" s="4" t="n">
        <v>46304.62402876886</v>
      </c>
      <c r="F705" t="b">
        <v>1</v>
      </c>
      <c r="G705" t="n">
        <v/>
      </c>
      <c r="H705" t="inlineStr">
        <is>
          <t>PIXX</t>
        </is>
      </c>
      <c r="I705" t="inlineStr">
        <is>
          <t>Platinum International Fund (Quoted Managed Hedge Fund)</t>
        </is>
      </c>
      <c r="J705" t="inlineStr">
        <is>
          <t>AUD</t>
        </is>
      </c>
      <c r="K705" s="5" t="inlineStr">
        <is>
          <t>01a1212c-4c04-75ce-bbb2-e3322e18816e</t>
        </is>
      </c>
      <c r="M705" t="inlineStr">
        <is>
          <t>UNKNOWN</t>
        </is>
      </c>
      <c r="N705" t="inlineStr">
        <is>
          <t>DEFAULT</t>
        </is>
      </c>
      <c r="Q705" t="n">
        <v>0</v>
      </c>
      <c r="R705" t="inlineStr">
        <is>
          <t>AUD</t>
        </is>
      </c>
      <c r="S705" t="n">
        <v>0</v>
      </c>
      <c r="T705" t="inlineStr">
        <is>
          <t>AUD</t>
        </is>
      </c>
      <c r="U705" t="n">
        <v>0</v>
      </c>
    </row>
    <row r="706">
      <c r="A706" s="5" t="inlineStr">
        <is>
          <t>01a1212c-55b8-758a-a5e2-de6156e236e8</t>
        </is>
      </c>
      <c r="C706" s="5" t="inlineStr">
        <is>
          <t>01a1212c-4b57-70cf-80fd-c2192cb3bf81</t>
        </is>
      </c>
      <c r="D706" s="4" t="n">
        <v>46304.62402880145</v>
      </c>
      <c r="E706" s="4" t="n">
        <v>46304.62402880153</v>
      </c>
      <c r="F706" t="b">
        <v>1</v>
      </c>
      <c r="G706" t="n">
        <v/>
      </c>
      <c r="H706" t="inlineStr">
        <is>
          <t>CVN</t>
        </is>
      </c>
      <c r="I706" t="inlineStr">
        <is>
          <t>Carnarvon Energy Ltd</t>
        </is>
      </c>
      <c r="J706" t="inlineStr">
        <is>
          <t>AUD</t>
        </is>
      </c>
      <c r="K706" s="5" t="inlineStr">
        <is>
          <t>01a1212c-4c04-75ce-bbb2-e3322e18816e</t>
        </is>
      </c>
      <c r="M706" t="inlineStr">
        <is>
          <t>UNKNOWN</t>
        </is>
      </c>
      <c r="N706" t="inlineStr">
        <is>
          <t>DEFAULT</t>
        </is>
      </c>
      <c r="Q706" t="n">
        <v>0</v>
      </c>
      <c r="R706" t="inlineStr">
        <is>
          <t>AUD</t>
        </is>
      </c>
      <c r="S706" t="n">
        <v>0</v>
      </c>
      <c r="T706" t="inlineStr">
        <is>
          <t>AUD</t>
        </is>
      </c>
      <c r="U706" t="n">
        <v>0</v>
      </c>
    </row>
    <row r="707">
      <c r="A707" s="5" t="inlineStr">
        <is>
          <t>01a1212c-55bb-700f-8d7a-4352efcad24c</t>
        </is>
      </c>
      <c r="C707" s="5" t="inlineStr">
        <is>
          <t>01a1212c-4b57-70cf-80fd-c2192cb3bf81</t>
        </is>
      </c>
      <c r="D707" s="4" t="n">
        <v>46304.62402883566</v>
      </c>
      <c r="E707" s="4" t="n">
        <v>46304.62402883575</v>
      </c>
      <c r="F707" t="b">
        <v>1</v>
      </c>
      <c r="G707" t="n">
        <v/>
      </c>
      <c r="H707" t="inlineStr">
        <is>
          <t>IIND</t>
        </is>
      </c>
      <c r="I707" t="inlineStr">
        <is>
          <t>Betashares India Quality ETF</t>
        </is>
      </c>
      <c r="J707" t="inlineStr">
        <is>
          <t>AUD</t>
        </is>
      </c>
      <c r="K707" s="5" t="inlineStr">
        <is>
          <t>01a1212c-4c04-75ce-bbb2-e3322e18816e</t>
        </is>
      </c>
      <c r="M707" t="inlineStr">
        <is>
          <t>UNKNOWN</t>
        </is>
      </c>
      <c r="N707" t="inlineStr">
        <is>
          <t>DEFAULT</t>
        </is>
      </c>
      <c r="Q707" t="n">
        <v>0</v>
      </c>
      <c r="R707" t="inlineStr">
        <is>
          <t>AUD</t>
        </is>
      </c>
      <c r="S707" t="n">
        <v>0</v>
      </c>
      <c r="T707" t="inlineStr">
        <is>
          <t>AUD</t>
        </is>
      </c>
      <c r="U707" t="n">
        <v>0</v>
      </c>
    </row>
    <row r="708">
      <c r="A708" s="5" t="inlineStr">
        <is>
          <t>01a1212c-55be-74a4-b360-e9e5be75af6a</t>
        </is>
      </c>
      <c r="C708" s="5" t="inlineStr">
        <is>
          <t>01a1212c-4b57-70cf-80fd-c2192cb3bf81</t>
        </is>
      </c>
      <c r="D708" s="4" t="n">
        <v>46304.62402886699</v>
      </c>
      <c r="E708" s="4" t="n">
        <v>46304.62402886707</v>
      </c>
      <c r="F708" t="b">
        <v>1</v>
      </c>
      <c r="G708" t="n">
        <v/>
      </c>
      <c r="H708" t="inlineStr">
        <is>
          <t>LGL</t>
        </is>
      </c>
      <c r="I708" t="inlineStr">
        <is>
          <t>Lynch Group Holdings Ltd</t>
        </is>
      </c>
      <c r="J708" t="inlineStr">
        <is>
          <t>AUD</t>
        </is>
      </c>
      <c r="K708" s="5" t="inlineStr">
        <is>
          <t>01a1212c-4c04-75ce-bbb2-e3322e18816e</t>
        </is>
      </c>
      <c r="M708" t="inlineStr">
        <is>
          <t>UNKNOWN</t>
        </is>
      </c>
      <c r="N708" t="inlineStr">
        <is>
          <t>DEFAULT</t>
        </is>
      </c>
      <c r="Q708" t="n">
        <v>0</v>
      </c>
      <c r="R708" t="inlineStr">
        <is>
          <t>AUD</t>
        </is>
      </c>
      <c r="S708" t="n">
        <v>0</v>
      </c>
      <c r="T708" t="inlineStr">
        <is>
          <t>AUD</t>
        </is>
      </c>
      <c r="U708" t="n">
        <v>0</v>
      </c>
    </row>
    <row r="709">
      <c r="A709" s="5" t="inlineStr">
        <is>
          <t>01a1212c-55c0-7715-9058-2b07f8ab0ecb</t>
        </is>
      </c>
      <c r="C709" s="5" t="inlineStr">
        <is>
          <t>01a1212c-4b57-70cf-80fd-c2192cb3bf81</t>
        </is>
      </c>
      <c r="D709" s="4" t="n">
        <v>46304.62402889757</v>
      </c>
      <c r="E709" s="4" t="n">
        <v>46304.62402889764</v>
      </c>
      <c r="F709" t="b">
        <v>1</v>
      </c>
      <c r="G709" t="n">
        <v/>
      </c>
      <c r="H709" t="inlineStr">
        <is>
          <t>ONE</t>
        </is>
      </c>
      <c r="I709" t="inlineStr">
        <is>
          <t>Oneview Healthcare Plc</t>
        </is>
      </c>
      <c r="J709" t="inlineStr">
        <is>
          <t>AUD</t>
        </is>
      </c>
      <c r="K709" s="5" t="inlineStr">
        <is>
          <t>01a1212c-4c04-75ce-bbb2-e3322e18816e</t>
        </is>
      </c>
      <c r="M709" t="inlineStr">
        <is>
          <t>UNKNOWN</t>
        </is>
      </c>
      <c r="N709" t="inlineStr">
        <is>
          <t>DEFAULT</t>
        </is>
      </c>
      <c r="Q709" t="n">
        <v>0</v>
      </c>
      <c r="R709" t="inlineStr">
        <is>
          <t>AUD</t>
        </is>
      </c>
      <c r="S709" t="n">
        <v>0</v>
      </c>
      <c r="T709" t="inlineStr">
        <is>
          <t>AUD</t>
        </is>
      </c>
      <c r="U709" t="n">
        <v>0</v>
      </c>
    </row>
    <row r="710">
      <c r="A710" s="5" t="inlineStr">
        <is>
          <t>01a1212c-55c3-75aa-9a7d-b7843864e8c7</t>
        </is>
      </c>
      <c r="C710" s="5" t="inlineStr">
        <is>
          <t>01a1212c-4b57-70cf-80fd-c2192cb3bf81</t>
        </is>
      </c>
      <c r="D710" s="4" t="n">
        <v>46304.62402892824</v>
      </c>
      <c r="E710" s="4" t="n">
        <v>46304.62402892832</v>
      </c>
      <c r="F710" t="b">
        <v>1</v>
      </c>
      <c r="G710" t="n">
        <v/>
      </c>
      <c r="H710" t="inlineStr">
        <is>
          <t>GLDN</t>
        </is>
      </c>
      <c r="I710" t="inlineStr">
        <is>
          <t>Ishares Physical Gold ETF</t>
        </is>
      </c>
      <c r="J710" t="inlineStr">
        <is>
          <t>AUD</t>
        </is>
      </c>
      <c r="K710" s="5" t="inlineStr">
        <is>
          <t>01a1212c-4c04-75ce-bbb2-e3322e18816e</t>
        </is>
      </c>
      <c r="M710" t="inlineStr">
        <is>
          <t>UNKNOWN</t>
        </is>
      </c>
      <c r="N710" t="inlineStr">
        <is>
          <t>DEFAULT</t>
        </is>
      </c>
      <c r="Q710" t="n">
        <v>0</v>
      </c>
      <c r="R710" t="inlineStr">
        <is>
          <t>AUD</t>
        </is>
      </c>
      <c r="S710" t="n">
        <v>0</v>
      </c>
      <c r="T710" t="inlineStr">
        <is>
          <t>AUD</t>
        </is>
      </c>
      <c r="U710" t="n">
        <v>0</v>
      </c>
    </row>
    <row r="711">
      <c r="A711" s="5" t="inlineStr">
        <is>
          <t>01a1212c-55c6-7346-a833-13ac232087df</t>
        </is>
      </c>
      <c r="C711" s="5" t="inlineStr">
        <is>
          <t>01a1212c-4b57-70cf-80fd-c2192cb3bf81</t>
        </is>
      </c>
      <c r="D711" s="4" t="n">
        <v>46304.62402896079</v>
      </c>
      <c r="E711" s="4" t="n">
        <v>46304.62402896087</v>
      </c>
      <c r="F711" t="b">
        <v>1</v>
      </c>
      <c r="G711" t="n">
        <v/>
      </c>
      <c r="H711" t="inlineStr">
        <is>
          <t>GGOV</t>
        </is>
      </c>
      <c r="I711" t="inlineStr">
        <is>
          <t>Betashares US Treasury Bond 20+YR ETF - CCY Hedged</t>
        </is>
      </c>
      <c r="J711" t="inlineStr">
        <is>
          <t>AUD</t>
        </is>
      </c>
      <c r="K711" s="5" t="inlineStr">
        <is>
          <t>01a1212c-4c04-75ce-bbb2-e3322e18816e</t>
        </is>
      </c>
      <c r="M711" t="inlineStr">
        <is>
          <t>UNKNOWN</t>
        </is>
      </c>
      <c r="N711" t="inlineStr">
        <is>
          <t>DEFAULT</t>
        </is>
      </c>
      <c r="Q711" t="n">
        <v>0</v>
      </c>
      <c r="R711" t="inlineStr">
        <is>
          <t>AUD</t>
        </is>
      </c>
      <c r="S711" t="n">
        <v>0</v>
      </c>
      <c r="T711" t="inlineStr">
        <is>
          <t>AUD</t>
        </is>
      </c>
      <c r="U711" t="n">
        <v>0</v>
      </c>
    </row>
    <row r="712">
      <c r="A712" s="5" t="inlineStr">
        <is>
          <t>01a1212c-55c8-73dc-8aad-8cf50274ef90</t>
        </is>
      </c>
      <c r="C712" s="5" t="inlineStr">
        <is>
          <t>01a1212c-4b57-70cf-80fd-c2192cb3bf81</t>
        </is>
      </c>
      <c r="D712" s="4" t="n">
        <v>46304.62402899154</v>
      </c>
      <c r="E712" s="4" t="n">
        <v>46304.62402899161</v>
      </c>
      <c r="F712" t="b">
        <v>1</v>
      </c>
      <c r="G712" t="n">
        <v/>
      </c>
      <c r="H712" t="inlineStr">
        <is>
          <t>FND</t>
        </is>
      </c>
      <c r="I712" t="inlineStr">
        <is>
          <t>Findi Ltd</t>
        </is>
      </c>
      <c r="J712" t="inlineStr">
        <is>
          <t>AUD</t>
        </is>
      </c>
      <c r="K712" s="5" t="inlineStr">
        <is>
          <t>01a1212c-4c04-75ce-bbb2-e3322e18816e</t>
        </is>
      </c>
      <c r="M712" t="inlineStr">
        <is>
          <t>UNKNOWN</t>
        </is>
      </c>
      <c r="N712" t="inlineStr">
        <is>
          <t>DEFAULT</t>
        </is>
      </c>
      <c r="Q712" t="n">
        <v>0</v>
      </c>
      <c r="R712" t="inlineStr">
        <is>
          <t>AUD</t>
        </is>
      </c>
      <c r="S712" t="n">
        <v>0</v>
      </c>
      <c r="T712" t="inlineStr">
        <is>
          <t>AUD</t>
        </is>
      </c>
      <c r="U712" t="n">
        <v>0</v>
      </c>
    </row>
    <row r="713">
      <c r="A713" s="5" t="inlineStr">
        <is>
          <t>01a1212c-55cb-7700-8e77-e1c490d82851</t>
        </is>
      </c>
      <c r="C713" s="5" t="inlineStr">
        <is>
          <t>01a1212c-4b57-70cf-80fd-c2192cb3bf81</t>
        </is>
      </c>
      <c r="D713" s="4" t="n">
        <v>46304.62402902296</v>
      </c>
      <c r="E713" s="4" t="n">
        <v>46304.62402902303</v>
      </c>
      <c r="F713" t="b">
        <v>1</v>
      </c>
      <c r="G713" t="n">
        <v/>
      </c>
      <c r="H713" t="inlineStr">
        <is>
          <t>EOL</t>
        </is>
      </c>
      <c r="I713" t="inlineStr">
        <is>
          <t>Energy One Ltd</t>
        </is>
      </c>
      <c r="J713" t="inlineStr">
        <is>
          <t>AUD</t>
        </is>
      </c>
      <c r="K713" s="5" t="inlineStr">
        <is>
          <t>01a1212c-4c04-75ce-bbb2-e3322e18816e</t>
        </is>
      </c>
      <c r="M713" t="inlineStr">
        <is>
          <t>UNKNOWN</t>
        </is>
      </c>
      <c r="N713" t="inlineStr">
        <is>
          <t>DEFAULT</t>
        </is>
      </c>
      <c r="Q713" t="n">
        <v>0</v>
      </c>
      <c r="R713" t="inlineStr">
        <is>
          <t>AUD</t>
        </is>
      </c>
      <c r="S713" t="n">
        <v>0</v>
      </c>
      <c r="T713" t="inlineStr">
        <is>
          <t>AUD</t>
        </is>
      </c>
      <c r="U713" t="n">
        <v>0</v>
      </c>
    </row>
    <row r="714">
      <c r="A714" s="5" t="inlineStr">
        <is>
          <t>01a1212c-55ce-7431-bb0c-f7d56f9b46a8</t>
        </is>
      </c>
      <c r="C714" s="5" t="inlineStr">
        <is>
          <t>01a1212c-4b57-70cf-80fd-c2192cb3bf81</t>
        </is>
      </c>
      <c r="D714" s="4" t="n">
        <v>46304.62402905323</v>
      </c>
      <c r="E714" s="4" t="n">
        <v>46304.62402905331</v>
      </c>
      <c r="F714" t="b">
        <v>1</v>
      </c>
      <c r="G714" t="n">
        <v/>
      </c>
      <c r="H714" t="inlineStr">
        <is>
          <t>RAC</t>
        </is>
      </c>
      <c r="I714" t="inlineStr">
        <is>
          <t>Race Oncology Ltd</t>
        </is>
      </c>
      <c r="J714" t="inlineStr">
        <is>
          <t>AUD</t>
        </is>
      </c>
      <c r="K714" s="5" t="inlineStr">
        <is>
          <t>01a1212c-4c04-75ce-bbb2-e3322e18816e</t>
        </is>
      </c>
      <c r="M714" t="inlineStr">
        <is>
          <t>UNKNOWN</t>
        </is>
      </c>
      <c r="N714" t="inlineStr">
        <is>
          <t>DEFAULT</t>
        </is>
      </c>
      <c r="Q714" t="n">
        <v>0</v>
      </c>
      <c r="R714" t="inlineStr">
        <is>
          <t>AUD</t>
        </is>
      </c>
      <c r="S714" t="n">
        <v>0</v>
      </c>
      <c r="T714" t="inlineStr">
        <is>
          <t>AUD</t>
        </is>
      </c>
      <c r="U714" t="n">
        <v>0</v>
      </c>
    </row>
    <row r="715">
      <c r="A715" s="5" t="inlineStr">
        <is>
          <t>01a1212c-55d0-7192-a44d-8b6e65c9f961</t>
        </is>
      </c>
      <c r="C715" s="5" t="inlineStr">
        <is>
          <t>01a1212c-4b57-70cf-80fd-c2192cb3bf81</t>
        </is>
      </c>
      <c r="D715" s="4" t="n">
        <v>46304.62402908674</v>
      </c>
      <c r="E715" s="4" t="n">
        <v>46304.62402908682</v>
      </c>
      <c r="F715" t="b">
        <v>1</v>
      </c>
      <c r="G715" t="n">
        <v/>
      </c>
      <c r="H715" t="inlineStr">
        <is>
          <t>IHHY</t>
        </is>
      </c>
      <c r="I715" t="inlineStr">
        <is>
          <t>Ishares Global High Yield Bond (Aud Hedged) ETF</t>
        </is>
      </c>
      <c r="J715" t="inlineStr">
        <is>
          <t>AUD</t>
        </is>
      </c>
      <c r="K715" s="5" t="inlineStr">
        <is>
          <t>01a1212c-4c04-75ce-bbb2-e3322e18816e</t>
        </is>
      </c>
      <c r="M715" t="inlineStr">
        <is>
          <t>UNKNOWN</t>
        </is>
      </c>
      <c r="N715" t="inlineStr">
        <is>
          <t>DEFAULT</t>
        </is>
      </c>
      <c r="Q715" t="n">
        <v>0</v>
      </c>
      <c r="R715" t="inlineStr">
        <is>
          <t>AUD</t>
        </is>
      </c>
      <c r="S715" t="n">
        <v>0</v>
      </c>
      <c r="T715" t="inlineStr">
        <is>
          <t>AUD</t>
        </is>
      </c>
      <c r="U715" t="n">
        <v>0</v>
      </c>
    </row>
    <row r="716">
      <c r="A716" s="5" t="inlineStr">
        <is>
          <t>01a1212c-55d3-7274-b98c-c2a1826f30bd</t>
        </is>
      </c>
      <c r="C716" s="5" t="inlineStr">
        <is>
          <t>01a1212c-4b57-70cf-80fd-c2192cb3bf81</t>
        </is>
      </c>
      <c r="D716" s="4" t="n">
        <v>46304.62402911741</v>
      </c>
      <c r="E716" s="4" t="n">
        <v>46304.62402911749</v>
      </c>
      <c r="F716" t="b">
        <v>1</v>
      </c>
      <c r="G716" t="n">
        <v/>
      </c>
      <c r="H716" t="inlineStr">
        <is>
          <t>GRX</t>
        </is>
      </c>
      <c r="I716" t="inlineStr">
        <is>
          <t>Greenx Metals Ltd</t>
        </is>
      </c>
      <c r="J716" t="inlineStr">
        <is>
          <t>AUD</t>
        </is>
      </c>
      <c r="K716" s="5" t="inlineStr">
        <is>
          <t>01a1212c-4c04-75ce-bbb2-e3322e18816e</t>
        </is>
      </c>
      <c r="M716" t="inlineStr">
        <is>
          <t>UNKNOWN</t>
        </is>
      </c>
      <c r="N716" t="inlineStr">
        <is>
          <t>DEFAULT</t>
        </is>
      </c>
      <c r="Q716" t="n">
        <v>0</v>
      </c>
      <c r="R716" t="inlineStr">
        <is>
          <t>AUD</t>
        </is>
      </c>
      <c r="S716" t="n">
        <v>0</v>
      </c>
      <c r="T716" t="inlineStr">
        <is>
          <t>AUD</t>
        </is>
      </c>
      <c r="U716" t="n">
        <v>0</v>
      </c>
    </row>
    <row r="717">
      <c r="A717" s="5" t="inlineStr">
        <is>
          <t>01a1212c-55d6-71df-b806-3c6bdb89eeb7</t>
        </is>
      </c>
      <c r="C717" s="5" t="inlineStr">
        <is>
          <t>01a1212c-4b57-70cf-80fd-c2192cb3bf81</t>
        </is>
      </c>
      <c r="D717" s="4" t="n">
        <v>46304.62402914772</v>
      </c>
      <c r="E717" s="4" t="n">
        <v>46304.6240291478</v>
      </c>
      <c r="F717" t="b">
        <v>1</v>
      </c>
      <c r="G717" t="n">
        <v/>
      </c>
      <c r="H717" t="inlineStr">
        <is>
          <t>VYS</t>
        </is>
      </c>
      <c r="I717" t="inlineStr">
        <is>
          <t>Vysarn Ltd</t>
        </is>
      </c>
      <c r="J717" t="inlineStr">
        <is>
          <t>AUD</t>
        </is>
      </c>
      <c r="K717" s="5" t="inlineStr">
        <is>
          <t>01a1212c-4c04-75ce-bbb2-e3322e18816e</t>
        </is>
      </c>
      <c r="M717" t="inlineStr">
        <is>
          <t>UNKNOWN</t>
        </is>
      </c>
      <c r="N717" t="inlineStr">
        <is>
          <t>DEFAULT</t>
        </is>
      </c>
      <c r="Q717" t="n">
        <v>0</v>
      </c>
      <c r="R717" t="inlineStr">
        <is>
          <t>AUD</t>
        </is>
      </c>
      <c r="S717" t="n">
        <v>0</v>
      </c>
      <c r="T717" t="inlineStr">
        <is>
          <t>AUD</t>
        </is>
      </c>
      <c r="U717" t="n">
        <v>0</v>
      </c>
    </row>
    <row r="718">
      <c r="A718" s="5" t="inlineStr">
        <is>
          <t>01a1212c-55d9-767b-b5d6-2cb121859193</t>
        </is>
      </c>
      <c r="C718" s="5" t="inlineStr">
        <is>
          <t>01a1212c-4b57-70cf-80fd-c2192cb3bf81</t>
        </is>
      </c>
      <c r="D718" s="4" t="n">
        <v>46304.62402918076</v>
      </c>
      <c r="E718" s="4" t="n">
        <v>46304.62402918084</v>
      </c>
      <c r="F718" t="b">
        <v>1</v>
      </c>
      <c r="G718" t="n">
        <v/>
      </c>
      <c r="H718" t="inlineStr">
        <is>
          <t>RGB</t>
        </is>
      </c>
      <c r="I718" t="inlineStr">
        <is>
          <t>Russell Investments Australian Government Bond ETF</t>
        </is>
      </c>
      <c r="J718" t="inlineStr">
        <is>
          <t>AUD</t>
        </is>
      </c>
      <c r="K718" s="5" t="inlineStr">
        <is>
          <t>01a1212c-4c04-75ce-bbb2-e3322e18816e</t>
        </is>
      </c>
      <c r="M718" t="inlineStr">
        <is>
          <t>UNKNOWN</t>
        </is>
      </c>
      <c r="N718" t="inlineStr">
        <is>
          <t>DEFAULT</t>
        </is>
      </c>
      <c r="Q718" t="n">
        <v>0</v>
      </c>
      <c r="R718" t="inlineStr">
        <is>
          <t>AUD</t>
        </is>
      </c>
      <c r="S718" t="n">
        <v>0</v>
      </c>
      <c r="T718" t="inlineStr">
        <is>
          <t>AUD</t>
        </is>
      </c>
      <c r="U718" t="n">
        <v>0</v>
      </c>
    </row>
    <row r="719">
      <c r="A719" s="5" t="inlineStr">
        <is>
          <t>01a1212c-55db-7420-9d9e-67c93a1440c5</t>
        </is>
      </c>
      <c r="C719" s="5" t="inlineStr">
        <is>
          <t>01a1212c-4b57-70cf-80fd-c2192cb3bf81</t>
        </is>
      </c>
      <c r="D719" s="4" t="n">
        <v>46304.62402921166</v>
      </c>
      <c r="E719" s="4" t="n">
        <v>46304.62402921172</v>
      </c>
      <c r="F719" t="b">
        <v>1</v>
      </c>
      <c r="G719" t="n">
        <v/>
      </c>
      <c r="H719" t="inlineStr">
        <is>
          <t>ART</t>
        </is>
      </c>
      <c r="I719" t="inlineStr">
        <is>
          <t>Airtasker Ltd</t>
        </is>
      </c>
      <c r="J719" t="inlineStr">
        <is>
          <t>AUD</t>
        </is>
      </c>
      <c r="K719" s="5" t="inlineStr">
        <is>
          <t>01a1212c-4c04-75ce-bbb2-e3322e18816e</t>
        </is>
      </c>
      <c r="M719" t="inlineStr">
        <is>
          <t>UNKNOWN</t>
        </is>
      </c>
      <c r="N719" t="inlineStr">
        <is>
          <t>DEFAULT</t>
        </is>
      </c>
      <c r="Q719" t="n">
        <v>0</v>
      </c>
      <c r="R719" t="inlineStr">
        <is>
          <t>AUD</t>
        </is>
      </c>
      <c r="S719" t="n">
        <v>0</v>
      </c>
      <c r="T719" t="inlineStr">
        <is>
          <t>AUD</t>
        </is>
      </c>
      <c r="U719" t="n">
        <v>0</v>
      </c>
    </row>
    <row r="720">
      <c r="A720" s="5" t="inlineStr">
        <is>
          <t>01a1212c-55de-72e0-ac9e-6325a3f74cb4</t>
        </is>
      </c>
      <c r="C720" s="5" t="inlineStr">
        <is>
          <t>01a1212c-4b57-70cf-80fd-c2192cb3bf81</t>
        </is>
      </c>
      <c r="D720" s="4" t="n">
        <v>46304.62402924433</v>
      </c>
      <c r="E720" s="4" t="n">
        <v>46304.6240292444</v>
      </c>
      <c r="F720" t="b">
        <v>1</v>
      </c>
      <c r="G720" t="n">
        <v/>
      </c>
      <c r="H720" t="inlineStr">
        <is>
          <t>ALA</t>
        </is>
      </c>
      <c r="I720" t="inlineStr">
        <is>
          <t>Arovella Therapeutics Ltd</t>
        </is>
      </c>
      <c r="J720" t="inlineStr">
        <is>
          <t>AUD</t>
        </is>
      </c>
      <c r="K720" s="5" t="inlineStr">
        <is>
          <t>01a1212c-4c04-75ce-bbb2-e3322e18816e</t>
        </is>
      </c>
      <c r="M720" t="inlineStr">
        <is>
          <t>UNKNOWN</t>
        </is>
      </c>
      <c r="N720" t="inlineStr">
        <is>
          <t>DEFAULT</t>
        </is>
      </c>
      <c r="Q720" t="n">
        <v>0</v>
      </c>
      <c r="R720" t="inlineStr">
        <is>
          <t>AUD</t>
        </is>
      </c>
      <c r="S720" t="n">
        <v>0</v>
      </c>
      <c r="T720" t="inlineStr">
        <is>
          <t>AUD</t>
        </is>
      </c>
      <c r="U720" t="n">
        <v>0</v>
      </c>
    </row>
    <row r="721">
      <c r="A721" s="5" t="inlineStr">
        <is>
          <t>01a1212c-55e1-7322-99aa-fb8130ae692a</t>
        </is>
      </c>
      <c r="C721" s="5" t="inlineStr">
        <is>
          <t>01a1212c-4b57-70cf-80fd-c2192cb3bf81</t>
        </is>
      </c>
      <c r="D721" s="4" t="n">
        <v>46304.62402927459</v>
      </c>
      <c r="E721" s="4" t="n">
        <v>46304.62402927467</v>
      </c>
      <c r="F721" t="b">
        <v>1</v>
      </c>
      <c r="G721" t="n">
        <v/>
      </c>
      <c r="H721" t="inlineStr">
        <is>
          <t>A1N</t>
        </is>
      </c>
      <c r="I721" t="inlineStr">
        <is>
          <t>Arn Media Ltd</t>
        </is>
      </c>
      <c r="J721" t="inlineStr">
        <is>
          <t>AUD</t>
        </is>
      </c>
      <c r="K721" s="5" t="inlineStr">
        <is>
          <t>01a1212c-4c04-75ce-bbb2-e3322e18816e</t>
        </is>
      </c>
      <c r="M721" t="inlineStr">
        <is>
          <t>UNKNOWN</t>
        </is>
      </c>
      <c r="N721" t="inlineStr">
        <is>
          <t>DEFAULT</t>
        </is>
      </c>
      <c r="Q721" t="n">
        <v>0</v>
      </c>
      <c r="R721" t="inlineStr">
        <is>
          <t>AUD</t>
        </is>
      </c>
      <c r="S721" t="n">
        <v>0</v>
      </c>
      <c r="T721" t="inlineStr">
        <is>
          <t>AUD</t>
        </is>
      </c>
      <c r="U721" t="n">
        <v>0</v>
      </c>
    </row>
    <row r="722">
      <c r="A722" s="5" t="inlineStr">
        <is>
          <t>01a1212c-55e3-7321-ae27-4d72129d9bd8</t>
        </is>
      </c>
      <c r="C722" s="5" t="inlineStr">
        <is>
          <t>01a1212c-4b57-70cf-80fd-c2192cb3bf81</t>
        </is>
      </c>
      <c r="D722" s="4" t="n">
        <v>46304.62402930482</v>
      </c>
      <c r="E722" s="4" t="n">
        <v>46304.6240293049</v>
      </c>
      <c r="F722" t="b">
        <v>1</v>
      </c>
      <c r="G722" t="n">
        <v/>
      </c>
      <c r="H722" t="inlineStr">
        <is>
          <t>VBTC</t>
        </is>
      </c>
      <c r="I722" t="inlineStr">
        <is>
          <t>Vaneck Bitcoin ETF</t>
        </is>
      </c>
      <c r="J722" t="inlineStr">
        <is>
          <t>AUD</t>
        </is>
      </c>
      <c r="K722" s="5" t="inlineStr">
        <is>
          <t>01a1212c-4c04-75ce-bbb2-e3322e18816e</t>
        </is>
      </c>
      <c r="M722" t="inlineStr">
        <is>
          <t>UNKNOWN</t>
        </is>
      </c>
      <c r="N722" t="inlineStr">
        <is>
          <t>DEFAULT</t>
        </is>
      </c>
      <c r="Q722" t="n">
        <v>0</v>
      </c>
      <c r="R722" t="inlineStr">
        <is>
          <t>AUD</t>
        </is>
      </c>
      <c r="S722" t="n">
        <v>0</v>
      </c>
      <c r="T722" t="inlineStr">
        <is>
          <t>AUD</t>
        </is>
      </c>
      <c r="U722" t="n">
        <v>0</v>
      </c>
    </row>
    <row r="723">
      <c r="A723" s="5" t="inlineStr">
        <is>
          <t>01a1212c-55e6-70b7-a944-f58fc541d72a</t>
        </is>
      </c>
      <c r="C723" s="5" t="inlineStr">
        <is>
          <t>01a1212c-4b57-70cf-80fd-c2192cb3bf81</t>
        </is>
      </c>
      <c r="D723" s="4" t="n">
        <v>46304.62402933541</v>
      </c>
      <c r="E723" s="4" t="n">
        <v>46304.62402933549</v>
      </c>
      <c r="F723" t="b">
        <v>1</v>
      </c>
      <c r="G723" t="n">
        <v/>
      </c>
      <c r="H723" t="inlineStr">
        <is>
          <t>FRI</t>
        </is>
      </c>
      <c r="I723" t="inlineStr">
        <is>
          <t>Finbar Group Ltd</t>
        </is>
      </c>
      <c r="J723" t="inlineStr">
        <is>
          <t>AUD</t>
        </is>
      </c>
      <c r="K723" s="5" t="inlineStr">
        <is>
          <t>01a1212c-4c04-75ce-bbb2-e3322e18816e</t>
        </is>
      </c>
      <c r="M723" t="inlineStr">
        <is>
          <t>UNKNOWN</t>
        </is>
      </c>
      <c r="N723" t="inlineStr">
        <is>
          <t>DEFAULT</t>
        </is>
      </c>
      <c r="Q723" t="n">
        <v>0</v>
      </c>
      <c r="R723" t="inlineStr">
        <is>
          <t>AUD</t>
        </is>
      </c>
      <c r="S723" t="n">
        <v>0</v>
      </c>
      <c r="T723" t="inlineStr">
        <is>
          <t>AUD</t>
        </is>
      </c>
      <c r="U723" t="n">
        <v>0</v>
      </c>
    </row>
    <row r="724">
      <c r="A724" s="5" t="inlineStr">
        <is>
          <t>01a1212c-55e9-73de-b9b9-458e8b919e7a</t>
        </is>
      </c>
      <c r="C724" s="5" t="inlineStr">
        <is>
          <t>01a1212c-4b57-70cf-80fd-c2192cb3bf81</t>
        </is>
      </c>
      <c r="D724" s="4" t="n">
        <v>46304.62402936912</v>
      </c>
      <c r="E724" s="4" t="n">
        <v>46304.6240293692</v>
      </c>
      <c r="F724" t="b">
        <v>1</v>
      </c>
      <c r="G724" t="n">
        <v/>
      </c>
      <c r="H724" t="inlineStr">
        <is>
          <t>ESGI</t>
        </is>
      </c>
      <c r="I724" t="inlineStr">
        <is>
          <t>Vaneck MSCI International Sustainable Equity ETF</t>
        </is>
      </c>
      <c r="J724" t="inlineStr">
        <is>
          <t>AUD</t>
        </is>
      </c>
      <c r="K724" s="5" t="inlineStr">
        <is>
          <t>01a1212c-4c04-75ce-bbb2-e3322e18816e</t>
        </is>
      </c>
      <c r="M724" t="inlineStr">
        <is>
          <t>UNKNOWN</t>
        </is>
      </c>
      <c r="N724" t="inlineStr">
        <is>
          <t>DEFAULT</t>
        </is>
      </c>
      <c r="Q724" t="n">
        <v>0</v>
      </c>
      <c r="R724" t="inlineStr">
        <is>
          <t>AUD</t>
        </is>
      </c>
      <c r="S724" t="n">
        <v>0</v>
      </c>
      <c r="T724" t="inlineStr">
        <is>
          <t>AUD</t>
        </is>
      </c>
      <c r="U724" t="n">
        <v>0</v>
      </c>
    </row>
    <row r="725">
      <c r="A725" s="5" t="inlineStr">
        <is>
          <t>01a1212c-55ec-761b-899a-0ab40415a931</t>
        </is>
      </c>
      <c r="C725" s="5" t="inlineStr">
        <is>
          <t>01a1212c-4b57-70cf-80fd-c2192cb3bf81</t>
        </is>
      </c>
      <c r="D725" s="4" t="n">
        <v>46304.62402940334</v>
      </c>
      <c r="E725" s="4" t="n">
        <v>46304.62402940346</v>
      </c>
      <c r="F725" t="b">
        <v>1</v>
      </c>
      <c r="G725" t="n">
        <v/>
      </c>
      <c r="H725" t="inlineStr">
        <is>
          <t>CTM</t>
        </is>
      </c>
      <c r="I725" t="inlineStr">
        <is>
          <t>Centaurus Metals Ltd</t>
        </is>
      </c>
      <c r="J725" t="inlineStr">
        <is>
          <t>AUD</t>
        </is>
      </c>
      <c r="K725" s="5" t="inlineStr">
        <is>
          <t>01a1212c-4c04-75ce-bbb2-e3322e18816e</t>
        </is>
      </c>
      <c r="M725" t="inlineStr">
        <is>
          <t>UNKNOWN</t>
        </is>
      </c>
      <c r="N725" t="inlineStr">
        <is>
          <t>DEFAULT</t>
        </is>
      </c>
      <c r="Q725" t="n">
        <v>0</v>
      </c>
      <c r="R725" t="inlineStr">
        <is>
          <t>AUD</t>
        </is>
      </c>
      <c r="S725" t="n">
        <v>0</v>
      </c>
      <c r="T725" t="inlineStr">
        <is>
          <t>AUD</t>
        </is>
      </c>
      <c r="U725" t="n">
        <v>0</v>
      </c>
    </row>
    <row r="726">
      <c r="A726" s="5" t="inlineStr">
        <is>
          <t>01a1212c-55ef-7002-809b-0c40a06484bf</t>
        </is>
      </c>
      <c r="C726" s="5" t="inlineStr">
        <is>
          <t>01a1212c-4b57-70cf-80fd-c2192cb3bf81</t>
        </is>
      </c>
      <c r="D726" s="4" t="n">
        <v>46304.6240294358</v>
      </c>
      <c r="E726" s="4" t="n">
        <v>46304.62402943588</v>
      </c>
      <c r="F726" t="b">
        <v>1</v>
      </c>
      <c r="G726" t="n">
        <v/>
      </c>
      <c r="H726" t="inlineStr">
        <is>
          <t>3PL</t>
        </is>
      </c>
      <c r="I726" t="inlineStr">
        <is>
          <t>3P Learning Ltd</t>
        </is>
      </c>
      <c r="J726" t="inlineStr">
        <is>
          <t>AUD</t>
        </is>
      </c>
      <c r="K726" s="5" t="inlineStr">
        <is>
          <t>01a1212c-4c04-75ce-bbb2-e3322e18816e</t>
        </is>
      </c>
      <c r="M726" t="inlineStr">
        <is>
          <t>UNKNOWN</t>
        </is>
      </c>
      <c r="N726" t="inlineStr">
        <is>
          <t>DEFAULT</t>
        </is>
      </c>
      <c r="Q726" t="n">
        <v>0</v>
      </c>
      <c r="R726" t="inlineStr">
        <is>
          <t>AUD</t>
        </is>
      </c>
      <c r="S726" t="n">
        <v>0</v>
      </c>
      <c r="T726" t="inlineStr">
        <is>
          <t>AUD</t>
        </is>
      </c>
      <c r="U726" t="n">
        <v>0</v>
      </c>
    </row>
    <row r="727">
      <c r="A727" s="5" t="inlineStr">
        <is>
          <t>01a1212c-55f1-7664-a021-ddba0614536d</t>
        </is>
      </c>
      <c r="C727" s="5" t="inlineStr">
        <is>
          <t>01a1212c-4b57-70cf-80fd-c2192cb3bf81</t>
        </is>
      </c>
      <c r="D727" s="4" t="n">
        <v>46304.62402946705</v>
      </c>
      <c r="E727" s="4" t="n">
        <v>46304.62402946713</v>
      </c>
      <c r="F727" t="b">
        <v>1</v>
      </c>
      <c r="G727" t="n">
        <v/>
      </c>
      <c r="H727" t="inlineStr">
        <is>
          <t>3DA</t>
        </is>
      </c>
      <c r="I727" t="inlineStr">
        <is>
          <t>Amaero International Ltd</t>
        </is>
      </c>
      <c r="J727" t="inlineStr">
        <is>
          <t>AUD</t>
        </is>
      </c>
      <c r="K727" s="5" t="inlineStr">
        <is>
          <t>01a1212c-4c04-75ce-bbb2-e3322e18816e</t>
        </is>
      </c>
      <c r="M727" t="inlineStr">
        <is>
          <t>UNKNOWN</t>
        </is>
      </c>
      <c r="N727" t="inlineStr">
        <is>
          <t>DEFAULT</t>
        </is>
      </c>
      <c r="Q727" t="n">
        <v>0</v>
      </c>
      <c r="R727" t="inlineStr">
        <is>
          <t>AUD</t>
        </is>
      </c>
      <c r="S727" t="n">
        <v>0</v>
      </c>
      <c r="T727" t="inlineStr">
        <is>
          <t>AUD</t>
        </is>
      </c>
      <c r="U727" t="n">
        <v>0</v>
      </c>
    </row>
    <row r="728">
      <c r="A728" s="5" t="inlineStr">
        <is>
          <t>01a1212c-55f4-716a-9aea-cf9282c82a31</t>
        </is>
      </c>
      <c r="C728" s="5" t="inlineStr">
        <is>
          <t>01a1212c-4b57-70cf-80fd-c2192cb3bf81</t>
        </is>
      </c>
      <c r="D728" s="4" t="n">
        <v>46304.62402949767</v>
      </c>
      <c r="E728" s="4" t="n">
        <v>46304.62402949774</v>
      </c>
      <c r="F728" t="b">
        <v>1</v>
      </c>
      <c r="G728" t="n">
        <v/>
      </c>
      <c r="H728" t="inlineStr">
        <is>
          <t>CDM</t>
        </is>
      </c>
      <c r="I728" t="inlineStr">
        <is>
          <t>Cadence Capital Ltd</t>
        </is>
      </c>
      <c r="J728" t="inlineStr">
        <is>
          <t>AUD</t>
        </is>
      </c>
      <c r="K728" s="5" t="inlineStr">
        <is>
          <t>01a1212c-4c04-75ce-bbb2-e3322e18816e</t>
        </is>
      </c>
      <c r="M728" t="inlineStr">
        <is>
          <t>UNKNOWN</t>
        </is>
      </c>
      <c r="N728" t="inlineStr">
        <is>
          <t>DEFAULT</t>
        </is>
      </c>
      <c r="Q728" t="n">
        <v>0</v>
      </c>
      <c r="R728" t="inlineStr">
        <is>
          <t>AUD</t>
        </is>
      </c>
      <c r="S728" t="n">
        <v>0</v>
      </c>
      <c r="T728" t="inlineStr">
        <is>
          <t>AUD</t>
        </is>
      </c>
      <c r="U728" t="n">
        <v>0</v>
      </c>
    </row>
    <row r="729">
      <c r="A729" s="5" t="inlineStr">
        <is>
          <t>01a1212c-55f7-7049-98cc-46a13cc10583</t>
        </is>
      </c>
      <c r="C729" s="5" t="inlineStr">
        <is>
          <t>01a1212c-4b57-70cf-80fd-c2192cb3bf81</t>
        </is>
      </c>
      <c r="D729" s="4" t="n">
        <v>46304.6240295303</v>
      </c>
      <c r="E729" s="4" t="n">
        <v>46304.62402953037</v>
      </c>
      <c r="F729" t="b">
        <v>1</v>
      </c>
      <c r="G729" t="n">
        <v/>
      </c>
      <c r="H729" t="inlineStr">
        <is>
          <t>CGS</t>
        </is>
      </c>
      <c r="I729" t="inlineStr">
        <is>
          <t>Cogstate Ltd</t>
        </is>
      </c>
      <c r="J729" t="inlineStr">
        <is>
          <t>AUD</t>
        </is>
      </c>
      <c r="K729" s="5" t="inlineStr">
        <is>
          <t>01a1212c-4c04-75ce-bbb2-e3322e18816e</t>
        </is>
      </c>
      <c r="M729" t="inlineStr">
        <is>
          <t>UNKNOWN</t>
        </is>
      </c>
      <c r="N729" t="inlineStr">
        <is>
          <t>DEFAULT</t>
        </is>
      </c>
      <c r="Q729" t="n">
        <v>0</v>
      </c>
      <c r="R729" t="inlineStr">
        <is>
          <t>AUD</t>
        </is>
      </c>
      <c r="S729" t="n">
        <v>0</v>
      </c>
      <c r="T729" t="inlineStr">
        <is>
          <t>AUD</t>
        </is>
      </c>
      <c r="U729" t="n">
        <v>0</v>
      </c>
    </row>
    <row r="730">
      <c r="A730" s="5" t="inlineStr">
        <is>
          <t>01a1212c-55fa-7774-9edf-9c9511bb4002</t>
        </is>
      </c>
      <c r="C730" s="5" t="inlineStr">
        <is>
          <t>01a1212c-4b57-70cf-80fd-c2192cb3bf81</t>
        </is>
      </c>
      <c r="D730" s="4" t="n">
        <v>46304.62402956442</v>
      </c>
      <c r="E730" s="4" t="n">
        <v>46304.6240295645</v>
      </c>
      <c r="F730" t="b">
        <v>1</v>
      </c>
      <c r="G730" t="n">
        <v/>
      </c>
      <c r="H730" t="inlineStr">
        <is>
          <t>D2O</t>
        </is>
      </c>
      <c r="I730" t="inlineStr">
        <is>
          <t>Duxton Water Ltd</t>
        </is>
      </c>
      <c r="J730" t="inlineStr">
        <is>
          <t>AUD</t>
        </is>
      </c>
      <c r="K730" s="5" t="inlineStr">
        <is>
          <t>01a1212c-4c04-75ce-bbb2-e3322e18816e</t>
        </is>
      </c>
      <c r="M730" t="inlineStr">
        <is>
          <t>UNKNOWN</t>
        </is>
      </c>
      <c r="N730" t="inlineStr">
        <is>
          <t>DEFAULT</t>
        </is>
      </c>
      <c r="Q730" t="n">
        <v>0</v>
      </c>
      <c r="R730" t="inlineStr">
        <is>
          <t>AUD</t>
        </is>
      </c>
      <c r="S730" t="n">
        <v>0</v>
      </c>
      <c r="T730" t="inlineStr">
        <is>
          <t>AUD</t>
        </is>
      </c>
      <c r="U730" t="n">
        <v>0</v>
      </c>
    </row>
    <row r="731">
      <c r="A731" s="5" t="inlineStr">
        <is>
          <t>01a1212c-55fc-7694-8f6a-5995272d98ee</t>
        </is>
      </c>
      <c r="C731" s="5" t="inlineStr">
        <is>
          <t>01a1212c-4b57-70cf-80fd-c2192cb3bf81</t>
        </is>
      </c>
      <c r="D731" s="4" t="n">
        <v>46304.62402959536</v>
      </c>
      <c r="E731" s="4" t="n">
        <v>46304.62402959544</v>
      </c>
      <c r="F731" t="b">
        <v>1</v>
      </c>
      <c r="G731" t="n">
        <v/>
      </c>
      <c r="H731" t="inlineStr">
        <is>
          <t>BBT</t>
        </is>
      </c>
      <c r="I731" t="inlineStr">
        <is>
          <t>Bluebet Holdings Ltd</t>
        </is>
      </c>
      <c r="J731" t="inlineStr">
        <is>
          <t>AUD</t>
        </is>
      </c>
      <c r="K731" s="5" t="inlineStr">
        <is>
          <t>01a1212c-4c04-75ce-bbb2-e3322e18816e</t>
        </is>
      </c>
      <c r="M731" t="inlineStr">
        <is>
          <t>UNKNOWN</t>
        </is>
      </c>
      <c r="N731" t="inlineStr">
        <is>
          <t>DEFAULT</t>
        </is>
      </c>
      <c r="Q731" t="n">
        <v>0</v>
      </c>
      <c r="R731" t="inlineStr">
        <is>
          <t>AUD</t>
        </is>
      </c>
      <c r="S731" t="n">
        <v>0</v>
      </c>
      <c r="T731" t="inlineStr">
        <is>
          <t>AUD</t>
        </is>
      </c>
      <c r="U731" t="n">
        <v>0</v>
      </c>
    </row>
    <row r="732">
      <c r="A732" s="5" t="inlineStr">
        <is>
          <t>01a1212c-55ff-7629-8982-2946833c06f3</t>
        </is>
      </c>
      <c r="C732" s="5" t="inlineStr">
        <is>
          <t>01a1212c-4b57-70cf-80fd-c2192cb3bf81</t>
        </is>
      </c>
      <c r="D732" s="4" t="n">
        <v>46304.62402962602</v>
      </c>
      <c r="E732" s="4" t="n">
        <v>46304.6240296261</v>
      </c>
      <c r="F732" t="b">
        <v>1</v>
      </c>
      <c r="G732" t="n">
        <v/>
      </c>
      <c r="H732" t="inlineStr">
        <is>
          <t>FEX</t>
        </is>
      </c>
      <c r="I732" t="inlineStr">
        <is>
          <t>FENIX Resources Ltd</t>
        </is>
      </c>
      <c r="J732" t="inlineStr">
        <is>
          <t>AUD</t>
        </is>
      </c>
      <c r="K732" s="5" t="inlineStr">
        <is>
          <t>01a1212c-4c04-75ce-bbb2-e3322e18816e</t>
        </is>
      </c>
      <c r="M732" t="inlineStr">
        <is>
          <t>UNKNOWN</t>
        </is>
      </c>
      <c r="N732" t="inlineStr">
        <is>
          <t>DEFAULT</t>
        </is>
      </c>
      <c r="Q732" t="n">
        <v>0</v>
      </c>
      <c r="R732" t="inlineStr">
        <is>
          <t>AUD</t>
        </is>
      </c>
      <c r="S732" t="n">
        <v>0</v>
      </c>
      <c r="T732" t="inlineStr">
        <is>
          <t>AUD</t>
        </is>
      </c>
      <c r="U732" t="n">
        <v>0</v>
      </c>
    </row>
    <row r="733">
      <c r="A733" s="5" t="inlineStr">
        <is>
          <t>01a1212c-5602-76e3-9767-40a2f2144c0a</t>
        </is>
      </c>
      <c r="C733" s="5" t="inlineStr">
        <is>
          <t>01a1212c-4b57-70cf-80fd-c2192cb3bf81</t>
        </is>
      </c>
      <c r="D733" s="4" t="n">
        <v>46304.62402965879</v>
      </c>
      <c r="E733" s="4" t="n">
        <v>46304.62402965887</v>
      </c>
      <c r="F733" t="b">
        <v>1</v>
      </c>
      <c r="G733" t="n">
        <v/>
      </c>
      <c r="H733" t="inlineStr">
        <is>
          <t>PMT</t>
        </is>
      </c>
      <c r="I733" t="inlineStr">
        <is>
          <t>Patriot Battery Metals Inc</t>
        </is>
      </c>
      <c r="J733" t="inlineStr">
        <is>
          <t>AUD</t>
        </is>
      </c>
      <c r="K733" s="5" t="inlineStr">
        <is>
          <t>01a1212c-4c04-75ce-bbb2-e3322e18816e</t>
        </is>
      </c>
      <c r="M733" t="inlineStr">
        <is>
          <t>UNKNOWN</t>
        </is>
      </c>
      <c r="N733" t="inlineStr">
        <is>
          <t>DEFAULT</t>
        </is>
      </c>
      <c r="Q733" t="n">
        <v>0</v>
      </c>
      <c r="R733" t="inlineStr">
        <is>
          <t>AUD</t>
        </is>
      </c>
      <c r="S733" t="n">
        <v>0</v>
      </c>
      <c r="T733" t="inlineStr">
        <is>
          <t>AUD</t>
        </is>
      </c>
      <c r="U733" t="n">
        <v>0</v>
      </c>
    </row>
    <row r="734">
      <c r="A734" s="5" t="inlineStr">
        <is>
          <t>01a1212c-5605-7647-8771-11c1152bb071</t>
        </is>
      </c>
      <c r="C734" s="5" t="inlineStr">
        <is>
          <t>01a1212c-4b57-70cf-80fd-c2192cb3bf81</t>
        </is>
      </c>
      <c r="D734" s="4" t="n">
        <v>46304.62402969033</v>
      </c>
      <c r="E734" s="4" t="n">
        <v>46304.62402969041</v>
      </c>
      <c r="F734" t="b">
        <v>1</v>
      </c>
      <c r="G734" t="n">
        <v/>
      </c>
      <c r="H734" t="inlineStr">
        <is>
          <t>CEH</t>
        </is>
      </c>
      <c r="I734" t="inlineStr">
        <is>
          <t>Coast Entertainment Holdings Ltd</t>
        </is>
      </c>
      <c r="J734" t="inlineStr">
        <is>
          <t>AUD</t>
        </is>
      </c>
      <c r="K734" s="5" t="inlineStr">
        <is>
          <t>01a1212c-4c04-75ce-bbb2-e3322e18816e</t>
        </is>
      </c>
      <c r="M734" t="inlineStr">
        <is>
          <t>UNKNOWN</t>
        </is>
      </c>
      <c r="N734" t="inlineStr">
        <is>
          <t>DEFAULT</t>
        </is>
      </c>
      <c r="Q734" t="n">
        <v>0</v>
      </c>
      <c r="R734" t="inlineStr">
        <is>
          <t>AUD</t>
        </is>
      </c>
      <c r="S734" t="n">
        <v>0</v>
      </c>
      <c r="T734" t="inlineStr">
        <is>
          <t>AUD</t>
        </is>
      </c>
      <c r="U734" t="n">
        <v>0</v>
      </c>
    </row>
    <row r="735">
      <c r="A735" s="5" t="inlineStr">
        <is>
          <t>01a1212c-5607-7377-8e2a-a31ff43568a1</t>
        </is>
      </c>
      <c r="C735" s="5" t="inlineStr">
        <is>
          <t>01a1212c-4b57-70cf-80fd-c2192cb3bf81</t>
        </is>
      </c>
      <c r="D735" s="4" t="n">
        <v>46304.62402972134</v>
      </c>
      <c r="E735" s="4" t="n">
        <v>46304.62402972142</v>
      </c>
      <c r="F735" t="b">
        <v>1</v>
      </c>
      <c r="G735" t="n">
        <v/>
      </c>
      <c r="H735" t="inlineStr">
        <is>
          <t>AVH</t>
        </is>
      </c>
      <c r="I735" t="inlineStr">
        <is>
          <t>Avita Medical Inc</t>
        </is>
      </c>
      <c r="J735" t="inlineStr">
        <is>
          <t>AUD</t>
        </is>
      </c>
      <c r="K735" s="5" t="inlineStr">
        <is>
          <t>01a1212c-4c04-75ce-bbb2-e3322e18816e</t>
        </is>
      </c>
      <c r="M735" t="inlineStr">
        <is>
          <t>UNKNOWN</t>
        </is>
      </c>
      <c r="N735" t="inlineStr">
        <is>
          <t>DEFAULT</t>
        </is>
      </c>
      <c r="Q735" t="n">
        <v>0</v>
      </c>
      <c r="R735" t="inlineStr">
        <is>
          <t>AUD</t>
        </is>
      </c>
      <c r="S735" t="n">
        <v>0</v>
      </c>
      <c r="T735" t="inlineStr">
        <is>
          <t>AUD</t>
        </is>
      </c>
      <c r="U735" t="n">
        <v>0</v>
      </c>
    </row>
    <row r="736">
      <c r="A736" s="5" t="inlineStr">
        <is>
          <t>01a1212c-560a-704d-b711-f4b34e6ff668</t>
        </is>
      </c>
      <c r="C736" s="5" t="inlineStr">
        <is>
          <t>01a1212c-4b57-70cf-80fd-c2192cb3bf81</t>
        </is>
      </c>
      <c r="D736" s="4" t="n">
        <v>46304.62402975428</v>
      </c>
      <c r="E736" s="4" t="n">
        <v>46304.62402975436</v>
      </c>
      <c r="F736" t="b">
        <v>1</v>
      </c>
      <c r="G736" t="n">
        <v/>
      </c>
      <c r="H736" t="inlineStr">
        <is>
          <t>WHI</t>
        </is>
      </c>
      <c r="I736" t="inlineStr">
        <is>
          <t>Whitefield Income Ltd</t>
        </is>
      </c>
      <c r="J736" t="inlineStr">
        <is>
          <t>AUD</t>
        </is>
      </c>
      <c r="K736" s="5" t="inlineStr">
        <is>
          <t>01a1212c-4c04-75ce-bbb2-e3322e18816e</t>
        </is>
      </c>
      <c r="M736" t="inlineStr">
        <is>
          <t>UNKNOWN</t>
        </is>
      </c>
      <c r="N736" t="inlineStr">
        <is>
          <t>DEFAULT</t>
        </is>
      </c>
      <c r="Q736" t="n">
        <v>0</v>
      </c>
      <c r="R736" t="inlineStr">
        <is>
          <t>AUD</t>
        </is>
      </c>
      <c r="S736" t="n">
        <v>0</v>
      </c>
      <c r="T736" t="inlineStr">
        <is>
          <t>AUD</t>
        </is>
      </c>
      <c r="U736" t="n">
        <v>0</v>
      </c>
    </row>
    <row r="737">
      <c r="A737" s="5" t="inlineStr">
        <is>
          <t>01a1212c-560d-7108-bad5-270bd18755c9</t>
        </is>
      </c>
      <c r="C737" s="5" t="inlineStr">
        <is>
          <t>01a1212c-4b57-70cf-80fd-c2192cb3bf81</t>
        </is>
      </c>
      <c r="D737" s="4" t="n">
        <v>46304.62402978524</v>
      </c>
      <c r="E737" s="4" t="n">
        <v>46304.62402978531</v>
      </c>
      <c r="F737" t="b">
        <v>1</v>
      </c>
      <c r="G737" t="n">
        <v/>
      </c>
      <c r="H737" t="inlineStr">
        <is>
          <t>WAR</t>
        </is>
      </c>
      <c r="I737" t="inlineStr">
        <is>
          <t>Wam Strategic Value Ltd</t>
        </is>
      </c>
      <c r="J737" t="inlineStr">
        <is>
          <t>AUD</t>
        </is>
      </c>
      <c r="K737" s="5" t="inlineStr">
        <is>
          <t>01a1212c-4c04-75ce-bbb2-e3322e18816e</t>
        </is>
      </c>
      <c r="M737" t="inlineStr">
        <is>
          <t>UNKNOWN</t>
        </is>
      </c>
      <c r="N737" t="inlineStr">
        <is>
          <t>DEFAULT</t>
        </is>
      </c>
      <c r="Q737" t="n">
        <v>0</v>
      </c>
      <c r="R737" t="inlineStr">
        <is>
          <t>AUD</t>
        </is>
      </c>
      <c r="S737" t="n">
        <v>0</v>
      </c>
      <c r="T737" t="inlineStr">
        <is>
          <t>AUD</t>
        </is>
      </c>
      <c r="U737" t="n">
        <v>0</v>
      </c>
    </row>
    <row r="738">
      <c r="A738" s="5" t="inlineStr">
        <is>
          <t>01a1212c-5610-7556-baa3-7df7659f3e34</t>
        </is>
      </c>
      <c r="C738" s="5" t="inlineStr">
        <is>
          <t>01a1212c-4b57-70cf-80fd-c2192cb3bf81</t>
        </is>
      </c>
      <c r="D738" s="4" t="n">
        <v>46304.62402981819</v>
      </c>
      <c r="E738" s="4" t="n">
        <v>46304.62402981827</v>
      </c>
      <c r="F738" t="b">
        <v>1</v>
      </c>
      <c r="G738" t="n">
        <v/>
      </c>
      <c r="H738" t="inlineStr">
        <is>
          <t>FBR</t>
        </is>
      </c>
      <c r="I738" t="inlineStr">
        <is>
          <t>FBR Ltd</t>
        </is>
      </c>
      <c r="J738" t="inlineStr">
        <is>
          <t>AUD</t>
        </is>
      </c>
      <c r="K738" s="5" t="inlineStr">
        <is>
          <t>01a1212c-4c04-75ce-bbb2-e3322e18816e</t>
        </is>
      </c>
      <c r="M738" t="inlineStr">
        <is>
          <t>UNKNOWN</t>
        </is>
      </c>
      <c r="N738" t="inlineStr">
        <is>
          <t>DEFAULT</t>
        </is>
      </c>
      <c r="Q738" t="n">
        <v>0</v>
      </c>
      <c r="R738" t="inlineStr">
        <is>
          <t>AUD</t>
        </is>
      </c>
      <c r="S738" t="n">
        <v>0</v>
      </c>
      <c r="T738" t="inlineStr">
        <is>
          <t>AUD</t>
        </is>
      </c>
      <c r="U738" t="n">
        <v>0</v>
      </c>
    </row>
    <row r="739">
      <c r="A739" s="5" t="inlineStr">
        <is>
          <t>01a1212c-5612-71b1-ae2c-b357ab6b6b70</t>
        </is>
      </c>
      <c r="C739" s="5" t="inlineStr">
        <is>
          <t>01a1212c-4b57-70cf-80fd-c2192cb3bf81</t>
        </is>
      </c>
      <c r="D739" s="4" t="n">
        <v>46304.62402984872</v>
      </c>
      <c r="E739" s="4" t="n">
        <v>46304.6240298488</v>
      </c>
      <c r="F739" t="b">
        <v>1</v>
      </c>
      <c r="G739" t="n">
        <v/>
      </c>
      <c r="H739" t="inlineStr">
        <is>
          <t>DUG</t>
        </is>
      </c>
      <c r="I739" t="inlineStr">
        <is>
          <t>DUG Technology Ltd</t>
        </is>
      </c>
      <c r="J739" t="inlineStr">
        <is>
          <t>AUD</t>
        </is>
      </c>
      <c r="K739" s="5" t="inlineStr">
        <is>
          <t>01a1212c-4c04-75ce-bbb2-e3322e18816e</t>
        </is>
      </c>
      <c r="M739" t="inlineStr">
        <is>
          <t>UNKNOWN</t>
        </is>
      </c>
      <c r="N739" t="inlineStr">
        <is>
          <t>DEFAULT</t>
        </is>
      </c>
      <c r="Q739" t="n">
        <v>0</v>
      </c>
      <c r="R739" t="inlineStr">
        <is>
          <t>AUD</t>
        </is>
      </c>
      <c r="S739" t="n">
        <v>0</v>
      </c>
      <c r="T739" t="inlineStr">
        <is>
          <t>AUD</t>
        </is>
      </c>
      <c r="U739" t="n">
        <v>0</v>
      </c>
    </row>
    <row r="740">
      <c r="A740" s="5" t="inlineStr">
        <is>
          <t>01a1212c-5615-76c7-bebb-459f034fd7ac</t>
        </is>
      </c>
      <c r="C740" s="5" t="inlineStr">
        <is>
          <t>01a1212c-4b57-70cf-80fd-c2192cb3bf81</t>
        </is>
      </c>
      <c r="D740" s="4" t="n">
        <v>46304.62402987941</v>
      </c>
      <c r="E740" s="4" t="n">
        <v>46304.62402987949</v>
      </c>
      <c r="F740" t="b">
        <v>1</v>
      </c>
      <c r="G740" t="n">
        <v/>
      </c>
      <c r="H740" t="inlineStr">
        <is>
          <t>MHJ</t>
        </is>
      </c>
      <c r="I740" t="inlineStr">
        <is>
          <t>Michael Hill International Ltd</t>
        </is>
      </c>
      <c r="J740" t="inlineStr">
        <is>
          <t>AUD</t>
        </is>
      </c>
      <c r="K740" s="5" t="inlineStr">
        <is>
          <t>01a1212c-4c04-75ce-bbb2-e3322e18816e</t>
        </is>
      </c>
      <c r="M740" t="inlineStr">
        <is>
          <t>UNKNOWN</t>
        </is>
      </c>
      <c r="N740" t="inlineStr">
        <is>
          <t>DEFAULT</t>
        </is>
      </c>
      <c r="Q740" t="n">
        <v>0</v>
      </c>
      <c r="R740" t="inlineStr">
        <is>
          <t>AUD</t>
        </is>
      </c>
      <c r="S740" t="n">
        <v>0</v>
      </c>
      <c r="T740" t="inlineStr">
        <is>
          <t>AUD</t>
        </is>
      </c>
      <c r="U740" t="n">
        <v>0</v>
      </c>
    </row>
    <row r="741">
      <c r="A741" s="5" t="inlineStr">
        <is>
          <t>01a1212c-5618-72b0-9e76-799cb1fb2955</t>
        </is>
      </c>
      <c r="C741" s="5" t="inlineStr">
        <is>
          <t>01a1212c-4b57-70cf-80fd-c2192cb3bf81</t>
        </is>
      </c>
      <c r="D741" s="4" t="n">
        <v>46304.62402990993</v>
      </c>
      <c r="E741" s="4" t="n">
        <v>46304.62402991001</v>
      </c>
      <c r="F741" t="b">
        <v>1</v>
      </c>
      <c r="G741" t="n">
        <v/>
      </c>
      <c r="H741" t="inlineStr">
        <is>
          <t>EEG</t>
        </is>
      </c>
      <c r="I741" t="inlineStr">
        <is>
          <t>Empire Energy Group Ltd</t>
        </is>
      </c>
      <c r="J741" t="inlineStr">
        <is>
          <t>AUD</t>
        </is>
      </c>
      <c r="K741" s="5" t="inlineStr">
        <is>
          <t>01a1212c-4c04-75ce-bbb2-e3322e18816e</t>
        </is>
      </c>
      <c r="M741" t="inlineStr">
        <is>
          <t>UNKNOWN</t>
        </is>
      </c>
      <c r="N741" t="inlineStr">
        <is>
          <t>DEFAULT</t>
        </is>
      </c>
      <c r="Q741" t="n">
        <v>0</v>
      </c>
      <c r="R741" t="inlineStr">
        <is>
          <t>AUD</t>
        </is>
      </c>
      <c r="S741" t="n">
        <v>0</v>
      </c>
      <c r="T741" t="inlineStr">
        <is>
          <t>AUD</t>
        </is>
      </c>
      <c r="U741" t="n">
        <v>0</v>
      </c>
    </row>
    <row r="742">
      <c r="A742" s="5" t="inlineStr">
        <is>
          <t>01a1212c-561b-74ac-93a3-634bdbdd3ebd</t>
        </is>
      </c>
      <c r="C742" s="5" t="inlineStr">
        <is>
          <t>01a1212c-4b57-70cf-80fd-c2192cb3bf81</t>
        </is>
      </c>
      <c r="D742" s="4" t="n">
        <v>46304.62402994504</v>
      </c>
      <c r="E742" s="4" t="n">
        <v>46304.62402994512</v>
      </c>
      <c r="F742" t="b">
        <v>1</v>
      </c>
      <c r="G742" t="n">
        <v/>
      </c>
      <c r="H742" t="inlineStr">
        <is>
          <t>CXO</t>
        </is>
      </c>
      <c r="I742" t="inlineStr">
        <is>
          <t>Core Lithium Ltd</t>
        </is>
      </c>
      <c r="J742" t="inlineStr">
        <is>
          <t>AUD</t>
        </is>
      </c>
      <c r="K742" s="5" t="inlineStr">
        <is>
          <t>01a1212c-4c04-75ce-bbb2-e3322e18816e</t>
        </is>
      </c>
      <c r="M742" t="inlineStr">
        <is>
          <t>UNKNOWN</t>
        </is>
      </c>
      <c r="N742" t="inlineStr">
        <is>
          <t>DEFAULT</t>
        </is>
      </c>
      <c r="Q742" t="n">
        <v>0</v>
      </c>
      <c r="R742" t="inlineStr">
        <is>
          <t>AUD</t>
        </is>
      </c>
      <c r="S742" t="n">
        <v>0</v>
      </c>
      <c r="T742" t="inlineStr">
        <is>
          <t>AUD</t>
        </is>
      </c>
      <c r="U742" t="n">
        <v>0</v>
      </c>
    </row>
    <row r="743">
      <c r="A743" s="5" t="inlineStr">
        <is>
          <t>01a1212c-561d-72b4-8f2f-c18378d3a22a</t>
        </is>
      </c>
      <c r="C743" s="5" t="inlineStr">
        <is>
          <t>01a1212c-4b57-70cf-80fd-c2192cb3bf81</t>
        </is>
      </c>
      <c r="D743" s="4" t="n">
        <v>46304.62402997621</v>
      </c>
      <c r="E743" s="4" t="n">
        <v>46304.62402997627</v>
      </c>
      <c r="F743" t="b">
        <v>1</v>
      </c>
      <c r="G743" t="n">
        <v/>
      </c>
      <c r="H743" t="inlineStr">
        <is>
          <t>COG</t>
        </is>
      </c>
      <c r="I743" t="inlineStr">
        <is>
          <t>COG Financial Services Ltd</t>
        </is>
      </c>
      <c r="J743" t="inlineStr">
        <is>
          <t>AUD</t>
        </is>
      </c>
      <c r="K743" s="5" t="inlineStr">
        <is>
          <t>01a1212c-4c04-75ce-bbb2-e3322e18816e</t>
        </is>
      </c>
      <c r="M743" t="inlineStr">
        <is>
          <t>UNKNOWN</t>
        </is>
      </c>
      <c r="N743" t="inlineStr">
        <is>
          <t>DEFAULT</t>
        </is>
      </c>
      <c r="Q743" t="n">
        <v>0</v>
      </c>
      <c r="R743" t="inlineStr">
        <is>
          <t>AUD</t>
        </is>
      </c>
      <c r="S743" t="n">
        <v>0</v>
      </c>
      <c r="T743" t="inlineStr">
        <is>
          <t>AUD</t>
        </is>
      </c>
      <c r="U743" t="n">
        <v>0</v>
      </c>
    </row>
    <row r="744">
      <c r="A744" s="5" t="inlineStr">
        <is>
          <t>01a1212c-5620-700a-851b-888f681bff85</t>
        </is>
      </c>
      <c r="C744" s="5" t="inlineStr">
        <is>
          <t>01a1212c-4b57-70cf-80fd-c2192cb3bf81</t>
        </is>
      </c>
      <c r="D744" s="4" t="n">
        <v>46304.62403000671</v>
      </c>
      <c r="E744" s="4" t="n">
        <v>46304.62403000679</v>
      </c>
      <c r="F744" t="b">
        <v>1</v>
      </c>
      <c r="G744" t="n">
        <v/>
      </c>
      <c r="H744" t="inlineStr">
        <is>
          <t>MEI</t>
        </is>
      </c>
      <c r="I744" t="inlineStr">
        <is>
          <t>Meteoric Resources NL</t>
        </is>
      </c>
      <c r="J744" t="inlineStr">
        <is>
          <t>AUD</t>
        </is>
      </c>
      <c r="K744" s="5" t="inlineStr">
        <is>
          <t>01a1212c-4c04-75ce-bbb2-e3322e18816e</t>
        </is>
      </c>
      <c r="M744" t="inlineStr">
        <is>
          <t>UNKNOWN</t>
        </is>
      </c>
      <c r="N744" t="inlineStr">
        <is>
          <t>DEFAULT</t>
        </is>
      </c>
      <c r="Q744" t="n">
        <v>0</v>
      </c>
      <c r="R744" t="inlineStr">
        <is>
          <t>AUD</t>
        </is>
      </c>
      <c r="S744" t="n">
        <v>0</v>
      </c>
      <c r="T744" t="inlineStr">
        <is>
          <t>AUD</t>
        </is>
      </c>
      <c r="U744" t="n">
        <v>0</v>
      </c>
    </row>
    <row r="745">
      <c r="A745" s="5" t="inlineStr">
        <is>
          <t>01a1212c-5623-767e-896b-88f8420f6409</t>
        </is>
      </c>
      <c r="C745" s="5" t="inlineStr">
        <is>
          <t>01a1212c-4b57-70cf-80fd-c2192cb3bf81</t>
        </is>
      </c>
      <c r="D745" s="4" t="n">
        <v>46304.6240300372</v>
      </c>
      <c r="E745" s="4" t="n">
        <v>46304.62403003727</v>
      </c>
      <c r="F745" t="b">
        <v>1</v>
      </c>
      <c r="G745" t="n">
        <v/>
      </c>
      <c r="H745" t="inlineStr">
        <is>
          <t>WMA</t>
        </is>
      </c>
      <c r="I745" t="inlineStr">
        <is>
          <t>Wam Alternative Assets Ltd</t>
        </is>
      </c>
      <c r="J745" t="inlineStr">
        <is>
          <t>AUD</t>
        </is>
      </c>
      <c r="K745" s="5" t="inlineStr">
        <is>
          <t>01a1212c-4c04-75ce-bbb2-e3322e18816e</t>
        </is>
      </c>
      <c r="M745" t="inlineStr">
        <is>
          <t>UNKNOWN</t>
        </is>
      </c>
      <c r="N745" t="inlineStr">
        <is>
          <t>DEFAULT</t>
        </is>
      </c>
      <c r="Q745" t="n">
        <v>0</v>
      </c>
      <c r="R745" t="inlineStr">
        <is>
          <t>AUD</t>
        </is>
      </c>
      <c r="S745" t="n">
        <v>0</v>
      </c>
      <c r="T745" t="inlineStr">
        <is>
          <t>AUD</t>
        </is>
      </c>
      <c r="U745" t="n">
        <v>0</v>
      </c>
    </row>
    <row r="746">
      <c r="A746" s="5" t="inlineStr">
        <is>
          <t>01a1212c-5625-73ce-af5c-517568bbaf40</t>
        </is>
      </c>
      <c r="C746" s="5" t="inlineStr">
        <is>
          <t>01a1212c-4b57-70cf-80fd-c2192cb3bf81</t>
        </is>
      </c>
      <c r="D746" s="4" t="n">
        <v>46304.62403006769</v>
      </c>
      <c r="E746" s="4" t="n">
        <v>46304.62403006777</v>
      </c>
      <c r="F746" t="b">
        <v>1</v>
      </c>
      <c r="G746" t="n">
        <v/>
      </c>
      <c r="H746" t="inlineStr">
        <is>
          <t>A1M</t>
        </is>
      </c>
      <c r="I746" t="inlineStr">
        <is>
          <t>Aic Mines Ltd</t>
        </is>
      </c>
      <c r="J746" t="inlineStr">
        <is>
          <t>AUD</t>
        </is>
      </c>
      <c r="K746" s="5" t="inlineStr">
        <is>
          <t>01a1212c-4c04-75ce-bbb2-e3322e18816e</t>
        </is>
      </c>
      <c r="M746" t="inlineStr">
        <is>
          <t>UNKNOWN</t>
        </is>
      </c>
      <c r="N746" t="inlineStr">
        <is>
          <t>DEFAULT</t>
        </is>
      </c>
      <c r="Q746" t="n">
        <v>0</v>
      </c>
      <c r="R746" t="inlineStr">
        <is>
          <t>AUD</t>
        </is>
      </c>
      <c r="S746" t="n">
        <v>0</v>
      </c>
      <c r="T746" t="inlineStr">
        <is>
          <t>AUD</t>
        </is>
      </c>
      <c r="U746" t="n">
        <v>0</v>
      </c>
    </row>
    <row r="747">
      <c r="A747" s="5" t="inlineStr">
        <is>
          <t>01a1212c-5628-777a-bbcd-3fef7fceb101</t>
        </is>
      </c>
      <c r="C747" s="5" t="inlineStr">
        <is>
          <t>01a1212c-4b57-70cf-80fd-c2192cb3bf81</t>
        </is>
      </c>
      <c r="D747" s="4" t="n">
        <v>46304.62403010161</v>
      </c>
      <c r="E747" s="4" t="n">
        <v>46304.6240301017</v>
      </c>
      <c r="F747" t="b">
        <v>1</v>
      </c>
      <c r="G747" t="n">
        <v/>
      </c>
      <c r="H747" t="inlineStr">
        <is>
          <t>WIA</t>
        </is>
      </c>
      <c r="I747" t="inlineStr">
        <is>
          <t>WIA Gold Ltd</t>
        </is>
      </c>
      <c r="J747" t="inlineStr">
        <is>
          <t>AUD</t>
        </is>
      </c>
      <c r="K747" s="5" t="inlineStr">
        <is>
          <t>01a1212c-4c04-75ce-bbb2-e3322e18816e</t>
        </is>
      </c>
      <c r="M747" t="inlineStr">
        <is>
          <t>UNKNOWN</t>
        </is>
      </c>
      <c r="N747" t="inlineStr">
        <is>
          <t>DEFAULT</t>
        </is>
      </c>
      <c r="Q747" t="n">
        <v>0</v>
      </c>
      <c r="R747" t="inlineStr">
        <is>
          <t>AUD</t>
        </is>
      </c>
      <c r="S747" t="n">
        <v>0</v>
      </c>
      <c r="T747" t="inlineStr">
        <is>
          <t>AUD</t>
        </is>
      </c>
      <c r="U747" t="n">
        <v>0</v>
      </c>
    </row>
    <row r="748">
      <c r="A748" s="5" t="inlineStr">
        <is>
          <t>01a1212c-562b-74ac-a644-010986b51d3b</t>
        </is>
      </c>
      <c r="C748" s="5" t="inlineStr">
        <is>
          <t>01a1212c-4b57-70cf-80fd-c2192cb3bf81</t>
        </is>
      </c>
      <c r="D748" s="4" t="n">
        <v>46304.6240301349</v>
      </c>
      <c r="E748" s="4" t="n">
        <v>46304.62403013497</v>
      </c>
      <c r="F748" t="b">
        <v>1</v>
      </c>
      <c r="G748" t="n">
        <v/>
      </c>
      <c r="H748" t="inlineStr">
        <is>
          <t>DRUG</t>
        </is>
      </c>
      <c r="I748" t="inlineStr">
        <is>
          <t>Betashares Global Healthcare Currency Hedged ETF</t>
        </is>
      </c>
      <c r="J748" t="inlineStr">
        <is>
          <t>AUD</t>
        </is>
      </c>
      <c r="K748" s="5" t="inlineStr">
        <is>
          <t>01a1212c-4c04-75ce-bbb2-e3322e18816e</t>
        </is>
      </c>
      <c r="M748" t="inlineStr">
        <is>
          <t>UNKNOWN</t>
        </is>
      </c>
      <c r="N748" t="inlineStr">
        <is>
          <t>DEFAULT</t>
        </is>
      </c>
      <c r="Q748" t="n">
        <v>0</v>
      </c>
      <c r="R748" t="inlineStr">
        <is>
          <t>AUD</t>
        </is>
      </c>
      <c r="S748" t="n">
        <v>0</v>
      </c>
      <c r="T748" t="inlineStr">
        <is>
          <t>AUD</t>
        </is>
      </c>
      <c r="U748" t="n">
        <v>0</v>
      </c>
    </row>
    <row r="749">
      <c r="A749" s="5" t="inlineStr">
        <is>
          <t>01a1212c-562e-7487-b76f-2f764bab39bf</t>
        </is>
      </c>
      <c r="C749" s="5" t="inlineStr">
        <is>
          <t>01a1212c-4b57-70cf-80fd-c2192cb3bf81</t>
        </is>
      </c>
      <c r="D749" s="4" t="n">
        <v>46304.62403016577</v>
      </c>
      <c r="E749" s="4" t="n">
        <v>46304.62403016585</v>
      </c>
      <c r="F749" t="b">
        <v>1</v>
      </c>
      <c r="G749" t="n">
        <v/>
      </c>
      <c r="H749" t="inlineStr">
        <is>
          <t>ERD</t>
        </is>
      </c>
      <c r="I749" t="inlineStr">
        <is>
          <t>Eroad Ltd</t>
        </is>
      </c>
      <c r="J749" t="inlineStr">
        <is>
          <t>AUD</t>
        </is>
      </c>
      <c r="K749" s="5" t="inlineStr">
        <is>
          <t>01a1212c-4c04-75ce-bbb2-e3322e18816e</t>
        </is>
      </c>
      <c r="M749" t="inlineStr">
        <is>
          <t>UNKNOWN</t>
        </is>
      </c>
      <c r="N749" t="inlineStr">
        <is>
          <t>DEFAULT</t>
        </is>
      </c>
      <c r="Q749" t="n">
        <v>0</v>
      </c>
      <c r="R749" t="inlineStr">
        <is>
          <t>AUD</t>
        </is>
      </c>
      <c r="S749" t="n">
        <v>0</v>
      </c>
      <c r="T749" t="inlineStr">
        <is>
          <t>AUD</t>
        </is>
      </c>
      <c r="U749" t="n">
        <v>0</v>
      </c>
    </row>
    <row r="750">
      <c r="A750" s="5" t="inlineStr">
        <is>
          <t>01a1212c-5630-7710-9cb4-15053aa6f289</t>
        </is>
      </c>
      <c r="C750" s="5" t="inlineStr">
        <is>
          <t>01a1212c-4b57-70cf-80fd-c2192cb3bf81</t>
        </is>
      </c>
      <c r="D750" s="4" t="n">
        <v>46304.62403019671</v>
      </c>
      <c r="E750" s="4" t="n">
        <v>46304.62403019679</v>
      </c>
      <c r="F750" t="b">
        <v>1</v>
      </c>
      <c r="G750" t="n">
        <v/>
      </c>
      <c r="H750" t="inlineStr">
        <is>
          <t>AAR</t>
        </is>
      </c>
      <c r="I750" t="inlineStr">
        <is>
          <t>Astral Resources NL</t>
        </is>
      </c>
      <c r="J750" t="inlineStr">
        <is>
          <t>AUD</t>
        </is>
      </c>
      <c r="K750" s="5" t="inlineStr">
        <is>
          <t>01a1212c-4c04-75ce-bbb2-e3322e18816e</t>
        </is>
      </c>
      <c r="M750" t="inlineStr">
        <is>
          <t>UNKNOWN</t>
        </is>
      </c>
      <c r="N750" t="inlineStr">
        <is>
          <t>DEFAULT</t>
        </is>
      </c>
      <c r="Q750" t="n">
        <v>0</v>
      </c>
      <c r="R750" t="inlineStr">
        <is>
          <t>AUD</t>
        </is>
      </c>
      <c r="S750" t="n">
        <v>0</v>
      </c>
      <c r="T750" t="inlineStr">
        <is>
          <t>AUD</t>
        </is>
      </c>
      <c r="U750" t="n">
        <v>0</v>
      </c>
    </row>
    <row r="751">
      <c r="A751" s="5" t="inlineStr">
        <is>
          <t>01a1212c-5633-779a-a25d-5e4bf96eaff8</t>
        </is>
      </c>
      <c r="C751" s="5" t="inlineStr">
        <is>
          <t>01a1212c-4b57-70cf-80fd-c2192cb3bf81</t>
        </is>
      </c>
      <c r="D751" s="4" t="n">
        <v>46304.62403022984</v>
      </c>
      <c r="E751" s="4" t="n">
        <v>46304.62403022992</v>
      </c>
      <c r="F751" t="b">
        <v>1</v>
      </c>
      <c r="G751" t="n">
        <v/>
      </c>
      <c r="H751" t="inlineStr">
        <is>
          <t>UTIP</t>
        </is>
      </c>
      <c r="I751" t="inlineStr">
        <is>
          <t>Betashares Inflation Protected US TRSY Bond CH ETF</t>
        </is>
      </c>
      <c r="J751" t="inlineStr">
        <is>
          <t>AUD</t>
        </is>
      </c>
      <c r="K751" s="5" t="inlineStr">
        <is>
          <t>01a1212c-4c04-75ce-bbb2-e3322e18816e</t>
        </is>
      </c>
      <c r="M751" t="inlineStr">
        <is>
          <t>UNKNOWN</t>
        </is>
      </c>
      <c r="N751" t="inlineStr">
        <is>
          <t>DEFAULT</t>
        </is>
      </c>
      <c r="Q751" t="n">
        <v>0</v>
      </c>
      <c r="R751" t="inlineStr">
        <is>
          <t>AUD</t>
        </is>
      </c>
      <c r="S751" t="n">
        <v>0</v>
      </c>
      <c r="T751" t="inlineStr">
        <is>
          <t>AUD</t>
        </is>
      </c>
      <c r="U751" t="n">
        <v>0</v>
      </c>
    </row>
    <row r="752">
      <c r="A752" s="5" t="inlineStr">
        <is>
          <t>01a1212c-5636-766d-9efc-0cfe4fd8dd2b</t>
        </is>
      </c>
      <c r="C752" s="5" t="inlineStr">
        <is>
          <t>01a1212c-4b57-70cf-80fd-c2192cb3bf81</t>
        </is>
      </c>
      <c r="D752" s="4" t="n">
        <v>46304.62403026168</v>
      </c>
      <c r="E752" s="4" t="n">
        <v>46304.62403026174</v>
      </c>
      <c r="F752" t="b">
        <v>1</v>
      </c>
      <c r="G752" t="n">
        <v/>
      </c>
      <c r="H752" t="inlineStr">
        <is>
          <t>BTI</t>
        </is>
      </c>
      <c r="I752" t="inlineStr">
        <is>
          <t>Bailador Technology Investments Ltd</t>
        </is>
      </c>
      <c r="J752" t="inlineStr">
        <is>
          <t>AUD</t>
        </is>
      </c>
      <c r="K752" s="5" t="inlineStr">
        <is>
          <t>01a1212c-4c04-75ce-bbb2-e3322e18816e</t>
        </is>
      </c>
      <c r="M752" t="inlineStr">
        <is>
          <t>UNKNOWN</t>
        </is>
      </c>
      <c r="N752" t="inlineStr">
        <is>
          <t>DEFAULT</t>
        </is>
      </c>
      <c r="Q752" t="n">
        <v>0</v>
      </c>
      <c r="R752" t="inlineStr">
        <is>
          <t>AUD</t>
        </is>
      </c>
      <c r="S752" t="n">
        <v>0</v>
      </c>
      <c r="T752" t="inlineStr">
        <is>
          <t>AUD</t>
        </is>
      </c>
      <c r="U752" t="n">
        <v>0</v>
      </c>
    </row>
    <row r="753">
      <c r="A753" s="5" t="inlineStr">
        <is>
          <t>01a1212c-5639-7411-99e0-70c4d4a869cb</t>
        </is>
      </c>
      <c r="C753" s="5" t="inlineStr">
        <is>
          <t>01a1212c-4b57-70cf-80fd-c2192cb3bf81</t>
        </is>
      </c>
      <c r="D753" s="4" t="n">
        <v>46304.62403029538</v>
      </c>
      <c r="E753" s="4" t="n">
        <v>46304.62403029546</v>
      </c>
      <c r="F753" t="b">
        <v>1</v>
      </c>
      <c r="G753" t="n">
        <v/>
      </c>
      <c r="H753" t="inlineStr">
        <is>
          <t>AVR</t>
        </is>
      </c>
      <c r="I753" t="inlineStr">
        <is>
          <t>Anteris Technologies Global Corp</t>
        </is>
      </c>
      <c r="J753" t="inlineStr">
        <is>
          <t>AUD</t>
        </is>
      </c>
      <c r="K753" s="5" t="inlineStr">
        <is>
          <t>01a1212c-4c04-75ce-bbb2-e3322e18816e</t>
        </is>
      </c>
      <c r="M753" t="inlineStr">
        <is>
          <t>UNKNOWN</t>
        </is>
      </c>
      <c r="N753" t="inlineStr">
        <is>
          <t>DEFAULT</t>
        </is>
      </c>
      <c r="Q753" t="n">
        <v>0</v>
      </c>
      <c r="R753" t="inlineStr">
        <is>
          <t>AUD</t>
        </is>
      </c>
      <c r="S753" t="n">
        <v>0</v>
      </c>
      <c r="T753" t="inlineStr">
        <is>
          <t>AUD</t>
        </is>
      </c>
      <c r="U753" t="n">
        <v>0</v>
      </c>
    </row>
    <row r="754">
      <c r="A754" s="5" t="inlineStr">
        <is>
          <t>01a1212c-563c-7354-816a-d393f4f5c461</t>
        </is>
      </c>
      <c r="C754" s="5" t="inlineStr">
        <is>
          <t>01a1212c-4b57-70cf-80fd-c2192cb3bf81</t>
        </is>
      </c>
      <c r="D754" s="4" t="n">
        <v>46304.62403032745</v>
      </c>
      <c r="E754" s="4" t="n">
        <v>46304.62403032753</v>
      </c>
      <c r="F754" t="b">
        <v>1</v>
      </c>
      <c r="G754" t="n">
        <v/>
      </c>
      <c r="H754" t="inlineStr">
        <is>
          <t>UOS</t>
        </is>
      </c>
      <c r="I754" t="inlineStr">
        <is>
          <t>United Overseas Australia Ltd</t>
        </is>
      </c>
      <c r="J754" t="inlineStr">
        <is>
          <t>AUD</t>
        </is>
      </c>
      <c r="K754" s="5" t="inlineStr">
        <is>
          <t>01a1212c-4c04-75ce-bbb2-e3322e18816e</t>
        </is>
      </c>
      <c r="M754" t="inlineStr">
        <is>
          <t>UNKNOWN</t>
        </is>
      </c>
      <c r="N754" t="inlineStr">
        <is>
          <t>DEFAULT</t>
        </is>
      </c>
      <c r="Q754" t="n">
        <v>0</v>
      </c>
      <c r="R754" t="inlineStr">
        <is>
          <t>AUD</t>
        </is>
      </c>
      <c r="S754" t="n">
        <v>0</v>
      </c>
      <c r="T754" t="inlineStr">
        <is>
          <t>AUD</t>
        </is>
      </c>
      <c r="U754" t="n">
        <v>0</v>
      </c>
    </row>
    <row r="755">
      <c r="A755" s="5" t="inlineStr">
        <is>
          <t>01a1212c-563e-71ac-ab69-69c27f60d8d6</t>
        </is>
      </c>
      <c r="C755" s="5" t="inlineStr">
        <is>
          <t>01a1212c-4b57-70cf-80fd-c2192cb3bf81</t>
        </is>
      </c>
      <c r="D755" s="4" t="n">
        <v>46304.62403035933</v>
      </c>
      <c r="E755" s="4" t="n">
        <v>46304.62403035941</v>
      </c>
      <c r="F755" t="b">
        <v>1</v>
      </c>
      <c r="G755" t="n">
        <v/>
      </c>
      <c r="H755" t="inlineStr">
        <is>
          <t>NDIA</t>
        </is>
      </c>
      <c r="I755" t="inlineStr">
        <is>
          <t>Global X India Nifty 50 ETF</t>
        </is>
      </c>
      <c r="J755" t="inlineStr">
        <is>
          <t>AUD</t>
        </is>
      </c>
      <c r="K755" s="5" t="inlineStr">
        <is>
          <t>01a1212c-4c04-75ce-bbb2-e3322e18816e</t>
        </is>
      </c>
      <c r="M755" t="inlineStr">
        <is>
          <t>UNKNOWN</t>
        </is>
      </c>
      <c r="N755" t="inlineStr">
        <is>
          <t>DEFAULT</t>
        </is>
      </c>
      <c r="Q755" t="n">
        <v>0</v>
      </c>
      <c r="R755" t="inlineStr">
        <is>
          <t>AUD</t>
        </is>
      </c>
      <c r="S755" t="n">
        <v>0</v>
      </c>
      <c r="T755" t="inlineStr">
        <is>
          <t>AUD</t>
        </is>
      </c>
      <c r="U755" t="n">
        <v>0</v>
      </c>
    </row>
    <row r="756">
      <c r="A756" s="5" t="inlineStr">
        <is>
          <t>01a1212c-5641-779b-a438-f312cd3bed0b</t>
        </is>
      </c>
      <c r="C756" s="5" t="inlineStr">
        <is>
          <t>01a1212c-4b57-70cf-80fd-c2192cb3bf81</t>
        </is>
      </c>
      <c r="D756" s="4" t="n">
        <v>46304.62403039099</v>
      </c>
      <c r="E756" s="4" t="n">
        <v>46304.62403039107</v>
      </c>
      <c r="F756" t="b">
        <v>1</v>
      </c>
      <c r="G756" t="n">
        <v/>
      </c>
      <c r="H756" t="inlineStr">
        <is>
          <t>PAR</t>
        </is>
      </c>
      <c r="I756" t="inlineStr">
        <is>
          <t>Paradigm Biopharmaceuticals Ltd</t>
        </is>
      </c>
      <c r="J756" t="inlineStr">
        <is>
          <t>AUD</t>
        </is>
      </c>
      <c r="K756" s="5" t="inlineStr">
        <is>
          <t>01a1212c-4c04-75ce-bbb2-e3322e18816e</t>
        </is>
      </c>
      <c r="M756" t="inlineStr">
        <is>
          <t>UNKNOWN</t>
        </is>
      </c>
      <c r="N756" t="inlineStr">
        <is>
          <t>DEFAULT</t>
        </is>
      </c>
      <c r="Q756" t="n">
        <v>0</v>
      </c>
      <c r="R756" t="inlineStr">
        <is>
          <t>AUD</t>
        </is>
      </c>
      <c r="S756" t="n">
        <v>0</v>
      </c>
      <c r="T756" t="inlineStr">
        <is>
          <t>AUD</t>
        </is>
      </c>
      <c r="U756" t="n">
        <v>0</v>
      </c>
    </row>
    <row r="757">
      <c r="A757" s="5" t="inlineStr">
        <is>
          <t>01a1212c-5644-7447-ac4b-666bd4f8ee55</t>
        </is>
      </c>
      <c r="C757" s="5" t="inlineStr">
        <is>
          <t>01a1212c-4b57-70cf-80fd-c2192cb3bf81</t>
        </is>
      </c>
      <c r="D757" s="4" t="n">
        <v>46304.62403042594</v>
      </c>
      <c r="E757" s="4" t="n">
        <v>46304.62403042602</v>
      </c>
      <c r="F757" t="b">
        <v>1</v>
      </c>
      <c r="G757" t="n">
        <v/>
      </c>
      <c r="H757" t="inlineStr">
        <is>
          <t>EMKT</t>
        </is>
      </c>
      <c r="I757" t="inlineStr">
        <is>
          <t>Vaneck MSCI Multifactor Em Markets Equity ETF</t>
        </is>
      </c>
      <c r="J757" t="inlineStr">
        <is>
          <t>AUD</t>
        </is>
      </c>
      <c r="K757" s="5" t="inlineStr">
        <is>
          <t>01a1212c-4c04-75ce-bbb2-e3322e18816e</t>
        </is>
      </c>
      <c r="M757" t="inlineStr">
        <is>
          <t>UNKNOWN</t>
        </is>
      </c>
      <c r="N757" t="inlineStr">
        <is>
          <t>DEFAULT</t>
        </is>
      </c>
      <c r="Q757" t="n">
        <v>0</v>
      </c>
      <c r="R757" t="inlineStr">
        <is>
          <t>AUD</t>
        </is>
      </c>
      <c r="S757" t="n">
        <v>0</v>
      </c>
      <c r="T757" t="inlineStr">
        <is>
          <t>AUD</t>
        </is>
      </c>
      <c r="U757" t="n">
        <v>0</v>
      </c>
    </row>
    <row r="758">
      <c r="A758" s="5" t="inlineStr">
        <is>
          <t>01a1212c-5647-7250-8d8d-d9c7fd5f2f4d</t>
        </is>
      </c>
      <c r="C758" s="5" t="inlineStr">
        <is>
          <t>01a1212c-4b57-70cf-80fd-c2192cb3bf81</t>
        </is>
      </c>
      <c r="D758" s="4" t="n">
        <v>46304.62403045792</v>
      </c>
      <c r="E758" s="4" t="n">
        <v>46304.62403045801</v>
      </c>
      <c r="F758" t="b">
        <v>1</v>
      </c>
      <c r="G758" t="n">
        <v/>
      </c>
      <c r="H758" t="inlineStr">
        <is>
          <t>AZY</t>
        </is>
      </c>
      <c r="I758" t="inlineStr">
        <is>
          <t>Antipa Minerals Ltd</t>
        </is>
      </c>
      <c r="J758" t="inlineStr">
        <is>
          <t>AUD</t>
        </is>
      </c>
      <c r="K758" s="5" t="inlineStr">
        <is>
          <t>01a1212c-4c04-75ce-bbb2-e3322e18816e</t>
        </is>
      </c>
      <c r="M758" t="inlineStr">
        <is>
          <t>UNKNOWN</t>
        </is>
      </c>
      <c r="N758" t="inlineStr">
        <is>
          <t>DEFAULT</t>
        </is>
      </c>
      <c r="Q758" t="n">
        <v>0</v>
      </c>
      <c r="R758" t="inlineStr">
        <is>
          <t>AUD</t>
        </is>
      </c>
      <c r="S758" t="n">
        <v>0</v>
      </c>
      <c r="T758" t="inlineStr">
        <is>
          <t>AUD</t>
        </is>
      </c>
      <c r="U758" t="n">
        <v>0</v>
      </c>
    </row>
    <row r="759">
      <c r="A759" s="5" t="inlineStr">
        <is>
          <t>01a1212c-564a-704f-8416-e43ae1600e54</t>
        </is>
      </c>
      <c r="C759" s="5" t="inlineStr">
        <is>
          <t>01a1212c-4b57-70cf-80fd-c2192cb3bf81</t>
        </is>
      </c>
      <c r="D759" s="4" t="n">
        <v>46304.62403049697</v>
      </c>
      <c r="E759" s="4" t="n">
        <v>46304.62403049707</v>
      </c>
      <c r="F759" t="b">
        <v>1</v>
      </c>
      <c r="G759" t="n">
        <v/>
      </c>
      <c r="H759" t="inlineStr">
        <is>
          <t>ESTX</t>
        </is>
      </c>
      <c r="I759" t="inlineStr">
        <is>
          <t>Global X Euro STOXX 50 ETF</t>
        </is>
      </c>
      <c r="J759" t="inlineStr">
        <is>
          <t>AUD</t>
        </is>
      </c>
      <c r="K759" s="5" t="inlineStr">
        <is>
          <t>01a1212c-4c04-75ce-bbb2-e3322e18816e</t>
        </is>
      </c>
      <c r="M759" t="inlineStr">
        <is>
          <t>UNKNOWN</t>
        </is>
      </c>
      <c r="N759" t="inlineStr">
        <is>
          <t>DEFAULT</t>
        </is>
      </c>
      <c r="Q759" t="n">
        <v>0</v>
      </c>
      <c r="R759" t="inlineStr">
        <is>
          <t>AUD</t>
        </is>
      </c>
      <c r="S759" t="n">
        <v>0</v>
      </c>
      <c r="T759" t="inlineStr">
        <is>
          <t>AUD</t>
        </is>
      </c>
      <c r="U759" t="n">
        <v>0</v>
      </c>
    </row>
    <row r="760">
      <c r="A760" s="5" t="inlineStr">
        <is>
          <t>01a1212c-564d-72fe-bdd3-e8a0adc6f23b</t>
        </is>
      </c>
      <c r="C760" s="5" t="inlineStr">
        <is>
          <t>01a1212c-4b57-70cf-80fd-c2192cb3bf81</t>
        </is>
      </c>
      <c r="D760" s="4" t="n">
        <v>46304.62403053073</v>
      </c>
      <c r="E760" s="4" t="n">
        <v>46304.62403053083</v>
      </c>
      <c r="F760" t="b">
        <v>1</v>
      </c>
      <c r="G760" t="n">
        <v/>
      </c>
      <c r="H760" t="inlineStr">
        <is>
          <t>AKP</t>
        </is>
      </c>
      <c r="I760" t="inlineStr">
        <is>
          <t>Audio Pixels Holdings Ltd</t>
        </is>
      </c>
      <c r="J760" t="inlineStr">
        <is>
          <t>AUD</t>
        </is>
      </c>
      <c r="K760" s="5" t="inlineStr">
        <is>
          <t>01a1212c-4c04-75ce-bbb2-e3322e18816e</t>
        </is>
      </c>
      <c r="M760" t="inlineStr">
        <is>
          <t>UNKNOWN</t>
        </is>
      </c>
      <c r="N760" t="inlineStr">
        <is>
          <t>DEFAULT</t>
        </is>
      </c>
      <c r="Q760" t="n">
        <v>0</v>
      </c>
      <c r="R760" t="inlineStr">
        <is>
          <t>AUD</t>
        </is>
      </c>
      <c r="S760" t="n">
        <v>0</v>
      </c>
      <c r="T760" t="inlineStr">
        <is>
          <t>AUD</t>
        </is>
      </c>
      <c r="U760" t="n">
        <v>0</v>
      </c>
    </row>
    <row r="761">
      <c r="A761" s="5" t="inlineStr">
        <is>
          <t>01a1212c-5650-76be-965e-36b55f9a6f26</t>
        </is>
      </c>
      <c r="C761" s="5" t="inlineStr">
        <is>
          <t>01a1212c-4b57-70cf-80fd-c2192cb3bf81</t>
        </is>
      </c>
      <c r="D761" s="4" t="n">
        <v>46304.62403056625</v>
      </c>
      <c r="E761" s="4" t="n">
        <v>46304.62403056635</v>
      </c>
      <c r="F761" t="b">
        <v>1</v>
      </c>
      <c r="G761" t="n">
        <v/>
      </c>
      <c r="H761" t="inlineStr">
        <is>
          <t>ETPMAG</t>
        </is>
      </c>
      <c r="I761" t="inlineStr">
        <is>
          <t>Global X Metal Securities Australia Ltd</t>
        </is>
      </c>
      <c r="J761" t="inlineStr">
        <is>
          <t>AUD</t>
        </is>
      </c>
      <c r="K761" s="5" t="inlineStr">
        <is>
          <t>01a1212c-4c04-75ce-bbb2-e3322e18816e</t>
        </is>
      </c>
      <c r="M761" t="inlineStr">
        <is>
          <t>UNKNOWN</t>
        </is>
      </c>
      <c r="N761" t="inlineStr">
        <is>
          <t>DEFAULT</t>
        </is>
      </c>
      <c r="Q761" t="n">
        <v>0</v>
      </c>
      <c r="R761" t="inlineStr">
        <is>
          <t>AUD</t>
        </is>
      </c>
      <c r="S761" t="n">
        <v>0</v>
      </c>
      <c r="T761" t="inlineStr">
        <is>
          <t>AUD</t>
        </is>
      </c>
      <c r="U761" t="n">
        <v>0</v>
      </c>
    </row>
    <row r="762">
      <c r="A762" s="5" t="inlineStr">
        <is>
          <t>01a1212c-5653-7163-99ad-d5490dc7ef96</t>
        </is>
      </c>
      <c r="C762" s="5" t="inlineStr">
        <is>
          <t>01a1212c-4b57-70cf-80fd-c2192cb3bf81</t>
        </is>
      </c>
      <c r="D762" s="4" t="n">
        <v>46304.62403059874</v>
      </c>
      <c r="E762" s="4" t="n">
        <v>46304.62403059883</v>
      </c>
      <c r="F762" t="b">
        <v>1</v>
      </c>
      <c r="G762" t="n">
        <v/>
      </c>
      <c r="H762" t="inlineStr">
        <is>
          <t>NZM</t>
        </is>
      </c>
      <c r="I762" t="inlineStr">
        <is>
          <t>NZME Ltd</t>
        </is>
      </c>
      <c r="J762" t="inlineStr">
        <is>
          <t>AUD</t>
        </is>
      </c>
      <c r="K762" s="5" t="inlineStr">
        <is>
          <t>01a1212c-4c04-75ce-bbb2-e3322e18816e</t>
        </is>
      </c>
      <c r="M762" t="inlineStr">
        <is>
          <t>UNKNOWN</t>
        </is>
      </c>
      <c r="N762" t="inlineStr">
        <is>
          <t>DEFAULT</t>
        </is>
      </c>
      <c r="Q762" t="n">
        <v>0</v>
      </c>
      <c r="R762" t="inlineStr">
        <is>
          <t>AUD</t>
        </is>
      </c>
      <c r="S762" t="n">
        <v>0</v>
      </c>
      <c r="T762" t="inlineStr">
        <is>
          <t>AUD</t>
        </is>
      </c>
      <c r="U762" t="n">
        <v>0</v>
      </c>
    </row>
    <row r="763">
      <c r="A763" s="5" t="inlineStr">
        <is>
          <t>01a1212c-5656-746a-a986-2382626d4641</t>
        </is>
      </c>
      <c r="C763" s="5" t="inlineStr">
        <is>
          <t>01a1212c-4b57-70cf-80fd-c2192cb3bf81</t>
        </is>
      </c>
      <c r="D763" s="4" t="n">
        <v>46304.62403063048</v>
      </c>
      <c r="E763" s="4" t="n">
        <v>46304.62403063056</v>
      </c>
      <c r="F763" t="b">
        <v>1</v>
      </c>
      <c r="G763" t="n">
        <v/>
      </c>
      <c r="H763" t="inlineStr">
        <is>
          <t>AOF</t>
        </is>
      </c>
      <c r="I763" t="inlineStr">
        <is>
          <t>Australian Unity Office Fund</t>
        </is>
      </c>
      <c r="J763" t="inlineStr">
        <is>
          <t>AUD</t>
        </is>
      </c>
      <c r="K763" s="5" t="inlineStr">
        <is>
          <t>01a1212c-4c04-75ce-bbb2-e3322e18816e</t>
        </is>
      </c>
      <c r="M763" t="inlineStr">
        <is>
          <t>UNKNOWN</t>
        </is>
      </c>
      <c r="N763" t="inlineStr">
        <is>
          <t>DEFAULT</t>
        </is>
      </c>
      <c r="Q763" t="n">
        <v>0</v>
      </c>
      <c r="R763" t="inlineStr">
        <is>
          <t>AUD</t>
        </is>
      </c>
      <c r="S763" t="n">
        <v>0</v>
      </c>
      <c r="T763" t="inlineStr">
        <is>
          <t>AUD</t>
        </is>
      </c>
      <c r="U763" t="n">
        <v>0</v>
      </c>
    </row>
    <row r="764">
      <c r="A764" s="5" t="inlineStr">
        <is>
          <t>01a1212c-5659-738a-b895-cd75639ffacd</t>
        </is>
      </c>
      <c r="C764" s="5" t="inlineStr">
        <is>
          <t>01a1212c-4b57-70cf-80fd-c2192cb3bf81</t>
        </is>
      </c>
      <c r="D764" s="4" t="n">
        <v>46304.62403066309</v>
      </c>
      <c r="E764" s="4" t="n">
        <v>46304.62403066318</v>
      </c>
      <c r="F764" t="b">
        <v>1</v>
      </c>
      <c r="G764" t="n">
        <v/>
      </c>
      <c r="H764" t="inlineStr">
        <is>
          <t>QPM</t>
        </is>
      </c>
      <c r="I764" t="inlineStr">
        <is>
          <t>QPM Energy Ltd</t>
        </is>
      </c>
      <c r="J764" t="inlineStr">
        <is>
          <t>AUD</t>
        </is>
      </c>
      <c r="K764" s="5" t="inlineStr">
        <is>
          <t>01a1212c-4c04-75ce-bbb2-e3322e18816e</t>
        </is>
      </c>
      <c r="M764" t="inlineStr">
        <is>
          <t>UNKNOWN</t>
        </is>
      </c>
      <c r="N764" t="inlineStr">
        <is>
          <t>DEFAULT</t>
        </is>
      </c>
      <c r="Q764" t="n">
        <v>0</v>
      </c>
      <c r="R764" t="inlineStr">
        <is>
          <t>AUD</t>
        </is>
      </c>
      <c r="S764" t="n">
        <v>0</v>
      </c>
      <c r="T764" t="inlineStr">
        <is>
          <t>AUD</t>
        </is>
      </c>
      <c r="U764" t="n">
        <v>0</v>
      </c>
    </row>
    <row r="765">
      <c r="A765" s="5" t="inlineStr">
        <is>
          <t>01a1212c-565c-75cb-942e-0ecf2144d11c</t>
        </is>
      </c>
      <c r="C765" s="5" t="inlineStr">
        <is>
          <t>01a1212c-4b57-70cf-80fd-c2192cb3bf81</t>
        </is>
      </c>
      <c r="D765" s="4" t="n">
        <v>46304.62403069731</v>
      </c>
      <c r="E765" s="4" t="n">
        <v>46304.62403069741</v>
      </c>
      <c r="F765" t="b">
        <v>1</v>
      </c>
      <c r="G765" t="n">
        <v/>
      </c>
      <c r="H765" t="inlineStr">
        <is>
          <t>FEMX</t>
        </is>
      </c>
      <c r="I765" t="inlineStr">
        <is>
          <t>Fidelity Global Emerging Markets Active ETF</t>
        </is>
      </c>
      <c r="J765" t="inlineStr">
        <is>
          <t>AUD</t>
        </is>
      </c>
      <c r="K765" s="5" t="inlineStr">
        <is>
          <t>01a1212c-4c04-75ce-bbb2-e3322e18816e</t>
        </is>
      </c>
      <c r="M765" t="inlineStr">
        <is>
          <t>UNKNOWN</t>
        </is>
      </c>
      <c r="N765" t="inlineStr">
        <is>
          <t>DEFAULT</t>
        </is>
      </c>
      <c r="Q765" t="n">
        <v>0</v>
      </c>
      <c r="R765" t="inlineStr">
        <is>
          <t>AUD</t>
        </is>
      </c>
      <c r="S765" t="n">
        <v>0</v>
      </c>
      <c r="T765" t="inlineStr">
        <is>
          <t>AUD</t>
        </is>
      </c>
      <c r="U765" t="n">
        <v>0</v>
      </c>
    </row>
    <row r="766">
      <c r="A766" s="5" t="inlineStr">
        <is>
          <t>01a1212c-565f-71c8-aa5e-d57cb3572d6c</t>
        </is>
      </c>
      <c r="C766" s="5" t="inlineStr">
        <is>
          <t>01a1212c-4b57-70cf-80fd-c2192cb3bf81</t>
        </is>
      </c>
      <c r="D766" s="4" t="n">
        <v>46304.62403073126</v>
      </c>
      <c r="E766" s="4" t="n">
        <v>46304.62403073134</v>
      </c>
      <c r="F766" t="b">
        <v>1</v>
      </c>
      <c r="G766" t="n">
        <v/>
      </c>
      <c r="H766" t="inlineStr">
        <is>
          <t>GRNV</t>
        </is>
      </c>
      <c r="I766" t="inlineStr">
        <is>
          <t>Vaneck MSCI Australian Sustainable Equity ETF</t>
        </is>
      </c>
      <c r="J766" t="inlineStr">
        <is>
          <t>AUD</t>
        </is>
      </c>
      <c r="K766" s="5" t="inlineStr">
        <is>
          <t>01a1212c-4c04-75ce-bbb2-e3322e18816e</t>
        </is>
      </c>
      <c r="M766" t="inlineStr">
        <is>
          <t>UNKNOWN</t>
        </is>
      </c>
      <c r="N766" t="inlineStr">
        <is>
          <t>DEFAULT</t>
        </is>
      </c>
      <c r="Q766" t="n">
        <v>0</v>
      </c>
      <c r="R766" t="inlineStr">
        <is>
          <t>AUD</t>
        </is>
      </c>
      <c r="S766" t="n">
        <v>0</v>
      </c>
      <c r="T766" t="inlineStr">
        <is>
          <t>AUD</t>
        </is>
      </c>
      <c r="U766" t="n">
        <v>0</v>
      </c>
    </row>
    <row r="767">
      <c r="A767" s="5" t="inlineStr">
        <is>
          <t>01a1212c-5661-7391-952b-b5228da14e8a</t>
        </is>
      </c>
      <c r="C767" s="5" t="inlineStr">
        <is>
          <t>01a1212c-4b57-70cf-80fd-c2192cb3bf81</t>
        </is>
      </c>
      <c r="D767" s="4" t="n">
        <v>46304.62403076227</v>
      </c>
      <c r="E767" s="4" t="n">
        <v>46304.62403076235</v>
      </c>
      <c r="F767" t="b">
        <v>1</v>
      </c>
      <c r="G767" t="n">
        <v/>
      </c>
      <c r="H767" t="inlineStr">
        <is>
          <t>FWD</t>
        </is>
      </c>
      <c r="I767" t="inlineStr">
        <is>
          <t>Fleetwood Ltd</t>
        </is>
      </c>
      <c r="J767" t="inlineStr">
        <is>
          <t>AUD</t>
        </is>
      </c>
      <c r="K767" s="5" t="inlineStr">
        <is>
          <t>01a1212c-4c04-75ce-bbb2-e3322e18816e</t>
        </is>
      </c>
      <c r="M767" t="inlineStr">
        <is>
          <t>UNKNOWN</t>
        </is>
      </c>
      <c r="N767" t="inlineStr">
        <is>
          <t>DEFAULT</t>
        </is>
      </c>
      <c r="Q767" t="n">
        <v>0</v>
      </c>
      <c r="R767" t="inlineStr">
        <is>
          <t>AUD</t>
        </is>
      </c>
      <c r="S767" t="n">
        <v>0</v>
      </c>
      <c r="T767" t="inlineStr">
        <is>
          <t>AUD</t>
        </is>
      </c>
      <c r="U767" t="n">
        <v>0</v>
      </c>
    </row>
    <row r="768">
      <c r="A768" s="5" t="inlineStr">
        <is>
          <t>01a1212c-5664-771a-ba6e-222f3450843f</t>
        </is>
      </c>
      <c r="C768" s="5" t="inlineStr">
        <is>
          <t>01a1212c-4b57-70cf-80fd-c2192cb3bf81</t>
        </is>
      </c>
      <c r="D768" s="4" t="n">
        <v>46304.62403079302</v>
      </c>
      <c r="E768" s="4" t="n">
        <v>46304.6240307931</v>
      </c>
      <c r="F768" t="b">
        <v>1</v>
      </c>
      <c r="G768" t="n">
        <v/>
      </c>
      <c r="H768" t="inlineStr">
        <is>
          <t>TZN</t>
        </is>
      </c>
      <c r="I768" t="inlineStr">
        <is>
          <t>Terramin Australia Ltd</t>
        </is>
      </c>
      <c r="J768" t="inlineStr">
        <is>
          <t>AUD</t>
        </is>
      </c>
      <c r="K768" s="5" t="inlineStr">
        <is>
          <t>01a1212c-4c04-75ce-bbb2-e3322e18816e</t>
        </is>
      </c>
      <c r="M768" t="inlineStr">
        <is>
          <t>UNKNOWN</t>
        </is>
      </c>
      <c r="N768" t="inlineStr">
        <is>
          <t>DEFAULT</t>
        </is>
      </c>
      <c r="Q768" t="n">
        <v>0</v>
      </c>
      <c r="R768" t="inlineStr">
        <is>
          <t>AUD</t>
        </is>
      </c>
      <c r="S768" t="n">
        <v>0</v>
      </c>
      <c r="T768" t="inlineStr">
        <is>
          <t>AUD</t>
        </is>
      </c>
      <c r="U768" t="n">
        <v>0</v>
      </c>
    </row>
    <row r="769">
      <c r="A769" s="5" t="inlineStr">
        <is>
          <t>01a1212c-5667-742d-8e26-5d22b5b4d3ac</t>
        </is>
      </c>
      <c r="C769" s="5" t="inlineStr">
        <is>
          <t>01a1212c-4b57-70cf-80fd-c2192cb3bf81</t>
        </is>
      </c>
      <c r="D769" s="4" t="n">
        <v>46304.62403082431</v>
      </c>
      <c r="E769" s="4" t="n">
        <v>46304.6240308244</v>
      </c>
      <c r="F769" t="b">
        <v>1</v>
      </c>
      <c r="G769" t="n">
        <v/>
      </c>
      <c r="H769" t="inlineStr">
        <is>
          <t>WDMF</t>
        </is>
      </c>
      <c r="I769" t="inlineStr">
        <is>
          <t>Ishares World Equity Factor ETF</t>
        </is>
      </c>
      <c r="J769" t="inlineStr">
        <is>
          <t>AUD</t>
        </is>
      </c>
      <c r="K769" s="5" t="inlineStr">
        <is>
          <t>01a1212c-4c04-75ce-bbb2-e3322e18816e</t>
        </is>
      </c>
      <c r="M769" t="inlineStr">
        <is>
          <t>UNKNOWN</t>
        </is>
      </c>
      <c r="N769" t="inlineStr">
        <is>
          <t>DEFAULT</t>
        </is>
      </c>
      <c r="Q769" t="n">
        <v>0</v>
      </c>
      <c r="R769" t="inlineStr">
        <is>
          <t>AUD</t>
        </is>
      </c>
      <c r="S769" t="n">
        <v>0</v>
      </c>
      <c r="T769" t="inlineStr">
        <is>
          <t>AUD</t>
        </is>
      </c>
      <c r="U769" t="n">
        <v>0</v>
      </c>
    </row>
    <row r="770">
      <c r="A770" s="5" t="inlineStr">
        <is>
          <t>01a1212c-566a-73b6-8381-213bbf68cec5</t>
        </is>
      </c>
      <c r="C770" s="5" t="inlineStr">
        <is>
          <t>01a1212c-4b57-70cf-80fd-c2192cb3bf81</t>
        </is>
      </c>
      <c r="D770" s="4" t="n">
        <v>46304.62403085829</v>
      </c>
      <c r="E770" s="4" t="n">
        <v>46304.62403085837</v>
      </c>
      <c r="F770" t="b">
        <v>1</v>
      </c>
      <c r="G770" t="n">
        <v/>
      </c>
      <c r="H770" t="inlineStr">
        <is>
          <t>GXLD</t>
        </is>
      </c>
      <c r="I770" t="inlineStr">
        <is>
          <t>Global X Gold Bullion ETF</t>
        </is>
      </c>
      <c r="J770" t="inlineStr">
        <is>
          <t>AUD</t>
        </is>
      </c>
      <c r="K770" s="5" t="inlineStr">
        <is>
          <t>01a1212c-4c04-75ce-bbb2-e3322e18816e</t>
        </is>
      </c>
      <c r="M770" t="inlineStr">
        <is>
          <t>UNKNOWN</t>
        </is>
      </c>
      <c r="N770" t="inlineStr">
        <is>
          <t>DEFAULT</t>
        </is>
      </c>
      <c r="Q770" t="n">
        <v>0</v>
      </c>
      <c r="R770" t="inlineStr">
        <is>
          <t>AUD</t>
        </is>
      </c>
      <c r="S770" t="n">
        <v>0</v>
      </c>
      <c r="T770" t="inlineStr">
        <is>
          <t>AUD</t>
        </is>
      </c>
      <c r="U770" t="n">
        <v>0</v>
      </c>
    </row>
    <row r="771">
      <c r="A771" s="5" t="inlineStr">
        <is>
          <t>01a1212c-566d-768a-944e-eab1d961c076</t>
        </is>
      </c>
      <c r="C771" s="5" t="inlineStr">
        <is>
          <t>01a1212c-4b57-70cf-80fd-c2192cb3bf81</t>
        </is>
      </c>
      <c r="D771" s="4" t="n">
        <v>46304.62403089267</v>
      </c>
      <c r="E771" s="4" t="n">
        <v>46304.62403089277</v>
      </c>
      <c r="F771" t="b">
        <v>1</v>
      </c>
      <c r="G771" t="n">
        <v/>
      </c>
      <c r="H771" t="inlineStr">
        <is>
          <t>NDO</t>
        </is>
      </c>
      <c r="I771" t="inlineStr">
        <is>
          <t>Nido Education Ltd</t>
        </is>
      </c>
      <c r="J771" t="inlineStr">
        <is>
          <t>AUD</t>
        </is>
      </c>
      <c r="K771" s="5" t="inlineStr">
        <is>
          <t>01a1212c-4c04-75ce-bbb2-e3322e18816e</t>
        </is>
      </c>
      <c r="M771" t="inlineStr">
        <is>
          <t>UNKNOWN</t>
        </is>
      </c>
      <c r="N771" t="inlineStr">
        <is>
          <t>DEFAULT</t>
        </is>
      </c>
      <c r="Q771" t="n">
        <v>0</v>
      </c>
      <c r="R771" t="inlineStr">
        <is>
          <t>AUD</t>
        </is>
      </c>
      <c r="S771" t="n">
        <v>0</v>
      </c>
      <c r="T771" t="inlineStr">
        <is>
          <t>AUD</t>
        </is>
      </c>
      <c r="U771" t="n">
        <v>0</v>
      </c>
    </row>
    <row r="772">
      <c r="A772" s="5" t="inlineStr">
        <is>
          <t>01a1212c-566f-752c-9d27-5868a2686bd5</t>
        </is>
      </c>
      <c r="C772" s="5" t="inlineStr">
        <is>
          <t>01a1212c-4b57-70cf-80fd-c2192cb3bf81</t>
        </is>
      </c>
      <c r="D772" s="4" t="n">
        <v>46304.62403092349</v>
      </c>
      <c r="E772" s="4" t="n">
        <v>46304.62403092355</v>
      </c>
      <c r="F772" t="b">
        <v>1</v>
      </c>
      <c r="G772" t="n">
        <v/>
      </c>
      <c r="H772" t="inlineStr">
        <is>
          <t>OZR</t>
        </is>
      </c>
      <c r="I772" t="inlineStr">
        <is>
          <t>SPDR S&amp;P/ASX 200 Resources Fund</t>
        </is>
      </c>
      <c r="J772" t="inlineStr">
        <is>
          <t>AUD</t>
        </is>
      </c>
      <c r="K772" s="5" t="inlineStr">
        <is>
          <t>01a1212c-4c04-75ce-bbb2-e3322e18816e</t>
        </is>
      </c>
      <c r="M772" t="inlineStr">
        <is>
          <t>UNKNOWN</t>
        </is>
      </c>
      <c r="N772" t="inlineStr">
        <is>
          <t>DEFAULT</t>
        </is>
      </c>
      <c r="Q772" t="n">
        <v>0</v>
      </c>
      <c r="R772" t="inlineStr">
        <is>
          <t>AUD</t>
        </is>
      </c>
      <c r="S772" t="n">
        <v>0</v>
      </c>
      <c r="T772" t="inlineStr">
        <is>
          <t>AUD</t>
        </is>
      </c>
      <c r="U772" t="n">
        <v>0</v>
      </c>
    </row>
    <row r="773">
      <c r="A773" s="5" t="inlineStr">
        <is>
          <t>01a1212c-5672-7048-a747-4c6af76ebcba</t>
        </is>
      </c>
      <c r="C773" s="5" t="inlineStr">
        <is>
          <t>01a1212c-4b57-70cf-80fd-c2192cb3bf81</t>
        </is>
      </c>
      <c r="D773" s="4" t="n">
        <v>46304.62403095403</v>
      </c>
      <c r="E773" s="4" t="n">
        <v>46304.6240309541</v>
      </c>
      <c r="F773" t="b">
        <v>1</v>
      </c>
      <c r="G773" t="n">
        <v/>
      </c>
      <c r="H773" t="inlineStr">
        <is>
          <t>BIS</t>
        </is>
      </c>
      <c r="I773" t="inlineStr">
        <is>
          <t>Bisalloy Steel Group Ltd</t>
        </is>
      </c>
      <c r="J773" t="inlineStr">
        <is>
          <t>AUD</t>
        </is>
      </c>
      <c r="K773" s="5" t="inlineStr">
        <is>
          <t>01a1212c-4c04-75ce-bbb2-e3322e18816e</t>
        </is>
      </c>
      <c r="M773" t="inlineStr">
        <is>
          <t>UNKNOWN</t>
        </is>
      </c>
      <c r="N773" t="inlineStr">
        <is>
          <t>DEFAULT</t>
        </is>
      </c>
      <c r="Q773" t="n">
        <v>0</v>
      </c>
      <c r="R773" t="inlineStr">
        <is>
          <t>AUD</t>
        </is>
      </c>
      <c r="S773" t="n">
        <v>0</v>
      </c>
      <c r="T773" t="inlineStr">
        <is>
          <t>AUD</t>
        </is>
      </c>
      <c r="U773" t="n">
        <v>0</v>
      </c>
    </row>
    <row r="774">
      <c r="A774" s="5" t="inlineStr">
        <is>
          <t>01a1212c-5674-7138-9899-5878542d9acc</t>
        </is>
      </c>
      <c r="C774" s="5" t="inlineStr">
        <is>
          <t>01a1212c-4b57-70cf-80fd-c2192cb3bf81</t>
        </is>
      </c>
      <c r="D774" s="4" t="n">
        <v>46304.62403098479</v>
      </c>
      <c r="E774" s="4" t="n">
        <v>46304.62403098487</v>
      </c>
      <c r="F774" t="b">
        <v>1</v>
      </c>
      <c r="G774" t="n">
        <v/>
      </c>
      <c r="H774" t="inlineStr">
        <is>
          <t>POL</t>
        </is>
      </c>
      <c r="I774" t="inlineStr">
        <is>
          <t>Polymetals Resources Ltd</t>
        </is>
      </c>
      <c r="J774" t="inlineStr">
        <is>
          <t>AUD</t>
        </is>
      </c>
      <c r="K774" s="5" t="inlineStr">
        <is>
          <t>01a1212c-4c04-75ce-bbb2-e3322e18816e</t>
        </is>
      </c>
      <c r="M774" t="inlineStr">
        <is>
          <t>UNKNOWN</t>
        </is>
      </c>
      <c r="N774" t="inlineStr">
        <is>
          <t>DEFAULT</t>
        </is>
      </c>
      <c r="Q774" t="n">
        <v>0</v>
      </c>
      <c r="R774" t="inlineStr">
        <is>
          <t>AUD</t>
        </is>
      </c>
      <c r="S774" t="n">
        <v>0</v>
      </c>
      <c r="T774" t="inlineStr">
        <is>
          <t>AUD</t>
        </is>
      </c>
      <c r="U774" t="n">
        <v>0</v>
      </c>
    </row>
    <row r="775">
      <c r="A775" s="5" t="inlineStr">
        <is>
          <t>01a1212c-5677-71c4-8637-ee64bd13217b</t>
        </is>
      </c>
      <c r="C775" s="5" t="inlineStr">
        <is>
          <t>01a1212c-4b57-70cf-80fd-c2192cb3bf81</t>
        </is>
      </c>
      <c r="D775" s="4" t="n">
        <v>46304.62403101797</v>
      </c>
      <c r="E775" s="4" t="n">
        <v>46304.62403101806</v>
      </c>
      <c r="F775" t="b">
        <v>1</v>
      </c>
      <c r="G775" t="n">
        <v/>
      </c>
      <c r="H775" t="inlineStr">
        <is>
          <t>MMKT</t>
        </is>
      </c>
      <c r="I775" t="inlineStr">
        <is>
          <t>Betashares Aust. Cash Plus Fund (Managed Fund)</t>
        </is>
      </c>
      <c r="J775" t="inlineStr">
        <is>
          <t>AUD</t>
        </is>
      </c>
      <c r="K775" s="5" t="inlineStr">
        <is>
          <t>01a1212c-4c04-75ce-bbb2-e3322e18816e</t>
        </is>
      </c>
      <c r="M775" t="inlineStr">
        <is>
          <t>UNKNOWN</t>
        </is>
      </c>
      <c r="N775" t="inlineStr">
        <is>
          <t>DEFAULT</t>
        </is>
      </c>
      <c r="Q775" t="n">
        <v>0</v>
      </c>
      <c r="R775" t="inlineStr">
        <is>
          <t>AUD</t>
        </is>
      </c>
      <c r="S775" t="n">
        <v>0</v>
      </c>
      <c r="T775" t="inlineStr">
        <is>
          <t>AUD</t>
        </is>
      </c>
      <c r="U775" t="n">
        <v>0</v>
      </c>
    </row>
    <row r="776">
      <c r="A776" s="5" t="inlineStr">
        <is>
          <t>01a1212c-567a-7646-bad8-9e8afa8846eb</t>
        </is>
      </c>
      <c r="C776" s="5" t="inlineStr">
        <is>
          <t>01a1212c-4b57-70cf-80fd-c2192cb3bf81</t>
        </is>
      </c>
      <c r="D776" s="4" t="n">
        <v>46304.62403104845</v>
      </c>
      <c r="E776" s="4" t="n">
        <v>46304.62403104853</v>
      </c>
      <c r="F776" t="b">
        <v>1</v>
      </c>
      <c r="G776" t="n">
        <v/>
      </c>
      <c r="H776" t="inlineStr">
        <is>
          <t>SSG</t>
        </is>
      </c>
      <c r="I776" t="inlineStr">
        <is>
          <t>Shaver Shop Group Ltd</t>
        </is>
      </c>
      <c r="J776" t="inlineStr">
        <is>
          <t>AUD</t>
        </is>
      </c>
      <c r="K776" s="5" t="inlineStr">
        <is>
          <t>01a1212c-4c04-75ce-bbb2-e3322e18816e</t>
        </is>
      </c>
      <c r="M776" t="inlineStr">
        <is>
          <t>UNKNOWN</t>
        </is>
      </c>
      <c r="N776" t="inlineStr">
        <is>
          <t>DEFAULT</t>
        </is>
      </c>
      <c r="Q776" t="n">
        <v>0</v>
      </c>
      <c r="R776" t="inlineStr">
        <is>
          <t>AUD</t>
        </is>
      </c>
      <c r="S776" t="n">
        <v>0</v>
      </c>
      <c r="T776" t="inlineStr">
        <is>
          <t>AUD</t>
        </is>
      </c>
      <c r="U776" t="n">
        <v>0</v>
      </c>
    </row>
    <row r="777">
      <c r="A777" s="5" t="inlineStr">
        <is>
          <t>01a1212c-567d-709d-a267-2b840a5569c2</t>
        </is>
      </c>
      <c r="C777" s="5" t="inlineStr">
        <is>
          <t>01a1212c-4b57-70cf-80fd-c2192cb3bf81</t>
        </is>
      </c>
      <c r="D777" s="4" t="n">
        <v>46304.62403108192</v>
      </c>
      <c r="E777" s="4" t="n">
        <v>46304.624031082</v>
      </c>
      <c r="F777" t="b">
        <v>1</v>
      </c>
      <c r="G777" t="n">
        <v/>
      </c>
      <c r="H777" t="inlineStr">
        <is>
          <t>AIM</t>
        </is>
      </c>
      <c r="I777" t="inlineStr">
        <is>
          <t>Ai-Media Technologies Ltd</t>
        </is>
      </c>
      <c r="J777" t="inlineStr">
        <is>
          <t>AUD</t>
        </is>
      </c>
      <c r="K777" s="5" t="inlineStr">
        <is>
          <t>01a1212c-4c04-75ce-bbb2-e3322e18816e</t>
        </is>
      </c>
      <c r="M777" t="inlineStr">
        <is>
          <t>UNKNOWN</t>
        </is>
      </c>
      <c r="N777" t="inlineStr">
        <is>
          <t>DEFAULT</t>
        </is>
      </c>
      <c r="Q777" t="n">
        <v>0</v>
      </c>
      <c r="R777" t="inlineStr">
        <is>
          <t>AUD</t>
        </is>
      </c>
      <c r="S777" t="n">
        <v>0</v>
      </c>
      <c r="T777" t="inlineStr">
        <is>
          <t>AUD</t>
        </is>
      </c>
      <c r="U777" t="n">
        <v>0</v>
      </c>
    </row>
    <row r="778">
      <c r="A778" s="5" t="inlineStr">
        <is>
          <t>01a1212c-5680-7593-9b1b-b0203dd749e8</t>
        </is>
      </c>
      <c r="C778" s="5" t="inlineStr">
        <is>
          <t>01a1212c-4b57-70cf-80fd-c2192cb3bf81</t>
        </is>
      </c>
      <c r="D778" s="4" t="n">
        <v>46304.62403111285</v>
      </c>
      <c r="E778" s="4" t="n">
        <v>46304.62403111291</v>
      </c>
      <c r="F778" t="b">
        <v>1</v>
      </c>
      <c r="G778" t="n">
        <v/>
      </c>
      <c r="H778" t="inlineStr">
        <is>
          <t>IMB</t>
        </is>
      </c>
      <c r="I778" t="inlineStr">
        <is>
          <t>Intelligent Monitoring Group Ltd</t>
        </is>
      </c>
      <c r="J778" t="inlineStr">
        <is>
          <t>AUD</t>
        </is>
      </c>
      <c r="K778" s="5" t="inlineStr">
        <is>
          <t>01a1212c-4c04-75ce-bbb2-e3322e18816e</t>
        </is>
      </c>
      <c r="M778" t="inlineStr">
        <is>
          <t>UNKNOWN</t>
        </is>
      </c>
      <c r="N778" t="inlineStr">
        <is>
          <t>DEFAULT</t>
        </is>
      </c>
      <c r="Q778" t="n">
        <v>0</v>
      </c>
      <c r="R778" t="inlineStr">
        <is>
          <t>AUD</t>
        </is>
      </c>
      <c r="S778" t="n">
        <v>0</v>
      </c>
      <c r="T778" t="inlineStr">
        <is>
          <t>AUD</t>
        </is>
      </c>
      <c r="U778" t="n">
        <v>0</v>
      </c>
    </row>
    <row r="779">
      <c r="A779" s="5" t="inlineStr">
        <is>
          <t>01a1212c-5682-7727-805a-c3a6c4f60139</t>
        </is>
      </c>
      <c r="C779" s="5" t="inlineStr">
        <is>
          <t>01a1212c-4b57-70cf-80fd-c2192cb3bf81</t>
        </is>
      </c>
      <c r="D779" s="4" t="n">
        <v>46304.62403114571</v>
      </c>
      <c r="E779" s="4" t="n">
        <v>46304.62403114579</v>
      </c>
      <c r="F779" t="b">
        <v>1</v>
      </c>
      <c r="G779" t="n">
        <v/>
      </c>
      <c r="H779" t="inlineStr">
        <is>
          <t>STK</t>
        </is>
      </c>
      <c r="I779" t="inlineStr">
        <is>
          <t>Strickland Metals Ltd</t>
        </is>
      </c>
      <c r="J779" t="inlineStr">
        <is>
          <t>AUD</t>
        </is>
      </c>
      <c r="K779" s="5" t="inlineStr">
        <is>
          <t>01a1212c-4c04-75ce-bbb2-e3322e18816e</t>
        </is>
      </c>
      <c r="M779" t="inlineStr">
        <is>
          <t>UNKNOWN</t>
        </is>
      </c>
      <c r="N779" t="inlineStr">
        <is>
          <t>DEFAULT</t>
        </is>
      </c>
      <c r="Q779" t="n">
        <v>0</v>
      </c>
      <c r="R779" t="inlineStr">
        <is>
          <t>AUD</t>
        </is>
      </c>
      <c r="S779" t="n">
        <v>0</v>
      </c>
      <c r="T779" t="inlineStr">
        <is>
          <t>AUD</t>
        </is>
      </c>
      <c r="U779" t="n">
        <v>0</v>
      </c>
    </row>
    <row r="780">
      <c r="A780" s="5" t="inlineStr">
        <is>
          <t>01a1212c-5685-70a0-8801-0b4a20c49031</t>
        </is>
      </c>
      <c r="C780" s="5" t="inlineStr">
        <is>
          <t>01a1212c-4b57-70cf-80fd-c2192cb3bf81</t>
        </is>
      </c>
      <c r="D780" s="4" t="n">
        <v>46304.62403117651</v>
      </c>
      <c r="E780" s="4" t="n">
        <v>46304.62403117659</v>
      </c>
      <c r="F780" t="b">
        <v>1</v>
      </c>
      <c r="G780" t="n">
        <v/>
      </c>
      <c r="H780" t="inlineStr">
        <is>
          <t>MME</t>
        </is>
      </c>
      <c r="I780" t="inlineStr">
        <is>
          <t>Moneyme Ltd</t>
        </is>
      </c>
      <c r="J780" t="inlineStr">
        <is>
          <t>AUD</t>
        </is>
      </c>
      <c r="K780" s="5" t="inlineStr">
        <is>
          <t>01a1212c-4c04-75ce-bbb2-e3322e18816e</t>
        </is>
      </c>
      <c r="M780" t="inlineStr">
        <is>
          <t>UNKNOWN</t>
        </is>
      </c>
      <c r="N780" t="inlineStr">
        <is>
          <t>DEFAULT</t>
        </is>
      </c>
      <c r="Q780" t="n">
        <v>0</v>
      </c>
      <c r="R780" t="inlineStr">
        <is>
          <t>AUD</t>
        </is>
      </c>
      <c r="S780" t="n">
        <v>0</v>
      </c>
      <c r="T780" t="inlineStr">
        <is>
          <t>AUD</t>
        </is>
      </c>
      <c r="U780" t="n">
        <v>0</v>
      </c>
    </row>
    <row r="781">
      <c r="A781" s="5" t="inlineStr">
        <is>
          <t>01a1212c-5688-769d-9ee8-2723aa658859</t>
        </is>
      </c>
      <c r="C781" s="5" t="inlineStr">
        <is>
          <t>01a1212c-4b57-70cf-80fd-c2192cb3bf81</t>
        </is>
      </c>
      <c r="D781" s="4" t="n">
        <v>46304.62403120693</v>
      </c>
      <c r="E781" s="4" t="n">
        <v>46304.62403120701</v>
      </c>
      <c r="F781" t="b">
        <v>1</v>
      </c>
      <c r="G781" t="n">
        <v/>
      </c>
      <c r="H781" t="inlineStr">
        <is>
          <t>PCX</t>
        </is>
      </c>
      <c r="I781" t="inlineStr">
        <is>
          <t>Pengana Global Private Credit Trust</t>
        </is>
      </c>
      <c r="J781" t="inlineStr">
        <is>
          <t>AUD</t>
        </is>
      </c>
      <c r="K781" s="5" t="inlineStr">
        <is>
          <t>01a1212c-4c04-75ce-bbb2-e3322e18816e</t>
        </is>
      </c>
      <c r="M781" t="inlineStr">
        <is>
          <t>UNKNOWN</t>
        </is>
      </c>
      <c r="N781" t="inlineStr">
        <is>
          <t>DEFAULT</t>
        </is>
      </c>
      <c r="Q781" t="n">
        <v>0</v>
      </c>
      <c r="R781" t="inlineStr">
        <is>
          <t>AUD</t>
        </is>
      </c>
      <c r="S781" t="n">
        <v>0</v>
      </c>
      <c r="T781" t="inlineStr">
        <is>
          <t>AUD</t>
        </is>
      </c>
      <c r="U781" t="n">
        <v>0</v>
      </c>
    </row>
    <row r="782">
      <c r="A782" s="5" t="inlineStr">
        <is>
          <t>01a1212c-568a-74f2-a91e-35ec71103185</t>
        </is>
      </c>
      <c r="C782" s="5" t="inlineStr">
        <is>
          <t>01a1212c-4b57-70cf-80fd-c2192cb3bf81</t>
        </is>
      </c>
      <c r="D782" s="4" t="n">
        <v>46304.62403123809</v>
      </c>
      <c r="E782" s="4" t="n">
        <v>46304.62403123817</v>
      </c>
      <c r="F782" t="b">
        <v>1</v>
      </c>
      <c r="G782" t="n">
        <v/>
      </c>
      <c r="H782" t="inlineStr">
        <is>
          <t>EBND</t>
        </is>
      </c>
      <c r="I782" t="inlineStr">
        <is>
          <t>Vaneck Emerging Inc Opportunities Active ETF (Managed Fund)</t>
        </is>
      </c>
      <c r="J782" t="inlineStr">
        <is>
          <t>AUD</t>
        </is>
      </c>
      <c r="K782" s="5" t="inlineStr">
        <is>
          <t>01a1212c-4c04-75ce-bbb2-e3322e18816e</t>
        </is>
      </c>
      <c r="M782" t="inlineStr">
        <is>
          <t>UNKNOWN</t>
        </is>
      </c>
      <c r="N782" t="inlineStr">
        <is>
          <t>DEFAULT</t>
        </is>
      </c>
      <c r="Q782" t="n">
        <v>0</v>
      </c>
      <c r="R782" t="inlineStr">
        <is>
          <t>AUD</t>
        </is>
      </c>
      <c r="S782" t="n">
        <v>0</v>
      </c>
      <c r="T782" t="inlineStr">
        <is>
          <t>AUD</t>
        </is>
      </c>
      <c r="U782" t="n">
        <v>0</v>
      </c>
    </row>
    <row r="783">
      <c r="A783" s="5" t="inlineStr">
        <is>
          <t>01a1212c-568d-72a5-be74-8df038e9094a</t>
        </is>
      </c>
      <c r="C783" s="5" t="inlineStr">
        <is>
          <t>01a1212c-4b57-70cf-80fd-c2192cb3bf81</t>
        </is>
      </c>
      <c r="D783" s="4" t="n">
        <v>46304.62403126909</v>
      </c>
      <c r="E783" s="4" t="n">
        <v>46304.62403126917</v>
      </c>
      <c r="F783" t="b">
        <v>1</v>
      </c>
      <c r="G783" t="n">
        <v/>
      </c>
      <c r="H783" t="inlineStr">
        <is>
          <t>BWN</t>
        </is>
      </c>
      <c r="I783" t="inlineStr">
        <is>
          <t>Bhagwan Marine Ltd</t>
        </is>
      </c>
      <c r="J783" t="inlineStr">
        <is>
          <t>AUD</t>
        </is>
      </c>
      <c r="K783" s="5" t="inlineStr">
        <is>
          <t>01a1212c-4c04-75ce-bbb2-e3322e18816e</t>
        </is>
      </c>
      <c r="M783" t="inlineStr">
        <is>
          <t>UNKNOWN</t>
        </is>
      </c>
      <c r="N783" t="inlineStr">
        <is>
          <t>DEFAULT</t>
        </is>
      </c>
      <c r="Q783" t="n">
        <v>0</v>
      </c>
      <c r="R783" t="inlineStr">
        <is>
          <t>AUD</t>
        </is>
      </c>
      <c r="S783" t="n">
        <v>0</v>
      </c>
      <c r="T783" t="inlineStr">
        <is>
          <t>AUD</t>
        </is>
      </c>
      <c r="U783" t="n">
        <v>0</v>
      </c>
    </row>
    <row r="784">
      <c r="A784" s="5" t="inlineStr">
        <is>
          <t>01a1212c-5690-73ac-9e31-2e5ac13651fb</t>
        </is>
      </c>
      <c r="C784" s="5" t="inlineStr">
        <is>
          <t>01a1212c-4b57-70cf-80fd-c2192cb3bf81</t>
        </is>
      </c>
      <c r="D784" s="4" t="n">
        <v>46304.62403130204</v>
      </c>
      <c r="E784" s="4" t="n">
        <v>46304.6240313021</v>
      </c>
      <c r="F784" t="b">
        <v>1</v>
      </c>
      <c r="G784" t="n">
        <v/>
      </c>
      <c r="H784" t="inlineStr">
        <is>
          <t>CAA</t>
        </is>
      </c>
      <c r="I784" t="inlineStr">
        <is>
          <t>Capral Ltd</t>
        </is>
      </c>
      <c r="J784" t="inlineStr">
        <is>
          <t>AUD</t>
        </is>
      </c>
      <c r="K784" s="5" t="inlineStr">
        <is>
          <t>01a1212c-4c04-75ce-bbb2-e3322e18816e</t>
        </is>
      </c>
      <c r="M784" t="inlineStr">
        <is>
          <t>UNKNOWN</t>
        </is>
      </c>
      <c r="N784" t="inlineStr">
        <is>
          <t>DEFAULT</t>
        </is>
      </c>
      <c r="Q784" t="n">
        <v>0</v>
      </c>
      <c r="R784" t="inlineStr">
        <is>
          <t>AUD</t>
        </is>
      </c>
      <c r="S784" t="n">
        <v>0</v>
      </c>
      <c r="T784" t="inlineStr">
        <is>
          <t>AUD</t>
        </is>
      </c>
      <c r="U784" t="n">
        <v>0</v>
      </c>
    </row>
    <row r="785">
      <c r="A785" s="5" t="inlineStr">
        <is>
          <t>01a1212c-5693-740f-a7c0-f4b7d7d02b24</t>
        </is>
      </c>
      <c r="C785" s="5" t="inlineStr">
        <is>
          <t>01a1212c-4b57-70cf-80fd-c2192cb3bf81</t>
        </is>
      </c>
      <c r="D785" s="4" t="n">
        <v>46304.62403133269</v>
      </c>
      <c r="E785" s="4" t="n">
        <v>46304.62403133277</v>
      </c>
      <c r="F785" t="b">
        <v>1</v>
      </c>
      <c r="G785" t="n">
        <v/>
      </c>
      <c r="H785" t="inlineStr">
        <is>
          <t>COS</t>
        </is>
      </c>
      <c r="I785" t="inlineStr">
        <is>
          <t>Cosol Ltd</t>
        </is>
      </c>
      <c r="J785" t="inlineStr">
        <is>
          <t>AUD</t>
        </is>
      </c>
      <c r="K785" s="5" t="inlineStr">
        <is>
          <t>01a1212c-4c04-75ce-bbb2-e3322e18816e</t>
        </is>
      </c>
      <c r="M785" t="inlineStr">
        <is>
          <t>UNKNOWN</t>
        </is>
      </c>
      <c r="N785" t="inlineStr">
        <is>
          <t>DEFAULT</t>
        </is>
      </c>
      <c r="Q785" t="n">
        <v>0</v>
      </c>
      <c r="R785" t="inlineStr">
        <is>
          <t>AUD</t>
        </is>
      </c>
      <c r="S785" t="n">
        <v>0</v>
      </c>
      <c r="T785" t="inlineStr">
        <is>
          <t>AUD</t>
        </is>
      </c>
      <c r="U785" t="n">
        <v>0</v>
      </c>
    </row>
    <row r="786">
      <c r="A786" s="5" t="inlineStr">
        <is>
          <t>01a1212c-5695-7620-a268-0f2286285cfa</t>
        </is>
      </c>
      <c r="C786" s="5" t="inlineStr">
        <is>
          <t>01a1212c-4b57-70cf-80fd-c2192cb3bf81</t>
        </is>
      </c>
      <c r="D786" s="4" t="n">
        <v>46304.6240313638</v>
      </c>
      <c r="E786" s="4" t="n">
        <v>46304.62403136388</v>
      </c>
      <c r="F786" t="b">
        <v>1</v>
      </c>
      <c r="G786" t="n">
        <v/>
      </c>
      <c r="H786" t="inlineStr">
        <is>
          <t>A11</t>
        </is>
      </c>
      <c r="I786" t="inlineStr">
        <is>
          <t>Atlantic Lithium Ltd</t>
        </is>
      </c>
      <c r="J786" t="inlineStr">
        <is>
          <t>AUD</t>
        </is>
      </c>
      <c r="K786" s="5" t="inlineStr">
        <is>
          <t>01a1212c-4c04-75ce-bbb2-e3322e18816e</t>
        </is>
      </c>
      <c r="M786" t="inlineStr">
        <is>
          <t>UNKNOWN</t>
        </is>
      </c>
      <c r="N786" t="inlineStr">
        <is>
          <t>DEFAULT</t>
        </is>
      </c>
      <c r="Q786" t="n">
        <v>0</v>
      </c>
      <c r="R786" t="inlineStr">
        <is>
          <t>AUD</t>
        </is>
      </c>
      <c r="S786" t="n">
        <v>0</v>
      </c>
      <c r="T786" t="inlineStr">
        <is>
          <t>AUD</t>
        </is>
      </c>
      <c r="U786" t="n">
        <v>0</v>
      </c>
    </row>
    <row r="787">
      <c r="A787" s="5" t="inlineStr">
        <is>
          <t>01a1212c-5698-75e9-a0cb-25c5b1fc1312</t>
        </is>
      </c>
      <c r="C787" s="5" t="inlineStr">
        <is>
          <t>01a1212c-4b57-70cf-80fd-c2192cb3bf81</t>
        </is>
      </c>
      <c r="D787" s="4" t="n">
        <v>46304.62403139438</v>
      </c>
      <c r="E787" s="4" t="n">
        <v>46304.62403139446</v>
      </c>
      <c r="F787" t="b">
        <v>1</v>
      </c>
      <c r="G787" t="n">
        <v/>
      </c>
      <c r="H787" t="inlineStr">
        <is>
          <t>SLH</t>
        </is>
      </c>
      <c r="I787" t="inlineStr">
        <is>
          <t>Silk Logistics Holdings Ltd</t>
        </is>
      </c>
      <c r="J787" t="inlineStr">
        <is>
          <t>AUD</t>
        </is>
      </c>
      <c r="K787" s="5" t="inlineStr">
        <is>
          <t>01a1212c-4c04-75ce-bbb2-e3322e18816e</t>
        </is>
      </c>
      <c r="M787" t="inlineStr">
        <is>
          <t>UNKNOWN</t>
        </is>
      </c>
      <c r="N787" t="inlineStr">
        <is>
          <t>DEFAULT</t>
        </is>
      </c>
      <c r="Q787" t="n">
        <v>0</v>
      </c>
      <c r="R787" t="inlineStr">
        <is>
          <t>AUD</t>
        </is>
      </c>
      <c r="S787" t="n">
        <v>0</v>
      </c>
      <c r="T787" t="inlineStr">
        <is>
          <t>AUD</t>
        </is>
      </c>
      <c r="U787" t="n">
        <v>0</v>
      </c>
    </row>
    <row r="788">
      <c r="A788" s="5" t="inlineStr">
        <is>
          <t>01a1212c-569b-704f-92a5-6dd0061ebc28</t>
        </is>
      </c>
      <c r="C788" s="5" t="inlineStr">
        <is>
          <t>01a1212c-4b57-70cf-80fd-c2192cb3bf81</t>
        </is>
      </c>
      <c r="D788" s="4" t="n">
        <v>46304.62403142911</v>
      </c>
      <c r="E788" s="4" t="n">
        <v>46304.62403142919</v>
      </c>
      <c r="F788" t="b">
        <v>1</v>
      </c>
      <c r="G788" t="n">
        <v/>
      </c>
      <c r="H788" t="inlineStr">
        <is>
          <t>VCF</t>
        </is>
      </c>
      <c r="I788" t="inlineStr">
        <is>
          <t>Vanguard International Credit Securities INDEX (Hedged) ETF</t>
        </is>
      </c>
      <c r="J788" t="inlineStr">
        <is>
          <t>AUD</t>
        </is>
      </c>
      <c r="K788" s="5" t="inlineStr">
        <is>
          <t>01a1212c-4c04-75ce-bbb2-e3322e18816e</t>
        </is>
      </c>
      <c r="M788" t="inlineStr">
        <is>
          <t>UNKNOWN</t>
        </is>
      </c>
      <c r="N788" t="inlineStr">
        <is>
          <t>DEFAULT</t>
        </is>
      </c>
      <c r="Q788" t="n">
        <v>0</v>
      </c>
      <c r="R788" t="inlineStr">
        <is>
          <t>AUD</t>
        </is>
      </c>
      <c r="S788" t="n">
        <v>0</v>
      </c>
      <c r="T788" t="inlineStr">
        <is>
          <t>AUD</t>
        </is>
      </c>
      <c r="U788" t="n">
        <v>0</v>
      </c>
    </row>
    <row r="789">
      <c r="A789" s="5" t="inlineStr">
        <is>
          <t>01a1212c-569e-779f-8300-69e47a1a956e</t>
        </is>
      </c>
      <c r="C789" s="5" t="inlineStr">
        <is>
          <t>01a1212c-4b57-70cf-80fd-c2192cb3bf81</t>
        </is>
      </c>
      <c r="D789" s="4" t="n">
        <v>46304.62403146059</v>
      </c>
      <c r="E789" s="4" t="n">
        <v>46304.62403146067</v>
      </c>
      <c r="F789" t="b">
        <v>1</v>
      </c>
      <c r="G789" t="n">
        <v/>
      </c>
      <c r="H789" t="inlineStr">
        <is>
          <t>BTH</t>
        </is>
      </c>
      <c r="I789" t="inlineStr">
        <is>
          <t>Bigtincan Holdings Ltd</t>
        </is>
      </c>
      <c r="J789" t="inlineStr">
        <is>
          <t>AUD</t>
        </is>
      </c>
      <c r="K789" s="5" t="inlineStr">
        <is>
          <t>01a1212c-4c04-75ce-bbb2-e3322e18816e</t>
        </is>
      </c>
      <c r="M789" t="inlineStr">
        <is>
          <t>UNKNOWN</t>
        </is>
      </c>
      <c r="N789" t="inlineStr">
        <is>
          <t>DEFAULT</t>
        </is>
      </c>
      <c r="Q789" t="n">
        <v>0</v>
      </c>
      <c r="R789" t="inlineStr">
        <is>
          <t>AUD</t>
        </is>
      </c>
      <c r="S789" t="n">
        <v>0</v>
      </c>
      <c r="T789" t="inlineStr">
        <is>
          <t>AUD</t>
        </is>
      </c>
      <c r="U789" t="n">
        <v>0</v>
      </c>
    </row>
    <row r="790">
      <c r="A790" s="5" t="inlineStr">
        <is>
          <t>01a1212c-56a0-761b-8ae6-1e8fbc9ab0df</t>
        </is>
      </c>
      <c r="C790" s="5" t="inlineStr">
        <is>
          <t>01a1212c-4b57-70cf-80fd-c2192cb3bf81</t>
        </is>
      </c>
      <c r="D790" s="4" t="n">
        <v>46304.6240314914</v>
      </c>
      <c r="E790" s="4" t="n">
        <v>46304.62403149148</v>
      </c>
      <c r="F790" t="b">
        <v>1</v>
      </c>
      <c r="G790" t="n">
        <v/>
      </c>
      <c r="H790" t="inlineStr">
        <is>
          <t>FSML</t>
        </is>
      </c>
      <c r="I790" t="inlineStr">
        <is>
          <t>Firetrail Aust Small Companies Fund - Active ETF</t>
        </is>
      </c>
      <c r="J790" t="inlineStr">
        <is>
          <t>AUD</t>
        </is>
      </c>
      <c r="K790" s="5" t="inlineStr">
        <is>
          <t>01a1212c-4c04-75ce-bbb2-e3322e18816e</t>
        </is>
      </c>
      <c r="M790" t="inlineStr">
        <is>
          <t>UNKNOWN</t>
        </is>
      </c>
      <c r="N790" t="inlineStr">
        <is>
          <t>DEFAULT</t>
        </is>
      </c>
      <c r="Q790" t="n">
        <v>0</v>
      </c>
      <c r="R790" t="inlineStr">
        <is>
          <t>AUD</t>
        </is>
      </c>
      <c r="S790" t="n">
        <v>0</v>
      </c>
      <c r="T790" t="inlineStr">
        <is>
          <t>AUD</t>
        </is>
      </c>
      <c r="U790" t="n">
        <v>0</v>
      </c>
    </row>
    <row r="791">
      <c r="A791" s="5" t="inlineStr">
        <is>
          <t>01a1212c-56a3-767f-a0fb-09dc71a2115f</t>
        </is>
      </c>
      <c r="C791" s="5" t="inlineStr">
        <is>
          <t>01a1212c-4b57-70cf-80fd-c2192cb3bf81</t>
        </is>
      </c>
      <c r="D791" s="4" t="n">
        <v>46304.62403152219</v>
      </c>
      <c r="E791" s="4" t="n">
        <v>46304.62403152226</v>
      </c>
      <c r="F791" t="b">
        <v>1</v>
      </c>
      <c r="G791" t="n">
        <v/>
      </c>
      <c r="H791" t="inlineStr">
        <is>
          <t>COI</t>
        </is>
      </c>
      <c r="I791" t="inlineStr">
        <is>
          <t>Comet Ridge Ltd</t>
        </is>
      </c>
      <c r="J791" t="inlineStr">
        <is>
          <t>AUD</t>
        </is>
      </c>
      <c r="K791" s="5" t="inlineStr">
        <is>
          <t>01a1212c-4c04-75ce-bbb2-e3322e18816e</t>
        </is>
      </c>
      <c r="M791" t="inlineStr">
        <is>
          <t>UNKNOWN</t>
        </is>
      </c>
      <c r="N791" t="inlineStr">
        <is>
          <t>DEFAULT</t>
        </is>
      </c>
      <c r="Q791" t="n">
        <v>0</v>
      </c>
      <c r="R791" t="inlineStr">
        <is>
          <t>AUD</t>
        </is>
      </c>
      <c r="S791" t="n">
        <v>0</v>
      </c>
      <c r="T791" t="inlineStr">
        <is>
          <t>AUD</t>
        </is>
      </c>
      <c r="U791" t="n">
        <v>0</v>
      </c>
    </row>
    <row r="792">
      <c r="A792" s="5" t="inlineStr">
        <is>
          <t>01a1212c-56a6-77ec-8d6a-b86ebc0f768f</t>
        </is>
      </c>
      <c r="C792" s="5" t="inlineStr">
        <is>
          <t>01a1212c-4b57-70cf-80fd-c2192cb3bf81</t>
        </is>
      </c>
      <c r="D792" s="4" t="n">
        <v>46304.62403155279</v>
      </c>
      <c r="E792" s="4" t="n">
        <v>46304.62403155286</v>
      </c>
      <c r="F792" t="b">
        <v>1</v>
      </c>
      <c r="G792" t="n">
        <v/>
      </c>
      <c r="H792" t="inlineStr">
        <is>
          <t>MVS</t>
        </is>
      </c>
      <c r="I792" t="inlineStr">
        <is>
          <t>Vaneck Small Companies Masters ETF</t>
        </is>
      </c>
      <c r="J792" t="inlineStr">
        <is>
          <t>AUD</t>
        </is>
      </c>
      <c r="K792" s="5" t="inlineStr">
        <is>
          <t>01a1212c-4c04-75ce-bbb2-e3322e18816e</t>
        </is>
      </c>
      <c r="M792" t="inlineStr">
        <is>
          <t>UNKNOWN</t>
        </is>
      </c>
      <c r="N792" t="inlineStr">
        <is>
          <t>DEFAULT</t>
        </is>
      </c>
      <c r="Q792" t="n">
        <v>0</v>
      </c>
      <c r="R792" t="inlineStr">
        <is>
          <t>AUD</t>
        </is>
      </c>
      <c r="S792" t="n">
        <v>0</v>
      </c>
      <c r="T792" t="inlineStr">
        <is>
          <t>AUD</t>
        </is>
      </c>
      <c r="U792" t="n">
        <v>0</v>
      </c>
    </row>
    <row r="793">
      <c r="A793" s="5" t="inlineStr">
        <is>
          <t>01a1212c-56a8-74fe-8d9d-e4189ce19df9</t>
        </is>
      </c>
      <c r="C793" s="5" t="inlineStr">
        <is>
          <t>01a1212c-4b57-70cf-80fd-c2192cb3bf81</t>
        </is>
      </c>
      <c r="D793" s="4" t="n">
        <v>46304.62403158567</v>
      </c>
      <c r="E793" s="4" t="n">
        <v>46304.62403158575</v>
      </c>
      <c r="F793" t="b">
        <v>1</v>
      </c>
      <c r="G793" t="n">
        <v/>
      </c>
      <c r="H793" t="inlineStr">
        <is>
          <t>NTU</t>
        </is>
      </c>
      <c r="I793" t="inlineStr">
        <is>
          <t>Northern Minerals Ltd</t>
        </is>
      </c>
      <c r="J793" t="inlineStr">
        <is>
          <t>AUD</t>
        </is>
      </c>
      <c r="K793" s="5" t="inlineStr">
        <is>
          <t>01a1212c-4c04-75ce-bbb2-e3322e18816e</t>
        </is>
      </c>
      <c r="M793" t="inlineStr">
        <is>
          <t>UNKNOWN</t>
        </is>
      </c>
      <c r="N793" t="inlineStr">
        <is>
          <t>DEFAULT</t>
        </is>
      </c>
      <c r="Q793" t="n">
        <v>0</v>
      </c>
      <c r="R793" t="inlineStr">
        <is>
          <t>AUD</t>
        </is>
      </c>
      <c r="S793" t="n">
        <v>0</v>
      </c>
      <c r="T793" t="inlineStr">
        <is>
          <t>AUD</t>
        </is>
      </c>
      <c r="U793" t="n">
        <v>0</v>
      </c>
    </row>
    <row r="794">
      <c r="A794" s="5" t="inlineStr">
        <is>
          <t>01a1212c-56ab-7081-bd9f-f8fd15ab062a</t>
        </is>
      </c>
      <c r="C794" s="5" t="inlineStr">
        <is>
          <t>01a1212c-4b57-70cf-80fd-c2192cb3bf81</t>
        </is>
      </c>
      <c r="D794" s="4" t="n">
        <v>46304.62403161728</v>
      </c>
      <c r="E794" s="4" t="n">
        <v>46304.62403161736</v>
      </c>
      <c r="F794" t="b">
        <v>1</v>
      </c>
      <c r="G794" t="n">
        <v/>
      </c>
      <c r="H794" t="inlineStr">
        <is>
          <t>SPG</t>
        </is>
      </c>
      <c r="I794" t="inlineStr">
        <is>
          <t>SPC Global Holdings Ltd</t>
        </is>
      </c>
      <c r="J794" t="inlineStr">
        <is>
          <t>AUD</t>
        </is>
      </c>
      <c r="K794" s="5" t="inlineStr">
        <is>
          <t>01a1212c-4c04-75ce-bbb2-e3322e18816e</t>
        </is>
      </c>
      <c r="M794" t="inlineStr">
        <is>
          <t>UNKNOWN</t>
        </is>
      </c>
      <c r="N794" t="inlineStr">
        <is>
          <t>DEFAULT</t>
        </is>
      </c>
      <c r="Q794" t="n">
        <v>0</v>
      </c>
      <c r="R794" t="inlineStr">
        <is>
          <t>AUD</t>
        </is>
      </c>
      <c r="S794" t="n">
        <v>0</v>
      </c>
      <c r="T794" t="inlineStr">
        <is>
          <t>AUD</t>
        </is>
      </c>
      <c r="U794" t="n">
        <v>0</v>
      </c>
    </row>
    <row r="795">
      <c r="A795" s="5" t="inlineStr">
        <is>
          <t>01a1212c-56ae-722a-9d4a-6bc75a924145</t>
        </is>
      </c>
      <c r="C795" s="5" t="inlineStr">
        <is>
          <t>01a1212c-4b57-70cf-80fd-c2192cb3bf81</t>
        </is>
      </c>
      <c r="D795" s="4" t="n">
        <v>46304.62403164824</v>
      </c>
      <c r="E795" s="4" t="n">
        <v>46304.62403164831</v>
      </c>
      <c r="F795" t="b">
        <v>1</v>
      </c>
      <c r="G795" t="n">
        <v/>
      </c>
      <c r="H795" t="inlineStr">
        <is>
          <t>URNM</t>
        </is>
      </c>
      <c r="I795" t="inlineStr">
        <is>
          <t>Betashares Global Uranium ETF</t>
        </is>
      </c>
      <c r="J795" t="inlineStr">
        <is>
          <t>AUD</t>
        </is>
      </c>
      <c r="K795" s="5" t="inlineStr">
        <is>
          <t>01a1212c-4c04-75ce-bbb2-e3322e18816e</t>
        </is>
      </c>
      <c r="M795" t="inlineStr">
        <is>
          <t>UNKNOWN</t>
        </is>
      </c>
      <c r="N795" t="inlineStr">
        <is>
          <t>DEFAULT</t>
        </is>
      </c>
      <c r="Q795" t="n">
        <v>0</v>
      </c>
      <c r="R795" t="inlineStr">
        <is>
          <t>AUD</t>
        </is>
      </c>
      <c r="S795" t="n">
        <v>0</v>
      </c>
      <c r="T795" t="inlineStr">
        <is>
          <t>AUD</t>
        </is>
      </c>
      <c r="U795" t="n">
        <v>0</v>
      </c>
    </row>
    <row r="796">
      <c r="A796" s="5" t="inlineStr">
        <is>
          <t>01a1212c-56b0-70c9-83b2-d8bc76b0c1f4</t>
        </is>
      </c>
      <c r="C796" s="5" t="inlineStr">
        <is>
          <t>01a1212c-4b57-70cf-80fd-c2192cb3bf81</t>
        </is>
      </c>
      <c r="D796" s="4" t="n">
        <v>46304.62403167895</v>
      </c>
      <c r="E796" s="4" t="n">
        <v>46304.62403167903</v>
      </c>
      <c r="F796" t="b">
        <v>1</v>
      </c>
      <c r="G796" t="n">
        <v/>
      </c>
      <c r="H796" t="inlineStr">
        <is>
          <t>RHK</t>
        </is>
      </c>
      <c r="I796" t="inlineStr">
        <is>
          <t>Red Hawk Mining Ltd</t>
        </is>
      </c>
      <c r="J796" t="inlineStr">
        <is>
          <t>AUD</t>
        </is>
      </c>
      <c r="K796" s="5" t="inlineStr">
        <is>
          <t>01a1212c-4c04-75ce-bbb2-e3322e18816e</t>
        </is>
      </c>
      <c r="M796" t="inlineStr">
        <is>
          <t>UNKNOWN</t>
        </is>
      </c>
      <c r="N796" t="inlineStr">
        <is>
          <t>DEFAULT</t>
        </is>
      </c>
      <c r="Q796" t="n">
        <v>0</v>
      </c>
      <c r="R796" t="inlineStr">
        <is>
          <t>AUD</t>
        </is>
      </c>
      <c r="S796" t="n">
        <v>0</v>
      </c>
      <c r="T796" t="inlineStr">
        <is>
          <t>AUD</t>
        </is>
      </c>
      <c r="U796" t="n">
        <v>0</v>
      </c>
    </row>
    <row r="797">
      <c r="A797" s="5" t="inlineStr">
        <is>
          <t>01a1212c-56b3-70a4-aaba-83c8728b89a8</t>
        </is>
      </c>
      <c r="C797" s="5" t="inlineStr">
        <is>
          <t>01a1212c-4b57-70cf-80fd-c2192cb3bf81</t>
        </is>
      </c>
      <c r="D797" s="4" t="n">
        <v>46304.62403171169</v>
      </c>
      <c r="E797" s="4" t="n">
        <v>46304.62403171176</v>
      </c>
      <c r="F797" t="b">
        <v>1</v>
      </c>
      <c r="G797" t="n">
        <v/>
      </c>
      <c r="H797" t="inlineStr">
        <is>
          <t>HPG</t>
        </is>
      </c>
      <c r="I797" t="inlineStr">
        <is>
          <t>Hipages Group Holdings Ltd</t>
        </is>
      </c>
      <c r="J797" t="inlineStr">
        <is>
          <t>AUD</t>
        </is>
      </c>
      <c r="K797" s="5" t="inlineStr">
        <is>
          <t>01a1212c-4c04-75ce-bbb2-e3322e18816e</t>
        </is>
      </c>
      <c r="M797" t="inlineStr">
        <is>
          <t>UNKNOWN</t>
        </is>
      </c>
      <c r="N797" t="inlineStr">
        <is>
          <t>DEFAULT</t>
        </is>
      </c>
      <c r="Q797" t="n">
        <v>0</v>
      </c>
      <c r="R797" t="inlineStr">
        <is>
          <t>AUD</t>
        </is>
      </c>
      <c r="S797" t="n">
        <v>0</v>
      </c>
      <c r="T797" t="inlineStr">
        <is>
          <t>AUD</t>
        </is>
      </c>
      <c r="U797" t="n">
        <v>0</v>
      </c>
    </row>
    <row r="798">
      <c r="A798" s="5" t="inlineStr">
        <is>
          <t>01a1212c-56b6-752d-967c-0b1cb7195a5a</t>
        </is>
      </c>
      <c r="C798" s="5" t="inlineStr">
        <is>
          <t>01a1212c-4b57-70cf-80fd-c2192cb3bf81</t>
        </is>
      </c>
      <c r="D798" s="4" t="n">
        <v>46304.62403174267</v>
      </c>
      <c r="E798" s="4" t="n">
        <v>46304.62403174274</v>
      </c>
      <c r="F798" t="b">
        <v>1</v>
      </c>
      <c r="G798" t="n">
        <v/>
      </c>
      <c r="H798" t="inlineStr">
        <is>
          <t>EMV</t>
        </is>
      </c>
      <c r="I798" t="inlineStr">
        <is>
          <t>Emvision Medical Devices Ltd</t>
        </is>
      </c>
      <c r="J798" t="inlineStr">
        <is>
          <t>AUD</t>
        </is>
      </c>
      <c r="K798" s="5" t="inlineStr">
        <is>
          <t>01a1212c-4c04-75ce-bbb2-e3322e18816e</t>
        </is>
      </c>
      <c r="M798" t="inlineStr">
        <is>
          <t>UNKNOWN</t>
        </is>
      </c>
      <c r="N798" t="inlineStr">
        <is>
          <t>DEFAULT</t>
        </is>
      </c>
      <c r="Q798" t="n">
        <v>0</v>
      </c>
      <c r="R798" t="inlineStr">
        <is>
          <t>AUD</t>
        </is>
      </c>
      <c r="S798" t="n">
        <v>0</v>
      </c>
      <c r="T798" t="inlineStr">
        <is>
          <t>AUD</t>
        </is>
      </c>
      <c r="U798" t="n">
        <v>0</v>
      </c>
    </row>
    <row r="799">
      <c r="A799" s="5" t="inlineStr">
        <is>
          <t>01a1212c-56b9-70fe-8dac-72ac7c0c2780</t>
        </is>
      </c>
      <c r="C799" s="5" t="inlineStr">
        <is>
          <t>01a1212c-4b57-70cf-80fd-c2192cb3bf81</t>
        </is>
      </c>
      <c r="D799" s="4" t="n">
        <v>46304.62403177319</v>
      </c>
      <c r="E799" s="4" t="n">
        <v>46304.62403177327</v>
      </c>
      <c r="F799" t="b">
        <v>1</v>
      </c>
      <c r="G799" t="n">
        <v/>
      </c>
      <c r="H799" t="inlineStr">
        <is>
          <t>ASL</t>
        </is>
      </c>
      <c r="I799" t="inlineStr">
        <is>
          <t>Andean Silver Ltd</t>
        </is>
      </c>
      <c r="J799" t="inlineStr">
        <is>
          <t>AUD</t>
        </is>
      </c>
      <c r="K799" s="5" t="inlineStr">
        <is>
          <t>01a1212c-4c04-75ce-bbb2-e3322e18816e</t>
        </is>
      </c>
      <c r="M799" t="inlineStr">
        <is>
          <t>UNKNOWN</t>
        </is>
      </c>
      <c r="N799" t="inlineStr">
        <is>
          <t>DEFAULT</t>
        </is>
      </c>
      <c r="Q799" t="n">
        <v>0</v>
      </c>
      <c r="R799" t="inlineStr">
        <is>
          <t>AUD</t>
        </is>
      </c>
      <c r="S799" t="n">
        <v>0</v>
      </c>
      <c r="T799" t="inlineStr">
        <is>
          <t>AUD</t>
        </is>
      </c>
      <c r="U799" t="n">
        <v>0</v>
      </c>
    </row>
    <row r="800">
      <c r="A800" s="5" t="inlineStr">
        <is>
          <t>01a1212c-56bb-768c-be6e-6277a841437d</t>
        </is>
      </c>
      <c r="C800" s="5" t="inlineStr">
        <is>
          <t>01a1212c-4b57-70cf-80fd-c2192cb3bf81</t>
        </is>
      </c>
      <c r="D800" s="4" t="n">
        <v>46304.62403180591</v>
      </c>
      <c r="E800" s="4" t="n">
        <v>46304.62403180601</v>
      </c>
      <c r="F800" t="b">
        <v>1</v>
      </c>
      <c r="G800" t="n">
        <v/>
      </c>
      <c r="H800" t="inlineStr">
        <is>
          <t>CCV</t>
        </is>
      </c>
      <c r="I800" t="inlineStr">
        <is>
          <t>Cash Converters International</t>
        </is>
      </c>
      <c r="J800" t="inlineStr">
        <is>
          <t>AUD</t>
        </is>
      </c>
      <c r="K800" s="5" t="inlineStr">
        <is>
          <t>01a1212c-4c04-75ce-bbb2-e3322e18816e</t>
        </is>
      </c>
      <c r="M800" t="inlineStr">
        <is>
          <t>UNKNOWN</t>
        </is>
      </c>
      <c r="N800" t="inlineStr">
        <is>
          <t>DEFAULT</t>
        </is>
      </c>
      <c r="Q800" t="n">
        <v>0</v>
      </c>
      <c r="R800" t="inlineStr">
        <is>
          <t>AUD</t>
        </is>
      </c>
      <c r="S800" t="n">
        <v>0</v>
      </c>
      <c r="T800" t="inlineStr">
        <is>
          <t>AUD</t>
        </is>
      </c>
      <c r="U800" t="n">
        <v>0</v>
      </c>
    </row>
    <row r="801">
      <c r="A801" s="5" t="inlineStr">
        <is>
          <t>01a1212c-56be-7493-b0ad-b751b3843a6b</t>
        </is>
      </c>
      <c r="C801" s="5" t="inlineStr">
        <is>
          <t>01a1212c-4b57-70cf-80fd-c2192cb3bf81</t>
        </is>
      </c>
      <c r="D801" s="4" t="n">
        <v>46304.62403183719</v>
      </c>
      <c r="E801" s="4" t="n">
        <v>46304.62403183727</v>
      </c>
      <c r="F801" t="b">
        <v>1</v>
      </c>
      <c r="G801" t="n">
        <v/>
      </c>
      <c r="H801" t="inlineStr">
        <is>
          <t>FUEL</t>
        </is>
      </c>
      <c r="I801" t="inlineStr">
        <is>
          <t>Betashares Global Energy Comp Currency Hedged ETF</t>
        </is>
      </c>
      <c r="J801" t="inlineStr">
        <is>
          <t>AUD</t>
        </is>
      </c>
      <c r="K801" s="5" t="inlineStr">
        <is>
          <t>01a1212c-4c04-75ce-bbb2-e3322e18816e</t>
        </is>
      </c>
      <c r="M801" t="inlineStr">
        <is>
          <t>UNKNOWN</t>
        </is>
      </c>
      <c r="N801" t="inlineStr">
        <is>
          <t>DEFAULT</t>
        </is>
      </c>
      <c r="Q801" t="n">
        <v>0</v>
      </c>
      <c r="R801" t="inlineStr">
        <is>
          <t>AUD</t>
        </is>
      </c>
      <c r="S801" t="n">
        <v>0</v>
      </c>
      <c r="T801" t="inlineStr">
        <is>
          <t>AUD</t>
        </is>
      </c>
      <c r="U801" t="n">
        <v>0</v>
      </c>
    </row>
    <row r="802">
      <c r="A802" s="5" t="inlineStr">
        <is>
          <t>01a1212c-56c1-729d-bb72-9af992ad7af4</t>
        </is>
      </c>
      <c r="C802" s="5" t="inlineStr">
        <is>
          <t>01a1212c-4b57-70cf-80fd-c2192cb3bf81</t>
        </is>
      </c>
      <c r="D802" s="4" t="n">
        <v>46304.62403186998</v>
      </c>
      <c r="E802" s="4" t="n">
        <v>46304.62403187004</v>
      </c>
      <c r="F802" t="b">
        <v>1</v>
      </c>
      <c r="G802" t="n">
        <v/>
      </c>
      <c r="H802" t="inlineStr">
        <is>
          <t>BCK</t>
        </is>
      </c>
      <c r="I802" t="inlineStr">
        <is>
          <t>Brockman Mining Ltd</t>
        </is>
      </c>
      <c r="J802" t="inlineStr">
        <is>
          <t>AUD</t>
        </is>
      </c>
      <c r="K802" s="5" t="inlineStr">
        <is>
          <t>01a1212c-4c04-75ce-bbb2-e3322e18816e</t>
        </is>
      </c>
      <c r="M802" t="inlineStr">
        <is>
          <t>UNKNOWN</t>
        </is>
      </c>
      <c r="N802" t="inlineStr">
        <is>
          <t>DEFAULT</t>
        </is>
      </c>
      <c r="Q802" t="n">
        <v>0</v>
      </c>
      <c r="R802" t="inlineStr">
        <is>
          <t>AUD</t>
        </is>
      </c>
      <c r="S802" t="n">
        <v>0</v>
      </c>
      <c r="T802" t="inlineStr">
        <is>
          <t>AUD</t>
        </is>
      </c>
      <c r="U802" t="n">
        <v>0</v>
      </c>
    </row>
    <row r="803">
      <c r="A803" s="5" t="inlineStr">
        <is>
          <t>01a1212c-56c4-7563-87f6-45034325d20b</t>
        </is>
      </c>
      <c r="C803" s="5" t="inlineStr">
        <is>
          <t>01a1212c-4b57-70cf-80fd-c2192cb3bf81</t>
        </is>
      </c>
      <c r="D803" s="4" t="n">
        <v>46304.6240319009</v>
      </c>
      <c r="E803" s="4" t="n">
        <v>46304.62403190097</v>
      </c>
      <c r="F803" t="b">
        <v>1</v>
      </c>
      <c r="G803" t="n">
        <v/>
      </c>
      <c r="H803" t="inlineStr">
        <is>
          <t>AUC</t>
        </is>
      </c>
      <c r="I803" t="inlineStr">
        <is>
          <t>Ausgold Ltd</t>
        </is>
      </c>
      <c r="J803" t="inlineStr">
        <is>
          <t>AUD</t>
        </is>
      </c>
      <c r="K803" s="5" t="inlineStr">
        <is>
          <t>01a1212c-4c04-75ce-bbb2-e3322e18816e</t>
        </is>
      </c>
      <c r="M803" t="inlineStr">
        <is>
          <t>UNKNOWN</t>
        </is>
      </c>
      <c r="N803" t="inlineStr">
        <is>
          <t>DEFAULT</t>
        </is>
      </c>
      <c r="Q803" t="n">
        <v>0</v>
      </c>
      <c r="R803" t="inlineStr">
        <is>
          <t>AUD</t>
        </is>
      </c>
      <c r="S803" t="n">
        <v>0</v>
      </c>
      <c r="T803" t="inlineStr">
        <is>
          <t>AUD</t>
        </is>
      </c>
      <c r="U803" t="n">
        <v>0</v>
      </c>
    </row>
    <row r="804">
      <c r="A804" s="5" t="inlineStr">
        <is>
          <t>01a1212c-56c6-71bb-84e5-287aea626e7e</t>
        </is>
      </c>
      <c r="C804" s="5" t="inlineStr">
        <is>
          <t>01a1212c-4b57-70cf-80fd-c2192cb3bf81</t>
        </is>
      </c>
      <c r="D804" s="4" t="n">
        <v>46304.62403193105</v>
      </c>
      <c r="E804" s="4" t="n">
        <v>46304.62403193113</v>
      </c>
      <c r="F804" t="b">
        <v>1</v>
      </c>
      <c r="G804" t="n">
        <v/>
      </c>
      <c r="H804" t="inlineStr">
        <is>
          <t>EZL</t>
        </is>
      </c>
      <c r="I804" t="inlineStr">
        <is>
          <t>EUROZ Hartleys Group Ltd</t>
        </is>
      </c>
      <c r="J804" t="inlineStr">
        <is>
          <t>AUD</t>
        </is>
      </c>
      <c r="K804" s="5" t="inlineStr">
        <is>
          <t>01a1212c-4c04-75ce-bbb2-e3322e18816e</t>
        </is>
      </c>
      <c r="M804" t="inlineStr">
        <is>
          <t>UNKNOWN</t>
        </is>
      </c>
      <c r="N804" t="inlineStr">
        <is>
          <t>DEFAULT</t>
        </is>
      </c>
      <c r="Q804" t="n">
        <v>0</v>
      </c>
      <c r="R804" t="inlineStr">
        <is>
          <t>AUD</t>
        </is>
      </c>
      <c r="S804" t="n">
        <v>0</v>
      </c>
      <c r="T804" t="inlineStr">
        <is>
          <t>AUD</t>
        </is>
      </c>
      <c r="U804" t="n">
        <v>0</v>
      </c>
    </row>
    <row r="805">
      <c r="A805" s="5" t="inlineStr">
        <is>
          <t>01a1212c-56c9-7662-a12c-a396bad733cf</t>
        </is>
      </c>
      <c r="C805" s="5" t="inlineStr">
        <is>
          <t>01a1212c-4b57-70cf-80fd-c2192cb3bf81</t>
        </is>
      </c>
      <c r="D805" s="4" t="n">
        <v>46304.62403196158</v>
      </c>
      <c r="E805" s="4" t="n">
        <v>46304.62403196166</v>
      </c>
      <c r="F805" t="b">
        <v>1</v>
      </c>
      <c r="G805" t="n">
        <v/>
      </c>
      <c r="H805" t="inlineStr">
        <is>
          <t>AIS</t>
        </is>
      </c>
      <c r="I805" t="inlineStr">
        <is>
          <t>Aeris Resources Ltd</t>
        </is>
      </c>
      <c r="J805" t="inlineStr">
        <is>
          <t>AUD</t>
        </is>
      </c>
      <c r="K805" s="5" t="inlineStr">
        <is>
          <t>01a1212c-4c04-75ce-bbb2-e3322e18816e</t>
        </is>
      </c>
      <c r="M805" t="inlineStr">
        <is>
          <t>UNKNOWN</t>
        </is>
      </c>
      <c r="N805" t="inlineStr">
        <is>
          <t>DEFAULT</t>
        </is>
      </c>
      <c r="Q805" t="n">
        <v>0</v>
      </c>
      <c r="R805" t="inlineStr">
        <is>
          <t>AUD</t>
        </is>
      </c>
      <c r="S805" t="n">
        <v>0</v>
      </c>
      <c r="T805" t="inlineStr">
        <is>
          <t>AUD</t>
        </is>
      </c>
      <c r="U805" t="n">
        <v>0</v>
      </c>
    </row>
    <row r="806">
      <c r="A806" s="5" t="inlineStr">
        <is>
          <t>01a1212c-56cc-731a-ae66-40a09f4e0c8b</t>
        </is>
      </c>
      <c r="C806" s="5" t="inlineStr">
        <is>
          <t>01a1212c-4b57-70cf-80fd-c2192cb3bf81</t>
        </is>
      </c>
      <c r="D806" s="4" t="n">
        <v>46304.62403199467</v>
      </c>
      <c r="E806" s="4" t="n">
        <v>46304.62403199477</v>
      </c>
      <c r="F806" t="b">
        <v>1</v>
      </c>
      <c r="G806" t="n">
        <v/>
      </c>
      <c r="H806" t="inlineStr">
        <is>
          <t>CRD</t>
        </is>
      </c>
      <c r="I806" t="inlineStr">
        <is>
          <t>Conrad Asia Energy Ltd</t>
        </is>
      </c>
      <c r="J806" t="inlineStr">
        <is>
          <t>AUD</t>
        </is>
      </c>
      <c r="K806" s="5" t="inlineStr">
        <is>
          <t>01a1212c-4c04-75ce-bbb2-e3322e18816e</t>
        </is>
      </c>
      <c r="M806" t="inlineStr">
        <is>
          <t>UNKNOWN</t>
        </is>
      </c>
      <c r="N806" t="inlineStr">
        <is>
          <t>DEFAULT</t>
        </is>
      </c>
      <c r="Q806" t="n">
        <v>0</v>
      </c>
      <c r="R806" t="inlineStr">
        <is>
          <t>AUD</t>
        </is>
      </c>
      <c r="S806" t="n">
        <v>0</v>
      </c>
      <c r="T806" t="inlineStr">
        <is>
          <t>AUD</t>
        </is>
      </c>
      <c r="U806" t="n">
        <v>0</v>
      </c>
    </row>
    <row r="807">
      <c r="A807" s="5" t="inlineStr">
        <is>
          <t>01a1212c-56cf-701e-a159-38703045a236</t>
        </is>
      </c>
      <c r="C807" s="5" t="inlineStr">
        <is>
          <t>01a1212c-4b57-70cf-80fd-c2192cb3bf81</t>
        </is>
      </c>
      <c r="D807" s="4" t="n">
        <v>46304.62403202891</v>
      </c>
      <c r="E807" s="4" t="n">
        <v>46304.62403202899</v>
      </c>
      <c r="F807" t="b">
        <v>1</v>
      </c>
      <c r="G807" t="n">
        <v/>
      </c>
      <c r="H807" t="inlineStr">
        <is>
          <t>LV1</t>
        </is>
      </c>
      <c r="I807" t="inlineStr">
        <is>
          <t>Live Verdure Ltd</t>
        </is>
      </c>
      <c r="J807" t="inlineStr">
        <is>
          <t>AUD</t>
        </is>
      </c>
      <c r="K807" s="5" t="inlineStr">
        <is>
          <t>01a1212c-4c04-75ce-bbb2-e3322e18816e</t>
        </is>
      </c>
      <c r="M807" t="inlineStr">
        <is>
          <t>UNKNOWN</t>
        </is>
      </c>
      <c r="N807" t="inlineStr">
        <is>
          <t>DEFAULT</t>
        </is>
      </c>
      <c r="Q807" t="n">
        <v>0</v>
      </c>
      <c r="R807" t="inlineStr">
        <is>
          <t>AUD</t>
        </is>
      </c>
      <c r="S807" t="n">
        <v>0</v>
      </c>
      <c r="T807" t="inlineStr">
        <is>
          <t>AUD</t>
        </is>
      </c>
      <c r="U807" t="n">
        <v>0</v>
      </c>
    </row>
    <row r="808">
      <c r="A808" s="5" t="inlineStr">
        <is>
          <t>01a1212c-56d2-707b-bca0-5793806aac0e</t>
        </is>
      </c>
      <c r="C808" s="5" t="inlineStr">
        <is>
          <t>01a1212c-4b57-70cf-80fd-c2192cb3bf81</t>
        </is>
      </c>
      <c r="D808" s="4" t="n">
        <v>46304.6240320614</v>
      </c>
      <c r="E808" s="4" t="n">
        <v>46304.62403206148</v>
      </c>
      <c r="F808" t="b">
        <v>1</v>
      </c>
      <c r="G808" t="n">
        <v/>
      </c>
      <c r="H808" t="inlineStr">
        <is>
          <t>QGL</t>
        </is>
      </c>
      <c r="I808" t="inlineStr">
        <is>
          <t>Quantum Graphite Ltd</t>
        </is>
      </c>
      <c r="J808" t="inlineStr">
        <is>
          <t>AUD</t>
        </is>
      </c>
      <c r="K808" s="5" t="inlineStr">
        <is>
          <t>01a1212c-4c04-75ce-bbb2-e3322e18816e</t>
        </is>
      </c>
      <c r="M808" t="inlineStr">
        <is>
          <t>UNKNOWN</t>
        </is>
      </c>
      <c r="N808" t="inlineStr">
        <is>
          <t>DEFAULT</t>
        </is>
      </c>
      <c r="Q808" t="n">
        <v>0</v>
      </c>
      <c r="R808" t="inlineStr">
        <is>
          <t>AUD</t>
        </is>
      </c>
      <c r="S808" t="n">
        <v>0</v>
      </c>
      <c r="T808" t="inlineStr">
        <is>
          <t>AUD</t>
        </is>
      </c>
      <c r="U808" t="n">
        <v>0</v>
      </c>
    </row>
    <row r="809">
      <c r="A809" s="5" t="inlineStr">
        <is>
          <t>01a1212c-56d4-7256-8366-eac55c0b2aa3</t>
        </is>
      </c>
      <c r="C809" s="5" t="inlineStr">
        <is>
          <t>01a1212c-4b57-70cf-80fd-c2192cb3bf81</t>
        </is>
      </c>
      <c r="D809" s="4" t="n">
        <v>46304.62403209331</v>
      </c>
      <c r="E809" s="4" t="n">
        <v>46304.62403209338</v>
      </c>
      <c r="F809" t="b">
        <v>1</v>
      </c>
      <c r="G809" t="n">
        <v/>
      </c>
      <c r="H809" t="inlineStr">
        <is>
          <t>BKY</t>
        </is>
      </c>
      <c r="I809" t="inlineStr">
        <is>
          <t>Berkeley Energia Ltd</t>
        </is>
      </c>
      <c r="J809" t="inlineStr">
        <is>
          <t>AUD</t>
        </is>
      </c>
      <c r="K809" s="5" t="inlineStr">
        <is>
          <t>01a1212c-4c04-75ce-bbb2-e3322e18816e</t>
        </is>
      </c>
      <c r="M809" t="inlineStr">
        <is>
          <t>UNKNOWN</t>
        </is>
      </c>
      <c r="N809" t="inlineStr">
        <is>
          <t>DEFAULT</t>
        </is>
      </c>
      <c r="Q809" t="n">
        <v>0</v>
      </c>
      <c r="R809" t="inlineStr">
        <is>
          <t>AUD</t>
        </is>
      </c>
      <c r="S809" t="n">
        <v>0</v>
      </c>
      <c r="T809" t="inlineStr">
        <is>
          <t>AUD</t>
        </is>
      </c>
      <c r="U809" t="n">
        <v>0</v>
      </c>
    </row>
    <row r="810">
      <c r="A810" s="5" t="inlineStr">
        <is>
          <t>01a1212c-56d7-76cf-b45c-de3edeed5429</t>
        </is>
      </c>
      <c r="C810" s="5" t="inlineStr">
        <is>
          <t>01a1212c-4b57-70cf-80fd-c2192cb3bf81</t>
        </is>
      </c>
      <c r="D810" s="4" t="n">
        <v>46304.62403212491</v>
      </c>
      <c r="E810" s="4" t="n">
        <v>46304.62403212499</v>
      </c>
      <c r="F810" t="b">
        <v>1</v>
      </c>
      <c r="G810" t="n">
        <v/>
      </c>
      <c r="H810" t="inlineStr">
        <is>
          <t>PLY</t>
        </is>
      </c>
      <c r="I810" t="inlineStr">
        <is>
          <t>Playside Studios Ltd</t>
        </is>
      </c>
      <c r="J810" t="inlineStr">
        <is>
          <t>AUD</t>
        </is>
      </c>
      <c r="K810" s="5" t="inlineStr">
        <is>
          <t>01a1212c-4c04-75ce-bbb2-e3322e18816e</t>
        </is>
      </c>
      <c r="M810" t="inlineStr">
        <is>
          <t>UNKNOWN</t>
        </is>
      </c>
      <c r="N810" t="inlineStr">
        <is>
          <t>DEFAULT</t>
        </is>
      </c>
      <c r="Q810" t="n">
        <v>0</v>
      </c>
      <c r="R810" t="inlineStr">
        <is>
          <t>AUD</t>
        </is>
      </c>
      <c r="S810" t="n">
        <v>0</v>
      </c>
      <c r="T810" t="inlineStr">
        <is>
          <t>AUD</t>
        </is>
      </c>
      <c r="U810" t="n">
        <v>0</v>
      </c>
    </row>
    <row r="811">
      <c r="A811" s="5" t="inlineStr">
        <is>
          <t>01a1212c-56da-744d-a599-223c865abdc9</t>
        </is>
      </c>
      <c r="C811" s="5" t="inlineStr">
        <is>
          <t>01a1212c-4b57-70cf-80fd-c2192cb3bf81</t>
        </is>
      </c>
      <c r="D811" s="4" t="n">
        <v>46304.62403215974</v>
      </c>
      <c r="E811" s="4" t="n">
        <v>46304.62403215982</v>
      </c>
      <c r="F811" t="b">
        <v>1</v>
      </c>
      <c r="G811" t="n">
        <v/>
      </c>
      <c r="H811" t="inlineStr">
        <is>
          <t>DGL</t>
        </is>
      </c>
      <c r="I811" t="inlineStr">
        <is>
          <t>DGL Group Ltd</t>
        </is>
      </c>
      <c r="J811" t="inlineStr">
        <is>
          <t>AUD</t>
        </is>
      </c>
      <c r="K811" s="5" t="inlineStr">
        <is>
          <t>01a1212c-4c04-75ce-bbb2-e3322e18816e</t>
        </is>
      </c>
      <c r="M811" t="inlineStr">
        <is>
          <t>UNKNOWN</t>
        </is>
      </c>
      <c r="N811" t="inlineStr">
        <is>
          <t>DEFAULT</t>
        </is>
      </c>
      <c r="Q811" t="n">
        <v>0</v>
      </c>
      <c r="R811" t="inlineStr">
        <is>
          <t>AUD</t>
        </is>
      </c>
      <c r="S811" t="n">
        <v>0</v>
      </c>
      <c r="T811" t="inlineStr">
        <is>
          <t>AUD</t>
        </is>
      </c>
      <c r="U811" t="n">
        <v>0</v>
      </c>
    </row>
    <row r="812">
      <c r="A812" s="5" t="inlineStr">
        <is>
          <t>01a1212c-56dd-7194-9990-191a080e05ab</t>
        </is>
      </c>
      <c r="C812" s="5" t="inlineStr">
        <is>
          <t>01a1212c-4b57-70cf-80fd-c2192cb3bf81</t>
        </is>
      </c>
      <c r="D812" s="4" t="n">
        <v>46304.6240321924</v>
      </c>
      <c r="E812" s="4" t="n">
        <v>46304.62403219248</v>
      </c>
      <c r="F812" t="b">
        <v>1</v>
      </c>
      <c r="G812" t="n">
        <v/>
      </c>
      <c r="H812" t="inlineStr">
        <is>
          <t>HJPN</t>
        </is>
      </c>
      <c r="I812" t="inlineStr">
        <is>
          <t>Betashares Japan Currency Hedged ETF</t>
        </is>
      </c>
      <c r="J812" t="inlineStr">
        <is>
          <t>AUD</t>
        </is>
      </c>
      <c r="K812" s="5" t="inlineStr">
        <is>
          <t>01a1212c-4c04-75ce-bbb2-e3322e18816e</t>
        </is>
      </c>
      <c r="M812" t="inlineStr">
        <is>
          <t>UNKNOWN</t>
        </is>
      </c>
      <c r="N812" t="inlineStr">
        <is>
          <t>DEFAULT</t>
        </is>
      </c>
      <c r="Q812" t="n">
        <v>0</v>
      </c>
      <c r="R812" t="inlineStr">
        <is>
          <t>AUD</t>
        </is>
      </c>
      <c r="S812" t="n">
        <v>0</v>
      </c>
      <c r="T812" t="inlineStr">
        <is>
          <t>AUD</t>
        </is>
      </c>
      <c r="U812" t="n">
        <v>0</v>
      </c>
    </row>
    <row r="813">
      <c r="A813" s="5" t="inlineStr">
        <is>
          <t>01a1212c-56e0-7737-98d8-2aaadad74e04</t>
        </is>
      </c>
      <c r="C813" s="5" t="inlineStr">
        <is>
          <t>01a1212c-4b57-70cf-80fd-c2192cb3bf81</t>
        </is>
      </c>
      <c r="D813" s="4" t="n">
        <v>46304.62403222457</v>
      </c>
      <c r="E813" s="4" t="n">
        <v>46304.62403222467</v>
      </c>
      <c r="F813" t="b">
        <v>1</v>
      </c>
      <c r="G813" t="n">
        <v/>
      </c>
      <c r="H813" t="inlineStr">
        <is>
          <t>CLX</t>
        </is>
      </c>
      <c r="I813" t="inlineStr">
        <is>
          <t>Cti Logistics Ltd</t>
        </is>
      </c>
      <c r="J813" t="inlineStr">
        <is>
          <t>AUD</t>
        </is>
      </c>
      <c r="K813" s="5" t="inlineStr">
        <is>
          <t>01a1212c-4c04-75ce-bbb2-e3322e18816e</t>
        </is>
      </c>
      <c r="M813" t="inlineStr">
        <is>
          <t>UNKNOWN</t>
        </is>
      </c>
      <c r="N813" t="inlineStr">
        <is>
          <t>DEFAULT</t>
        </is>
      </c>
      <c r="Q813" t="n">
        <v>0</v>
      </c>
      <c r="R813" t="inlineStr">
        <is>
          <t>AUD</t>
        </is>
      </c>
      <c r="S813" t="n">
        <v>0</v>
      </c>
      <c r="T813" t="inlineStr">
        <is>
          <t>AUD</t>
        </is>
      </c>
      <c r="U813" t="n">
        <v>0</v>
      </c>
    </row>
    <row r="814">
      <c r="A814" s="5" t="inlineStr">
        <is>
          <t>01a1212c-56e2-72a4-9690-1564a2c3782b</t>
        </is>
      </c>
      <c r="C814" s="5" t="inlineStr">
        <is>
          <t>01a1212c-4b57-70cf-80fd-c2192cb3bf81</t>
        </is>
      </c>
      <c r="D814" s="4" t="n">
        <v>46304.62403225659</v>
      </c>
      <c r="E814" s="4" t="n">
        <v>46304.62403225668</v>
      </c>
      <c r="F814" t="b">
        <v>1</v>
      </c>
      <c r="G814" t="n">
        <v/>
      </c>
      <c r="H814" t="inlineStr">
        <is>
          <t>TER</t>
        </is>
      </c>
      <c r="I814" t="inlineStr">
        <is>
          <t>Terracom Ltd</t>
        </is>
      </c>
      <c r="J814" t="inlineStr">
        <is>
          <t>AUD</t>
        </is>
      </c>
      <c r="K814" s="5" t="inlineStr">
        <is>
          <t>01a1212c-4c04-75ce-bbb2-e3322e18816e</t>
        </is>
      </c>
      <c r="M814" t="inlineStr">
        <is>
          <t>UNKNOWN</t>
        </is>
      </c>
      <c r="N814" t="inlineStr">
        <is>
          <t>DEFAULT</t>
        </is>
      </c>
      <c r="Q814" t="n">
        <v>0</v>
      </c>
      <c r="R814" t="inlineStr">
        <is>
          <t>AUD</t>
        </is>
      </c>
      <c r="S814" t="n">
        <v>0</v>
      </c>
      <c r="T814" t="inlineStr">
        <is>
          <t>AUD</t>
        </is>
      </c>
      <c r="U814" t="n">
        <v>0</v>
      </c>
    </row>
    <row r="815">
      <c r="A815" s="5" t="inlineStr">
        <is>
          <t>01a1212c-56e5-71fa-9638-9001b95d38ca</t>
        </is>
      </c>
      <c r="C815" s="5" t="inlineStr">
        <is>
          <t>01a1212c-4b57-70cf-80fd-c2192cb3bf81</t>
        </is>
      </c>
      <c r="D815" s="4" t="n">
        <v>46304.62403228841</v>
      </c>
      <c r="E815" s="4" t="n">
        <v>46304.62403228851</v>
      </c>
      <c r="F815" t="b">
        <v>1</v>
      </c>
      <c r="G815" t="n">
        <v/>
      </c>
      <c r="H815" t="inlineStr">
        <is>
          <t>AGE</t>
        </is>
      </c>
      <c r="I815" t="inlineStr">
        <is>
          <t>Alligator Energy Ltd</t>
        </is>
      </c>
      <c r="J815" t="inlineStr">
        <is>
          <t>AUD</t>
        </is>
      </c>
      <c r="K815" s="5" t="inlineStr">
        <is>
          <t>01a1212c-4c04-75ce-bbb2-e3322e18816e</t>
        </is>
      </c>
      <c r="M815" t="inlineStr">
        <is>
          <t>UNKNOWN</t>
        </is>
      </c>
      <c r="N815" t="inlineStr">
        <is>
          <t>DEFAULT</t>
        </is>
      </c>
      <c r="Q815" t="n">
        <v>0</v>
      </c>
      <c r="R815" t="inlineStr">
        <is>
          <t>AUD</t>
        </is>
      </c>
      <c r="S815" t="n">
        <v>0</v>
      </c>
      <c r="T815" t="inlineStr">
        <is>
          <t>AUD</t>
        </is>
      </c>
      <c r="U815" t="n">
        <v>0</v>
      </c>
    </row>
    <row r="816">
      <c r="A816" s="5" t="inlineStr">
        <is>
          <t>01a1212c-56e8-711b-a985-7a9594623ac6</t>
        </is>
      </c>
      <c r="C816" s="5" t="inlineStr">
        <is>
          <t>01a1212c-4b57-70cf-80fd-c2192cb3bf81</t>
        </is>
      </c>
      <c r="D816" s="4" t="n">
        <v>46304.62403232265</v>
      </c>
      <c r="E816" s="4" t="n">
        <v>46304.62403232273</v>
      </c>
      <c r="F816" t="b">
        <v>1</v>
      </c>
      <c r="G816" t="n">
        <v/>
      </c>
      <c r="H816" t="inlineStr">
        <is>
          <t>EIQ</t>
        </is>
      </c>
      <c r="I816" t="inlineStr">
        <is>
          <t>Echoiq Ltd</t>
        </is>
      </c>
      <c r="J816" t="inlineStr">
        <is>
          <t>AUD</t>
        </is>
      </c>
      <c r="K816" s="5" t="inlineStr">
        <is>
          <t>01a1212c-4c04-75ce-bbb2-e3322e18816e</t>
        </is>
      </c>
      <c r="M816" t="inlineStr">
        <is>
          <t>UNKNOWN</t>
        </is>
      </c>
      <c r="N816" t="inlineStr">
        <is>
          <t>DEFAULT</t>
        </is>
      </c>
      <c r="Q816" t="n">
        <v>0</v>
      </c>
      <c r="R816" t="inlineStr">
        <is>
          <t>AUD</t>
        </is>
      </c>
      <c r="S816" t="n">
        <v>0</v>
      </c>
      <c r="T816" t="inlineStr">
        <is>
          <t>AUD</t>
        </is>
      </c>
      <c r="U816" t="n">
        <v>0</v>
      </c>
    </row>
    <row r="817">
      <c r="A817" s="5" t="inlineStr">
        <is>
          <t>01a1212c-56eb-7359-9040-5d44c0cb7d4d</t>
        </is>
      </c>
      <c r="C817" s="5" t="inlineStr">
        <is>
          <t>01a1212c-4b57-70cf-80fd-c2192cb3bf81</t>
        </is>
      </c>
      <c r="D817" s="4" t="n">
        <v>46304.62403235584</v>
      </c>
      <c r="E817" s="4" t="n">
        <v>46304.62403235594</v>
      </c>
      <c r="F817" t="b">
        <v>1</v>
      </c>
      <c r="G817" t="n">
        <v/>
      </c>
      <c r="H817" t="inlineStr">
        <is>
          <t>ACE</t>
        </is>
      </c>
      <c r="I817" t="inlineStr">
        <is>
          <t>Acusensus Ltd</t>
        </is>
      </c>
      <c r="J817" t="inlineStr">
        <is>
          <t>AUD</t>
        </is>
      </c>
      <c r="K817" s="5" t="inlineStr">
        <is>
          <t>01a1212c-4c04-75ce-bbb2-e3322e18816e</t>
        </is>
      </c>
      <c r="M817" t="inlineStr">
        <is>
          <t>UNKNOWN</t>
        </is>
      </c>
      <c r="N817" t="inlineStr">
        <is>
          <t>DEFAULT</t>
        </is>
      </c>
      <c r="Q817" t="n">
        <v>0</v>
      </c>
      <c r="R817" t="inlineStr">
        <is>
          <t>AUD</t>
        </is>
      </c>
      <c r="S817" t="n">
        <v>0</v>
      </c>
      <c r="T817" t="inlineStr">
        <is>
          <t>AUD</t>
        </is>
      </c>
      <c r="U817" t="n">
        <v>0</v>
      </c>
    </row>
    <row r="818">
      <c r="A818" s="5" t="inlineStr">
        <is>
          <t>01a1212c-56ee-74e6-8be4-1ee91536ee7a</t>
        </is>
      </c>
      <c r="C818" s="5" t="inlineStr">
        <is>
          <t>01a1212c-4b57-70cf-80fd-c2192cb3bf81</t>
        </is>
      </c>
      <c r="D818" s="4" t="n">
        <v>46304.62403238743</v>
      </c>
      <c r="E818" s="4" t="n">
        <v>46304.62403238751</v>
      </c>
      <c r="F818" t="b">
        <v>1</v>
      </c>
      <c r="G818" t="n">
        <v/>
      </c>
      <c r="H818" t="inlineStr">
        <is>
          <t>BSUB</t>
        </is>
      </c>
      <c r="I818" t="inlineStr">
        <is>
          <t>Betashares Aus Major Bank Subordinated Debt ETF</t>
        </is>
      </c>
      <c r="J818" t="inlineStr">
        <is>
          <t>AUD</t>
        </is>
      </c>
      <c r="K818" s="5" t="inlineStr">
        <is>
          <t>01a1212c-4c04-75ce-bbb2-e3322e18816e</t>
        </is>
      </c>
      <c r="M818" t="inlineStr">
        <is>
          <t>UNKNOWN</t>
        </is>
      </c>
      <c r="N818" t="inlineStr">
        <is>
          <t>DEFAULT</t>
        </is>
      </c>
      <c r="Q818" t="n">
        <v>0</v>
      </c>
      <c r="R818" t="inlineStr">
        <is>
          <t>AUD</t>
        </is>
      </c>
      <c r="S818" t="n">
        <v>0</v>
      </c>
      <c r="T818" t="inlineStr">
        <is>
          <t>AUD</t>
        </is>
      </c>
      <c r="U818" t="n">
        <v>0</v>
      </c>
    </row>
    <row r="819">
      <c r="A819" s="5" t="inlineStr">
        <is>
          <t>01a1212c-56f0-7341-83ee-efbf86956945</t>
        </is>
      </c>
      <c r="C819" s="5" t="inlineStr">
        <is>
          <t>01a1212c-4b57-70cf-80fd-c2192cb3bf81</t>
        </is>
      </c>
      <c r="D819" s="4" t="n">
        <v>46304.62403241815</v>
      </c>
      <c r="E819" s="4" t="n">
        <v>46304.62403241821</v>
      </c>
      <c r="F819" t="b">
        <v>1</v>
      </c>
      <c r="G819" t="n">
        <v/>
      </c>
      <c r="H819" t="inlineStr">
        <is>
          <t>BOC</t>
        </is>
      </c>
      <c r="I819" t="inlineStr">
        <is>
          <t>Bougainville Copper Ltd</t>
        </is>
      </c>
      <c r="J819" t="inlineStr">
        <is>
          <t>AUD</t>
        </is>
      </c>
      <c r="K819" s="5" t="inlineStr">
        <is>
          <t>01a1212c-4c04-75ce-bbb2-e3322e18816e</t>
        </is>
      </c>
      <c r="M819" t="inlineStr">
        <is>
          <t>UNKNOWN</t>
        </is>
      </c>
      <c r="N819" t="inlineStr">
        <is>
          <t>DEFAULT</t>
        </is>
      </c>
      <c r="Q819" t="n">
        <v>0</v>
      </c>
      <c r="R819" t="inlineStr">
        <is>
          <t>AUD</t>
        </is>
      </c>
      <c r="S819" t="n">
        <v>0</v>
      </c>
      <c r="T819" t="inlineStr">
        <is>
          <t>AUD</t>
        </is>
      </c>
      <c r="U819" t="n">
        <v>0</v>
      </c>
    </row>
    <row r="820">
      <c r="A820" s="5" t="inlineStr">
        <is>
          <t>01a1212c-56f3-75b4-b2bf-e9b09e669780</t>
        </is>
      </c>
      <c r="C820" s="5" t="inlineStr">
        <is>
          <t>01a1212c-4b57-70cf-80fd-c2192cb3bf81</t>
        </is>
      </c>
      <c r="D820" s="4" t="n">
        <v>46304.62403245146</v>
      </c>
      <c r="E820" s="4" t="n">
        <v>46304.62403245154</v>
      </c>
      <c r="F820" t="b">
        <v>1</v>
      </c>
      <c r="G820" t="n">
        <v/>
      </c>
      <c r="H820" t="inlineStr">
        <is>
          <t>ISO</t>
        </is>
      </c>
      <c r="I820" t="inlineStr">
        <is>
          <t>Ishares S&amp;P/ASX Small Ordinaries ETF</t>
        </is>
      </c>
      <c r="J820" t="inlineStr">
        <is>
          <t>AUD</t>
        </is>
      </c>
      <c r="K820" s="5" t="inlineStr">
        <is>
          <t>01a1212c-4c04-75ce-bbb2-e3322e18816e</t>
        </is>
      </c>
      <c r="M820" t="inlineStr">
        <is>
          <t>UNKNOWN</t>
        </is>
      </c>
      <c r="N820" t="inlineStr">
        <is>
          <t>DEFAULT</t>
        </is>
      </c>
      <c r="Q820" t="n">
        <v>0</v>
      </c>
      <c r="R820" t="inlineStr">
        <is>
          <t>AUD</t>
        </is>
      </c>
      <c r="S820" t="n">
        <v>0</v>
      </c>
      <c r="T820" t="inlineStr">
        <is>
          <t>AUD</t>
        </is>
      </c>
      <c r="U820" t="n">
        <v>0</v>
      </c>
    </row>
    <row r="821">
      <c r="A821" s="5" t="inlineStr">
        <is>
          <t>01a1212c-56f6-7108-b55f-8b027063c9a7</t>
        </is>
      </c>
      <c r="C821" s="5" t="inlineStr">
        <is>
          <t>01a1212c-4b57-70cf-80fd-c2192cb3bf81</t>
        </is>
      </c>
      <c r="D821" s="4" t="n">
        <v>46304.62403248232</v>
      </c>
      <c r="E821" s="4" t="n">
        <v>46304.6240324824</v>
      </c>
      <c r="F821" t="b">
        <v>1</v>
      </c>
      <c r="G821" t="n">
        <v/>
      </c>
      <c r="H821" t="inlineStr">
        <is>
          <t>BRL</t>
        </is>
      </c>
      <c r="I821" t="inlineStr">
        <is>
          <t>Bathurst Resources Ltd</t>
        </is>
      </c>
      <c r="J821" t="inlineStr">
        <is>
          <t>AUD</t>
        </is>
      </c>
      <c r="K821" s="5" t="inlineStr">
        <is>
          <t>01a1212c-4c04-75ce-bbb2-e3322e18816e</t>
        </is>
      </c>
      <c r="M821" t="inlineStr">
        <is>
          <t>UNKNOWN</t>
        </is>
      </c>
      <c r="N821" t="inlineStr">
        <is>
          <t>DEFAULT</t>
        </is>
      </c>
      <c r="Q821" t="n">
        <v>0</v>
      </c>
      <c r="R821" t="inlineStr">
        <is>
          <t>AUD</t>
        </is>
      </c>
      <c r="S821" t="n">
        <v>0</v>
      </c>
      <c r="T821" t="inlineStr">
        <is>
          <t>AUD</t>
        </is>
      </c>
      <c r="U821" t="n">
        <v>0</v>
      </c>
    </row>
    <row r="822">
      <c r="A822" s="5" t="inlineStr">
        <is>
          <t>01a1212c-56f9-725b-98c3-1f24be5ba287</t>
        </is>
      </c>
      <c r="C822" s="5" t="inlineStr">
        <is>
          <t>01a1212c-4b57-70cf-80fd-c2192cb3bf81</t>
        </is>
      </c>
      <c r="D822" s="4" t="n">
        <v>46304.62403251298</v>
      </c>
      <c r="E822" s="4" t="n">
        <v>46304.62403251306</v>
      </c>
      <c r="F822" t="b">
        <v>1</v>
      </c>
      <c r="G822" t="n">
        <v/>
      </c>
      <c r="H822" t="inlineStr">
        <is>
          <t>RNU</t>
        </is>
      </c>
      <c r="I822" t="inlineStr">
        <is>
          <t>Renascor Resources Ltd</t>
        </is>
      </c>
      <c r="J822" t="inlineStr">
        <is>
          <t>AUD</t>
        </is>
      </c>
      <c r="K822" s="5" t="inlineStr">
        <is>
          <t>01a1212c-4c04-75ce-bbb2-e3322e18816e</t>
        </is>
      </c>
      <c r="M822" t="inlineStr">
        <is>
          <t>UNKNOWN</t>
        </is>
      </c>
      <c r="N822" t="inlineStr">
        <is>
          <t>DEFAULT</t>
        </is>
      </c>
      <c r="Q822" t="n">
        <v>0</v>
      </c>
      <c r="R822" t="inlineStr">
        <is>
          <t>AUD</t>
        </is>
      </c>
      <c r="S822" t="n">
        <v>0</v>
      </c>
      <c r="T822" t="inlineStr">
        <is>
          <t>AUD</t>
        </is>
      </c>
      <c r="U822" t="n">
        <v>0</v>
      </c>
    </row>
    <row r="823">
      <c r="A823" s="5" t="inlineStr">
        <is>
          <t>01a1212c-56fb-75b2-81e3-57a45868cebd</t>
        </is>
      </c>
      <c r="C823" s="5" t="inlineStr">
        <is>
          <t>01a1212c-4b57-70cf-80fd-c2192cb3bf81</t>
        </is>
      </c>
      <c r="D823" s="4" t="n">
        <v>46304.62403254488</v>
      </c>
      <c r="E823" s="4" t="n">
        <v>46304.62403254496</v>
      </c>
      <c r="F823" t="b">
        <v>1</v>
      </c>
      <c r="G823" t="n">
        <v/>
      </c>
      <c r="H823" t="inlineStr">
        <is>
          <t>NOL</t>
        </is>
      </c>
      <c r="I823" t="inlineStr">
        <is>
          <t>Nobleoak Life Ltd</t>
        </is>
      </c>
      <c r="J823" t="inlineStr">
        <is>
          <t>AUD</t>
        </is>
      </c>
      <c r="K823" s="5" t="inlineStr">
        <is>
          <t>01a1212c-4c04-75ce-bbb2-e3322e18816e</t>
        </is>
      </c>
      <c r="M823" t="inlineStr">
        <is>
          <t>UNKNOWN</t>
        </is>
      </c>
      <c r="N823" t="inlineStr">
        <is>
          <t>DEFAULT</t>
        </is>
      </c>
      <c r="Q823" t="n">
        <v>0</v>
      </c>
      <c r="R823" t="inlineStr">
        <is>
          <t>AUD</t>
        </is>
      </c>
      <c r="S823" t="n">
        <v>0</v>
      </c>
      <c r="T823" t="inlineStr">
        <is>
          <t>AUD</t>
        </is>
      </c>
      <c r="U823" t="n">
        <v>0</v>
      </c>
    </row>
    <row r="824">
      <c r="A824" s="5" t="inlineStr">
        <is>
          <t>01a1212c-56fe-77a0-bc04-a132f17d5232</t>
        </is>
      </c>
      <c r="C824" s="5" t="inlineStr">
        <is>
          <t>01a1212c-4b57-70cf-80fd-c2192cb3bf81</t>
        </is>
      </c>
      <c r="D824" s="4" t="n">
        <v>46304.62403257938</v>
      </c>
      <c r="E824" s="4" t="n">
        <v>46304.62403257946</v>
      </c>
      <c r="F824" t="b">
        <v>1</v>
      </c>
      <c r="G824" t="n">
        <v/>
      </c>
      <c r="H824" t="inlineStr">
        <is>
          <t>VVA</t>
        </is>
      </c>
      <c r="I824" t="inlineStr">
        <is>
          <t>Viva Leisure Ltd</t>
        </is>
      </c>
      <c r="J824" t="inlineStr">
        <is>
          <t>AUD</t>
        </is>
      </c>
      <c r="K824" s="5" t="inlineStr">
        <is>
          <t>01a1212c-4c04-75ce-bbb2-e3322e18816e</t>
        </is>
      </c>
      <c r="M824" t="inlineStr">
        <is>
          <t>UNKNOWN</t>
        </is>
      </c>
      <c r="N824" t="inlineStr">
        <is>
          <t>DEFAULT</t>
        </is>
      </c>
      <c r="Q824" t="n">
        <v>0</v>
      </c>
      <c r="R824" t="inlineStr">
        <is>
          <t>AUD</t>
        </is>
      </c>
      <c r="S824" t="n">
        <v>0</v>
      </c>
      <c r="T824" t="inlineStr">
        <is>
          <t>AUD</t>
        </is>
      </c>
      <c r="U824" t="n">
        <v>0</v>
      </c>
    </row>
    <row r="825">
      <c r="A825" s="5" t="inlineStr">
        <is>
          <t>01a1212c-5701-714e-bdcb-489a9a9e1357</t>
        </is>
      </c>
      <c r="C825" s="5" t="inlineStr">
        <is>
          <t>01a1212c-4b57-70cf-80fd-c2192cb3bf81</t>
        </is>
      </c>
      <c r="D825" s="4" t="n">
        <v>46304.62403261016</v>
      </c>
      <c r="E825" s="4" t="n">
        <v>46304.62403261023</v>
      </c>
      <c r="F825" t="b">
        <v>1</v>
      </c>
      <c r="G825" t="n">
        <v/>
      </c>
      <c r="H825" t="inlineStr">
        <is>
          <t>PRG</t>
        </is>
      </c>
      <c r="I825" t="inlineStr">
        <is>
          <t>PRL Global Ltd</t>
        </is>
      </c>
      <c r="J825" t="inlineStr">
        <is>
          <t>AUD</t>
        </is>
      </c>
      <c r="K825" s="5" t="inlineStr">
        <is>
          <t>01a1212c-4c04-75ce-bbb2-e3322e18816e</t>
        </is>
      </c>
      <c r="M825" t="inlineStr">
        <is>
          <t>UNKNOWN</t>
        </is>
      </c>
      <c r="N825" t="inlineStr">
        <is>
          <t>DEFAULT</t>
        </is>
      </c>
      <c r="Q825" t="n">
        <v>0</v>
      </c>
      <c r="R825" t="inlineStr">
        <is>
          <t>AUD</t>
        </is>
      </c>
      <c r="S825" t="n">
        <v>0</v>
      </c>
      <c r="T825" t="inlineStr">
        <is>
          <t>AUD</t>
        </is>
      </c>
      <c r="U825" t="n">
        <v>0</v>
      </c>
    </row>
    <row r="826">
      <c r="A826" s="5" t="inlineStr">
        <is>
          <t>01a1212c-5704-7215-9061-49b833e4323c</t>
        </is>
      </c>
      <c r="C826" s="5" t="inlineStr">
        <is>
          <t>01a1212c-4b57-70cf-80fd-c2192cb3bf81</t>
        </is>
      </c>
      <c r="D826" s="4" t="n">
        <v>46304.62403264087</v>
      </c>
      <c r="E826" s="4" t="n">
        <v>46304.62403264095</v>
      </c>
      <c r="F826" t="b">
        <v>1</v>
      </c>
      <c r="G826" t="n">
        <v/>
      </c>
      <c r="H826" t="inlineStr">
        <is>
          <t>TRJ</t>
        </is>
      </c>
      <c r="I826" t="inlineStr">
        <is>
          <t>Trajan Group Holdings Ltd</t>
        </is>
      </c>
      <c r="J826" t="inlineStr">
        <is>
          <t>AUD</t>
        </is>
      </c>
      <c r="K826" s="5" t="inlineStr">
        <is>
          <t>01a1212c-4c04-75ce-bbb2-e3322e18816e</t>
        </is>
      </c>
      <c r="M826" t="inlineStr">
        <is>
          <t>UNKNOWN</t>
        </is>
      </c>
      <c r="N826" t="inlineStr">
        <is>
          <t>DEFAULT</t>
        </is>
      </c>
      <c r="Q826" t="n">
        <v>0</v>
      </c>
      <c r="R826" t="inlineStr">
        <is>
          <t>AUD</t>
        </is>
      </c>
      <c r="S826" t="n">
        <v>0</v>
      </c>
      <c r="T826" t="inlineStr">
        <is>
          <t>AUD</t>
        </is>
      </c>
      <c r="U826" t="n">
        <v>0</v>
      </c>
    </row>
    <row r="827">
      <c r="A827" s="5" t="inlineStr">
        <is>
          <t>01a1212c-5706-7546-be2f-3e833d742fca</t>
        </is>
      </c>
      <c r="C827" s="5" t="inlineStr">
        <is>
          <t>01a1212c-4b57-70cf-80fd-c2192cb3bf81</t>
        </is>
      </c>
      <c r="D827" s="4" t="n">
        <v>46304.62403267184</v>
      </c>
      <c r="E827" s="4" t="n">
        <v>46304.62403267192</v>
      </c>
      <c r="F827" t="b">
        <v>1</v>
      </c>
      <c r="G827" t="n">
        <v/>
      </c>
      <c r="H827" t="inlineStr">
        <is>
          <t>SXL</t>
        </is>
      </c>
      <c r="I827" t="inlineStr">
        <is>
          <t>Southern Cross Media Group Ltd</t>
        </is>
      </c>
      <c r="J827" t="inlineStr">
        <is>
          <t>AUD</t>
        </is>
      </c>
      <c r="K827" s="5" t="inlineStr">
        <is>
          <t>01a1212c-4c04-75ce-bbb2-e3322e18816e</t>
        </is>
      </c>
      <c r="M827" t="inlineStr">
        <is>
          <t>UNKNOWN</t>
        </is>
      </c>
      <c r="N827" t="inlineStr">
        <is>
          <t>DEFAULT</t>
        </is>
      </c>
      <c r="Q827" t="n">
        <v>0</v>
      </c>
      <c r="R827" t="inlineStr">
        <is>
          <t>AUD</t>
        </is>
      </c>
      <c r="S827" t="n">
        <v>0</v>
      </c>
      <c r="T827" t="inlineStr">
        <is>
          <t>AUD</t>
        </is>
      </c>
      <c r="U827" t="n">
        <v>0</v>
      </c>
    </row>
    <row r="828">
      <c r="A828" s="5" t="inlineStr">
        <is>
          <t>01a1212c-5709-7160-b4b2-4e1aa0c1522e</t>
        </is>
      </c>
      <c r="C828" s="5" t="inlineStr">
        <is>
          <t>01a1212c-4b57-70cf-80fd-c2192cb3bf81</t>
        </is>
      </c>
      <c r="D828" s="4" t="n">
        <v>46304.6240327024</v>
      </c>
      <c r="E828" s="4" t="n">
        <v>46304.62403270248</v>
      </c>
      <c r="F828" t="b">
        <v>1</v>
      </c>
      <c r="G828" t="n">
        <v/>
      </c>
      <c r="H828" t="inlineStr">
        <is>
          <t>LFSPA</t>
        </is>
      </c>
      <c r="I828" t="inlineStr">
        <is>
          <t>Latitude Group Holdings Ltd</t>
        </is>
      </c>
      <c r="J828" t="inlineStr">
        <is>
          <t>AUD</t>
        </is>
      </c>
      <c r="K828" s="5" t="inlineStr">
        <is>
          <t>01a1212c-4c04-75ce-bbb2-e3322e18816e</t>
        </is>
      </c>
      <c r="M828" t="inlineStr">
        <is>
          <t>UNKNOWN</t>
        </is>
      </c>
      <c r="N828" t="inlineStr">
        <is>
          <t>DEFAULT</t>
        </is>
      </c>
      <c r="Q828" t="n">
        <v>0</v>
      </c>
      <c r="R828" t="inlineStr">
        <is>
          <t>AUD</t>
        </is>
      </c>
      <c r="S828" t="n">
        <v>0</v>
      </c>
      <c r="T828" t="inlineStr">
        <is>
          <t>AUD</t>
        </is>
      </c>
      <c r="U828" t="n">
        <v>0</v>
      </c>
    </row>
    <row r="829">
      <c r="A829" s="5" t="inlineStr">
        <is>
          <t>01a1212c-570c-7448-afab-ce61a04b8893</t>
        </is>
      </c>
      <c r="C829" s="5" t="inlineStr">
        <is>
          <t>01a1212c-4b57-70cf-80fd-c2192cb3bf81</t>
        </is>
      </c>
      <c r="D829" s="4" t="n">
        <v>46304.62403273763</v>
      </c>
      <c r="E829" s="4" t="n">
        <v>46304.62403273771</v>
      </c>
      <c r="F829" t="b">
        <v>1</v>
      </c>
      <c r="G829" t="n">
        <v/>
      </c>
      <c r="H829" t="inlineStr">
        <is>
          <t>SOM</t>
        </is>
      </c>
      <c r="I829" t="inlineStr">
        <is>
          <t>Somnomed Ltd</t>
        </is>
      </c>
      <c r="J829" t="inlineStr">
        <is>
          <t>AUD</t>
        </is>
      </c>
      <c r="K829" s="5" t="inlineStr">
        <is>
          <t>01a1212c-4c04-75ce-bbb2-e3322e18816e</t>
        </is>
      </c>
      <c r="M829" t="inlineStr">
        <is>
          <t>UNKNOWN</t>
        </is>
      </c>
      <c r="N829" t="inlineStr">
        <is>
          <t>DEFAULT</t>
        </is>
      </c>
      <c r="Q829" t="n">
        <v>0</v>
      </c>
      <c r="R829" t="inlineStr">
        <is>
          <t>AUD</t>
        </is>
      </c>
      <c r="S829" t="n">
        <v>0</v>
      </c>
      <c r="T829" t="inlineStr">
        <is>
          <t>AUD</t>
        </is>
      </c>
      <c r="U829" t="n">
        <v>0</v>
      </c>
    </row>
    <row r="830">
      <c r="A830" s="5" t="inlineStr">
        <is>
          <t>01a1212c-570f-74f5-bab0-9de55aa30960</t>
        </is>
      </c>
      <c r="C830" s="5" t="inlineStr">
        <is>
          <t>01a1212c-4b57-70cf-80fd-c2192cb3bf81</t>
        </is>
      </c>
      <c r="D830" s="4" t="n">
        <v>46304.62403276904</v>
      </c>
      <c r="E830" s="4" t="n">
        <v>46304.62403276911</v>
      </c>
      <c r="F830" t="b">
        <v>1</v>
      </c>
      <c r="G830" t="n">
        <v/>
      </c>
      <c r="H830" t="inlineStr">
        <is>
          <t>OIL</t>
        </is>
      </c>
      <c r="I830" t="inlineStr">
        <is>
          <t>Optiscan Imaging Ltd</t>
        </is>
      </c>
      <c r="J830" t="inlineStr">
        <is>
          <t>AUD</t>
        </is>
      </c>
      <c r="K830" s="5" t="inlineStr">
        <is>
          <t>01a1212c-4c04-75ce-bbb2-e3322e18816e</t>
        </is>
      </c>
      <c r="M830" t="inlineStr">
        <is>
          <t>UNKNOWN</t>
        </is>
      </c>
      <c r="N830" t="inlineStr">
        <is>
          <t>DEFAULT</t>
        </is>
      </c>
      <c r="Q830" t="n">
        <v>0</v>
      </c>
      <c r="R830" t="inlineStr">
        <is>
          <t>AUD</t>
        </is>
      </c>
      <c r="S830" t="n">
        <v>0</v>
      </c>
      <c r="T830" t="inlineStr">
        <is>
          <t>AUD</t>
        </is>
      </c>
      <c r="U830" t="n">
        <v>0</v>
      </c>
    </row>
    <row r="831">
      <c r="A831" s="5" t="inlineStr">
        <is>
          <t>01a1212c-5711-74de-a09a-9c6e829f5f0b</t>
        </is>
      </c>
      <c r="C831" s="5" t="inlineStr">
        <is>
          <t>01a1212c-4b57-70cf-80fd-c2192cb3bf81</t>
        </is>
      </c>
      <c r="D831" s="4" t="n">
        <v>46304.6240327996</v>
      </c>
      <c r="E831" s="4" t="n">
        <v>46304.62403279968</v>
      </c>
      <c r="F831" t="b">
        <v>1</v>
      </c>
      <c r="G831" t="n">
        <v/>
      </c>
      <c r="H831" t="inlineStr">
        <is>
          <t>CXL</t>
        </is>
      </c>
      <c r="I831" t="inlineStr">
        <is>
          <t>CALIX Ltd</t>
        </is>
      </c>
      <c r="J831" t="inlineStr">
        <is>
          <t>AUD</t>
        </is>
      </c>
      <c r="K831" s="5" t="inlineStr">
        <is>
          <t>01a1212c-4c04-75ce-bbb2-e3322e18816e</t>
        </is>
      </c>
      <c r="M831" t="inlineStr">
        <is>
          <t>UNKNOWN</t>
        </is>
      </c>
      <c r="N831" t="inlineStr">
        <is>
          <t>DEFAULT</t>
        </is>
      </c>
      <c r="Q831" t="n">
        <v>0</v>
      </c>
      <c r="R831" t="inlineStr">
        <is>
          <t>AUD</t>
        </is>
      </c>
      <c r="S831" t="n">
        <v>0</v>
      </c>
      <c r="T831" t="inlineStr">
        <is>
          <t>AUD</t>
        </is>
      </c>
      <c r="U831" t="n">
        <v>0</v>
      </c>
    </row>
    <row r="832">
      <c r="A832" s="5" t="inlineStr">
        <is>
          <t>01a1212c-5714-72f3-8c61-c134e9a8b8f5</t>
        </is>
      </c>
      <c r="C832" s="5" t="inlineStr">
        <is>
          <t>01a1212c-4b57-70cf-80fd-c2192cb3bf81</t>
        </is>
      </c>
      <c r="D832" s="4" t="n">
        <v>46304.62403283001</v>
      </c>
      <c r="E832" s="4" t="n">
        <v>46304.62403283009</v>
      </c>
      <c r="F832" t="b">
        <v>1</v>
      </c>
      <c r="G832" t="n">
        <v/>
      </c>
      <c r="H832" t="inlineStr">
        <is>
          <t>SEC</t>
        </is>
      </c>
      <c r="I832" t="inlineStr">
        <is>
          <t>Spheria Emerging Companies Ltd</t>
        </is>
      </c>
      <c r="J832" t="inlineStr">
        <is>
          <t>AUD</t>
        </is>
      </c>
      <c r="K832" s="5" t="inlineStr">
        <is>
          <t>01a1212c-4c04-75ce-bbb2-e3322e18816e</t>
        </is>
      </c>
      <c r="M832" t="inlineStr">
        <is>
          <t>UNKNOWN</t>
        </is>
      </c>
      <c r="N832" t="inlineStr">
        <is>
          <t>DEFAULT</t>
        </is>
      </c>
      <c r="Q832" t="n">
        <v>0</v>
      </c>
      <c r="R832" t="inlineStr">
        <is>
          <t>AUD</t>
        </is>
      </c>
      <c r="S832" t="n">
        <v>0</v>
      </c>
      <c r="T832" t="inlineStr">
        <is>
          <t>AUD</t>
        </is>
      </c>
      <c r="U832" t="n">
        <v>0</v>
      </c>
    </row>
    <row r="833">
      <c r="A833" s="5" t="inlineStr">
        <is>
          <t>01a1212c-5717-74a4-bada-745984e07075</t>
        </is>
      </c>
      <c r="C833" s="5" t="inlineStr">
        <is>
          <t>01a1212c-4b57-70cf-80fd-c2192cb3bf81</t>
        </is>
      </c>
      <c r="D833" s="4" t="n">
        <v>46304.6240328626</v>
      </c>
      <c r="E833" s="4" t="n">
        <v>46304.62403286269</v>
      </c>
      <c r="F833" t="b">
        <v>1</v>
      </c>
      <c r="G833" t="n">
        <v/>
      </c>
      <c r="H833" t="inlineStr">
        <is>
          <t>IXI</t>
        </is>
      </c>
      <c r="I833" t="inlineStr">
        <is>
          <t>Ishares Global Consumer Staples ETF</t>
        </is>
      </c>
      <c r="J833" t="inlineStr">
        <is>
          <t>AUD</t>
        </is>
      </c>
      <c r="K833" s="5" t="inlineStr">
        <is>
          <t>01a1212c-4c04-75ce-bbb2-e3322e18816e</t>
        </is>
      </c>
      <c r="M833" t="inlineStr">
        <is>
          <t>UNKNOWN</t>
        </is>
      </c>
      <c r="N833" t="inlineStr">
        <is>
          <t>DEFAULT</t>
        </is>
      </c>
      <c r="Q833" t="n">
        <v>0</v>
      </c>
      <c r="R833" t="inlineStr">
        <is>
          <t>AUD</t>
        </is>
      </c>
      <c r="S833" t="n">
        <v>0</v>
      </c>
      <c r="T833" t="inlineStr">
        <is>
          <t>AUD</t>
        </is>
      </c>
      <c r="U833" t="n">
        <v>0</v>
      </c>
    </row>
    <row r="834">
      <c r="A834" s="5" t="inlineStr">
        <is>
          <t>01a1212c-5719-77b6-9d21-e4e277b1d858</t>
        </is>
      </c>
      <c r="C834" s="5" t="inlineStr">
        <is>
          <t>01a1212c-4b57-70cf-80fd-c2192cb3bf81</t>
        </is>
      </c>
      <c r="D834" s="4" t="n">
        <v>46304.62403289344</v>
      </c>
      <c r="E834" s="4" t="n">
        <v>46304.62403289352</v>
      </c>
      <c r="F834" t="b">
        <v>1</v>
      </c>
      <c r="G834" t="n">
        <v/>
      </c>
      <c r="H834" t="inlineStr">
        <is>
          <t>GSS</t>
        </is>
      </c>
      <c r="I834" t="inlineStr">
        <is>
          <t>Genetic Signatures Ltd</t>
        </is>
      </c>
      <c r="J834" t="inlineStr">
        <is>
          <t>AUD</t>
        </is>
      </c>
      <c r="K834" s="5" t="inlineStr">
        <is>
          <t>01a1212c-4c04-75ce-bbb2-e3322e18816e</t>
        </is>
      </c>
      <c r="M834" t="inlineStr">
        <is>
          <t>UNKNOWN</t>
        </is>
      </c>
      <c r="N834" t="inlineStr">
        <is>
          <t>DEFAULT</t>
        </is>
      </c>
      <c r="Q834" t="n">
        <v>0</v>
      </c>
      <c r="R834" t="inlineStr">
        <is>
          <t>AUD</t>
        </is>
      </c>
      <c r="S834" t="n">
        <v>0</v>
      </c>
      <c r="T834" t="inlineStr">
        <is>
          <t>AUD</t>
        </is>
      </c>
      <c r="U834" t="n">
        <v>0</v>
      </c>
    </row>
    <row r="835">
      <c r="A835" s="5" t="inlineStr">
        <is>
          <t>01a1212c-571c-7309-8736-1e1844534c87</t>
        </is>
      </c>
      <c r="C835" s="5" t="inlineStr">
        <is>
          <t>01a1212c-4b57-70cf-80fd-c2192cb3bf81</t>
        </is>
      </c>
      <c r="D835" s="4" t="n">
        <v>46304.62403292485</v>
      </c>
      <c r="E835" s="4" t="n">
        <v>46304.62403292493</v>
      </c>
      <c r="F835" t="b">
        <v>1</v>
      </c>
      <c r="G835" t="n">
        <v/>
      </c>
      <c r="H835" t="inlineStr">
        <is>
          <t>EVO</t>
        </is>
      </c>
      <c r="I835" t="inlineStr">
        <is>
          <t>Embark Early Education Ltd</t>
        </is>
      </c>
      <c r="J835" t="inlineStr">
        <is>
          <t>AUD</t>
        </is>
      </c>
      <c r="K835" s="5" t="inlineStr">
        <is>
          <t>01a1212c-4c04-75ce-bbb2-e3322e18816e</t>
        </is>
      </c>
      <c r="M835" t="inlineStr">
        <is>
          <t>UNKNOWN</t>
        </is>
      </c>
      <c r="N835" t="inlineStr">
        <is>
          <t>DEFAULT</t>
        </is>
      </c>
      <c r="Q835" t="n">
        <v>0</v>
      </c>
      <c r="R835" t="inlineStr">
        <is>
          <t>AUD</t>
        </is>
      </c>
      <c r="S835" t="n">
        <v>0</v>
      </c>
      <c r="T835" t="inlineStr">
        <is>
          <t>AUD</t>
        </is>
      </c>
      <c r="U835" t="n">
        <v>0</v>
      </c>
    </row>
    <row r="836">
      <c r="A836" s="5" t="inlineStr">
        <is>
          <t>01a1212c-571f-74e6-b1b1-fbaef57a5a0a</t>
        </is>
      </c>
      <c r="C836" s="5" t="inlineStr">
        <is>
          <t>01a1212c-4b57-70cf-80fd-c2192cb3bf81</t>
        </is>
      </c>
      <c r="D836" s="4" t="n">
        <v>46304.62403295547</v>
      </c>
      <c r="E836" s="4" t="n">
        <v>46304.62403295556</v>
      </c>
      <c r="F836" t="b">
        <v>1</v>
      </c>
      <c r="G836" t="n">
        <v/>
      </c>
      <c r="H836" t="inlineStr">
        <is>
          <t>ARR</t>
        </is>
      </c>
      <c r="I836" t="inlineStr">
        <is>
          <t>American Rare EARTHS Ltd</t>
        </is>
      </c>
      <c r="J836" t="inlineStr">
        <is>
          <t>AUD</t>
        </is>
      </c>
      <c r="K836" s="5" t="inlineStr">
        <is>
          <t>01a1212c-4c04-75ce-bbb2-e3322e18816e</t>
        </is>
      </c>
      <c r="M836" t="inlineStr">
        <is>
          <t>UNKNOWN</t>
        </is>
      </c>
      <c r="N836" t="inlineStr">
        <is>
          <t>DEFAULT</t>
        </is>
      </c>
      <c r="Q836" t="n">
        <v>0</v>
      </c>
      <c r="R836" t="inlineStr">
        <is>
          <t>AUD</t>
        </is>
      </c>
      <c r="S836" t="n">
        <v>0</v>
      </c>
      <c r="T836" t="inlineStr">
        <is>
          <t>AUD</t>
        </is>
      </c>
      <c r="U836" t="n">
        <v>0</v>
      </c>
    </row>
    <row r="837">
      <c r="A837" s="5" t="inlineStr">
        <is>
          <t>01a1212c-5721-7262-b2d8-01268a607c1c</t>
        </is>
      </c>
      <c r="C837" s="5" t="inlineStr">
        <is>
          <t>01a1212c-4b57-70cf-80fd-c2192cb3bf81</t>
        </is>
      </c>
      <c r="D837" s="4" t="n">
        <v>46304.62403298612</v>
      </c>
      <c r="E837" s="4" t="n">
        <v>46304.6240329862</v>
      </c>
      <c r="F837" t="b">
        <v>1</v>
      </c>
      <c r="G837" t="n">
        <v/>
      </c>
      <c r="H837" t="inlineStr">
        <is>
          <t>STA</t>
        </is>
      </c>
      <c r="I837" t="inlineStr">
        <is>
          <t>Strandline Resources Ltd</t>
        </is>
      </c>
      <c r="J837" t="inlineStr">
        <is>
          <t>AUD</t>
        </is>
      </c>
      <c r="K837" s="5" t="inlineStr">
        <is>
          <t>01a1212c-4c04-75ce-bbb2-e3322e18816e</t>
        </is>
      </c>
      <c r="M837" t="inlineStr">
        <is>
          <t>UNKNOWN</t>
        </is>
      </c>
      <c r="N837" t="inlineStr">
        <is>
          <t>DEFAULT</t>
        </is>
      </c>
      <c r="Q837" t="n">
        <v>0</v>
      </c>
      <c r="R837" t="inlineStr">
        <is>
          <t>AUD</t>
        </is>
      </c>
      <c r="S837" t="n">
        <v>0</v>
      </c>
      <c r="T837" t="inlineStr">
        <is>
          <t>AUD</t>
        </is>
      </c>
      <c r="U837" t="n">
        <v>0</v>
      </c>
    </row>
    <row r="838">
      <c r="A838" s="5" t="inlineStr">
        <is>
          <t>01a1212c-5724-732e-b02d-824fbb9a53c8</t>
        </is>
      </c>
      <c r="C838" s="5" t="inlineStr">
        <is>
          <t>01a1212c-4b57-70cf-80fd-c2192cb3bf81</t>
        </is>
      </c>
      <c r="D838" s="4" t="n">
        <v>46304.62403301887</v>
      </c>
      <c r="E838" s="4" t="n">
        <v>46304.62403301896</v>
      </c>
      <c r="F838" t="b">
        <v>1</v>
      </c>
      <c r="G838" t="n">
        <v/>
      </c>
      <c r="H838" t="inlineStr">
        <is>
          <t>MCA</t>
        </is>
      </c>
      <c r="I838" t="inlineStr">
        <is>
          <t>Murray Cod Australia Ltd</t>
        </is>
      </c>
      <c r="J838" t="inlineStr">
        <is>
          <t>AUD</t>
        </is>
      </c>
      <c r="K838" s="5" t="inlineStr">
        <is>
          <t>01a1212c-4c04-75ce-bbb2-e3322e18816e</t>
        </is>
      </c>
      <c r="M838" t="inlineStr">
        <is>
          <t>UNKNOWN</t>
        </is>
      </c>
      <c r="N838" t="inlineStr">
        <is>
          <t>DEFAULT</t>
        </is>
      </c>
      <c r="Q838" t="n">
        <v>0</v>
      </c>
      <c r="R838" t="inlineStr">
        <is>
          <t>AUD</t>
        </is>
      </c>
      <c r="S838" t="n">
        <v>0</v>
      </c>
      <c r="T838" t="inlineStr">
        <is>
          <t>AUD</t>
        </is>
      </c>
      <c r="U838" t="n">
        <v>0</v>
      </c>
    </row>
    <row r="839">
      <c r="A839" s="5" t="inlineStr">
        <is>
          <t>01a1212c-5727-70d2-9993-a10f4dcb50f8</t>
        </is>
      </c>
      <c r="C839" s="5" t="inlineStr">
        <is>
          <t>01a1212c-4b57-70cf-80fd-c2192cb3bf81</t>
        </is>
      </c>
      <c r="D839" s="4" t="n">
        <v>46304.6240330499</v>
      </c>
      <c r="E839" s="4" t="n">
        <v>46304.62403304998</v>
      </c>
      <c r="F839" t="b">
        <v>1</v>
      </c>
      <c r="G839" t="n">
        <v/>
      </c>
      <c r="H839" t="inlineStr">
        <is>
          <t>LNYN</t>
        </is>
      </c>
      <c r="I839" t="inlineStr">
        <is>
          <t>Lanyon Investment Fund Active ETF</t>
        </is>
      </c>
      <c r="J839" t="inlineStr">
        <is>
          <t>AUD</t>
        </is>
      </c>
      <c r="K839" s="5" t="inlineStr">
        <is>
          <t>01a1212c-4c04-75ce-bbb2-e3322e18816e</t>
        </is>
      </c>
      <c r="M839" t="inlineStr">
        <is>
          <t>UNKNOWN</t>
        </is>
      </c>
      <c r="N839" t="inlineStr">
        <is>
          <t>DEFAULT</t>
        </is>
      </c>
      <c r="Q839" t="n">
        <v>0</v>
      </c>
      <c r="R839" t="inlineStr">
        <is>
          <t>AUD</t>
        </is>
      </c>
      <c r="S839" t="n">
        <v>0</v>
      </c>
      <c r="T839" t="inlineStr">
        <is>
          <t>AUD</t>
        </is>
      </c>
      <c r="U839" t="n">
        <v>0</v>
      </c>
    </row>
    <row r="840">
      <c r="A840" s="5" t="inlineStr">
        <is>
          <t>01a1212c-572a-7564-8c4a-7cd8c9dafb69</t>
        </is>
      </c>
      <c r="C840" s="5" t="inlineStr">
        <is>
          <t>01a1212c-4b57-70cf-80fd-c2192cb3bf81</t>
        </is>
      </c>
      <c r="D840" s="4" t="n">
        <v>46304.62403308073</v>
      </c>
      <c r="E840" s="4" t="n">
        <v>46304.62403308081</v>
      </c>
      <c r="F840" t="b">
        <v>1</v>
      </c>
      <c r="G840" t="n">
        <v/>
      </c>
      <c r="H840" t="inlineStr">
        <is>
          <t>GLB</t>
        </is>
      </c>
      <c r="I840" t="inlineStr">
        <is>
          <t>Globe International Ltd</t>
        </is>
      </c>
      <c r="J840" t="inlineStr">
        <is>
          <t>AUD</t>
        </is>
      </c>
      <c r="K840" s="5" t="inlineStr">
        <is>
          <t>01a1212c-4c04-75ce-bbb2-e3322e18816e</t>
        </is>
      </c>
      <c r="M840" t="inlineStr">
        <is>
          <t>UNKNOWN</t>
        </is>
      </c>
      <c r="N840" t="inlineStr">
        <is>
          <t>DEFAULT</t>
        </is>
      </c>
      <c r="Q840" t="n">
        <v>0</v>
      </c>
      <c r="R840" t="inlineStr">
        <is>
          <t>AUD</t>
        </is>
      </c>
      <c r="S840" t="n">
        <v>0</v>
      </c>
      <c r="T840" t="inlineStr">
        <is>
          <t>AUD</t>
        </is>
      </c>
      <c r="U840" t="n">
        <v>0</v>
      </c>
    </row>
    <row r="841">
      <c r="A841" s="5" t="inlineStr">
        <is>
          <t>01a1212c-572c-74ac-a365-b1219f2d2bbc</t>
        </is>
      </c>
      <c r="C841" s="5" t="inlineStr">
        <is>
          <t>01a1212c-4b57-70cf-80fd-c2192cb3bf81</t>
        </is>
      </c>
      <c r="D841" s="4" t="n">
        <v>46304.62403311234</v>
      </c>
      <c r="E841" s="4" t="n">
        <v>46304.62403311242</v>
      </c>
      <c r="F841" t="b">
        <v>1</v>
      </c>
      <c r="G841" t="n">
        <v/>
      </c>
      <c r="H841" t="inlineStr">
        <is>
          <t>CYG</t>
        </is>
      </c>
      <c r="I841" t="inlineStr">
        <is>
          <t>Coventry Group Ltd</t>
        </is>
      </c>
      <c r="J841" t="inlineStr">
        <is>
          <t>AUD</t>
        </is>
      </c>
      <c r="K841" s="5" t="inlineStr">
        <is>
          <t>01a1212c-4c04-75ce-bbb2-e3322e18816e</t>
        </is>
      </c>
      <c r="M841" t="inlineStr">
        <is>
          <t>UNKNOWN</t>
        </is>
      </c>
      <c r="N841" t="inlineStr">
        <is>
          <t>DEFAULT</t>
        </is>
      </c>
      <c r="Q841" t="n">
        <v>0</v>
      </c>
      <c r="R841" t="inlineStr">
        <is>
          <t>AUD</t>
        </is>
      </c>
      <c r="S841" t="n">
        <v>0</v>
      </c>
      <c r="T841" t="inlineStr">
        <is>
          <t>AUD</t>
        </is>
      </c>
      <c r="U841" t="n">
        <v>0</v>
      </c>
    </row>
    <row r="842">
      <c r="A842" s="5" t="inlineStr">
        <is>
          <t>01a1212c-572f-76c3-a9b6-cac6eefe8116</t>
        </is>
      </c>
      <c r="C842" s="5" t="inlineStr">
        <is>
          <t>01a1212c-4b57-70cf-80fd-c2192cb3bf81</t>
        </is>
      </c>
      <c r="D842" s="4" t="n">
        <v>46304.62403314518</v>
      </c>
      <c r="E842" s="4" t="n">
        <v>46304.62403314524</v>
      </c>
      <c r="F842" t="b">
        <v>1</v>
      </c>
      <c r="G842" t="n">
        <v/>
      </c>
      <c r="H842" t="inlineStr">
        <is>
          <t>HNG</t>
        </is>
      </c>
      <c r="I842" t="inlineStr">
        <is>
          <t>Hancock &amp; Gore Ltd</t>
        </is>
      </c>
      <c r="J842" t="inlineStr">
        <is>
          <t>AUD</t>
        </is>
      </c>
      <c r="K842" s="5" t="inlineStr">
        <is>
          <t>01a1212c-4c04-75ce-bbb2-e3322e18816e</t>
        </is>
      </c>
      <c r="M842" t="inlineStr">
        <is>
          <t>UNKNOWN</t>
        </is>
      </c>
      <c r="N842" t="inlineStr">
        <is>
          <t>DEFAULT</t>
        </is>
      </c>
      <c r="Q842" t="n">
        <v>0</v>
      </c>
      <c r="R842" t="inlineStr">
        <is>
          <t>AUD</t>
        </is>
      </c>
      <c r="S842" t="n">
        <v>0</v>
      </c>
      <c r="T842" t="inlineStr">
        <is>
          <t>AUD</t>
        </is>
      </c>
      <c r="U842" t="n">
        <v>0</v>
      </c>
    </row>
    <row r="843">
      <c r="A843" s="5" t="inlineStr">
        <is>
          <t>01a1212c-5732-7722-a80a-bb4930fb3f42</t>
        </is>
      </c>
      <c r="C843" s="5" t="inlineStr">
        <is>
          <t>01a1212c-4b57-70cf-80fd-c2192cb3bf81</t>
        </is>
      </c>
      <c r="D843" s="4" t="n">
        <v>46304.624033177</v>
      </c>
      <c r="E843" s="4" t="n">
        <v>46304.62403317708</v>
      </c>
      <c r="F843" t="b">
        <v>1</v>
      </c>
      <c r="G843" t="n">
        <v/>
      </c>
      <c r="H843" t="inlineStr">
        <is>
          <t>TGM</t>
        </is>
      </c>
      <c r="I843" t="inlineStr">
        <is>
          <t>Theta Gold Mines Ltd</t>
        </is>
      </c>
      <c r="J843" t="inlineStr">
        <is>
          <t>AUD</t>
        </is>
      </c>
      <c r="K843" s="5" t="inlineStr">
        <is>
          <t>01a1212c-4c04-75ce-bbb2-e3322e18816e</t>
        </is>
      </c>
      <c r="M843" t="inlineStr">
        <is>
          <t>UNKNOWN</t>
        </is>
      </c>
      <c r="N843" t="inlineStr">
        <is>
          <t>DEFAULT</t>
        </is>
      </c>
      <c r="Q843" t="n">
        <v>0</v>
      </c>
      <c r="R843" t="inlineStr">
        <is>
          <t>AUD</t>
        </is>
      </c>
      <c r="S843" t="n">
        <v>0</v>
      </c>
      <c r="T843" t="inlineStr">
        <is>
          <t>AUD</t>
        </is>
      </c>
      <c r="U843" t="n">
        <v>0</v>
      </c>
    </row>
    <row r="844">
      <c r="A844" s="5" t="inlineStr">
        <is>
          <t>01a1212c-5735-775a-a04a-fa8aa56c7993</t>
        </is>
      </c>
      <c r="C844" s="5" t="inlineStr">
        <is>
          <t>01a1212c-4b57-70cf-80fd-c2192cb3bf81</t>
        </is>
      </c>
      <c r="D844" s="4" t="n">
        <v>46304.62403320788</v>
      </c>
      <c r="E844" s="4" t="n">
        <v>46304.62403320796</v>
      </c>
      <c r="F844" t="b">
        <v>1</v>
      </c>
      <c r="G844" t="n">
        <v/>
      </c>
      <c r="H844" t="inlineStr">
        <is>
          <t>CCR</t>
        </is>
      </c>
      <c r="I844" t="inlineStr">
        <is>
          <t>Credit Clear Ltd</t>
        </is>
      </c>
      <c r="J844" t="inlineStr">
        <is>
          <t>AUD</t>
        </is>
      </c>
      <c r="K844" s="5" t="inlineStr">
        <is>
          <t>01a1212c-4c04-75ce-bbb2-e3322e18816e</t>
        </is>
      </c>
      <c r="M844" t="inlineStr">
        <is>
          <t>UNKNOWN</t>
        </is>
      </c>
      <c r="N844" t="inlineStr">
        <is>
          <t>DEFAULT</t>
        </is>
      </c>
      <c r="Q844" t="n">
        <v>0</v>
      </c>
      <c r="R844" t="inlineStr">
        <is>
          <t>AUD</t>
        </is>
      </c>
      <c r="S844" t="n">
        <v>0</v>
      </c>
      <c r="T844" t="inlineStr">
        <is>
          <t>AUD</t>
        </is>
      </c>
      <c r="U844" t="n">
        <v>0</v>
      </c>
    </row>
    <row r="845">
      <c r="A845" s="5" t="inlineStr">
        <is>
          <t>01a1212c-5737-72a5-8a70-c744585a323e</t>
        </is>
      </c>
      <c r="C845" s="5" t="inlineStr">
        <is>
          <t>01a1212c-4b57-70cf-80fd-c2192cb3bf81</t>
        </is>
      </c>
      <c r="D845" s="4" t="n">
        <v>46304.62403323946</v>
      </c>
      <c r="E845" s="4" t="n">
        <v>46304.62403323954</v>
      </c>
      <c r="F845" t="b">
        <v>1</v>
      </c>
      <c r="G845" t="n">
        <v/>
      </c>
      <c r="H845" t="inlineStr">
        <is>
          <t>RFG</t>
        </is>
      </c>
      <c r="I845" t="inlineStr">
        <is>
          <t>Retail Food Group Ltd</t>
        </is>
      </c>
      <c r="J845" t="inlineStr">
        <is>
          <t>AUD</t>
        </is>
      </c>
      <c r="K845" s="5" t="inlineStr">
        <is>
          <t>01a1212c-4c04-75ce-bbb2-e3322e18816e</t>
        </is>
      </c>
      <c r="M845" t="inlineStr">
        <is>
          <t>UNKNOWN</t>
        </is>
      </c>
      <c r="N845" t="inlineStr">
        <is>
          <t>DEFAULT</t>
        </is>
      </c>
      <c r="Q845" t="n">
        <v>0</v>
      </c>
      <c r="R845" t="inlineStr">
        <is>
          <t>AUD</t>
        </is>
      </c>
      <c r="S845" t="n">
        <v>0</v>
      </c>
      <c r="T845" t="inlineStr">
        <is>
          <t>AUD</t>
        </is>
      </c>
      <c r="U845" t="n">
        <v>0</v>
      </c>
    </row>
    <row r="846">
      <c r="A846" s="5" t="inlineStr">
        <is>
          <t>01a1212c-573a-7561-aceb-6dd629bac0ef</t>
        </is>
      </c>
      <c r="C846" s="5" t="inlineStr">
        <is>
          <t>01a1212c-4b57-70cf-80fd-c2192cb3bf81</t>
        </is>
      </c>
      <c r="D846" s="4" t="n">
        <v>46304.62403327228</v>
      </c>
      <c r="E846" s="4" t="n">
        <v>46304.62403327238</v>
      </c>
      <c r="F846" t="b">
        <v>1</v>
      </c>
      <c r="G846" t="n">
        <v/>
      </c>
      <c r="H846" t="inlineStr">
        <is>
          <t>SHJ</t>
        </is>
      </c>
      <c r="I846" t="inlineStr">
        <is>
          <t>Shine Justice Ltd</t>
        </is>
      </c>
      <c r="J846" t="inlineStr">
        <is>
          <t>AUD</t>
        </is>
      </c>
      <c r="K846" s="5" t="inlineStr">
        <is>
          <t>01a1212c-4c04-75ce-bbb2-e3322e18816e</t>
        </is>
      </c>
      <c r="M846" t="inlineStr">
        <is>
          <t>UNKNOWN</t>
        </is>
      </c>
      <c r="N846" t="inlineStr">
        <is>
          <t>DEFAULT</t>
        </is>
      </c>
      <c r="Q846" t="n">
        <v>0</v>
      </c>
      <c r="R846" t="inlineStr">
        <is>
          <t>AUD</t>
        </is>
      </c>
      <c r="S846" t="n">
        <v>0</v>
      </c>
      <c r="T846" t="inlineStr">
        <is>
          <t>AUD</t>
        </is>
      </c>
      <c r="U846" t="n">
        <v>0</v>
      </c>
    </row>
    <row r="847">
      <c r="A847" s="5" t="inlineStr">
        <is>
          <t>01a1212c-573d-735b-850a-613cfe3f33c0</t>
        </is>
      </c>
      <c r="C847" s="5" t="inlineStr">
        <is>
          <t>01a1212c-4b57-70cf-80fd-c2192cb3bf81</t>
        </is>
      </c>
      <c r="D847" s="4" t="n">
        <v>46304.62403330534</v>
      </c>
      <c r="E847" s="4" t="n">
        <v>46304.62403330542</v>
      </c>
      <c r="F847" t="b">
        <v>1</v>
      </c>
      <c r="G847" t="n">
        <v/>
      </c>
      <c r="H847" t="inlineStr">
        <is>
          <t>ENR</t>
        </is>
      </c>
      <c r="I847" t="inlineStr">
        <is>
          <t>Encounter Resources Ltd</t>
        </is>
      </c>
      <c r="J847" t="inlineStr">
        <is>
          <t>AUD</t>
        </is>
      </c>
      <c r="K847" s="5" t="inlineStr">
        <is>
          <t>01a1212c-4c04-75ce-bbb2-e3322e18816e</t>
        </is>
      </c>
      <c r="M847" t="inlineStr">
        <is>
          <t>UNKNOWN</t>
        </is>
      </c>
      <c r="N847" t="inlineStr">
        <is>
          <t>DEFAULT</t>
        </is>
      </c>
      <c r="Q847" t="n">
        <v>0</v>
      </c>
      <c r="R847" t="inlineStr">
        <is>
          <t>AUD</t>
        </is>
      </c>
      <c r="S847" t="n">
        <v>0</v>
      </c>
      <c r="T847" t="inlineStr">
        <is>
          <t>AUD</t>
        </is>
      </c>
      <c r="U847" t="n">
        <v>0</v>
      </c>
    </row>
    <row r="848">
      <c r="A848" s="5" t="inlineStr">
        <is>
          <t>01a1212c-5740-71d8-981e-09845b2e4e4e</t>
        </is>
      </c>
      <c r="C848" s="5" t="inlineStr">
        <is>
          <t>01a1212c-4b57-70cf-80fd-c2192cb3bf81</t>
        </is>
      </c>
      <c r="D848" s="4" t="n">
        <v>46304.62403333605</v>
      </c>
      <c r="E848" s="4" t="n">
        <v>46304.62403333612</v>
      </c>
      <c r="F848" t="b">
        <v>1</v>
      </c>
      <c r="G848" t="n">
        <v/>
      </c>
      <c r="H848" t="inlineStr">
        <is>
          <t>MAP</t>
        </is>
      </c>
      <c r="I848" t="inlineStr">
        <is>
          <t>Microba Life Sciences Ltd</t>
        </is>
      </c>
      <c r="J848" t="inlineStr">
        <is>
          <t>AUD</t>
        </is>
      </c>
      <c r="K848" s="5" t="inlineStr">
        <is>
          <t>01a1212c-4c04-75ce-bbb2-e3322e18816e</t>
        </is>
      </c>
      <c r="M848" t="inlineStr">
        <is>
          <t>UNKNOWN</t>
        </is>
      </c>
      <c r="N848" t="inlineStr">
        <is>
          <t>DEFAULT</t>
        </is>
      </c>
      <c r="Q848" t="n">
        <v>0</v>
      </c>
      <c r="R848" t="inlineStr">
        <is>
          <t>AUD</t>
        </is>
      </c>
      <c r="S848" t="n">
        <v>0</v>
      </c>
      <c r="T848" t="inlineStr">
        <is>
          <t>AUD</t>
        </is>
      </c>
      <c r="U848" t="n">
        <v>0</v>
      </c>
    </row>
    <row r="849">
      <c r="A849" s="5" t="inlineStr">
        <is>
          <t>01a1212c-5742-720a-8fdb-e430118761a1</t>
        </is>
      </c>
      <c r="C849" s="5" t="inlineStr">
        <is>
          <t>01a1212c-4b57-70cf-80fd-c2192cb3bf81</t>
        </is>
      </c>
      <c r="D849" s="4" t="n">
        <v>46304.62403336693</v>
      </c>
      <c r="E849" s="4" t="n">
        <v>46304.62403336701</v>
      </c>
      <c r="F849" t="b">
        <v>1</v>
      </c>
      <c r="G849" t="n">
        <v/>
      </c>
      <c r="H849" t="inlineStr">
        <is>
          <t>BIO</t>
        </is>
      </c>
      <c r="I849" t="inlineStr">
        <is>
          <t>Biome Australia Ltd</t>
        </is>
      </c>
      <c r="J849" t="inlineStr">
        <is>
          <t>AUD</t>
        </is>
      </c>
      <c r="K849" s="5" t="inlineStr">
        <is>
          <t>01a1212c-4c04-75ce-bbb2-e3322e18816e</t>
        </is>
      </c>
      <c r="M849" t="inlineStr">
        <is>
          <t>UNKNOWN</t>
        </is>
      </c>
      <c r="N849" t="inlineStr">
        <is>
          <t>DEFAULT</t>
        </is>
      </c>
      <c r="Q849" t="n">
        <v>0</v>
      </c>
      <c r="R849" t="inlineStr">
        <is>
          <t>AUD</t>
        </is>
      </c>
      <c r="S849" t="n">
        <v>0</v>
      </c>
      <c r="T849" t="inlineStr">
        <is>
          <t>AUD</t>
        </is>
      </c>
      <c r="U849" t="n">
        <v>0</v>
      </c>
    </row>
    <row r="850">
      <c r="A850" s="5" t="inlineStr">
        <is>
          <t>01a1212c-5745-71c7-97fc-f014e25c8efa</t>
        </is>
      </c>
      <c r="C850" s="5" t="inlineStr">
        <is>
          <t>01a1212c-4b57-70cf-80fd-c2192cb3bf81</t>
        </is>
      </c>
      <c r="D850" s="4" t="n">
        <v>46304.62403339766</v>
      </c>
      <c r="E850" s="4" t="n">
        <v>46304.62403339773</v>
      </c>
      <c r="F850" t="b">
        <v>1</v>
      </c>
      <c r="G850" t="n">
        <v/>
      </c>
      <c r="H850" t="inlineStr">
        <is>
          <t>PLT</t>
        </is>
      </c>
      <c r="I850" t="inlineStr">
        <is>
          <t>Plenti Group Ltd</t>
        </is>
      </c>
      <c r="J850" t="inlineStr">
        <is>
          <t>AUD</t>
        </is>
      </c>
      <c r="K850" s="5" t="inlineStr">
        <is>
          <t>01a1212c-4c04-75ce-bbb2-e3322e18816e</t>
        </is>
      </c>
      <c r="M850" t="inlineStr">
        <is>
          <t>UNKNOWN</t>
        </is>
      </c>
      <c r="N850" t="inlineStr">
        <is>
          <t>DEFAULT</t>
        </is>
      </c>
      <c r="Q850" t="n">
        <v>0</v>
      </c>
      <c r="R850" t="inlineStr">
        <is>
          <t>AUD</t>
        </is>
      </c>
      <c r="S850" t="n">
        <v>0</v>
      </c>
      <c r="T850" t="inlineStr">
        <is>
          <t>AUD</t>
        </is>
      </c>
      <c r="U850" t="n">
        <v>0</v>
      </c>
    </row>
    <row r="851">
      <c r="A851" s="5" t="inlineStr">
        <is>
          <t>01a1212c-5748-7696-8402-71c730c08707</t>
        </is>
      </c>
      <c r="C851" s="5" t="inlineStr">
        <is>
          <t>01a1212c-4b57-70cf-80fd-c2192cb3bf81</t>
        </is>
      </c>
      <c r="D851" s="4" t="n">
        <v>46304.62403342863</v>
      </c>
      <c r="E851" s="4" t="n">
        <v>46304.62403342871</v>
      </c>
      <c r="F851" t="b">
        <v>1</v>
      </c>
      <c r="G851" t="n">
        <v/>
      </c>
      <c r="H851" t="inlineStr">
        <is>
          <t>RCT</t>
        </is>
      </c>
      <c r="I851" t="inlineStr">
        <is>
          <t>Reef Casino Trust</t>
        </is>
      </c>
      <c r="J851" t="inlineStr">
        <is>
          <t>AUD</t>
        </is>
      </c>
      <c r="K851" s="5" t="inlineStr">
        <is>
          <t>01a1212c-4c04-75ce-bbb2-e3322e18816e</t>
        </is>
      </c>
      <c r="M851" t="inlineStr">
        <is>
          <t>UNKNOWN</t>
        </is>
      </c>
      <c r="N851" t="inlineStr">
        <is>
          <t>DEFAULT</t>
        </is>
      </c>
      <c r="Q851" t="n">
        <v>0</v>
      </c>
      <c r="R851" t="inlineStr">
        <is>
          <t>AUD</t>
        </is>
      </c>
      <c r="S851" t="n">
        <v>0</v>
      </c>
      <c r="T851" t="inlineStr">
        <is>
          <t>AUD</t>
        </is>
      </c>
      <c r="U851" t="n">
        <v>0</v>
      </c>
    </row>
    <row r="852">
      <c r="A852" s="5" t="inlineStr">
        <is>
          <t>01a1212c-574a-769e-b99c-e6c662a1ac17</t>
        </is>
      </c>
      <c r="C852" s="5" t="inlineStr">
        <is>
          <t>01a1212c-4b57-70cf-80fd-c2192cb3bf81</t>
        </is>
      </c>
      <c r="D852" s="4" t="n">
        <v>46304.62403346122</v>
      </c>
      <c r="E852" s="4" t="n">
        <v>46304.62403346128</v>
      </c>
      <c r="F852" t="b">
        <v>1</v>
      </c>
      <c r="G852" t="n">
        <v/>
      </c>
      <c r="H852" t="inlineStr">
        <is>
          <t>JYC</t>
        </is>
      </c>
      <c r="I852" t="inlineStr">
        <is>
          <t>Joyce Corporation Ltd</t>
        </is>
      </c>
      <c r="J852" t="inlineStr">
        <is>
          <t>AUD</t>
        </is>
      </c>
      <c r="K852" s="5" t="inlineStr">
        <is>
          <t>01a1212c-4c04-75ce-bbb2-e3322e18816e</t>
        </is>
      </c>
      <c r="M852" t="inlineStr">
        <is>
          <t>UNKNOWN</t>
        </is>
      </c>
      <c r="N852" t="inlineStr">
        <is>
          <t>DEFAULT</t>
        </is>
      </c>
      <c r="Q852" t="n">
        <v>0</v>
      </c>
      <c r="R852" t="inlineStr">
        <is>
          <t>AUD</t>
        </is>
      </c>
      <c r="S852" t="n">
        <v>0</v>
      </c>
      <c r="T852" t="inlineStr">
        <is>
          <t>AUD</t>
        </is>
      </c>
      <c r="U852" t="n">
        <v>0</v>
      </c>
    </row>
    <row r="853">
      <c r="A853" s="5" t="inlineStr">
        <is>
          <t>01a1212c-574d-77a0-a662-e5cb3c719e76</t>
        </is>
      </c>
      <c r="C853" s="5" t="inlineStr">
        <is>
          <t>01a1212c-4b57-70cf-80fd-c2192cb3bf81</t>
        </is>
      </c>
      <c r="D853" s="4" t="n">
        <v>46304.62403349278</v>
      </c>
      <c r="E853" s="4" t="n">
        <v>46304.62403349286</v>
      </c>
      <c r="F853" t="b">
        <v>1</v>
      </c>
      <c r="G853" t="n">
        <v/>
      </c>
      <c r="H853" t="inlineStr">
        <is>
          <t>CUP</t>
        </is>
      </c>
      <c r="I853" t="inlineStr">
        <is>
          <t>Count Ltd</t>
        </is>
      </c>
      <c r="J853" t="inlineStr">
        <is>
          <t>AUD</t>
        </is>
      </c>
      <c r="K853" s="5" t="inlineStr">
        <is>
          <t>01a1212c-4c04-75ce-bbb2-e3322e18816e</t>
        </is>
      </c>
      <c r="M853" t="inlineStr">
        <is>
          <t>UNKNOWN</t>
        </is>
      </c>
      <c r="N853" t="inlineStr">
        <is>
          <t>DEFAULT</t>
        </is>
      </c>
      <c r="Q853" t="n">
        <v>0</v>
      </c>
      <c r="R853" t="inlineStr">
        <is>
          <t>AUD</t>
        </is>
      </c>
      <c r="S853" t="n">
        <v>0</v>
      </c>
      <c r="T853" t="inlineStr">
        <is>
          <t>AUD</t>
        </is>
      </c>
      <c r="U853" t="n">
        <v>0</v>
      </c>
    </row>
    <row r="854">
      <c r="A854" s="5" t="inlineStr">
        <is>
          <t>01a1212c-5750-7472-858b-6c369aa3c7d5</t>
        </is>
      </c>
      <c r="C854" s="5" t="inlineStr">
        <is>
          <t>01a1212c-4b57-70cf-80fd-c2192cb3bf81</t>
        </is>
      </c>
      <c r="D854" s="4" t="n">
        <v>46304.62403352487</v>
      </c>
      <c r="E854" s="4" t="n">
        <v>46304.62403352495</v>
      </c>
      <c r="F854" t="b">
        <v>1</v>
      </c>
      <c r="G854" t="n">
        <v/>
      </c>
      <c r="H854" t="inlineStr">
        <is>
          <t>BBUS</t>
        </is>
      </c>
      <c r="I854" t="inlineStr">
        <is>
          <t>Betashares US EQY Strong Bear - CH (Hedge Fund)</t>
        </is>
      </c>
      <c r="J854" t="inlineStr">
        <is>
          <t>AUD</t>
        </is>
      </c>
      <c r="K854" s="5" t="inlineStr">
        <is>
          <t>01a1212c-4c04-75ce-bbb2-e3322e18816e</t>
        </is>
      </c>
      <c r="M854" t="inlineStr">
        <is>
          <t>UNKNOWN</t>
        </is>
      </c>
      <c r="N854" t="inlineStr">
        <is>
          <t>DEFAULT</t>
        </is>
      </c>
      <c r="Q854" t="n">
        <v>0</v>
      </c>
      <c r="R854" t="inlineStr">
        <is>
          <t>AUD</t>
        </is>
      </c>
      <c r="S854" t="n">
        <v>0</v>
      </c>
      <c r="T854" t="inlineStr">
        <is>
          <t>AUD</t>
        </is>
      </c>
      <c r="U854" t="n">
        <v>0</v>
      </c>
    </row>
    <row r="855">
      <c r="A855" s="5" t="inlineStr">
        <is>
          <t>01a1212c-5753-7063-91c7-2ed2b964d96f</t>
        </is>
      </c>
      <c r="C855" s="5" t="inlineStr">
        <is>
          <t>01a1212c-4b57-70cf-80fd-c2192cb3bf81</t>
        </is>
      </c>
      <c r="D855" s="4" t="n">
        <v>46304.62403355677</v>
      </c>
      <c r="E855" s="4" t="n">
        <v>46304.62403355685</v>
      </c>
      <c r="F855" t="b">
        <v>1</v>
      </c>
      <c r="G855" t="n">
        <v/>
      </c>
      <c r="H855" t="inlineStr">
        <is>
          <t>MOGL</t>
        </is>
      </c>
      <c r="I855" t="inlineStr">
        <is>
          <t>Montaka GBL Long Only Equities Fund (Managed Fund)</t>
        </is>
      </c>
      <c r="J855" t="inlineStr">
        <is>
          <t>AUD</t>
        </is>
      </c>
      <c r="K855" s="5" t="inlineStr">
        <is>
          <t>01a1212c-4c04-75ce-bbb2-e3322e18816e</t>
        </is>
      </c>
      <c r="M855" t="inlineStr">
        <is>
          <t>UNKNOWN</t>
        </is>
      </c>
      <c r="N855" t="inlineStr">
        <is>
          <t>DEFAULT</t>
        </is>
      </c>
      <c r="Q855" t="n">
        <v>0</v>
      </c>
      <c r="R855" t="inlineStr">
        <is>
          <t>AUD</t>
        </is>
      </c>
      <c r="S855" t="n">
        <v>0</v>
      </c>
      <c r="T855" t="inlineStr">
        <is>
          <t>AUD</t>
        </is>
      </c>
      <c r="U855" t="n">
        <v>0</v>
      </c>
    </row>
    <row r="856">
      <c r="A856" s="5" t="inlineStr">
        <is>
          <t>01a1212c-5756-749d-a162-52c2f8aac657</t>
        </is>
      </c>
      <c r="C856" s="5" t="inlineStr">
        <is>
          <t>01a1212c-4b57-70cf-80fd-c2192cb3bf81</t>
        </is>
      </c>
      <c r="D856" s="4" t="n">
        <v>46304.62403359029</v>
      </c>
      <c r="E856" s="4" t="n">
        <v>46304.62403359036</v>
      </c>
      <c r="F856" t="b">
        <v>1</v>
      </c>
      <c r="G856" t="n">
        <v/>
      </c>
      <c r="H856" t="inlineStr">
        <is>
          <t>PCL</t>
        </is>
      </c>
      <c r="I856" t="inlineStr">
        <is>
          <t>Pancontinental Energy NL</t>
        </is>
      </c>
      <c r="J856" t="inlineStr">
        <is>
          <t>AUD</t>
        </is>
      </c>
      <c r="K856" s="5" t="inlineStr">
        <is>
          <t>01a1212c-4c04-75ce-bbb2-e3322e18816e</t>
        </is>
      </c>
      <c r="M856" t="inlineStr">
        <is>
          <t>UNKNOWN</t>
        </is>
      </c>
      <c r="N856" t="inlineStr">
        <is>
          <t>DEFAULT</t>
        </is>
      </c>
      <c r="Q856" t="n">
        <v>0</v>
      </c>
      <c r="R856" t="inlineStr">
        <is>
          <t>AUD</t>
        </is>
      </c>
      <c r="S856" t="n">
        <v>0</v>
      </c>
      <c r="T856" t="inlineStr">
        <is>
          <t>AUD</t>
        </is>
      </c>
      <c r="U856" t="n">
        <v>0</v>
      </c>
    </row>
    <row r="857">
      <c r="A857" s="5" t="inlineStr">
        <is>
          <t>01a1212c-5758-73de-bccf-62cbb2855670</t>
        </is>
      </c>
      <c r="C857" s="5" t="inlineStr">
        <is>
          <t>01a1212c-4b57-70cf-80fd-c2192cb3bf81</t>
        </is>
      </c>
      <c r="D857" s="4" t="n">
        <v>46304.62403362132</v>
      </c>
      <c r="E857" s="4" t="n">
        <v>46304.62403362139</v>
      </c>
      <c r="F857" t="b">
        <v>1</v>
      </c>
      <c r="G857" t="n">
        <v/>
      </c>
      <c r="H857" t="inlineStr">
        <is>
          <t>SVL</t>
        </is>
      </c>
      <c r="I857" t="inlineStr">
        <is>
          <t>Silver Mines Ltd</t>
        </is>
      </c>
      <c r="J857" t="inlineStr">
        <is>
          <t>AUD</t>
        </is>
      </c>
      <c r="K857" s="5" t="inlineStr">
        <is>
          <t>01a1212c-4c04-75ce-bbb2-e3322e18816e</t>
        </is>
      </c>
      <c r="M857" t="inlineStr">
        <is>
          <t>UNKNOWN</t>
        </is>
      </c>
      <c r="N857" t="inlineStr">
        <is>
          <t>DEFAULT</t>
        </is>
      </c>
      <c r="Q857" t="n">
        <v>0</v>
      </c>
      <c r="R857" t="inlineStr">
        <is>
          <t>AUD</t>
        </is>
      </c>
      <c r="S857" t="n">
        <v>0</v>
      </c>
      <c r="T857" t="inlineStr">
        <is>
          <t>AUD</t>
        </is>
      </c>
      <c r="U857" t="n">
        <v>0</v>
      </c>
    </row>
    <row r="858">
      <c r="A858" s="5" t="inlineStr">
        <is>
          <t>01a1212c-575b-706e-9cb5-9d327e44e1c2</t>
        </is>
      </c>
      <c r="C858" s="5" t="inlineStr">
        <is>
          <t>01a1212c-4b57-70cf-80fd-c2192cb3bf81</t>
        </is>
      </c>
      <c r="D858" s="4" t="n">
        <v>46304.62403365217</v>
      </c>
      <c r="E858" s="4" t="n">
        <v>46304.62403365225</v>
      </c>
      <c r="F858" t="b">
        <v>1</v>
      </c>
      <c r="G858" t="n">
        <v/>
      </c>
      <c r="H858" t="inlineStr">
        <is>
          <t>X64</t>
        </is>
      </c>
      <c r="I858" t="inlineStr">
        <is>
          <t>Ten Sixty Four Ltd</t>
        </is>
      </c>
      <c r="J858" t="inlineStr">
        <is>
          <t>AUD</t>
        </is>
      </c>
      <c r="K858" s="5" t="inlineStr">
        <is>
          <t>01a1212c-4c04-75ce-bbb2-e3322e18816e</t>
        </is>
      </c>
      <c r="M858" t="inlineStr">
        <is>
          <t>UNKNOWN</t>
        </is>
      </c>
      <c r="N858" t="inlineStr">
        <is>
          <t>DEFAULT</t>
        </is>
      </c>
      <c r="Q858" t="n">
        <v>0</v>
      </c>
      <c r="R858" t="inlineStr">
        <is>
          <t>AUD</t>
        </is>
      </c>
      <c r="S858" t="n">
        <v>0</v>
      </c>
      <c r="T858" t="inlineStr">
        <is>
          <t>AUD</t>
        </is>
      </c>
      <c r="U858" t="n">
        <v>0</v>
      </c>
    </row>
    <row r="859">
      <c r="A859" s="5" t="inlineStr">
        <is>
          <t>01a1212c-575e-75cb-b87f-6a3a6f9441e1</t>
        </is>
      </c>
      <c r="C859" s="5" t="inlineStr">
        <is>
          <t>01a1212c-4b57-70cf-80fd-c2192cb3bf81</t>
        </is>
      </c>
      <c r="D859" s="4" t="n">
        <v>46304.62403368339</v>
      </c>
      <c r="E859" s="4" t="n">
        <v>46304.62403368346</v>
      </c>
      <c r="F859" t="b">
        <v>1</v>
      </c>
      <c r="G859" t="n">
        <v/>
      </c>
      <c r="H859" t="inlineStr">
        <is>
          <t>AEE</t>
        </is>
      </c>
      <c r="I859" t="inlineStr">
        <is>
          <t>Aura Energy Ltd</t>
        </is>
      </c>
      <c r="J859" t="inlineStr">
        <is>
          <t>AUD</t>
        </is>
      </c>
      <c r="K859" s="5" t="inlineStr">
        <is>
          <t>01a1212c-4c04-75ce-bbb2-e3322e18816e</t>
        </is>
      </c>
      <c r="M859" t="inlineStr">
        <is>
          <t>UNKNOWN</t>
        </is>
      </c>
      <c r="N859" t="inlineStr">
        <is>
          <t>DEFAULT</t>
        </is>
      </c>
      <c r="Q859" t="n">
        <v>0</v>
      </c>
      <c r="R859" t="inlineStr">
        <is>
          <t>AUD</t>
        </is>
      </c>
      <c r="S859" t="n">
        <v>0</v>
      </c>
      <c r="T859" t="inlineStr">
        <is>
          <t>AUD</t>
        </is>
      </c>
      <c r="U859" t="n">
        <v>0</v>
      </c>
    </row>
    <row r="860">
      <c r="A860" s="5" t="inlineStr">
        <is>
          <t>01a1212c-5761-75c3-b130-c3e12dfa2635</t>
        </is>
      </c>
      <c r="C860" s="5" t="inlineStr">
        <is>
          <t>01a1212c-4b57-70cf-80fd-c2192cb3bf81</t>
        </is>
      </c>
      <c r="D860" s="4" t="n">
        <v>46304.62403372156</v>
      </c>
      <c r="E860" s="4" t="n">
        <v>46304.62403372167</v>
      </c>
      <c r="F860" t="b">
        <v>1</v>
      </c>
      <c r="G860" t="n">
        <v/>
      </c>
      <c r="H860" t="inlineStr">
        <is>
          <t>LRL</t>
        </is>
      </c>
      <c r="I860" t="inlineStr">
        <is>
          <t>Labyrinth Resources Ltd</t>
        </is>
      </c>
      <c r="J860" t="inlineStr">
        <is>
          <t>AUD</t>
        </is>
      </c>
      <c r="K860" s="5" t="inlineStr">
        <is>
          <t>01a1212c-4c04-75ce-bbb2-e3322e18816e</t>
        </is>
      </c>
      <c r="M860" t="inlineStr">
        <is>
          <t>UNKNOWN</t>
        </is>
      </c>
      <c r="N860" t="inlineStr">
        <is>
          <t>DEFAULT</t>
        </is>
      </c>
      <c r="Q860" t="n">
        <v>0</v>
      </c>
      <c r="R860" t="inlineStr">
        <is>
          <t>AUD</t>
        </is>
      </c>
      <c r="S860" t="n">
        <v>0</v>
      </c>
      <c r="T860" t="inlineStr">
        <is>
          <t>AUD</t>
        </is>
      </c>
      <c r="U860" t="n">
        <v>0</v>
      </c>
    </row>
    <row r="861">
      <c r="A861" s="5" t="inlineStr">
        <is>
          <t>01a1212c-5764-7251-94d5-9f5216b3bc95</t>
        </is>
      </c>
      <c r="C861" s="5" t="inlineStr">
        <is>
          <t>01a1212c-4b57-70cf-80fd-c2192cb3bf81</t>
        </is>
      </c>
      <c r="D861" s="4" t="n">
        <v>46304.62403376054</v>
      </c>
      <c r="E861" s="4" t="n">
        <v>46304.62403376064</v>
      </c>
      <c r="F861" t="b">
        <v>1</v>
      </c>
      <c r="G861" t="n">
        <v/>
      </c>
      <c r="H861" t="inlineStr">
        <is>
          <t>PTR</t>
        </is>
      </c>
      <c r="I861" t="inlineStr">
        <is>
          <t>Petratherm Ltd</t>
        </is>
      </c>
      <c r="J861" t="inlineStr">
        <is>
          <t>AUD</t>
        </is>
      </c>
      <c r="K861" s="5" t="inlineStr">
        <is>
          <t>01a1212c-4c04-75ce-bbb2-e3322e18816e</t>
        </is>
      </c>
      <c r="M861" t="inlineStr">
        <is>
          <t>UNKNOWN</t>
        </is>
      </c>
      <c r="N861" t="inlineStr">
        <is>
          <t>DEFAULT</t>
        </is>
      </c>
      <c r="Q861" t="n">
        <v>0</v>
      </c>
      <c r="R861" t="inlineStr">
        <is>
          <t>AUD</t>
        </is>
      </c>
      <c r="S861" t="n">
        <v>0</v>
      </c>
      <c r="T861" t="inlineStr">
        <is>
          <t>AUD</t>
        </is>
      </c>
      <c r="U861" t="n">
        <v>0</v>
      </c>
    </row>
    <row r="862">
      <c r="A862" s="5" t="inlineStr">
        <is>
          <t>01a1212c-5767-7291-9ddb-20488a265538</t>
        </is>
      </c>
      <c r="C862" s="5" t="inlineStr">
        <is>
          <t>01a1212c-4b57-70cf-80fd-c2192cb3bf81</t>
        </is>
      </c>
      <c r="D862" s="4" t="n">
        <v>46304.62403379635</v>
      </c>
      <c r="E862" s="4" t="n">
        <v>46304.62403379643</v>
      </c>
      <c r="F862" t="b">
        <v>1</v>
      </c>
      <c r="G862" t="n">
        <v/>
      </c>
      <c r="H862" t="inlineStr">
        <is>
          <t>IVZ</t>
        </is>
      </c>
      <c r="I862" t="inlineStr">
        <is>
          <t>Invictus Energy Ltd</t>
        </is>
      </c>
      <c r="J862" t="inlineStr">
        <is>
          <t>AUD</t>
        </is>
      </c>
      <c r="K862" s="5" t="inlineStr">
        <is>
          <t>01a1212c-4c04-75ce-bbb2-e3322e18816e</t>
        </is>
      </c>
      <c r="M862" t="inlineStr">
        <is>
          <t>UNKNOWN</t>
        </is>
      </c>
      <c r="N862" t="inlineStr">
        <is>
          <t>DEFAULT</t>
        </is>
      </c>
      <c r="Q862" t="n">
        <v>0</v>
      </c>
      <c r="R862" t="inlineStr">
        <is>
          <t>AUD</t>
        </is>
      </c>
      <c r="S862" t="n">
        <v>0</v>
      </c>
      <c r="T862" t="inlineStr">
        <is>
          <t>AUD</t>
        </is>
      </c>
      <c r="U862" t="n">
        <v>0</v>
      </c>
    </row>
    <row r="863">
      <c r="A863" s="5" t="inlineStr">
        <is>
          <t>01a1212c-576a-7013-973b-c80241366275</t>
        </is>
      </c>
      <c r="C863" s="5" t="inlineStr">
        <is>
          <t>01a1212c-4b57-70cf-80fd-c2192cb3bf81</t>
        </is>
      </c>
      <c r="D863" s="4" t="n">
        <v>46304.62403382896</v>
      </c>
      <c r="E863" s="4" t="n">
        <v>46304.62403382905</v>
      </c>
      <c r="F863" t="b">
        <v>1</v>
      </c>
      <c r="G863" t="n">
        <v/>
      </c>
      <c r="H863" t="inlineStr">
        <is>
          <t>VEE</t>
        </is>
      </c>
      <c r="I863" t="inlineStr">
        <is>
          <t>Veem Ltd</t>
        </is>
      </c>
      <c r="J863" t="inlineStr">
        <is>
          <t>AUD</t>
        </is>
      </c>
      <c r="K863" s="5" t="inlineStr">
        <is>
          <t>01a1212c-4c04-75ce-bbb2-e3322e18816e</t>
        </is>
      </c>
      <c r="M863" t="inlineStr">
        <is>
          <t>UNKNOWN</t>
        </is>
      </c>
      <c r="N863" t="inlineStr">
        <is>
          <t>DEFAULT</t>
        </is>
      </c>
      <c r="Q863" t="n">
        <v>0</v>
      </c>
      <c r="R863" t="inlineStr">
        <is>
          <t>AUD</t>
        </is>
      </c>
      <c r="S863" t="n">
        <v>0</v>
      </c>
      <c r="T863" t="inlineStr">
        <is>
          <t>AUD</t>
        </is>
      </c>
      <c r="U863" t="n">
        <v>0</v>
      </c>
    </row>
    <row r="864">
      <c r="A864" s="5" t="inlineStr">
        <is>
          <t>01a1212c-576d-7564-ab9f-abdefa9d41d1</t>
        </is>
      </c>
      <c r="C864" s="5" t="inlineStr">
        <is>
          <t>01a1212c-4b57-70cf-80fd-c2192cb3bf81</t>
        </is>
      </c>
      <c r="D864" s="4" t="n">
        <v>46304.62403386127</v>
      </c>
      <c r="E864" s="4" t="n">
        <v>46304.62403386136</v>
      </c>
      <c r="F864" t="b">
        <v>1</v>
      </c>
      <c r="G864" t="n">
        <v/>
      </c>
      <c r="H864" t="inlineStr">
        <is>
          <t>TGP</t>
        </is>
      </c>
      <c r="I864" t="inlineStr">
        <is>
          <t>360 Capital Group</t>
        </is>
      </c>
      <c r="J864" t="inlineStr">
        <is>
          <t>AUD</t>
        </is>
      </c>
      <c r="K864" s="5" t="inlineStr">
        <is>
          <t>01a1212c-4c04-75ce-bbb2-e3322e18816e</t>
        </is>
      </c>
      <c r="M864" t="inlineStr">
        <is>
          <t>UNKNOWN</t>
        </is>
      </c>
      <c r="N864" t="inlineStr">
        <is>
          <t>DEFAULT</t>
        </is>
      </c>
      <c r="Q864" t="n">
        <v>0</v>
      </c>
      <c r="R864" t="inlineStr">
        <is>
          <t>AUD</t>
        </is>
      </c>
      <c r="S864" t="n">
        <v>0</v>
      </c>
      <c r="T864" t="inlineStr">
        <is>
          <t>AUD</t>
        </is>
      </c>
      <c r="U864" t="n">
        <v>0</v>
      </c>
    </row>
    <row r="865">
      <c r="A865" s="5" t="inlineStr">
        <is>
          <t>01a1212c-5770-7715-9f6c-15fc4d558513</t>
        </is>
      </c>
      <c r="C865" s="5" t="inlineStr">
        <is>
          <t>01a1212c-4b57-70cf-80fd-c2192cb3bf81</t>
        </is>
      </c>
      <c r="D865" s="4" t="n">
        <v>46304.62403389941</v>
      </c>
      <c r="E865" s="4" t="n">
        <v>46304.6240338995</v>
      </c>
      <c r="F865" t="b">
        <v>1</v>
      </c>
      <c r="G865" t="n">
        <v/>
      </c>
      <c r="H865" t="inlineStr">
        <is>
          <t>ATR</t>
        </is>
      </c>
      <c r="I865" t="inlineStr">
        <is>
          <t>Astron Corporation Ltd</t>
        </is>
      </c>
      <c r="J865" t="inlineStr">
        <is>
          <t>AUD</t>
        </is>
      </c>
      <c r="K865" s="5" t="inlineStr">
        <is>
          <t>01a1212c-4c04-75ce-bbb2-e3322e18816e</t>
        </is>
      </c>
      <c r="M865" t="inlineStr">
        <is>
          <t>UNKNOWN</t>
        </is>
      </c>
      <c r="N865" t="inlineStr">
        <is>
          <t>DEFAULT</t>
        </is>
      </c>
      <c r="Q865" t="n">
        <v>0</v>
      </c>
      <c r="R865" t="inlineStr">
        <is>
          <t>AUD</t>
        </is>
      </c>
      <c r="S865" t="n">
        <v>0</v>
      </c>
      <c r="T865" t="inlineStr">
        <is>
          <t>AUD</t>
        </is>
      </c>
      <c r="U865" t="n">
        <v>0</v>
      </c>
    </row>
    <row r="866">
      <c r="A866" s="5" t="inlineStr">
        <is>
          <t>01a1212c-5773-76c8-88e6-d88a95baaf18</t>
        </is>
      </c>
      <c r="C866" s="5" t="inlineStr">
        <is>
          <t>01a1212c-4b57-70cf-80fd-c2192cb3bf81</t>
        </is>
      </c>
      <c r="D866" s="4" t="n">
        <v>46304.62403393238</v>
      </c>
      <c r="E866" s="4" t="n">
        <v>46304.62403393248</v>
      </c>
      <c r="F866" t="b">
        <v>1</v>
      </c>
      <c r="G866" t="n">
        <v/>
      </c>
      <c r="H866" t="inlineStr">
        <is>
          <t>AVL</t>
        </is>
      </c>
      <c r="I866" t="inlineStr">
        <is>
          <t>Australian Vanadium Ltd</t>
        </is>
      </c>
      <c r="J866" t="inlineStr">
        <is>
          <t>AUD</t>
        </is>
      </c>
      <c r="K866" s="5" t="inlineStr">
        <is>
          <t>01a1212c-4c04-75ce-bbb2-e3322e18816e</t>
        </is>
      </c>
      <c r="M866" t="inlineStr">
        <is>
          <t>UNKNOWN</t>
        </is>
      </c>
      <c r="N866" t="inlineStr">
        <is>
          <t>DEFAULT</t>
        </is>
      </c>
      <c r="Q866" t="n">
        <v>0</v>
      </c>
      <c r="R866" t="inlineStr">
        <is>
          <t>AUD</t>
        </is>
      </c>
      <c r="S866" t="n">
        <v>0</v>
      </c>
      <c r="T866" t="inlineStr">
        <is>
          <t>AUD</t>
        </is>
      </c>
      <c r="U866" t="n">
        <v>0</v>
      </c>
    </row>
    <row r="867">
      <c r="A867" s="5" t="inlineStr">
        <is>
          <t>01a1212c-5776-7330-b2f5-14d104211ee8</t>
        </is>
      </c>
      <c r="C867" s="5" t="inlineStr">
        <is>
          <t>01a1212c-4b57-70cf-80fd-c2192cb3bf81</t>
        </is>
      </c>
      <c r="D867" s="4" t="n">
        <v>46304.62403396463</v>
      </c>
      <c r="E867" s="4" t="n">
        <v>46304.62403396472</v>
      </c>
      <c r="F867" t="b">
        <v>1</v>
      </c>
      <c r="G867" t="n">
        <v/>
      </c>
      <c r="H867" t="inlineStr">
        <is>
          <t>ENN</t>
        </is>
      </c>
      <c r="I867" t="inlineStr">
        <is>
          <t>Elanor Investors Group</t>
        </is>
      </c>
      <c r="J867" t="inlineStr">
        <is>
          <t>AUD</t>
        </is>
      </c>
      <c r="K867" s="5" t="inlineStr">
        <is>
          <t>01a1212c-4c04-75ce-bbb2-e3322e18816e</t>
        </is>
      </c>
      <c r="M867" t="inlineStr">
        <is>
          <t>UNKNOWN</t>
        </is>
      </c>
      <c r="N867" t="inlineStr">
        <is>
          <t>DEFAULT</t>
        </is>
      </c>
      <c r="Q867" t="n">
        <v>0</v>
      </c>
      <c r="R867" t="inlineStr">
        <is>
          <t>AUD</t>
        </is>
      </c>
      <c r="S867" t="n">
        <v>0</v>
      </c>
      <c r="T867" t="inlineStr">
        <is>
          <t>AUD</t>
        </is>
      </c>
      <c r="U867" t="n">
        <v>0</v>
      </c>
    </row>
    <row r="868">
      <c r="A868" s="5" t="inlineStr">
        <is>
          <t>01a1212c-5779-7518-84be-3ea163f102ea</t>
        </is>
      </c>
      <c r="C868" s="5" t="inlineStr">
        <is>
          <t>01a1212c-4b57-70cf-80fd-c2192cb3bf81</t>
        </is>
      </c>
      <c r="D868" s="4" t="n">
        <v>46304.62403399665</v>
      </c>
      <c r="E868" s="4" t="n">
        <v>46304.62403399673</v>
      </c>
      <c r="F868" t="b">
        <v>1</v>
      </c>
      <c r="G868" t="n">
        <v/>
      </c>
      <c r="H868" t="inlineStr">
        <is>
          <t>MTO</t>
        </is>
      </c>
      <c r="I868" t="inlineStr">
        <is>
          <t>Motorcycle Holdings Ltd</t>
        </is>
      </c>
      <c r="J868" t="inlineStr">
        <is>
          <t>AUD</t>
        </is>
      </c>
      <c r="K868" s="5" t="inlineStr">
        <is>
          <t>01a1212c-4c04-75ce-bbb2-e3322e18816e</t>
        </is>
      </c>
      <c r="M868" t="inlineStr">
        <is>
          <t>UNKNOWN</t>
        </is>
      </c>
      <c r="N868" t="inlineStr">
        <is>
          <t>DEFAULT</t>
        </is>
      </c>
      <c r="Q868" t="n">
        <v>0</v>
      </c>
      <c r="R868" t="inlineStr">
        <is>
          <t>AUD</t>
        </is>
      </c>
      <c r="S868" t="n">
        <v>0</v>
      </c>
      <c r="T868" t="inlineStr">
        <is>
          <t>AUD</t>
        </is>
      </c>
      <c r="U868" t="n">
        <v>0</v>
      </c>
    </row>
    <row r="869">
      <c r="A869" s="5" t="inlineStr">
        <is>
          <t>01a1212c-577b-7325-b68d-fab8b6f3ffdc</t>
        </is>
      </c>
      <c r="C869" s="5" t="inlineStr">
        <is>
          <t>01a1212c-4b57-70cf-80fd-c2192cb3bf81</t>
        </is>
      </c>
      <c r="D869" s="4" t="n">
        <v>46304.62403402796</v>
      </c>
      <c r="E869" s="4" t="n">
        <v>46304.62403402806</v>
      </c>
      <c r="F869" t="b">
        <v>1</v>
      </c>
      <c r="G869" t="n">
        <v/>
      </c>
      <c r="H869" t="inlineStr">
        <is>
          <t>NVA</t>
        </is>
      </c>
      <c r="I869" t="inlineStr">
        <is>
          <t>Nova Minerals Ltd</t>
        </is>
      </c>
      <c r="J869" t="inlineStr">
        <is>
          <t>AUD</t>
        </is>
      </c>
      <c r="K869" s="5" t="inlineStr">
        <is>
          <t>01a1212c-4c04-75ce-bbb2-e3322e18816e</t>
        </is>
      </c>
      <c r="M869" t="inlineStr">
        <is>
          <t>UNKNOWN</t>
        </is>
      </c>
      <c r="N869" t="inlineStr">
        <is>
          <t>DEFAULT</t>
        </is>
      </c>
      <c r="Q869" t="n">
        <v>0</v>
      </c>
      <c r="R869" t="inlineStr">
        <is>
          <t>AUD</t>
        </is>
      </c>
      <c r="S869" t="n">
        <v>0</v>
      </c>
      <c r="T869" t="inlineStr">
        <is>
          <t>AUD</t>
        </is>
      </c>
      <c r="U869" t="n">
        <v>0</v>
      </c>
    </row>
    <row r="870">
      <c r="A870" s="5" t="inlineStr">
        <is>
          <t>01a1212c-577e-75ae-b3fd-02e4156b76d4</t>
        </is>
      </c>
      <c r="C870" s="5" t="inlineStr">
        <is>
          <t>01a1212c-4b57-70cf-80fd-c2192cb3bf81</t>
        </is>
      </c>
      <c r="D870" s="4" t="n">
        <v>46304.62403406155</v>
      </c>
      <c r="E870" s="4" t="n">
        <v>46304.62403406164</v>
      </c>
      <c r="F870" t="b">
        <v>1</v>
      </c>
      <c r="G870" t="n">
        <v/>
      </c>
      <c r="H870" t="inlineStr">
        <is>
          <t>NWSLV</t>
        </is>
      </c>
      <c r="I870" t="inlineStr">
        <is>
          <t>News Corporation</t>
        </is>
      </c>
      <c r="J870" t="inlineStr">
        <is>
          <t>AUD</t>
        </is>
      </c>
      <c r="K870" s="5" t="inlineStr">
        <is>
          <t>01a1212c-4c04-75ce-bbb2-e3322e18816e</t>
        </is>
      </c>
      <c r="M870" t="inlineStr">
        <is>
          <t>UNKNOWN</t>
        </is>
      </c>
      <c r="N870" t="inlineStr">
        <is>
          <t>DEFAULT</t>
        </is>
      </c>
      <c r="Q870" t="n">
        <v>0</v>
      </c>
      <c r="R870" t="inlineStr">
        <is>
          <t>AUD</t>
        </is>
      </c>
      <c r="S870" t="n">
        <v>0</v>
      </c>
      <c r="T870" t="inlineStr">
        <is>
          <t>AUD</t>
        </is>
      </c>
      <c r="U870" t="n">
        <v>0</v>
      </c>
    </row>
    <row r="871">
      <c r="A871" s="5" t="inlineStr">
        <is>
          <t>01a1212c-5781-77a1-b172-020b6a4b6617</t>
        </is>
      </c>
      <c r="C871" s="5" t="inlineStr">
        <is>
          <t>01a1212c-4b57-70cf-80fd-c2192cb3bf81</t>
        </is>
      </c>
      <c r="D871" s="4" t="n">
        <v>46304.62403409538</v>
      </c>
      <c r="E871" s="4" t="n">
        <v>46304.62403409546</v>
      </c>
      <c r="F871" t="b">
        <v>1</v>
      </c>
      <c r="G871" t="n">
        <v/>
      </c>
      <c r="H871" t="inlineStr">
        <is>
          <t>WOT</t>
        </is>
      </c>
      <c r="I871" t="inlineStr">
        <is>
          <t>Wotso Property</t>
        </is>
      </c>
      <c r="J871" t="inlineStr">
        <is>
          <t>AUD</t>
        </is>
      </c>
      <c r="K871" s="5" t="inlineStr">
        <is>
          <t>01a1212c-4c04-75ce-bbb2-e3322e18816e</t>
        </is>
      </c>
      <c r="M871" t="inlineStr">
        <is>
          <t>UNKNOWN</t>
        </is>
      </c>
      <c r="N871" t="inlineStr">
        <is>
          <t>DEFAULT</t>
        </is>
      </c>
      <c r="Q871" t="n">
        <v>0</v>
      </c>
      <c r="R871" t="inlineStr">
        <is>
          <t>AUD</t>
        </is>
      </c>
      <c r="S871" t="n">
        <v>0</v>
      </c>
      <c r="T871" t="inlineStr">
        <is>
          <t>AUD</t>
        </is>
      </c>
      <c r="U871" t="n">
        <v>0</v>
      </c>
    </row>
    <row r="872">
      <c r="A872" s="5" t="inlineStr">
        <is>
          <t>01a1212c-5784-71e2-a4a2-2d35779fddc5</t>
        </is>
      </c>
      <c r="C872" s="5" t="inlineStr">
        <is>
          <t>01a1212c-4b57-70cf-80fd-c2192cb3bf81</t>
        </is>
      </c>
      <c r="D872" s="4" t="n">
        <v>46304.62403412702</v>
      </c>
      <c r="E872" s="4" t="n">
        <v>46304.6240341271</v>
      </c>
      <c r="F872" t="b">
        <v>1</v>
      </c>
      <c r="G872" t="n">
        <v/>
      </c>
      <c r="H872" t="inlineStr">
        <is>
          <t>SND</t>
        </is>
      </c>
      <c r="I872" t="inlineStr">
        <is>
          <t>Saunders International Ltd</t>
        </is>
      </c>
      <c r="J872" t="inlineStr">
        <is>
          <t>AUD</t>
        </is>
      </c>
      <c r="K872" s="5" t="inlineStr">
        <is>
          <t>01a1212c-4c04-75ce-bbb2-e3322e18816e</t>
        </is>
      </c>
      <c r="M872" t="inlineStr">
        <is>
          <t>UNKNOWN</t>
        </is>
      </c>
      <c r="N872" t="inlineStr">
        <is>
          <t>DEFAULT</t>
        </is>
      </c>
      <c r="Q872" t="n">
        <v>0</v>
      </c>
      <c r="R872" t="inlineStr">
        <is>
          <t>AUD</t>
        </is>
      </c>
      <c r="S872" t="n">
        <v>0</v>
      </c>
      <c r="T872" t="inlineStr">
        <is>
          <t>AUD</t>
        </is>
      </c>
      <c r="U872" t="n">
        <v>0</v>
      </c>
    </row>
    <row r="873">
      <c r="A873" s="5" t="inlineStr">
        <is>
          <t>01a1212c-5787-713c-9de0-6e112ab42f94</t>
        </is>
      </c>
      <c r="C873" s="5" t="inlineStr">
        <is>
          <t>01a1212c-4b57-70cf-80fd-c2192cb3bf81</t>
        </is>
      </c>
      <c r="D873" s="4" t="n">
        <v>46304.62403415825</v>
      </c>
      <c r="E873" s="4" t="n">
        <v>46304.62403415833</v>
      </c>
      <c r="F873" t="b">
        <v>1</v>
      </c>
      <c r="G873" t="n">
        <v/>
      </c>
      <c r="H873" t="inlineStr">
        <is>
          <t>GOW</t>
        </is>
      </c>
      <c r="I873" t="inlineStr">
        <is>
          <t>Gowing Bros Ltd</t>
        </is>
      </c>
      <c r="J873" t="inlineStr">
        <is>
          <t>AUD</t>
        </is>
      </c>
      <c r="K873" s="5" t="inlineStr">
        <is>
          <t>01a1212c-4c04-75ce-bbb2-e3322e18816e</t>
        </is>
      </c>
      <c r="M873" t="inlineStr">
        <is>
          <t>UNKNOWN</t>
        </is>
      </c>
      <c r="N873" t="inlineStr">
        <is>
          <t>DEFAULT</t>
        </is>
      </c>
      <c r="Q873" t="n">
        <v>0</v>
      </c>
      <c r="R873" t="inlineStr">
        <is>
          <t>AUD</t>
        </is>
      </c>
      <c r="S873" t="n">
        <v>0</v>
      </c>
      <c r="T873" t="inlineStr">
        <is>
          <t>AUD</t>
        </is>
      </c>
      <c r="U873" t="n">
        <v>0</v>
      </c>
    </row>
    <row r="874">
      <c r="A874" s="5" t="inlineStr">
        <is>
          <t>01a1212c-578a-77ec-a12f-ab8cdc29e0ea</t>
        </is>
      </c>
      <c r="C874" s="5" t="inlineStr">
        <is>
          <t>01a1212c-4b57-70cf-80fd-c2192cb3bf81</t>
        </is>
      </c>
      <c r="D874" s="4" t="n">
        <v>46304.62403419118</v>
      </c>
      <c r="E874" s="4" t="n">
        <v>46304.62403419126</v>
      </c>
      <c r="F874" t="b">
        <v>1</v>
      </c>
      <c r="G874" t="n">
        <v/>
      </c>
      <c r="H874" t="inlineStr">
        <is>
          <t>JEPI</t>
        </is>
      </c>
      <c r="I874" t="inlineStr">
        <is>
          <t>Jpmorgan EQ Prem Income Active ETF (Managed Fund)</t>
        </is>
      </c>
      <c r="J874" t="inlineStr">
        <is>
          <t>AUD</t>
        </is>
      </c>
      <c r="K874" s="5" t="inlineStr">
        <is>
          <t>01a1212c-4c04-75ce-bbb2-e3322e18816e</t>
        </is>
      </c>
      <c r="M874" t="inlineStr">
        <is>
          <t>UNKNOWN</t>
        </is>
      </c>
      <c r="N874" t="inlineStr">
        <is>
          <t>DEFAULT</t>
        </is>
      </c>
      <c r="Q874" t="n">
        <v>0</v>
      </c>
      <c r="R874" t="inlineStr">
        <is>
          <t>AUD</t>
        </is>
      </c>
      <c r="S874" t="n">
        <v>0</v>
      </c>
      <c r="T874" t="inlineStr">
        <is>
          <t>AUD</t>
        </is>
      </c>
      <c r="U874" t="n">
        <v>0</v>
      </c>
    </row>
    <row r="875">
      <c r="A875" s="5" t="inlineStr">
        <is>
          <t>01a1212c-578c-7094-b988-1e5efc73c8f0</t>
        </is>
      </c>
      <c r="C875" s="5" t="inlineStr">
        <is>
          <t>01a1212c-4b57-70cf-80fd-c2192cb3bf81</t>
        </is>
      </c>
      <c r="D875" s="4" t="n">
        <v>46304.62403422236</v>
      </c>
      <c r="E875" s="4" t="n">
        <v>46304.62403422244</v>
      </c>
      <c r="F875" t="b">
        <v>1</v>
      </c>
      <c r="G875" t="n">
        <v/>
      </c>
      <c r="H875" t="inlineStr">
        <is>
          <t>KOV</t>
        </is>
      </c>
      <c r="I875" t="inlineStr">
        <is>
          <t>Korvest Ltd</t>
        </is>
      </c>
      <c r="J875" t="inlineStr">
        <is>
          <t>AUD</t>
        </is>
      </c>
      <c r="K875" s="5" t="inlineStr">
        <is>
          <t>01a1212c-4c04-75ce-bbb2-e3322e18816e</t>
        </is>
      </c>
      <c r="M875" t="inlineStr">
        <is>
          <t>UNKNOWN</t>
        </is>
      </c>
      <c r="N875" t="inlineStr">
        <is>
          <t>DEFAULT</t>
        </is>
      </c>
      <c r="Q875" t="n">
        <v>0</v>
      </c>
      <c r="R875" t="inlineStr">
        <is>
          <t>AUD</t>
        </is>
      </c>
      <c r="S875" t="n">
        <v>0</v>
      </c>
      <c r="T875" t="inlineStr">
        <is>
          <t>AUD</t>
        </is>
      </c>
      <c r="U875" t="n">
        <v>0</v>
      </c>
    </row>
    <row r="876">
      <c r="A876" s="5" t="inlineStr">
        <is>
          <t>01a1212c-578f-7626-bd6d-48719d2f90d7</t>
        </is>
      </c>
      <c r="C876" s="5" t="inlineStr">
        <is>
          <t>01a1212c-4b57-70cf-80fd-c2192cb3bf81</t>
        </is>
      </c>
      <c r="D876" s="4" t="n">
        <v>46304.62403425414</v>
      </c>
      <c r="E876" s="4" t="n">
        <v>46304.62403425422</v>
      </c>
      <c r="F876" t="b">
        <v>1</v>
      </c>
      <c r="G876" t="n">
        <v/>
      </c>
      <c r="H876" t="inlineStr">
        <is>
          <t>DUB</t>
        </is>
      </c>
      <c r="I876" t="inlineStr">
        <is>
          <t>Dubber Corporation Ltd</t>
        </is>
      </c>
      <c r="J876" t="inlineStr">
        <is>
          <t>AUD</t>
        </is>
      </c>
      <c r="K876" s="5" t="inlineStr">
        <is>
          <t>01a1212c-4c04-75ce-bbb2-e3322e18816e</t>
        </is>
      </c>
      <c r="M876" t="inlineStr">
        <is>
          <t>UNKNOWN</t>
        </is>
      </c>
      <c r="N876" t="inlineStr">
        <is>
          <t>DEFAULT</t>
        </is>
      </c>
      <c r="Q876" t="n">
        <v>0</v>
      </c>
      <c r="R876" t="inlineStr">
        <is>
          <t>AUD</t>
        </is>
      </c>
      <c r="S876" t="n">
        <v>0</v>
      </c>
      <c r="T876" t="inlineStr">
        <is>
          <t>AUD</t>
        </is>
      </c>
      <c r="U876" t="n">
        <v>0</v>
      </c>
    </row>
    <row r="877">
      <c r="A877" s="5" t="inlineStr">
        <is>
          <t>01a1212c-5792-737e-8ba9-5b79d4f27b36</t>
        </is>
      </c>
      <c r="C877" s="5" t="inlineStr">
        <is>
          <t>01a1212c-4b57-70cf-80fd-c2192cb3bf81</t>
        </is>
      </c>
      <c r="D877" s="4" t="n">
        <v>46304.62403428559</v>
      </c>
      <c r="E877" s="4" t="n">
        <v>46304.62403428566</v>
      </c>
      <c r="F877" t="b">
        <v>1</v>
      </c>
      <c r="G877" t="n">
        <v/>
      </c>
      <c r="H877" t="inlineStr">
        <is>
          <t>AKM</t>
        </is>
      </c>
      <c r="I877" t="inlineStr">
        <is>
          <t>Aspire Mining Ltd</t>
        </is>
      </c>
      <c r="J877" t="inlineStr">
        <is>
          <t>AUD</t>
        </is>
      </c>
      <c r="K877" s="5" t="inlineStr">
        <is>
          <t>01a1212c-4c04-75ce-bbb2-e3322e18816e</t>
        </is>
      </c>
      <c r="M877" t="inlineStr">
        <is>
          <t>UNKNOWN</t>
        </is>
      </c>
      <c r="N877" t="inlineStr">
        <is>
          <t>DEFAULT</t>
        </is>
      </c>
      <c r="Q877" t="n">
        <v>0</v>
      </c>
      <c r="R877" t="inlineStr">
        <is>
          <t>AUD</t>
        </is>
      </c>
      <c r="S877" t="n">
        <v>0</v>
      </c>
      <c r="T877" t="inlineStr">
        <is>
          <t>AUD</t>
        </is>
      </c>
      <c r="U877" t="n">
        <v>0</v>
      </c>
    </row>
    <row r="878">
      <c r="A878" s="5" t="inlineStr">
        <is>
          <t>01a1212c-5794-70aa-be4e-8382121961d4</t>
        </is>
      </c>
      <c r="C878" s="5" t="inlineStr">
        <is>
          <t>01a1212c-4b57-70cf-80fd-c2192cb3bf81</t>
        </is>
      </c>
      <c r="D878" s="4" t="n">
        <v>46304.62403431627</v>
      </c>
      <c r="E878" s="4" t="n">
        <v>46304.62403431635</v>
      </c>
      <c r="F878" t="b">
        <v>1</v>
      </c>
      <c r="G878" t="n">
        <v/>
      </c>
      <c r="H878" t="inlineStr">
        <is>
          <t>MQAE</t>
        </is>
      </c>
      <c r="I878" t="inlineStr">
        <is>
          <t>Macquarie Core Australian Equity Active ETF</t>
        </is>
      </c>
      <c r="J878" t="inlineStr">
        <is>
          <t>AUD</t>
        </is>
      </c>
      <c r="K878" s="5" t="inlineStr">
        <is>
          <t>01a1212c-4c04-75ce-bbb2-e3322e18816e</t>
        </is>
      </c>
      <c r="M878" t="inlineStr">
        <is>
          <t>UNKNOWN</t>
        </is>
      </c>
      <c r="N878" t="inlineStr">
        <is>
          <t>DEFAULT</t>
        </is>
      </c>
      <c r="Q878" t="n">
        <v>0</v>
      </c>
      <c r="R878" t="inlineStr">
        <is>
          <t>AUD</t>
        </is>
      </c>
      <c r="S878" t="n">
        <v>0</v>
      </c>
      <c r="T878" t="inlineStr">
        <is>
          <t>AUD</t>
        </is>
      </c>
      <c r="U878" t="n">
        <v>0</v>
      </c>
    </row>
    <row r="879">
      <c r="A879" s="5" t="inlineStr">
        <is>
          <t>01a1212c-5797-7115-a2c6-db0454ec687d</t>
        </is>
      </c>
      <c r="C879" s="5" t="inlineStr">
        <is>
          <t>01a1212c-4b57-70cf-80fd-c2192cb3bf81</t>
        </is>
      </c>
      <c r="D879" s="4" t="n">
        <v>46304.6240343501</v>
      </c>
      <c r="E879" s="4" t="n">
        <v>46304.62403435018</v>
      </c>
      <c r="F879" t="b">
        <v>1</v>
      </c>
      <c r="G879" t="n">
        <v/>
      </c>
      <c r="H879" t="inlineStr">
        <is>
          <t>DLI</t>
        </is>
      </c>
      <c r="I879" t="inlineStr">
        <is>
          <t>Delta Lithium Ltd</t>
        </is>
      </c>
      <c r="J879" t="inlineStr">
        <is>
          <t>AUD</t>
        </is>
      </c>
      <c r="K879" s="5" t="inlineStr">
        <is>
          <t>01a1212c-4c04-75ce-bbb2-e3322e18816e</t>
        </is>
      </c>
      <c r="M879" t="inlineStr">
        <is>
          <t>UNKNOWN</t>
        </is>
      </c>
      <c r="N879" t="inlineStr">
        <is>
          <t>DEFAULT</t>
        </is>
      </c>
      <c r="Q879" t="n">
        <v>0</v>
      </c>
      <c r="R879" t="inlineStr">
        <is>
          <t>AUD</t>
        </is>
      </c>
      <c r="S879" t="n">
        <v>0</v>
      </c>
      <c r="T879" t="inlineStr">
        <is>
          <t>AUD</t>
        </is>
      </c>
      <c r="U879" t="n">
        <v>0</v>
      </c>
    </row>
    <row r="880">
      <c r="A880" s="5" t="inlineStr">
        <is>
          <t>01a1212c-579a-748a-b10f-11bf0abe0e3b</t>
        </is>
      </c>
      <c r="C880" s="5" t="inlineStr">
        <is>
          <t>01a1212c-4b57-70cf-80fd-c2192cb3bf81</t>
        </is>
      </c>
      <c r="D880" s="4" t="n">
        <v>46304.62403438091</v>
      </c>
      <c r="E880" s="4" t="n">
        <v>46304.62403438102</v>
      </c>
      <c r="F880" t="b">
        <v>1</v>
      </c>
      <c r="G880" t="n">
        <v/>
      </c>
      <c r="H880" t="inlineStr">
        <is>
          <t>BET</t>
        </is>
      </c>
      <c r="I880" t="inlineStr">
        <is>
          <t>Betmakers Technology Group Ltd</t>
        </is>
      </c>
      <c r="J880" t="inlineStr">
        <is>
          <t>AUD</t>
        </is>
      </c>
      <c r="K880" s="5" t="inlineStr">
        <is>
          <t>01a1212c-4c04-75ce-bbb2-e3322e18816e</t>
        </is>
      </c>
      <c r="M880" t="inlineStr">
        <is>
          <t>UNKNOWN</t>
        </is>
      </c>
      <c r="N880" t="inlineStr">
        <is>
          <t>DEFAULT</t>
        </is>
      </c>
      <c r="Q880" t="n">
        <v>0</v>
      </c>
      <c r="R880" t="inlineStr">
        <is>
          <t>AUD</t>
        </is>
      </c>
      <c r="S880" t="n">
        <v>0</v>
      </c>
      <c r="T880" t="inlineStr">
        <is>
          <t>AUD</t>
        </is>
      </c>
      <c r="U880" t="n">
        <v>0</v>
      </c>
    </row>
    <row r="881">
      <c r="A881" s="5" t="inlineStr">
        <is>
          <t>01a1212c-579d-7060-b930-96791689f91b</t>
        </is>
      </c>
      <c r="C881" s="5" t="inlineStr">
        <is>
          <t>01a1212c-4b57-70cf-80fd-c2192cb3bf81</t>
        </is>
      </c>
      <c r="D881" s="4" t="n">
        <v>46304.62403441171</v>
      </c>
      <c r="E881" s="4" t="n">
        <v>46304.62403441179</v>
      </c>
      <c r="F881" t="b">
        <v>1</v>
      </c>
      <c r="G881" t="n">
        <v/>
      </c>
      <c r="H881" t="inlineStr">
        <is>
          <t>HFR</t>
        </is>
      </c>
      <c r="I881" t="inlineStr">
        <is>
          <t>Highfield Resources Ltd</t>
        </is>
      </c>
      <c r="J881" t="inlineStr">
        <is>
          <t>AUD</t>
        </is>
      </c>
      <c r="K881" s="5" t="inlineStr">
        <is>
          <t>01a1212c-4c04-75ce-bbb2-e3322e18816e</t>
        </is>
      </c>
      <c r="M881" t="inlineStr">
        <is>
          <t>UNKNOWN</t>
        </is>
      </c>
      <c r="N881" t="inlineStr">
        <is>
          <t>DEFAULT</t>
        </is>
      </c>
      <c r="Q881" t="n">
        <v>0</v>
      </c>
      <c r="R881" t="inlineStr">
        <is>
          <t>AUD</t>
        </is>
      </c>
      <c r="S881" t="n">
        <v>0</v>
      </c>
      <c r="T881" t="inlineStr">
        <is>
          <t>AUD</t>
        </is>
      </c>
      <c r="U881" t="n">
        <v>0</v>
      </c>
    </row>
    <row r="882">
      <c r="A882" s="5" t="inlineStr">
        <is>
          <t>01a1212c-579f-7327-81f7-aef0779a7803</t>
        </is>
      </c>
      <c r="C882" s="5" t="inlineStr">
        <is>
          <t>01a1212c-4b57-70cf-80fd-c2192cb3bf81</t>
        </is>
      </c>
      <c r="D882" s="4" t="n">
        <v>46304.62403444319</v>
      </c>
      <c r="E882" s="4" t="n">
        <v>46304.62403444327</v>
      </c>
      <c r="F882" t="b">
        <v>1</v>
      </c>
      <c r="G882" t="n">
        <v/>
      </c>
      <c r="H882" t="inlineStr">
        <is>
          <t>TBIL</t>
        </is>
      </c>
      <c r="I882" t="inlineStr">
        <is>
          <t>Vaneck 1-3 Month US Treasury Bond ETF</t>
        </is>
      </c>
      <c r="J882" t="inlineStr">
        <is>
          <t>AUD</t>
        </is>
      </c>
      <c r="K882" s="5" t="inlineStr">
        <is>
          <t>01a1212c-4c04-75ce-bbb2-e3322e18816e</t>
        </is>
      </c>
      <c r="M882" t="inlineStr">
        <is>
          <t>UNKNOWN</t>
        </is>
      </c>
      <c r="N882" t="inlineStr">
        <is>
          <t>DEFAULT</t>
        </is>
      </c>
      <c r="Q882" t="n">
        <v>0</v>
      </c>
      <c r="R882" t="inlineStr">
        <is>
          <t>AUD</t>
        </is>
      </c>
      <c r="S882" t="n">
        <v>0</v>
      </c>
      <c r="T882" t="inlineStr">
        <is>
          <t>AUD</t>
        </is>
      </c>
      <c r="U882" t="n">
        <v>0</v>
      </c>
    </row>
    <row r="883">
      <c r="A883" s="5" t="inlineStr">
        <is>
          <t>01a1212c-57a2-7675-95d2-7159a4f6870e</t>
        </is>
      </c>
      <c r="C883" s="5" t="inlineStr">
        <is>
          <t>01a1212c-4b57-70cf-80fd-c2192cb3bf81</t>
        </is>
      </c>
      <c r="D883" s="4" t="n">
        <v>46304.62403447494</v>
      </c>
      <c r="E883" s="4" t="n">
        <v>46304.62403447503</v>
      </c>
      <c r="F883" t="b">
        <v>1</v>
      </c>
      <c r="G883" t="n">
        <v/>
      </c>
      <c r="H883" t="inlineStr">
        <is>
          <t>IKO</t>
        </is>
      </c>
      <c r="I883" t="inlineStr">
        <is>
          <t>Ishares MSCI South Korea ETF</t>
        </is>
      </c>
      <c r="J883" t="inlineStr">
        <is>
          <t>AUD</t>
        </is>
      </c>
      <c r="K883" s="5" t="inlineStr">
        <is>
          <t>01a1212c-4c04-75ce-bbb2-e3322e18816e</t>
        </is>
      </c>
      <c r="M883" t="inlineStr">
        <is>
          <t>UNKNOWN</t>
        </is>
      </c>
      <c r="N883" t="inlineStr">
        <is>
          <t>DEFAULT</t>
        </is>
      </c>
      <c r="Q883" t="n">
        <v>0</v>
      </c>
      <c r="R883" t="inlineStr">
        <is>
          <t>AUD</t>
        </is>
      </c>
      <c r="S883" t="n">
        <v>0</v>
      </c>
      <c r="T883" t="inlineStr">
        <is>
          <t>AUD</t>
        </is>
      </c>
      <c r="U883" t="n">
        <v>0</v>
      </c>
    </row>
    <row r="884">
      <c r="A884" s="5" t="inlineStr">
        <is>
          <t>01a1212c-57a5-74ba-b4fa-5bd8f0f4e87b</t>
        </is>
      </c>
      <c r="C884" s="5" t="inlineStr">
        <is>
          <t>01a1212c-4b57-70cf-80fd-c2192cb3bf81</t>
        </is>
      </c>
      <c r="D884" s="4" t="n">
        <v>46304.62403450828</v>
      </c>
      <c r="E884" s="4" t="n">
        <v>46304.62403450837</v>
      </c>
      <c r="F884" t="b">
        <v>1</v>
      </c>
      <c r="G884" t="n">
        <v/>
      </c>
      <c r="H884" t="inlineStr">
        <is>
          <t>MRL</t>
        </is>
      </c>
      <c r="I884" t="inlineStr">
        <is>
          <t>Mayur Resources Ltd</t>
        </is>
      </c>
      <c r="J884" t="inlineStr">
        <is>
          <t>AUD</t>
        </is>
      </c>
      <c r="K884" s="5" t="inlineStr">
        <is>
          <t>01a1212c-4c04-75ce-bbb2-e3322e18816e</t>
        </is>
      </c>
      <c r="M884" t="inlineStr">
        <is>
          <t>UNKNOWN</t>
        </is>
      </c>
      <c r="N884" t="inlineStr">
        <is>
          <t>DEFAULT</t>
        </is>
      </c>
      <c r="Q884" t="n">
        <v>0</v>
      </c>
      <c r="R884" t="inlineStr">
        <is>
          <t>AUD</t>
        </is>
      </c>
      <c r="S884" t="n">
        <v>0</v>
      </c>
      <c r="T884" t="inlineStr">
        <is>
          <t>AUD</t>
        </is>
      </c>
      <c r="U884" t="n">
        <v>0</v>
      </c>
    </row>
    <row r="885">
      <c r="A885" s="5" t="inlineStr">
        <is>
          <t>01a1212c-57a8-7595-81c3-745f8816bcc8</t>
        </is>
      </c>
      <c r="C885" s="5" t="inlineStr">
        <is>
          <t>01a1212c-4b57-70cf-80fd-c2192cb3bf81</t>
        </is>
      </c>
      <c r="D885" s="4" t="n">
        <v>46304.62403453908</v>
      </c>
      <c r="E885" s="4" t="n">
        <v>46304.62403453916</v>
      </c>
      <c r="F885" t="b">
        <v>1</v>
      </c>
      <c r="G885" t="n">
        <v/>
      </c>
      <c r="H885" t="inlineStr">
        <is>
          <t>MTM</t>
        </is>
      </c>
      <c r="I885" t="inlineStr">
        <is>
          <t>MTM Critical Metals Ltd</t>
        </is>
      </c>
      <c r="J885" t="inlineStr">
        <is>
          <t>AUD</t>
        </is>
      </c>
      <c r="K885" s="5" t="inlineStr">
        <is>
          <t>01a1212c-4c04-75ce-bbb2-e3322e18816e</t>
        </is>
      </c>
      <c r="M885" t="inlineStr">
        <is>
          <t>UNKNOWN</t>
        </is>
      </c>
      <c r="N885" t="inlineStr">
        <is>
          <t>DEFAULT</t>
        </is>
      </c>
      <c r="Q885" t="n">
        <v>0</v>
      </c>
      <c r="R885" t="inlineStr">
        <is>
          <t>AUD</t>
        </is>
      </c>
      <c r="S885" t="n">
        <v>0</v>
      </c>
      <c r="T885" t="inlineStr">
        <is>
          <t>AUD</t>
        </is>
      </c>
      <c r="U885" t="n">
        <v>0</v>
      </c>
    </row>
    <row r="886">
      <c r="A886" s="5" t="inlineStr">
        <is>
          <t>01a1212c-57aa-773e-bda5-b6ed282b83db</t>
        </is>
      </c>
      <c r="C886" s="5" t="inlineStr">
        <is>
          <t>01a1212c-4b57-70cf-80fd-c2192cb3bf81</t>
        </is>
      </c>
      <c r="D886" s="4" t="n">
        <v>46304.62403456994</v>
      </c>
      <c r="E886" s="4" t="n">
        <v>46304.62403457002</v>
      </c>
      <c r="F886" t="b">
        <v>1</v>
      </c>
      <c r="G886" t="n">
        <v/>
      </c>
      <c r="H886" t="inlineStr">
        <is>
          <t>CY5</t>
        </is>
      </c>
      <c r="I886" t="inlineStr">
        <is>
          <t>CYGNUS Metals Ltd</t>
        </is>
      </c>
      <c r="J886" t="inlineStr">
        <is>
          <t>AUD</t>
        </is>
      </c>
      <c r="K886" s="5" t="inlineStr">
        <is>
          <t>01a1212c-4c04-75ce-bbb2-e3322e18816e</t>
        </is>
      </c>
      <c r="M886" t="inlineStr">
        <is>
          <t>UNKNOWN</t>
        </is>
      </c>
      <c r="N886" t="inlineStr">
        <is>
          <t>DEFAULT</t>
        </is>
      </c>
      <c r="Q886" t="n">
        <v>0</v>
      </c>
      <c r="R886" t="inlineStr">
        <is>
          <t>AUD</t>
        </is>
      </c>
      <c r="S886" t="n">
        <v>0</v>
      </c>
      <c r="T886" t="inlineStr">
        <is>
          <t>AUD</t>
        </is>
      </c>
      <c r="U886" t="n">
        <v>0</v>
      </c>
    </row>
    <row r="887">
      <c r="A887" s="5" t="inlineStr">
        <is>
          <t>01a1212c-57ad-70bd-a398-9aa7c0939677</t>
        </is>
      </c>
      <c r="C887" s="5" t="inlineStr">
        <is>
          <t>01a1212c-4b57-70cf-80fd-c2192cb3bf81</t>
        </is>
      </c>
      <c r="D887" s="4" t="n">
        <v>46304.6240346009</v>
      </c>
      <c r="E887" s="4" t="n">
        <v>46304.62403460099</v>
      </c>
      <c r="F887" t="b">
        <v>1</v>
      </c>
      <c r="G887" t="n">
        <v/>
      </c>
      <c r="H887" t="inlineStr">
        <is>
          <t>RXL</t>
        </is>
      </c>
      <c r="I887" t="inlineStr">
        <is>
          <t>ROX Resources Ltd</t>
        </is>
      </c>
      <c r="J887" t="inlineStr">
        <is>
          <t>AUD</t>
        </is>
      </c>
      <c r="K887" s="5" t="inlineStr">
        <is>
          <t>01a1212c-4c04-75ce-bbb2-e3322e18816e</t>
        </is>
      </c>
      <c r="M887" t="inlineStr">
        <is>
          <t>UNKNOWN</t>
        </is>
      </c>
      <c r="N887" t="inlineStr">
        <is>
          <t>DEFAULT</t>
        </is>
      </c>
      <c r="Q887" t="n">
        <v>0</v>
      </c>
      <c r="R887" t="inlineStr">
        <is>
          <t>AUD</t>
        </is>
      </c>
      <c r="S887" t="n">
        <v>0</v>
      </c>
      <c r="T887" t="inlineStr">
        <is>
          <t>AUD</t>
        </is>
      </c>
      <c r="U887" t="n">
        <v>0</v>
      </c>
    </row>
    <row r="888">
      <c r="A888" s="5" t="inlineStr">
        <is>
          <t>01a1212c-57b0-70da-9bb9-02e6cf91de07</t>
        </is>
      </c>
      <c r="C888" s="5" t="inlineStr">
        <is>
          <t>01a1212c-4b57-70cf-80fd-c2192cb3bf81</t>
        </is>
      </c>
      <c r="D888" s="4" t="n">
        <v>46304.62403463366</v>
      </c>
      <c r="E888" s="4" t="n">
        <v>46304.62403463374</v>
      </c>
      <c r="F888" t="b">
        <v>1</v>
      </c>
      <c r="G888" t="n">
        <v/>
      </c>
      <c r="H888" t="inlineStr">
        <is>
          <t>CAM</t>
        </is>
      </c>
      <c r="I888" t="inlineStr">
        <is>
          <t>Clime Capital Ltd</t>
        </is>
      </c>
      <c r="J888" t="inlineStr">
        <is>
          <t>AUD</t>
        </is>
      </c>
      <c r="K888" s="5" t="inlineStr">
        <is>
          <t>01a1212c-4c04-75ce-bbb2-e3322e18816e</t>
        </is>
      </c>
      <c r="M888" t="inlineStr">
        <is>
          <t>UNKNOWN</t>
        </is>
      </c>
      <c r="N888" t="inlineStr">
        <is>
          <t>DEFAULT</t>
        </is>
      </c>
      <c r="Q888" t="n">
        <v>0</v>
      </c>
      <c r="R888" t="inlineStr">
        <is>
          <t>AUD</t>
        </is>
      </c>
      <c r="S888" t="n">
        <v>0</v>
      </c>
      <c r="T888" t="inlineStr">
        <is>
          <t>AUD</t>
        </is>
      </c>
      <c r="U888" t="n">
        <v>0</v>
      </c>
    </row>
    <row r="889">
      <c r="A889" s="5" t="inlineStr">
        <is>
          <t>01a1212c-57b2-7415-842c-a229d1213594</t>
        </is>
      </c>
      <c r="C889" s="5" t="inlineStr">
        <is>
          <t>01a1212c-4b57-70cf-80fd-c2192cb3bf81</t>
        </is>
      </c>
      <c r="D889" s="4" t="n">
        <v>46304.62403466485</v>
      </c>
      <c r="E889" s="4" t="n">
        <v>46304.62403466492</v>
      </c>
      <c r="F889" t="b">
        <v>1</v>
      </c>
      <c r="G889" t="n">
        <v/>
      </c>
      <c r="H889" t="inlineStr">
        <is>
          <t>CGUN</t>
        </is>
      </c>
      <c r="I889" t="inlineStr">
        <is>
          <t>Claremont Global Fund (Managed Fund)</t>
        </is>
      </c>
      <c r="J889" t="inlineStr">
        <is>
          <t>AUD</t>
        </is>
      </c>
      <c r="K889" s="5" t="inlineStr">
        <is>
          <t>01a1212c-4c04-75ce-bbb2-e3322e18816e</t>
        </is>
      </c>
      <c r="M889" t="inlineStr">
        <is>
          <t>UNKNOWN</t>
        </is>
      </c>
      <c r="N889" t="inlineStr">
        <is>
          <t>DEFAULT</t>
        </is>
      </c>
      <c r="Q889" t="n">
        <v>0</v>
      </c>
      <c r="R889" t="inlineStr">
        <is>
          <t>AUD</t>
        </is>
      </c>
      <c r="S889" t="n">
        <v>0</v>
      </c>
      <c r="T889" t="inlineStr">
        <is>
          <t>AUD</t>
        </is>
      </c>
      <c r="U889" t="n">
        <v>0</v>
      </c>
    </row>
    <row r="890">
      <c r="A890" s="5" t="inlineStr">
        <is>
          <t>01a1212c-57b5-7327-b4ec-75e3226e6abf</t>
        </is>
      </c>
      <c r="C890" s="5" t="inlineStr">
        <is>
          <t>01a1212c-4b57-70cf-80fd-c2192cb3bf81</t>
        </is>
      </c>
      <c r="D890" s="4" t="n">
        <v>46304.62403469569</v>
      </c>
      <c r="E890" s="4" t="n">
        <v>46304.62403469578</v>
      </c>
      <c r="F890" t="b">
        <v>1</v>
      </c>
      <c r="G890" t="n">
        <v/>
      </c>
      <c r="H890" t="inlineStr">
        <is>
          <t>OOO</t>
        </is>
      </c>
      <c r="I890" t="inlineStr">
        <is>
          <t>Betashares Crude Oil INDEX Currncy HDG Complex ETF</t>
        </is>
      </c>
      <c r="J890" t="inlineStr">
        <is>
          <t>AUD</t>
        </is>
      </c>
      <c r="K890" s="5" t="inlineStr">
        <is>
          <t>01a1212c-4c04-75ce-bbb2-e3322e18816e</t>
        </is>
      </c>
      <c r="M890" t="inlineStr">
        <is>
          <t>UNKNOWN</t>
        </is>
      </c>
      <c r="N890" t="inlineStr">
        <is>
          <t>DEFAULT</t>
        </is>
      </c>
      <c r="Q890" t="n">
        <v>0</v>
      </c>
      <c r="R890" t="inlineStr">
        <is>
          <t>AUD</t>
        </is>
      </c>
      <c r="S890" t="n">
        <v>0</v>
      </c>
      <c r="T890" t="inlineStr">
        <is>
          <t>AUD</t>
        </is>
      </c>
      <c r="U890" t="n">
        <v>0</v>
      </c>
    </row>
    <row r="891">
      <c r="A891" s="5" t="inlineStr">
        <is>
          <t>01a1212c-57b8-7577-bef9-8fb46fdd3a64</t>
        </is>
      </c>
      <c r="C891" s="5" t="inlineStr">
        <is>
          <t>01a1212c-4b57-70cf-80fd-c2192cb3bf81</t>
        </is>
      </c>
      <c r="D891" s="4" t="n">
        <v>46304.62403472645</v>
      </c>
      <c r="E891" s="4" t="n">
        <v>46304.62403472653</v>
      </c>
      <c r="F891" t="b">
        <v>1</v>
      </c>
      <c r="G891" t="n">
        <v/>
      </c>
      <c r="H891" t="inlineStr">
        <is>
          <t>SDI</t>
        </is>
      </c>
      <c r="I891" t="inlineStr">
        <is>
          <t>SDI Ltd</t>
        </is>
      </c>
      <c r="J891" t="inlineStr">
        <is>
          <t>AUD</t>
        </is>
      </c>
      <c r="K891" s="5" t="inlineStr">
        <is>
          <t>01a1212c-4c04-75ce-bbb2-e3322e18816e</t>
        </is>
      </c>
      <c r="M891" t="inlineStr">
        <is>
          <t>UNKNOWN</t>
        </is>
      </c>
      <c r="N891" t="inlineStr">
        <is>
          <t>DEFAULT</t>
        </is>
      </c>
      <c r="Q891" t="n">
        <v>0</v>
      </c>
      <c r="R891" t="inlineStr">
        <is>
          <t>AUD</t>
        </is>
      </c>
      <c r="S891" t="n">
        <v>0</v>
      </c>
      <c r="T891" t="inlineStr">
        <is>
          <t>AUD</t>
        </is>
      </c>
      <c r="U891" t="n">
        <v>0</v>
      </c>
    </row>
    <row r="892">
      <c r="A892" s="5" t="inlineStr">
        <is>
          <t>01a1212c-57ba-72e3-a8ae-7cf1f9cec9fb</t>
        </is>
      </c>
      <c r="C892" s="5" t="inlineStr">
        <is>
          <t>01a1212c-4b57-70cf-80fd-c2192cb3bf81</t>
        </is>
      </c>
      <c r="D892" s="4" t="n">
        <v>46304.62403475693</v>
      </c>
      <c r="E892" s="4" t="n">
        <v>46304.62403475701</v>
      </c>
      <c r="F892" t="b">
        <v>1</v>
      </c>
      <c r="G892" t="n">
        <v/>
      </c>
      <c r="H892" t="inlineStr">
        <is>
          <t>CVV</t>
        </is>
      </c>
      <c r="I892" t="inlineStr">
        <is>
          <t>Caravel Minerals Ltd</t>
        </is>
      </c>
      <c r="J892" t="inlineStr">
        <is>
          <t>AUD</t>
        </is>
      </c>
      <c r="K892" s="5" t="inlineStr">
        <is>
          <t>01a1212c-4c04-75ce-bbb2-e3322e18816e</t>
        </is>
      </c>
      <c r="M892" t="inlineStr">
        <is>
          <t>UNKNOWN</t>
        </is>
      </c>
      <c r="N892" t="inlineStr">
        <is>
          <t>DEFAULT</t>
        </is>
      </c>
      <c r="Q892" t="n">
        <v>0</v>
      </c>
      <c r="R892" t="inlineStr">
        <is>
          <t>AUD</t>
        </is>
      </c>
      <c r="S892" t="n">
        <v>0</v>
      </c>
      <c r="T892" t="inlineStr">
        <is>
          <t>AUD</t>
        </is>
      </c>
      <c r="U892" t="n">
        <v>0</v>
      </c>
    </row>
    <row r="893">
      <c r="A893" s="5" t="inlineStr">
        <is>
          <t>01a1212c-57bd-76c4-88b3-290e35870e9b</t>
        </is>
      </c>
      <c r="C893" s="5" t="inlineStr">
        <is>
          <t>01a1212c-4b57-70cf-80fd-c2192cb3bf81</t>
        </is>
      </c>
      <c r="D893" s="4" t="n">
        <v>46304.62403479001</v>
      </c>
      <c r="E893" s="4" t="n">
        <v>46304.62403479009</v>
      </c>
      <c r="F893" t="b">
        <v>1</v>
      </c>
      <c r="G893" t="n">
        <v/>
      </c>
      <c r="H893" t="inlineStr">
        <is>
          <t>SNC</t>
        </is>
      </c>
      <c r="I893" t="inlineStr">
        <is>
          <t>Sandon Capital Investments Ltd</t>
        </is>
      </c>
      <c r="J893" t="inlineStr">
        <is>
          <t>AUD</t>
        </is>
      </c>
      <c r="K893" s="5" t="inlineStr">
        <is>
          <t>01a1212c-4c04-75ce-bbb2-e3322e18816e</t>
        </is>
      </c>
      <c r="M893" t="inlineStr">
        <is>
          <t>UNKNOWN</t>
        </is>
      </c>
      <c r="N893" t="inlineStr">
        <is>
          <t>DEFAULT</t>
        </is>
      </c>
      <c r="Q893" t="n">
        <v>0</v>
      </c>
      <c r="R893" t="inlineStr">
        <is>
          <t>AUD</t>
        </is>
      </c>
      <c r="S893" t="n">
        <v>0</v>
      </c>
      <c r="T893" t="inlineStr">
        <is>
          <t>AUD</t>
        </is>
      </c>
      <c r="U893" t="n">
        <v>0</v>
      </c>
    </row>
    <row r="894">
      <c r="A894" s="5" t="inlineStr">
        <is>
          <t>01a1212c-57c0-7381-805f-3aee1023efa4</t>
        </is>
      </c>
      <c r="C894" s="5" t="inlineStr">
        <is>
          <t>01a1212c-4b57-70cf-80fd-c2192cb3bf81</t>
        </is>
      </c>
      <c r="D894" s="4" t="n">
        <v>46304.62403482079</v>
      </c>
      <c r="E894" s="4" t="n">
        <v>46304.62403482086</v>
      </c>
      <c r="F894" t="b">
        <v>1</v>
      </c>
      <c r="G894" t="n">
        <v/>
      </c>
      <c r="H894" t="inlineStr">
        <is>
          <t>AHC</t>
        </is>
      </c>
      <c r="I894" t="inlineStr">
        <is>
          <t>Austco Healthcare Ltd</t>
        </is>
      </c>
      <c r="J894" t="inlineStr">
        <is>
          <t>AUD</t>
        </is>
      </c>
      <c r="K894" s="5" t="inlineStr">
        <is>
          <t>01a1212c-4c04-75ce-bbb2-e3322e18816e</t>
        </is>
      </c>
      <c r="M894" t="inlineStr">
        <is>
          <t>UNKNOWN</t>
        </is>
      </c>
      <c r="N894" t="inlineStr">
        <is>
          <t>DEFAULT</t>
        </is>
      </c>
      <c r="Q894" t="n">
        <v>0</v>
      </c>
      <c r="R894" t="inlineStr">
        <is>
          <t>AUD</t>
        </is>
      </c>
      <c r="S894" t="n">
        <v>0</v>
      </c>
      <c r="T894" t="inlineStr">
        <is>
          <t>AUD</t>
        </is>
      </c>
      <c r="U894" t="n">
        <v>0</v>
      </c>
    </row>
    <row r="895">
      <c r="A895" s="5" t="inlineStr">
        <is>
          <t>01a1212c-57c3-7192-bd65-001e719c5fa8</t>
        </is>
      </c>
      <c r="C895" s="5" t="inlineStr">
        <is>
          <t>01a1212c-4b57-70cf-80fd-c2192cb3bf81</t>
        </is>
      </c>
      <c r="D895" s="4" t="n">
        <v>46304.62403485469</v>
      </c>
      <c r="E895" s="4" t="n">
        <v>46304.62403485477</v>
      </c>
      <c r="F895" t="b">
        <v>1</v>
      </c>
      <c r="G895" t="n">
        <v/>
      </c>
      <c r="H895" t="inlineStr">
        <is>
          <t>EL8</t>
        </is>
      </c>
      <c r="I895" t="inlineStr">
        <is>
          <t>Elevate Uranium Ltd</t>
        </is>
      </c>
      <c r="J895" t="inlineStr">
        <is>
          <t>AUD</t>
        </is>
      </c>
      <c r="K895" s="5" t="inlineStr">
        <is>
          <t>01a1212c-4c04-75ce-bbb2-e3322e18816e</t>
        </is>
      </c>
      <c r="M895" t="inlineStr">
        <is>
          <t>UNKNOWN</t>
        </is>
      </c>
      <c r="N895" t="inlineStr">
        <is>
          <t>DEFAULT</t>
        </is>
      </c>
      <c r="Q895" t="n">
        <v>0</v>
      </c>
      <c r="R895" t="inlineStr">
        <is>
          <t>AUD</t>
        </is>
      </c>
      <c r="S895" t="n">
        <v>0</v>
      </c>
      <c r="T895" t="inlineStr">
        <is>
          <t>AUD</t>
        </is>
      </c>
      <c r="U895" t="n">
        <v>0</v>
      </c>
    </row>
    <row r="896">
      <c r="A896" s="5" t="inlineStr">
        <is>
          <t>01a1212c-57c6-705c-b723-1414930524d0</t>
        </is>
      </c>
      <c r="C896" s="5" t="inlineStr">
        <is>
          <t>01a1212c-4b57-70cf-80fd-c2192cb3bf81</t>
        </is>
      </c>
      <c r="D896" s="4" t="n">
        <v>46304.62403488587</v>
      </c>
      <c r="E896" s="4" t="n">
        <v>46304.62403488594</v>
      </c>
      <c r="F896" t="b">
        <v>1</v>
      </c>
      <c r="G896" t="n">
        <v/>
      </c>
      <c r="H896" t="inlineStr">
        <is>
          <t>VNL</t>
        </is>
      </c>
      <c r="I896" t="inlineStr">
        <is>
          <t>Vinyl Group Ltd</t>
        </is>
      </c>
      <c r="J896" t="inlineStr">
        <is>
          <t>AUD</t>
        </is>
      </c>
      <c r="K896" s="5" t="inlineStr">
        <is>
          <t>01a1212c-4c04-75ce-bbb2-e3322e18816e</t>
        </is>
      </c>
      <c r="M896" t="inlineStr">
        <is>
          <t>UNKNOWN</t>
        </is>
      </c>
      <c r="N896" t="inlineStr">
        <is>
          <t>DEFAULT</t>
        </is>
      </c>
      <c r="Q896" t="n">
        <v>0</v>
      </c>
      <c r="R896" t="inlineStr">
        <is>
          <t>AUD</t>
        </is>
      </c>
      <c r="S896" t="n">
        <v>0</v>
      </c>
      <c r="T896" t="inlineStr">
        <is>
          <t>AUD</t>
        </is>
      </c>
      <c r="U896" t="n">
        <v>0</v>
      </c>
    </row>
    <row r="897">
      <c r="A897" s="5" t="inlineStr">
        <is>
          <t>01a1212c-57c8-754d-a570-de235f15b750</t>
        </is>
      </c>
      <c r="C897" s="5" t="inlineStr">
        <is>
          <t>01a1212c-4b57-70cf-80fd-c2192cb3bf81</t>
        </is>
      </c>
      <c r="D897" s="4" t="n">
        <v>46304.62403491851</v>
      </c>
      <c r="E897" s="4" t="n">
        <v>46304.62403491859</v>
      </c>
      <c r="F897" t="b">
        <v>1</v>
      </c>
      <c r="G897" t="n">
        <v/>
      </c>
      <c r="H897" t="inlineStr">
        <is>
          <t>LIN</t>
        </is>
      </c>
      <c r="I897" t="inlineStr">
        <is>
          <t>Lindian Resources Ltd</t>
        </is>
      </c>
      <c r="J897" t="inlineStr">
        <is>
          <t>AUD</t>
        </is>
      </c>
      <c r="K897" s="5" t="inlineStr">
        <is>
          <t>01a1212c-4c04-75ce-bbb2-e3322e18816e</t>
        </is>
      </c>
      <c r="M897" t="inlineStr">
        <is>
          <t>UNKNOWN</t>
        </is>
      </c>
      <c r="N897" t="inlineStr">
        <is>
          <t>DEFAULT</t>
        </is>
      </c>
      <c r="Q897" t="n">
        <v>0</v>
      </c>
      <c r="R897" t="inlineStr">
        <is>
          <t>AUD</t>
        </is>
      </c>
      <c r="S897" t="n">
        <v>0</v>
      </c>
      <c r="T897" t="inlineStr">
        <is>
          <t>AUD</t>
        </is>
      </c>
      <c r="U897" t="n">
        <v>0</v>
      </c>
    </row>
    <row r="898">
      <c r="A898" s="5" t="inlineStr">
        <is>
          <t>01a1212c-57cb-7152-a7c1-d4304a2a9982</t>
        </is>
      </c>
      <c r="C898" s="5" t="inlineStr">
        <is>
          <t>01a1212c-4b57-70cf-80fd-c2192cb3bf81</t>
        </is>
      </c>
      <c r="D898" s="4" t="n">
        <v>46304.62403494967</v>
      </c>
      <c r="E898" s="4" t="n">
        <v>46304.62403494975</v>
      </c>
      <c r="F898" t="b">
        <v>1</v>
      </c>
      <c r="G898" t="n">
        <v/>
      </c>
      <c r="H898" t="inlineStr">
        <is>
          <t>TOP</t>
        </is>
      </c>
      <c r="I898" t="inlineStr">
        <is>
          <t>Thorney Opportunities Ltd</t>
        </is>
      </c>
      <c r="J898" t="inlineStr">
        <is>
          <t>AUD</t>
        </is>
      </c>
      <c r="K898" s="5" t="inlineStr">
        <is>
          <t>01a1212c-4c04-75ce-bbb2-e3322e18816e</t>
        </is>
      </c>
      <c r="M898" t="inlineStr">
        <is>
          <t>UNKNOWN</t>
        </is>
      </c>
      <c r="N898" t="inlineStr">
        <is>
          <t>DEFAULT</t>
        </is>
      </c>
      <c r="Q898" t="n">
        <v>0</v>
      </c>
      <c r="R898" t="inlineStr">
        <is>
          <t>AUD</t>
        </is>
      </c>
      <c r="S898" t="n">
        <v>0</v>
      </c>
      <c r="T898" t="inlineStr">
        <is>
          <t>AUD</t>
        </is>
      </c>
      <c r="U898" t="n">
        <v>0</v>
      </c>
    </row>
    <row r="899">
      <c r="A899" s="5" t="inlineStr">
        <is>
          <t>01a1212c-57ce-7145-8c07-d787b8639723</t>
        </is>
      </c>
      <c r="C899" s="5" t="inlineStr">
        <is>
          <t>01a1212c-4b57-70cf-80fd-c2192cb3bf81</t>
        </is>
      </c>
      <c r="D899" s="4" t="n">
        <v>46304.62403498082</v>
      </c>
      <c r="E899" s="4" t="n">
        <v>46304.6240349809</v>
      </c>
      <c r="F899" t="b">
        <v>1</v>
      </c>
      <c r="G899" t="n">
        <v/>
      </c>
      <c r="H899" t="inlineStr">
        <is>
          <t>FDV</t>
        </is>
      </c>
      <c r="I899" t="inlineStr">
        <is>
          <t>Frontier Digital Ventures Ltd</t>
        </is>
      </c>
      <c r="J899" t="inlineStr">
        <is>
          <t>AUD</t>
        </is>
      </c>
      <c r="K899" s="5" t="inlineStr">
        <is>
          <t>01a1212c-4c04-75ce-bbb2-e3322e18816e</t>
        </is>
      </c>
      <c r="M899" t="inlineStr">
        <is>
          <t>UNKNOWN</t>
        </is>
      </c>
      <c r="N899" t="inlineStr">
        <is>
          <t>DEFAULT</t>
        </is>
      </c>
      <c r="Q899" t="n">
        <v>0</v>
      </c>
      <c r="R899" t="inlineStr">
        <is>
          <t>AUD</t>
        </is>
      </c>
      <c r="S899" t="n">
        <v>0</v>
      </c>
      <c r="T899" t="inlineStr">
        <is>
          <t>AUD</t>
        </is>
      </c>
      <c r="U899" t="n">
        <v>0</v>
      </c>
    </row>
    <row r="900">
      <c r="A900" s="5" t="inlineStr">
        <is>
          <t>01a1212c-57d0-747d-a1df-b916c84d0351</t>
        </is>
      </c>
      <c r="C900" s="5" t="inlineStr">
        <is>
          <t>01a1212c-4b57-70cf-80fd-c2192cb3bf81</t>
        </is>
      </c>
      <c r="D900" s="4" t="n">
        <v>46304.6240350117</v>
      </c>
      <c r="E900" s="4" t="n">
        <v>46304.62403501178</v>
      </c>
      <c r="F900" t="b">
        <v>1</v>
      </c>
      <c r="G900" t="n">
        <v/>
      </c>
      <c r="H900" t="inlineStr">
        <is>
          <t>CNEW</t>
        </is>
      </c>
      <c r="I900" t="inlineStr">
        <is>
          <t>Vaneck China New Economy ETF</t>
        </is>
      </c>
      <c r="J900" t="inlineStr">
        <is>
          <t>AUD</t>
        </is>
      </c>
      <c r="K900" s="5" t="inlineStr">
        <is>
          <t>01a1212c-4c04-75ce-bbb2-e3322e18816e</t>
        </is>
      </c>
      <c r="M900" t="inlineStr">
        <is>
          <t>UNKNOWN</t>
        </is>
      </c>
      <c r="N900" t="inlineStr">
        <is>
          <t>DEFAULT</t>
        </is>
      </c>
      <c r="Q900" t="n">
        <v>0</v>
      </c>
      <c r="R900" t="inlineStr">
        <is>
          <t>AUD</t>
        </is>
      </c>
      <c r="S900" t="n">
        <v>0</v>
      </c>
      <c r="T900" t="inlineStr">
        <is>
          <t>AUD</t>
        </is>
      </c>
      <c r="U900" t="n">
        <v>0</v>
      </c>
    </row>
    <row r="901">
      <c r="A901" s="5" t="inlineStr">
        <is>
          <t>01a1212c-57d3-7444-8d8e-887cd1000b15</t>
        </is>
      </c>
      <c r="C901" s="5" t="inlineStr">
        <is>
          <t>01a1212c-4b57-70cf-80fd-c2192cb3bf81</t>
        </is>
      </c>
      <c r="D901" s="4" t="n">
        <v>46304.62403504283</v>
      </c>
      <c r="E901" s="4" t="n">
        <v>46304.62403504291</v>
      </c>
      <c r="F901" t="b">
        <v>1</v>
      </c>
      <c r="G901" t="n">
        <v/>
      </c>
      <c r="H901" t="inlineStr">
        <is>
          <t>TGF</t>
        </is>
      </c>
      <c r="I901" t="inlineStr">
        <is>
          <t>Tribeca Global Natural Resources Ltd</t>
        </is>
      </c>
      <c r="J901" t="inlineStr">
        <is>
          <t>AUD</t>
        </is>
      </c>
      <c r="K901" s="5" t="inlineStr">
        <is>
          <t>01a1212c-4c04-75ce-bbb2-e3322e18816e</t>
        </is>
      </c>
      <c r="M901" t="inlineStr">
        <is>
          <t>UNKNOWN</t>
        </is>
      </c>
      <c r="N901" t="inlineStr">
        <is>
          <t>DEFAULT</t>
        </is>
      </c>
      <c r="Q901" t="n">
        <v>0</v>
      </c>
      <c r="R901" t="inlineStr">
        <is>
          <t>AUD</t>
        </is>
      </c>
      <c r="S901" t="n">
        <v>0</v>
      </c>
      <c r="T901" t="inlineStr">
        <is>
          <t>AUD</t>
        </is>
      </c>
      <c r="U901" t="n">
        <v>0</v>
      </c>
    </row>
    <row r="902">
      <c r="A902" s="5" t="inlineStr">
        <is>
          <t>01a1212c-57d6-770a-afb1-0f56a8aa156c</t>
        </is>
      </c>
      <c r="C902" s="5" t="inlineStr">
        <is>
          <t>01a1212c-4b57-70cf-80fd-c2192cb3bf81</t>
        </is>
      </c>
      <c r="D902" s="4" t="n">
        <v>46304.62403507565</v>
      </c>
      <c r="E902" s="4" t="n">
        <v>46304.62403507571</v>
      </c>
      <c r="F902" t="b">
        <v>1</v>
      </c>
      <c r="G902" t="n">
        <v/>
      </c>
      <c r="H902" t="inlineStr">
        <is>
          <t>SMP</t>
        </is>
      </c>
      <c r="I902" t="inlineStr">
        <is>
          <t>Smartpay Holdings Ltd</t>
        </is>
      </c>
      <c r="J902" t="inlineStr">
        <is>
          <t>AUD</t>
        </is>
      </c>
      <c r="K902" s="5" t="inlineStr">
        <is>
          <t>01a1212c-4c04-75ce-bbb2-e3322e18816e</t>
        </is>
      </c>
      <c r="M902" t="inlineStr">
        <is>
          <t>UNKNOWN</t>
        </is>
      </c>
      <c r="N902" t="inlineStr">
        <is>
          <t>DEFAULT</t>
        </is>
      </c>
      <c r="Q902" t="n">
        <v>0</v>
      </c>
      <c r="R902" t="inlineStr">
        <is>
          <t>AUD</t>
        </is>
      </c>
      <c r="S902" t="n">
        <v>0</v>
      </c>
      <c r="T902" t="inlineStr">
        <is>
          <t>AUD</t>
        </is>
      </c>
      <c r="U902" t="n">
        <v>0</v>
      </c>
    </row>
    <row r="903">
      <c r="A903" s="5" t="inlineStr">
        <is>
          <t>01a1212c-57d9-7740-8eca-5e8e870257bb</t>
        </is>
      </c>
      <c r="C903" s="5" t="inlineStr">
        <is>
          <t>01a1212c-4b57-70cf-80fd-c2192cb3bf81</t>
        </is>
      </c>
      <c r="D903" s="4" t="n">
        <v>46304.6240351063</v>
      </c>
      <c r="E903" s="4" t="n">
        <v>46304.62403510643</v>
      </c>
      <c r="F903" t="b">
        <v>1</v>
      </c>
      <c r="G903" t="n">
        <v/>
      </c>
      <c r="H903" t="inlineStr">
        <is>
          <t>NZK</t>
        </is>
      </c>
      <c r="I903" t="inlineStr">
        <is>
          <t>New Zealand King Salmon Investments Ltd</t>
        </is>
      </c>
      <c r="J903" t="inlineStr">
        <is>
          <t>AUD</t>
        </is>
      </c>
      <c r="K903" s="5" t="inlineStr">
        <is>
          <t>01a1212c-4c04-75ce-bbb2-e3322e18816e</t>
        </is>
      </c>
      <c r="M903" t="inlineStr">
        <is>
          <t>UNKNOWN</t>
        </is>
      </c>
      <c r="N903" t="inlineStr">
        <is>
          <t>DEFAULT</t>
        </is>
      </c>
      <c r="Q903" t="n">
        <v>0</v>
      </c>
      <c r="R903" t="inlineStr">
        <is>
          <t>AUD</t>
        </is>
      </c>
      <c r="S903" t="n">
        <v>0</v>
      </c>
      <c r="T903" t="inlineStr">
        <is>
          <t>AUD</t>
        </is>
      </c>
      <c r="U903" t="n">
        <v>0</v>
      </c>
    </row>
    <row r="904">
      <c r="A904" s="5" t="inlineStr">
        <is>
          <t>01a1212c-57db-750a-a7ba-7a62cd4590c9</t>
        </is>
      </c>
      <c r="C904" s="5" t="inlineStr">
        <is>
          <t>01a1212c-4b57-70cf-80fd-c2192cb3bf81</t>
        </is>
      </c>
      <c r="D904" s="4" t="n">
        <v>46304.62403513699</v>
      </c>
      <c r="E904" s="4" t="n">
        <v>46304.62403513706</v>
      </c>
      <c r="F904" t="b">
        <v>1</v>
      </c>
      <c r="G904" t="n">
        <v/>
      </c>
      <c r="H904" t="inlineStr">
        <is>
          <t>LRK</t>
        </is>
      </c>
      <c r="I904" t="inlineStr">
        <is>
          <t>Lark Distilling Co. Ltd</t>
        </is>
      </c>
      <c r="J904" t="inlineStr">
        <is>
          <t>AUD</t>
        </is>
      </c>
      <c r="K904" s="5" t="inlineStr">
        <is>
          <t>01a1212c-4c04-75ce-bbb2-e3322e18816e</t>
        </is>
      </c>
      <c r="M904" t="inlineStr">
        <is>
          <t>UNKNOWN</t>
        </is>
      </c>
      <c r="N904" t="inlineStr">
        <is>
          <t>DEFAULT</t>
        </is>
      </c>
      <c r="Q904" t="n">
        <v>0</v>
      </c>
      <c r="R904" t="inlineStr">
        <is>
          <t>AUD</t>
        </is>
      </c>
      <c r="S904" t="n">
        <v>0</v>
      </c>
      <c r="T904" t="inlineStr">
        <is>
          <t>AUD</t>
        </is>
      </c>
      <c r="U904" t="n">
        <v>0</v>
      </c>
    </row>
    <row r="905">
      <c r="A905" s="5" t="inlineStr">
        <is>
          <t>01a1212c-57de-742d-8779-8e6e25ffb0fd</t>
        </is>
      </c>
      <c r="C905" s="5" t="inlineStr">
        <is>
          <t>01a1212c-4b57-70cf-80fd-c2192cb3bf81</t>
        </is>
      </c>
      <c r="D905" s="4" t="n">
        <v>46304.62403516773</v>
      </c>
      <c r="E905" s="4" t="n">
        <v>46304.6240351678</v>
      </c>
      <c r="F905" t="b">
        <v>1</v>
      </c>
      <c r="G905" t="n">
        <v/>
      </c>
      <c r="H905" t="inlineStr">
        <is>
          <t>SNT</t>
        </is>
      </c>
      <c r="I905" t="inlineStr">
        <is>
          <t>Syntara Ltd</t>
        </is>
      </c>
      <c r="J905" t="inlineStr">
        <is>
          <t>AUD</t>
        </is>
      </c>
      <c r="K905" s="5" t="inlineStr">
        <is>
          <t>01a1212c-4c04-75ce-bbb2-e3322e18816e</t>
        </is>
      </c>
      <c r="M905" t="inlineStr">
        <is>
          <t>UNKNOWN</t>
        </is>
      </c>
      <c r="N905" t="inlineStr">
        <is>
          <t>DEFAULT</t>
        </is>
      </c>
      <c r="Q905" t="n">
        <v>0</v>
      </c>
      <c r="R905" t="inlineStr">
        <is>
          <t>AUD</t>
        </is>
      </c>
      <c r="S905" t="n">
        <v>0</v>
      </c>
      <c r="T905" t="inlineStr">
        <is>
          <t>AUD</t>
        </is>
      </c>
      <c r="U905" t="n">
        <v>0</v>
      </c>
    </row>
    <row r="906">
      <c r="A906" s="5" t="inlineStr">
        <is>
          <t>01a1212c-57e1-761f-99be-14637b5a8ad5</t>
        </is>
      </c>
      <c r="C906" s="5" t="inlineStr">
        <is>
          <t>01a1212c-4b57-70cf-80fd-c2192cb3bf81</t>
        </is>
      </c>
      <c r="D906" s="4" t="n">
        <v>46304.62403519997</v>
      </c>
      <c r="E906" s="4" t="n">
        <v>46304.62403520006</v>
      </c>
      <c r="F906" t="b">
        <v>1</v>
      </c>
      <c r="G906" t="n">
        <v/>
      </c>
      <c r="H906" t="inlineStr">
        <is>
          <t>BUB</t>
        </is>
      </c>
      <c r="I906" t="inlineStr">
        <is>
          <t>Bubs Australia Ltd</t>
        </is>
      </c>
      <c r="J906" t="inlineStr">
        <is>
          <t>AUD</t>
        </is>
      </c>
      <c r="K906" s="5" t="inlineStr">
        <is>
          <t>01a1212c-4c04-75ce-bbb2-e3322e18816e</t>
        </is>
      </c>
      <c r="M906" t="inlineStr">
        <is>
          <t>UNKNOWN</t>
        </is>
      </c>
      <c r="N906" t="inlineStr">
        <is>
          <t>DEFAULT</t>
        </is>
      </c>
      <c r="Q906" t="n">
        <v>0</v>
      </c>
      <c r="R906" t="inlineStr">
        <is>
          <t>AUD</t>
        </is>
      </c>
      <c r="S906" t="n">
        <v>0</v>
      </c>
      <c r="T906" t="inlineStr">
        <is>
          <t>AUD</t>
        </is>
      </c>
      <c r="U906" t="n">
        <v>0</v>
      </c>
    </row>
    <row r="907">
      <c r="A907" s="5" t="inlineStr">
        <is>
          <t>01a1212c-57e4-7332-b512-08ee03ea3029</t>
        </is>
      </c>
      <c r="C907" s="5" t="inlineStr">
        <is>
          <t>01a1212c-4b57-70cf-80fd-c2192cb3bf81</t>
        </is>
      </c>
      <c r="D907" s="4" t="n">
        <v>46304.62403523414</v>
      </c>
      <c r="E907" s="4" t="n">
        <v>46304.62403523422</v>
      </c>
      <c r="F907" t="b">
        <v>1</v>
      </c>
      <c r="G907" t="n">
        <v/>
      </c>
      <c r="H907" t="inlineStr">
        <is>
          <t>IPD</t>
        </is>
      </c>
      <c r="I907" t="inlineStr">
        <is>
          <t>Impedimed Ltd</t>
        </is>
      </c>
      <c r="J907" t="inlineStr">
        <is>
          <t>AUD</t>
        </is>
      </c>
      <c r="K907" s="5" t="inlineStr">
        <is>
          <t>01a1212c-4c04-75ce-bbb2-e3322e18816e</t>
        </is>
      </c>
      <c r="M907" t="inlineStr">
        <is>
          <t>UNKNOWN</t>
        </is>
      </c>
      <c r="N907" t="inlineStr">
        <is>
          <t>DEFAULT</t>
        </is>
      </c>
      <c r="Q907" t="n">
        <v>0</v>
      </c>
      <c r="R907" t="inlineStr">
        <is>
          <t>AUD</t>
        </is>
      </c>
      <c r="S907" t="n">
        <v>0</v>
      </c>
      <c r="T907" t="inlineStr">
        <is>
          <t>AUD</t>
        </is>
      </c>
      <c r="U907" t="n">
        <v>0</v>
      </c>
    </row>
    <row r="908">
      <c r="A908" s="5" t="inlineStr">
        <is>
          <t>01a1212c-57e6-7746-932d-f60f1a7942c7</t>
        </is>
      </c>
      <c r="C908" s="5" t="inlineStr">
        <is>
          <t>01a1212c-4b57-70cf-80fd-c2192cb3bf81</t>
        </is>
      </c>
      <c r="D908" s="4" t="n">
        <v>46304.62403526517</v>
      </c>
      <c r="E908" s="4" t="n">
        <v>46304.62403526525</v>
      </c>
      <c r="F908" t="b">
        <v>1</v>
      </c>
      <c r="G908" t="n">
        <v/>
      </c>
      <c r="H908" t="inlineStr">
        <is>
          <t>RSH</t>
        </is>
      </c>
      <c r="I908" t="inlineStr">
        <is>
          <t>Respiri Ltd</t>
        </is>
      </c>
      <c r="J908" t="inlineStr">
        <is>
          <t>AUD</t>
        </is>
      </c>
      <c r="K908" s="5" t="inlineStr">
        <is>
          <t>01a1212c-4c04-75ce-bbb2-e3322e18816e</t>
        </is>
      </c>
      <c r="M908" t="inlineStr">
        <is>
          <t>UNKNOWN</t>
        </is>
      </c>
      <c r="N908" t="inlineStr">
        <is>
          <t>DEFAULT</t>
        </is>
      </c>
      <c r="Q908" t="n">
        <v>0</v>
      </c>
      <c r="R908" t="inlineStr">
        <is>
          <t>AUD</t>
        </is>
      </c>
      <c r="S908" t="n">
        <v>0</v>
      </c>
      <c r="T908" t="inlineStr">
        <is>
          <t>AUD</t>
        </is>
      </c>
      <c r="U908" t="n">
        <v>0</v>
      </c>
    </row>
    <row r="909">
      <c r="A909" s="5" t="inlineStr">
        <is>
          <t>01a1212c-57e9-7155-a1cf-cffd8c722fbd</t>
        </is>
      </c>
      <c r="C909" s="5" t="inlineStr">
        <is>
          <t>01a1212c-4b57-70cf-80fd-c2192cb3bf81</t>
        </is>
      </c>
      <c r="D909" s="4" t="n">
        <v>46304.62403529658</v>
      </c>
      <c r="E909" s="4" t="n">
        <v>46304.62403529666</v>
      </c>
      <c r="F909" t="b">
        <v>1</v>
      </c>
      <c r="G909" t="n">
        <v/>
      </c>
      <c r="H909" t="inlineStr">
        <is>
          <t>MHG</t>
        </is>
      </c>
      <c r="I909" t="inlineStr">
        <is>
          <t>Magellan Global EQ Fund (Currencyhdg) - Active ETF</t>
        </is>
      </c>
      <c r="J909" t="inlineStr">
        <is>
          <t>AUD</t>
        </is>
      </c>
      <c r="K909" s="5" t="inlineStr">
        <is>
          <t>01a1212c-4c04-75ce-bbb2-e3322e18816e</t>
        </is>
      </c>
      <c r="M909" t="inlineStr">
        <is>
          <t>UNKNOWN</t>
        </is>
      </c>
      <c r="N909" t="inlineStr">
        <is>
          <t>DEFAULT</t>
        </is>
      </c>
      <c r="Q909" t="n">
        <v>0</v>
      </c>
      <c r="R909" t="inlineStr">
        <is>
          <t>AUD</t>
        </is>
      </c>
      <c r="S909" t="n">
        <v>0</v>
      </c>
      <c r="T909" t="inlineStr">
        <is>
          <t>AUD</t>
        </is>
      </c>
      <c r="U909" t="n">
        <v>0</v>
      </c>
    </row>
    <row r="910">
      <c r="A910" s="5" t="inlineStr">
        <is>
          <t>01a1212c-57ec-7644-a6af-ad1f80009cea</t>
        </is>
      </c>
      <c r="C910" s="5" t="inlineStr">
        <is>
          <t>01a1212c-4b57-70cf-80fd-c2192cb3bf81</t>
        </is>
      </c>
      <c r="D910" s="4" t="n">
        <v>46304.62403532744</v>
      </c>
      <c r="E910" s="4" t="n">
        <v>46304.62403532752</v>
      </c>
      <c r="F910" t="b">
        <v>1</v>
      </c>
      <c r="G910" t="n">
        <v/>
      </c>
      <c r="H910" t="inlineStr">
        <is>
          <t>VLS</t>
        </is>
      </c>
      <c r="I910" t="inlineStr">
        <is>
          <t>Vita Life Sciences Ltd</t>
        </is>
      </c>
      <c r="J910" t="inlineStr">
        <is>
          <t>AUD</t>
        </is>
      </c>
      <c r="K910" s="5" t="inlineStr">
        <is>
          <t>01a1212c-4c04-75ce-bbb2-e3322e18816e</t>
        </is>
      </c>
      <c r="M910" t="inlineStr">
        <is>
          <t>UNKNOWN</t>
        </is>
      </c>
      <c r="N910" t="inlineStr">
        <is>
          <t>DEFAULT</t>
        </is>
      </c>
      <c r="Q910" t="n">
        <v>0</v>
      </c>
      <c r="R910" t="inlineStr">
        <is>
          <t>AUD</t>
        </is>
      </c>
      <c r="S910" t="n">
        <v>0</v>
      </c>
      <c r="T910" t="inlineStr">
        <is>
          <t>AUD</t>
        </is>
      </c>
      <c r="U910" t="n">
        <v>0</v>
      </c>
    </row>
    <row r="911">
      <c r="A911" s="5" t="inlineStr">
        <is>
          <t>01a1212c-57ef-7792-b537-f2bcaf6240e1</t>
        </is>
      </c>
      <c r="C911" s="5" t="inlineStr">
        <is>
          <t>01a1212c-4b57-70cf-80fd-c2192cb3bf81</t>
        </is>
      </c>
      <c r="D911" s="4" t="n">
        <v>46304.62403536285</v>
      </c>
      <c r="E911" s="4" t="n">
        <v>46304.62403536294</v>
      </c>
      <c r="F911" t="b">
        <v>1</v>
      </c>
      <c r="G911" t="n">
        <v/>
      </c>
      <c r="H911" t="inlineStr">
        <is>
          <t>MDR</t>
        </is>
      </c>
      <c r="I911" t="inlineStr">
        <is>
          <t>Medadvisor Ltd</t>
        </is>
      </c>
      <c r="J911" t="inlineStr">
        <is>
          <t>AUD</t>
        </is>
      </c>
      <c r="K911" s="5" t="inlineStr">
        <is>
          <t>01a1212c-4c04-75ce-bbb2-e3322e18816e</t>
        </is>
      </c>
      <c r="M911" t="inlineStr">
        <is>
          <t>UNKNOWN</t>
        </is>
      </c>
      <c r="N911" t="inlineStr">
        <is>
          <t>DEFAULT</t>
        </is>
      </c>
      <c r="Q911" t="n">
        <v>0</v>
      </c>
      <c r="R911" t="inlineStr">
        <is>
          <t>AUD</t>
        </is>
      </c>
      <c r="S911" t="n">
        <v>0</v>
      </c>
      <c r="T911" t="inlineStr">
        <is>
          <t>AUD</t>
        </is>
      </c>
      <c r="U911" t="n">
        <v>0</v>
      </c>
    </row>
    <row r="912">
      <c r="A912" s="5" t="inlineStr">
        <is>
          <t>01a1212c-57f1-7749-a0d8-5676674bed68</t>
        </is>
      </c>
      <c r="C912" s="5" t="inlineStr">
        <is>
          <t>01a1212c-4b57-70cf-80fd-c2192cb3bf81</t>
        </is>
      </c>
      <c r="D912" s="4" t="n">
        <v>46304.62403539463</v>
      </c>
      <c r="E912" s="4" t="n">
        <v>46304.6240353947</v>
      </c>
      <c r="F912" t="b">
        <v>1</v>
      </c>
      <c r="G912" t="n">
        <v/>
      </c>
      <c r="H912" t="inlineStr">
        <is>
          <t>GDC</t>
        </is>
      </c>
      <c r="I912" t="inlineStr">
        <is>
          <t>Global Data Centre Group</t>
        </is>
      </c>
      <c r="J912" t="inlineStr">
        <is>
          <t>AUD</t>
        </is>
      </c>
      <c r="K912" s="5" t="inlineStr">
        <is>
          <t>01a1212c-4c04-75ce-bbb2-e3322e18816e</t>
        </is>
      </c>
      <c r="M912" t="inlineStr">
        <is>
          <t>UNKNOWN</t>
        </is>
      </c>
      <c r="N912" t="inlineStr">
        <is>
          <t>DEFAULT</t>
        </is>
      </c>
      <c r="Q912" t="n">
        <v>0</v>
      </c>
      <c r="R912" t="inlineStr">
        <is>
          <t>AUD</t>
        </is>
      </c>
      <c r="S912" t="n">
        <v>0</v>
      </c>
      <c r="T912" t="inlineStr">
        <is>
          <t>AUD</t>
        </is>
      </c>
      <c r="U912" t="n">
        <v>0</v>
      </c>
    </row>
    <row r="913">
      <c r="A913" s="5" t="inlineStr">
        <is>
          <t>01a1212c-57f4-716b-8ae7-35086d80651b</t>
        </is>
      </c>
      <c r="C913" s="5" t="inlineStr">
        <is>
          <t>01a1212c-4b57-70cf-80fd-c2192cb3bf81</t>
        </is>
      </c>
      <c r="D913" s="4" t="n">
        <v>46304.62403542556</v>
      </c>
      <c r="E913" s="4" t="n">
        <v>46304.62403542562</v>
      </c>
      <c r="F913" t="b">
        <v>1</v>
      </c>
      <c r="G913" t="n">
        <v/>
      </c>
      <c r="H913" t="inlineStr">
        <is>
          <t>BCN</t>
        </is>
      </c>
      <c r="I913" t="inlineStr">
        <is>
          <t>Beacon Minerals Ltd</t>
        </is>
      </c>
      <c r="J913" t="inlineStr">
        <is>
          <t>AUD</t>
        </is>
      </c>
      <c r="K913" s="5" t="inlineStr">
        <is>
          <t>01a1212c-4c04-75ce-bbb2-e3322e18816e</t>
        </is>
      </c>
      <c r="M913" t="inlineStr">
        <is>
          <t>UNKNOWN</t>
        </is>
      </c>
      <c r="N913" t="inlineStr">
        <is>
          <t>DEFAULT</t>
        </is>
      </c>
      <c r="Q913" t="n">
        <v>0</v>
      </c>
      <c r="R913" t="inlineStr">
        <is>
          <t>AUD</t>
        </is>
      </c>
      <c r="S913" t="n">
        <v>0</v>
      </c>
      <c r="T913" t="inlineStr">
        <is>
          <t>AUD</t>
        </is>
      </c>
      <c r="U913" t="n">
        <v>0</v>
      </c>
    </row>
    <row r="914">
      <c r="A914" s="5" t="inlineStr">
        <is>
          <t>01a1212c-57f7-7310-b0b4-fa2cee414814</t>
        </is>
      </c>
      <c r="C914" s="5" t="inlineStr">
        <is>
          <t>01a1212c-4b57-70cf-80fd-c2192cb3bf81</t>
        </is>
      </c>
      <c r="D914" s="4" t="n">
        <v>46304.62403545649</v>
      </c>
      <c r="E914" s="4" t="n">
        <v>46304.62403545656</v>
      </c>
      <c r="F914" t="b">
        <v>1</v>
      </c>
      <c r="G914" t="n">
        <v/>
      </c>
      <c r="H914" t="inlineStr">
        <is>
          <t>AXE</t>
        </is>
      </c>
      <c r="I914" t="inlineStr">
        <is>
          <t>Archer Materials Ltd</t>
        </is>
      </c>
      <c r="J914" t="inlineStr">
        <is>
          <t>AUD</t>
        </is>
      </c>
      <c r="K914" s="5" t="inlineStr">
        <is>
          <t>01a1212c-4c04-75ce-bbb2-e3322e18816e</t>
        </is>
      </c>
      <c r="M914" t="inlineStr">
        <is>
          <t>UNKNOWN</t>
        </is>
      </c>
      <c r="N914" t="inlineStr">
        <is>
          <t>DEFAULT</t>
        </is>
      </c>
      <c r="Q914" t="n">
        <v>0</v>
      </c>
      <c r="R914" t="inlineStr">
        <is>
          <t>AUD</t>
        </is>
      </c>
      <c r="S914" t="n">
        <v>0</v>
      </c>
      <c r="T914" t="inlineStr">
        <is>
          <t>AUD</t>
        </is>
      </c>
      <c r="U914" t="n">
        <v>0</v>
      </c>
    </row>
    <row r="915">
      <c r="A915" s="5" t="inlineStr">
        <is>
          <t>01a1212c-57f9-7760-b81d-46dcb2c21535</t>
        </is>
      </c>
      <c r="C915" s="5" t="inlineStr">
        <is>
          <t>01a1212c-4b57-70cf-80fd-c2192cb3bf81</t>
        </is>
      </c>
      <c r="D915" s="4" t="n">
        <v>46304.62403548714</v>
      </c>
      <c r="E915" s="4" t="n">
        <v>46304.62403548721</v>
      </c>
      <c r="F915" t="b">
        <v>1</v>
      </c>
      <c r="G915" t="n">
        <v/>
      </c>
      <c r="H915" t="inlineStr">
        <is>
          <t>BRI</t>
        </is>
      </c>
      <c r="I915" t="inlineStr">
        <is>
          <t>Big River Industries Ltd</t>
        </is>
      </c>
      <c r="J915" t="inlineStr">
        <is>
          <t>AUD</t>
        </is>
      </c>
      <c r="K915" s="5" t="inlineStr">
        <is>
          <t>01a1212c-4c04-75ce-bbb2-e3322e18816e</t>
        </is>
      </c>
      <c r="M915" t="inlineStr">
        <is>
          <t>UNKNOWN</t>
        </is>
      </c>
      <c r="N915" t="inlineStr">
        <is>
          <t>DEFAULT</t>
        </is>
      </c>
      <c r="Q915" t="n">
        <v>0</v>
      </c>
      <c r="R915" t="inlineStr">
        <is>
          <t>AUD</t>
        </is>
      </c>
      <c r="S915" t="n">
        <v>0</v>
      </c>
      <c r="T915" t="inlineStr">
        <is>
          <t>AUD</t>
        </is>
      </c>
      <c r="U915" t="n">
        <v>0</v>
      </c>
    </row>
    <row r="916">
      <c r="A916" s="5" t="inlineStr">
        <is>
          <t>01a1212c-57fc-72b5-afe1-932842023f0f</t>
        </is>
      </c>
      <c r="C916" s="5" t="inlineStr">
        <is>
          <t>01a1212c-4b57-70cf-80fd-c2192cb3bf81</t>
        </is>
      </c>
      <c r="D916" s="4" t="n">
        <v>46304.62403552007</v>
      </c>
      <c r="E916" s="4" t="n">
        <v>46304.62403552015</v>
      </c>
      <c r="F916" t="b">
        <v>1</v>
      </c>
      <c r="G916" t="n">
        <v/>
      </c>
      <c r="H916" t="inlineStr">
        <is>
          <t>RCE</t>
        </is>
      </c>
      <c r="I916" t="inlineStr">
        <is>
          <t>Recce Pharmaceuticals Ltd</t>
        </is>
      </c>
      <c r="J916" t="inlineStr">
        <is>
          <t>AUD</t>
        </is>
      </c>
      <c r="K916" s="5" t="inlineStr">
        <is>
          <t>01a1212c-4c04-75ce-bbb2-e3322e18816e</t>
        </is>
      </c>
      <c r="M916" t="inlineStr">
        <is>
          <t>UNKNOWN</t>
        </is>
      </c>
      <c r="N916" t="inlineStr">
        <is>
          <t>DEFAULT</t>
        </is>
      </c>
      <c r="Q916" t="n">
        <v>0</v>
      </c>
      <c r="R916" t="inlineStr">
        <is>
          <t>AUD</t>
        </is>
      </c>
      <c r="S916" t="n">
        <v>0</v>
      </c>
      <c r="T916" t="inlineStr">
        <is>
          <t>AUD</t>
        </is>
      </c>
      <c r="U916" t="n">
        <v>0</v>
      </c>
    </row>
    <row r="917">
      <c r="A917" s="5" t="inlineStr">
        <is>
          <t>01a1212c-57ff-7378-80d2-d19fe82065c4</t>
        </is>
      </c>
      <c r="C917" s="5" t="inlineStr">
        <is>
          <t>01a1212c-4b57-70cf-80fd-c2192cb3bf81</t>
        </is>
      </c>
      <c r="D917" s="4" t="n">
        <v>46304.62403555378</v>
      </c>
      <c r="E917" s="4" t="n">
        <v>46304.62403555387</v>
      </c>
      <c r="F917" t="b">
        <v>1</v>
      </c>
      <c r="G917" t="n">
        <v/>
      </c>
      <c r="H917" t="inlineStr">
        <is>
          <t>MWY</t>
        </is>
      </c>
      <c r="I917" t="inlineStr">
        <is>
          <t>Midway Ltd</t>
        </is>
      </c>
      <c r="J917" t="inlineStr">
        <is>
          <t>AUD</t>
        </is>
      </c>
      <c r="K917" s="5" t="inlineStr">
        <is>
          <t>01a1212c-4c04-75ce-bbb2-e3322e18816e</t>
        </is>
      </c>
      <c r="M917" t="inlineStr">
        <is>
          <t>UNKNOWN</t>
        </is>
      </c>
      <c r="N917" t="inlineStr">
        <is>
          <t>DEFAULT</t>
        </is>
      </c>
      <c r="Q917" t="n">
        <v>0</v>
      </c>
      <c r="R917" t="inlineStr">
        <is>
          <t>AUD</t>
        </is>
      </c>
      <c r="S917" t="n">
        <v>0</v>
      </c>
      <c r="T917" t="inlineStr">
        <is>
          <t>AUD</t>
        </is>
      </c>
      <c r="U917" t="n">
        <v>0</v>
      </c>
    </row>
    <row r="918">
      <c r="A918" s="5" t="inlineStr">
        <is>
          <t>01a1212c-5802-7724-b78f-d2d28c8b2fa6</t>
        </is>
      </c>
      <c r="C918" s="5" t="inlineStr">
        <is>
          <t>01a1212c-4b57-70cf-80fd-c2192cb3bf81</t>
        </is>
      </c>
      <c r="D918" s="4" t="n">
        <v>46304.62403558552</v>
      </c>
      <c r="E918" s="4" t="n">
        <v>46304.62403558561</v>
      </c>
      <c r="F918" t="b">
        <v>1</v>
      </c>
      <c r="G918" t="n">
        <v/>
      </c>
      <c r="H918" t="inlineStr">
        <is>
          <t>GTN</t>
        </is>
      </c>
      <c r="I918" t="inlineStr">
        <is>
          <t>GTN Ltd</t>
        </is>
      </c>
      <c r="J918" t="inlineStr">
        <is>
          <t>AUD</t>
        </is>
      </c>
      <c r="K918" s="5" t="inlineStr">
        <is>
          <t>01a1212c-4c04-75ce-bbb2-e3322e18816e</t>
        </is>
      </c>
      <c r="M918" t="inlineStr">
        <is>
          <t>UNKNOWN</t>
        </is>
      </c>
      <c r="N918" t="inlineStr">
        <is>
          <t>DEFAULT</t>
        </is>
      </c>
      <c r="Q918" t="n">
        <v>0</v>
      </c>
      <c r="R918" t="inlineStr">
        <is>
          <t>AUD</t>
        </is>
      </c>
      <c r="S918" t="n">
        <v>0</v>
      </c>
      <c r="T918" t="inlineStr">
        <is>
          <t>AUD</t>
        </is>
      </c>
      <c r="U918" t="n">
        <v>0</v>
      </c>
    </row>
    <row r="919">
      <c r="A919" s="5" t="inlineStr">
        <is>
          <t>01a1212c-5805-73c8-8e1c-50caa04f156b</t>
        </is>
      </c>
      <c r="C919" s="5" t="inlineStr">
        <is>
          <t>01a1212c-4b57-70cf-80fd-c2192cb3bf81</t>
        </is>
      </c>
      <c r="D919" s="4" t="n">
        <v>46304.6240356182</v>
      </c>
      <c r="E919" s="4" t="n">
        <v>46304.62403561828</v>
      </c>
      <c r="F919" t="b">
        <v>1</v>
      </c>
      <c r="G919" t="n">
        <v/>
      </c>
      <c r="H919" t="inlineStr">
        <is>
          <t>MXI</t>
        </is>
      </c>
      <c r="I919" t="inlineStr">
        <is>
          <t>Maxiparts Ltd</t>
        </is>
      </c>
      <c r="J919" t="inlineStr">
        <is>
          <t>AUD</t>
        </is>
      </c>
      <c r="K919" s="5" t="inlineStr">
        <is>
          <t>01a1212c-4c04-75ce-bbb2-e3322e18816e</t>
        </is>
      </c>
      <c r="M919" t="inlineStr">
        <is>
          <t>UNKNOWN</t>
        </is>
      </c>
      <c r="N919" t="inlineStr">
        <is>
          <t>DEFAULT</t>
        </is>
      </c>
      <c r="Q919" t="n">
        <v>0</v>
      </c>
      <c r="R919" t="inlineStr">
        <is>
          <t>AUD</t>
        </is>
      </c>
      <c r="S919" t="n">
        <v>0</v>
      </c>
      <c r="T919" t="inlineStr">
        <is>
          <t>AUD</t>
        </is>
      </c>
      <c r="U919" t="n">
        <v>0</v>
      </c>
    </row>
    <row r="920">
      <c r="A920" s="5" t="inlineStr">
        <is>
          <t>01a1212c-5808-7038-a1b8-f19a08bd48c7</t>
        </is>
      </c>
      <c r="C920" s="5" t="inlineStr">
        <is>
          <t>01a1212c-4b57-70cf-80fd-c2192cb3bf81</t>
        </is>
      </c>
      <c r="D920" s="4" t="n">
        <v>46304.62403565353</v>
      </c>
      <c r="E920" s="4" t="n">
        <v>46304.62403565362</v>
      </c>
      <c r="F920" t="b">
        <v>1</v>
      </c>
      <c r="G920" t="n">
        <v/>
      </c>
      <c r="H920" t="inlineStr">
        <is>
          <t>EZZ</t>
        </is>
      </c>
      <c r="I920" t="inlineStr">
        <is>
          <t>EZZ Life Science Holdings Ltd</t>
        </is>
      </c>
      <c r="J920" t="inlineStr">
        <is>
          <t>AUD</t>
        </is>
      </c>
      <c r="K920" s="5" t="inlineStr">
        <is>
          <t>01a1212c-4c04-75ce-bbb2-e3322e18816e</t>
        </is>
      </c>
      <c r="M920" t="inlineStr">
        <is>
          <t>UNKNOWN</t>
        </is>
      </c>
      <c r="N920" t="inlineStr">
        <is>
          <t>DEFAULT</t>
        </is>
      </c>
      <c r="Q920" t="n">
        <v>0</v>
      </c>
      <c r="R920" t="inlineStr">
        <is>
          <t>AUD</t>
        </is>
      </c>
      <c r="S920" t="n">
        <v>0</v>
      </c>
      <c r="T920" t="inlineStr">
        <is>
          <t>AUD</t>
        </is>
      </c>
      <c r="U920" t="n">
        <v>0</v>
      </c>
    </row>
    <row r="921">
      <c r="A921" s="5" t="inlineStr">
        <is>
          <t>01a1212c-580b-76c4-9599-75e899d6e12f</t>
        </is>
      </c>
      <c r="C921" s="5" t="inlineStr">
        <is>
          <t>01a1212c-4b57-70cf-80fd-c2192cb3bf81</t>
        </is>
      </c>
      <c r="D921" s="4" t="n">
        <v>46304.62403568593</v>
      </c>
      <c r="E921" s="4" t="n">
        <v>46304.62403568609</v>
      </c>
      <c r="F921" t="b">
        <v>1</v>
      </c>
      <c r="G921" t="n">
        <v/>
      </c>
      <c r="H921" t="inlineStr">
        <is>
          <t>TRS</t>
        </is>
      </c>
      <c r="I921" t="inlineStr">
        <is>
          <t>The Reject Shop Ltd</t>
        </is>
      </c>
      <c r="J921" t="inlineStr">
        <is>
          <t>AUD</t>
        </is>
      </c>
      <c r="K921" s="5" t="inlineStr">
        <is>
          <t>01a1212c-4c04-75ce-bbb2-e3322e18816e</t>
        </is>
      </c>
      <c r="M921" t="inlineStr">
        <is>
          <t>UNKNOWN</t>
        </is>
      </c>
      <c r="N921" t="inlineStr">
        <is>
          <t>DEFAULT</t>
        </is>
      </c>
      <c r="Q921" t="n">
        <v>0</v>
      </c>
      <c r="R921" t="inlineStr">
        <is>
          <t>AUD</t>
        </is>
      </c>
      <c r="S921" t="n">
        <v>0</v>
      </c>
      <c r="T921" t="inlineStr">
        <is>
          <t>AUD</t>
        </is>
      </c>
      <c r="U921" t="n">
        <v>0</v>
      </c>
    </row>
    <row r="922">
      <c r="A922" s="5" t="inlineStr">
        <is>
          <t>01a1212c-580d-77a7-a765-90114a4e0054</t>
        </is>
      </c>
      <c r="C922" s="5" t="inlineStr">
        <is>
          <t>01a1212c-4b57-70cf-80fd-c2192cb3bf81</t>
        </is>
      </c>
      <c r="D922" s="4" t="n">
        <v>46304.62403571898</v>
      </c>
      <c r="E922" s="4" t="n">
        <v>46304.62403571908</v>
      </c>
      <c r="F922" t="b">
        <v>1</v>
      </c>
      <c r="G922" t="n">
        <v/>
      </c>
      <c r="H922" t="inlineStr">
        <is>
          <t>WR1</t>
        </is>
      </c>
      <c r="I922" t="inlineStr">
        <is>
          <t>Winsome Resources Ltd</t>
        </is>
      </c>
      <c r="J922" t="inlineStr">
        <is>
          <t>AUD</t>
        </is>
      </c>
      <c r="K922" s="5" t="inlineStr">
        <is>
          <t>01a1212c-4c04-75ce-bbb2-e3322e18816e</t>
        </is>
      </c>
      <c r="M922" t="inlineStr">
        <is>
          <t>UNKNOWN</t>
        </is>
      </c>
      <c r="N922" t="inlineStr">
        <is>
          <t>DEFAULT</t>
        </is>
      </c>
      <c r="Q922" t="n">
        <v>0</v>
      </c>
      <c r="R922" t="inlineStr">
        <is>
          <t>AUD</t>
        </is>
      </c>
      <c r="S922" t="n">
        <v>0</v>
      </c>
      <c r="T922" t="inlineStr">
        <is>
          <t>AUD</t>
        </is>
      </c>
      <c r="U922" t="n">
        <v>0</v>
      </c>
    </row>
    <row r="923">
      <c r="A923" s="5" t="inlineStr">
        <is>
          <t>01a1212c-5810-7415-8a19-52c6e3103d32</t>
        </is>
      </c>
      <c r="C923" s="5" t="inlineStr">
        <is>
          <t>01a1212c-4b57-70cf-80fd-c2192cb3bf81</t>
        </is>
      </c>
      <c r="D923" s="4" t="n">
        <v>46304.6240357537</v>
      </c>
      <c r="E923" s="4" t="n">
        <v>46304.6240357538</v>
      </c>
      <c r="F923" t="b">
        <v>1</v>
      </c>
      <c r="G923" t="n">
        <v/>
      </c>
      <c r="H923" t="inlineStr">
        <is>
          <t>ST1</t>
        </is>
      </c>
      <c r="I923" t="inlineStr">
        <is>
          <t>Spirit Technology Solutions Ltd</t>
        </is>
      </c>
      <c r="J923" t="inlineStr">
        <is>
          <t>AUD</t>
        </is>
      </c>
      <c r="K923" s="5" t="inlineStr">
        <is>
          <t>01a1212c-4c04-75ce-bbb2-e3322e18816e</t>
        </is>
      </c>
      <c r="M923" t="inlineStr">
        <is>
          <t>UNKNOWN</t>
        </is>
      </c>
      <c r="N923" t="inlineStr">
        <is>
          <t>DEFAULT</t>
        </is>
      </c>
      <c r="Q923" t="n">
        <v>0</v>
      </c>
      <c r="R923" t="inlineStr">
        <is>
          <t>AUD</t>
        </is>
      </c>
      <c r="S923" t="n">
        <v>0</v>
      </c>
      <c r="T923" t="inlineStr">
        <is>
          <t>AUD</t>
        </is>
      </c>
      <c r="U923" t="n">
        <v>0</v>
      </c>
    </row>
    <row r="924">
      <c r="A924" s="5" t="inlineStr">
        <is>
          <t>01a1212c-5813-7273-977f-63ad7bfb8b5e</t>
        </is>
      </c>
      <c r="C924" s="5" t="inlineStr">
        <is>
          <t>01a1212c-4b57-70cf-80fd-c2192cb3bf81</t>
        </is>
      </c>
      <c r="D924" s="4" t="n">
        <v>46304.62403578767</v>
      </c>
      <c r="E924" s="4" t="n">
        <v>46304.62403578777</v>
      </c>
      <c r="F924" t="b">
        <v>1</v>
      </c>
      <c r="G924" t="n">
        <v/>
      </c>
      <c r="H924" t="inlineStr">
        <is>
          <t>MCCL</t>
        </is>
      </c>
      <c r="I924" t="inlineStr">
        <is>
          <t>Munro Climate Change Leaders Fund Active ETF</t>
        </is>
      </c>
      <c r="J924" t="inlineStr">
        <is>
          <t>AUD</t>
        </is>
      </c>
      <c r="K924" s="5" t="inlineStr">
        <is>
          <t>01a1212c-4c04-75ce-bbb2-e3322e18816e</t>
        </is>
      </c>
      <c r="M924" t="inlineStr">
        <is>
          <t>UNKNOWN</t>
        </is>
      </c>
      <c r="N924" t="inlineStr">
        <is>
          <t>DEFAULT</t>
        </is>
      </c>
      <c r="Q924" t="n">
        <v>0</v>
      </c>
      <c r="R924" t="inlineStr">
        <is>
          <t>AUD</t>
        </is>
      </c>
      <c r="S924" t="n">
        <v>0</v>
      </c>
      <c r="T924" t="inlineStr">
        <is>
          <t>AUD</t>
        </is>
      </c>
      <c r="U924" t="n">
        <v>0</v>
      </c>
    </row>
    <row r="925">
      <c r="A925" s="5" t="inlineStr">
        <is>
          <t>01a1212c-5817-7702-a44e-8769bb7619f3</t>
        </is>
      </c>
      <c r="C925" s="5" t="inlineStr">
        <is>
          <t>01a1212c-4b57-70cf-80fd-c2192cb3bf81</t>
        </is>
      </c>
      <c r="D925" s="4" t="n">
        <v>46304.62403582326</v>
      </c>
      <c r="E925" s="4" t="n">
        <v>46304.62403582337</v>
      </c>
      <c r="F925" t="b">
        <v>1</v>
      </c>
      <c r="G925" t="n">
        <v/>
      </c>
      <c r="H925" t="inlineStr">
        <is>
          <t>DAOR</t>
        </is>
      </c>
      <c r="I925" t="inlineStr">
        <is>
          <t>Aoris Int Fund (Class D) (Hedged) Active ETF</t>
        </is>
      </c>
      <c r="J925" t="inlineStr">
        <is>
          <t>AUD</t>
        </is>
      </c>
      <c r="K925" s="5" t="inlineStr">
        <is>
          <t>01a1212c-4c04-75ce-bbb2-e3322e18816e</t>
        </is>
      </c>
      <c r="M925" t="inlineStr">
        <is>
          <t>UNKNOWN</t>
        </is>
      </c>
      <c r="N925" t="inlineStr">
        <is>
          <t>DEFAULT</t>
        </is>
      </c>
      <c r="Q925" t="n">
        <v>0</v>
      </c>
      <c r="R925" t="inlineStr">
        <is>
          <t>AUD</t>
        </is>
      </c>
      <c r="S925" t="n">
        <v>0</v>
      </c>
      <c r="T925" t="inlineStr">
        <is>
          <t>AUD</t>
        </is>
      </c>
      <c r="U925" t="n">
        <v>0</v>
      </c>
    </row>
    <row r="926">
      <c r="A926" s="5" t="inlineStr">
        <is>
          <t>01a1212c-5819-70f1-91ce-58ca5a7248b5</t>
        </is>
      </c>
      <c r="C926" s="5" t="inlineStr">
        <is>
          <t>01a1212c-4b57-70cf-80fd-c2192cb3bf81</t>
        </is>
      </c>
      <c r="D926" s="4" t="n">
        <v>46304.6240358577</v>
      </c>
      <c r="E926" s="4" t="n">
        <v>46304.6240358578</v>
      </c>
      <c r="F926" t="b">
        <v>1</v>
      </c>
      <c r="G926" t="n">
        <v/>
      </c>
      <c r="H926" t="inlineStr">
        <is>
          <t>EGL</t>
        </is>
      </c>
      <c r="I926" t="inlineStr">
        <is>
          <t>Environmental Group Ltd (the)</t>
        </is>
      </c>
      <c r="J926" t="inlineStr">
        <is>
          <t>AUD</t>
        </is>
      </c>
      <c r="K926" s="5" t="inlineStr">
        <is>
          <t>01a1212c-4c04-75ce-bbb2-e3322e18816e</t>
        </is>
      </c>
      <c r="M926" t="inlineStr">
        <is>
          <t>UNKNOWN</t>
        </is>
      </c>
      <c r="N926" t="inlineStr">
        <is>
          <t>DEFAULT</t>
        </is>
      </c>
      <c r="Q926" t="n">
        <v>0</v>
      </c>
      <c r="R926" t="inlineStr">
        <is>
          <t>AUD</t>
        </is>
      </c>
      <c r="S926" t="n">
        <v>0</v>
      </c>
      <c r="T926" t="inlineStr">
        <is>
          <t>AUD</t>
        </is>
      </c>
      <c r="U926" t="n">
        <v>0</v>
      </c>
    </row>
    <row r="927">
      <c r="A927" s="5" t="inlineStr">
        <is>
          <t>01a1212c-581c-760d-aa72-34bd263a05dc</t>
        </is>
      </c>
      <c r="C927" s="5" t="inlineStr">
        <is>
          <t>01a1212c-4b57-70cf-80fd-c2192cb3bf81</t>
        </is>
      </c>
      <c r="D927" s="4" t="n">
        <v>46304.62403588914</v>
      </c>
      <c r="E927" s="4" t="n">
        <v>46304.62403588922</v>
      </c>
      <c r="F927" t="b">
        <v>1</v>
      </c>
      <c r="G927" t="n">
        <v/>
      </c>
      <c r="H927" t="inlineStr">
        <is>
          <t>RYD</t>
        </is>
      </c>
      <c r="I927" t="inlineStr">
        <is>
          <t>Ryder Capital Ltd</t>
        </is>
      </c>
      <c r="J927" t="inlineStr">
        <is>
          <t>AUD</t>
        </is>
      </c>
      <c r="K927" s="5" t="inlineStr">
        <is>
          <t>01a1212c-4c04-75ce-bbb2-e3322e18816e</t>
        </is>
      </c>
      <c r="M927" t="inlineStr">
        <is>
          <t>UNKNOWN</t>
        </is>
      </c>
      <c r="N927" t="inlineStr">
        <is>
          <t>DEFAULT</t>
        </is>
      </c>
      <c r="Q927" t="n">
        <v>0</v>
      </c>
      <c r="R927" t="inlineStr">
        <is>
          <t>AUD</t>
        </is>
      </c>
      <c r="S927" t="n">
        <v>0</v>
      </c>
      <c r="T927" t="inlineStr">
        <is>
          <t>AUD</t>
        </is>
      </c>
      <c r="U927" t="n">
        <v>0</v>
      </c>
    </row>
    <row r="928">
      <c r="A928" s="5" t="inlineStr">
        <is>
          <t>01a1212c-581f-72ff-aba1-a529fa2b7fda</t>
        </is>
      </c>
      <c r="C928" s="5" t="inlineStr">
        <is>
          <t>01a1212c-4b57-70cf-80fd-c2192cb3bf81</t>
        </is>
      </c>
      <c r="D928" s="4" t="n">
        <v>46304.62403592445</v>
      </c>
      <c r="E928" s="4" t="n">
        <v>46304.62403592453</v>
      </c>
      <c r="F928" t="b">
        <v>1</v>
      </c>
      <c r="G928" t="n">
        <v/>
      </c>
      <c r="H928" t="inlineStr">
        <is>
          <t>TWD</t>
        </is>
      </c>
      <c r="I928" t="inlineStr">
        <is>
          <t>Tamawood Ltd</t>
        </is>
      </c>
      <c r="J928" t="inlineStr">
        <is>
          <t>AUD</t>
        </is>
      </c>
      <c r="K928" s="5" t="inlineStr">
        <is>
          <t>01a1212c-4c04-75ce-bbb2-e3322e18816e</t>
        </is>
      </c>
      <c r="M928" t="inlineStr">
        <is>
          <t>UNKNOWN</t>
        </is>
      </c>
      <c r="N928" t="inlineStr">
        <is>
          <t>DEFAULT</t>
        </is>
      </c>
      <c r="Q928" t="n">
        <v>0</v>
      </c>
      <c r="R928" t="inlineStr">
        <is>
          <t>AUD</t>
        </is>
      </c>
      <c r="S928" t="n">
        <v>0</v>
      </c>
      <c r="T928" t="inlineStr">
        <is>
          <t>AUD</t>
        </is>
      </c>
      <c r="U928" t="n">
        <v>0</v>
      </c>
    </row>
    <row r="929">
      <c r="A929" s="5" t="inlineStr">
        <is>
          <t>01a1212c-5822-74cb-870c-4059c3a3c89b</t>
        </is>
      </c>
      <c r="C929" s="5" t="inlineStr">
        <is>
          <t>01a1212c-4b57-70cf-80fd-c2192cb3bf81</t>
        </is>
      </c>
      <c r="D929" s="4" t="n">
        <v>46304.62403595615</v>
      </c>
      <c r="E929" s="4" t="n">
        <v>46304.62403595623</v>
      </c>
      <c r="F929" t="b">
        <v>1</v>
      </c>
      <c r="G929" t="n">
        <v/>
      </c>
      <c r="H929" t="inlineStr">
        <is>
          <t>CLG</t>
        </is>
      </c>
      <c r="I929" t="inlineStr">
        <is>
          <t>Close the Loop Ltd</t>
        </is>
      </c>
      <c r="J929" t="inlineStr">
        <is>
          <t>AUD</t>
        </is>
      </c>
      <c r="K929" s="5" t="inlineStr">
        <is>
          <t>01a1212c-4c04-75ce-bbb2-e3322e18816e</t>
        </is>
      </c>
      <c r="M929" t="inlineStr">
        <is>
          <t>UNKNOWN</t>
        </is>
      </c>
      <c r="N929" t="inlineStr">
        <is>
          <t>DEFAULT</t>
        </is>
      </c>
      <c r="Q929" t="n">
        <v>0</v>
      </c>
      <c r="R929" t="inlineStr">
        <is>
          <t>AUD</t>
        </is>
      </c>
      <c r="S929" t="n">
        <v>0</v>
      </c>
      <c r="T929" t="inlineStr">
        <is>
          <t>AUD</t>
        </is>
      </c>
      <c r="U929" t="n">
        <v>0</v>
      </c>
    </row>
    <row r="930">
      <c r="A930" s="5" t="inlineStr">
        <is>
          <t>01a1212c-5825-775b-b845-84b87a2b873f</t>
        </is>
      </c>
      <c r="C930" s="5" t="inlineStr">
        <is>
          <t>01a1212c-4b57-70cf-80fd-c2192cb3bf81</t>
        </is>
      </c>
      <c r="D930" s="4" t="n">
        <v>46304.62403598999</v>
      </c>
      <c r="E930" s="4" t="n">
        <v>46304.62403599007</v>
      </c>
      <c r="F930" t="b">
        <v>1</v>
      </c>
      <c r="G930" t="n">
        <v/>
      </c>
      <c r="H930" t="inlineStr">
        <is>
          <t>IMA</t>
        </is>
      </c>
      <c r="I930" t="inlineStr">
        <is>
          <t>Image Resources NL</t>
        </is>
      </c>
      <c r="J930" t="inlineStr">
        <is>
          <t>AUD</t>
        </is>
      </c>
      <c r="K930" s="5" t="inlineStr">
        <is>
          <t>01a1212c-4c04-75ce-bbb2-e3322e18816e</t>
        </is>
      </c>
      <c r="M930" t="inlineStr">
        <is>
          <t>UNKNOWN</t>
        </is>
      </c>
      <c r="N930" t="inlineStr">
        <is>
          <t>DEFAULT</t>
        </is>
      </c>
      <c r="Q930" t="n">
        <v>0</v>
      </c>
      <c r="R930" t="inlineStr">
        <is>
          <t>AUD</t>
        </is>
      </c>
      <c r="S930" t="n">
        <v>0</v>
      </c>
      <c r="T930" t="inlineStr">
        <is>
          <t>AUD</t>
        </is>
      </c>
      <c r="U930" t="n">
        <v>0</v>
      </c>
    </row>
    <row r="931">
      <c r="A931" s="5" t="inlineStr">
        <is>
          <t>01a1212c-5828-7651-89ab-03e8d8c701c6</t>
        </is>
      </c>
      <c r="C931" s="5" t="inlineStr">
        <is>
          <t>01a1212c-4b57-70cf-80fd-c2192cb3bf81</t>
        </is>
      </c>
      <c r="D931" s="4" t="n">
        <v>46304.62403602132</v>
      </c>
      <c r="E931" s="4" t="n">
        <v>46304.6240360214</v>
      </c>
      <c r="F931" t="b">
        <v>1</v>
      </c>
      <c r="G931" t="n">
        <v/>
      </c>
      <c r="H931" t="inlineStr">
        <is>
          <t>HQUS</t>
        </is>
      </c>
      <c r="I931" t="inlineStr">
        <is>
          <t>Betashares S&amp;P 500 EQUAL Weight Currency Hedged ETF</t>
        </is>
      </c>
      <c r="J931" t="inlineStr">
        <is>
          <t>AUD</t>
        </is>
      </c>
      <c r="K931" s="5" t="inlineStr">
        <is>
          <t>01a1212c-4c04-75ce-bbb2-e3322e18816e</t>
        </is>
      </c>
      <c r="M931" t="inlineStr">
        <is>
          <t>UNKNOWN</t>
        </is>
      </c>
      <c r="N931" t="inlineStr">
        <is>
          <t>DEFAULT</t>
        </is>
      </c>
      <c r="Q931" t="n">
        <v>0</v>
      </c>
      <c r="R931" t="inlineStr">
        <is>
          <t>AUD</t>
        </is>
      </c>
      <c r="S931" t="n">
        <v>0</v>
      </c>
      <c r="T931" t="inlineStr">
        <is>
          <t>AUD</t>
        </is>
      </c>
      <c r="U931" t="n">
        <v>0</v>
      </c>
    </row>
    <row r="932">
      <c r="A932" s="5" t="inlineStr">
        <is>
          <t>01a1212c-582a-7679-9ceb-1c89104ef988</t>
        </is>
      </c>
      <c r="C932" s="5" t="inlineStr">
        <is>
          <t>01a1212c-4b57-70cf-80fd-c2192cb3bf81</t>
        </is>
      </c>
      <c r="D932" s="4" t="n">
        <v>46304.62403605427</v>
      </c>
      <c r="E932" s="4" t="n">
        <v>46304.62403605437</v>
      </c>
      <c r="F932" t="b">
        <v>1</v>
      </c>
      <c r="G932" t="n">
        <v/>
      </c>
      <c r="H932" t="inlineStr">
        <is>
          <t>TOK</t>
        </is>
      </c>
      <c r="I932" t="inlineStr">
        <is>
          <t>Tolu Minerals Ltd</t>
        </is>
      </c>
      <c r="J932" t="inlineStr">
        <is>
          <t>AUD</t>
        </is>
      </c>
      <c r="K932" s="5" t="inlineStr">
        <is>
          <t>01a1212c-4c04-75ce-bbb2-e3322e18816e</t>
        </is>
      </c>
      <c r="M932" t="inlineStr">
        <is>
          <t>UNKNOWN</t>
        </is>
      </c>
      <c r="N932" t="inlineStr">
        <is>
          <t>DEFAULT</t>
        </is>
      </c>
      <c r="Q932" t="n">
        <v>0</v>
      </c>
      <c r="R932" t="inlineStr">
        <is>
          <t>AUD</t>
        </is>
      </c>
      <c r="S932" t="n">
        <v>0</v>
      </c>
      <c r="T932" t="inlineStr">
        <is>
          <t>AUD</t>
        </is>
      </c>
      <c r="U932" t="n">
        <v>0</v>
      </c>
    </row>
    <row r="933">
      <c r="A933" s="5" t="inlineStr">
        <is>
          <t>01a1212c-582d-769a-85cb-c92ab32164a5</t>
        </is>
      </c>
      <c r="C933" s="5" t="inlineStr">
        <is>
          <t>01a1212c-4b57-70cf-80fd-c2192cb3bf81</t>
        </is>
      </c>
      <c r="D933" s="4" t="n">
        <v>46304.62403608573</v>
      </c>
      <c r="E933" s="4" t="n">
        <v>46304.62403608581</v>
      </c>
      <c r="F933" t="b">
        <v>1</v>
      </c>
      <c r="G933" t="n">
        <v/>
      </c>
      <c r="H933" t="inlineStr">
        <is>
          <t>HCH</t>
        </is>
      </c>
      <c r="I933" t="inlineStr">
        <is>
          <t>Hot Chili Ltd</t>
        </is>
      </c>
      <c r="J933" t="inlineStr">
        <is>
          <t>AUD</t>
        </is>
      </c>
      <c r="K933" s="5" t="inlineStr">
        <is>
          <t>01a1212c-4c04-75ce-bbb2-e3322e18816e</t>
        </is>
      </c>
      <c r="M933" t="inlineStr">
        <is>
          <t>UNKNOWN</t>
        </is>
      </c>
      <c r="N933" t="inlineStr">
        <is>
          <t>DEFAULT</t>
        </is>
      </c>
      <c r="Q933" t="n">
        <v>0</v>
      </c>
      <c r="R933" t="inlineStr">
        <is>
          <t>AUD</t>
        </is>
      </c>
      <c r="S933" t="n">
        <v>0</v>
      </c>
      <c r="T933" t="inlineStr">
        <is>
          <t>AUD</t>
        </is>
      </c>
      <c r="U933" t="n">
        <v>0</v>
      </c>
    </row>
    <row r="934">
      <c r="A934" s="5" t="inlineStr">
        <is>
          <t>01a1212c-5831-74f3-bc27-5128fe656872</t>
        </is>
      </c>
      <c r="C934" s="5" t="inlineStr">
        <is>
          <t>01a1212c-4b57-70cf-80fd-c2192cb3bf81</t>
        </is>
      </c>
      <c r="D934" s="4" t="n">
        <v>46304.6240361292</v>
      </c>
      <c r="E934" s="4" t="n">
        <v>46304.62403612929</v>
      </c>
      <c r="F934" t="b">
        <v>1</v>
      </c>
      <c r="G934" t="n">
        <v/>
      </c>
      <c r="H934" t="inlineStr">
        <is>
          <t>OMA</t>
        </is>
      </c>
      <c r="I934" t="inlineStr">
        <is>
          <t>Omega Oil &amp; Gas Ltd</t>
        </is>
      </c>
      <c r="J934" t="inlineStr">
        <is>
          <t>AUD</t>
        </is>
      </c>
      <c r="K934" s="5" t="inlineStr">
        <is>
          <t>01a1212c-4c04-75ce-bbb2-e3322e18816e</t>
        </is>
      </c>
      <c r="M934" t="inlineStr">
        <is>
          <t>UNKNOWN</t>
        </is>
      </c>
      <c r="N934" t="inlineStr">
        <is>
          <t>DEFAULT</t>
        </is>
      </c>
      <c r="Q934" t="n">
        <v>0</v>
      </c>
      <c r="R934" t="inlineStr">
        <is>
          <t>AUD</t>
        </is>
      </c>
      <c r="S934" t="n">
        <v>0</v>
      </c>
      <c r="T934" t="inlineStr">
        <is>
          <t>AUD</t>
        </is>
      </c>
      <c r="U934" t="n">
        <v>0</v>
      </c>
    </row>
    <row r="935">
      <c r="A935" s="5" t="inlineStr">
        <is>
          <t>01a1212c-5834-75c9-a8a4-f734ce830850</t>
        </is>
      </c>
      <c r="C935" s="5" t="inlineStr">
        <is>
          <t>01a1212c-4b57-70cf-80fd-c2192cb3bf81</t>
        </is>
      </c>
      <c r="D935" s="4" t="n">
        <v>46304.62403616202</v>
      </c>
      <c r="E935" s="4" t="n">
        <v>46304.62403616211</v>
      </c>
      <c r="F935" t="b">
        <v>1</v>
      </c>
      <c r="G935" t="n">
        <v/>
      </c>
      <c r="H935" t="inlineStr">
        <is>
          <t>CD3</t>
        </is>
      </c>
      <c r="I935" t="inlineStr">
        <is>
          <t>CD Private Equity Fund Iii</t>
        </is>
      </c>
      <c r="J935" t="inlineStr">
        <is>
          <t>AUD</t>
        </is>
      </c>
      <c r="K935" s="5" t="inlineStr">
        <is>
          <t>01a1212c-4c04-75ce-bbb2-e3322e18816e</t>
        </is>
      </c>
      <c r="M935" t="inlineStr">
        <is>
          <t>UNKNOWN</t>
        </is>
      </c>
      <c r="N935" t="inlineStr">
        <is>
          <t>DEFAULT</t>
        </is>
      </c>
      <c r="Q935" t="n">
        <v>0</v>
      </c>
      <c r="R935" t="inlineStr">
        <is>
          <t>AUD</t>
        </is>
      </c>
      <c r="S935" t="n">
        <v>0</v>
      </c>
      <c r="T935" t="inlineStr">
        <is>
          <t>AUD</t>
        </is>
      </c>
      <c r="U935" t="n">
        <v>0</v>
      </c>
    </row>
    <row r="936">
      <c r="A936" s="5" t="inlineStr">
        <is>
          <t>01a1212c-5836-751f-9b64-76039736d968</t>
        </is>
      </c>
      <c r="C936" s="5" t="inlineStr">
        <is>
          <t>01a1212c-4b57-70cf-80fd-c2192cb3bf81</t>
        </is>
      </c>
      <c r="D936" s="4" t="n">
        <v>46304.62403619313</v>
      </c>
      <c r="E936" s="4" t="n">
        <v>46304.62403619319</v>
      </c>
      <c r="F936" t="b">
        <v>1</v>
      </c>
      <c r="G936" t="n">
        <v/>
      </c>
      <c r="H936" t="inlineStr">
        <is>
          <t>DZZF</t>
        </is>
      </c>
      <c r="I936" t="inlineStr">
        <is>
          <t>Betashares Ethical Diversified High Growth ETF</t>
        </is>
      </c>
      <c r="J936" t="inlineStr">
        <is>
          <t>AUD</t>
        </is>
      </c>
      <c r="K936" s="5" t="inlineStr">
        <is>
          <t>01a1212c-4c04-75ce-bbb2-e3322e18816e</t>
        </is>
      </c>
      <c r="M936" t="inlineStr">
        <is>
          <t>UNKNOWN</t>
        </is>
      </c>
      <c r="N936" t="inlineStr">
        <is>
          <t>DEFAULT</t>
        </is>
      </c>
      <c r="Q936" t="n">
        <v>0</v>
      </c>
      <c r="R936" t="inlineStr">
        <is>
          <t>AUD</t>
        </is>
      </c>
      <c r="S936" t="n">
        <v>0</v>
      </c>
      <c r="T936" t="inlineStr">
        <is>
          <t>AUD</t>
        </is>
      </c>
      <c r="U936" t="n">
        <v>0</v>
      </c>
    </row>
    <row r="937">
      <c r="A937" s="5" t="inlineStr">
        <is>
          <t>01a1212c-5839-7073-96a2-ef4e60b62d38</t>
        </is>
      </c>
      <c r="C937" s="5" t="inlineStr">
        <is>
          <t>01a1212c-4b57-70cf-80fd-c2192cb3bf81</t>
        </is>
      </c>
      <c r="D937" s="4" t="n">
        <v>46304.62403622388</v>
      </c>
      <c r="E937" s="4" t="n">
        <v>46304.62403622395</v>
      </c>
      <c r="F937" t="b">
        <v>1</v>
      </c>
      <c r="G937" t="n">
        <v/>
      </c>
      <c r="H937" t="inlineStr">
        <is>
          <t>TTM</t>
        </is>
      </c>
      <c r="I937" t="inlineStr">
        <is>
          <t>Titan Minerals Ltd</t>
        </is>
      </c>
      <c r="J937" t="inlineStr">
        <is>
          <t>AUD</t>
        </is>
      </c>
      <c r="K937" s="5" t="inlineStr">
        <is>
          <t>01a1212c-4c04-75ce-bbb2-e3322e18816e</t>
        </is>
      </c>
      <c r="M937" t="inlineStr">
        <is>
          <t>UNKNOWN</t>
        </is>
      </c>
      <c r="N937" t="inlineStr">
        <is>
          <t>DEFAULT</t>
        </is>
      </c>
      <c r="Q937" t="n">
        <v>0</v>
      </c>
      <c r="R937" t="inlineStr">
        <is>
          <t>AUD</t>
        </is>
      </c>
      <c r="S937" t="n">
        <v>0</v>
      </c>
      <c r="T937" t="inlineStr">
        <is>
          <t>AUD</t>
        </is>
      </c>
      <c r="U937" t="n">
        <v>0</v>
      </c>
    </row>
    <row r="938">
      <c r="A938" s="5" t="inlineStr">
        <is>
          <t>01a1212c-583c-7540-9aeb-04cd459fb361</t>
        </is>
      </c>
      <c r="C938" s="5" t="inlineStr">
        <is>
          <t>01a1212c-4b57-70cf-80fd-c2192cb3bf81</t>
        </is>
      </c>
      <c r="D938" s="4" t="n">
        <v>46304.62403625442</v>
      </c>
      <c r="E938" s="4" t="n">
        <v>46304.6240362545</v>
      </c>
      <c r="F938" t="b">
        <v>1</v>
      </c>
      <c r="G938" t="n">
        <v/>
      </c>
      <c r="H938" t="inlineStr">
        <is>
          <t>TPC</t>
        </is>
      </c>
      <c r="I938" t="inlineStr">
        <is>
          <t>TPC Consolidated Ltd</t>
        </is>
      </c>
      <c r="J938" t="inlineStr">
        <is>
          <t>AUD</t>
        </is>
      </c>
      <c r="K938" s="5" t="inlineStr">
        <is>
          <t>01a1212c-4c04-75ce-bbb2-e3322e18816e</t>
        </is>
      </c>
      <c r="M938" t="inlineStr">
        <is>
          <t>UNKNOWN</t>
        </is>
      </c>
      <c r="N938" t="inlineStr">
        <is>
          <t>DEFAULT</t>
        </is>
      </c>
      <c r="Q938" t="n">
        <v>0</v>
      </c>
      <c r="R938" t="inlineStr">
        <is>
          <t>AUD</t>
        </is>
      </c>
      <c r="S938" t="n">
        <v>0</v>
      </c>
      <c r="T938" t="inlineStr">
        <is>
          <t>AUD</t>
        </is>
      </c>
      <c r="U938" t="n">
        <v>0</v>
      </c>
    </row>
    <row r="939">
      <c r="A939" s="5" t="inlineStr">
        <is>
          <t>01a1212c-583f-74d1-8c29-d2ce99856797</t>
        </is>
      </c>
      <c r="C939" s="5" t="inlineStr">
        <is>
          <t>01a1212c-4b57-70cf-80fd-c2192cb3bf81</t>
        </is>
      </c>
      <c r="D939" s="4" t="n">
        <v>46304.62403629617</v>
      </c>
      <c r="E939" s="4" t="n">
        <v>46304.62403629627</v>
      </c>
      <c r="F939" t="b">
        <v>1</v>
      </c>
      <c r="G939" t="n">
        <v/>
      </c>
      <c r="H939" t="inlineStr">
        <is>
          <t>BDM</t>
        </is>
      </c>
      <c r="I939" t="inlineStr">
        <is>
          <t>Burgundy Diamond Mines Ltd</t>
        </is>
      </c>
      <c r="J939" t="inlineStr">
        <is>
          <t>AUD</t>
        </is>
      </c>
      <c r="K939" s="5" t="inlineStr">
        <is>
          <t>01a1212c-4c04-75ce-bbb2-e3322e18816e</t>
        </is>
      </c>
      <c r="M939" t="inlineStr">
        <is>
          <t>UNKNOWN</t>
        </is>
      </c>
      <c r="N939" t="inlineStr">
        <is>
          <t>DEFAULT</t>
        </is>
      </c>
      <c r="Q939" t="n">
        <v>0</v>
      </c>
      <c r="R939" t="inlineStr">
        <is>
          <t>AUD</t>
        </is>
      </c>
      <c r="S939" t="n">
        <v>0</v>
      </c>
      <c r="T939" t="inlineStr">
        <is>
          <t>AUD</t>
        </is>
      </c>
      <c r="U939" t="n">
        <v>0</v>
      </c>
    </row>
    <row r="940">
      <c r="A940" s="5" t="inlineStr">
        <is>
          <t>01a1212c-5842-740c-8fdd-025825b4b567</t>
        </is>
      </c>
      <c r="C940" s="5" t="inlineStr">
        <is>
          <t>01a1212c-4b57-70cf-80fd-c2192cb3bf81</t>
        </is>
      </c>
      <c r="D940" s="4" t="n">
        <v>46304.624036331</v>
      </c>
      <c r="E940" s="4" t="n">
        <v>46304.62403633108</v>
      </c>
      <c r="F940" t="b">
        <v>1</v>
      </c>
      <c r="G940" t="n">
        <v/>
      </c>
      <c r="H940" t="inlineStr">
        <is>
          <t>IIGF</t>
        </is>
      </c>
      <c r="I940" t="inlineStr">
        <is>
          <t>Intelligent Investor Aus EQ GRTH Fund - Active ETF</t>
        </is>
      </c>
      <c r="J940" t="inlineStr">
        <is>
          <t>AUD</t>
        </is>
      </c>
      <c r="K940" s="5" t="inlineStr">
        <is>
          <t>01a1212c-4c04-75ce-bbb2-e3322e18816e</t>
        </is>
      </c>
      <c r="M940" t="inlineStr">
        <is>
          <t>UNKNOWN</t>
        </is>
      </c>
      <c r="N940" t="inlineStr">
        <is>
          <t>DEFAULT</t>
        </is>
      </c>
      <c r="Q940" t="n">
        <v>0</v>
      </c>
      <c r="R940" t="inlineStr">
        <is>
          <t>AUD</t>
        </is>
      </c>
      <c r="S940" t="n">
        <v>0</v>
      </c>
      <c r="T940" t="inlineStr">
        <is>
          <t>AUD</t>
        </is>
      </c>
      <c r="U940" t="n">
        <v>0</v>
      </c>
    </row>
    <row r="941">
      <c r="A941" s="5" t="inlineStr">
        <is>
          <t>01a1212c-5845-77eb-bd53-fe0ee0edecf1</t>
        </is>
      </c>
      <c r="C941" s="5" t="inlineStr">
        <is>
          <t>01a1212c-4b57-70cf-80fd-c2192cb3bf81</t>
        </is>
      </c>
      <c r="D941" s="4" t="n">
        <v>46304.62403636219</v>
      </c>
      <c r="E941" s="4" t="n">
        <v>46304.62403636227</v>
      </c>
      <c r="F941" t="b">
        <v>1</v>
      </c>
      <c r="G941" t="n">
        <v/>
      </c>
      <c r="H941" t="inlineStr">
        <is>
          <t>FSA</t>
        </is>
      </c>
      <c r="I941" t="inlineStr">
        <is>
          <t>FSA Group Ltd</t>
        </is>
      </c>
      <c r="J941" t="inlineStr">
        <is>
          <t>AUD</t>
        </is>
      </c>
      <c r="K941" s="5" t="inlineStr">
        <is>
          <t>01a1212c-4c04-75ce-bbb2-e3322e18816e</t>
        </is>
      </c>
      <c r="M941" t="inlineStr">
        <is>
          <t>UNKNOWN</t>
        </is>
      </c>
      <c r="N941" t="inlineStr">
        <is>
          <t>DEFAULT</t>
        </is>
      </c>
      <c r="Q941" t="n">
        <v>0</v>
      </c>
      <c r="R941" t="inlineStr">
        <is>
          <t>AUD</t>
        </is>
      </c>
      <c r="S941" t="n">
        <v>0</v>
      </c>
      <c r="T941" t="inlineStr">
        <is>
          <t>AUD</t>
        </is>
      </c>
      <c r="U941" t="n">
        <v>0</v>
      </c>
    </row>
    <row r="942">
      <c r="A942" s="5" t="inlineStr">
        <is>
          <t>01a1212c-5848-751d-b540-2b8253aa78fc</t>
        </is>
      </c>
      <c r="C942" s="5" t="inlineStr">
        <is>
          <t>01a1212c-4b57-70cf-80fd-c2192cb3bf81</t>
        </is>
      </c>
      <c r="D942" s="4" t="n">
        <v>46304.6240363933</v>
      </c>
      <c r="E942" s="4" t="n">
        <v>46304.62403639339</v>
      </c>
      <c r="F942" t="b">
        <v>1</v>
      </c>
      <c r="G942" t="n">
        <v/>
      </c>
      <c r="H942" t="inlineStr">
        <is>
          <t>EGG</t>
        </is>
      </c>
      <c r="I942" t="inlineStr">
        <is>
          <t>Enero Group Ltd</t>
        </is>
      </c>
      <c r="J942" t="inlineStr">
        <is>
          <t>AUD</t>
        </is>
      </c>
      <c r="K942" s="5" t="inlineStr">
        <is>
          <t>01a1212c-4c04-75ce-bbb2-e3322e18816e</t>
        </is>
      </c>
      <c r="M942" t="inlineStr">
        <is>
          <t>UNKNOWN</t>
        </is>
      </c>
      <c r="N942" t="inlineStr">
        <is>
          <t>DEFAULT</t>
        </is>
      </c>
      <c r="Q942" t="n">
        <v>0</v>
      </c>
      <c r="R942" t="inlineStr">
        <is>
          <t>AUD</t>
        </is>
      </c>
      <c r="S942" t="n">
        <v>0</v>
      </c>
      <c r="T942" t="inlineStr">
        <is>
          <t>AUD</t>
        </is>
      </c>
      <c r="U942" t="n">
        <v>0</v>
      </c>
    </row>
    <row r="943">
      <c r="A943" s="5" t="inlineStr">
        <is>
          <t>01a1212c-584b-7181-bcb8-02fdd6396b49</t>
        </is>
      </c>
      <c r="C943" s="5" t="inlineStr">
        <is>
          <t>01a1212c-4b57-70cf-80fd-c2192cb3bf81</t>
        </is>
      </c>
      <c r="D943" s="4" t="n">
        <v>46304.62403642722</v>
      </c>
      <c r="E943" s="4" t="n">
        <v>46304.62403642733</v>
      </c>
      <c r="F943" t="b">
        <v>1</v>
      </c>
      <c r="G943" t="n">
        <v/>
      </c>
      <c r="H943" t="inlineStr">
        <is>
          <t>ARA</t>
        </is>
      </c>
      <c r="I943" t="inlineStr">
        <is>
          <t>Ariadne Australia Ltd</t>
        </is>
      </c>
      <c r="J943" t="inlineStr">
        <is>
          <t>AUD</t>
        </is>
      </c>
      <c r="K943" s="5" t="inlineStr">
        <is>
          <t>01a1212c-4c04-75ce-bbb2-e3322e18816e</t>
        </is>
      </c>
      <c r="M943" t="inlineStr">
        <is>
          <t>UNKNOWN</t>
        </is>
      </c>
      <c r="N943" t="inlineStr">
        <is>
          <t>DEFAULT</t>
        </is>
      </c>
      <c r="Q943" t="n">
        <v>0</v>
      </c>
      <c r="R943" t="inlineStr">
        <is>
          <t>AUD</t>
        </is>
      </c>
      <c r="S943" t="n">
        <v>0</v>
      </c>
      <c r="T943" t="inlineStr">
        <is>
          <t>AUD</t>
        </is>
      </c>
      <c r="U943" t="n">
        <v>0</v>
      </c>
    </row>
    <row r="944">
      <c r="A944" s="5" t="inlineStr">
        <is>
          <t>01a1212c-584e-74e4-8e23-4aefa6e9bcf0</t>
        </is>
      </c>
      <c r="C944" s="5" t="inlineStr">
        <is>
          <t>01a1212c-4b57-70cf-80fd-c2192cb3bf81</t>
        </is>
      </c>
      <c r="D944" s="4" t="n">
        <v>46304.62403646328</v>
      </c>
      <c r="E944" s="4" t="n">
        <v>46304.62403646338</v>
      </c>
      <c r="F944" t="b">
        <v>1</v>
      </c>
      <c r="G944" t="n">
        <v/>
      </c>
      <c r="H944" t="inlineStr">
        <is>
          <t>PCG</t>
        </is>
      </c>
      <c r="I944" t="inlineStr">
        <is>
          <t>Pengana Capital Group Ltd</t>
        </is>
      </c>
      <c r="J944" t="inlineStr">
        <is>
          <t>AUD</t>
        </is>
      </c>
      <c r="K944" s="5" t="inlineStr">
        <is>
          <t>01a1212c-4c04-75ce-bbb2-e3322e18816e</t>
        </is>
      </c>
      <c r="M944" t="inlineStr">
        <is>
          <t>UNKNOWN</t>
        </is>
      </c>
      <c r="N944" t="inlineStr">
        <is>
          <t>DEFAULT</t>
        </is>
      </c>
      <c r="Q944" t="n">
        <v>0</v>
      </c>
      <c r="R944" t="inlineStr">
        <is>
          <t>AUD</t>
        </is>
      </c>
      <c r="S944" t="n">
        <v>0</v>
      </c>
      <c r="T944" t="inlineStr">
        <is>
          <t>AUD</t>
        </is>
      </c>
      <c r="U944" t="n">
        <v>0</v>
      </c>
    </row>
    <row r="945">
      <c r="A945" s="5" t="inlineStr">
        <is>
          <t>01a1212c-5851-7426-9f96-2c563820ea0a</t>
        </is>
      </c>
      <c r="C945" s="5" t="inlineStr">
        <is>
          <t>01a1212c-4b57-70cf-80fd-c2192cb3bf81</t>
        </is>
      </c>
      <c r="D945" s="4" t="n">
        <v>46304.62403649692</v>
      </c>
      <c r="E945" s="4" t="n">
        <v>46304.624036497</v>
      </c>
      <c r="F945" t="b">
        <v>1</v>
      </c>
      <c r="G945" t="n">
        <v/>
      </c>
      <c r="H945" t="inlineStr">
        <is>
          <t>ETM</t>
        </is>
      </c>
      <c r="I945" t="inlineStr">
        <is>
          <t>Energy Transition Minerals Ltd</t>
        </is>
      </c>
      <c r="J945" t="inlineStr">
        <is>
          <t>AUD</t>
        </is>
      </c>
      <c r="K945" s="5" t="inlineStr">
        <is>
          <t>01a1212c-4c04-75ce-bbb2-e3322e18816e</t>
        </is>
      </c>
      <c r="M945" t="inlineStr">
        <is>
          <t>UNKNOWN</t>
        </is>
      </c>
      <c r="N945" t="inlineStr">
        <is>
          <t>DEFAULT</t>
        </is>
      </c>
      <c r="Q945" t="n">
        <v>0</v>
      </c>
      <c r="R945" t="inlineStr">
        <is>
          <t>AUD</t>
        </is>
      </c>
      <c r="S945" t="n">
        <v>0</v>
      </c>
      <c r="T945" t="inlineStr">
        <is>
          <t>AUD</t>
        </is>
      </c>
      <c r="U945" t="n">
        <v>0</v>
      </c>
    </row>
    <row r="946">
      <c r="A946" s="5" t="inlineStr">
        <is>
          <t>01a1212c-5853-70c9-92e7-f632c9aea6c9</t>
        </is>
      </c>
      <c r="C946" s="5" t="inlineStr">
        <is>
          <t>01a1212c-4b57-70cf-80fd-c2192cb3bf81</t>
        </is>
      </c>
      <c r="D946" s="4" t="n">
        <v>46304.6240365283</v>
      </c>
      <c r="E946" s="4" t="n">
        <v>46304.62403652838</v>
      </c>
      <c r="F946" t="b">
        <v>1</v>
      </c>
      <c r="G946" t="n">
        <v/>
      </c>
      <c r="H946" t="inlineStr">
        <is>
          <t>ORN</t>
        </is>
      </c>
      <c r="I946" t="inlineStr">
        <is>
          <t>Orion Minerals Ltd</t>
        </is>
      </c>
      <c r="J946" t="inlineStr">
        <is>
          <t>AUD</t>
        </is>
      </c>
      <c r="K946" s="5" t="inlineStr">
        <is>
          <t>01a1212c-4c04-75ce-bbb2-e3322e18816e</t>
        </is>
      </c>
      <c r="M946" t="inlineStr">
        <is>
          <t>UNKNOWN</t>
        </is>
      </c>
      <c r="N946" t="inlineStr">
        <is>
          <t>DEFAULT</t>
        </is>
      </c>
      <c r="Q946" t="n">
        <v>0</v>
      </c>
      <c r="R946" t="inlineStr">
        <is>
          <t>AUD</t>
        </is>
      </c>
      <c r="S946" t="n">
        <v>0</v>
      </c>
      <c r="T946" t="inlineStr">
        <is>
          <t>AUD</t>
        </is>
      </c>
      <c r="U946" t="n">
        <v>0</v>
      </c>
    </row>
    <row r="947">
      <c r="A947" s="5" t="inlineStr">
        <is>
          <t>01a1212c-5856-76bb-8a92-5df4b4d54bf2</t>
        </is>
      </c>
      <c r="C947" s="5" t="inlineStr">
        <is>
          <t>01a1212c-4b57-70cf-80fd-c2192cb3bf81</t>
        </is>
      </c>
      <c r="D947" s="4" t="n">
        <v>46304.62403655936</v>
      </c>
      <c r="E947" s="4" t="n">
        <v>46304.62403655944</v>
      </c>
      <c r="F947" t="b">
        <v>1</v>
      </c>
      <c r="G947" t="n">
        <v/>
      </c>
      <c r="H947" t="inlineStr">
        <is>
          <t>SMLL</t>
        </is>
      </c>
      <c r="I947" t="inlineStr">
        <is>
          <t>Betashares Australian Small Companies Select ETF</t>
        </is>
      </c>
      <c r="J947" t="inlineStr">
        <is>
          <t>AUD</t>
        </is>
      </c>
      <c r="K947" s="5" t="inlineStr">
        <is>
          <t>01a1212c-4c04-75ce-bbb2-e3322e18816e</t>
        </is>
      </c>
      <c r="M947" t="inlineStr">
        <is>
          <t>UNKNOWN</t>
        </is>
      </c>
      <c r="N947" t="inlineStr">
        <is>
          <t>DEFAULT</t>
        </is>
      </c>
      <c r="Q947" t="n">
        <v>0</v>
      </c>
      <c r="R947" t="inlineStr">
        <is>
          <t>AUD</t>
        </is>
      </c>
      <c r="S947" t="n">
        <v>0</v>
      </c>
      <c r="T947" t="inlineStr">
        <is>
          <t>AUD</t>
        </is>
      </c>
      <c r="U947" t="n">
        <v>0</v>
      </c>
    </row>
    <row r="948">
      <c r="A948" s="5" t="inlineStr">
        <is>
          <t>01a1212c-5859-7178-8eba-52f15876b98f</t>
        </is>
      </c>
      <c r="C948" s="5" t="inlineStr">
        <is>
          <t>01a1212c-4b57-70cf-80fd-c2192cb3bf81</t>
        </is>
      </c>
      <c r="D948" s="4" t="n">
        <v>46304.62403659266</v>
      </c>
      <c r="E948" s="4" t="n">
        <v>46304.62403659274</v>
      </c>
      <c r="F948" t="b">
        <v>1</v>
      </c>
      <c r="G948" t="n">
        <v/>
      </c>
      <c r="H948" t="inlineStr">
        <is>
          <t>DRX</t>
        </is>
      </c>
      <c r="I948" t="inlineStr">
        <is>
          <t>Diatreme Resources Ltd</t>
        </is>
      </c>
      <c r="J948" t="inlineStr">
        <is>
          <t>AUD</t>
        </is>
      </c>
      <c r="K948" s="5" t="inlineStr">
        <is>
          <t>01a1212c-4c04-75ce-bbb2-e3322e18816e</t>
        </is>
      </c>
      <c r="M948" t="inlineStr">
        <is>
          <t>UNKNOWN</t>
        </is>
      </c>
      <c r="N948" t="inlineStr">
        <is>
          <t>DEFAULT</t>
        </is>
      </c>
      <c r="Q948" t="n">
        <v>0</v>
      </c>
      <c r="R948" t="inlineStr">
        <is>
          <t>AUD</t>
        </is>
      </c>
      <c r="S948" t="n">
        <v>0</v>
      </c>
      <c r="T948" t="inlineStr">
        <is>
          <t>AUD</t>
        </is>
      </c>
      <c r="U948" t="n">
        <v>0</v>
      </c>
    </row>
    <row r="949">
      <c r="A949" s="5" t="inlineStr">
        <is>
          <t>01a1212c-585c-76aa-b4d1-a202298be995</t>
        </is>
      </c>
      <c r="C949" s="5" t="inlineStr">
        <is>
          <t>01a1212c-4b57-70cf-80fd-c2192cb3bf81</t>
        </is>
      </c>
      <c r="D949" s="4" t="n">
        <v>46304.62403662394</v>
      </c>
      <c r="E949" s="4" t="n">
        <v>46304.62403662402</v>
      </c>
      <c r="F949" t="b">
        <v>1</v>
      </c>
      <c r="G949" t="n">
        <v/>
      </c>
      <c r="H949" t="inlineStr">
        <is>
          <t>EXP</t>
        </is>
      </c>
      <c r="I949" t="inlineStr">
        <is>
          <t>Experience Co Ltd</t>
        </is>
      </c>
      <c r="J949" t="inlineStr">
        <is>
          <t>AUD</t>
        </is>
      </c>
      <c r="K949" s="5" t="inlineStr">
        <is>
          <t>01a1212c-4c04-75ce-bbb2-e3322e18816e</t>
        </is>
      </c>
      <c r="M949" t="inlineStr">
        <is>
          <t>UNKNOWN</t>
        </is>
      </c>
      <c r="N949" t="inlineStr">
        <is>
          <t>DEFAULT</t>
        </is>
      </c>
      <c r="Q949" t="n">
        <v>0</v>
      </c>
      <c r="R949" t="inlineStr">
        <is>
          <t>AUD</t>
        </is>
      </c>
      <c r="S949" t="n">
        <v>0</v>
      </c>
      <c r="T949" t="inlineStr">
        <is>
          <t>AUD</t>
        </is>
      </c>
      <c r="U949" t="n">
        <v>0</v>
      </c>
    </row>
    <row r="950">
      <c r="A950" s="5" t="inlineStr">
        <is>
          <t>01a1212c-585f-7119-883c-c7a162eff902</t>
        </is>
      </c>
      <c r="C950" s="5" t="inlineStr">
        <is>
          <t>01a1212c-4b57-70cf-80fd-c2192cb3bf81</t>
        </is>
      </c>
      <c r="D950" s="4" t="n">
        <v>46304.62403666136</v>
      </c>
      <c r="E950" s="4" t="n">
        <v>46304.62403666146</v>
      </c>
      <c r="F950" t="b">
        <v>1</v>
      </c>
      <c r="G950" t="n">
        <v/>
      </c>
      <c r="H950" t="inlineStr">
        <is>
          <t>ERTH</t>
        </is>
      </c>
      <c r="I950" t="inlineStr">
        <is>
          <t>Betashares Climate Change Innovation ETF</t>
        </is>
      </c>
      <c r="J950" t="inlineStr">
        <is>
          <t>AUD</t>
        </is>
      </c>
      <c r="K950" s="5" t="inlineStr">
        <is>
          <t>01a1212c-4c04-75ce-bbb2-e3322e18816e</t>
        </is>
      </c>
      <c r="M950" t="inlineStr">
        <is>
          <t>UNKNOWN</t>
        </is>
      </c>
      <c r="N950" t="inlineStr">
        <is>
          <t>DEFAULT</t>
        </is>
      </c>
      <c r="Q950" t="n">
        <v>0</v>
      </c>
      <c r="R950" t="inlineStr">
        <is>
          <t>AUD</t>
        </is>
      </c>
      <c r="S950" t="n">
        <v>0</v>
      </c>
      <c r="T950" t="inlineStr">
        <is>
          <t>AUD</t>
        </is>
      </c>
      <c r="U950" t="n">
        <v>0</v>
      </c>
    </row>
    <row r="951">
      <c r="A951" s="5" t="inlineStr">
        <is>
          <t>01a1212c-5862-772c-a35a-88107f65d089</t>
        </is>
      </c>
      <c r="C951" s="5" t="inlineStr">
        <is>
          <t>01a1212c-4b57-70cf-80fd-c2192cb3bf81</t>
        </is>
      </c>
      <c r="D951" s="4" t="n">
        <v>46304.62403670049</v>
      </c>
      <c r="E951" s="4" t="n">
        <v>46304.62403670057</v>
      </c>
      <c r="F951" t="b">
        <v>1</v>
      </c>
      <c r="G951" t="n">
        <v/>
      </c>
      <c r="H951" t="inlineStr">
        <is>
          <t>HZR</t>
        </is>
      </c>
      <c r="I951" t="inlineStr">
        <is>
          <t>HAZER Group Ltd</t>
        </is>
      </c>
      <c r="J951" t="inlineStr">
        <is>
          <t>AUD</t>
        </is>
      </c>
      <c r="K951" s="5" t="inlineStr">
        <is>
          <t>01a1212c-4c04-75ce-bbb2-e3322e18816e</t>
        </is>
      </c>
      <c r="M951" t="inlineStr">
        <is>
          <t>UNKNOWN</t>
        </is>
      </c>
      <c r="N951" t="inlineStr">
        <is>
          <t>DEFAULT</t>
        </is>
      </c>
      <c r="Q951" t="n">
        <v>0</v>
      </c>
      <c r="R951" t="inlineStr">
        <is>
          <t>AUD</t>
        </is>
      </c>
      <c r="S951" t="n">
        <v>0</v>
      </c>
      <c r="T951" t="inlineStr">
        <is>
          <t>AUD</t>
        </is>
      </c>
      <c r="U951" t="n">
        <v>0</v>
      </c>
    </row>
    <row r="952">
      <c r="A952" s="5" t="inlineStr">
        <is>
          <t>01a1212c-5865-73f7-bb4a-0160e769c598</t>
        </is>
      </c>
      <c r="C952" s="5" t="inlineStr">
        <is>
          <t>01a1212c-4b57-70cf-80fd-c2192cb3bf81</t>
        </is>
      </c>
      <c r="D952" s="4" t="n">
        <v>46304.6240367336</v>
      </c>
      <c r="E952" s="4" t="n">
        <v>46304.62403673368</v>
      </c>
      <c r="F952" t="b">
        <v>1</v>
      </c>
      <c r="G952" t="n">
        <v/>
      </c>
      <c r="H952" t="inlineStr">
        <is>
          <t>XASG</t>
        </is>
      </c>
      <c r="I952" t="inlineStr">
        <is>
          <t>Alphinity Global Sustainable Equity Fund - Active ETF</t>
        </is>
      </c>
      <c r="J952" t="inlineStr">
        <is>
          <t>AUD</t>
        </is>
      </c>
      <c r="K952" s="5" t="inlineStr">
        <is>
          <t>01a1212c-4c04-75ce-bbb2-e3322e18816e</t>
        </is>
      </c>
      <c r="M952" t="inlineStr">
        <is>
          <t>UNKNOWN</t>
        </is>
      </c>
      <c r="N952" t="inlineStr">
        <is>
          <t>DEFAULT</t>
        </is>
      </c>
      <c r="Q952" t="n">
        <v>0</v>
      </c>
      <c r="R952" t="inlineStr">
        <is>
          <t>AUD</t>
        </is>
      </c>
      <c r="S952" t="n">
        <v>0</v>
      </c>
      <c r="T952" t="inlineStr">
        <is>
          <t>AUD</t>
        </is>
      </c>
      <c r="U952" t="n">
        <v>0</v>
      </c>
    </row>
    <row r="953">
      <c r="A953" s="5" t="inlineStr">
        <is>
          <t>01a1212c-5868-773c-94de-d47e3eace7b4</t>
        </is>
      </c>
      <c r="C953" s="5" t="inlineStr">
        <is>
          <t>01a1212c-4b57-70cf-80fd-c2192cb3bf81</t>
        </is>
      </c>
      <c r="D953" s="4" t="n">
        <v>46304.62403676463</v>
      </c>
      <c r="E953" s="4" t="n">
        <v>46304.62403676471</v>
      </c>
      <c r="F953" t="b">
        <v>1</v>
      </c>
      <c r="G953" t="n">
        <v/>
      </c>
      <c r="H953" t="inlineStr">
        <is>
          <t>QFN</t>
        </is>
      </c>
      <c r="I953" t="inlineStr">
        <is>
          <t>Betashares Australian Financials Sector ETF</t>
        </is>
      </c>
      <c r="J953" t="inlineStr">
        <is>
          <t>AUD</t>
        </is>
      </c>
      <c r="K953" s="5" t="inlineStr">
        <is>
          <t>01a1212c-4c04-75ce-bbb2-e3322e18816e</t>
        </is>
      </c>
      <c r="M953" t="inlineStr">
        <is>
          <t>UNKNOWN</t>
        </is>
      </c>
      <c r="N953" t="inlineStr">
        <is>
          <t>DEFAULT</t>
        </is>
      </c>
      <c r="Q953" t="n">
        <v>0</v>
      </c>
      <c r="R953" t="inlineStr">
        <is>
          <t>AUD</t>
        </is>
      </c>
      <c r="S953" t="n">
        <v>0</v>
      </c>
      <c r="T953" t="inlineStr">
        <is>
          <t>AUD</t>
        </is>
      </c>
      <c r="U953" t="n">
        <v>0</v>
      </c>
    </row>
    <row r="954">
      <c r="A954" s="5" t="inlineStr">
        <is>
          <t>01a1212c-586a-7031-891c-4ed6cfa7adc6</t>
        </is>
      </c>
      <c r="C954" s="5" t="inlineStr">
        <is>
          <t>01a1212c-4b57-70cf-80fd-c2192cb3bf81</t>
        </is>
      </c>
      <c r="D954" s="4" t="n">
        <v>46304.62403679495</v>
      </c>
      <c r="E954" s="4" t="n">
        <v>46304.62403679504</v>
      </c>
      <c r="F954" t="b">
        <v>1</v>
      </c>
      <c r="G954" t="n">
        <v/>
      </c>
      <c r="H954" t="inlineStr">
        <is>
          <t>LTP</t>
        </is>
      </c>
      <c r="I954" t="inlineStr">
        <is>
          <t>LTR Pharma Ltd</t>
        </is>
      </c>
      <c r="J954" t="inlineStr">
        <is>
          <t>AUD</t>
        </is>
      </c>
      <c r="K954" s="5" t="inlineStr">
        <is>
          <t>01a1212c-4c04-75ce-bbb2-e3322e18816e</t>
        </is>
      </c>
      <c r="M954" t="inlineStr">
        <is>
          <t>UNKNOWN</t>
        </is>
      </c>
      <c r="N954" t="inlineStr">
        <is>
          <t>DEFAULT</t>
        </is>
      </c>
      <c r="Q954" t="n">
        <v>0</v>
      </c>
      <c r="R954" t="inlineStr">
        <is>
          <t>AUD</t>
        </is>
      </c>
      <c r="S954" t="n">
        <v>0</v>
      </c>
      <c r="T954" t="inlineStr">
        <is>
          <t>AUD</t>
        </is>
      </c>
      <c r="U954" t="n">
        <v>0</v>
      </c>
    </row>
    <row r="955">
      <c r="A955" s="5" t="inlineStr">
        <is>
          <t>01a1212c-586d-70b7-a366-a2a735859521</t>
        </is>
      </c>
      <c r="C955" s="5" t="inlineStr">
        <is>
          <t>01a1212c-4b57-70cf-80fd-c2192cb3bf81</t>
        </is>
      </c>
      <c r="D955" s="4" t="n">
        <v>46304.62403682559</v>
      </c>
      <c r="E955" s="4" t="n">
        <v>46304.62403682567</v>
      </c>
      <c r="F955" t="b">
        <v>1</v>
      </c>
      <c r="G955" t="n">
        <v/>
      </c>
      <c r="H955" t="inlineStr">
        <is>
          <t>PTN</t>
        </is>
      </c>
      <c r="I955" t="inlineStr">
        <is>
          <t>Patronus Resources Ltd</t>
        </is>
      </c>
      <c r="J955" t="inlineStr">
        <is>
          <t>AUD</t>
        </is>
      </c>
      <c r="K955" s="5" t="inlineStr">
        <is>
          <t>01a1212c-4c04-75ce-bbb2-e3322e18816e</t>
        </is>
      </c>
      <c r="M955" t="inlineStr">
        <is>
          <t>UNKNOWN</t>
        </is>
      </c>
      <c r="N955" t="inlineStr">
        <is>
          <t>DEFAULT</t>
        </is>
      </c>
      <c r="Q955" t="n">
        <v>0</v>
      </c>
      <c r="R955" t="inlineStr">
        <is>
          <t>AUD</t>
        </is>
      </c>
      <c r="S955" t="n">
        <v>0</v>
      </c>
      <c r="T955" t="inlineStr">
        <is>
          <t>AUD</t>
        </is>
      </c>
      <c r="U955" t="n">
        <v>0</v>
      </c>
    </row>
    <row r="956">
      <c r="A956" s="5" t="inlineStr">
        <is>
          <t>01a1212c-5871-72d7-93fc-8c717c3ce3b4</t>
        </is>
      </c>
      <c r="C956" s="5" t="inlineStr">
        <is>
          <t>01a1212c-4b57-70cf-80fd-c2192cb3bf81</t>
        </is>
      </c>
      <c r="D956" s="4" t="n">
        <v>46304.62403686669</v>
      </c>
      <c r="E956" s="4" t="n">
        <v>46304.62403686679</v>
      </c>
      <c r="F956" t="b">
        <v>1</v>
      </c>
      <c r="G956" t="n">
        <v/>
      </c>
      <c r="H956" t="inlineStr">
        <is>
          <t>PPE</t>
        </is>
      </c>
      <c r="I956" t="inlineStr">
        <is>
          <t>Peoplein Ltd</t>
        </is>
      </c>
      <c r="J956" t="inlineStr">
        <is>
          <t>AUD</t>
        </is>
      </c>
      <c r="K956" s="5" t="inlineStr">
        <is>
          <t>01a1212c-4c04-75ce-bbb2-e3322e18816e</t>
        </is>
      </c>
      <c r="M956" t="inlineStr">
        <is>
          <t>UNKNOWN</t>
        </is>
      </c>
      <c r="N956" t="inlineStr">
        <is>
          <t>DEFAULT</t>
        </is>
      </c>
      <c r="Q956" t="n">
        <v>0</v>
      </c>
      <c r="R956" t="inlineStr">
        <is>
          <t>AUD</t>
        </is>
      </c>
      <c r="S956" t="n">
        <v>0</v>
      </c>
      <c r="T956" t="inlineStr">
        <is>
          <t>AUD</t>
        </is>
      </c>
      <c r="U956" t="n">
        <v>0</v>
      </c>
    </row>
    <row r="957">
      <c r="A957" s="5" t="inlineStr">
        <is>
          <t>01a1212c-5874-70a2-bcb6-68d34cd550d0</t>
        </is>
      </c>
      <c r="C957" s="5" t="inlineStr">
        <is>
          <t>01a1212c-4b57-70cf-80fd-c2192cb3bf81</t>
        </is>
      </c>
      <c r="D957" s="4" t="n">
        <v>46304.62403690117</v>
      </c>
      <c r="E957" s="4" t="n">
        <v>46304.62403690125</v>
      </c>
      <c r="F957" t="b">
        <v>1</v>
      </c>
      <c r="G957" t="n">
        <v/>
      </c>
      <c r="H957" t="inlineStr">
        <is>
          <t>ECL</t>
        </is>
      </c>
      <c r="I957" t="inlineStr">
        <is>
          <t>Excelsior Capital Ltd</t>
        </is>
      </c>
      <c r="J957" t="inlineStr">
        <is>
          <t>AUD</t>
        </is>
      </c>
      <c r="K957" s="5" t="inlineStr">
        <is>
          <t>01a1212c-4c04-75ce-bbb2-e3322e18816e</t>
        </is>
      </c>
      <c r="M957" t="inlineStr">
        <is>
          <t>UNKNOWN</t>
        </is>
      </c>
      <c r="N957" t="inlineStr">
        <is>
          <t>DEFAULT</t>
        </is>
      </c>
      <c r="Q957" t="n">
        <v>0</v>
      </c>
      <c r="R957" t="inlineStr">
        <is>
          <t>AUD</t>
        </is>
      </c>
      <c r="S957" t="n">
        <v>0</v>
      </c>
      <c r="T957" t="inlineStr">
        <is>
          <t>AUD</t>
        </is>
      </c>
      <c r="U957" t="n">
        <v>0</v>
      </c>
    </row>
    <row r="958">
      <c r="A958" s="5" t="inlineStr">
        <is>
          <t>01a1212c-5876-7155-b755-5de76aaa0554</t>
        </is>
      </c>
      <c r="C958" s="5" t="inlineStr">
        <is>
          <t>01a1212c-4b57-70cf-80fd-c2192cb3bf81</t>
        </is>
      </c>
      <c r="D958" s="4" t="n">
        <v>46304.62403693209</v>
      </c>
      <c r="E958" s="4" t="n">
        <v>46304.62403693217</v>
      </c>
      <c r="F958" t="b">
        <v>1</v>
      </c>
      <c r="G958" t="n">
        <v/>
      </c>
      <c r="H958" t="inlineStr">
        <is>
          <t>HQLT</t>
        </is>
      </c>
      <c r="I958" t="inlineStr">
        <is>
          <t>Betashares Global Quality Leaders Currency Hedged ETF</t>
        </is>
      </c>
      <c r="J958" t="inlineStr">
        <is>
          <t>AUD</t>
        </is>
      </c>
      <c r="K958" s="5" t="inlineStr">
        <is>
          <t>01a1212c-4c04-75ce-bbb2-e3322e18816e</t>
        </is>
      </c>
      <c r="M958" t="inlineStr">
        <is>
          <t>UNKNOWN</t>
        </is>
      </c>
      <c r="N958" t="inlineStr">
        <is>
          <t>DEFAULT</t>
        </is>
      </c>
      <c r="Q958" t="n">
        <v>0</v>
      </c>
      <c r="R958" t="inlineStr">
        <is>
          <t>AUD</t>
        </is>
      </c>
      <c r="S958" t="n">
        <v>0</v>
      </c>
      <c r="T958" t="inlineStr">
        <is>
          <t>AUD</t>
        </is>
      </c>
      <c r="U958" t="n">
        <v>0</v>
      </c>
    </row>
    <row r="959">
      <c r="A959" s="5" t="inlineStr">
        <is>
          <t>01a1212c-5879-7420-ab10-d8f2d60ea5ab</t>
        </is>
      </c>
      <c r="C959" s="5" t="inlineStr">
        <is>
          <t>01a1212c-4b57-70cf-80fd-c2192cb3bf81</t>
        </is>
      </c>
      <c r="D959" s="4" t="n">
        <v>46304.62403696265</v>
      </c>
      <c r="E959" s="4" t="n">
        <v>46304.62403696273</v>
      </c>
      <c r="F959" t="b">
        <v>1</v>
      </c>
      <c r="G959" t="n">
        <v/>
      </c>
      <c r="H959" t="inlineStr">
        <is>
          <t>SDV</t>
        </is>
      </c>
      <c r="I959" t="inlineStr">
        <is>
          <t>Scidev Ltd</t>
        </is>
      </c>
      <c r="J959" t="inlineStr">
        <is>
          <t>AUD</t>
        </is>
      </c>
      <c r="K959" s="5" t="inlineStr">
        <is>
          <t>01a1212c-4c04-75ce-bbb2-e3322e18816e</t>
        </is>
      </c>
      <c r="M959" t="inlineStr">
        <is>
          <t>UNKNOWN</t>
        </is>
      </c>
      <c r="N959" t="inlineStr">
        <is>
          <t>DEFAULT</t>
        </is>
      </c>
      <c r="Q959" t="n">
        <v>0</v>
      </c>
      <c r="R959" t="inlineStr">
        <is>
          <t>AUD</t>
        </is>
      </c>
      <c r="S959" t="n">
        <v>0</v>
      </c>
      <c r="T959" t="inlineStr">
        <is>
          <t>AUD</t>
        </is>
      </c>
      <c r="U959" t="n">
        <v>0</v>
      </c>
    </row>
    <row r="960">
      <c r="A960" s="5" t="inlineStr">
        <is>
          <t>01a1212c-587c-748a-b791-19b3360f24f0</t>
        </is>
      </c>
      <c r="C960" s="5" t="inlineStr">
        <is>
          <t>01a1212c-4b57-70cf-80fd-c2192cb3bf81</t>
        </is>
      </c>
      <c r="D960" s="4" t="n">
        <v>46304.62403699342</v>
      </c>
      <c r="E960" s="4" t="n">
        <v>46304.6240369935</v>
      </c>
      <c r="F960" t="b">
        <v>1</v>
      </c>
      <c r="G960" t="n">
        <v/>
      </c>
      <c r="H960" t="inlineStr">
        <is>
          <t>BBL</t>
        </is>
      </c>
      <c r="I960" t="inlineStr">
        <is>
          <t>Brisbane Broncos Ltd</t>
        </is>
      </c>
      <c r="J960" t="inlineStr">
        <is>
          <t>AUD</t>
        </is>
      </c>
      <c r="K960" s="5" t="inlineStr">
        <is>
          <t>01a1212c-4c04-75ce-bbb2-e3322e18816e</t>
        </is>
      </c>
      <c r="M960" t="inlineStr">
        <is>
          <t>UNKNOWN</t>
        </is>
      </c>
      <c r="N960" t="inlineStr">
        <is>
          <t>DEFAULT</t>
        </is>
      </c>
      <c r="Q960" t="n">
        <v>0</v>
      </c>
      <c r="R960" t="inlineStr">
        <is>
          <t>AUD</t>
        </is>
      </c>
      <c r="S960" t="n">
        <v>0</v>
      </c>
      <c r="T960" t="inlineStr">
        <is>
          <t>AUD</t>
        </is>
      </c>
      <c r="U960" t="n">
        <v>0</v>
      </c>
    </row>
    <row r="961">
      <c r="A961" s="5" t="inlineStr">
        <is>
          <t>01a1212c-587f-762f-9736-47d0696abdd2</t>
        </is>
      </c>
      <c r="C961" s="5" t="inlineStr">
        <is>
          <t>01a1212c-4b57-70cf-80fd-c2192cb3bf81</t>
        </is>
      </c>
      <c r="D961" s="4" t="n">
        <v>46304.62403702693</v>
      </c>
      <c r="E961" s="4" t="n">
        <v>46304.62403702702</v>
      </c>
      <c r="F961" t="b">
        <v>1</v>
      </c>
      <c r="G961" t="n">
        <v/>
      </c>
      <c r="H961" t="inlineStr">
        <is>
          <t>ATC</t>
        </is>
      </c>
      <c r="I961" t="inlineStr">
        <is>
          <t>Altech Batteries Ltd</t>
        </is>
      </c>
      <c r="J961" t="inlineStr">
        <is>
          <t>AUD</t>
        </is>
      </c>
      <c r="K961" s="5" t="inlineStr">
        <is>
          <t>01a1212c-4c04-75ce-bbb2-e3322e18816e</t>
        </is>
      </c>
      <c r="M961" t="inlineStr">
        <is>
          <t>UNKNOWN</t>
        </is>
      </c>
      <c r="N961" t="inlineStr">
        <is>
          <t>DEFAULT</t>
        </is>
      </c>
      <c r="Q961" t="n">
        <v>0</v>
      </c>
      <c r="R961" t="inlineStr">
        <is>
          <t>AUD</t>
        </is>
      </c>
      <c r="S961" t="n">
        <v>0</v>
      </c>
      <c r="T961" t="inlineStr">
        <is>
          <t>AUD</t>
        </is>
      </c>
      <c r="U961" t="n">
        <v>0</v>
      </c>
    </row>
    <row r="962">
      <c r="A962" s="5" t="inlineStr">
        <is>
          <t>01a1212c-5882-7299-b684-aedc5ad0a803</t>
        </is>
      </c>
      <c r="C962" s="5" t="inlineStr">
        <is>
          <t>01a1212c-4b57-70cf-80fd-c2192cb3bf81</t>
        </is>
      </c>
      <c r="D962" s="4" t="n">
        <v>46304.62403706221</v>
      </c>
      <c r="E962" s="4" t="n">
        <v>46304.62403706231</v>
      </c>
      <c r="F962" t="b">
        <v>1</v>
      </c>
      <c r="G962" t="n">
        <v/>
      </c>
      <c r="H962" t="inlineStr">
        <is>
          <t>IOD</t>
        </is>
      </c>
      <c r="I962" t="inlineStr">
        <is>
          <t>Iodm Ltd</t>
        </is>
      </c>
      <c r="J962" t="inlineStr">
        <is>
          <t>AUD</t>
        </is>
      </c>
      <c r="K962" s="5" t="inlineStr">
        <is>
          <t>01a1212c-4c04-75ce-bbb2-e3322e18816e</t>
        </is>
      </c>
      <c r="M962" t="inlineStr">
        <is>
          <t>UNKNOWN</t>
        </is>
      </c>
      <c r="N962" t="inlineStr">
        <is>
          <t>DEFAULT</t>
        </is>
      </c>
      <c r="Q962" t="n">
        <v>0</v>
      </c>
      <c r="R962" t="inlineStr">
        <is>
          <t>AUD</t>
        </is>
      </c>
      <c r="S962" t="n">
        <v>0</v>
      </c>
      <c r="T962" t="inlineStr">
        <is>
          <t>AUD</t>
        </is>
      </c>
      <c r="U962" t="n">
        <v>0</v>
      </c>
    </row>
    <row r="963">
      <c r="A963" s="5" t="inlineStr">
        <is>
          <t>01a1212c-5884-72a8-b1c1-31682e9f0d70</t>
        </is>
      </c>
      <c r="C963" s="5" t="inlineStr">
        <is>
          <t>01a1212c-4b57-70cf-80fd-c2192cb3bf81</t>
        </is>
      </c>
      <c r="D963" s="4" t="n">
        <v>46304.62403709362</v>
      </c>
      <c r="E963" s="4" t="n">
        <v>46304.6240370937</v>
      </c>
      <c r="F963" t="b">
        <v>1</v>
      </c>
      <c r="G963" t="n">
        <v/>
      </c>
      <c r="H963" t="inlineStr">
        <is>
          <t>MAY</t>
        </is>
      </c>
      <c r="I963" t="inlineStr">
        <is>
          <t>Melbana Energy Ltd</t>
        </is>
      </c>
      <c r="J963" t="inlineStr">
        <is>
          <t>AUD</t>
        </is>
      </c>
      <c r="K963" s="5" t="inlineStr">
        <is>
          <t>01a1212c-4c04-75ce-bbb2-e3322e18816e</t>
        </is>
      </c>
      <c r="M963" t="inlineStr">
        <is>
          <t>UNKNOWN</t>
        </is>
      </c>
      <c r="N963" t="inlineStr">
        <is>
          <t>DEFAULT</t>
        </is>
      </c>
      <c r="Q963" t="n">
        <v>0</v>
      </c>
      <c r="R963" t="inlineStr">
        <is>
          <t>AUD</t>
        </is>
      </c>
      <c r="S963" t="n">
        <v>0</v>
      </c>
      <c r="T963" t="inlineStr">
        <is>
          <t>AUD</t>
        </is>
      </c>
      <c r="U963" t="n">
        <v>0</v>
      </c>
    </row>
    <row r="964">
      <c r="A964" s="5" t="inlineStr">
        <is>
          <t>01a1212c-5887-74c0-90c6-b1778ae0e53a</t>
        </is>
      </c>
      <c r="C964" s="5" t="inlineStr">
        <is>
          <t>01a1212c-4b57-70cf-80fd-c2192cb3bf81</t>
        </is>
      </c>
      <c r="D964" s="4" t="n">
        <v>46304.62403712602</v>
      </c>
      <c r="E964" s="4" t="n">
        <v>46304.62403712611</v>
      </c>
      <c r="F964" t="b">
        <v>1</v>
      </c>
      <c r="G964" t="n">
        <v/>
      </c>
      <c r="H964" t="inlineStr">
        <is>
          <t>PNC</t>
        </is>
      </c>
      <c r="I964" t="inlineStr">
        <is>
          <t>Pioneer Credit Ltd</t>
        </is>
      </c>
      <c r="J964" t="inlineStr">
        <is>
          <t>AUD</t>
        </is>
      </c>
      <c r="K964" s="5" t="inlineStr">
        <is>
          <t>01a1212c-4c04-75ce-bbb2-e3322e18816e</t>
        </is>
      </c>
      <c r="M964" t="inlineStr">
        <is>
          <t>UNKNOWN</t>
        </is>
      </c>
      <c r="N964" t="inlineStr">
        <is>
          <t>DEFAULT</t>
        </is>
      </c>
      <c r="Q964" t="n">
        <v>0</v>
      </c>
      <c r="R964" t="inlineStr">
        <is>
          <t>AUD</t>
        </is>
      </c>
      <c r="S964" t="n">
        <v>0</v>
      </c>
      <c r="T964" t="inlineStr">
        <is>
          <t>AUD</t>
        </is>
      </c>
      <c r="U964" t="n">
        <v>0</v>
      </c>
    </row>
    <row r="965">
      <c r="A965" s="5" t="inlineStr">
        <is>
          <t>01a1212c-588a-717d-aefa-d9d7157383d7</t>
        </is>
      </c>
      <c r="C965" s="5" t="inlineStr">
        <is>
          <t>01a1212c-4b57-70cf-80fd-c2192cb3bf81</t>
        </is>
      </c>
      <c r="D965" s="4" t="n">
        <v>46304.62403715804</v>
      </c>
      <c r="E965" s="4" t="n">
        <v>46304.62403715812</v>
      </c>
      <c r="F965" t="b">
        <v>1</v>
      </c>
      <c r="G965" t="n">
        <v/>
      </c>
      <c r="H965" t="inlineStr">
        <is>
          <t>NNWH</t>
        </is>
      </c>
      <c r="I965" t="inlineStr">
        <is>
          <t>Nanuk New World Fund (Currency Hedged) Active ETF</t>
        </is>
      </c>
      <c r="J965" t="inlineStr">
        <is>
          <t>AUD</t>
        </is>
      </c>
      <c r="K965" s="5" t="inlineStr">
        <is>
          <t>01a1212c-4c04-75ce-bbb2-e3322e18816e</t>
        </is>
      </c>
      <c r="M965" t="inlineStr">
        <is>
          <t>UNKNOWN</t>
        </is>
      </c>
      <c r="N965" t="inlineStr">
        <is>
          <t>DEFAULT</t>
        </is>
      </c>
      <c r="Q965" t="n">
        <v>0</v>
      </c>
      <c r="R965" t="inlineStr">
        <is>
          <t>AUD</t>
        </is>
      </c>
      <c r="S965" t="n">
        <v>0</v>
      </c>
      <c r="T965" t="inlineStr">
        <is>
          <t>AUD</t>
        </is>
      </c>
      <c r="U965" t="n">
        <v>0</v>
      </c>
    </row>
    <row r="966">
      <c r="A966" s="5" t="inlineStr">
        <is>
          <t>01a1212c-588d-73cb-ae1d-afd6f64f2d8f</t>
        </is>
      </c>
      <c r="C966" s="5" t="inlineStr">
        <is>
          <t>01a1212c-4b57-70cf-80fd-c2192cb3bf81</t>
        </is>
      </c>
      <c r="D966" s="4" t="n">
        <v>46304.62403719153</v>
      </c>
      <c r="E966" s="4" t="n">
        <v>46304.6240371916</v>
      </c>
      <c r="F966" t="b">
        <v>1</v>
      </c>
      <c r="G966" t="n">
        <v/>
      </c>
      <c r="H966" t="inlineStr">
        <is>
          <t>ALC</t>
        </is>
      </c>
      <c r="I966" t="inlineStr">
        <is>
          <t>Alcidion Group Ltd</t>
        </is>
      </c>
      <c r="J966" t="inlineStr">
        <is>
          <t>AUD</t>
        </is>
      </c>
      <c r="K966" s="5" t="inlineStr">
        <is>
          <t>01a1212c-4c04-75ce-bbb2-e3322e18816e</t>
        </is>
      </c>
      <c r="M966" t="inlineStr">
        <is>
          <t>UNKNOWN</t>
        </is>
      </c>
      <c r="N966" t="inlineStr">
        <is>
          <t>DEFAULT</t>
        </is>
      </c>
      <c r="Q966" t="n">
        <v>0</v>
      </c>
      <c r="R966" t="inlineStr">
        <is>
          <t>AUD</t>
        </is>
      </c>
      <c r="S966" t="n">
        <v>0</v>
      </c>
      <c r="T966" t="inlineStr">
        <is>
          <t>AUD</t>
        </is>
      </c>
      <c r="U966" t="n">
        <v>0</v>
      </c>
    </row>
    <row r="967">
      <c r="A967" s="5" t="inlineStr">
        <is>
          <t>01a1212c-5890-7358-94fc-e8ed87ee35a5</t>
        </is>
      </c>
      <c r="C967" s="5" t="inlineStr">
        <is>
          <t>01a1212c-4b57-70cf-80fd-c2192cb3bf81</t>
        </is>
      </c>
      <c r="D967" s="4" t="n">
        <v>46304.62403722515</v>
      </c>
      <c r="E967" s="4" t="n">
        <v>46304.62403722523</v>
      </c>
      <c r="F967" t="b">
        <v>1</v>
      </c>
      <c r="G967" t="n">
        <v/>
      </c>
      <c r="H967" t="inlineStr">
        <is>
          <t>XAM</t>
        </is>
      </c>
      <c r="I967" t="inlineStr">
        <is>
          <t>Xanadu Mines Ltd</t>
        </is>
      </c>
      <c r="J967" t="inlineStr">
        <is>
          <t>AUD</t>
        </is>
      </c>
      <c r="K967" s="5" t="inlineStr">
        <is>
          <t>01a1212c-4c04-75ce-bbb2-e3322e18816e</t>
        </is>
      </c>
      <c r="M967" t="inlineStr">
        <is>
          <t>UNKNOWN</t>
        </is>
      </c>
      <c r="N967" t="inlineStr">
        <is>
          <t>DEFAULT</t>
        </is>
      </c>
      <c r="Q967" t="n">
        <v>0</v>
      </c>
      <c r="R967" t="inlineStr">
        <is>
          <t>AUD</t>
        </is>
      </c>
      <c r="S967" t="n">
        <v>0</v>
      </c>
      <c r="T967" t="inlineStr">
        <is>
          <t>AUD</t>
        </is>
      </c>
      <c r="U967" t="n">
        <v>0</v>
      </c>
    </row>
    <row r="968">
      <c r="A968" s="5" t="inlineStr">
        <is>
          <t>01a1212c-5892-733e-b7d9-59cc2729ba8e</t>
        </is>
      </c>
      <c r="C968" s="5" t="inlineStr">
        <is>
          <t>01a1212c-4b57-70cf-80fd-c2192cb3bf81</t>
        </is>
      </c>
      <c r="D968" s="4" t="n">
        <v>46304.62403725705</v>
      </c>
      <c r="E968" s="4" t="n">
        <v>46304.62403725713</v>
      </c>
      <c r="F968" t="b">
        <v>1</v>
      </c>
      <c r="G968" t="n">
        <v/>
      </c>
      <c r="H968" t="inlineStr">
        <is>
          <t>RND</t>
        </is>
      </c>
      <c r="I968" t="inlineStr">
        <is>
          <t>Rand Mining Ltd</t>
        </is>
      </c>
      <c r="J968" t="inlineStr">
        <is>
          <t>AUD</t>
        </is>
      </c>
      <c r="K968" s="5" t="inlineStr">
        <is>
          <t>01a1212c-4c04-75ce-bbb2-e3322e18816e</t>
        </is>
      </c>
      <c r="M968" t="inlineStr">
        <is>
          <t>UNKNOWN</t>
        </is>
      </c>
      <c r="N968" t="inlineStr">
        <is>
          <t>DEFAULT</t>
        </is>
      </c>
      <c r="Q968" t="n">
        <v>0</v>
      </c>
      <c r="R968" t="inlineStr">
        <is>
          <t>AUD</t>
        </is>
      </c>
      <c r="S968" t="n">
        <v>0</v>
      </c>
      <c r="T968" t="inlineStr">
        <is>
          <t>AUD</t>
        </is>
      </c>
      <c r="U968" t="n">
        <v>0</v>
      </c>
    </row>
    <row r="969">
      <c r="A969" s="5" t="inlineStr">
        <is>
          <t>01a1212c-5895-715b-886e-553fcd27e2a4</t>
        </is>
      </c>
      <c r="C969" s="5" t="inlineStr">
        <is>
          <t>01a1212c-4b57-70cf-80fd-c2192cb3bf81</t>
        </is>
      </c>
      <c r="D969" s="4" t="n">
        <v>46304.624037289</v>
      </c>
      <c r="E969" s="4" t="n">
        <v>46304.62403728908</v>
      </c>
      <c r="F969" t="b">
        <v>1</v>
      </c>
      <c r="G969" t="n">
        <v/>
      </c>
      <c r="H969" t="inlineStr">
        <is>
          <t>GLN</t>
        </is>
      </c>
      <c r="I969" t="inlineStr">
        <is>
          <t>Galan Lithium Ltd</t>
        </is>
      </c>
      <c r="J969" t="inlineStr">
        <is>
          <t>AUD</t>
        </is>
      </c>
      <c r="K969" s="5" t="inlineStr">
        <is>
          <t>01a1212c-4c04-75ce-bbb2-e3322e18816e</t>
        </is>
      </c>
      <c r="M969" t="inlineStr">
        <is>
          <t>UNKNOWN</t>
        </is>
      </c>
      <c r="N969" t="inlineStr">
        <is>
          <t>DEFAULT</t>
        </is>
      </c>
      <c r="Q969" t="n">
        <v>0</v>
      </c>
      <c r="R969" t="inlineStr">
        <is>
          <t>AUD</t>
        </is>
      </c>
      <c r="S969" t="n">
        <v>0</v>
      </c>
      <c r="T969" t="inlineStr">
        <is>
          <t>AUD</t>
        </is>
      </c>
      <c r="U969" t="n">
        <v>0</v>
      </c>
    </row>
    <row r="970">
      <c r="A970" s="5" t="inlineStr">
        <is>
          <t>01a1212c-5898-710f-a2a4-f2cde2932586</t>
        </is>
      </c>
      <c r="C970" s="5" t="inlineStr">
        <is>
          <t>01a1212c-4b57-70cf-80fd-c2192cb3bf81</t>
        </is>
      </c>
      <c r="D970" s="4" t="n">
        <v>46304.62403732046</v>
      </c>
      <c r="E970" s="4" t="n">
        <v>46304.62403732054</v>
      </c>
      <c r="F970" t="b">
        <v>1</v>
      </c>
      <c r="G970" t="n">
        <v/>
      </c>
      <c r="H970" t="inlineStr">
        <is>
          <t>MLG</t>
        </is>
      </c>
      <c r="I970" t="inlineStr">
        <is>
          <t>MLG OZ Ltd</t>
        </is>
      </c>
      <c r="J970" t="inlineStr">
        <is>
          <t>AUD</t>
        </is>
      </c>
      <c r="K970" s="5" t="inlineStr">
        <is>
          <t>01a1212c-4c04-75ce-bbb2-e3322e18816e</t>
        </is>
      </c>
      <c r="M970" t="inlineStr">
        <is>
          <t>UNKNOWN</t>
        </is>
      </c>
      <c r="N970" t="inlineStr">
        <is>
          <t>DEFAULT</t>
        </is>
      </c>
      <c r="Q970" t="n">
        <v>0</v>
      </c>
      <c r="R970" t="inlineStr">
        <is>
          <t>AUD</t>
        </is>
      </c>
      <c r="S970" t="n">
        <v>0</v>
      </c>
      <c r="T970" t="inlineStr">
        <is>
          <t>AUD</t>
        </is>
      </c>
      <c r="U970" t="n">
        <v>0</v>
      </c>
    </row>
    <row r="971">
      <c r="A971" s="5" t="inlineStr">
        <is>
          <t>01a1212c-589b-7698-9ee0-f4a26ba768b6</t>
        </is>
      </c>
      <c r="C971" s="5" t="inlineStr">
        <is>
          <t>01a1212c-4b57-70cf-80fd-c2192cb3bf81</t>
        </is>
      </c>
      <c r="D971" s="4" t="n">
        <v>46304.62403735446</v>
      </c>
      <c r="E971" s="4" t="n">
        <v>46304.62403735455</v>
      </c>
      <c r="F971" t="b">
        <v>1</v>
      </c>
      <c r="G971" t="n">
        <v/>
      </c>
      <c r="H971" t="inlineStr">
        <is>
          <t>NUGG</t>
        </is>
      </c>
      <c r="I971" t="inlineStr">
        <is>
          <t>Vaneck Gold Bullion ETF</t>
        </is>
      </c>
      <c r="J971" t="inlineStr">
        <is>
          <t>AUD</t>
        </is>
      </c>
      <c r="K971" s="5" t="inlineStr">
        <is>
          <t>01a1212c-4c04-75ce-bbb2-e3322e18816e</t>
        </is>
      </c>
      <c r="M971" t="inlineStr">
        <is>
          <t>UNKNOWN</t>
        </is>
      </c>
      <c r="N971" t="inlineStr">
        <is>
          <t>DEFAULT</t>
        </is>
      </c>
      <c r="Q971" t="n">
        <v>0</v>
      </c>
      <c r="R971" t="inlineStr">
        <is>
          <t>AUD</t>
        </is>
      </c>
      <c r="S971" t="n">
        <v>0</v>
      </c>
      <c r="T971" t="inlineStr">
        <is>
          <t>AUD</t>
        </is>
      </c>
      <c r="U971" t="n">
        <v>0</v>
      </c>
    </row>
    <row r="972">
      <c r="A972" s="5" t="inlineStr">
        <is>
          <t>01a1212c-589e-71a8-9f77-c34584470c72</t>
        </is>
      </c>
      <c r="C972" s="5" t="inlineStr">
        <is>
          <t>01a1212c-4b57-70cf-80fd-c2192cb3bf81</t>
        </is>
      </c>
      <c r="D972" s="4" t="n">
        <v>46304.62403738884</v>
      </c>
      <c r="E972" s="4" t="n">
        <v>46304.62403738894</v>
      </c>
      <c r="F972" t="b">
        <v>1</v>
      </c>
      <c r="G972" t="n">
        <v/>
      </c>
      <c r="H972" t="inlineStr">
        <is>
          <t>ASM</t>
        </is>
      </c>
      <c r="I972" t="inlineStr">
        <is>
          <t>Australian Strategic Materials Ltd</t>
        </is>
      </c>
      <c r="J972" t="inlineStr">
        <is>
          <t>AUD</t>
        </is>
      </c>
      <c r="K972" s="5" t="inlineStr">
        <is>
          <t>01a1212c-4c04-75ce-bbb2-e3322e18816e</t>
        </is>
      </c>
      <c r="M972" t="inlineStr">
        <is>
          <t>UNKNOWN</t>
        </is>
      </c>
      <c r="N972" t="inlineStr">
        <is>
          <t>DEFAULT</t>
        </is>
      </c>
      <c r="Q972" t="n">
        <v>0</v>
      </c>
      <c r="R972" t="inlineStr">
        <is>
          <t>AUD</t>
        </is>
      </c>
      <c r="S972" t="n">
        <v>0</v>
      </c>
      <c r="T972" t="inlineStr">
        <is>
          <t>AUD</t>
        </is>
      </c>
      <c r="U972" t="n">
        <v>0</v>
      </c>
    </row>
    <row r="973">
      <c r="A973" s="5" t="inlineStr">
        <is>
          <t>01a1212c-58a1-733a-8c22-7047390fc766</t>
        </is>
      </c>
      <c r="C973" s="5" t="inlineStr">
        <is>
          <t>01a1212c-4b57-70cf-80fd-c2192cb3bf81</t>
        </is>
      </c>
      <c r="D973" s="4" t="n">
        <v>46304.62403742163</v>
      </c>
      <c r="E973" s="4" t="n">
        <v>46304.62403742174</v>
      </c>
      <c r="F973" t="b">
        <v>1</v>
      </c>
      <c r="G973" t="n">
        <v/>
      </c>
      <c r="H973" t="inlineStr">
        <is>
          <t>GHY</t>
        </is>
      </c>
      <c r="I973" t="inlineStr">
        <is>
          <t>Gold Hydrogen Ltd</t>
        </is>
      </c>
      <c r="J973" t="inlineStr">
        <is>
          <t>AUD</t>
        </is>
      </c>
      <c r="K973" s="5" t="inlineStr">
        <is>
          <t>01a1212c-4c04-75ce-bbb2-e3322e18816e</t>
        </is>
      </c>
      <c r="M973" t="inlineStr">
        <is>
          <t>UNKNOWN</t>
        </is>
      </c>
      <c r="N973" t="inlineStr">
        <is>
          <t>DEFAULT</t>
        </is>
      </c>
      <c r="Q973" t="n">
        <v>0</v>
      </c>
      <c r="R973" t="inlineStr">
        <is>
          <t>AUD</t>
        </is>
      </c>
      <c r="S973" t="n">
        <v>0</v>
      </c>
      <c r="T973" t="inlineStr">
        <is>
          <t>AUD</t>
        </is>
      </c>
      <c r="U973" t="n">
        <v>0</v>
      </c>
    </row>
    <row r="974">
      <c r="A974" s="5" t="inlineStr">
        <is>
          <t>01a1212c-58a3-742d-8f61-9ae3d42f6500</t>
        </is>
      </c>
      <c r="C974" s="5" t="inlineStr">
        <is>
          <t>01a1212c-4b57-70cf-80fd-c2192cb3bf81</t>
        </is>
      </c>
      <c r="D974" s="4" t="n">
        <v>46304.62403745397</v>
      </c>
      <c r="E974" s="4" t="n">
        <v>46304.62403745407</v>
      </c>
      <c r="F974" t="b">
        <v>1</v>
      </c>
      <c r="G974" t="n">
        <v/>
      </c>
      <c r="H974" t="inlineStr">
        <is>
          <t>LNAS</t>
        </is>
      </c>
      <c r="I974" t="inlineStr">
        <is>
          <t>Global X Ultra Long Nasdaq 100 Complex ETF</t>
        </is>
      </c>
      <c r="J974" t="inlineStr">
        <is>
          <t>AUD</t>
        </is>
      </c>
      <c r="K974" s="5" t="inlineStr">
        <is>
          <t>01a1212c-4c04-75ce-bbb2-e3322e18816e</t>
        </is>
      </c>
      <c r="M974" t="inlineStr">
        <is>
          <t>UNKNOWN</t>
        </is>
      </c>
      <c r="N974" t="inlineStr">
        <is>
          <t>DEFAULT</t>
        </is>
      </c>
      <c r="Q974" t="n">
        <v>0</v>
      </c>
      <c r="R974" t="inlineStr">
        <is>
          <t>AUD</t>
        </is>
      </c>
      <c r="S974" t="n">
        <v>0</v>
      </c>
      <c r="T974" t="inlineStr">
        <is>
          <t>AUD</t>
        </is>
      </c>
      <c r="U974" t="n">
        <v>0</v>
      </c>
    </row>
    <row r="975">
      <c r="A975" s="5" t="inlineStr">
        <is>
          <t>01a1212c-58a6-7075-b631-f158405da669</t>
        </is>
      </c>
      <c r="C975" s="5" t="inlineStr">
        <is>
          <t>01a1212c-4b57-70cf-80fd-c2192cb3bf81</t>
        </is>
      </c>
      <c r="D975" s="4" t="n">
        <v>46304.62403748879</v>
      </c>
      <c r="E975" s="4" t="n">
        <v>46304.62403748888</v>
      </c>
      <c r="F975" t="b">
        <v>1</v>
      </c>
      <c r="G975" t="n">
        <v/>
      </c>
      <c r="H975" t="inlineStr">
        <is>
          <t>HGO</t>
        </is>
      </c>
      <c r="I975" t="inlineStr">
        <is>
          <t>Hillgrove Resources Ltd</t>
        </is>
      </c>
      <c r="J975" t="inlineStr">
        <is>
          <t>AUD</t>
        </is>
      </c>
      <c r="K975" s="5" t="inlineStr">
        <is>
          <t>01a1212c-4c04-75ce-bbb2-e3322e18816e</t>
        </is>
      </c>
      <c r="M975" t="inlineStr">
        <is>
          <t>UNKNOWN</t>
        </is>
      </c>
      <c r="N975" t="inlineStr">
        <is>
          <t>DEFAULT</t>
        </is>
      </c>
      <c r="Q975" t="n">
        <v>0</v>
      </c>
      <c r="R975" t="inlineStr">
        <is>
          <t>AUD</t>
        </is>
      </c>
      <c r="S975" t="n">
        <v>0</v>
      </c>
      <c r="T975" t="inlineStr">
        <is>
          <t>AUD</t>
        </is>
      </c>
      <c r="U975" t="n">
        <v>0</v>
      </c>
    </row>
    <row r="976">
      <c r="A976" s="5" t="inlineStr">
        <is>
          <t>01a1212c-58a9-725f-8fc6-c1b45b905796</t>
        </is>
      </c>
      <c r="C976" s="5" t="inlineStr">
        <is>
          <t>01a1212c-4b57-70cf-80fd-c2192cb3bf81</t>
        </is>
      </c>
      <c r="D976" s="4" t="n">
        <v>46304.62403752133</v>
      </c>
      <c r="E976" s="4" t="n">
        <v>46304.62403752141</v>
      </c>
      <c r="F976" t="b">
        <v>1</v>
      </c>
      <c r="G976" t="n">
        <v/>
      </c>
      <c r="H976" t="inlineStr">
        <is>
          <t>WRK</t>
        </is>
      </c>
      <c r="I976" t="inlineStr">
        <is>
          <t>WRKR Ltd</t>
        </is>
      </c>
      <c r="J976" t="inlineStr">
        <is>
          <t>AUD</t>
        </is>
      </c>
      <c r="K976" s="5" t="inlineStr">
        <is>
          <t>01a1212c-4c04-75ce-bbb2-e3322e18816e</t>
        </is>
      </c>
      <c r="M976" t="inlineStr">
        <is>
          <t>UNKNOWN</t>
        </is>
      </c>
      <c r="N976" t="inlineStr">
        <is>
          <t>DEFAULT</t>
        </is>
      </c>
      <c r="Q976" t="n">
        <v>0</v>
      </c>
      <c r="R976" t="inlineStr">
        <is>
          <t>AUD</t>
        </is>
      </c>
      <c r="S976" t="n">
        <v>0</v>
      </c>
      <c r="T976" t="inlineStr">
        <is>
          <t>AUD</t>
        </is>
      </c>
      <c r="U976" t="n">
        <v>0</v>
      </c>
    </row>
    <row r="977">
      <c r="A977" s="5" t="inlineStr">
        <is>
          <t>01a1212c-58ac-720c-a4a8-55e9b96672df</t>
        </is>
      </c>
      <c r="C977" s="5" t="inlineStr">
        <is>
          <t>01a1212c-4b57-70cf-80fd-c2192cb3bf81</t>
        </is>
      </c>
      <c r="D977" s="4" t="n">
        <v>46304.62403755246</v>
      </c>
      <c r="E977" s="4" t="n">
        <v>46304.62403755254</v>
      </c>
      <c r="F977" t="b">
        <v>1</v>
      </c>
      <c r="G977" t="n">
        <v/>
      </c>
      <c r="H977" t="inlineStr">
        <is>
          <t>LCY</t>
        </is>
      </c>
      <c r="I977" t="inlineStr">
        <is>
          <t>Legacy Iron Ore Ltd</t>
        </is>
      </c>
      <c r="J977" t="inlineStr">
        <is>
          <t>AUD</t>
        </is>
      </c>
      <c r="K977" s="5" t="inlineStr">
        <is>
          <t>01a1212c-4c04-75ce-bbb2-e3322e18816e</t>
        </is>
      </c>
      <c r="M977" t="inlineStr">
        <is>
          <t>UNKNOWN</t>
        </is>
      </c>
      <c r="N977" t="inlineStr">
        <is>
          <t>DEFAULT</t>
        </is>
      </c>
      <c r="Q977" t="n">
        <v>0</v>
      </c>
      <c r="R977" t="inlineStr">
        <is>
          <t>AUD</t>
        </is>
      </c>
      <c r="S977" t="n">
        <v>0</v>
      </c>
      <c r="T977" t="inlineStr">
        <is>
          <t>AUD</t>
        </is>
      </c>
      <c r="U977" t="n">
        <v>0</v>
      </c>
    </row>
    <row r="978">
      <c r="A978" s="5" t="inlineStr">
        <is>
          <t>01a1212c-58af-778a-99b6-860d00d902ac</t>
        </is>
      </c>
      <c r="C978" s="5" t="inlineStr">
        <is>
          <t>01a1212c-4b57-70cf-80fd-c2192cb3bf81</t>
        </is>
      </c>
      <c r="D978" s="4" t="n">
        <v>46304.62403758593</v>
      </c>
      <c r="E978" s="4" t="n">
        <v>46304.62403758602</v>
      </c>
      <c r="F978" t="b">
        <v>1</v>
      </c>
      <c r="G978" t="n">
        <v/>
      </c>
      <c r="H978" t="inlineStr">
        <is>
          <t>PIQ</t>
        </is>
      </c>
      <c r="I978" t="inlineStr">
        <is>
          <t>Proteomics International Laboratories Ltd</t>
        </is>
      </c>
      <c r="J978" t="inlineStr">
        <is>
          <t>AUD</t>
        </is>
      </c>
      <c r="K978" s="5" t="inlineStr">
        <is>
          <t>01a1212c-4c04-75ce-bbb2-e3322e18816e</t>
        </is>
      </c>
      <c r="M978" t="inlineStr">
        <is>
          <t>UNKNOWN</t>
        </is>
      </c>
      <c r="N978" t="inlineStr">
        <is>
          <t>DEFAULT</t>
        </is>
      </c>
      <c r="Q978" t="n">
        <v>0</v>
      </c>
      <c r="R978" t="inlineStr">
        <is>
          <t>AUD</t>
        </is>
      </c>
      <c r="S978" t="n">
        <v>0</v>
      </c>
      <c r="T978" t="inlineStr">
        <is>
          <t>AUD</t>
        </is>
      </c>
      <c r="U978" t="n">
        <v>0</v>
      </c>
    </row>
    <row r="979">
      <c r="A979" s="5" t="inlineStr">
        <is>
          <t>01a1212c-58b2-730e-be4f-4447247f3c4a</t>
        </is>
      </c>
      <c r="C979" s="5" t="inlineStr">
        <is>
          <t>01a1212c-4b57-70cf-80fd-c2192cb3bf81</t>
        </is>
      </c>
      <c r="D979" s="4" t="n">
        <v>46304.62403761775</v>
      </c>
      <c r="E979" s="4" t="n">
        <v>46304.62403761783</v>
      </c>
      <c r="F979" t="b">
        <v>1</v>
      </c>
      <c r="G979" t="n">
        <v/>
      </c>
      <c r="H979" t="inlineStr">
        <is>
          <t>ASN</t>
        </is>
      </c>
      <c r="I979" t="inlineStr">
        <is>
          <t>Anson Resources Ltd</t>
        </is>
      </c>
      <c r="J979" t="inlineStr">
        <is>
          <t>AUD</t>
        </is>
      </c>
      <c r="K979" s="5" t="inlineStr">
        <is>
          <t>01a1212c-4c04-75ce-bbb2-e3322e18816e</t>
        </is>
      </c>
      <c r="M979" t="inlineStr">
        <is>
          <t>UNKNOWN</t>
        </is>
      </c>
      <c r="N979" t="inlineStr">
        <is>
          <t>DEFAULT</t>
        </is>
      </c>
      <c r="Q979" t="n">
        <v>0</v>
      </c>
      <c r="R979" t="inlineStr">
        <is>
          <t>AUD</t>
        </is>
      </c>
      <c r="S979" t="n">
        <v>0</v>
      </c>
      <c r="T979" t="inlineStr">
        <is>
          <t>AUD</t>
        </is>
      </c>
      <c r="U979" t="n">
        <v>0</v>
      </c>
    </row>
    <row r="980">
      <c r="A980" s="5" t="inlineStr">
        <is>
          <t>01a1212c-58b4-7246-9254-2cc905390527</t>
        </is>
      </c>
      <c r="C980" s="5" t="inlineStr">
        <is>
          <t>01a1212c-4b57-70cf-80fd-c2192cb3bf81</t>
        </is>
      </c>
      <c r="D980" s="4" t="n">
        <v>46304.62403765094</v>
      </c>
      <c r="E980" s="4" t="n">
        <v>46304.62403765102</v>
      </c>
      <c r="F980" t="b">
        <v>1</v>
      </c>
      <c r="G980" t="n">
        <v/>
      </c>
      <c r="H980" t="inlineStr">
        <is>
          <t>M7T</t>
        </is>
      </c>
      <c r="I980" t="inlineStr">
        <is>
          <t>MACH7 Technologies Ltd</t>
        </is>
      </c>
      <c r="J980" t="inlineStr">
        <is>
          <t>AUD</t>
        </is>
      </c>
      <c r="K980" s="5" t="inlineStr">
        <is>
          <t>01a1212c-4c04-75ce-bbb2-e3322e18816e</t>
        </is>
      </c>
      <c r="M980" t="inlineStr">
        <is>
          <t>UNKNOWN</t>
        </is>
      </c>
      <c r="N980" t="inlineStr">
        <is>
          <t>DEFAULT</t>
        </is>
      </c>
      <c r="Q980" t="n">
        <v>0</v>
      </c>
      <c r="R980" t="inlineStr">
        <is>
          <t>AUD</t>
        </is>
      </c>
      <c r="S980" t="n">
        <v>0</v>
      </c>
      <c r="T980" t="inlineStr">
        <is>
          <t>AUD</t>
        </is>
      </c>
      <c r="U980" t="n">
        <v>0</v>
      </c>
    </row>
    <row r="981">
      <c r="A981" s="5" t="inlineStr">
        <is>
          <t>01a1212c-58b7-7766-9ac1-2328223aabe8</t>
        </is>
      </c>
      <c r="C981" s="5" t="inlineStr">
        <is>
          <t>01a1212c-4b57-70cf-80fd-c2192cb3bf81</t>
        </is>
      </c>
      <c r="D981" s="4" t="n">
        <v>46304.62403768184</v>
      </c>
      <c r="E981" s="4" t="n">
        <v>46304.62403768192</v>
      </c>
      <c r="F981" t="b">
        <v>1</v>
      </c>
      <c r="G981" t="n">
        <v/>
      </c>
      <c r="H981" t="inlineStr">
        <is>
          <t>RWL</t>
        </is>
      </c>
      <c r="I981" t="inlineStr">
        <is>
          <t>Rubicon Water Ltd</t>
        </is>
      </c>
      <c r="J981" t="inlineStr">
        <is>
          <t>AUD</t>
        </is>
      </c>
      <c r="K981" s="5" t="inlineStr">
        <is>
          <t>01a1212c-4c04-75ce-bbb2-e3322e18816e</t>
        </is>
      </c>
      <c r="M981" t="inlineStr">
        <is>
          <t>UNKNOWN</t>
        </is>
      </c>
      <c r="N981" t="inlineStr">
        <is>
          <t>DEFAULT</t>
        </is>
      </c>
      <c r="Q981" t="n">
        <v>0</v>
      </c>
      <c r="R981" t="inlineStr">
        <is>
          <t>AUD</t>
        </is>
      </c>
      <c r="S981" t="n">
        <v>0</v>
      </c>
      <c r="T981" t="inlineStr">
        <is>
          <t>AUD</t>
        </is>
      </c>
      <c r="U981" t="n">
        <v>0</v>
      </c>
    </row>
    <row r="982">
      <c r="A982" s="5" t="inlineStr">
        <is>
          <t>01a1212c-58ba-76a9-a9ca-35c2d4eb4b09</t>
        </is>
      </c>
      <c r="C982" s="5" t="inlineStr">
        <is>
          <t>01a1212c-4b57-70cf-80fd-c2192cb3bf81</t>
        </is>
      </c>
      <c r="D982" s="4" t="n">
        <v>46304.6240377127</v>
      </c>
      <c r="E982" s="4" t="n">
        <v>46304.62403771278</v>
      </c>
      <c r="F982" t="b">
        <v>1</v>
      </c>
      <c r="G982" t="n">
        <v/>
      </c>
      <c r="H982" t="inlineStr">
        <is>
          <t>KKO</t>
        </is>
      </c>
      <c r="I982" t="inlineStr">
        <is>
          <t>Kinetiko Energy Ltd</t>
        </is>
      </c>
      <c r="J982" t="inlineStr">
        <is>
          <t>AUD</t>
        </is>
      </c>
      <c r="K982" s="5" t="inlineStr">
        <is>
          <t>01a1212c-4c04-75ce-bbb2-e3322e18816e</t>
        </is>
      </c>
      <c r="M982" t="inlineStr">
        <is>
          <t>UNKNOWN</t>
        </is>
      </c>
      <c r="N982" t="inlineStr">
        <is>
          <t>DEFAULT</t>
        </is>
      </c>
      <c r="Q982" t="n">
        <v>0</v>
      </c>
      <c r="R982" t="inlineStr">
        <is>
          <t>AUD</t>
        </is>
      </c>
      <c r="S982" t="n">
        <v>0</v>
      </c>
      <c r="T982" t="inlineStr">
        <is>
          <t>AUD</t>
        </is>
      </c>
      <c r="U982" t="n">
        <v>0</v>
      </c>
    </row>
    <row r="983">
      <c r="A983" s="5" t="inlineStr">
        <is>
          <t>01a1212c-58bd-712e-9574-1c448ed74e18</t>
        </is>
      </c>
      <c r="C983" s="5" t="inlineStr">
        <is>
          <t>01a1212c-4b57-70cf-80fd-c2192cb3bf81</t>
        </is>
      </c>
      <c r="D983" s="4" t="n">
        <v>46304.62403774619</v>
      </c>
      <c r="E983" s="4" t="n">
        <v>46304.62403774628</v>
      </c>
      <c r="F983" t="b">
        <v>1</v>
      </c>
      <c r="G983" t="n">
        <v/>
      </c>
      <c r="H983" t="inlineStr">
        <is>
          <t>JDOPA</t>
        </is>
      </c>
      <c r="I983" t="inlineStr">
        <is>
          <t>Judo Capital Holdings Ltd</t>
        </is>
      </c>
      <c r="J983" t="inlineStr">
        <is>
          <t>AUD</t>
        </is>
      </c>
      <c r="K983" s="5" t="inlineStr">
        <is>
          <t>01a1212c-4c04-75ce-bbb2-e3322e18816e</t>
        </is>
      </c>
      <c r="M983" t="inlineStr">
        <is>
          <t>UNKNOWN</t>
        </is>
      </c>
      <c r="N983" t="inlineStr">
        <is>
          <t>DEFAULT</t>
        </is>
      </c>
      <c r="Q983" t="n">
        <v>0</v>
      </c>
      <c r="R983" t="inlineStr">
        <is>
          <t>AUD</t>
        </is>
      </c>
      <c r="S983" t="n">
        <v>0</v>
      </c>
      <c r="T983" t="inlineStr">
        <is>
          <t>AUD</t>
        </is>
      </c>
      <c r="U983" t="n">
        <v>0</v>
      </c>
    </row>
    <row r="984">
      <c r="A984" s="5" t="inlineStr">
        <is>
          <t>01a1212c-58bf-721b-ba25-2c5c2bbe51dc</t>
        </is>
      </c>
      <c r="C984" s="5" t="inlineStr">
        <is>
          <t>01a1212c-4b57-70cf-80fd-c2192cb3bf81</t>
        </is>
      </c>
      <c r="D984" s="4" t="n">
        <v>46304.62403777806</v>
      </c>
      <c r="E984" s="4" t="n">
        <v>46304.62403777814</v>
      </c>
      <c r="F984" t="b">
        <v>1</v>
      </c>
      <c r="G984" t="n">
        <v/>
      </c>
      <c r="H984" t="inlineStr">
        <is>
          <t>USL</t>
        </is>
      </c>
      <c r="I984" t="inlineStr">
        <is>
          <t>Unico Silver Ltd</t>
        </is>
      </c>
      <c r="J984" t="inlineStr">
        <is>
          <t>AUD</t>
        </is>
      </c>
      <c r="K984" s="5" t="inlineStr">
        <is>
          <t>01a1212c-4c04-75ce-bbb2-e3322e18816e</t>
        </is>
      </c>
      <c r="M984" t="inlineStr">
        <is>
          <t>UNKNOWN</t>
        </is>
      </c>
      <c r="N984" t="inlineStr">
        <is>
          <t>DEFAULT</t>
        </is>
      </c>
      <c r="Q984" t="n">
        <v>0</v>
      </c>
      <c r="R984" t="inlineStr">
        <is>
          <t>AUD</t>
        </is>
      </c>
      <c r="S984" t="n">
        <v>0</v>
      </c>
      <c r="T984" t="inlineStr">
        <is>
          <t>AUD</t>
        </is>
      </c>
      <c r="U984" t="n">
        <v>0</v>
      </c>
    </row>
    <row r="985">
      <c r="A985" s="5" t="inlineStr">
        <is>
          <t>01a1212c-58c2-7220-a445-f963acee45a0</t>
        </is>
      </c>
      <c r="C985" s="5" t="inlineStr">
        <is>
          <t>01a1212c-4b57-70cf-80fd-c2192cb3bf81</t>
        </is>
      </c>
      <c r="D985" s="4" t="n">
        <v>46304.62403781124</v>
      </c>
      <c r="E985" s="4" t="n">
        <v>46304.62403781132</v>
      </c>
      <c r="F985" t="b">
        <v>1</v>
      </c>
      <c r="G985" t="n">
        <v/>
      </c>
      <c r="H985" t="inlineStr">
        <is>
          <t>ZEO</t>
        </is>
      </c>
      <c r="I985" t="inlineStr">
        <is>
          <t>Zeotech Ltd</t>
        </is>
      </c>
      <c r="J985" t="inlineStr">
        <is>
          <t>AUD</t>
        </is>
      </c>
      <c r="K985" s="5" t="inlineStr">
        <is>
          <t>01a1212c-4c04-75ce-bbb2-e3322e18816e</t>
        </is>
      </c>
      <c r="M985" t="inlineStr">
        <is>
          <t>UNKNOWN</t>
        </is>
      </c>
      <c r="N985" t="inlineStr">
        <is>
          <t>DEFAULT</t>
        </is>
      </c>
      <c r="Q985" t="n">
        <v>0</v>
      </c>
      <c r="R985" t="inlineStr">
        <is>
          <t>AUD</t>
        </is>
      </c>
      <c r="S985" t="n">
        <v>0</v>
      </c>
      <c r="T985" t="inlineStr">
        <is>
          <t>AUD</t>
        </is>
      </c>
      <c r="U985" t="n">
        <v>0</v>
      </c>
    </row>
    <row r="986">
      <c r="A986" s="5" t="inlineStr">
        <is>
          <t>01a1212c-58c5-76b4-8d85-de91fc7b4432</t>
        </is>
      </c>
      <c r="C986" s="5" t="inlineStr">
        <is>
          <t>01a1212c-4b57-70cf-80fd-c2192cb3bf81</t>
        </is>
      </c>
      <c r="D986" s="4" t="n">
        <v>46304.62403784193</v>
      </c>
      <c r="E986" s="4" t="n">
        <v>46304.62403784201</v>
      </c>
      <c r="F986" t="b">
        <v>1</v>
      </c>
      <c r="G986" t="n">
        <v/>
      </c>
      <c r="H986" t="inlineStr">
        <is>
          <t>ABY</t>
        </is>
      </c>
      <c r="I986" t="inlineStr">
        <is>
          <t>Adore Beauty Group Ltd</t>
        </is>
      </c>
      <c r="J986" t="inlineStr">
        <is>
          <t>AUD</t>
        </is>
      </c>
      <c r="K986" s="5" t="inlineStr">
        <is>
          <t>01a1212c-4c04-75ce-bbb2-e3322e18816e</t>
        </is>
      </c>
      <c r="M986" t="inlineStr">
        <is>
          <t>UNKNOWN</t>
        </is>
      </c>
      <c r="N986" t="inlineStr">
        <is>
          <t>DEFAULT</t>
        </is>
      </c>
      <c r="Q986" t="n">
        <v>0</v>
      </c>
      <c r="R986" t="inlineStr">
        <is>
          <t>AUD</t>
        </is>
      </c>
      <c r="S986" t="n">
        <v>0</v>
      </c>
      <c r="T986" t="inlineStr">
        <is>
          <t>AUD</t>
        </is>
      </c>
      <c r="U986" t="n">
        <v>0</v>
      </c>
    </row>
    <row r="987">
      <c r="A987" s="5" t="inlineStr">
        <is>
          <t>01a1212c-58c8-712e-bd4d-b24c31a5a4f0</t>
        </is>
      </c>
      <c r="C987" s="5" t="inlineStr">
        <is>
          <t>01a1212c-4b57-70cf-80fd-c2192cb3bf81</t>
        </is>
      </c>
      <c r="D987" s="4" t="n">
        <v>46304.62403787259</v>
      </c>
      <c r="E987" s="4" t="n">
        <v>46304.62403787267</v>
      </c>
      <c r="F987" t="b">
        <v>1</v>
      </c>
      <c r="G987" t="n">
        <v/>
      </c>
      <c r="H987" t="inlineStr">
        <is>
          <t>IKE</t>
        </is>
      </c>
      <c r="I987" t="inlineStr">
        <is>
          <t>Ikegps Group Ltd</t>
        </is>
      </c>
      <c r="J987" t="inlineStr">
        <is>
          <t>AUD</t>
        </is>
      </c>
      <c r="K987" s="5" t="inlineStr">
        <is>
          <t>01a1212c-4c04-75ce-bbb2-e3322e18816e</t>
        </is>
      </c>
      <c r="M987" t="inlineStr">
        <is>
          <t>UNKNOWN</t>
        </is>
      </c>
      <c r="N987" t="inlineStr">
        <is>
          <t>DEFAULT</t>
        </is>
      </c>
      <c r="Q987" t="n">
        <v>0</v>
      </c>
      <c r="R987" t="inlineStr">
        <is>
          <t>AUD</t>
        </is>
      </c>
      <c r="S987" t="n">
        <v>0</v>
      </c>
      <c r="T987" t="inlineStr">
        <is>
          <t>AUD</t>
        </is>
      </c>
      <c r="U987" t="n">
        <v>0</v>
      </c>
    </row>
    <row r="988">
      <c r="A988" s="5" t="inlineStr">
        <is>
          <t>01a1212c-58ca-74c9-bb82-cc414dbd7e37</t>
        </is>
      </c>
      <c r="C988" s="5" t="inlineStr">
        <is>
          <t>01a1212c-4b57-70cf-80fd-c2192cb3bf81</t>
        </is>
      </c>
      <c r="D988" s="4" t="n">
        <v>46304.62403790329</v>
      </c>
      <c r="E988" s="4" t="n">
        <v>46304.62403790337</v>
      </c>
      <c r="F988" t="b">
        <v>1</v>
      </c>
      <c r="G988" t="n">
        <v/>
      </c>
      <c r="H988" t="inlineStr">
        <is>
          <t>WVOL</t>
        </is>
      </c>
      <c r="I988" t="inlineStr">
        <is>
          <t>Ishares MSCI World Ex Aust Minimum Volatility ETF</t>
        </is>
      </c>
      <c r="J988" t="inlineStr">
        <is>
          <t>AUD</t>
        </is>
      </c>
      <c r="K988" s="5" t="inlineStr">
        <is>
          <t>01a1212c-4c04-75ce-bbb2-e3322e18816e</t>
        </is>
      </c>
      <c r="M988" t="inlineStr">
        <is>
          <t>UNKNOWN</t>
        </is>
      </c>
      <c r="N988" t="inlineStr">
        <is>
          <t>DEFAULT</t>
        </is>
      </c>
      <c r="Q988" t="n">
        <v>0</v>
      </c>
      <c r="R988" t="inlineStr">
        <is>
          <t>AUD</t>
        </is>
      </c>
      <c r="S988" t="n">
        <v>0</v>
      </c>
      <c r="T988" t="inlineStr">
        <is>
          <t>AUD</t>
        </is>
      </c>
      <c r="U988" t="n">
        <v>0</v>
      </c>
    </row>
    <row r="989">
      <c r="A989" s="5" t="inlineStr">
        <is>
          <t>01a1212c-58cd-7362-b523-f9cf5a868b56</t>
        </is>
      </c>
      <c r="C989" s="5" t="inlineStr">
        <is>
          <t>01a1212c-4b57-70cf-80fd-c2192cb3bf81</t>
        </is>
      </c>
      <c r="D989" s="4" t="n">
        <v>46304.62403793991</v>
      </c>
      <c r="E989" s="4" t="n">
        <v>46304.62403794</v>
      </c>
      <c r="F989" t="b">
        <v>1</v>
      </c>
      <c r="G989" t="n">
        <v/>
      </c>
      <c r="H989" t="inlineStr">
        <is>
          <t>TOT</t>
        </is>
      </c>
      <c r="I989" t="inlineStr">
        <is>
          <t>360 Capital REIT</t>
        </is>
      </c>
      <c r="J989" t="inlineStr">
        <is>
          <t>AUD</t>
        </is>
      </c>
      <c r="K989" s="5" t="inlineStr">
        <is>
          <t>01a1212c-4c04-75ce-bbb2-e3322e18816e</t>
        </is>
      </c>
      <c r="M989" t="inlineStr">
        <is>
          <t>UNKNOWN</t>
        </is>
      </c>
      <c r="N989" t="inlineStr">
        <is>
          <t>DEFAULT</t>
        </is>
      </c>
      <c r="Q989" t="n">
        <v>0</v>
      </c>
      <c r="R989" t="inlineStr">
        <is>
          <t>AUD</t>
        </is>
      </c>
      <c r="S989" t="n">
        <v>0</v>
      </c>
      <c r="T989" t="inlineStr">
        <is>
          <t>AUD</t>
        </is>
      </c>
      <c r="U989" t="n">
        <v>0</v>
      </c>
    </row>
    <row r="990">
      <c r="A990" s="5" t="inlineStr">
        <is>
          <t>01a1212c-58d0-71fb-98a1-5bb607d993f2</t>
        </is>
      </c>
      <c r="C990" s="5" t="inlineStr">
        <is>
          <t>01a1212c-4b57-70cf-80fd-c2192cb3bf81</t>
        </is>
      </c>
      <c r="D990" s="4" t="n">
        <v>46304.62403797077</v>
      </c>
      <c r="E990" s="4" t="n">
        <v>46304.62403797085</v>
      </c>
      <c r="F990" t="b">
        <v>1</v>
      </c>
      <c r="G990" t="n">
        <v/>
      </c>
      <c r="H990" t="inlineStr">
        <is>
          <t>CEL</t>
        </is>
      </c>
      <c r="I990" t="inlineStr">
        <is>
          <t>Challenger Gold Ltd</t>
        </is>
      </c>
      <c r="J990" t="inlineStr">
        <is>
          <t>AUD</t>
        </is>
      </c>
      <c r="K990" s="5" t="inlineStr">
        <is>
          <t>01a1212c-4c04-75ce-bbb2-e3322e18816e</t>
        </is>
      </c>
      <c r="M990" t="inlineStr">
        <is>
          <t>UNKNOWN</t>
        </is>
      </c>
      <c r="N990" t="inlineStr">
        <is>
          <t>DEFAULT</t>
        </is>
      </c>
      <c r="Q990" t="n">
        <v>0</v>
      </c>
      <c r="R990" t="inlineStr">
        <is>
          <t>AUD</t>
        </is>
      </c>
      <c r="S990" t="n">
        <v>0</v>
      </c>
      <c r="T990" t="inlineStr">
        <is>
          <t>AUD</t>
        </is>
      </c>
      <c r="U990" t="n">
        <v>0</v>
      </c>
    </row>
    <row r="991">
      <c r="A991" s="5" t="inlineStr">
        <is>
          <t>01a1212c-58d3-7029-bf8e-bd17a38770ef</t>
        </is>
      </c>
      <c r="C991" s="5" t="inlineStr">
        <is>
          <t>01a1212c-4b57-70cf-80fd-c2192cb3bf81</t>
        </is>
      </c>
      <c r="D991" s="4" t="n">
        <v>46304.62403800159</v>
      </c>
      <c r="E991" s="4" t="n">
        <v>46304.62403800165</v>
      </c>
      <c r="F991" t="b">
        <v>1</v>
      </c>
      <c r="G991" t="n">
        <v/>
      </c>
      <c r="H991" t="inlineStr">
        <is>
          <t>AR1</t>
        </is>
      </c>
      <c r="I991" t="inlineStr">
        <is>
          <t>Austral Resources Australia Ltd</t>
        </is>
      </c>
      <c r="J991" t="inlineStr">
        <is>
          <t>AUD</t>
        </is>
      </c>
      <c r="K991" s="5" t="inlineStr">
        <is>
          <t>01a1212c-4c04-75ce-bbb2-e3322e18816e</t>
        </is>
      </c>
      <c r="M991" t="inlineStr">
        <is>
          <t>UNKNOWN</t>
        </is>
      </c>
      <c r="N991" t="inlineStr">
        <is>
          <t>DEFAULT</t>
        </is>
      </c>
      <c r="Q991" t="n">
        <v>0</v>
      </c>
      <c r="R991" t="inlineStr">
        <is>
          <t>AUD</t>
        </is>
      </c>
      <c r="S991" t="n">
        <v>0</v>
      </c>
      <c r="T991" t="inlineStr">
        <is>
          <t>AUD</t>
        </is>
      </c>
      <c r="U991" t="n">
        <v>0</v>
      </c>
    </row>
    <row r="992">
      <c r="A992" s="5" t="inlineStr">
        <is>
          <t>01a1212c-58d5-720a-a7e4-282d3eab73d9</t>
        </is>
      </c>
      <c r="C992" s="5" t="inlineStr">
        <is>
          <t>01a1212c-4b57-70cf-80fd-c2192cb3bf81</t>
        </is>
      </c>
      <c r="D992" s="4" t="n">
        <v>46304.62403803331</v>
      </c>
      <c r="E992" s="4" t="n">
        <v>46304.62403803339</v>
      </c>
      <c r="F992" t="b">
        <v>1</v>
      </c>
      <c r="G992" t="n">
        <v/>
      </c>
      <c r="H992" t="inlineStr">
        <is>
          <t>EBG</t>
        </is>
      </c>
      <c r="I992" t="inlineStr">
        <is>
          <t>Eumundi Group Ltd</t>
        </is>
      </c>
      <c r="J992" t="inlineStr">
        <is>
          <t>AUD</t>
        </is>
      </c>
      <c r="K992" s="5" t="inlineStr">
        <is>
          <t>01a1212c-4c04-75ce-bbb2-e3322e18816e</t>
        </is>
      </c>
      <c r="M992" t="inlineStr">
        <is>
          <t>UNKNOWN</t>
        </is>
      </c>
      <c r="N992" t="inlineStr">
        <is>
          <t>DEFAULT</t>
        </is>
      </c>
      <c r="Q992" t="n">
        <v>0</v>
      </c>
      <c r="R992" t="inlineStr">
        <is>
          <t>AUD</t>
        </is>
      </c>
      <c r="S992" t="n">
        <v>0</v>
      </c>
      <c r="T992" t="inlineStr">
        <is>
          <t>AUD</t>
        </is>
      </c>
      <c r="U992" t="n">
        <v>0</v>
      </c>
    </row>
    <row r="993">
      <c r="A993" s="5" t="inlineStr">
        <is>
          <t>01a1212c-58d8-701b-87af-483022eaf2df</t>
        </is>
      </c>
      <c r="C993" s="5" t="inlineStr">
        <is>
          <t>01a1212c-4b57-70cf-80fd-c2192cb3bf81</t>
        </is>
      </c>
      <c r="D993" s="4" t="n">
        <v>46304.62403806391</v>
      </c>
      <c r="E993" s="4" t="n">
        <v>46304.62403806399</v>
      </c>
      <c r="F993" t="b">
        <v>1</v>
      </c>
      <c r="G993" t="n">
        <v/>
      </c>
      <c r="H993" t="inlineStr">
        <is>
          <t>MKAX</t>
        </is>
      </c>
      <c r="I993" t="inlineStr">
        <is>
          <t>Montaka Global Extension Fund (Quoted Managed Hedge Fund)</t>
        </is>
      </c>
      <c r="J993" t="inlineStr">
        <is>
          <t>AUD</t>
        </is>
      </c>
      <c r="K993" s="5" t="inlineStr">
        <is>
          <t>01a1212c-4c04-75ce-bbb2-e3322e18816e</t>
        </is>
      </c>
      <c r="M993" t="inlineStr">
        <is>
          <t>UNKNOWN</t>
        </is>
      </c>
      <c r="N993" t="inlineStr">
        <is>
          <t>DEFAULT</t>
        </is>
      </c>
      <c r="Q993" t="n">
        <v>0</v>
      </c>
      <c r="R993" t="inlineStr">
        <is>
          <t>AUD</t>
        </is>
      </c>
      <c r="S993" t="n">
        <v>0</v>
      </c>
      <c r="T993" t="inlineStr">
        <is>
          <t>AUD</t>
        </is>
      </c>
      <c r="U993" t="n">
        <v>0</v>
      </c>
    </row>
    <row r="994">
      <c r="A994" s="5" t="inlineStr">
        <is>
          <t>01a1212c-58db-74c8-8451-9d65c092d2f7</t>
        </is>
      </c>
      <c r="C994" s="5" t="inlineStr">
        <is>
          <t>01a1212c-4b57-70cf-80fd-c2192cb3bf81</t>
        </is>
      </c>
      <c r="D994" s="4" t="n">
        <v>46304.62403809687</v>
      </c>
      <c r="E994" s="4" t="n">
        <v>46304.62403809707</v>
      </c>
      <c r="F994" t="b">
        <v>1</v>
      </c>
      <c r="G994" t="n">
        <v/>
      </c>
      <c r="H994" t="inlineStr">
        <is>
          <t>NWF</t>
        </is>
      </c>
      <c r="I994" t="inlineStr">
        <is>
          <t>Newfield Resources Ltd</t>
        </is>
      </c>
      <c r="J994" t="inlineStr">
        <is>
          <t>AUD</t>
        </is>
      </c>
      <c r="K994" s="5" t="inlineStr">
        <is>
          <t>01a1212c-4c04-75ce-bbb2-e3322e18816e</t>
        </is>
      </c>
      <c r="M994" t="inlineStr">
        <is>
          <t>UNKNOWN</t>
        </is>
      </c>
      <c r="N994" t="inlineStr">
        <is>
          <t>DEFAULT</t>
        </is>
      </c>
      <c r="Q994" t="n">
        <v>0</v>
      </c>
      <c r="R994" t="inlineStr">
        <is>
          <t>AUD</t>
        </is>
      </c>
      <c r="S994" t="n">
        <v>0</v>
      </c>
      <c r="T994" t="inlineStr">
        <is>
          <t>AUD</t>
        </is>
      </c>
      <c r="U994" t="n">
        <v>0</v>
      </c>
    </row>
    <row r="995">
      <c r="A995" s="5" t="inlineStr">
        <is>
          <t>01a1212c-58de-737f-a790-345a740e6694</t>
        </is>
      </c>
      <c r="C995" s="5" t="inlineStr">
        <is>
          <t>01a1212c-4b57-70cf-80fd-c2192cb3bf81</t>
        </is>
      </c>
      <c r="D995" s="4" t="n">
        <v>46304.6240381305</v>
      </c>
      <c r="E995" s="4" t="n">
        <v>46304.62403813058</v>
      </c>
      <c r="F995" t="b">
        <v>1</v>
      </c>
      <c r="G995" t="n">
        <v/>
      </c>
      <c r="H995" t="inlineStr">
        <is>
          <t>LIS</t>
        </is>
      </c>
      <c r="I995" t="inlineStr">
        <is>
          <t>Li-S Energy Ltd</t>
        </is>
      </c>
      <c r="J995" t="inlineStr">
        <is>
          <t>AUD</t>
        </is>
      </c>
      <c r="K995" s="5" t="inlineStr">
        <is>
          <t>01a1212c-4c04-75ce-bbb2-e3322e18816e</t>
        </is>
      </c>
      <c r="M995" t="inlineStr">
        <is>
          <t>UNKNOWN</t>
        </is>
      </c>
      <c r="N995" t="inlineStr">
        <is>
          <t>DEFAULT</t>
        </is>
      </c>
      <c r="Q995" t="n">
        <v>0</v>
      </c>
      <c r="R995" t="inlineStr">
        <is>
          <t>AUD</t>
        </is>
      </c>
      <c r="S995" t="n">
        <v>0</v>
      </c>
      <c r="T995" t="inlineStr">
        <is>
          <t>AUD</t>
        </is>
      </c>
      <c r="U995" t="n">
        <v>0</v>
      </c>
    </row>
    <row r="996">
      <c r="A996" s="5" t="inlineStr">
        <is>
          <t>01a1212c-58e1-7273-9ec4-e636320307e2</t>
        </is>
      </c>
      <c r="C996" s="5" t="inlineStr">
        <is>
          <t>01a1212c-4b57-70cf-80fd-c2192cb3bf81</t>
        </is>
      </c>
      <c r="D996" s="4" t="n">
        <v>46304.62403816143</v>
      </c>
      <c r="E996" s="4" t="n">
        <v>46304.62403816151</v>
      </c>
      <c r="F996" t="b">
        <v>1</v>
      </c>
      <c r="G996" t="n">
        <v/>
      </c>
      <c r="H996" t="inlineStr">
        <is>
          <t>TGN</t>
        </is>
      </c>
      <c r="I996" t="inlineStr">
        <is>
          <t>Tungsten Mining NL</t>
        </is>
      </c>
      <c r="J996" t="inlineStr">
        <is>
          <t>AUD</t>
        </is>
      </c>
      <c r="K996" s="5" t="inlineStr">
        <is>
          <t>01a1212c-4c04-75ce-bbb2-e3322e18816e</t>
        </is>
      </c>
      <c r="M996" t="inlineStr">
        <is>
          <t>UNKNOWN</t>
        </is>
      </c>
      <c r="N996" t="inlineStr">
        <is>
          <t>DEFAULT</t>
        </is>
      </c>
      <c r="Q996" t="n">
        <v>0</v>
      </c>
      <c r="R996" t="inlineStr">
        <is>
          <t>AUD</t>
        </is>
      </c>
      <c r="S996" t="n">
        <v>0</v>
      </c>
      <c r="T996" t="inlineStr">
        <is>
          <t>AUD</t>
        </is>
      </c>
      <c r="U996" t="n">
        <v>0</v>
      </c>
    </row>
    <row r="997">
      <c r="A997" s="5" t="inlineStr">
        <is>
          <t>01a1212c-58e4-7219-87dd-b55e7985ee77</t>
        </is>
      </c>
      <c r="C997" s="5" t="inlineStr">
        <is>
          <t>01a1212c-4b57-70cf-80fd-c2192cb3bf81</t>
        </is>
      </c>
      <c r="D997" s="4" t="n">
        <v>46304.62403819626</v>
      </c>
      <c r="E997" s="4" t="n">
        <v>46304.62403819634</v>
      </c>
      <c r="F997" t="b">
        <v>1</v>
      </c>
      <c r="G997" t="n">
        <v/>
      </c>
      <c r="H997" t="inlineStr">
        <is>
          <t>AUMF</t>
        </is>
      </c>
      <c r="I997" t="inlineStr">
        <is>
          <t>Ishares Edge MSCI Australia Multifactor ETF</t>
        </is>
      </c>
      <c r="J997" t="inlineStr">
        <is>
          <t>AUD</t>
        </is>
      </c>
      <c r="K997" s="5" t="inlineStr">
        <is>
          <t>01a1212c-4c04-75ce-bbb2-e3322e18816e</t>
        </is>
      </c>
      <c r="M997" t="inlineStr">
        <is>
          <t>UNKNOWN</t>
        </is>
      </c>
      <c r="N997" t="inlineStr">
        <is>
          <t>DEFAULT</t>
        </is>
      </c>
      <c r="Q997" t="n">
        <v>0</v>
      </c>
      <c r="R997" t="inlineStr">
        <is>
          <t>AUD</t>
        </is>
      </c>
      <c r="S997" t="n">
        <v>0</v>
      </c>
      <c r="T997" t="inlineStr">
        <is>
          <t>AUD</t>
        </is>
      </c>
      <c r="U997" t="n">
        <v>0</v>
      </c>
    </row>
    <row r="998">
      <c r="A998" s="5" t="inlineStr">
        <is>
          <t>01a1212c-58e6-7185-a0eb-74b72c13b174</t>
        </is>
      </c>
      <c r="C998" s="5" t="inlineStr">
        <is>
          <t>01a1212c-4b57-70cf-80fd-c2192cb3bf81</t>
        </is>
      </c>
      <c r="D998" s="4" t="n">
        <v>46304.62403822941</v>
      </c>
      <c r="E998" s="4" t="n">
        <v>46304.62403822949</v>
      </c>
      <c r="F998" t="b">
        <v>1</v>
      </c>
      <c r="G998" t="n">
        <v/>
      </c>
      <c r="H998" t="inlineStr">
        <is>
          <t>EUR</t>
        </is>
      </c>
      <c r="I998" t="inlineStr">
        <is>
          <t>European Lithium Ltd</t>
        </is>
      </c>
      <c r="J998" t="inlineStr">
        <is>
          <t>AUD</t>
        </is>
      </c>
      <c r="K998" s="5" t="inlineStr">
        <is>
          <t>01a1212c-4c04-75ce-bbb2-e3322e18816e</t>
        </is>
      </c>
      <c r="M998" t="inlineStr">
        <is>
          <t>UNKNOWN</t>
        </is>
      </c>
      <c r="N998" t="inlineStr">
        <is>
          <t>DEFAULT</t>
        </is>
      </c>
      <c r="Q998" t="n">
        <v>0</v>
      </c>
      <c r="R998" t="inlineStr">
        <is>
          <t>AUD</t>
        </is>
      </c>
      <c r="S998" t="n">
        <v>0</v>
      </c>
      <c r="T998" t="inlineStr">
        <is>
          <t>AUD</t>
        </is>
      </c>
      <c r="U998" t="n">
        <v>0</v>
      </c>
    </row>
    <row r="999">
      <c r="A999" s="5" t="inlineStr">
        <is>
          <t>01a1212c-58e9-7103-85f6-0f4c563dcfa8</t>
        </is>
      </c>
      <c r="C999" s="5" t="inlineStr">
        <is>
          <t>01a1212c-4b57-70cf-80fd-c2192cb3bf81</t>
        </is>
      </c>
      <c r="D999" s="4" t="n">
        <v>46304.62403826071</v>
      </c>
      <c r="E999" s="4" t="n">
        <v>46304.62403826079</v>
      </c>
      <c r="F999" t="b">
        <v>1</v>
      </c>
      <c r="G999" t="n">
        <v/>
      </c>
      <c r="H999" t="inlineStr">
        <is>
          <t>LEND</t>
        </is>
      </c>
      <c r="I999" t="inlineStr">
        <is>
          <t>Vaneck GLBL Listed Private Credit (Aud Hedged) ETF</t>
        </is>
      </c>
      <c r="J999" t="inlineStr">
        <is>
          <t>AUD</t>
        </is>
      </c>
      <c r="K999" s="5" t="inlineStr">
        <is>
          <t>01a1212c-4c04-75ce-bbb2-e3322e18816e</t>
        </is>
      </c>
      <c r="M999" t="inlineStr">
        <is>
          <t>UNKNOWN</t>
        </is>
      </c>
      <c r="N999" t="inlineStr">
        <is>
          <t>DEFAULT</t>
        </is>
      </c>
      <c r="Q999" t="n">
        <v>0</v>
      </c>
      <c r="R999" t="inlineStr">
        <is>
          <t>AUD</t>
        </is>
      </c>
      <c r="S999" t="n">
        <v>0</v>
      </c>
      <c r="T999" t="inlineStr">
        <is>
          <t>AUD</t>
        </is>
      </c>
      <c r="U999" t="n">
        <v>0</v>
      </c>
    </row>
    <row r="1000">
      <c r="A1000" s="5" t="inlineStr">
        <is>
          <t>01a1212c-58ec-7186-832b-8c730eb30877</t>
        </is>
      </c>
      <c r="C1000" s="5" t="inlineStr">
        <is>
          <t>01a1212c-4b57-70cf-80fd-c2192cb3bf81</t>
        </is>
      </c>
      <c r="D1000" s="4" t="n">
        <v>46304.62403829184</v>
      </c>
      <c r="E1000" s="4" t="n">
        <v>46304.62403829192</v>
      </c>
      <c r="F1000" t="b">
        <v>1</v>
      </c>
      <c r="G1000" t="n">
        <v/>
      </c>
      <c r="H1000" t="inlineStr">
        <is>
          <t>JPEQ</t>
        </is>
      </c>
      <c r="I1000" t="inlineStr">
        <is>
          <t>JPM US100Q EQ Prem Inc Active ETF (Managed Fund)</t>
        </is>
      </c>
      <c r="J1000" t="inlineStr">
        <is>
          <t>AUD</t>
        </is>
      </c>
      <c r="K1000" s="5" t="inlineStr">
        <is>
          <t>01a1212c-4c04-75ce-bbb2-e3322e18816e</t>
        </is>
      </c>
      <c r="M1000" t="inlineStr">
        <is>
          <t>UNKNOWN</t>
        </is>
      </c>
      <c r="N1000" t="inlineStr">
        <is>
          <t>DEFAULT</t>
        </is>
      </c>
      <c r="Q1000" t="n">
        <v>0</v>
      </c>
      <c r="R1000" t="inlineStr">
        <is>
          <t>AUD</t>
        </is>
      </c>
      <c r="S1000" t="n">
        <v>0</v>
      </c>
      <c r="T1000" t="inlineStr">
        <is>
          <t>AUD</t>
        </is>
      </c>
      <c r="U1000" t="n">
        <v>0</v>
      </c>
    </row>
    <row r="1001">
      <c r="A1001" s="5" t="inlineStr">
        <is>
          <t>01a1212c-58ef-7163-9f39-86d9c1e08f9a</t>
        </is>
      </c>
      <c r="C1001" s="5" t="inlineStr">
        <is>
          <t>01a1212c-4b57-70cf-80fd-c2192cb3bf81</t>
        </is>
      </c>
      <c r="D1001" s="4" t="n">
        <v>46304.62403832455</v>
      </c>
      <c r="E1001" s="4" t="n">
        <v>46304.62403832463</v>
      </c>
      <c r="F1001" t="b">
        <v>1</v>
      </c>
      <c r="G1001" t="n">
        <v/>
      </c>
      <c r="H1001" t="inlineStr">
        <is>
          <t>USD</t>
        </is>
      </c>
      <c r="I1001" t="inlineStr">
        <is>
          <t>Betashares U.S. Dollar ETF</t>
        </is>
      </c>
      <c r="J1001" t="inlineStr">
        <is>
          <t>AUD</t>
        </is>
      </c>
      <c r="K1001" s="5" t="inlineStr">
        <is>
          <t>01a1212c-4c04-75ce-bbb2-e3322e18816e</t>
        </is>
      </c>
      <c r="M1001" t="inlineStr">
        <is>
          <t>UNKNOWN</t>
        </is>
      </c>
      <c r="N1001" t="inlineStr">
        <is>
          <t>DEFAULT</t>
        </is>
      </c>
      <c r="Q1001" t="n">
        <v>0</v>
      </c>
      <c r="R1001" t="inlineStr">
        <is>
          <t>AUD</t>
        </is>
      </c>
      <c r="S1001" t="n">
        <v>0</v>
      </c>
      <c r="T1001" t="inlineStr">
        <is>
          <t>AUD</t>
        </is>
      </c>
      <c r="U1001" t="n">
        <v>0</v>
      </c>
    </row>
    <row r="1002">
      <c r="A1002" s="5" t="inlineStr">
        <is>
          <t>01a1212c-58f1-7058-ae2a-f852959f7cf7</t>
        </is>
      </c>
      <c r="C1002" s="5" t="inlineStr">
        <is>
          <t>01a1212c-4b57-70cf-80fd-c2192cb3bf81</t>
        </is>
      </c>
      <c r="D1002" s="4" t="n">
        <v>46304.6240383566</v>
      </c>
      <c r="E1002" s="4" t="n">
        <v>46304.62403835668</v>
      </c>
      <c r="F1002" t="b">
        <v>1</v>
      </c>
      <c r="G1002" t="n">
        <v/>
      </c>
      <c r="H1002" t="inlineStr">
        <is>
          <t>MDX</t>
        </is>
      </c>
      <c r="I1002" t="inlineStr">
        <is>
          <t>Mindax Ltd</t>
        </is>
      </c>
      <c r="J1002" t="inlineStr">
        <is>
          <t>AUD</t>
        </is>
      </c>
      <c r="K1002" s="5" t="inlineStr">
        <is>
          <t>01a1212c-4c04-75ce-bbb2-e3322e18816e</t>
        </is>
      </c>
      <c r="M1002" t="inlineStr">
        <is>
          <t>UNKNOWN</t>
        </is>
      </c>
      <c r="N1002" t="inlineStr">
        <is>
          <t>DEFAULT</t>
        </is>
      </c>
      <c r="Q1002" t="n">
        <v>0</v>
      </c>
      <c r="R1002" t="inlineStr">
        <is>
          <t>AUD</t>
        </is>
      </c>
      <c r="S1002" t="n">
        <v>0</v>
      </c>
      <c r="T1002" t="inlineStr">
        <is>
          <t>AUD</t>
        </is>
      </c>
      <c r="U1002" t="n">
        <v>0</v>
      </c>
    </row>
    <row r="1003">
      <c r="A1003" s="5" t="inlineStr">
        <is>
          <t>01a1212c-58f4-7211-8cd2-85b3e08c70ed</t>
        </is>
      </c>
      <c r="C1003" s="5" t="inlineStr">
        <is>
          <t>01a1212c-4b57-70cf-80fd-c2192cb3bf81</t>
        </is>
      </c>
      <c r="D1003" s="4" t="n">
        <v>46304.62403838745</v>
      </c>
      <c r="E1003" s="4" t="n">
        <v>46304.62403838753</v>
      </c>
      <c r="F1003" t="b">
        <v>1</v>
      </c>
      <c r="G1003" t="n">
        <v/>
      </c>
      <c r="H1003" t="inlineStr">
        <is>
          <t>PLL</t>
        </is>
      </c>
      <c r="I1003" t="inlineStr">
        <is>
          <t>Piedmont Lithium Inc</t>
        </is>
      </c>
      <c r="J1003" t="inlineStr">
        <is>
          <t>AUD</t>
        </is>
      </c>
      <c r="K1003" s="5" t="inlineStr">
        <is>
          <t>01a1212c-4c04-75ce-bbb2-e3322e18816e</t>
        </is>
      </c>
      <c r="M1003" t="inlineStr">
        <is>
          <t>UNKNOWN</t>
        </is>
      </c>
      <c r="N1003" t="inlineStr">
        <is>
          <t>DEFAULT</t>
        </is>
      </c>
      <c r="Q1003" t="n">
        <v>0</v>
      </c>
      <c r="R1003" t="inlineStr">
        <is>
          <t>AUD</t>
        </is>
      </c>
      <c r="S1003" t="n">
        <v>0</v>
      </c>
      <c r="T1003" t="inlineStr">
        <is>
          <t>AUD</t>
        </is>
      </c>
      <c r="U1003" t="n">
        <v>0</v>
      </c>
    </row>
    <row r="1004">
      <c r="A1004" s="5" t="inlineStr">
        <is>
          <t>01a1212c-58f7-75f6-9c44-bf6a5b57c663</t>
        </is>
      </c>
      <c r="C1004" s="5" t="inlineStr">
        <is>
          <t>01a1212c-4b57-70cf-80fd-c2192cb3bf81</t>
        </is>
      </c>
      <c r="D1004" s="4" t="n">
        <v>46304.62403841808</v>
      </c>
      <c r="E1004" s="4" t="n">
        <v>46304.62403841815</v>
      </c>
      <c r="F1004" t="b">
        <v>1</v>
      </c>
      <c r="G1004" t="n">
        <v/>
      </c>
      <c r="H1004" t="inlineStr">
        <is>
          <t>ACW</t>
        </is>
      </c>
      <c r="I1004" t="inlineStr">
        <is>
          <t>Actinogen Medical Ltd</t>
        </is>
      </c>
      <c r="J1004" t="inlineStr">
        <is>
          <t>AUD</t>
        </is>
      </c>
      <c r="K1004" s="5" t="inlineStr">
        <is>
          <t>01a1212c-4c04-75ce-bbb2-e3322e18816e</t>
        </is>
      </c>
      <c r="M1004" t="inlineStr">
        <is>
          <t>UNKNOWN</t>
        </is>
      </c>
      <c r="N1004" t="inlineStr">
        <is>
          <t>DEFAULT</t>
        </is>
      </c>
      <c r="Q1004" t="n">
        <v>0</v>
      </c>
      <c r="R1004" t="inlineStr">
        <is>
          <t>AUD</t>
        </is>
      </c>
      <c r="S1004" t="n">
        <v>0</v>
      </c>
      <c r="T1004" t="inlineStr">
        <is>
          <t>AUD</t>
        </is>
      </c>
      <c r="U1004" t="n">
        <v>0</v>
      </c>
    </row>
    <row r="1005">
      <c r="A1005" s="5" t="inlineStr">
        <is>
          <t>01a1212c-58f9-7528-8ff6-cf7c4ed06787</t>
        </is>
      </c>
      <c r="C1005" s="5" t="inlineStr">
        <is>
          <t>01a1212c-4b57-70cf-80fd-c2192cb3bf81</t>
        </is>
      </c>
      <c r="D1005" s="4" t="n">
        <v>46304.62403844856</v>
      </c>
      <c r="E1005" s="4" t="n">
        <v>46304.62403844864</v>
      </c>
      <c r="F1005" t="b">
        <v>1</v>
      </c>
      <c r="G1005" t="n">
        <v/>
      </c>
      <c r="H1005" t="inlineStr">
        <is>
          <t>MNRS</t>
        </is>
      </c>
      <c r="I1005" t="inlineStr">
        <is>
          <t>Betashares Global Gold Miners Currency Hedged ETF</t>
        </is>
      </c>
      <c r="J1005" t="inlineStr">
        <is>
          <t>AUD</t>
        </is>
      </c>
      <c r="K1005" s="5" t="inlineStr">
        <is>
          <t>01a1212c-4c04-75ce-bbb2-e3322e18816e</t>
        </is>
      </c>
      <c r="M1005" t="inlineStr">
        <is>
          <t>UNKNOWN</t>
        </is>
      </c>
      <c r="N1005" t="inlineStr">
        <is>
          <t>DEFAULT</t>
        </is>
      </c>
      <c r="Q1005" t="n">
        <v>0</v>
      </c>
      <c r="R1005" t="inlineStr">
        <is>
          <t>AUD</t>
        </is>
      </c>
      <c r="S1005" t="n">
        <v>0</v>
      </c>
      <c r="T1005" t="inlineStr">
        <is>
          <t>AUD</t>
        </is>
      </c>
      <c r="U1005" t="n">
        <v>0</v>
      </c>
    </row>
    <row r="1006">
      <c r="A1006" s="5" t="inlineStr">
        <is>
          <t>01a1212c-58fc-7358-9e45-4682f3cf89f8</t>
        </is>
      </c>
      <c r="C1006" s="5" t="inlineStr">
        <is>
          <t>01a1212c-4b57-70cf-80fd-c2192cb3bf81</t>
        </is>
      </c>
      <c r="D1006" s="4" t="n">
        <v>46304.62403847893</v>
      </c>
      <c r="E1006" s="4" t="n">
        <v>46304.62403847901</v>
      </c>
      <c r="F1006" t="b">
        <v>1</v>
      </c>
      <c r="G1006" t="n">
        <v/>
      </c>
      <c r="H1006" t="inlineStr">
        <is>
          <t>BMT</t>
        </is>
      </c>
      <c r="I1006" t="inlineStr">
        <is>
          <t>Beamtree Holdings Ltd</t>
        </is>
      </c>
      <c r="J1006" t="inlineStr">
        <is>
          <t>AUD</t>
        </is>
      </c>
      <c r="K1006" s="5" t="inlineStr">
        <is>
          <t>01a1212c-4c04-75ce-bbb2-e3322e18816e</t>
        </is>
      </c>
      <c r="M1006" t="inlineStr">
        <is>
          <t>UNKNOWN</t>
        </is>
      </c>
      <c r="N1006" t="inlineStr">
        <is>
          <t>DEFAULT</t>
        </is>
      </c>
      <c r="Q1006" t="n">
        <v>0</v>
      </c>
      <c r="R1006" t="inlineStr">
        <is>
          <t>AUD</t>
        </is>
      </c>
      <c r="S1006" t="n">
        <v>0</v>
      </c>
      <c r="T1006" t="inlineStr">
        <is>
          <t>AUD</t>
        </is>
      </c>
      <c r="U1006" t="n">
        <v>0</v>
      </c>
    </row>
    <row r="1007">
      <c r="A1007" s="5" t="inlineStr">
        <is>
          <t>01a1212c-58ff-7419-99d5-c1836d22d92a</t>
        </is>
      </c>
      <c r="C1007" s="5" t="inlineStr">
        <is>
          <t>01a1212c-4b57-70cf-80fd-c2192cb3bf81</t>
        </is>
      </c>
      <c r="D1007" s="4" t="n">
        <v>46304.62403851336</v>
      </c>
      <c r="E1007" s="4" t="n">
        <v>46304.62403851342</v>
      </c>
      <c r="F1007" t="b">
        <v>1</v>
      </c>
      <c r="G1007" t="n">
        <v/>
      </c>
      <c r="H1007" t="inlineStr">
        <is>
          <t>AGN</t>
        </is>
      </c>
      <c r="I1007" t="inlineStr">
        <is>
          <t>Argenica Therapeutics Ltd</t>
        </is>
      </c>
      <c r="J1007" t="inlineStr">
        <is>
          <t>AUD</t>
        </is>
      </c>
      <c r="K1007" s="5" t="inlineStr">
        <is>
          <t>01a1212c-4c04-75ce-bbb2-e3322e18816e</t>
        </is>
      </c>
      <c r="M1007" t="inlineStr">
        <is>
          <t>UNKNOWN</t>
        </is>
      </c>
      <c r="N1007" t="inlineStr">
        <is>
          <t>DEFAULT</t>
        </is>
      </c>
      <c r="Q1007" t="n">
        <v>0</v>
      </c>
      <c r="R1007" t="inlineStr">
        <is>
          <t>AUD</t>
        </is>
      </c>
      <c r="S1007" t="n">
        <v>0</v>
      </c>
      <c r="T1007" t="inlineStr">
        <is>
          <t>AUD</t>
        </is>
      </c>
      <c r="U1007" t="n">
        <v>0</v>
      </c>
    </row>
    <row r="1008">
      <c r="A1008" s="5" t="inlineStr">
        <is>
          <t>01a1212c-5902-74df-a58a-5ccf0121ec95</t>
        </is>
      </c>
      <c r="C1008" s="5" t="inlineStr">
        <is>
          <t>01a1212c-4b57-70cf-80fd-c2192cb3bf81</t>
        </is>
      </c>
      <c r="D1008" s="4" t="n">
        <v>46304.62403854357</v>
      </c>
      <c r="E1008" s="4" t="n">
        <v>46304.62403854365</v>
      </c>
      <c r="F1008" t="b">
        <v>1</v>
      </c>
      <c r="G1008" t="n">
        <v/>
      </c>
      <c r="H1008" t="inlineStr">
        <is>
          <t>AL3</t>
        </is>
      </c>
      <c r="I1008" t="inlineStr">
        <is>
          <t>AML3D Ltd</t>
        </is>
      </c>
      <c r="J1008" t="inlineStr">
        <is>
          <t>AUD</t>
        </is>
      </c>
      <c r="K1008" s="5" t="inlineStr">
        <is>
          <t>01a1212c-4c04-75ce-bbb2-e3322e18816e</t>
        </is>
      </c>
      <c r="M1008" t="inlineStr">
        <is>
          <t>UNKNOWN</t>
        </is>
      </c>
      <c r="N1008" t="inlineStr">
        <is>
          <t>DEFAULT</t>
        </is>
      </c>
      <c r="Q1008" t="n">
        <v>0</v>
      </c>
      <c r="R1008" t="inlineStr">
        <is>
          <t>AUD</t>
        </is>
      </c>
      <c r="S1008" t="n">
        <v>0</v>
      </c>
      <c r="T1008" t="inlineStr">
        <is>
          <t>AUD</t>
        </is>
      </c>
      <c r="U1008" t="n">
        <v>0</v>
      </c>
    </row>
    <row r="1009">
      <c r="A1009" s="5" t="inlineStr">
        <is>
          <t>01a1212c-5904-73ba-a8fd-9e0bdd5297e5</t>
        </is>
      </c>
      <c r="C1009" s="5" t="inlineStr">
        <is>
          <t>01a1212c-4b57-70cf-80fd-c2192cb3bf81</t>
        </is>
      </c>
      <c r="D1009" s="4" t="n">
        <v>46304.62403857455</v>
      </c>
      <c r="E1009" s="4" t="n">
        <v>46304.62403857462</v>
      </c>
      <c r="F1009" t="b">
        <v>1</v>
      </c>
      <c r="G1009" t="n">
        <v/>
      </c>
      <c r="H1009" t="inlineStr">
        <is>
          <t>ECH</t>
        </is>
      </c>
      <c r="I1009" t="inlineStr">
        <is>
          <t>Echelon Resources Ltd</t>
        </is>
      </c>
      <c r="J1009" t="inlineStr">
        <is>
          <t>AUD</t>
        </is>
      </c>
      <c r="K1009" s="5" t="inlineStr">
        <is>
          <t>01a1212c-4c04-75ce-bbb2-e3322e18816e</t>
        </is>
      </c>
      <c r="M1009" t="inlineStr">
        <is>
          <t>UNKNOWN</t>
        </is>
      </c>
      <c r="N1009" t="inlineStr">
        <is>
          <t>DEFAULT</t>
        </is>
      </c>
      <c r="Q1009" t="n">
        <v>0</v>
      </c>
      <c r="R1009" t="inlineStr">
        <is>
          <t>AUD</t>
        </is>
      </c>
      <c r="S1009" t="n">
        <v>0</v>
      </c>
      <c r="T1009" t="inlineStr">
        <is>
          <t>AUD</t>
        </is>
      </c>
      <c r="U1009" t="n">
        <v>0</v>
      </c>
    </row>
    <row r="1010">
      <c r="A1010" s="5" t="inlineStr">
        <is>
          <t>01a1212c-5907-7156-a09c-bc5354bb38f3</t>
        </is>
      </c>
      <c r="C1010" s="5" t="inlineStr">
        <is>
          <t>01a1212c-4b57-70cf-80fd-c2192cb3bf81</t>
        </is>
      </c>
      <c r="D1010" s="4" t="n">
        <v>46304.62403860495</v>
      </c>
      <c r="E1010" s="4" t="n">
        <v>46304.62403860503</v>
      </c>
      <c r="F1010" t="b">
        <v>1</v>
      </c>
      <c r="G1010" t="n">
        <v/>
      </c>
      <c r="H1010" t="inlineStr">
        <is>
          <t>AYA</t>
        </is>
      </c>
      <c r="I1010" t="inlineStr">
        <is>
          <t>ARTRYA Ltd</t>
        </is>
      </c>
      <c r="J1010" t="inlineStr">
        <is>
          <t>AUD</t>
        </is>
      </c>
      <c r="K1010" s="5" t="inlineStr">
        <is>
          <t>01a1212c-4c04-75ce-bbb2-e3322e18816e</t>
        </is>
      </c>
      <c r="M1010" t="inlineStr">
        <is>
          <t>UNKNOWN</t>
        </is>
      </c>
      <c r="N1010" t="inlineStr">
        <is>
          <t>DEFAULT</t>
        </is>
      </c>
      <c r="Q1010" t="n">
        <v>0</v>
      </c>
      <c r="R1010" t="inlineStr">
        <is>
          <t>AUD</t>
        </is>
      </c>
      <c r="S1010" t="n">
        <v>0</v>
      </c>
      <c r="T1010" t="inlineStr">
        <is>
          <t>AUD</t>
        </is>
      </c>
      <c r="U1010" t="n">
        <v>0</v>
      </c>
    </row>
    <row r="1011">
      <c r="A1011" s="5" t="inlineStr">
        <is>
          <t>01a1212c-590a-7279-a908-e0cd7940e4ee</t>
        </is>
      </c>
      <c r="C1011" s="5" t="inlineStr">
        <is>
          <t>01a1212c-4b57-70cf-80fd-c2192cb3bf81</t>
        </is>
      </c>
      <c r="D1011" s="4" t="n">
        <v>46304.62403863743</v>
      </c>
      <c r="E1011" s="4" t="n">
        <v>46304.6240386375</v>
      </c>
      <c r="F1011" t="b">
        <v>1</v>
      </c>
      <c r="G1011" t="n">
        <v/>
      </c>
      <c r="H1011" t="inlineStr">
        <is>
          <t>RIM</t>
        </is>
      </c>
      <c r="I1011" t="inlineStr">
        <is>
          <t>Rimfire Pacific Mining Ltd</t>
        </is>
      </c>
      <c r="J1011" t="inlineStr">
        <is>
          <t>AUD</t>
        </is>
      </c>
      <c r="K1011" s="5" t="inlineStr">
        <is>
          <t>01a1212c-4c04-75ce-bbb2-e3322e18816e</t>
        </is>
      </c>
      <c r="M1011" t="inlineStr">
        <is>
          <t>UNKNOWN</t>
        </is>
      </c>
      <c r="N1011" t="inlineStr">
        <is>
          <t>DEFAULT</t>
        </is>
      </c>
      <c r="Q1011" t="n">
        <v>0</v>
      </c>
      <c r="R1011" t="inlineStr">
        <is>
          <t>AUD</t>
        </is>
      </c>
      <c r="S1011" t="n">
        <v>0</v>
      </c>
      <c r="T1011" t="inlineStr">
        <is>
          <t>AUD</t>
        </is>
      </c>
      <c r="U1011" t="n">
        <v>0</v>
      </c>
    </row>
    <row r="1012">
      <c r="A1012" s="5" t="inlineStr">
        <is>
          <t>01a1212c-590c-7117-b8dd-99847aaf6ddc</t>
        </is>
      </c>
      <c r="C1012" s="5" t="inlineStr">
        <is>
          <t>01a1212c-4b57-70cf-80fd-c2192cb3bf81</t>
        </is>
      </c>
      <c r="D1012" s="4" t="n">
        <v>46304.62403866785</v>
      </c>
      <c r="E1012" s="4" t="n">
        <v>46304.62403866793</v>
      </c>
      <c r="F1012" t="b">
        <v>1</v>
      </c>
      <c r="G1012" t="n">
        <v/>
      </c>
      <c r="H1012" t="inlineStr">
        <is>
          <t>APW</t>
        </is>
      </c>
      <c r="I1012" t="inlineStr">
        <is>
          <t>Aims Property Securities Fund</t>
        </is>
      </c>
      <c r="J1012" t="inlineStr">
        <is>
          <t>AUD</t>
        </is>
      </c>
      <c r="K1012" s="5" t="inlineStr">
        <is>
          <t>01a1212c-4c04-75ce-bbb2-e3322e18816e</t>
        </is>
      </c>
      <c r="M1012" t="inlineStr">
        <is>
          <t>UNKNOWN</t>
        </is>
      </c>
      <c r="N1012" t="inlineStr">
        <is>
          <t>DEFAULT</t>
        </is>
      </c>
      <c r="Q1012" t="n">
        <v>0</v>
      </c>
      <c r="R1012" t="inlineStr">
        <is>
          <t>AUD</t>
        </is>
      </c>
      <c r="S1012" t="n">
        <v>0</v>
      </c>
      <c r="T1012" t="inlineStr">
        <is>
          <t>AUD</t>
        </is>
      </c>
      <c r="U1012" t="n">
        <v>0</v>
      </c>
    </row>
    <row r="1013">
      <c r="A1013" s="5" t="inlineStr">
        <is>
          <t>01a1212c-590f-73c8-b5be-d231e86a5268</t>
        </is>
      </c>
      <c r="C1013" s="5" t="inlineStr">
        <is>
          <t>01a1212c-4b57-70cf-80fd-c2192cb3bf81</t>
        </is>
      </c>
      <c r="D1013" s="4" t="n">
        <v>46304.62403870079</v>
      </c>
      <c r="E1013" s="4" t="n">
        <v>46304.62403870088</v>
      </c>
      <c r="F1013" t="b">
        <v>1</v>
      </c>
      <c r="G1013" t="n">
        <v/>
      </c>
      <c r="H1013" t="inlineStr">
        <is>
          <t>ATG</t>
        </is>
      </c>
      <c r="I1013" t="inlineStr">
        <is>
          <t>Articore Group Ltd</t>
        </is>
      </c>
      <c r="J1013" t="inlineStr">
        <is>
          <t>AUD</t>
        </is>
      </c>
      <c r="K1013" s="5" t="inlineStr">
        <is>
          <t>01a1212c-4c04-75ce-bbb2-e3322e18816e</t>
        </is>
      </c>
      <c r="M1013" t="inlineStr">
        <is>
          <t>UNKNOWN</t>
        </is>
      </c>
      <c r="N1013" t="inlineStr">
        <is>
          <t>DEFAULT</t>
        </is>
      </c>
      <c r="Q1013" t="n">
        <v>0</v>
      </c>
      <c r="R1013" t="inlineStr">
        <is>
          <t>AUD</t>
        </is>
      </c>
      <c r="S1013" t="n">
        <v>0</v>
      </c>
      <c r="T1013" t="inlineStr">
        <is>
          <t>AUD</t>
        </is>
      </c>
      <c r="U1013" t="n">
        <v>0</v>
      </c>
    </row>
    <row r="1014">
      <c r="A1014" s="5" t="inlineStr">
        <is>
          <t>01a1212c-5912-74ae-8347-e615aed572b2</t>
        </is>
      </c>
      <c r="C1014" s="5" t="inlineStr">
        <is>
          <t>01a1212c-4b57-70cf-80fd-c2192cb3bf81</t>
        </is>
      </c>
      <c r="D1014" s="4" t="n">
        <v>46304.62403873183</v>
      </c>
      <c r="E1014" s="4" t="n">
        <v>46304.62403873191</v>
      </c>
      <c r="F1014" t="b">
        <v>1</v>
      </c>
      <c r="G1014" t="n">
        <v/>
      </c>
      <c r="H1014" t="inlineStr">
        <is>
          <t>WLD</t>
        </is>
      </c>
      <c r="I1014" t="inlineStr">
        <is>
          <t>Wellard Ltd</t>
        </is>
      </c>
      <c r="J1014" t="inlineStr">
        <is>
          <t>AUD</t>
        </is>
      </c>
      <c r="K1014" s="5" t="inlineStr">
        <is>
          <t>01a1212c-4c04-75ce-bbb2-e3322e18816e</t>
        </is>
      </c>
      <c r="M1014" t="inlineStr">
        <is>
          <t>UNKNOWN</t>
        </is>
      </c>
      <c r="N1014" t="inlineStr">
        <is>
          <t>DEFAULT</t>
        </is>
      </c>
      <c r="Q1014" t="n">
        <v>0</v>
      </c>
      <c r="R1014" t="inlineStr">
        <is>
          <t>AUD</t>
        </is>
      </c>
      <c r="S1014" t="n">
        <v>0</v>
      </c>
      <c r="T1014" t="inlineStr">
        <is>
          <t>AUD</t>
        </is>
      </c>
      <c r="U1014" t="n">
        <v>0</v>
      </c>
    </row>
    <row r="1015">
      <c r="A1015" s="5" t="inlineStr">
        <is>
          <t>01a1212c-5914-7321-ad7f-db785b0c9af5</t>
        </is>
      </c>
      <c r="C1015" s="5" t="inlineStr">
        <is>
          <t>01a1212c-4b57-70cf-80fd-c2192cb3bf81</t>
        </is>
      </c>
      <c r="D1015" s="4" t="n">
        <v>46304.62403876222</v>
      </c>
      <c r="E1015" s="4" t="n">
        <v>46304.62403876229</v>
      </c>
      <c r="F1015" t="b">
        <v>1</v>
      </c>
      <c r="G1015" t="n">
        <v/>
      </c>
      <c r="H1015" t="inlineStr">
        <is>
          <t>AESG</t>
        </is>
      </c>
      <c r="I1015" t="inlineStr">
        <is>
          <t>Ishares Global Aggregate Bond Esg (Aud Hedged) ETF</t>
        </is>
      </c>
      <c r="J1015" t="inlineStr">
        <is>
          <t>AUD</t>
        </is>
      </c>
      <c r="K1015" s="5" t="inlineStr">
        <is>
          <t>01a1212c-4c04-75ce-bbb2-e3322e18816e</t>
        </is>
      </c>
      <c r="M1015" t="inlineStr">
        <is>
          <t>UNKNOWN</t>
        </is>
      </c>
      <c r="N1015" t="inlineStr">
        <is>
          <t>DEFAULT</t>
        </is>
      </c>
      <c r="Q1015" t="n">
        <v>0</v>
      </c>
      <c r="R1015" t="inlineStr">
        <is>
          <t>AUD</t>
        </is>
      </c>
      <c r="S1015" t="n">
        <v>0</v>
      </c>
      <c r="T1015" t="inlineStr">
        <is>
          <t>AUD</t>
        </is>
      </c>
      <c r="U1015" t="n">
        <v>0</v>
      </c>
    </row>
    <row r="1016">
      <c r="A1016" s="5" t="inlineStr">
        <is>
          <t>01a1212c-5917-7320-b02e-b51e1b1bd9d4</t>
        </is>
      </c>
      <c r="C1016" s="5" t="inlineStr">
        <is>
          <t>01a1212c-4b57-70cf-80fd-c2192cb3bf81</t>
        </is>
      </c>
      <c r="D1016" s="4" t="n">
        <v>46304.62403879455</v>
      </c>
      <c r="E1016" s="4" t="n">
        <v>46304.62403879463</v>
      </c>
      <c r="F1016" t="b">
        <v>1</v>
      </c>
      <c r="G1016" t="n">
        <v/>
      </c>
      <c r="H1016" t="inlineStr">
        <is>
          <t>HIT</t>
        </is>
      </c>
      <c r="I1016" t="inlineStr">
        <is>
          <t>Hitech Group Australia Ltd</t>
        </is>
      </c>
      <c r="J1016" t="inlineStr">
        <is>
          <t>AUD</t>
        </is>
      </c>
      <c r="K1016" s="5" t="inlineStr">
        <is>
          <t>01a1212c-4c04-75ce-bbb2-e3322e18816e</t>
        </is>
      </c>
      <c r="M1016" t="inlineStr">
        <is>
          <t>UNKNOWN</t>
        </is>
      </c>
      <c r="N1016" t="inlineStr">
        <is>
          <t>DEFAULT</t>
        </is>
      </c>
      <c r="Q1016" t="n">
        <v>0</v>
      </c>
      <c r="R1016" t="inlineStr">
        <is>
          <t>AUD</t>
        </is>
      </c>
      <c r="S1016" t="n">
        <v>0</v>
      </c>
      <c r="T1016" t="inlineStr">
        <is>
          <t>AUD</t>
        </is>
      </c>
      <c r="U1016" t="n">
        <v>0</v>
      </c>
    </row>
    <row r="1017">
      <c r="A1017" s="5" t="inlineStr">
        <is>
          <t>01a1212c-591a-76c4-9e6b-1633ef481857</t>
        </is>
      </c>
      <c r="C1017" s="5" t="inlineStr">
        <is>
          <t>01a1212c-4b57-70cf-80fd-c2192cb3bf81</t>
        </is>
      </c>
      <c r="D1017" s="4" t="n">
        <v>46304.62403882504</v>
      </c>
      <c r="E1017" s="4" t="n">
        <v>46304.62403882512</v>
      </c>
      <c r="F1017" t="b">
        <v>1</v>
      </c>
      <c r="G1017" t="n">
        <v/>
      </c>
      <c r="H1017" t="inlineStr">
        <is>
          <t>ESPO</t>
        </is>
      </c>
      <c r="I1017" t="inlineStr">
        <is>
          <t>Vaneck Video Gaming and Esports ETF</t>
        </is>
      </c>
      <c r="J1017" t="inlineStr">
        <is>
          <t>AUD</t>
        </is>
      </c>
      <c r="K1017" s="5" t="inlineStr">
        <is>
          <t>01a1212c-4c04-75ce-bbb2-e3322e18816e</t>
        </is>
      </c>
      <c r="M1017" t="inlineStr">
        <is>
          <t>UNKNOWN</t>
        </is>
      </c>
      <c r="N1017" t="inlineStr">
        <is>
          <t>DEFAULT</t>
        </is>
      </c>
      <c r="Q1017" t="n">
        <v>0</v>
      </c>
      <c r="R1017" t="inlineStr">
        <is>
          <t>AUD</t>
        </is>
      </c>
      <c r="S1017" t="n">
        <v>0</v>
      </c>
      <c r="T1017" t="inlineStr">
        <is>
          <t>AUD</t>
        </is>
      </c>
      <c r="U1017" t="n">
        <v>0</v>
      </c>
    </row>
    <row r="1018">
      <c r="A1018" s="5" t="inlineStr">
        <is>
          <t>01a1212c-591d-7525-807d-a172a325c4d2</t>
        </is>
      </c>
      <c r="C1018" s="5" t="inlineStr">
        <is>
          <t>01a1212c-4b57-70cf-80fd-c2192cb3bf81</t>
        </is>
      </c>
      <c r="D1018" s="4" t="n">
        <v>46304.62403885537</v>
      </c>
      <c r="E1018" s="4" t="n">
        <v>46304.62403885544</v>
      </c>
      <c r="F1018" t="b">
        <v>1</v>
      </c>
      <c r="G1018" t="n">
        <v/>
      </c>
      <c r="H1018" t="inlineStr">
        <is>
          <t>SSL</t>
        </is>
      </c>
      <c r="I1018" t="inlineStr">
        <is>
          <t>Sietel Ltd</t>
        </is>
      </c>
      <c r="J1018" t="inlineStr">
        <is>
          <t>AUD</t>
        </is>
      </c>
      <c r="K1018" s="5" t="inlineStr">
        <is>
          <t>01a1212c-4c04-75ce-bbb2-e3322e18816e</t>
        </is>
      </c>
      <c r="M1018" t="inlineStr">
        <is>
          <t>UNKNOWN</t>
        </is>
      </c>
      <c r="N1018" t="inlineStr">
        <is>
          <t>DEFAULT</t>
        </is>
      </c>
      <c r="Q1018" t="n">
        <v>0</v>
      </c>
      <c r="R1018" t="inlineStr">
        <is>
          <t>AUD</t>
        </is>
      </c>
      <c r="S1018" t="n">
        <v>0</v>
      </c>
      <c r="T1018" t="inlineStr">
        <is>
          <t>AUD</t>
        </is>
      </c>
      <c r="U1018" t="n">
        <v>0</v>
      </c>
    </row>
    <row r="1019">
      <c r="A1019" s="5" t="inlineStr">
        <is>
          <t>01a1212c-591f-743f-9d3d-a45658c87f12</t>
        </is>
      </c>
      <c r="C1019" s="5" t="inlineStr">
        <is>
          <t>01a1212c-4b57-70cf-80fd-c2192cb3bf81</t>
        </is>
      </c>
      <c r="D1019" s="4" t="n">
        <v>46304.6240388866</v>
      </c>
      <c r="E1019" s="4" t="n">
        <v>46304.62403888668</v>
      </c>
      <c r="F1019" t="b">
        <v>1</v>
      </c>
      <c r="G1019" t="n">
        <v/>
      </c>
      <c r="H1019" t="inlineStr">
        <is>
          <t>SMN</t>
        </is>
      </c>
      <c r="I1019" t="inlineStr">
        <is>
          <t>Structural Monitoring Systems Plc</t>
        </is>
      </c>
      <c r="J1019" t="inlineStr">
        <is>
          <t>AUD</t>
        </is>
      </c>
      <c r="K1019" s="5" t="inlineStr">
        <is>
          <t>01a1212c-4c04-75ce-bbb2-e3322e18816e</t>
        </is>
      </c>
      <c r="M1019" t="inlineStr">
        <is>
          <t>UNKNOWN</t>
        </is>
      </c>
      <c r="N1019" t="inlineStr">
        <is>
          <t>DEFAULT</t>
        </is>
      </c>
      <c r="Q1019" t="n">
        <v>0</v>
      </c>
      <c r="R1019" t="inlineStr">
        <is>
          <t>AUD</t>
        </is>
      </c>
      <c r="S1019" t="n">
        <v>0</v>
      </c>
      <c r="T1019" t="inlineStr">
        <is>
          <t>AUD</t>
        </is>
      </c>
      <c r="U1019" t="n">
        <v>0</v>
      </c>
    </row>
    <row r="1020">
      <c r="A1020" s="5" t="inlineStr">
        <is>
          <t>01a1212c-5922-747e-8beb-a3757b39e116</t>
        </is>
      </c>
      <c r="C1020" s="5" t="inlineStr">
        <is>
          <t>01a1212c-4b57-70cf-80fd-c2192cb3bf81</t>
        </is>
      </c>
      <c r="D1020" s="4" t="n">
        <v>46304.62403891994</v>
      </c>
      <c r="E1020" s="4" t="n">
        <v>46304.62403892002</v>
      </c>
      <c r="F1020" t="b">
        <v>1</v>
      </c>
      <c r="G1020" t="n">
        <v/>
      </c>
      <c r="H1020" t="inlineStr">
        <is>
          <t>BSA</t>
        </is>
      </c>
      <c r="I1020" t="inlineStr">
        <is>
          <t>BSA Ltd</t>
        </is>
      </c>
      <c r="J1020" t="inlineStr">
        <is>
          <t>AUD</t>
        </is>
      </c>
      <c r="K1020" s="5" t="inlineStr">
        <is>
          <t>01a1212c-4c04-75ce-bbb2-e3322e18816e</t>
        </is>
      </c>
      <c r="M1020" t="inlineStr">
        <is>
          <t>UNKNOWN</t>
        </is>
      </c>
      <c r="N1020" t="inlineStr">
        <is>
          <t>DEFAULT</t>
        </is>
      </c>
      <c r="Q1020" t="n">
        <v>0</v>
      </c>
      <c r="R1020" t="inlineStr">
        <is>
          <t>AUD</t>
        </is>
      </c>
      <c r="S1020" t="n">
        <v>0</v>
      </c>
      <c r="T1020" t="inlineStr">
        <is>
          <t>AUD</t>
        </is>
      </c>
      <c r="U1020" t="n">
        <v>0</v>
      </c>
    </row>
    <row r="1021">
      <c r="A1021" s="5" t="inlineStr">
        <is>
          <t>01a1212c-5925-75ca-ab4e-5a03368ef52d</t>
        </is>
      </c>
      <c r="C1021" s="5" t="inlineStr">
        <is>
          <t>01a1212c-4b57-70cf-80fd-c2192cb3bf81</t>
        </is>
      </c>
      <c r="D1021" s="4" t="n">
        <v>46304.62403895081</v>
      </c>
      <c r="E1021" s="4" t="n">
        <v>46304.62403895088</v>
      </c>
      <c r="F1021" t="b">
        <v>1</v>
      </c>
      <c r="G1021" t="n">
        <v/>
      </c>
      <c r="H1021" t="inlineStr">
        <is>
          <t>LSX</t>
        </is>
      </c>
      <c r="I1021" t="inlineStr">
        <is>
          <t>Lion Selection Group Ltd</t>
        </is>
      </c>
      <c r="J1021" t="inlineStr">
        <is>
          <t>AUD</t>
        </is>
      </c>
      <c r="K1021" s="5" t="inlineStr">
        <is>
          <t>01a1212c-4c04-75ce-bbb2-e3322e18816e</t>
        </is>
      </c>
      <c r="M1021" t="inlineStr">
        <is>
          <t>UNKNOWN</t>
        </is>
      </c>
      <c r="N1021" t="inlineStr">
        <is>
          <t>DEFAULT</t>
        </is>
      </c>
      <c r="Q1021" t="n">
        <v>0</v>
      </c>
      <c r="R1021" t="inlineStr">
        <is>
          <t>AUD</t>
        </is>
      </c>
      <c r="S1021" t="n">
        <v>0</v>
      </c>
      <c r="T1021" t="inlineStr">
        <is>
          <t>AUD</t>
        </is>
      </c>
      <c r="U1021" t="n">
        <v>0</v>
      </c>
    </row>
    <row r="1022">
      <c r="A1022" s="5" t="inlineStr">
        <is>
          <t>01a1212c-5927-776e-a41f-c88efd1fad87</t>
        </is>
      </c>
      <c r="C1022" s="5" t="inlineStr">
        <is>
          <t>01a1212c-4b57-70cf-80fd-c2192cb3bf81</t>
        </is>
      </c>
      <c r="D1022" s="4" t="n">
        <v>46304.62403898122</v>
      </c>
      <c r="E1022" s="4" t="n">
        <v>46304.62403898129</v>
      </c>
      <c r="F1022" t="b">
        <v>1</v>
      </c>
      <c r="G1022" t="n">
        <v/>
      </c>
      <c r="H1022" t="inlineStr">
        <is>
          <t>MYG</t>
        </is>
      </c>
      <c r="I1022" t="inlineStr">
        <is>
          <t>Mayfield Group Holdings Ltd</t>
        </is>
      </c>
      <c r="J1022" t="inlineStr">
        <is>
          <t>AUD</t>
        </is>
      </c>
      <c r="K1022" s="5" t="inlineStr">
        <is>
          <t>01a1212c-4c04-75ce-bbb2-e3322e18816e</t>
        </is>
      </c>
      <c r="M1022" t="inlineStr">
        <is>
          <t>UNKNOWN</t>
        </is>
      </c>
      <c r="N1022" t="inlineStr">
        <is>
          <t>DEFAULT</t>
        </is>
      </c>
      <c r="Q1022" t="n">
        <v>0</v>
      </c>
      <c r="R1022" t="inlineStr">
        <is>
          <t>AUD</t>
        </is>
      </c>
      <c r="S1022" t="n">
        <v>0</v>
      </c>
      <c r="T1022" t="inlineStr">
        <is>
          <t>AUD</t>
        </is>
      </c>
      <c r="U1022" t="n">
        <v>0</v>
      </c>
    </row>
    <row r="1023">
      <c r="A1023" s="5" t="inlineStr">
        <is>
          <t>01a1212c-592a-7566-93c9-e8855a5abbf7</t>
        </is>
      </c>
      <c r="C1023" s="5" t="inlineStr">
        <is>
          <t>01a1212c-4b57-70cf-80fd-c2192cb3bf81</t>
        </is>
      </c>
      <c r="D1023" s="4" t="n">
        <v>46304.62403901168</v>
      </c>
      <c r="E1023" s="4" t="n">
        <v>46304.62403901175</v>
      </c>
      <c r="F1023" t="b">
        <v>1</v>
      </c>
      <c r="G1023" t="n">
        <v/>
      </c>
      <c r="H1023" t="inlineStr">
        <is>
          <t>EQR</t>
        </is>
      </c>
      <c r="I1023" t="inlineStr">
        <is>
          <t>EQ Resources Ltd</t>
        </is>
      </c>
      <c r="J1023" t="inlineStr">
        <is>
          <t>AUD</t>
        </is>
      </c>
      <c r="K1023" s="5" t="inlineStr">
        <is>
          <t>01a1212c-4c04-75ce-bbb2-e3322e18816e</t>
        </is>
      </c>
      <c r="M1023" t="inlineStr">
        <is>
          <t>UNKNOWN</t>
        </is>
      </c>
      <c r="N1023" t="inlineStr">
        <is>
          <t>DEFAULT</t>
        </is>
      </c>
      <c r="Q1023" t="n">
        <v>0</v>
      </c>
      <c r="R1023" t="inlineStr">
        <is>
          <t>AUD</t>
        </is>
      </c>
      <c r="S1023" t="n">
        <v>0</v>
      </c>
      <c r="T1023" t="inlineStr">
        <is>
          <t>AUD</t>
        </is>
      </c>
      <c r="U1023" t="n">
        <v>0</v>
      </c>
    </row>
    <row r="1024">
      <c r="A1024" s="5" t="inlineStr">
        <is>
          <t>01a1212c-592d-75a6-bc07-433bad4d137a</t>
        </is>
      </c>
      <c r="C1024" s="5" t="inlineStr">
        <is>
          <t>01a1212c-4b57-70cf-80fd-c2192cb3bf81</t>
        </is>
      </c>
      <c r="D1024" s="4" t="n">
        <v>46304.62403904205</v>
      </c>
      <c r="E1024" s="4" t="n">
        <v>46304.62403904213</v>
      </c>
      <c r="F1024" t="b">
        <v>1</v>
      </c>
      <c r="G1024" t="n">
        <v/>
      </c>
      <c r="H1024" t="inlineStr">
        <is>
          <t>MAM</t>
        </is>
      </c>
      <c r="I1024" t="inlineStr">
        <is>
          <t>Microequities Asset Management Group Ltd</t>
        </is>
      </c>
      <c r="J1024" t="inlineStr">
        <is>
          <t>AUD</t>
        </is>
      </c>
      <c r="K1024" s="5" t="inlineStr">
        <is>
          <t>01a1212c-4c04-75ce-bbb2-e3322e18816e</t>
        </is>
      </c>
      <c r="M1024" t="inlineStr">
        <is>
          <t>UNKNOWN</t>
        </is>
      </c>
      <c r="N1024" t="inlineStr">
        <is>
          <t>DEFAULT</t>
        </is>
      </c>
      <c r="Q1024" t="n">
        <v>0</v>
      </c>
      <c r="R1024" t="inlineStr">
        <is>
          <t>AUD</t>
        </is>
      </c>
      <c r="S1024" t="n">
        <v>0</v>
      </c>
      <c r="T1024" t="inlineStr">
        <is>
          <t>AUD</t>
        </is>
      </c>
      <c r="U1024" t="n">
        <v>0</v>
      </c>
    </row>
    <row r="1025">
      <c r="A1025" s="5" t="inlineStr">
        <is>
          <t>01a1212c-592f-77ba-9681-88d8f9c37b49</t>
        </is>
      </c>
      <c r="C1025" s="5" t="inlineStr">
        <is>
          <t>01a1212c-4b57-70cf-80fd-c2192cb3bf81</t>
        </is>
      </c>
      <c r="D1025" s="4" t="n">
        <v>46304.62403907494</v>
      </c>
      <c r="E1025" s="4" t="n">
        <v>46304.62403907501</v>
      </c>
      <c r="F1025" t="b">
        <v>1</v>
      </c>
      <c r="G1025" t="n">
        <v/>
      </c>
      <c r="H1025" t="inlineStr">
        <is>
          <t>NMG</t>
        </is>
      </c>
      <c r="I1025" t="inlineStr">
        <is>
          <t>New Murchison Gold Ltd</t>
        </is>
      </c>
      <c r="J1025" t="inlineStr">
        <is>
          <t>AUD</t>
        </is>
      </c>
      <c r="K1025" s="5" t="inlineStr">
        <is>
          <t>01a1212c-4c04-75ce-bbb2-e3322e18816e</t>
        </is>
      </c>
      <c r="M1025" t="inlineStr">
        <is>
          <t>UNKNOWN</t>
        </is>
      </c>
      <c r="N1025" t="inlineStr">
        <is>
          <t>DEFAULT</t>
        </is>
      </c>
      <c r="Q1025" t="n">
        <v>0</v>
      </c>
      <c r="R1025" t="inlineStr">
        <is>
          <t>AUD</t>
        </is>
      </c>
      <c r="S1025" t="n">
        <v>0</v>
      </c>
      <c r="T1025" t="inlineStr">
        <is>
          <t>AUD</t>
        </is>
      </c>
      <c r="U1025" t="n">
        <v>0</v>
      </c>
    </row>
    <row r="1026">
      <c r="A1026" s="5" t="inlineStr">
        <is>
          <t>01a1212c-5932-743a-b5a9-f3d114f54171</t>
        </is>
      </c>
      <c r="C1026" s="5" t="inlineStr">
        <is>
          <t>01a1212c-4b57-70cf-80fd-c2192cb3bf81</t>
        </is>
      </c>
      <c r="D1026" s="4" t="n">
        <v>46304.62403910831</v>
      </c>
      <c r="E1026" s="4" t="n">
        <v>46304.62403910839</v>
      </c>
      <c r="F1026" t="b">
        <v>1</v>
      </c>
      <c r="G1026" t="n">
        <v/>
      </c>
      <c r="H1026" t="inlineStr">
        <is>
          <t>ZYAU</t>
        </is>
      </c>
      <c r="I1026" t="inlineStr">
        <is>
          <t>Global X S&amp;P/ASX 200 High Dividend ETF</t>
        </is>
      </c>
      <c r="J1026" t="inlineStr">
        <is>
          <t>AUD</t>
        </is>
      </c>
      <c r="K1026" s="5" t="inlineStr">
        <is>
          <t>01a1212c-4c04-75ce-bbb2-e3322e18816e</t>
        </is>
      </c>
      <c r="M1026" t="inlineStr">
        <is>
          <t>UNKNOWN</t>
        </is>
      </c>
      <c r="N1026" t="inlineStr">
        <is>
          <t>DEFAULT</t>
        </is>
      </c>
      <c r="Q1026" t="n">
        <v>0</v>
      </c>
      <c r="R1026" t="inlineStr">
        <is>
          <t>AUD</t>
        </is>
      </c>
      <c r="S1026" t="n">
        <v>0</v>
      </c>
      <c r="T1026" t="inlineStr">
        <is>
          <t>AUD</t>
        </is>
      </c>
      <c r="U1026" t="n">
        <v>0</v>
      </c>
    </row>
    <row r="1027">
      <c r="A1027" s="5" t="inlineStr">
        <is>
          <t>01a1212c-5935-7723-91a7-262fcceda86c</t>
        </is>
      </c>
      <c r="C1027" s="5" t="inlineStr">
        <is>
          <t>01a1212c-4b57-70cf-80fd-c2192cb3bf81</t>
        </is>
      </c>
      <c r="D1027" s="4" t="n">
        <v>46304.62403913974</v>
      </c>
      <c r="E1027" s="4" t="n">
        <v>46304.62403913982</v>
      </c>
      <c r="F1027" t="b">
        <v>1</v>
      </c>
      <c r="G1027" t="n">
        <v/>
      </c>
      <c r="H1027" t="inlineStr">
        <is>
          <t>3DP</t>
        </is>
      </c>
      <c r="I1027" t="inlineStr">
        <is>
          <t>Pointerra Ltd</t>
        </is>
      </c>
      <c r="J1027" t="inlineStr">
        <is>
          <t>AUD</t>
        </is>
      </c>
      <c r="K1027" s="5" t="inlineStr">
        <is>
          <t>01a1212c-4c04-75ce-bbb2-e3322e18816e</t>
        </is>
      </c>
      <c r="M1027" t="inlineStr">
        <is>
          <t>UNKNOWN</t>
        </is>
      </c>
      <c r="N1027" t="inlineStr">
        <is>
          <t>DEFAULT</t>
        </is>
      </c>
      <c r="Q1027" t="n">
        <v>0</v>
      </c>
      <c r="R1027" t="inlineStr">
        <is>
          <t>AUD</t>
        </is>
      </c>
      <c r="S1027" t="n">
        <v>0</v>
      </c>
      <c r="T1027" t="inlineStr">
        <is>
          <t>AUD</t>
        </is>
      </c>
      <c r="U1027" t="n">
        <v>0</v>
      </c>
    </row>
    <row r="1028">
      <c r="A1028" s="5" t="inlineStr">
        <is>
          <t>01a1212c-5938-7716-a868-83653b2c3ab0</t>
        </is>
      </c>
      <c r="C1028" s="5" t="inlineStr">
        <is>
          <t>01a1212c-4b57-70cf-80fd-c2192cb3bf81</t>
        </is>
      </c>
      <c r="D1028" s="4" t="n">
        <v>46304.62403917129</v>
      </c>
      <c r="E1028" s="4" t="n">
        <v>46304.62403917137</v>
      </c>
      <c r="F1028" t="b">
        <v>1</v>
      </c>
      <c r="G1028" t="n">
        <v/>
      </c>
      <c r="H1028" t="inlineStr">
        <is>
          <t>BCB</t>
        </is>
      </c>
      <c r="I1028" t="inlineStr">
        <is>
          <t>Bowen Coking Coal Ltd</t>
        </is>
      </c>
      <c r="J1028" t="inlineStr">
        <is>
          <t>AUD</t>
        </is>
      </c>
      <c r="K1028" s="5" t="inlineStr">
        <is>
          <t>01a1212c-4c04-75ce-bbb2-e3322e18816e</t>
        </is>
      </c>
      <c r="M1028" t="inlineStr">
        <is>
          <t>UNKNOWN</t>
        </is>
      </c>
      <c r="N1028" t="inlineStr">
        <is>
          <t>DEFAULT</t>
        </is>
      </c>
      <c r="Q1028" t="n">
        <v>0</v>
      </c>
      <c r="R1028" t="inlineStr">
        <is>
          <t>AUD</t>
        </is>
      </c>
      <c r="S1028" t="n">
        <v>0</v>
      </c>
      <c r="T1028" t="inlineStr">
        <is>
          <t>AUD</t>
        </is>
      </c>
      <c r="U1028" t="n">
        <v>0</v>
      </c>
    </row>
    <row r="1029">
      <c r="A1029" s="5" t="inlineStr">
        <is>
          <t>01a1212c-593b-7439-9e38-c2502ec9c92c</t>
        </is>
      </c>
      <c r="C1029" s="5" t="inlineStr">
        <is>
          <t>01a1212c-4b57-70cf-80fd-c2192cb3bf81</t>
        </is>
      </c>
      <c r="D1029" s="4" t="n">
        <v>46304.62403920401</v>
      </c>
      <c r="E1029" s="4" t="n">
        <v>46304.62403920411</v>
      </c>
      <c r="F1029" t="b">
        <v>1</v>
      </c>
      <c r="G1029" t="n">
        <v/>
      </c>
      <c r="H1029" t="inlineStr">
        <is>
          <t>ZYUS</t>
        </is>
      </c>
      <c r="I1029" t="inlineStr">
        <is>
          <t>Global X S&amp;P 500 High Yield Low Volatility ETF</t>
        </is>
      </c>
      <c r="J1029" t="inlineStr">
        <is>
          <t>AUD</t>
        </is>
      </c>
      <c r="K1029" s="5" t="inlineStr">
        <is>
          <t>01a1212c-4c04-75ce-bbb2-e3322e18816e</t>
        </is>
      </c>
      <c r="M1029" t="inlineStr">
        <is>
          <t>UNKNOWN</t>
        </is>
      </c>
      <c r="N1029" t="inlineStr">
        <is>
          <t>DEFAULT</t>
        </is>
      </c>
      <c r="Q1029" t="n">
        <v>0</v>
      </c>
      <c r="R1029" t="inlineStr">
        <is>
          <t>AUD</t>
        </is>
      </c>
      <c r="S1029" t="n">
        <v>0</v>
      </c>
      <c r="T1029" t="inlineStr">
        <is>
          <t>AUD</t>
        </is>
      </c>
      <c r="U1029" t="n">
        <v>0</v>
      </c>
    </row>
    <row r="1030">
      <c r="A1030" s="5" t="inlineStr">
        <is>
          <t>01a1212c-593e-70dd-9b2e-aca28127d407</t>
        </is>
      </c>
      <c r="C1030" s="5" t="inlineStr">
        <is>
          <t>01a1212c-4b57-70cf-80fd-c2192cb3bf81</t>
        </is>
      </c>
      <c r="D1030" s="4" t="n">
        <v>46304.62403923841</v>
      </c>
      <c r="E1030" s="4" t="n">
        <v>46304.62403923851</v>
      </c>
      <c r="F1030" t="b">
        <v>1</v>
      </c>
      <c r="G1030" t="n">
        <v/>
      </c>
      <c r="H1030" t="inlineStr">
        <is>
          <t>HRN</t>
        </is>
      </c>
      <c r="I1030" t="inlineStr">
        <is>
          <t>Horizon Gold Ltd</t>
        </is>
      </c>
      <c r="J1030" t="inlineStr">
        <is>
          <t>AUD</t>
        </is>
      </c>
      <c r="K1030" s="5" t="inlineStr">
        <is>
          <t>01a1212c-4c04-75ce-bbb2-e3322e18816e</t>
        </is>
      </c>
      <c r="M1030" t="inlineStr">
        <is>
          <t>UNKNOWN</t>
        </is>
      </c>
      <c r="N1030" t="inlineStr">
        <is>
          <t>DEFAULT</t>
        </is>
      </c>
      <c r="Q1030" t="n">
        <v>0</v>
      </c>
      <c r="R1030" t="inlineStr">
        <is>
          <t>AUD</t>
        </is>
      </c>
      <c r="S1030" t="n">
        <v>0</v>
      </c>
      <c r="T1030" t="inlineStr">
        <is>
          <t>AUD</t>
        </is>
      </c>
      <c r="U1030" t="n">
        <v>0</v>
      </c>
    </row>
    <row r="1031">
      <c r="A1031" s="5" t="inlineStr">
        <is>
          <t>01a1212c-5940-727a-a3f1-b9468a1dd070</t>
        </is>
      </c>
      <c r="C1031" s="5" t="inlineStr">
        <is>
          <t>01a1212c-4b57-70cf-80fd-c2192cb3bf81</t>
        </is>
      </c>
      <c r="D1031" s="4" t="n">
        <v>46304.62403927044</v>
      </c>
      <c r="E1031" s="4" t="n">
        <v>46304.62403927053</v>
      </c>
      <c r="F1031" t="b">
        <v>1</v>
      </c>
      <c r="G1031" t="n">
        <v/>
      </c>
      <c r="H1031" t="inlineStr">
        <is>
          <t>SHM</t>
        </is>
      </c>
      <c r="I1031" t="inlineStr">
        <is>
          <t>Shriro Holdings Ltd</t>
        </is>
      </c>
      <c r="J1031" t="inlineStr">
        <is>
          <t>AUD</t>
        </is>
      </c>
      <c r="K1031" s="5" t="inlineStr">
        <is>
          <t>01a1212c-4c04-75ce-bbb2-e3322e18816e</t>
        </is>
      </c>
      <c r="M1031" t="inlineStr">
        <is>
          <t>UNKNOWN</t>
        </is>
      </c>
      <c r="N1031" t="inlineStr">
        <is>
          <t>DEFAULT</t>
        </is>
      </c>
      <c r="Q1031" t="n">
        <v>0</v>
      </c>
      <c r="R1031" t="inlineStr">
        <is>
          <t>AUD</t>
        </is>
      </c>
      <c r="S1031" t="n">
        <v>0</v>
      </c>
      <c r="T1031" t="inlineStr">
        <is>
          <t>AUD</t>
        </is>
      </c>
      <c r="U1031" t="n">
        <v>0</v>
      </c>
    </row>
    <row r="1032">
      <c r="A1032" s="5" t="inlineStr">
        <is>
          <t>01a1212c-5943-75f2-81de-904d8bea027b</t>
        </is>
      </c>
      <c r="C1032" s="5" t="inlineStr">
        <is>
          <t>01a1212c-4b57-70cf-80fd-c2192cb3bf81</t>
        </is>
      </c>
      <c r="D1032" s="4" t="n">
        <v>46304.6240393038</v>
      </c>
      <c r="E1032" s="4" t="n">
        <v>46304.62403930389</v>
      </c>
      <c r="F1032" t="b">
        <v>1</v>
      </c>
      <c r="G1032" t="n">
        <v/>
      </c>
      <c r="H1032" t="inlineStr">
        <is>
          <t>AHX</t>
        </is>
      </c>
      <c r="I1032" t="inlineStr">
        <is>
          <t>Apiam Animal Health Ltd</t>
        </is>
      </c>
      <c r="J1032" t="inlineStr">
        <is>
          <t>AUD</t>
        </is>
      </c>
      <c r="K1032" s="5" t="inlineStr">
        <is>
          <t>01a1212c-4c04-75ce-bbb2-e3322e18816e</t>
        </is>
      </c>
      <c r="M1032" t="inlineStr">
        <is>
          <t>UNKNOWN</t>
        </is>
      </c>
      <c r="N1032" t="inlineStr">
        <is>
          <t>DEFAULT</t>
        </is>
      </c>
      <c r="Q1032" t="n">
        <v>0</v>
      </c>
      <c r="R1032" t="inlineStr">
        <is>
          <t>AUD</t>
        </is>
      </c>
      <c r="S1032" t="n">
        <v>0</v>
      </c>
      <c r="T1032" t="inlineStr">
        <is>
          <t>AUD</t>
        </is>
      </c>
      <c r="U1032" t="n">
        <v>0</v>
      </c>
    </row>
    <row r="1033">
      <c r="A1033" s="5" t="inlineStr">
        <is>
          <t>01a1212c-5946-757a-9cd2-5b406289ef23</t>
        </is>
      </c>
      <c r="C1033" s="5" t="inlineStr">
        <is>
          <t>01a1212c-4b57-70cf-80fd-c2192cb3bf81</t>
        </is>
      </c>
      <c r="D1033" s="4" t="n">
        <v>46304.62403933875</v>
      </c>
      <c r="E1033" s="4" t="n">
        <v>46304.62403933885</v>
      </c>
      <c r="F1033" t="b">
        <v>1</v>
      </c>
      <c r="G1033" t="n">
        <v/>
      </c>
      <c r="H1033" t="inlineStr">
        <is>
          <t>VHM</t>
        </is>
      </c>
      <c r="I1033" t="inlineStr">
        <is>
          <t>VHM Ltd</t>
        </is>
      </c>
      <c r="J1033" t="inlineStr">
        <is>
          <t>AUD</t>
        </is>
      </c>
      <c r="K1033" s="5" t="inlineStr">
        <is>
          <t>01a1212c-4c04-75ce-bbb2-e3322e18816e</t>
        </is>
      </c>
      <c r="M1033" t="inlineStr">
        <is>
          <t>UNKNOWN</t>
        </is>
      </c>
      <c r="N1033" t="inlineStr">
        <is>
          <t>DEFAULT</t>
        </is>
      </c>
      <c r="Q1033" t="n">
        <v>0</v>
      </c>
      <c r="R1033" t="inlineStr">
        <is>
          <t>AUD</t>
        </is>
      </c>
      <c r="S1033" t="n">
        <v>0</v>
      </c>
      <c r="T1033" t="inlineStr">
        <is>
          <t>AUD</t>
        </is>
      </c>
      <c r="U1033" t="n">
        <v>0</v>
      </c>
    </row>
    <row r="1034">
      <c r="A1034" s="5" t="inlineStr">
        <is>
          <t>01a1212c-5949-7761-a8e4-2556713b58f4</t>
        </is>
      </c>
      <c r="C1034" s="5" t="inlineStr">
        <is>
          <t>01a1212c-4b57-70cf-80fd-c2192cb3bf81</t>
        </is>
      </c>
      <c r="D1034" s="4" t="n">
        <v>46304.62403937411</v>
      </c>
      <c r="E1034" s="4" t="n">
        <v>46304.6240393742</v>
      </c>
      <c r="F1034" t="b">
        <v>1</v>
      </c>
      <c r="G1034" t="n">
        <v/>
      </c>
      <c r="H1034" t="inlineStr">
        <is>
          <t>FLC</t>
        </is>
      </c>
      <c r="I1034" t="inlineStr">
        <is>
          <t>Fluence Corporation Ltd</t>
        </is>
      </c>
      <c r="J1034" t="inlineStr">
        <is>
          <t>AUD</t>
        </is>
      </c>
      <c r="K1034" s="5" t="inlineStr">
        <is>
          <t>01a1212c-4c04-75ce-bbb2-e3322e18816e</t>
        </is>
      </c>
      <c r="M1034" t="inlineStr">
        <is>
          <t>UNKNOWN</t>
        </is>
      </c>
      <c r="N1034" t="inlineStr">
        <is>
          <t>DEFAULT</t>
        </is>
      </c>
      <c r="Q1034" t="n">
        <v>0</v>
      </c>
      <c r="R1034" t="inlineStr">
        <is>
          <t>AUD</t>
        </is>
      </c>
      <c r="S1034" t="n">
        <v>0</v>
      </c>
      <c r="T1034" t="inlineStr">
        <is>
          <t>AUD</t>
        </is>
      </c>
      <c r="U1034" t="n">
        <v>0</v>
      </c>
    </row>
    <row r="1035">
      <c r="A1035" s="5" t="inlineStr">
        <is>
          <t>01a1212c-594c-74ce-9daa-c30134f4f857</t>
        </is>
      </c>
      <c r="C1035" s="5" t="inlineStr">
        <is>
          <t>01a1212c-4b57-70cf-80fd-c2192cb3bf81</t>
        </is>
      </c>
      <c r="D1035" s="4" t="n">
        <v>46304.62403940554</v>
      </c>
      <c r="E1035" s="4" t="n">
        <v>46304.62403940562</v>
      </c>
      <c r="F1035" t="b">
        <v>1</v>
      </c>
      <c r="G1035" t="n">
        <v/>
      </c>
      <c r="H1035" t="inlineStr">
        <is>
          <t>IRI</t>
        </is>
      </c>
      <c r="I1035" t="inlineStr">
        <is>
          <t>Integrated Research Ltd</t>
        </is>
      </c>
      <c r="J1035" t="inlineStr">
        <is>
          <t>AUD</t>
        </is>
      </c>
      <c r="K1035" s="5" t="inlineStr">
        <is>
          <t>01a1212c-4c04-75ce-bbb2-e3322e18816e</t>
        </is>
      </c>
      <c r="M1035" t="inlineStr">
        <is>
          <t>UNKNOWN</t>
        </is>
      </c>
      <c r="N1035" t="inlineStr">
        <is>
          <t>DEFAULT</t>
        </is>
      </c>
      <c r="Q1035" t="n">
        <v>0</v>
      </c>
      <c r="R1035" t="inlineStr">
        <is>
          <t>AUD</t>
        </is>
      </c>
      <c r="S1035" t="n">
        <v>0</v>
      </c>
      <c r="T1035" t="inlineStr">
        <is>
          <t>AUD</t>
        </is>
      </c>
      <c r="U1035" t="n">
        <v>0</v>
      </c>
    </row>
    <row r="1036">
      <c r="A1036" s="5" t="inlineStr">
        <is>
          <t>01a1212c-594f-7190-b534-8c3a50112b5b</t>
        </is>
      </c>
      <c r="C1036" s="5" t="inlineStr">
        <is>
          <t>01a1212c-4b57-70cf-80fd-c2192cb3bf81</t>
        </is>
      </c>
      <c r="D1036" s="4" t="n">
        <v>46304.62403943689</v>
      </c>
      <c r="E1036" s="4" t="n">
        <v>46304.62403943698</v>
      </c>
      <c r="F1036" t="b">
        <v>1</v>
      </c>
      <c r="G1036" t="n">
        <v/>
      </c>
      <c r="H1036" t="inlineStr">
        <is>
          <t>FLN</t>
        </is>
      </c>
      <c r="I1036" t="inlineStr">
        <is>
          <t>Freelancer Ltd</t>
        </is>
      </c>
      <c r="J1036" t="inlineStr">
        <is>
          <t>AUD</t>
        </is>
      </c>
      <c r="K1036" s="5" t="inlineStr">
        <is>
          <t>01a1212c-4c04-75ce-bbb2-e3322e18816e</t>
        </is>
      </c>
      <c r="M1036" t="inlineStr">
        <is>
          <t>UNKNOWN</t>
        </is>
      </c>
      <c r="N1036" t="inlineStr">
        <is>
          <t>DEFAULT</t>
        </is>
      </c>
      <c r="Q1036" t="n">
        <v>0</v>
      </c>
      <c r="R1036" t="inlineStr">
        <is>
          <t>AUD</t>
        </is>
      </c>
      <c r="S1036" t="n">
        <v>0</v>
      </c>
      <c r="T1036" t="inlineStr">
        <is>
          <t>AUD</t>
        </is>
      </c>
      <c r="U1036" t="n">
        <v>0</v>
      </c>
    </row>
    <row r="1037">
      <c r="A1037" s="5" t="inlineStr">
        <is>
          <t>01a1212c-5951-76f9-8c3e-b985678010f6</t>
        </is>
      </c>
      <c r="C1037" s="5" t="inlineStr">
        <is>
          <t>01a1212c-4b57-70cf-80fd-c2192cb3bf81</t>
        </is>
      </c>
      <c r="D1037" s="4" t="n">
        <v>46304.62403946779</v>
      </c>
      <c r="E1037" s="4" t="n">
        <v>46304.62403946788</v>
      </c>
      <c r="F1037" t="b">
        <v>1</v>
      </c>
      <c r="G1037" t="n">
        <v/>
      </c>
      <c r="H1037" t="inlineStr">
        <is>
          <t>CNB</t>
        </is>
      </c>
      <c r="I1037" t="inlineStr">
        <is>
          <t>Carnaby Resources Ltd</t>
        </is>
      </c>
      <c r="J1037" t="inlineStr">
        <is>
          <t>AUD</t>
        </is>
      </c>
      <c r="K1037" s="5" t="inlineStr">
        <is>
          <t>01a1212c-4c04-75ce-bbb2-e3322e18816e</t>
        </is>
      </c>
      <c r="M1037" t="inlineStr">
        <is>
          <t>UNKNOWN</t>
        </is>
      </c>
      <c r="N1037" t="inlineStr">
        <is>
          <t>DEFAULT</t>
        </is>
      </c>
      <c r="Q1037" t="n">
        <v>0</v>
      </c>
      <c r="R1037" t="inlineStr">
        <is>
          <t>AUD</t>
        </is>
      </c>
      <c r="S1037" t="n">
        <v>0</v>
      </c>
      <c r="T1037" t="inlineStr">
        <is>
          <t>AUD</t>
        </is>
      </c>
      <c r="U1037" t="n">
        <v>0</v>
      </c>
    </row>
    <row r="1038">
      <c r="A1038" s="5" t="inlineStr">
        <is>
          <t>01a1212c-5954-74aa-b21e-ea8524217da8</t>
        </is>
      </c>
      <c r="C1038" s="5" t="inlineStr">
        <is>
          <t>01a1212c-4b57-70cf-80fd-c2192cb3bf81</t>
        </is>
      </c>
      <c r="D1038" s="4" t="n">
        <v>46304.6240394992</v>
      </c>
      <c r="E1038" s="4" t="n">
        <v>46304.62403949929</v>
      </c>
      <c r="F1038" t="b">
        <v>1</v>
      </c>
      <c r="G1038" t="n">
        <v/>
      </c>
      <c r="H1038" t="inlineStr">
        <is>
          <t>VEFI</t>
        </is>
      </c>
      <c r="I1038" t="inlineStr">
        <is>
          <t>Vanguard Ethically Conscious GLB Agg Bond INDEX (Hedged) ETF</t>
        </is>
      </c>
      <c r="J1038" t="inlineStr">
        <is>
          <t>AUD</t>
        </is>
      </c>
      <c r="K1038" s="5" t="inlineStr">
        <is>
          <t>01a1212c-4c04-75ce-bbb2-e3322e18816e</t>
        </is>
      </c>
      <c r="M1038" t="inlineStr">
        <is>
          <t>UNKNOWN</t>
        </is>
      </c>
      <c r="N1038" t="inlineStr">
        <is>
          <t>DEFAULT</t>
        </is>
      </c>
      <c r="Q1038" t="n">
        <v>0</v>
      </c>
      <c r="R1038" t="inlineStr">
        <is>
          <t>AUD</t>
        </is>
      </c>
      <c r="S1038" t="n">
        <v>0</v>
      </c>
      <c r="T1038" t="inlineStr">
        <is>
          <t>AUD</t>
        </is>
      </c>
      <c r="U1038" t="n">
        <v>0</v>
      </c>
    </row>
    <row r="1039">
      <c r="A1039" s="5" t="inlineStr">
        <is>
          <t>01a1212c-5958-71cd-833e-cfdab02ccc87</t>
        </is>
      </c>
      <c r="C1039" s="5" t="inlineStr">
        <is>
          <t>01a1212c-4b57-70cf-80fd-c2192cb3bf81</t>
        </is>
      </c>
      <c r="D1039" s="4" t="n">
        <v>46304.62403954002</v>
      </c>
      <c r="E1039" s="4" t="n">
        <v>46304.62403954013</v>
      </c>
      <c r="F1039" t="b">
        <v>1</v>
      </c>
      <c r="G1039" t="n">
        <v/>
      </c>
      <c r="H1039" t="inlineStr">
        <is>
          <t>INIF</t>
        </is>
      </c>
      <c r="I1039" t="inlineStr">
        <is>
          <t>Intelligent Investor Aus EQ Inc Fund - Active ETF</t>
        </is>
      </c>
      <c r="J1039" t="inlineStr">
        <is>
          <t>AUD</t>
        </is>
      </c>
      <c r="K1039" s="5" t="inlineStr">
        <is>
          <t>01a1212c-4c04-75ce-bbb2-e3322e18816e</t>
        </is>
      </c>
      <c r="M1039" t="inlineStr">
        <is>
          <t>UNKNOWN</t>
        </is>
      </c>
      <c r="N1039" t="inlineStr">
        <is>
          <t>DEFAULT</t>
        </is>
      </c>
      <c r="Q1039" t="n">
        <v>0</v>
      </c>
      <c r="R1039" t="inlineStr">
        <is>
          <t>AUD</t>
        </is>
      </c>
      <c r="S1039" t="n">
        <v>0</v>
      </c>
      <c r="T1039" t="inlineStr">
        <is>
          <t>AUD</t>
        </is>
      </c>
      <c r="U1039" t="n">
        <v>0</v>
      </c>
    </row>
    <row r="1040">
      <c r="A1040" s="5" t="inlineStr">
        <is>
          <t>01a1212c-595b-74f7-9c23-5fc0a7d07be1</t>
        </is>
      </c>
      <c r="C1040" s="5" t="inlineStr">
        <is>
          <t>01a1212c-4b57-70cf-80fd-c2192cb3bf81</t>
        </is>
      </c>
      <c r="D1040" s="4" t="n">
        <v>46304.62403957479</v>
      </c>
      <c r="E1040" s="4" t="n">
        <v>46304.62403957488</v>
      </c>
      <c r="F1040" t="b">
        <v>1</v>
      </c>
      <c r="G1040" t="n">
        <v/>
      </c>
      <c r="H1040" t="inlineStr">
        <is>
          <t>AI1</t>
        </is>
      </c>
      <c r="I1040" t="inlineStr">
        <is>
          <t>Adisyn Ltd</t>
        </is>
      </c>
      <c r="J1040" t="inlineStr">
        <is>
          <t>AUD</t>
        </is>
      </c>
      <c r="K1040" s="5" t="inlineStr">
        <is>
          <t>01a1212c-4c04-75ce-bbb2-e3322e18816e</t>
        </is>
      </c>
      <c r="M1040" t="inlineStr">
        <is>
          <t>UNKNOWN</t>
        </is>
      </c>
      <c r="N1040" t="inlineStr">
        <is>
          <t>DEFAULT</t>
        </is>
      </c>
      <c r="Q1040" t="n">
        <v>0</v>
      </c>
      <c r="R1040" t="inlineStr">
        <is>
          <t>AUD</t>
        </is>
      </c>
      <c r="S1040" t="n">
        <v>0</v>
      </c>
      <c r="T1040" t="inlineStr">
        <is>
          <t>AUD</t>
        </is>
      </c>
      <c r="U1040" t="n">
        <v>0</v>
      </c>
    </row>
    <row r="1041">
      <c r="A1041" s="5" t="inlineStr">
        <is>
          <t>01a1212c-595d-75a6-969f-3f384ce131a2</t>
        </is>
      </c>
      <c r="C1041" s="5" t="inlineStr">
        <is>
          <t>01a1212c-4b57-70cf-80fd-c2192cb3bf81</t>
        </is>
      </c>
      <c r="D1041" s="4" t="n">
        <v>46304.62403960697</v>
      </c>
      <c r="E1041" s="4" t="n">
        <v>46304.62403960705</v>
      </c>
      <c r="F1041" t="b">
        <v>1</v>
      </c>
      <c r="G1041" t="n">
        <v/>
      </c>
      <c r="H1041" t="inlineStr">
        <is>
          <t>ACQ</t>
        </is>
      </c>
      <c r="I1041" t="inlineStr">
        <is>
          <t>Acorn Capital Investment Fund Ltd</t>
        </is>
      </c>
      <c r="J1041" t="inlineStr">
        <is>
          <t>AUD</t>
        </is>
      </c>
      <c r="K1041" s="5" t="inlineStr">
        <is>
          <t>01a1212c-4c04-75ce-bbb2-e3322e18816e</t>
        </is>
      </c>
      <c r="M1041" t="inlineStr">
        <is>
          <t>UNKNOWN</t>
        </is>
      </c>
      <c r="N1041" t="inlineStr">
        <is>
          <t>DEFAULT</t>
        </is>
      </c>
      <c r="Q1041" t="n">
        <v>0</v>
      </c>
      <c r="R1041" t="inlineStr">
        <is>
          <t>AUD</t>
        </is>
      </c>
      <c r="S1041" t="n">
        <v>0</v>
      </c>
      <c r="T1041" t="inlineStr">
        <is>
          <t>AUD</t>
        </is>
      </c>
      <c r="U1041" t="n">
        <v>0</v>
      </c>
    </row>
    <row r="1042">
      <c r="A1042" s="5" t="inlineStr">
        <is>
          <t>01a1212c-5960-73fd-861c-9aa267dd4eab</t>
        </is>
      </c>
      <c r="C1042" s="5" t="inlineStr">
        <is>
          <t>01a1212c-4b57-70cf-80fd-c2192cb3bf81</t>
        </is>
      </c>
      <c r="D1042" s="4" t="n">
        <v>46304.62403964034</v>
      </c>
      <c r="E1042" s="4" t="n">
        <v>46304.62403964043</v>
      </c>
      <c r="F1042" t="b">
        <v>1</v>
      </c>
      <c r="G1042" t="n">
        <v/>
      </c>
      <c r="H1042" t="inlineStr">
        <is>
          <t>INES</t>
        </is>
      </c>
      <c r="I1042" t="inlineStr">
        <is>
          <t>Intelligent Investor Eth Share Fund - Active ETF</t>
        </is>
      </c>
      <c r="J1042" t="inlineStr">
        <is>
          <t>AUD</t>
        </is>
      </c>
      <c r="K1042" s="5" t="inlineStr">
        <is>
          <t>01a1212c-4c04-75ce-bbb2-e3322e18816e</t>
        </is>
      </c>
      <c r="M1042" t="inlineStr">
        <is>
          <t>UNKNOWN</t>
        </is>
      </c>
      <c r="N1042" t="inlineStr">
        <is>
          <t>DEFAULT</t>
        </is>
      </c>
      <c r="Q1042" t="n">
        <v>0</v>
      </c>
      <c r="R1042" t="inlineStr">
        <is>
          <t>AUD</t>
        </is>
      </c>
      <c r="S1042" t="n">
        <v>0</v>
      </c>
      <c r="T1042" t="inlineStr">
        <is>
          <t>AUD</t>
        </is>
      </c>
      <c r="U1042" t="n">
        <v>0</v>
      </c>
    </row>
    <row r="1043">
      <c r="A1043" s="5" t="inlineStr">
        <is>
          <t>01a1212c-5963-73b5-ba27-8da39ddc86b8</t>
        </is>
      </c>
      <c r="C1043" s="5" t="inlineStr">
        <is>
          <t>01a1212c-4b57-70cf-80fd-c2192cb3bf81</t>
        </is>
      </c>
      <c r="D1043" s="4" t="n">
        <v>46304.62403967353</v>
      </c>
      <c r="E1043" s="4" t="n">
        <v>46304.62403967361</v>
      </c>
      <c r="F1043" t="b">
        <v>1</v>
      </c>
      <c r="G1043" t="n">
        <v/>
      </c>
      <c r="H1043" t="inlineStr">
        <is>
          <t>PAXX</t>
        </is>
      </c>
      <c r="I1043" t="inlineStr">
        <is>
          <t>Platinum Asia Fund (Quoted Managed Hedge Fund)</t>
        </is>
      </c>
      <c r="J1043" t="inlineStr">
        <is>
          <t>AUD</t>
        </is>
      </c>
      <c r="K1043" s="5" t="inlineStr">
        <is>
          <t>01a1212c-4c04-75ce-bbb2-e3322e18816e</t>
        </is>
      </c>
      <c r="M1043" t="inlineStr">
        <is>
          <t>UNKNOWN</t>
        </is>
      </c>
      <c r="N1043" t="inlineStr">
        <is>
          <t>DEFAULT</t>
        </is>
      </c>
      <c r="Q1043" t="n">
        <v>0</v>
      </c>
      <c r="R1043" t="inlineStr">
        <is>
          <t>AUD</t>
        </is>
      </c>
      <c r="S1043" t="n">
        <v>0</v>
      </c>
      <c r="T1043" t="inlineStr">
        <is>
          <t>AUD</t>
        </is>
      </c>
      <c r="U1043" t="n">
        <v>0</v>
      </c>
    </row>
    <row r="1044">
      <c r="A1044" s="5" t="inlineStr">
        <is>
          <t>01a1212c-5966-7596-977f-7533651f3782</t>
        </is>
      </c>
      <c r="C1044" s="5" t="inlineStr">
        <is>
          <t>01a1212c-4b57-70cf-80fd-c2192cb3bf81</t>
        </is>
      </c>
      <c r="D1044" s="4" t="n">
        <v>46304.62403971096</v>
      </c>
      <c r="E1044" s="4" t="n">
        <v>46304.62403971105</v>
      </c>
      <c r="F1044" t="b">
        <v>1</v>
      </c>
      <c r="G1044" t="n">
        <v/>
      </c>
      <c r="H1044" t="inlineStr">
        <is>
          <t>STN</t>
        </is>
      </c>
      <c r="I1044" t="inlineStr">
        <is>
          <t>Saturn Metals Ltd</t>
        </is>
      </c>
      <c r="J1044" t="inlineStr">
        <is>
          <t>AUD</t>
        </is>
      </c>
      <c r="K1044" s="5" t="inlineStr">
        <is>
          <t>01a1212c-4c04-75ce-bbb2-e3322e18816e</t>
        </is>
      </c>
      <c r="M1044" t="inlineStr">
        <is>
          <t>UNKNOWN</t>
        </is>
      </c>
      <c r="N1044" t="inlineStr">
        <is>
          <t>DEFAULT</t>
        </is>
      </c>
      <c r="Q1044" t="n">
        <v>0</v>
      </c>
      <c r="R1044" t="inlineStr">
        <is>
          <t>AUD</t>
        </is>
      </c>
      <c r="S1044" t="n">
        <v>0</v>
      </c>
      <c r="T1044" t="inlineStr">
        <is>
          <t>AUD</t>
        </is>
      </c>
      <c r="U1044" t="n">
        <v>0</v>
      </c>
    </row>
    <row r="1045">
      <c r="A1045" s="5" t="inlineStr">
        <is>
          <t>01a1212c-5969-7421-ae5f-52f717976208</t>
        </is>
      </c>
      <c r="C1045" s="5" t="inlineStr">
        <is>
          <t>01a1212c-4b57-70cf-80fd-c2192cb3bf81</t>
        </is>
      </c>
      <c r="D1045" s="4" t="n">
        <v>46304.6240397455</v>
      </c>
      <c r="E1045" s="4" t="n">
        <v>46304.62403974559</v>
      </c>
      <c r="F1045" t="b">
        <v>1</v>
      </c>
      <c r="G1045" t="n">
        <v/>
      </c>
      <c r="H1045" t="inlineStr">
        <is>
          <t>CGHE</t>
        </is>
      </c>
      <c r="I1045" t="inlineStr">
        <is>
          <t>Claremont Global Fund (Hedged) (Managed Fund)</t>
        </is>
      </c>
      <c r="J1045" t="inlineStr">
        <is>
          <t>AUD</t>
        </is>
      </c>
      <c r="K1045" s="5" t="inlineStr">
        <is>
          <t>01a1212c-4c04-75ce-bbb2-e3322e18816e</t>
        </is>
      </c>
      <c r="M1045" t="inlineStr">
        <is>
          <t>UNKNOWN</t>
        </is>
      </c>
      <c r="N1045" t="inlineStr">
        <is>
          <t>DEFAULT</t>
        </is>
      </c>
      <c r="Q1045" t="n">
        <v>0</v>
      </c>
      <c r="R1045" t="inlineStr">
        <is>
          <t>AUD</t>
        </is>
      </c>
      <c r="S1045" t="n">
        <v>0</v>
      </c>
      <c r="T1045" t="inlineStr">
        <is>
          <t>AUD</t>
        </is>
      </c>
      <c r="U1045" t="n">
        <v>0</v>
      </c>
    </row>
    <row r="1046">
      <c r="A1046" s="5" t="inlineStr">
        <is>
          <t>01a1212c-596c-7685-bb63-1651629147a6</t>
        </is>
      </c>
      <c r="C1046" s="5" t="inlineStr">
        <is>
          <t>01a1212c-4b57-70cf-80fd-c2192cb3bf81</t>
        </is>
      </c>
      <c r="D1046" s="4" t="n">
        <v>46304.62403977692</v>
      </c>
      <c r="E1046" s="4" t="n">
        <v>46304.624039777</v>
      </c>
      <c r="F1046" t="b">
        <v>1</v>
      </c>
      <c r="G1046" t="n">
        <v/>
      </c>
      <c r="H1046" t="inlineStr">
        <is>
          <t>BNKS</t>
        </is>
      </c>
      <c r="I1046" t="inlineStr">
        <is>
          <t>Betashares Global Banks Currency Hedged ETF</t>
        </is>
      </c>
      <c r="J1046" t="inlineStr">
        <is>
          <t>AUD</t>
        </is>
      </c>
      <c r="K1046" s="5" t="inlineStr">
        <is>
          <t>01a1212c-4c04-75ce-bbb2-e3322e18816e</t>
        </is>
      </c>
      <c r="M1046" t="inlineStr">
        <is>
          <t>UNKNOWN</t>
        </is>
      </c>
      <c r="N1046" t="inlineStr">
        <is>
          <t>DEFAULT</t>
        </is>
      </c>
      <c r="Q1046" t="n">
        <v>0</v>
      </c>
      <c r="R1046" t="inlineStr">
        <is>
          <t>AUD</t>
        </is>
      </c>
      <c r="S1046" t="n">
        <v>0</v>
      </c>
      <c r="T1046" t="inlineStr">
        <is>
          <t>AUD</t>
        </is>
      </c>
      <c r="U1046" t="n">
        <v>0</v>
      </c>
    </row>
    <row r="1047">
      <c r="A1047" s="5" t="inlineStr">
        <is>
          <t>01a1212c-596f-7453-8711-a5a2279c99a5</t>
        </is>
      </c>
      <c r="C1047" s="5" t="inlineStr">
        <is>
          <t>01a1212c-4b57-70cf-80fd-c2192cb3bf81</t>
        </is>
      </c>
      <c r="D1047" s="4" t="n">
        <v>46304.62403980752</v>
      </c>
      <c r="E1047" s="4" t="n">
        <v>46304.62403980759</v>
      </c>
      <c r="F1047" t="b">
        <v>1</v>
      </c>
      <c r="G1047" t="n">
        <v/>
      </c>
      <c r="H1047" t="inlineStr">
        <is>
          <t>HRZ</t>
        </is>
      </c>
      <c r="I1047" t="inlineStr">
        <is>
          <t>Horizon Minerals Ltd</t>
        </is>
      </c>
      <c r="J1047" t="inlineStr">
        <is>
          <t>AUD</t>
        </is>
      </c>
      <c r="K1047" s="5" t="inlineStr">
        <is>
          <t>01a1212c-4c04-75ce-bbb2-e3322e18816e</t>
        </is>
      </c>
      <c r="M1047" t="inlineStr">
        <is>
          <t>UNKNOWN</t>
        </is>
      </c>
      <c r="N1047" t="inlineStr">
        <is>
          <t>DEFAULT</t>
        </is>
      </c>
      <c r="Q1047" t="n">
        <v>0</v>
      </c>
      <c r="R1047" t="inlineStr">
        <is>
          <t>AUD</t>
        </is>
      </c>
      <c r="S1047" t="n">
        <v>0</v>
      </c>
      <c r="T1047" t="inlineStr">
        <is>
          <t>AUD</t>
        </is>
      </c>
      <c r="U1047" t="n">
        <v>0</v>
      </c>
    </row>
    <row r="1048">
      <c r="A1048" s="5" t="inlineStr">
        <is>
          <t>01a1212c-5972-7006-8b4e-d5b79fbd1fe0</t>
        </is>
      </c>
      <c r="C1048" s="5" t="inlineStr">
        <is>
          <t>01a1212c-4b57-70cf-80fd-c2192cb3bf81</t>
        </is>
      </c>
      <c r="D1048" s="4" t="n">
        <v>46304.62403984187</v>
      </c>
      <c r="E1048" s="4" t="n">
        <v>46304.62403984195</v>
      </c>
      <c r="F1048" t="b">
        <v>1</v>
      </c>
      <c r="G1048" t="n">
        <v/>
      </c>
      <c r="H1048" t="inlineStr">
        <is>
          <t>AV1</t>
        </is>
      </c>
      <c r="I1048" t="inlineStr">
        <is>
          <t>Adveritas Ltd</t>
        </is>
      </c>
      <c r="J1048" t="inlineStr">
        <is>
          <t>AUD</t>
        </is>
      </c>
      <c r="K1048" s="5" t="inlineStr">
        <is>
          <t>01a1212c-4c04-75ce-bbb2-e3322e18816e</t>
        </is>
      </c>
      <c r="M1048" t="inlineStr">
        <is>
          <t>UNKNOWN</t>
        </is>
      </c>
      <c r="N1048" t="inlineStr">
        <is>
          <t>DEFAULT</t>
        </is>
      </c>
      <c r="Q1048" t="n">
        <v>0</v>
      </c>
      <c r="R1048" t="inlineStr">
        <is>
          <t>AUD</t>
        </is>
      </c>
      <c r="S1048" t="n">
        <v>0</v>
      </c>
      <c r="T1048" t="inlineStr">
        <is>
          <t>AUD</t>
        </is>
      </c>
      <c r="U1048" t="n">
        <v>0</v>
      </c>
    </row>
    <row r="1049">
      <c r="A1049" s="5" t="inlineStr">
        <is>
          <t>01a1212c-5974-7369-84c1-6ee2519f0fbd</t>
        </is>
      </c>
      <c r="C1049" s="5" t="inlineStr">
        <is>
          <t>01a1212c-4b57-70cf-80fd-c2192cb3bf81</t>
        </is>
      </c>
      <c r="D1049" s="4" t="n">
        <v>46304.62403987328</v>
      </c>
      <c r="E1049" s="4" t="n">
        <v>46304.62403987337</v>
      </c>
      <c r="F1049" t="b">
        <v>1</v>
      </c>
      <c r="G1049" t="n">
        <v/>
      </c>
      <c r="H1049" t="inlineStr">
        <is>
          <t>SB2</t>
        </is>
      </c>
      <c r="I1049" t="inlineStr">
        <is>
          <t>Salter Brothers Emerging Companies Ltd</t>
        </is>
      </c>
      <c r="J1049" t="inlineStr">
        <is>
          <t>AUD</t>
        </is>
      </c>
      <c r="K1049" s="5" t="inlineStr">
        <is>
          <t>01a1212c-4c04-75ce-bbb2-e3322e18816e</t>
        </is>
      </c>
      <c r="M1049" t="inlineStr">
        <is>
          <t>UNKNOWN</t>
        </is>
      </c>
      <c r="N1049" t="inlineStr">
        <is>
          <t>DEFAULT</t>
        </is>
      </c>
      <c r="Q1049" t="n">
        <v>0</v>
      </c>
      <c r="R1049" t="inlineStr">
        <is>
          <t>AUD</t>
        </is>
      </c>
      <c r="S1049" t="n">
        <v>0</v>
      </c>
      <c r="T1049" t="inlineStr">
        <is>
          <t>AUD</t>
        </is>
      </c>
      <c r="U1049" t="n">
        <v>0</v>
      </c>
    </row>
    <row r="1050">
      <c r="A1050" s="5" t="inlineStr">
        <is>
          <t>01a1212c-5977-76fb-88e7-97f79df999ae</t>
        </is>
      </c>
      <c r="C1050" s="5" t="inlineStr">
        <is>
          <t>01a1212c-4b57-70cf-80fd-c2192cb3bf81</t>
        </is>
      </c>
      <c r="D1050" s="4" t="n">
        <v>46304.62403990558</v>
      </c>
      <c r="E1050" s="4" t="n">
        <v>46304.62403990566</v>
      </c>
      <c r="F1050" t="b">
        <v>1</v>
      </c>
      <c r="G1050" t="n">
        <v/>
      </c>
      <c r="H1050" t="inlineStr">
        <is>
          <t>MSV</t>
        </is>
      </c>
      <c r="I1050" t="inlineStr">
        <is>
          <t>Mitchell Services Ltd</t>
        </is>
      </c>
      <c r="J1050" t="inlineStr">
        <is>
          <t>AUD</t>
        </is>
      </c>
      <c r="K1050" s="5" t="inlineStr">
        <is>
          <t>01a1212c-4c04-75ce-bbb2-e3322e18816e</t>
        </is>
      </c>
      <c r="M1050" t="inlineStr">
        <is>
          <t>UNKNOWN</t>
        </is>
      </c>
      <c r="N1050" t="inlineStr">
        <is>
          <t>DEFAULT</t>
        </is>
      </c>
      <c r="Q1050" t="n">
        <v>0</v>
      </c>
      <c r="R1050" t="inlineStr">
        <is>
          <t>AUD</t>
        </is>
      </c>
      <c r="S1050" t="n">
        <v>0</v>
      </c>
      <c r="T1050" t="inlineStr">
        <is>
          <t>AUD</t>
        </is>
      </c>
      <c r="U1050" t="n">
        <v>0</v>
      </c>
    </row>
    <row r="1051">
      <c r="A1051" s="5" t="inlineStr">
        <is>
          <t>01a1212c-597a-77fd-9919-2e90cb8d19ee</t>
        </is>
      </c>
      <c r="C1051" s="5" t="inlineStr">
        <is>
          <t>01a1212c-4b57-70cf-80fd-c2192cb3bf81</t>
        </is>
      </c>
      <c r="D1051" s="4" t="n">
        <v>46304.62403993661</v>
      </c>
      <c r="E1051" s="4" t="n">
        <v>46304.62403993669</v>
      </c>
      <c r="F1051" t="b">
        <v>1</v>
      </c>
      <c r="G1051" t="n">
        <v/>
      </c>
      <c r="H1051" t="inlineStr">
        <is>
          <t>KYP</t>
        </is>
      </c>
      <c r="I1051" t="inlineStr">
        <is>
          <t>Kinatico Ltd</t>
        </is>
      </c>
      <c r="J1051" t="inlineStr">
        <is>
          <t>AUD</t>
        </is>
      </c>
      <c r="K1051" s="5" t="inlineStr">
        <is>
          <t>01a1212c-4c04-75ce-bbb2-e3322e18816e</t>
        </is>
      </c>
      <c r="M1051" t="inlineStr">
        <is>
          <t>UNKNOWN</t>
        </is>
      </c>
      <c r="N1051" t="inlineStr">
        <is>
          <t>DEFAULT</t>
        </is>
      </c>
      <c r="Q1051" t="n">
        <v>0</v>
      </c>
      <c r="R1051" t="inlineStr">
        <is>
          <t>AUD</t>
        </is>
      </c>
      <c r="S1051" t="n">
        <v>0</v>
      </c>
      <c r="T1051" t="inlineStr">
        <is>
          <t>AUD</t>
        </is>
      </c>
      <c r="U1051" t="n">
        <v>0</v>
      </c>
    </row>
    <row r="1052">
      <c r="A1052" s="5" t="inlineStr">
        <is>
          <t>01a1212c-597d-730d-bb3a-1a7bcfabc3ff</t>
        </is>
      </c>
      <c r="C1052" s="5" t="inlineStr">
        <is>
          <t>01a1212c-4b57-70cf-80fd-c2192cb3bf81</t>
        </is>
      </c>
      <c r="D1052" s="4" t="n">
        <v>46304.62403996766</v>
      </c>
      <c r="E1052" s="4" t="n">
        <v>46304.62403996774</v>
      </c>
      <c r="F1052" t="b">
        <v>1</v>
      </c>
      <c r="G1052" t="n">
        <v/>
      </c>
      <c r="H1052" t="inlineStr">
        <is>
          <t>HAV</t>
        </is>
      </c>
      <c r="I1052" t="inlineStr">
        <is>
          <t>Havilah Resources Ltd</t>
        </is>
      </c>
      <c r="J1052" t="inlineStr">
        <is>
          <t>AUD</t>
        </is>
      </c>
      <c r="K1052" s="5" t="inlineStr">
        <is>
          <t>01a1212c-4c04-75ce-bbb2-e3322e18816e</t>
        </is>
      </c>
      <c r="M1052" t="inlineStr">
        <is>
          <t>UNKNOWN</t>
        </is>
      </c>
      <c r="N1052" t="inlineStr">
        <is>
          <t>DEFAULT</t>
        </is>
      </c>
      <c r="Q1052" t="n">
        <v>0</v>
      </c>
      <c r="R1052" t="inlineStr">
        <is>
          <t>AUD</t>
        </is>
      </c>
      <c r="S1052" t="n">
        <v>0</v>
      </c>
      <c r="T1052" t="inlineStr">
        <is>
          <t>AUD</t>
        </is>
      </c>
      <c r="U1052" t="n">
        <v>0</v>
      </c>
    </row>
    <row r="1053">
      <c r="A1053" s="5" t="inlineStr">
        <is>
          <t>01a1212c-597f-74dc-9c61-8ede14b28859</t>
        </is>
      </c>
      <c r="C1053" s="5" t="inlineStr">
        <is>
          <t>01a1212c-4b57-70cf-80fd-c2192cb3bf81</t>
        </is>
      </c>
      <c r="D1053" s="4" t="n">
        <v>46304.62404000071</v>
      </c>
      <c r="E1053" s="4" t="n">
        <v>46304.62404000077</v>
      </c>
      <c r="F1053" t="b">
        <v>1</v>
      </c>
      <c r="G1053" t="n">
        <v/>
      </c>
      <c r="H1053" t="inlineStr">
        <is>
          <t>BWF</t>
        </is>
      </c>
      <c r="I1053" t="inlineStr">
        <is>
          <t>Blackwall Ltd</t>
        </is>
      </c>
      <c r="J1053" t="inlineStr">
        <is>
          <t>AUD</t>
        </is>
      </c>
      <c r="K1053" s="5" t="inlineStr">
        <is>
          <t>01a1212c-4c04-75ce-bbb2-e3322e18816e</t>
        </is>
      </c>
      <c r="M1053" t="inlineStr">
        <is>
          <t>UNKNOWN</t>
        </is>
      </c>
      <c r="N1053" t="inlineStr">
        <is>
          <t>DEFAULT</t>
        </is>
      </c>
      <c r="Q1053" t="n">
        <v>0</v>
      </c>
      <c r="R1053" t="inlineStr">
        <is>
          <t>AUD</t>
        </is>
      </c>
      <c r="S1053" t="n">
        <v>0</v>
      </c>
      <c r="T1053" t="inlineStr">
        <is>
          <t>AUD</t>
        </is>
      </c>
      <c r="U1053" t="n">
        <v>0</v>
      </c>
    </row>
    <row r="1054">
      <c r="A1054" s="5" t="inlineStr">
        <is>
          <t>01a1212c-5982-7442-aeb4-a2b67d1c2b5f</t>
        </is>
      </c>
      <c r="C1054" s="5" t="inlineStr">
        <is>
          <t>01a1212c-4b57-70cf-80fd-c2192cb3bf81</t>
        </is>
      </c>
      <c r="D1054" s="4" t="n">
        <v>46304.62404003132</v>
      </c>
      <c r="E1054" s="4" t="n">
        <v>46304.62404003139</v>
      </c>
      <c r="F1054" t="b">
        <v>1</v>
      </c>
      <c r="G1054" t="n">
        <v/>
      </c>
      <c r="H1054" t="inlineStr">
        <is>
          <t>IHEB</t>
        </is>
      </c>
      <c r="I1054" t="inlineStr">
        <is>
          <t>Ishares J.P. Morgan Usd Emerging Markets (Aud Hedged) ETF</t>
        </is>
      </c>
      <c r="J1054" t="inlineStr">
        <is>
          <t>AUD</t>
        </is>
      </c>
      <c r="K1054" s="5" t="inlineStr">
        <is>
          <t>01a1212c-4c04-75ce-bbb2-e3322e18816e</t>
        </is>
      </c>
      <c r="M1054" t="inlineStr">
        <is>
          <t>UNKNOWN</t>
        </is>
      </c>
      <c r="N1054" t="inlineStr">
        <is>
          <t>DEFAULT</t>
        </is>
      </c>
      <c r="Q1054" t="n">
        <v>0</v>
      </c>
      <c r="R1054" t="inlineStr">
        <is>
          <t>AUD</t>
        </is>
      </c>
      <c r="S1054" t="n">
        <v>0</v>
      </c>
      <c r="T1054" t="inlineStr">
        <is>
          <t>AUD</t>
        </is>
      </c>
      <c r="U1054" t="n">
        <v>0</v>
      </c>
    </row>
    <row r="1055">
      <c r="A1055" s="5" t="inlineStr">
        <is>
          <t>01a1212c-5985-7656-bd9f-55631edc5276</t>
        </is>
      </c>
      <c r="C1055" s="5" t="inlineStr">
        <is>
          <t>01a1212c-4b57-70cf-80fd-c2192cb3bf81</t>
        </is>
      </c>
      <c r="D1055" s="4" t="n">
        <v>46304.62404006388</v>
      </c>
      <c r="E1055" s="4" t="n">
        <v>46304.62404006396</v>
      </c>
      <c r="F1055" t="b">
        <v>1</v>
      </c>
      <c r="G1055" t="n">
        <v/>
      </c>
      <c r="H1055" t="inlineStr">
        <is>
          <t>CUE</t>
        </is>
      </c>
      <c r="I1055" t="inlineStr">
        <is>
          <t>CUE Energy Resources Ltd</t>
        </is>
      </c>
      <c r="J1055" t="inlineStr">
        <is>
          <t>AUD</t>
        </is>
      </c>
      <c r="K1055" s="5" t="inlineStr">
        <is>
          <t>01a1212c-4c04-75ce-bbb2-e3322e18816e</t>
        </is>
      </c>
      <c r="M1055" t="inlineStr">
        <is>
          <t>UNKNOWN</t>
        </is>
      </c>
      <c r="N1055" t="inlineStr">
        <is>
          <t>DEFAULT</t>
        </is>
      </c>
      <c r="Q1055" t="n">
        <v>0</v>
      </c>
      <c r="R1055" t="inlineStr">
        <is>
          <t>AUD</t>
        </is>
      </c>
      <c r="S1055" t="n">
        <v>0</v>
      </c>
      <c r="T1055" t="inlineStr">
        <is>
          <t>AUD</t>
        </is>
      </c>
      <c r="U1055" t="n">
        <v>0</v>
      </c>
    </row>
    <row r="1056">
      <c r="A1056" s="5" t="inlineStr">
        <is>
          <t>01a1212c-5988-751f-95d5-6c5aeeaa0d0a</t>
        </is>
      </c>
      <c r="C1056" s="5" t="inlineStr">
        <is>
          <t>01a1212c-4b57-70cf-80fd-c2192cb3bf81</t>
        </is>
      </c>
      <c r="D1056" s="4" t="n">
        <v>46304.6240400957</v>
      </c>
      <c r="E1056" s="4" t="n">
        <v>46304.62404009579</v>
      </c>
      <c r="F1056" t="b">
        <v>1</v>
      </c>
      <c r="G1056" t="n">
        <v/>
      </c>
      <c r="H1056" t="inlineStr">
        <is>
          <t>LKE</t>
        </is>
      </c>
      <c r="I1056" t="inlineStr">
        <is>
          <t>Lake Resources N.L.</t>
        </is>
      </c>
      <c r="J1056" t="inlineStr">
        <is>
          <t>AUD</t>
        </is>
      </c>
      <c r="K1056" s="5" t="inlineStr">
        <is>
          <t>01a1212c-4c04-75ce-bbb2-e3322e18816e</t>
        </is>
      </c>
      <c r="M1056" t="inlineStr">
        <is>
          <t>UNKNOWN</t>
        </is>
      </c>
      <c r="N1056" t="inlineStr">
        <is>
          <t>DEFAULT</t>
        </is>
      </c>
      <c r="Q1056" t="n">
        <v>0</v>
      </c>
      <c r="R1056" t="inlineStr">
        <is>
          <t>AUD</t>
        </is>
      </c>
      <c r="S1056" t="n">
        <v>0</v>
      </c>
      <c r="T1056" t="inlineStr">
        <is>
          <t>AUD</t>
        </is>
      </c>
      <c r="U1056" t="n">
        <v>0</v>
      </c>
    </row>
    <row r="1057">
      <c r="A1057" s="5" t="inlineStr">
        <is>
          <t>01a1212c-598a-7248-931f-4c1ed294e89f</t>
        </is>
      </c>
      <c r="C1057" s="5" t="inlineStr">
        <is>
          <t>01a1212c-4b57-70cf-80fd-c2192cb3bf81</t>
        </is>
      </c>
      <c r="D1057" s="4" t="n">
        <v>46304.62404012842</v>
      </c>
      <c r="E1057" s="4" t="n">
        <v>46304.6240401285</v>
      </c>
      <c r="F1057" t="b">
        <v>1</v>
      </c>
      <c r="G1057" t="n">
        <v/>
      </c>
      <c r="H1057" t="inlineStr">
        <is>
          <t>DME</t>
        </is>
      </c>
      <c r="I1057" t="inlineStr">
        <is>
          <t>Dome Gold Mines Ltd</t>
        </is>
      </c>
      <c r="J1057" t="inlineStr">
        <is>
          <t>AUD</t>
        </is>
      </c>
      <c r="K1057" s="5" t="inlineStr">
        <is>
          <t>01a1212c-4c04-75ce-bbb2-e3322e18816e</t>
        </is>
      </c>
      <c r="M1057" t="inlineStr">
        <is>
          <t>UNKNOWN</t>
        </is>
      </c>
      <c r="N1057" t="inlineStr">
        <is>
          <t>DEFAULT</t>
        </is>
      </c>
      <c r="Q1057" t="n">
        <v>0</v>
      </c>
      <c r="R1057" t="inlineStr">
        <is>
          <t>AUD</t>
        </is>
      </c>
      <c r="S1057" t="n">
        <v>0</v>
      </c>
      <c r="T1057" t="inlineStr">
        <is>
          <t>AUD</t>
        </is>
      </c>
      <c r="U1057" t="n">
        <v>0</v>
      </c>
    </row>
    <row r="1058">
      <c r="A1058" s="5" t="inlineStr">
        <is>
          <t>01a1212c-598d-74d4-b4d7-091c85b0d5ad</t>
        </is>
      </c>
      <c r="C1058" s="5" t="inlineStr">
        <is>
          <t>01a1212c-4b57-70cf-80fd-c2192cb3bf81</t>
        </is>
      </c>
      <c r="D1058" s="4" t="n">
        <v>46304.62404016007</v>
      </c>
      <c r="E1058" s="4" t="n">
        <v>46304.62404016015</v>
      </c>
      <c r="F1058" t="b">
        <v>1</v>
      </c>
      <c r="G1058" t="n">
        <v/>
      </c>
      <c r="H1058" t="inlineStr">
        <is>
          <t>VFY</t>
        </is>
      </c>
      <c r="I1058" t="inlineStr">
        <is>
          <t>Vitrafy Life Sciences Ltd</t>
        </is>
      </c>
      <c r="J1058" t="inlineStr">
        <is>
          <t>AUD</t>
        </is>
      </c>
      <c r="K1058" s="5" t="inlineStr">
        <is>
          <t>01a1212c-4c04-75ce-bbb2-e3322e18816e</t>
        </is>
      </c>
      <c r="M1058" t="inlineStr">
        <is>
          <t>UNKNOWN</t>
        </is>
      </c>
      <c r="N1058" t="inlineStr">
        <is>
          <t>DEFAULT</t>
        </is>
      </c>
      <c r="Q1058" t="n">
        <v>0</v>
      </c>
      <c r="R1058" t="inlineStr">
        <is>
          <t>AUD</t>
        </is>
      </c>
      <c r="S1058" t="n">
        <v>0</v>
      </c>
      <c r="T1058" t="inlineStr">
        <is>
          <t>AUD</t>
        </is>
      </c>
      <c r="U1058" t="n">
        <v>0</v>
      </c>
    </row>
    <row r="1059">
      <c r="A1059" s="5" t="inlineStr">
        <is>
          <t>01a1212c-5990-72ed-b500-9a33a0868288</t>
        </is>
      </c>
      <c r="C1059" s="5" t="inlineStr">
        <is>
          <t>01a1212c-4b57-70cf-80fd-c2192cb3bf81</t>
        </is>
      </c>
      <c r="D1059" s="4" t="n">
        <v>46304.62404019132</v>
      </c>
      <c r="E1059" s="4" t="n">
        <v>46304.62404019139</v>
      </c>
      <c r="F1059" t="b">
        <v>1</v>
      </c>
      <c r="G1059" t="n">
        <v/>
      </c>
      <c r="H1059" t="inlineStr">
        <is>
          <t>DSK</t>
        </is>
      </c>
      <c r="I1059" t="inlineStr">
        <is>
          <t>Dusk Group Ltd</t>
        </is>
      </c>
      <c r="J1059" t="inlineStr">
        <is>
          <t>AUD</t>
        </is>
      </c>
      <c r="K1059" s="5" t="inlineStr">
        <is>
          <t>01a1212c-4c04-75ce-bbb2-e3322e18816e</t>
        </is>
      </c>
      <c r="M1059" t="inlineStr">
        <is>
          <t>UNKNOWN</t>
        </is>
      </c>
      <c r="N1059" t="inlineStr">
        <is>
          <t>DEFAULT</t>
        </is>
      </c>
      <c r="Q1059" t="n">
        <v>0</v>
      </c>
      <c r="R1059" t="inlineStr">
        <is>
          <t>AUD</t>
        </is>
      </c>
      <c r="S1059" t="n">
        <v>0</v>
      </c>
      <c r="T1059" t="inlineStr">
        <is>
          <t>AUD</t>
        </is>
      </c>
      <c r="U1059" t="n">
        <v>0</v>
      </c>
    </row>
    <row r="1060">
      <c r="A1060" s="5" t="inlineStr">
        <is>
          <t>01a1212c-5993-74cc-bb54-12e34a180cf6</t>
        </is>
      </c>
      <c r="C1060" s="5" t="inlineStr">
        <is>
          <t>01a1212c-4b57-70cf-80fd-c2192cb3bf81</t>
        </is>
      </c>
      <c r="D1060" s="4" t="n">
        <v>46304.62404022286</v>
      </c>
      <c r="E1060" s="4" t="n">
        <v>46304.62404022294</v>
      </c>
      <c r="F1060" t="b">
        <v>1</v>
      </c>
      <c r="G1060" t="n">
        <v/>
      </c>
      <c r="H1060" t="inlineStr">
        <is>
          <t>ARL</t>
        </is>
      </c>
      <c r="I1060" t="inlineStr">
        <is>
          <t>Ardea Resources Ltd</t>
        </is>
      </c>
      <c r="J1060" t="inlineStr">
        <is>
          <t>AUD</t>
        </is>
      </c>
      <c r="K1060" s="5" t="inlineStr">
        <is>
          <t>01a1212c-4c04-75ce-bbb2-e3322e18816e</t>
        </is>
      </c>
      <c r="M1060" t="inlineStr">
        <is>
          <t>UNKNOWN</t>
        </is>
      </c>
      <c r="N1060" t="inlineStr">
        <is>
          <t>DEFAULT</t>
        </is>
      </c>
      <c r="Q1060" t="n">
        <v>0</v>
      </c>
      <c r="R1060" t="inlineStr">
        <is>
          <t>AUD</t>
        </is>
      </c>
      <c r="S1060" t="n">
        <v>0</v>
      </c>
      <c r="T1060" t="inlineStr">
        <is>
          <t>AUD</t>
        </is>
      </c>
      <c r="U1060" t="n">
        <v>0</v>
      </c>
    </row>
    <row r="1061">
      <c r="A1061" s="5" t="inlineStr">
        <is>
          <t>01a1212c-5996-7289-b721-70e6dadfa724</t>
        </is>
      </c>
      <c r="C1061" s="5" t="inlineStr">
        <is>
          <t>01a1212c-4b57-70cf-80fd-c2192cb3bf81</t>
        </is>
      </c>
      <c r="D1061" s="4" t="n">
        <v>46304.62404026295</v>
      </c>
      <c r="E1061" s="4" t="n">
        <v>46304.62404026304</v>
      </c>
      <c r="F1061" t="b">
        <v>1</v>
      </c>
      <c r="G1061" t="n">
        <v/>
      </c>
      <c r="H1061" t="inlineStr">
        <is>
          <t>SS1</t>
        </is>
      </c>
      <c r="I1061" t="inlineStr">
        <is>
          <t>Sun Silver Ltd</t>
        </is>
      </c>
      <c r="J1061" t="inlineStr">
        <is>
          <t>AUD</t>
        </is>
      </c>
      <c r="K1061" s="5" t="inlineStr">
        <is>
          <t>01a1212c-4c04-75ce-bbb2-e3322e18816e</t>
        </is>
      </c>
      <c r="M1061" t="inlineStr">
        <is>
          <t>UNKNOWN</t>
        </is>
      </c>
      <c r="N1061" t="inlineStr">
        <is>
          <t>DEFAULT</t>
        </is>
      </c>
      <c r="Q1061" t="n">
        <v>0</v>
      </c>
      <c r="R1061" t="inlineStr">
        <is>
          <t>AUD</t>
        </is>
      </c>
      <c r="S1061" t="n">
        <v>0</v>
      </c>
      <c r="T1061" t="inlineStr">
        <is>
          <t>AUD</t>
        </is>
      </c>
      <c r="U1061" t="n">
        <v>0</v>
      </c>
    </row>
    <row r="1062">
      <c r="A1062" s="5" t="inlineStr">
        <is>
          <t>01a1212c-5999-7288-bacf-ec168f483851</t>
        </is>
      </c>
      <c r="C1062" s="5" t="inlineStr">
        <is>
          <t>01a1212c-4b57-70cf-80fd-c2192cb3bf81</t>
        </is>
      </c>
      <c r="D1062" s="4" t="n">
        <v>46304.62404029723</v>
      </c>
      <c r="E1062" s="4" t="n">
        <v>46304.62404029731</v>
      </c>
      <c r="F1062" t="b">
        <v>1</v>
      </c>
      <c r="G1062" t="n">
        <v/>
      </c>
      <c r="H1062" t="inlineStr">
        <is>
          <t>LBL</t>
        </is>
      </c>
      <c r="I1062" t="inlineStr">
        <is>
          <t>Laserbond Ltd</t>
        </is>
      </c>
      <c r="J1062" t="inlineStr">
        <is>
          <t>AUD</t>
        </is>
      </c>
      <c r="K1062" s="5" t="inlineStr">
        <is>
          <t>01a1212c-4c04-75ce-bbb2-e3322e18816e</t>
        </is>
      </c>
      <c r="M1062" t="inlineStr">
        <is>
          <t>UNKNOWN</t>
        </is>
      </c>
      <c r="N1062" t="inlineStr">
        <is>
          <t>DEFAULT</t>
        </is>
      </c>
      <c r="Q1062" t="n">
        <v>0</v>
      </c>
      <c r="R1062" t="inlineStr">
        <is>
          <t>AUD</t>
        </is>
      </c>
      <c r="S1062" t="n">
        <v>0</v>
      </c>
      <c r="T1062" t="inlineStr">
        <is>
          <t>AUD</t>
        </is>
      </c>
      <c r="U1062" t="n">
        <v>0</v>
      </c>
    </row>
    <row r="1063">
      <c r="A1063" s="5" t="inlineStr">
        <is>
          <t>01a1212c-599c-709e-bf5e-62c5052f0713</t>
        </is>
      </c>
      <c r="C1063" s="5" t="inlineStr">
        <is>
          <t>01a1212c-4b57-70cf-80fd-c2192cb3bf81</t>
        </is>
      </c>
      <c r="D1063" s="4" t="n">
        <v>46304.62404032803</v>
      </c>
      <c r="E1063" s="4" t="n">
        <v>46304.62404032811</v>
      </c>
      <c r="F1063" t="b">
        <v>1</v>
      </c>
      <c r="G1063" t="n">
        <v/>
      </c>
      <c r="H1063" t="inlineStr">
        <is>
          <t>BAOR</t>
        </is>
      </c>
      <c r="I1063" t="inlineStr">
        <is>
          <t>Aoris Int Fund (Class B) (Unhedged) Active ETF</t>
        </is>
      </c>
      <c r="J1063" t="inlineStr">
        <is>
          <t>AUD</t>
        </is>
      </c>
      <c r="K1063" s="5" t="inlineStr">
        <is>
          <t>01a1212c-4c04-75ce-bbb2-e3322e18816e</t>
        </is>
      </c>
      <c r="M1063" t="inlineStr">
        <is>
          <t>UNKNOWN</t>
        </is>
      </c>
      <c r="N1063" t="inlineStr">
        <is>
          <t>DEFAULT</t>
        </is>
      </c>
      <c r="Q1063" t="n">
        <v>0</v>
      </c>
      <c r="R1063" t="inlineStr">
        <is>
          <t>AUD</t>
        </is>
      </c>
      <c r="S1063" t="n">
        <v>0</v>
      </c>
      <c r="T1063" t="inlineStr">
        <is>
          <t>AUD</t>
        </is>
      </c>
      <c r="U1063" t="n">
        <v>0</v>
      </c>
    </row>
    <row r="1064">
      <c r="A1064" s="5" t="inlineStr">
        <is>
          <t>01a1212c-599e-7128-9336-ebb1c58a8146</t>
        </is>
      </c>
      <c r="C1064" s="5" t="inlineStr">
        <is>
          <t>01a1212c-4b57-70cf-80fd-c2192cb3bf81</t>
        </is>
      </c>
      <c r="D1064" s="4" t="n">
        <v>46304.62404035901</v>
      </c>
      <c r="E1064" s="4" t="n">
        <v>46304.6240403591</v>
      </c>
      <c r="F1064" t="b">
        <v>1</v>
      </c>
      <c r="G1064" t="n">
        <v/>
      </c>
      <c r="H1064" t="inlineStr">
        <is>
          <t>EVS</t>
        </is>
      </c>
      <c r="I1064" t="inlineStr">
        <is>
          <t>Envirosuite Ltd</t>
        </is>
      </c>
      <c r="J1064" t="inlineStr">
        <is>
          <t>AUD</t>
        </is>
      </c>
      <c r="K1064" s="5" t="inlineStr">
        <is>
          <t>01a1212c-4c04-75ce-bbb2-e3322e18816e</t>
        </is>
      </c>
      <c r="M1064" t="inlineStr">
        <is>
          <t>UNKNOWN</t>
        </is>
      </c>
      <c r="N1064" t="inlineStr">
        <is>
          <t>DEFAULT</t>
        </is>
      </c>
      <c r="Q1064" t="n">
        <v>0</v>
      </c>
      <c r="R1064" t="inlineStr">
        <is>
          <t>AUD</t>
        </is>
      </c>
      <c r="S1064" t="n">
        <v>0</v>
      </c>
      <c r="T1064" t="inlineStr">
        <is>
          <t>AUD</t>
        </is>
      </c>
      <c r="U1064" t="n">
        <v>0</v>
      </c>
    </row>
    <row r="1065">
      <c r="A1065" s="5" t="inlineStr">
        <is>
          <t>01a1212c-59a1-7714-8775-f76124551e55</t>
        </is>
      </c>
      <c r="C1065" s="5" t="inlineStr">
        <is>
          <t>01a1212c-4b57-70cf-80fd-c2192cb3bf81</t>
        </is>
      </c>
      <c r="D1065" s="4" t="n">
        <v>46304.62404039063</v>
      </c>
      <c r="E1065" s="4" t="n">
        <v>46304.62404039071</v>
      </c>
      <c r="F1065" t="b">
        <v>1</v>
      </c>
      <c r="G1065" t="n">
        <v/>
      </c>
      <c r="H1065" t="inlineStr">
        <is>
          <t>4DS</t>
        </is>
      </c>
      <c r="I1065" t="inlineStr">
        <is>
          <t>4DS Memory Ltd</t>
        </is>
      </c>
      <c r="J1065" t="inlineStr">
        <is>
          <t>AUD</t>
        </is>
      </c>
      <c r="K1065" s="5" t="inlineStr">
        <is>
          <t>01a1212c-4c04-75ce-bbb2-e3322e18816e</t>
        </is>
      </c>
      <c r="M1065" t="inlineStr">
        <is>
          <t>UNKNOWN</t>
        </is>
      </c>
      <c r="N1065" t="inlineStr">
        <is>
          <t>DEFAULT</t>
        </is>
      </c>
      <c r="Q1065" t="n">
        <v>0</v>
      </c>
      <c r="R1065" t="inlineStr">
        <is>
          <t>AUD</t>
        </is>
      </c>
      <c r="S1065" t="n">
        <v>0</v>
      </c>
      <c r="T1065" t="inlineStr">
        <is>
          <t>AUD</t>
        </is>
      </c>
      <c r="U1065" t="n">
        <v>0</v>
      </c>
    </row>
    <row r="1066">
      <c r="A1066" s="5" t="inlineStr">
        <is>
          <t>01a1212c-59a4-72eb-b710-e5dfa32ea9f0</t>
        </is>
      </c>
      <c r="C1066" s="5" t="inlineStr">
        <is>
          <t>01a1212c-4b57-70cf-80fd-c2192cb3bf81</t>
        </is>
      </c>
      <c r="D1066" s="4" t="n">
        <v>46304.62404042648</v>
      </c>
      <c r="E1066" s="4" t="n">
        <v>46304.62404042658</v>
      </c>
      <c r="F1066" t="b">
        <v>1</v>
      </c>
      <c r="G1066" t="n">
        <v/>
      </c>
      <c r="H1066" t="inlineStr">
        <is>
          <t>FHE</t>
        </is>
      </c>
      <c r="I1066" t="inlineStr">
        <is>
          <t>Frontier Energy Ltd</t>
        </is>
      </c>
      <c r="J1066" t="inlineStr">
        <is>
          <t>AUD</t>
        </is>
      </c>
      <c r="K1066" s="5" t="inlineStr">
        <is>
          <t>01a1212c-4c04-75ce-bbb2-e3322e18816e</t>
        </is>
      </c>
      <c r="M1066" t="inlineStr">
        <is>
          <t>UNKNOWN</t>
        </is>
      </c>
      <c r="N1066" t="inlineStr">
        <is>
          <t>DEFAULT</t>
        </is>
      </c>
      <c r="Q1066" t="n">
        <v>0</v>
      </c>
      <c r="R1066" t="inlineStr">
        <is>
          <t>AUD</t>
        </is>
      </c>
      <c r="S1066" t="n">
        <v>0</v>
      </c>
      <c r="T1066" t="inlineStr">
        <is>
          <t>AUD</t>
        </is>
      </c>
      <c r="U1066" t="n">
        <v>0</v>
      </c>
    </row>
    <row r="1067">
      <c r="A1067" s="5" t="inlineStr">
        <is>
          <t>01a1212c-59a7-7739-bbde-15a241e186f1</t>
        </is>
      </c>
      <c r="C1067" s="5" t="inlineStr">
        <is>
          <t>01a1212c-4b57-70cf-80fd-c2192cb3bf81</t>
        </is>
      </c>
      <c r="D1067" s="4" t="n">
        <v>46304.62404046023</v>
      </c>
      <c r="E1067" s="4" t="n">
        <v>46304.62404046032</v>
      </c>
      <c r="F1067" t="b">
        <v>1</v>
      </c>
      <c r="G1067" t="n">
        <v/>
      </c>
      <c r="H1067" t="inlineStr">
        <is>
          <t>DCC</t>
        </is>
      </c>
      <c r="I1067" t="inlineStr">
        <is>
          <t>Digitalx Ltd</t>
        </is>
      </c>
      <c r="J1067" t="inlineStr">
        <is>
          <t>AUD</t>
        </is>
      </c>
      <c r="K1067" s="5" t="inlineStr">
        <is>
          <t>01a1212c-4c04-75ce-bbb2-e3322e18816e</t>
        </is>
      </c>
      <c r="M1067" t="inlineStr">
        <is>
          <t>UNKNOWN</t>
        </is>
      </c>
      <c r="N1067" t="inlineStr">
        <is>
          <t>DEFAULT</t>
        </is>
      </c>
      <c r="Q1067" t="n">
        <v>0</v>
      </c>
      <c r="R1067" t="inlineStr">
        <is>
          <t>AUD</t>
        </is>
      </c>
      <c r="S1067" t="n">
        <v>0</v>
      </c>
      <c r="T1067" t="inlineStr">
        <is>
          <t>AUD</t>
        </is>
      </c>
      <c r="U1067" t="n">
        <v>0</v>
      </c>
    </row>
    <row r="1068">
      <c r="A1068" s="5" t="inlineStr">
        <is>
          <t>01a1212c-59aa-7713-a2d1-feba97647bea</t>
        </is>
      </c>
      <c r="C1068" s="5" t="inlineStr">
        <is>
          <t>01a1212c-4b57-70cf-80fd-c2192cb3bf81</t>
        </is>
      </c>
      <c r="D1068" s="4" t="n">
        <v>46304.624040491</v>
      </c>
      <c r="E1068" s="4" t="n">
        <v>46304.62404049108</v>
      </c>
      <c r="F1068" t="b">
        <v>1</v>
      </c>
      <c r="G1068" t="n">
        <v/>
      </c>
      <c r="H1068" t="inlineStr">
        <is>
          <t>DVDY</t>
        </is>
      </c>
      <c r="I1068" t="inlineStr">
        <is>
          <t>Vaneck Morningstar Australian Moat Income ETF</t>
        </is>
      </c>
      <c r="J1068" t="inlineStr">
        <is>
          <t>AUD</t>
        </is>
      </c>
      <c r="K1068" s="5" t="inlineStr">
        <is>
          <t>01a1212c-4c04-75ce-bbb2-e3322e18816e</t>
        </is>
      </c>
      <c r="M1068" t="inlineStr">
        <is>
          <t>UNKNOWN</t>
        </is>
      </c>
      <c r="N1068" t="inlineStr">
        <is>
          <t>DEFAULT</t>
        </is>
      </c>
      <c r="Q1068" t="n">
        <v>0</v>
      </c>
      <c r="R1068" t="inlineStr">
        <is>
          <t>AUD</t>
        </is>
      </c>
      <c r="S1068" t="n">
        <v>0</v>
      </c>
      <c r="T1068" t="inlineStr">
        <is>
          <t>AUD</t>
        </is>
      </c>
      <c r="U1068" t="n">
        <v>0</v>
      </c>
    </row>
    <row r="1069">
      <c r="A1069" s="5" t="inlineStr">
        <is>
          <t>01a1212c-59ac-758c-9704-9913037b90c3</t>
        </is>
      </c>
      <c r="C1069" s="5" t="inlineStr">
        <is>
          <t>01a1212c-4b57-70cf-80fd-c2192cb3bf81</t>
        </is>
      </c>
      <c r="D1069" s="4" t="n">
        <v>46304.62404052192</v>
      </c>
      <c r="E1069" s="4" t="n">
        <v>46304.624040522</v>
      </c>
      <c r="F1069" t="b">
        <v>1</v>
      </c>
      <c r="G1069" t="n">
        <v/>
      </c>
      <c r="H1069" t="inlineStr">
        <is>
          <t>B4P</t>
        </is>
      </c>
      <c r="I1069" t="inlineStr">
        <is>
          <t>Beforepay Group Ltd</t>
        </is>
      </c>
      <c r="J1069" t="inlineStr">
        <is>
          <t>AUD</t>
        </is>
      </c>
      <c r="K1069" s="5" t="inlineStr">
        <is>
          <t>01a1212c-4c04-75ce-bbb2-e3322e18816e</t>
        </is>
      </c>
      <c r="M1069" t="inlineStr">
        <is>
          <t>UNKNOWN</t>
        </is>
      </c>
      <c r="N1069" t="inlineStr">
        <is>
          <t>DEFAULT</t>
        </is>
      </c>
      <c r="Q1069" t="n">
        <v>0</v>
      </c>
      <c r="R1069" t="inlineStr">
        <is>
          <t>AUD</t>
        </is>
      </c>
      <c r="S1069" t="n">
        <v>0</v>
      </c>
      <c r="T1069" t="inlineStr">
        <is>
          <t>AUD</t>
        </is>
      </c>
      <c r="U1069" t="n">
        <v>0</v>
      </c>
    </row>
    <row r="1070">
      <c r="A1070" s="5" t="inlineStr">
        <is>
          <t>01a1212c-59af-7532-9f1b-833eda45f4e0</t>
        </is>
      </c>
      <c r="C1070" s="5" t="inlineStr">
        <is>
          <t>01a1212c-4b57-70cf-80fd-c2192cb3bf81</t>
        </is>
      </c>
      <c r="D1070" s="4" t="n">
        <v>46304.62404055278</v>
      </c>
      <c r="E1070" s="4" t="n">
        <v>46304.62404055286</v>
      </c>
      <c r="F1070" t="b">
        <v>1</v>
      </c>
      <c r="G1070" t="n">
        <v/>
      </c>
      <c r="H1070" t="inlineStr">
        <is>
          <t>NUZ</t>
        </is>
      </c>
      <c r="I1070" t="inlineStr">
        <is>
          <t>Neurizon Therapeutics Ltd</t>
        </is>
      </c>
      <c r="J1070" t="inlineStr">
        <is>
          <t>AUD</t>
        </is>
      </c>
      <c r="K1070" s="5" t="inlineStr">
        <is>
          <t>01a1212c-4c04-75ce-bbb2-e3322e18816e</t>
        </is>
      </c>
      <c r="M1070" t="inlineStr">
        <is>
          <t>UNKNOWN</t>
        </is>
      </c>
      <c r="N1070" t="inlineStr">
        <is>
          <t>DEFAULT</t>
        </is>
      </c>
      <c r="Q1070" t="n">
        <v>0</v>
      </c>
      <c r="R1070" t="inlineStr">
        <is>
          <t>AUD</t>
        </is>
      </c>
      <c r="S1070" t="n">
        <v>0</v>
      </c>
      <c r="T1070" t="inlineStr">
        <is>
          <t>AUD</t>
        </is>
      </c>
      <c r="U1070" t="n">
        <v>0</v>
      </c>
    </row>
    <row r="1071">
      <c r="A1071" s="5" t="inlineStr">
        <is>
          <t>01a1212c-59b2-721b-8ee7-8b4740e5348f</t>
        </is>
      </c>
      <c r="C1071" s="5" t="inlineStr">
        <is>
          <t>01a1212c-4b57-70cf-80fd-c2192cb3bf81</t>
        </is>
      </c>
      <c r="D1071" s="4" t="n">
        <v>46304.62404058613</v>
      </c>
      <c r="E1071" s="4" t="n">
        <v>46304.62404058621</v>
      </c>
      <c r="F1071" t="b">
        <v>1</v>
      </c>
      <c r="G1071" t="n">
        <v/>
      </c>
      <c r="H1071" t="inlineStr">
        <is>
          <t>RZI</t>
        </is>
      </c>
      <c r="I1071" t="inlineStr">
        <is>
          <t>RAIZ Invest Ltd</t>
        </is>
      </c>
      <c r="J1071" t="inlineStr">
        <is>
          <t>AUD</t>
        </is>
      </c>
      <c r="K1071" s="5" t="inlineStr">
        <is>
          <t>01a1212c-4c04-75ce-bbb2-e3322e18816e</t>
        </is>
      </c>
      <c r="M1071" t="inlineStr">
        <is>
          <t>UNKNOWN</t>
        </is>
      </c>
      <c r="N1071" t="inlineStr">
        <is>
          <t>DEFAULT</t>
        </is>
      </c>
      <c r="Q1071" t="n">
        <v>0</v>
      </c>
      <c r="R1071" t="inlineStr">
        <is>
          <t>AUD</t>
        </is>
      </c>
      <c r="S1071" t="n">
        <v>0</v>
      </c>
      <c r="T1071" t="inlineStr">
        <is>
          <t>AUD</t>
        </is>
      </c>
      <c r="U1071" t="n">
        <v>0</v>
      </c>
    </row>
    <row r="1072">
      <c r="A1072" s="5" t="inlineStr">
        <is>
          <t>01a1212c-59b6-73bd-b9c8-1c7d2fee1978</t>
        </is>
      </c>
      <c r="C1072" s="5" t="inlineStr">
        <is>
          <t>01a1212c-4b57-70cf-80fd-c2192cb3bf81</t>
        </is>
      </c>
      <c r="D1072" s="4" t="n">
        <v>46304.62404062855</v>
      </c>
      <c r="E1072" s="4" t="n">
        <v>46304.62404062864</v>
      </c>
      <c r="F1072" t="b">
        <v>1</v>
      </c>
      <c r="G1072" t="n">
        <v/>
      </c>
      <c r="H1072" t="inlineStr">
        <is>
          <t>MEU</t>
        </is>
      </c>
      <c r="I1072" t="inlineStr">
        <is>
          <t>Marmota Ltd</t>
        </is>
      </c>
      <c r="J1072" t="inlineStr">
        <is>
          <t>AUD</t>
        </is>
      </c>
      <c r="K1072" s="5" t="inlineStr">
        <is>
          <t>01a1212c-4c04-75ce-bbb2-e3322e18816e</t>
        </is>
      </c>
      <c r="M1072" t="inlineStr">
        <is>
          <t>UNKNOWN</t>
        </is>
      </c>
      <c r="N1072" t="inlineStr">
        <is>
          <t>DEFAULT</t>
        </is>
      </c>
      <c r="Q1072" t="n">
        <v>0</v>
      </c>
      <c r="R1072" t="inlineStr">
        <is>
          <t>AUD</t>
        </is>
      </c>
      <c r="S1072" t="n">
        <v>0</v>
      </c>
      <c r="T1072" t="inlineStr">
        <is>
          <t>AUD</t>
        </is>
      </c>
      <c r="U1072" t="n">
        <v>0</v>
      </c>
    </row>
    <row r="1073">
      <c r="A1073" s="5" t="inlineStr">
        <is>
          <t>01a1212c-59b8-72de-bf6c-b7534a818e63</t>
        </is>
      </c>
      <c r="C1073" s="5" t="inlineStr">
        <is>
          <t>01a1212c-4b57-70cf-80fd-c2192cb3bf81</t>
        </is>
      </c>
      <c r="D1073" s="4" t="n">
        <v>46304.62404066072</v>
      </c>
      <c r="E1073" s="4" t="n">
        <v>46304.6240406608</v>
      </c>
      <c r="F1073" t="b">
        <v>1</v>
      </c>
      <c r="G1073" t="n">
        <v/>
      </c>
      <c r="H1073" t="inlineStr">
        <is>
          <t>RKN</t>
        </is>
      </c>
      <c r="I1073" t="inlineStr">
        <is>
          <t>Reckon Ltd</t>
        </is>
      </c>
      <c r="J1073" t="inlineStr">
        <is>
          <t>AUD</t>
        </is>
      </c>
      <c r="K1073" s="5" t="inlineStr">
        <is>
          <t>01a1212c-4c04-75ce-bbb2-e3322e18816e</t>
        </is>
      </c>
      <c r="M1073" t="inlineStr">
        <is>
          <t>UNKNOWN</t>
        </is>
      </c>
      <c r="N1073" t="inlineStr">
        <is>
          <t>DEFAULT</t>
        </is>
      </c>
      <c r="Q1073" t="n">
        <v>0</v>
      </c>
      <c r="R1073" t="inlineStr">
        <is>
          <t>AUD</t>
        </is>
      </c>
      <c r="S1073" t="n">
        <v>0</v>
      </c>
      <c r="T1073" t="inlineStr">
        <is>
          <t>AUD</t>
        </is>
      </c>
      <c r="U1073" t="n">
        <v>0</v>
      </c>
    </row>
    <row r="1074">
      <c r="A1074" s="5" t="inlineStr">
        <is>
          <t>01a1212c-59bb-7500-b538-230e53392f29</t>
        </is>
      </c>
      <c r="C1074" s="5" t="inlineStr">
        <is>
          <t>01a1212c-4b57-70cf-80fd-c2192cb3bf81</t>
        </is>
      </c>
      <c r="D1074" s="4" t="n">
        <v>46304.62404069157</v>
      </c>
      <c r="E1074" s="4" t="n">
        <v>46304.62404069165</v>
      </c>
      <c r="F1074" t="b">
        <v>1</v>
      </c>
      <c r="G1074" t="n">
        <v/>
      </c>
      <c r="H1074" t="inlineStr">
        <is>
          <t>WAA</t>
        </is>
      </c>
      <c r="I1074" t="inlineStr">
        <is>
          <t>Wam Active Ltd</t>
        </is>
      </c>
      <c r="J1074" t="inlineStr">
        <is>
          <t>AUD</t>
        </is>
      </c>
      <c r="K1074" s="5" t="inlineStr">
        <is>
          <t>01a1212c-4c04-75ce-bbb2-e3322e18816e</t>
        </is>
      </c>
      <c r="M1074" t="inlineStr">
        <is>
          <t>COMPANY</t>
        </is>
      </c>
      <c r="N1074" t="inlineStr">
        <is>
          <t>SUGGESTED</t>
        </is>
      </c>
      <c r="Q1074" t="n">
        <v>0</v>
      </c>
      <c r="R1074" t="inlineStr">
        <is>
          <t>AUD</t>
        </is>
      </c>
      <c r="S1074" t="n">
        <v>0</v>
      </c>
      <c r="T1074" t="inlineStr">
        <is>
          <t>AUD</t>
        </is>
      </c>
      <c r="U1074" t="n">
        <v>0</v>
      </c>
    </row>
    <row r="1075">
      <c r="A1075" s="5" t="inlineStr">
        <is>
          <t>01a1212c-59be-71b1-a02e-d78a4b859329</t>
        </is>
      </c>
      <c r="C1075" s="5" t="inlineStr">
        <is>
          <t>01a1212c-4b57-70cf-80fd-c2192cb3bf81</t>
        </is>
      </c>
      <c r="D1075" s="4" t="n">
        <v>46304.62404072841</v>
      </c>
      <c r="E1075" s="4" t="n">
        <v>46304.62404072849</v>
      </c>
      <c r="F1075" t="b">
        <v>1</v>
      </c>
      <c r="G1075" t="n">
        <v/>
      </c>
      <c r="H1075" t="inlineStr">
        <is>
          <t>CAF</t>
        </is>
      </c>
      <c r="I1075" t="inlineStr">
        <is>
          <t>Centrepoint Alliance Ltd</t>
        </is>
      </c>
      <c r="J1075" t="inlineStr">
        <is>
          <t>AUD</t>
        </is>
      </c>
      <c r="K1075" s="5" t="inlineStr">
        <is>
          <t>01a1212c-4c04-75ce-bbb2-e3322e18816e</t>
        </is>
      </c>
      <c r="M1075" t="inlineStr">
        <is>
          <t>UNKNOWN</t>
        </is>
      </c>
      <c r="N1075" t="inlineStr">
        <is>
          <t>DEFAULT</t>
        </is>
      </c>
      <c r="Q1075" t="n">
        <v>0</v>
      </c>
      <c r="R1075" t="inlineStr">
        <is>
          <t>AUD</t>
        </is>
      </c>
      <c r="S1075" t="n">
        <v>0</v>
      </c>
      <c r="T1075" t="inlineStr">
        <is>
          <t>AUD</t>
        </is>
      </c>
      <c r="U1075" t="n">
        <v>0</v>
      </c>
    </row>
    <row r="1076">
      <c r="A1076" s="5" t="inlineStr">
        <is>
          <t>01a1212c-59c1-7099-8f7d-74a4b4614589</t>
        </is>
      </c>
      <c r="C1076" s="5" t="inlineStr">
        <is>
          <t>01a1212c-4b57-70cf-80fd-c2192cb3bf81</t>
        </is>
      </c>
      <c r="D1076" s="4" t="n">
        <v>46304.62404075913</v>
      </c>
      <c r="E1076" s="4" t="n">
        <v>46304.6240407592</v>
      </c>
      <c r="F1076" t="b">
        <v>1</v>
      </c>
      <c r="G1076" t="n">
        <v/>
      </c>
      <c r="H1076" t="inlineStr">
        <is>
          <t>FOOD</t>
        </is>
      </c>
      <c r="I1076" t="inlineStr">
        <is>
          <t>Betashares GLB Agriculture Comp Currency HDGD ETF</t>
        </is>
      </c>
      <c r="J1076" t="inlineStr">
        <is>
          <t>AUD</t>
        </is>
      </c>
      <c r="K1076" s="5" t="inlineStr">
        <is>
          <t>01a1212c-4c04-75ce-bbb2-e3322e18816e</t>
        </is>
      </c>
      <c r="M1076" t="inlineStr">
        <is>
          <t>UNKNOWN</t>
        </is>
      </c>
      <c r="N1076" t="inlineStr">
        <is>
          <t>DEFAULT</t>
        </is>
      </c>
      <c r="Q1076" t="n">
        <v>0</v>
      </c>
      <c r="R1076" t="inlineStr">
        <is>
          <t>AUD</t>
        </is>
      </c>
      <c r="S1076" t="n">
        <v>0</v>
      </c>
      <c r="T1076" t="inlineStr">
        <is>
          <t>AUD</t>
        </is>
      </c>
      <c r="U1076" t="n">
        <v>0</v>
      </c>
    </row>
    <row r="1077">
      <c r="A1077" s="5" t="inlineStr">
        <is>
          <t>01a1212c-59c4-737f-97c1-db26d155ddf5</t>
        </is>
      </c>
      <c r="C1077" s="5" t="inlineStr">
        <is>
          <t>01a1212c-4b57-70cf-80fd-c2192cb3bf81</t>
        </is>
      </c>
      <c r="D1077" s="4" t="n">
        <v>46304.62404079563</v>
      </c>
      <c r="E1077" s="4" t="n">
        <v>46304.62404079572</v>
      </c>
      <c r="F1077" t="b">
        <v>1</v>
      </c>
      <c r="G1077" t="n">
        <v/>
      </c>
      <c r="H1077" t="inlineStr">
        <is>
          <t>AUE</t>
        </is>
      </c>
      <c r="I1077" t="inlineStr">
        <is>
          <t>Aurum Resources Ltd</t>
        </is>
      </c>
      <c r="J1077" t="inlineStr">
        <is>
          <t>AUD</t>
        </is>
      </c>
      <c r="K1077" s="5" t="inlineStr">
        <is>
          <t>01a1212c-4c04-75ce-bbb2-e3322e18816e</t>
        </is>
      </c>
      <c r="M1077" t="inlineStr">
        <is>
          <t>UNKNOWN</t>
        </is>
      </c>
      <c r="N1077" t="inlineStr">
        <is>
          <t>DEFAULT</t>
        </is>
      </c>
      <c r="Q1077" t="n">
        <v>0</v>
      </c>
      <c r="R1077" t="inlineStr">
        <is>
          <t>AUD</t>
        </is>
      </c>
      <c r="S1077" t="n">
        <v>0</v>
      </c>
      <c r="T1077" t="inlineStr">
        <is>
          <t>AUD</t>
        </is>
      </c>
      <c r="U1077" t="n">
        <v>0</v>
      </c>
    </row>
    <row r="1078">
      <c r="A1078" s="5" t="inlineStr">
        <is>
          <t>01a1212c-59c7-76ac-8c2f-810a5567b926</t>
        </is>
      </c>
      <c r="C1078" s="5" t="inlineStr">
        <is>
          <t>01a1212c-4b57-70cf-80fd-c2192cb3bf81</t>
        </is>
      </c>
      <c r="D1078" s="4" t="n">
        <v>46304.62404083241</v>
      </c>
      <c r="E1078" s="4" t="n">
        <v>46304.6240408325</v>
      </c>
      <c r="F1078" t="b">
        <v>1</v>
      </c>
      <c r="G1078" t="n">
        <v/>
      </c>
      <c r="H1078" t="inlineStr">
        <is>
          <t>ISLM</t>
        </is>
      </c>
      <c r="I1078" t="inlineStr">
        <is>
          <t>HEJAZ Equities Fund (Managed Fund)</t>
        </is>
      </c>
      <c r="J1078" t="inlineStr">
        <is>
          <t>AUD</t>
        </is>
      </c>
      <c r="K1078" s="5" t="inlineStr">
        <is>
          <t>01a1212c-4c04-75ce-bbb2-e3322e18816e</t>
        </is>
      </c>
      <c r="M1078" t="inlineStr">
        <is>
          <t>UNKNOWN</t>
        </is>
      </c>
      <c r="N1078" t="inlineStr">
        <is>
          <t>DEFAULT</t>
        </is>
      </c>
      <c r="Q1078" t="n">
        <v>0</v>
      </c>
      <c r="R1078" t="inlineStr">
        <is>
          <t>AUD</t>
        </is>
      </c>
      <c r="S1078" t="n">
        <v>0</v>
      </c>
      <c r="T1078" t="inlineStr">
        <is>
          <t>AUD</t>
        </is>
      </c>
      <c r="U1078" t="n">
        <v>0</v>
      </c>
    </row>
    <row r="1079">
      <c r="A1079" s="5" t="inlineStr">
        <is>
          <t>01a1212c-59ca-7569-b6c3-87c3a4520346</t>
        </is>
      </c>
      <c r="C1079" s="5" t="inlineStr">
        <is>
          <t>01a1212c-4b57-70cf-80fd-c2192cb3bf81</t>
        </is>
      </c>
      <c r="D1079" s="4" t="n">
        <v>46304.62404086896</v>
      </c>
      <c r="E1079" s="4" t="n">
        <v>46304.62404086905</v>
      </c>
      <c r="F1079" t="b">
        <v>1</v>
      </c>
      <c r="G1079" t="n">
        <v/>
      </c>
      <c r="H1079" t="inlineStr">
        <is>
          <t>REX</t>
        </is>
      </c>
      <c r="I1079" t="inlineStr">
        <is>
          <t>Regional Express Holdings Ltd</t>
        </is>
      </c>
      <c r="J1079" t="inlineStr">
        <is>
          <t>AUD</t>
        </is>
      </c>
      <c r="K1079" s="5" t="inlineStr">
        <is>
          <t>01a1212c-4c04-75ce-bbb2-e3322e18816e</t>
        </is>
      </c>
      <c r="M1079" t="inlineStr">
        <is>
          <t>UNKNOWN</t>
        </is>
      </c>
      <c r="N1079" t="inlineStr">
        <is>
          <t>DEFAULT</t>
        </is>
      </c>
      <c r="Q1079" t="n">
        <v>0</v>
      </c>
      <c r="R1079" t="inlineStr">
        <is>
          <t>AUD</t>
        </is>
      </c>
      <c r="S1079" t="n">
        <v>0</v>
      </c>
      <c r="T1079" t="inlineStr">
        <is>
          <t>AUD</t>
        </is>
      </c>
      <c r="U1079" t="n">
        <v>0</v>
      </c>
    </row>
    <row r="1080">
      <c r="A1080" s="5" t="inlineStr">
        <is>
          <t>01a1212c-59cd-73fb-a9ec-ed85f3f801ca</t>
        </is>
      </c>
      <c r="C1080" s="5" t="inlineStr">
        <is>
          <t>01a1212c-4b57-70cf-80fd-c2192cb3bf81</t>
        </is>
      </c>
      <c r="D1080" s="4" t="n">
        <v>46304.62404090202</v>
      </c>
      <c r="E1080" s="4" t="n">
        <v>46304.62404090212</v>
      </c>
      <c r="F1080" t="b">
        <v>1</v>
      </c>
      <c r="G1080" t="n">
        <v/>
      </c>
      <c r="H1080" t="inlineStr">
        <is>
          <t>WKT</t>
        </is>
      </c>
      <c r="I1080" t="inlineStr">
        <is>
          <t>Walkabout Resources Ltd</t>
        </is>
      </c>
      <c r="J1080" t="inlineStr">
        <is>
          <t>AUD</t>
        </is>
      </c>
      <c r="K1080" s="5" t="inlineStr">
        <is>
          <t>01a1212c-4c04-75ce-bbb2-e3322e18816e</t>
        </is>
      </c>
      <c r="M1080" t="inlineStr">
        <is>
          <t>UNKNOWN</t>
        </is>
      </c>
      <c r="N1080" t="inlineStr">
        <is>
          <t>DEFAULT</t>
        </is>
      </c>
      <c r="Q1080" t="n">
        <v>0</v>
      </c>
      <c r="R1080" t="inlineStr">
        <is>
          <t>AUD</t>
        </is>
      </c>
      <c r="S1080" t="n">
        <v>0</v>
      </c>
      <c r="T1080" t="inlineStr">
        <is>
          <t>AUD</t>
        </is>
      </c>
      <c r="U1080" t="n">
        <v>0</v>
      </c>
    </row>
    <row r="1081">
      <c r="A1081" s="5" t="inlineStr">
        <is>
          <t>01a1212c-59d0-7451-9e70-3d650fb4f920</t>
        </is>
      </c>
      <c r="C1081" s="5" t="inlineStr">
        <is>
          <t>01a1212c-4b57-70cf-80fd-c2192cb3bf81</t>
        </is>
      </c>
      <c r="D1081" s="4" t="n">
        <v>46304.62404093527</v>
      </c>
      <c r="E1081" s="4" t="n">
        <v>46304.62404093536</v>
      </c>
      <c r="F1081" t="b">
        <v>1</v>
      </c>
      <c r="G1081" t="n">
        <v/>
      </c>
      <c r="H1081" t="inlineStr">
        <is>
          <t>CKA</t>
        </is>
      </c>
      <c r="I1081" t="inlineStr">
        <is>
          <t>Cokal Ltd</t>
        </is>
      </c>
      <c r="J1081" t="inlineStr">
        <is>
          <t>AUD</t>
        </is>
      </c>
      <c r="K1081" s="5" t="inlineStr">
        <is>
          <t>01a1212c-4c04-75ce-bbb2-e3322e18816e</t>
        </is>
      </c>
      <c r="M1081" t="inlineStr">
        <is>
          <t>UNKNOWN</t>
        </is>
      </c>
      <c r="N1081" t="inlineStr">
        <is>
          <t>DEFAULT</t>
        </is>
      </c>
      <c r="Q1081" t="n">
        <v>0</v>
      </c>
      <c r="R1081" t="inlineStr">
        <is>
          <t>AUD</t>
        </is>
      </c>
      <c r="S1081" t="n">
        <v>0</v>
      </c>
      <c r="T1081" t="inlineStr">
        <is>
          <t>AUD</t>
        </is>
      </c>
      <c r="U1081" t="n">
        <v>0</v>
      </c>
    </row>
    <row r="1082">
      <c r="A1082" s="5" t="inlineStr">
        <is>
          <t>01a1212c-59d3-76ef-8c3d-eb47b606d706</t>
        </is>
      </c>
      <c r="C1082" s="5" t="inlineStr">
        <is>
          <t>01a1212c-4b57-70cf-80fd-c2192cb3bf81</t>
        </is>
      </c>
      <c r="D1082" s="4" t="n">
        <v>46304.62404096791</v>
      </c>
      <c r="E1082" s="4" t="n">
        <v>46304.624040968</v>
      </c>
      <c r="F1082" t="b">
        <v>1</v>
      </c>
      <c r="G1082" t="n">
        <v/>
      </c>
      <c r="H1082" t="inlineStr">
        <is>
          <t>ATP</t>
        </is>
      </c>
      <c r="I1082" t="inlineStr">
        <is>
          <t>Atlas Pearls Ltd</t>
        </is>
      </c>
      <c r="J1082" t="inlineStr">
        <is>
          <t>AUD</t>
        </is>
      </c>
      <c r="K1082" s="5" t="inlineStr">
        <is>
          <t>01a1212c-4c04-75ce-bbb2-e3322e18816e</t>
        </is>
      </c>
      <c r="M1082" t="inlineStr">
        <is>
          <t>UNKNOWN</t>
        </is>
      </c>
      <c r="N1082" t="inlineStr">
        <is>
          <t>DEFAULT</t>
        </is>
      </c>
      <c r="Q1082" t="n">
        <v>0</v>
      </c>
      <c r="R1082" t="inlineStr">
        <is>
          <t>AUD</t>
        </is>
      </c>
      <c r="S1082" t="n">
        <v>0</v>
      </c>
      <c r="T1082" t="inlineStr">
        <is>
          <t>AUD</t>
        </is>
      </c>
      <c r="U1082" t="n">
        <v>0</v>
      </c>
    </row>
    <row r="1083">
      <c r="A1083" s="5" t="inlineStr">
        <is>
          <t>01a1212c-59d6-743e-9659-2496b44d4d90</t>
        </is>
      </c>
      <c r="C1083" s="5" t="inlineStr">
        <is>
          <t>01a1212c-4b57-70cf-80fd-c2192cb3bf81</t>
        </is>
      </c>
      <c r="D1083" s="4" t="n">
        <v>46304.62404100585</v>
      </c>
      <c r="E1083" s="4" t="n">
        <v>46304.62404100595</v>
      </c>
      <c r="F1083" t="b">
        <v>1</v>
      </c>
      <c r="G1083" t="n">
        <v/>
      </c>
      <c r="H1083" t="inlineStr">
        <is>
          <t>CLV</t>
        </is>
      </c>
      <c r="I1083" t="inlineStr">
        <is>
          <t>Clover Corporation Ltd</t>
        </is>
      </c>
      <c r="J1083" t="inlineStr">
        <is>
          <t>AUD</t>
        </is>
      </c>
      <c r="K1083" s="5" t="inlineStr">
        <is>
          <t>01a1212c-4c04-75ce-bbb2-e3322e18816e</t>
        </is>
      </c>
      <c r="M1083" t="inlineStr">
        <is>
          <t>UNKNOWN</t>
        </is>
      </c>
      <c r="N1083" t="inlineStr">
        <is>
          <t>DEFAULT</t>
        </is>
      </c>
      <c r="Q1083" t="n">
        <v>0</v>
      </c>
      <c r="R1083" t="inlineStr">
        <is>
          <t>AUD</t>
        </is>
      </c>
      <c r="S1083" t="n">
        <v>0</v>
      </c>
      <c r="T1083" t="inlineStr">
        <is>
          <t>AUD</t>
        </is>
      </c>
      <c r="U1083" t="n">
        <v>0</v>
      </c>
    </row>
    <row r="1084">
      <c r="A1084" s="5" t="inlineStr">
        <is>
          <t>01a1212c-59d9-754b-a4c0-28ad70c4ad53</t>
        </is>
      </c>
      <c r="C1084" s="5" t="inlineStr">
        <is>
          <t>01a1212c-4b57-70cf-80fd-c2192cb3bf81</t>
        </is>
      </c>
      <c r="D1084" s="4" t="n">
        <v>46304.6240410416</v>
      </c>
      <c r="E1084" s="4" t="n">
        <v>46304.6240410417</v>
      </c>
      <c r="F1084" t="b">
        <v>1</v>
      </c>
      <c r="G1084" t="n">
        <v/>
      </c>
      <c r="H1084" t="inlineStr">
        <is>
          <t>FML</t>
        </is>
      </c>
      <c r="I1084" t="inlineStr">
        <is>
          <t>Focus Minerals Ltd</t>
        </is>
      </c>
      <c r="J1084" t="inlineStr">
        <is>
          <t>AUD</t>
        </is>
      </c>
      <c r="K1084" s="5" t="inlineStr">
        <is>
          <t>01a1212c-4c04-75ce-bbb2-e3322e18816e</t>
        </is>
      </c>
      <c r="M1084" t="inlineStr">
        <is>
          <t>UNKNOWN</t>
        </is>
      </c>
      <c r="N1084" t="inlineStr">
        <is>
          <t>DEFAULT</t>
        </is>
      </c>
      <c r="Q1084" t="n">
        <v>0</v>
      </c>
      <c r="R1084" t="inlineStr">
        <is>
          <t>AUD</t>
        </is>
      </c>
      <c r="S1084" t="n">
        <v>0</v>
      </c>
      <c r="T1084" t="inlineStr">
        <is>
          <t>AUD</t>
        </is>
      </c>
      <c r="U1084" t="n">
        <v>0</v>
      </c>
    </row>
    <row r="1085">
      <c r="A1085" s="5" t="inlineStr">
        <is>
          <t>01a1212c-59dc-7462-b017-29106d1d7d0a</t>
        </is>
      </c>
      <c r="C1085" s="5" t="inlineStr">
        <is>
          <t>01a1212c-4b57-70cf-80fd-c2192cb3bf81</t>
        </is>
      </c>
      <c r="D1085" s="4" t="n">
        <v>46304.62404107385</v>
      </c>
      <c r="E1085" s="4" t="n">
        <v>46304.62404107395</v>
      </c>
      <c r="F1085" t="b">
        <v>1</v>
      </c>
      <c r="G1085" t="n">
        <v/>
      </c>
      <c r="H1085" t="inlineStr">
        <is>
          <t>CPV</t>
        </is>
      </c>
      <c r="I1085" t="inlineStr">
        <is>
          <t>Clearvue Technologies Ltd</t>
        </is>
      </c>
      <c r="J1085" t="inlineStr">
        <is>
          <t>AUD</t>
        </is>
      </c>
      <c r="K1085" s="5" t="inlineStr">
        <is>
          <t>01a1212c-4c04-75ce-bbb2-e3322e18816e</t>
        </is>
      </c>
      <c r="M1085" t="inlineStr">
        <is>
          <t>UNKNOWN</t>
        </is>
      </c>
      <c r="N1085" t="inlineStr">
        <is>
          <t>DEFAULT</t>
        </is>
      </c>
      <c r="Q1085" t="n">
        <v>0</v>
      </c>
      <c r="R1085" t="inlineStr">
        <is>
          <t>AUD</t>
        </is>
      </c>
      <c r="S1085" t="n">
        <v>0</v>
      </c>
      <c r="T1085" t="inlineStr">
        <is>
          <t>AUD</t>
        </is>
      </c>
      <c r="U1085" t="n">
        <v>0</v>
      </c>
    </row>
    <row r="1086">
      <c r="A1086" s="5" t="inlineStr">
        <is>
          <t>01a1212c-59df-73d3-ad2e-d5d4ffc98478</t>
        </is>
      </c>
      <c r="C1086" s="5" t="inlineStr">
        <is>
          <t>01a1212c-4b57-70cf-80fd-c2192cb3bf81</t>
        </is>
      </c>
      <c r="D1086" s="4" t="n">
        <v>46304.62404110497</v>
      </c>
      <c r="E1086" s="4" t="n">
        <v>46304.62404110505</v>
      </c>
      <c r="F1086" t="b">
        <v>1</v>
      </c>
      <c r="G1086" t="n">
        <v/>
      </c>
      <c r="H1086" t="inlineStr">
        <is>
          <t>RAD</t>
        </is>
      </c>
      <c r="I1086" t="inlineStr">
        <is>
          <t>Radiopharm Theranostics Ltd</t>
        </is>
      </c>
      <c r="J1086" t="inlineStr">
        <is>
          <t>AUD</t>
        </is>
      </c>
      <c r="K1086" s="5" t="inlineStr">
        <is>
          <t>01a1212c-4c04-75ce-bbb2-e3322e18816e</t>
        </is>
      </c>
      <c r="M1086" t="inlineStr">
        <is>
          <t>UNKNOWN</t>
        </is>
      </c>
      <c r="N1086" t="inlineStr">
        <is>
          <t>DEFAULT</t>
        </is>
      </c>
      <c r="Q1086" t="n">
        <v>0</v>
      </c>
      <c r="R1086" t="inlineStr">
        <is>
          <t>AUD</t>
        </is>
      </c>
      <c r="S1086" t="n">
        <v>0</v>
      </c>
      <c r="T1086" t="inlineStr">
        <is>
          <t>AUD</t>
        </is>
      </c>
      <c r="U1086" t="n">
        <v>0</v>
      </c>
    </row>
    <row r="1087">
      <c r="A1087" s="5" t="inlineStr">
        <is>
          <t>01a1212c-59e2-74d8-9889-72ca5c23047e</t>
        </is>
      </c>
      <c r="C1087" s="5" t="inlineStr">
        <is>
          <t>01a1212c-4b57-70cf-80fd-c2192cb3bf81</t>
        </is>
      </c>
      <c r="D1087" s="4" t="n">
        <v>46304.62404113592</v>
      </c>
      <c r="E1087" s="4" t="n">
        <v>46304.624041136</v>
      </c>
      <c r="F1087" t="b">
        <v>1</v>
      </c>
      <c r="G1087" t="n">
        <v/>
      </c>
      <c r="H1087" t="inlineStr">
        <is>
          <t>SHG</t>
        </is>
      </c>
      <c r="I1087" t="inlineStr">
        <is>
          <t>Singular Health Group Ltd</t>
        </is>
      </c>
      <c r="J1087" t="inlineStr">
        <is>
          <t>AUD</t>
        </is>
      </c>
      <c r="K1087" s="5" t="inlineStr">
        <is>
          <t>01a1212c-4c04-75ce-bbb2-e3322e18816e</t>
        </is>
      </c>
      <c r="M1087" t="inlineStr">
        <is>
          <t>UNKNOWN</t>
        </is>
      </c>
      <c r="N1087" t="inlineStr">
        <is>
          <t>DEFAULT</t>
        </is>
      </c>
      <c r="Q1087" t="n">
        <v>0</v>
      </c>
      <c r="R1087" t="inlineStr">
        <is>
          <t>AUD</t>
        </is>
      </c>
      <c r="S1087" t="n">
        <v>0</v>
      </c>
      <c r="T1087" t="inlineStr">
        <is>
          <t>AUD</t>
        </is>
      </c>
      <c r="U1087" t="n">
        <v>0</v>
      </c>
    </row>
    <row r="1088">
      <c r="A1088" s="5" t="inlineStr">
        <is>
          <t>01a1212c-59e4-760f-8ce3-53f9f31950fe</t>
        </is>
      </c>
      <c r="C1088" s="5" t="inlineStr">
        <is>
          <t>01a1212c-4b57-70cf-80fd-c2192cb3bf81</t>
        </is>
      </c>
      <c r="D1088" s="4" t="n">
        <v>46304.62404116898</v>
      </c>
      <c r="E1088" s="4" t="n">
        <v>46304.62404116907</v>
      </c>
      <c r="F1088" t="b">
        <v>1</v>
      </c>
      <c r="G1088" t="n">
        <v/>
      </c>
      <c r="H1088" t="inlineStr">
        <is>
          <t>JGH</t>
        </is>
      </c>
      <c r="I1088" t="inlineStr">
        <is>
          <t>Jade Gas Holdings Ltd</t>
        </is>
      </c>
      <c r="J1088" t="inlineStr">
        <is>
          <t>AUD</t>
        </is>
      </c>
      <c r="K1088" s="5" t="inlineStr">
        <is>
          <t>01a1212c-4c04-75ce-bbb2-e3322e18816e</t>
        </is>
      </c>
      <c r="M1088" t="inlineStr">
        <is>
          <t>UNKNOWN</t>
        </is>
      </c>
      <c r="N1088" t="inlineStr">
        <is>
          <t>DEFAULT</t>
        </is>
      </c>
      <c r="Q1088" t="n">
        <v>0</v>
      </c>
      <c r="R1088" t="inlineStr">
        <is>
          <t>AUD</t>
        </is>
      </c>
      <c r="S1088" t="n">
        <v>0</v>
      </c>
      <c r="T1088" t="inlineStr">
        <is>
          <t>AUD</t>
        </is>
      </c>
      <c r="U1088" t="n">
        <v>0</v>
      </c>
    </row>
    <row r="1089">
      <c r="A1089" s="5" t="inlineStr">
        <is>
          <t>01a1212c-59e7-72e4-87ea-592f130e2506</t>
        </is>
      </c>
      <c r="C1089" s="5" t="inlineStr">
        <is>
          <t>01a1212c-4b57-70cf-80fd-c2192cb3bf81</t>
        </is>
      </c>
      <c r="D1089" s="4" t="n">
        <v>46304.6240412027</v>
      </c>
      <c r="E1089" s="4" t="n">
        <v>46304.62404120277</v>
      </c>
      <c r="F1089" t="b">
        <v>1</v>
      </c>
      <c r="G1089" t="n">
        <v/>
      </c>
      <c r="H1089" t="inlineStr">
        <is>
          <t>CHL</t>
        </is>
      </c>
      <c r="I1089" t="inlineStr">
        <is>
          <t>Camplify Holdings Ltd</t>
        </is>
      </c>
      <c r="J1089" t="inlineStr">
        <is>
          <t>AUD</t>
        </is>
      </c>
      <c r="K1089" s="5" t="inlineStr">
        <is>
          <t>01a1212c-4c04-75ce-bbb2-e3322e18816e</t>
        </is>
      </c>
      <c r="M1089" t="inlineStr">
        <is>
          <t>UNKNOWN</t>
        </is>
      </c>
      <c r="N1089" t="inlineStr">
        <is>
          <t>DEFAULT</t>
        </is>
      </c>
      <c r="Q1089" t="n">
        <v>0</v>
      </c>
      <c r="R1089" t="inlineStr">
        <is>
          <t>AUD</t>
        </is>
      </c>
      <c r="S1089" t="n">
        <v>0</v>
      </c>
      <c r="T1089" t="inlineStr">
        <is>
          <t>AUD</t>
        </is>
      </c>
      <c r="U1089" t="n">
        <v>0</v>
      </c>
    </row>
    <row r="1090">
      <c r="A1090" s="5" t="inlineStr">
        <is>
          <t>01a1212c-59ea-7010-a3ec-54376d7d7cdf</t>
        </is>
      </c>
      <c r="C1090" s="5" t="inlineStr">
        <is>
          <t>01a1212c-4b57-70cf-80fd-c2192cb3bf81</t>
        </is>
      </c>
      <c r="D1090" s="4" t="n">
        <v>46304.62404123347</v>
      </c>
      <c r="E1090" s="4" t="n">
        <v>46304.62404123354</v>
      </c>
      <c r="F1090" t="b">
        <v>1</v>
      </c>
      <c r="G1090" t="n">
        <v/>
      </c>
      <c r="H1090" t="inlineStr">
        <is>
          <t>HYT</t>
        </is>
      </c>
      <c r="I1090" t="inlineStr">
        <is>
          <t>Hyterra Ltd</t>
        </is>
      </c>
      <c r="J1090" t="inlineStr">
        <is>
          <t>AUD</t>
        </is>
      </c>
      <c r="K1090" s="5" t="inlineStr">
        <is>
          <t>01a1212c-4c04-75ce-bbb2-e3322e18816e</t>
        </is>
      </c>
      <c r="M1090" t="inlineStr">
        <is>
          <t>UNKNOWN</t>
        </is>
      </c>
      <c r="N1090" t="inlineStr">
        <is>
          <t>DEFAULT</t>
        </is>
      </c>
      <c r="Q1090" t="n">
        <v>0</v>
      </c>
      <c r="R1090" t="inlineStr">
        <is>
          <t>AUD</t>
        </is>
      </c>
      <c r="S1090" t="n">
        <v>0</v>
      </c>
      <c r="T1090" t="inlineStr">
        <is>
          <t>AUD</t>
        </is>
      </c>
      <c r="U1090" t="n">
        <v>0</v>
      </c>
    </row>
    <row r="1091">
      <c r="A1091" s="5" t="inlineStr">
        <is>
          <t>01a1212c-59ed-75b7-89f1-b3dd6b45449d</t>
        </is>
      </c>
      <c r="C1091" s="5" t="inlineStr">
        <is>
          <t>01a1212c-4b57-70cf-80fd-c2192cb3bf81</t>
        </is>
      </c>
      <c r="D1091" s="4" t="n">
        <v>46304.62404126422</v>
      </c>
      <c r="E1091" s="4" t="n">
        <v>46304.6240412643</v>
      </c>
      <c r="F1091" t="b">
        <v>1</v>
      </c>
      <c r="G1091" t="n">
        <v/>
      </c>
      <c r="H1091" t="inlineStr">
        <is>
          <t>MHOT</t>
        </is>
      </c>
      <c r="I1091" t="inlineStr">
        <is>
          <t>Vaneck Morningstar Wide Moat (Aud Hedged) ETF</t>
        </is>
      </c>
      <c r="J1091" t="inlineStr">
        <is>
          <t>AUD</t>
        </is>
      </c>
      <c r="K1091" s="5" t="inlineStr">
        <is>
          <t>01a1212c-4c04-75ce-bbb2-e3322e18816e</t>
        </is>
      </c>
      <c r="M1091" t="inlineStr">
        <is>
          <t>UNKNOWN</t>
        </is>
      </c>
      <c r="N1091" t="inlineStr">
        <is>
          <t>DEFAULT</t>
        </is>
      </c>
      <c r="Q1091" t="n">
        <v>0</v>
      </c>
      <c r="R1091" t="inlineStr">
        <is>
          <t>AUD</t>
        </is>
      </c>
      <c r="S1091" t="n">
        <v>0</v>
      </c>
      <c r="T1091" t="inlineStr">
        <is>
          <t>AUD</t>
        </is>
      </c>
      <c r="U1091" t="n">
        <v>0</v>
      </c>
    </row>
    <row r="1092">
      <c r="A1092" s="5" t="inlineStr">
        <is>
          <t>01a1212c-59ef-7748-95aa-c39e3712147f</t>
        </is>
      </c>
      <c r="C1092" s="5" t="inlineStr">
        <is>
          <t>01a1212c-4b57-70cf-80fd-c2192cb3bf81</t>
        </is>
      </c>
      <c r="D1092" s="4" t="n">
        <v>46304.62404129498</v>
      </c>
      <c r="E1092" s="4" t="n">
        <v>46304.62404129506</v>
      </c>
      <c r="F1092" t="b">
        <v>1</v>
      </c>
      <c r="G1092" t="n">
        <v/>
      </c>
      <c r="H1092" t="inlineStr">
        <is>
          <t>FEG</t>
        </is>
      </c>
      <c r="I1092" t="inlineStr">
        <is>
          <t>Far East Gold Ltd</t>
        </is>
      </c>
      <c r="J1092" t="inlineStr">
        <is>
          <t>AUD</t>
        </is>
      </c>
      <c r="K1092" s="5" t="inlineStr">
        <is>
          <t>01a1212c-4c04-75ce-bbb2-e3322e18816e</t>
        </is>
      </c>
      <c r="M1092" t="inlineStr">
        <is>
          <t>UNKNOWN</t>
        </is>
      </c>
      <c r="N1092" t="inlineStr">
        <is>
          <t>DEFAULT</t>
        </is>
      </c>
      <c r="Q1092" t="n">
        <v>0</v>
      </c>
      <c r="R1092" t="inlineStr">
        <is>
          <t>AUD</t>
        </is>
      </c>
      <c r="S1092" t="n">
        <v>0</v>
      </c>
      <c r="T1092" t="inlineStr">
        <is>
          <t>AUD</t>
        </is>
      </c>
      <c r="U1092" t="n">
        <v>0</v>
      </c>
    </row>
    <row r="1093">
      <c r="A1093" s="5" t="inlineStr">
        <is>
          <t>01a1212c-59f2-7315-8a25-39f58c0686a4</t>
        </is>
      </c>
      <c r="C1093" s="5" t="inlineStr">
        <is>
          <t>01a1212c-4b57-70cf-80fd-c2192cb3bf81</t>
        </is>
      </c>
      <c r="D1093" s="4" t="n">
        <v>46304.62404132791</v>
      </c>
      <c r="E1093" s="4" t="n">
        <v>46304.62404132799</v>
      </c>
      <c r="F1093" t="b">
        <v>1</v>
      </c>
      <c r="G1093" t="n">
        <v/>
      </c>
      <c r="H1093" t="inlineStr">
        <is>
          <t>RSM</t>
        </is>
      </c>
      <c r="I1093" t="inlineStr">
        <is>
          <t>Russell Investments Australian Semi-Government Bond ETF</t>
        </is>
      </c>
      <c r="J1093" t="inlineStr">
        <is>
          <t>AUD</t>
        </is>
      </c>
      <c r="K1093" s="5" t="inlineStr">
        <is>
          <t>01a1212c-4c04-75ce-bbb2-e3322e18816e</t>
        </is>
      </c>
      <c r="M1093" t="inlineStr">
        <is>
          <t>UNKNOWN</t>
        </is>
      </c>
      <c r="N1093" t="inlineStr">
        <is>
          <t>DEFAULT</t>
        </is>
      </c>
      <c r="Q1093" t="n">
        <v>0</v>
      </c>
      <c r="R1093" t="inlineStr">
        <is>
          <t>AUD</t>
        </is>
      </c>
      <c r="S1093" t="n">
        <v>0</v>
      </c>
      <c r="T1093" t="inlineStr">
        <is>
          <t>AUD</t>
        </is>
      </c>
      <c r="U1093" t="n">
        <v>0</v>
      </c>
    </row>
    <row r="1094">
      <c r="A1094" s="5" t="inlineStr">
        <is>
          <t>01a1212c-59f5-723c-9ded-ee37ec2f9c18</t>
        </is>
      </c>
      <c r="C1094" s="5" t="inlineStr">
        <is>
          <t>01a1212c-4b57-70cf-80fd-c2192cb3bf81</t>
        </is>
      </c>
      <c r="D1094" s="4" t="n">
        <v>46304.6240413613</v>
      </c>
      <c r="E1094" s="4" t="n">
        <v>46304.62404136138</v>
      </c>
      <c r="F1094" t="b">
        <v>1</v>
      </c>
      <c r="G1094" t="n">
        <v/>
      </c>
      <c r="H1094" t="inlineStr">
        <is>
          <t>EWC</t>
        </is>
      </c>
      <c r="I1094" t="inlineStr">
        <is>
          <t>Energy World Corporation Ltd</t>
        </is>
      </c>
      <c r="J1094" t="inlineStr">
        <is>
          <t>AUD</t>
        </is>
      </c>
      <c r="K1094" s="5" t="inlineStr">
        <is>
          <t>01a1212c-4c04-75ce-bbb2-e3322e18816e</t>
        </is>
      </c>
      <c r="M1094" t="inlineStr">
        <is>
          <t>UNKNOWN</t>
        </is>
      </c>
      <c r="N1094" t="inlineStr">
        <is>
          <t>DEFAULT</t>
        </is>
      </c>
      <c r="Q1094" t="n">
        <v>0</v>
      </c>
      <c r="R1094" t="inlineStr">
        <is>
          <t>AUD</t>
        </is>
      </c>
      <c r="S1094" t="n">
        <v>0</v>
      </c>
      <c r="T1094" t="inlineStr">
        <is>
          <t>AUD</t>
        </is>
      </c>
      <c r="U1094" t="n">
        <v>0</v>
      </c>
    </row>
    <row r="1095">
      <c r="A1095" s="5" t="inlineStr">
        <is>
          <t>01a1212c-59f8-7525-83a3-c2da090aea2d</t>
        </is>
      </c>
      <c r="C1095" s="5" t="inlineStr">
        <is>
          <t>01a1212c-4b57-70cf-80fd-c2192cb3bf81</t>
        </is>
      </c>
      <c r="D1095" s="4" t="n">
        <v>46304.62404139241</v>
      </c>
      <c r="E1095" s="4" t="n">
        <v>46304.62404139255</v>
      </c>
      <c r="F1095" t="b">
        <v>1</v>
      </c>
      <c r="G1095" t="n">
        <v/>
      </c>
      <c r="H1095" t="inlineStr">
        <is>
          <t>BXN</t>
        </is>
      </c>
      <c r="I1095" t="inlineStr">
        <is>
          <t>Bioxyne Ltd</t>
        </is>
      </c>
      <c r="J1095" t="inlineStr">
        <is>
          <t>AUD</t>
        </is>
      </c>
      <c r="K1095" s="5" t="inlineStr">
        <is>
          <t>01a1212c-4c04-75ce-bbb2-e3322e18816e</t>
        </is>
      </c>
      <c r="M1095" t="inlineStr">
        <is>
          <t>UNKNOWN</t>
        </is>
      </c>
      <c r="N1095" t="inlineStr">
        <is>
          <t>DEFAULT</t>
        </is>
      </c>
      <c r="Q1095" t="n">
        <v>0</v>
      </c>
      <c r="R1095" t="inlineStr">
        <is>
          <t>AUD</t>
        </is>
      </c>
      <c r="S1095" t="n">
        <v>0</v>
      </c>
      <c r="T1095" t="inlineStr">
        <is>
          <t>AUD</t>
        </is>
      </c>
      <c r="U1095" t="n">
        <v>0</v>
      </c>
    </row>
    <row r="1096">
      <c r="A1096" s="5" t="inlineStr">
        <is>
          <t>01a1212c-59fa-7352-a56b-8c72a1adbcdf</t>
        </is>
      </c>
      <c r="C1096" s="5" t="inlineStr">
        <is>
          <t>01a1212c-4b57-70cf-80fd-c2192cb3bf81</t>
        </is>
      </c>
      <c r="D1096" s="4" t="n">
        <v>46304.62404142314</v>
      </c>
      <c r="E1096" s="4" t="n">
        <v>46304.62404142321</v>
      </c>
      <c r="F1096" t="b">
        <v>1</v>
      </c>
      <c r="G1096" t="n">
        <v/>
      </c>
      <c r="H1096" t="inlineStr">
        <is>
          <t>EPY</t>
        </is>
      </c>
      <c r="I1096" t="inlineStr">
        <is>
          <t>Earlypay Ltd</t>
        </is>
      </c>
      <c r="J1096" t="inlineStr">
        <is>
          <t>AUD</t>
        </is>
      </c>
      <c r="K1096" s="5" t="inlineStr">
        <is>
          <t>01a1212c-4c04-75ce-bbb2-e3322e18816e</t>
        </is>
      </c>
      <c r="M1096" t="inlineStr">
        <is>
          <t>UNKNOWN</t>
        </is>
      </c>
      <c r="N1096" t="inlineStr">
        <is>
          <t>DEFAULT</t>
        </is>
      </c>
      <c r="Q1096" t="n">
        <v>0</v>
      </c>
      <c r="R1096" t="inlineStr">
        <is>
          <t>AUD</t>
        </is>
      </c>
      <c r="S1096" t="n">
        <v>0</v>
      </c>
      <c r="T1096" t="inlineStr">
        <is>
          <t>AUD</t>
        </is>
      </c>
      <c r="U1096" t="n">
        <v>0</v>
      </c>
    </row>
    <row r="1097">
      <c r="A1097" s="5" t="inlineStr">
        <is>
          <t>01a1212c-59fd-70eb-bc87-e941773e4980</t>
        </is>
      </c>
      <c r="C1097" s="5" t="inlineStr">
        <is>
          <t>01a1212c-4b57-70cf-80fd-c2192cb3bf81</t>
        </is>
      </c>
      <c r="D1097" s="4" t="n">
        <v>46304.62404145344</v>
      </c>
      <c r="E1097" s="4" t="n">
        <v>46304.62404145352</v>
      </c>
      <c r="F1097" t="b">
        <v>1</v>
      </c>
      <c r="G1097" t="n">
        <v/>
      </c>
      <c r="H1097" t="inlineStr">
        <is>
          <t>PEX</t>
        </is>
      </c>
      <c r="I1097" t="inlineStr">
        <is>
          <t>Peel Mining Ltd</t>
        </is>
      </c>
      <c r="J1097" t="inlineStr">
        <is>
          <t>AUD</t>
        </is>
      </c>
      <c r="K1097" s="5" t="inlineStr">
        <is>
          <t>01a1212c-4c04-75ce-bbb2-e3322e18816e</t>
        </is>
      </c>
      <c r="M1097" t="inlineStr">
        <is>
          <t>UNKNOWN</t>
        </is>
      </c>
      <c r="N1097" t="inlineStr">
        <is>
          <t>DEFAULT</t>
        </is>
      </c>
      <c r="Q1097" t="n">
        <v>0</v>
      </c>
      <c r="R1097" t="inlineStr">
        <is>
          <t>AUD</t>
        </is>
      </c>
      <c r="S1097" t="n">
        <v>0</v>
      </c>
      <c r="T1097" t="inlineStr">
        <is>
          <t>AUD</t>
        </is>
      </c>
      <c r="U1097" t="n">
        <v>0</v>
      </c>
    </row>
    <row r="1098">
      <c r="A1098" s="5" t="inlineStr">
        <is>
          <t>01a1212c-5a00-7334-87c9-4a60fc4869fb</t>
        </is>
      </c>
      <c r="C1098" s="5" t="inlineStr">
        <is>
          <t>01a1212c-4b57-70cf-80fd-c2192cb3bf81</t>
        </is>
      </c>
      <c r="D1098" s="4" t="n">
        <v>46304.62404148866</v>
      </c>
      <c r="E1098" s="4" t="n">
        <v>46304.62404148875</v>
      </c>
      <c r="F1098" t="b">
        <v>1</v>
      </c>
      <c r="G1098" t="n">
        <v/>
      </c>
      <c r="H1098" t="inlineStr">
        <is>
          <t>NMT</t>
        </is>
      </c>
      <c r="I1098" t="inlineStr">
        <is>
          <t>Neometals Ltd</t>
        </is>
      </c>
      <c r="J1098" t="inlineStr">
        <is>
          <t>AUD</t>
        </is>
      </c>
      <c r="K1098" s="5" t="inlineStr">
        <is>
          <t>01a1212c-4c04-75ce-bbb2-e3322e18816e</t>
        </is>
      </c>
      <c r="M1098" t="inlineStr">
        <is>
          <t>UNKNOWN</t>
        </is>
      </c>
      <c r="N1098" t="inlineStr">
        <is>
          <t>DEFAULT</t>
        </is>
      </c>
      <c r="Q1098" t="n">
        <v>0</v>
      </c>
      <c r="R1098" t="inlineStr">
        <is>
          <t>AUD</t>
        </is>
      </c>
      <c r="S1098" t="n">
        <v>0</v>
      </c>
      <c r="T1098" t="inlineStr">
        <is>
          <t>AUD</t>
        </is>
      </c>
      <c r="U1098" t="n">
        <v>0</v>
      </c>
    </row>
    <row r="1099">
      <c r="A1099" s="5" t="inlineStr">
        <is>
          <t>01a1212c-5a03-76dc-adde-22f39213f1dd</t>
        </is>
      </c>
      <c r="C1099" s="5" t="inlineStr">
        <is>
          <t>01a1212c-4b57-70cf-80fd-c2192cb3bf81</t>
        </is>
      </c>
      <c r="D1099" s="4" t="n">
        <v>46304.62404151967</v>
      </c>
      <c r="E1099" s="4" t="n">
        <v>46304.62404151975</v>
      </c>
      <c r="F1099" t="b">
        <v>1</v>
      </c>
      <c r="G1099" t="n">
        <v/>
      </c>
      <c r="H1099" t="inlineStr">
        <is>
          <t>BNZ</t>
        </is>
      </c>
      <c r="I1099" t="inlineStr">
        <is>
          <t>BENZ Mining Corp</t>
        </is>
      </c>
      <c r="J1099" t="inlineStr">
        <is>
          <t>AUD</t>
        </is>
      </c>
      <c r="K1099" s="5" t="inlineStr">
        <is>
          <t>01a1212c-4c04-75ce-bbb2-e3322e18816e</t>
        </is>
      </c>
      <c r="M1099" t="inlineStr">
        <is>
          <t>UNKNOWN</t>
        </is>
      </c>
      <c r="N1099" t="inlineStr">
        <is>
          <t>DEFAULT</t>
        </is>
      </c>
      <c r="Q1099" t="n">
        <v>0</v>
      </c>
      <c r="R1099" t="inlineStr">
        <is>
          <t>AUD</t>
        </is>
      </c>
      <c r="S1099" t="n">
        <v>0</v>
      </c>
      <c r="T1099" t="inlineStr">
        <is>
          <t>AUD</t>
        </is>
      </c>
      <c r="U1099" t="n">
        <v>0</v>
      </c>
    </row>
    <row r="1100">
      <c r="A1100" s="5" t="inlineStr">
        <is>
          <t>01a1212c-5a05-7604-8a34-a4c02b740953</t>
        </is>
      </c>
      <c r="C1100" s="5" t="inlineStr">
        <is>
          <t>01a1212c-4b57-70cf-80fd-c2192cb3bf81</t>
        </is>
      </c>
      <c r="D1100" s="4" t="n">
        <v>46304.62404155018</v>
      </c>
      <c r="E1100" s="4" t="n">
        <v>46304.62404155025</v>
      </c>
      <c r="F1100" t="b">
        <v>1</v>
      </c>
      <c r="G1100" t="n">
        <v/>
      </c>
      <c r="H1100" t="inlineStr">
        <is>
          <t>KSN</t>
        </is>
      </c>
      <c r="I1100" t="inlineStr">
        <is>
          <t>Kingston Resources Ltd</t>
        </is>
      </c>
      <c r="J1100" t="inlineStr">
        <is>
          <t>AUD</t>
        </is>
      </c>
      <c r="K1100" s="5" t="inlineStr">
        <is>
          <t>01a1212c-4c04-75ce-bbb2-e3322e18816e</t>
        </is>
      </c>
      <c r="M1100" t="inlineStr">
        <is>
          <t>UNKNOWN</t>
        </is>
      </c>
      <c r="N1100" t="inlineStr">
        <is>
          <t>DEFAULT</t>
        </is>
      </c>
      <c r="Q1100" t="n">
        <v>0</v>
      </c>
      <c r="R1100" t="inlineStr">
        <is>
          <t>AUD</t>
        </is>
      </c>
      <c r="S1100" t="n">
        <v>0</v>
      </c>
      <c r="T1100" t="inlineStr">
        <is>
          <t>AUD</t>
        </is>
      </c>
      <c r="U1100" t="n">
        <v>0</v>
      </c>
    </row>
    <row r="1101">
      <c r="A1101" s="5" t="inlineStr">
        <is>
          <t>01a1212c-5a08-76a6-8ace-8618a717dad8</t>
        </is>
      </c>
      <c r="C1101" s="5" t="inlineStr">
        <is>
          <t>01a1212c-4b57-70cf-80fd-c2192cb3bf81</t>
        </is>
      </c>
      <c r="D1101" s="4" t="n">
        <v>46304.62404158178</v>
      </c>
      <c r="E1101" s="4" t="n">
        <v>46304.62404158186</v>
      </c>
      <c r="F1101" t="b">
        <v>1</v>
      </c>
      <c r="G1101" t="n">
        <v/>
      </c>
      <c r="H1101" t="inlineStr">
        <is>
          <t>SWTZ</t>
        </is>
      </c>
      <c r="I1101" t="inlineStr">
        <is>
          <t>Switzer Dividend Growth Fund (Managed Fund)</t>
        </is>
      </c>
      <c r="J1101" t="inlineStr">
        <is>
          <t>AUD</t>
        </is>
      </c>
      <c r="K1101" s="5" t="inlineStr">
        <is>
          <t>01a1212c-4c04-75ce-bbb2-e3322e18816e</t>
        </is>
      </c>
      <c r="M1101" t="inlineStr">
        <is>
          <t>UNKNOWN</t>
        </is>
      </c>
      <c r="N1101" t="inlineStr">
        <is>
          <t>DEFAULT</t>
        </is>
      </c>
      <c r="Q1101" t="n">
        <v>0</v>
      </c>
      <c r="R1101" t="inlineStr">
        <is>
          <t>AUD</t>
        </is>
      </c>
      <c r="S1101" t="n">
        <v>0</v>
      </c>
      <c r="T1101" t="inlineStr">
        <is>
          <t>AUD</t>
        </is>
      </c>
      <c r="U1101" t="n">
        <v>0</v>
      </c>
    </row>
    <row r="1102">
      <c r="A1102" s="5" t="inlineStr">
        <is>
          <t>01a1212c-5a0b-7666-bcc0-0484d98ff3df</t>
        </is>
      </c>
      <c r="C1102" s="5" t="inlineStr">
        <is>
          <t>01a1212c-4b57-70cf-80fd-c2192cb3bf81</t>
        </is>
      </c>
      <c r="D1102" s="4" t="n">
        <v>46304.62404161545</v>
      </c>
      <c r="E1102" s="4" t="n">
        <v>46304.62404161552</v>
      </c>
      <c r="F1102" t="b">
        <v>1</v>
      </c>
      <c r="G1102" t="n">
        <v/>
      </c>
      <c r="H1102" t="inlineStr">
        <is>
          <t>VR1</t>
        </is>
      </c>
      <c r="I1102" t="inlineStr">
        <is>
          <t>Vection Technologies Ltd</t>
        </is>
      </c>
      <c r="J1102" t="inlineStr">
        <is>
          <t>AUD</t>
        </is>
      </c>
      <c r="K1102" s="5" t="inlineStr">
        <is>
          <t>01a1212c-4c04-75ce-bbb2-e3322e18816e</t>
        </is>
      </c>
      <c r="M1102" t="inlineStr">
        <is>
          <t>UNKNOWN</t>
        </is>
      </c>
      <c r="N1102" t="inlineStr">
        <is>
          <t>DEFAULT</t>
        </is>
      </c>
      <c r="Q1102" t="n">
        <v>0</v>
      </c>
      <c r="R1102" t="inlineStr">
        <is>
          <t>AUD</t>
        </is>
      </c>
      <c r="S1102" t="n">
        <v>0</v>
      </c>
      <c r="T1102" t="inlineStr">
        <is>
          <t>AUD</t>
        </is>
      </c>
      <c r="U1102" t="n">
        <v>0</v>
      </c>
    </row>
    <row r="1103">
      <c r="A1103" s="5" t="inlineStr">
        <is>
          <t>01a1212c-5a0e-7034-9e2f-8f9705d97e08</t>
        </is>
      </c>
      <c r="C1103" s="5" t="inlineStr">
        <is>
          <t>01a1212c-4b57-70cf-80fd-c2192cb3bf81</t>
        </is>
      </c>
      <c r="D1103" s="4" t="n">
        <v>46304.62404164795</v>
      </c>
      <c r="E1103" s="4" t="n">
        <v>46304.62404164804</v>
      </c>
      <c r="F1103" t="b">
        <v>1</v>
      </c>
      <c r="G1103" t="n">
        <v/>
      </c>
      <c r="H1103" t="inlineStr">
        <is>
          <t>OZF</t>
        </is>
      </c>
      <c r="I1103" t="inlineStr">
        <is>
          <t>SPDR S&amp;P/ASX 200 Financials Ex A-REIT Fund</t>
        </is>
      </c>
      <c r="J1103" t="inlineStr">
        <is>
          <t>AUD</t>
        </is>
      </c>
      <c r="K1103" s="5" t="inlineStr">
        <is>
          <t>01a1212c-4c04-75ce-bbb2-e3322e18816e</t>
        </is>
      </c>
      <c r="M1103" t="inlineStr">
        <is>
          <t>UNKNOWN</t>
        </is>
      </c>
      <c r="N1103" t="inlineStr">
        <is>
          <t>DEFAULT</t>
        </is>
      </c>
      <c r="Q1103" t="n">
        <v>0</v>
      </c>
      <c r="R1103" t="inlineStr">
        <is>
          <t>AUD</t>
        </is>
      </c>
      <c r="S1103" t="n">
        <v>0</v>
      </c>
      <c r="T1103" t="inlineStr">
        <is>
          <t>AUD</t>
        </is>
      </c>
      <c r="U1103" t="n">
        <v>0</v>
      </c>
    </row>
    <row r="1104">
      <c r="A1104" s="5" t="inlineStr">
        <is>
          <t>01a1212c-5a10-72e2-8048-f2d952ca7df7</t>
        </is>
      </c>
      <c r="C1104" s="5" t="inlineStr">
        <is>
          <t>01a1212c-4b57-70cf-80fd-c2192cb3bf81</t>
        </is>
      </c>
      <c r="D1104" s="4" t="n">
        <v>46304.62404167878</v>
      </c>
      <c r="E1104" s="4" t="n">
        <v>46304.62404167886</v>
      </c>
      <c r="F1104" t="b">
        <v>1</v>
      </c>
      <c r="G1104" t="n">
        <v/>
      </c>
      <c r="H1104" t="inlineStr">
        <is>
          <t>SFX</t>
        </is>
      </c>
      <c r="I1104" t="inlineStr">
        <is>
          <t>Sheffield Resources Ltd</t>
        </is>
      </c>
      <c r="J1104" t="inlineStr">
        <is>
          <t>AUD</t>
        </is>
      </c>
      <c r="K1104" s="5" t="inlineStr">
        <is>
          <t>01a1212c-4c04-75ce-bbb2-e3322e18816e</t>
        </is>
      </c>
      <c r="M1104" t="inlineStr">
        <is>
          <t>UNKNOWN</t>
        </is>
      </c>
      <c r="N1104" t="inlineStr">
        <is>
          <t>DEFAULT</t>
        </is>
      </c>
      <c r="Q1104" t="n">
        <v>0</v>
      </c>
      <c r="R1104" t="inlineStr">
        <is>
          <t>AUD</t>
        </is>
      </c>
      <c r="S1104" t="n">
        <v>0</v>
      </c>
      <c r="T1104" t="inlineStr">
        <is>
          <t>AUD</t>
        </is>
      </c>
      <c r="U1104" t="n">
        <v>0</v>
      </c>
    </row>
    <row r="1105">
      <c r="A1105" s="5" t="inlineStr">
        <is>
          <t>01a1212c-5a13-7309-8ede-1ba09b541027</t>
        </is>
      </c>
      <c r="C1105" s="5" t="inlineStr">
        <is>
          <t>01a1212c-4b57-70cf-80fd-c2192cb3bf81</t>
        </is>
      </c>
      <c r="D1105" s="4" t="n">
        <v>46304.62404170931</v>
      </c>
      <c r="E1105" s="4" t="n">
        <v>46304.62404170939</v>
      </c>
      <c r="F1105" t="b">
        <v>1</v>
      </c>
      <c r="G1105" t="n">
        <v/>
      </c>
      <c r="H1105" t="inlineStr">
        <is>
          <t>CLE</t>
        </is>
      </c>
      <c r="I1105" t="inlineStr">
        <is>
          <t>Cyclone Metals Ltd</t>
        </is>
      </c>
      <c r="J1105" t="inlineStr">
        <is>
          <t>AUD</t>
        </is>
      </c>
      <c r="K1105" s="5" t="inlineStr">
        <is>
          <t>01a1212c-4c04-75ce-bbb2-e3322e18816e</t>
        </is>
      </c>
      <c r="M1105" t="inlineStr">
        <is>
          <t>UNKNOWN</t>
        </is>
      </c>
      <c r="N1105" t="inlineStr">
        <is>
          <t>DEFAULT</t>
        </is>
      </c>
      <c r="Q1105" t="n">
        <v>0</v>
      </c>
      <c r="R1105" t="inlineStr">
        <is>
          <t>AUD</t>
        </is>
      </c>
      <c r="S1105" t="n">
        <v>0</v>
      </c>
      <c r="T1105" t="inlineStr">
        <is>
          <t>AUD</t>
        </is>
      </c>
      <c r="U1105" t="n">
        <v>0</v>
      </c>
    </row>
    <row r="1106">
      <c r="A1106" s="5" t="inlineStr">
        <is>
          <t>01a1212c-5a16-70c4-a645-d74bee0a79c6</t>
        </is>
      </c>
      <c r="C1106" s="5" t="inlineStr">
        <is>
          <t>01a1212c-4b57-70cf-80fd-c2192cb3bf81</t>
        </is>
      </c>
      <c r="D1106" s="4" t="n">
        <v>46304.62404174011</v>
      </c>
      <c r="E1106" s="4" t="n">
        <v>46304.62404174019</v>
      </c>
      <c r="F1106" t="b">
        <v>1</v>
      </c>
      <c r="G1106" t="n">
        <v/>
      </c>
      <c r="H1106" t="inlineStr">
        <is>
          <t>EGN</t>
        </is>
      </c>
      <c r="I1106" t="inlineStr">
        <is>
          <t>Engenco Ltd</t>
        </is>
      </c>
      <c r="J1106" t="inlineStr">
        <is>
          <t>AUD</t>
        </is>
      </c>
      <c r="K1106" s="5" t="inlineStr">
        <is>
          <t>01a1212c-4c04-75ce-bbb2-e3322e18816e</t>
        </is>
      </c>
      <c r="M1106" t="inlineStr">
        <is>
          <t>UNKNOWN</t>
        </is>
      </c>
      <c r="N1106" t="inlineStr">
        <is>
          <t>DEFAULT</t>
        </is>
      </c>
      <c r="Q1106" t="n">
        <v>0</v>
      </c>
      <c r="R1106" t="inlineStr">
        <is>
          <t>AUD</t>
        </is>
      </c>
      <c r="S1106" t="n">
        <v>0</v>
      </c>
      <c r="T1106" t="inlineStr">
        <is>
          <t>AUD</t>
        </is>
      </c>
      <c r="U1106" t="n">
        <v>0</v>
      </c>
    </row>
    <row r="1107">
      <c r="A1107" s="5" t="inlineStr">
        <is>
          <t>01a1212c-5a19-751b-9f3f-6df0d613e0f6</t>
        </is>
      </c>
      <c r="C1107" s="5" t="inlineStr">
        <is>
          <t>01a1212c-4b57-70cf-80fd-c2192cb3bf81</t>
        </is>
      </c>
      <c r="D1107" s="4" t="n">
        <v>46304.624041773</v>
      </c>
      <c r="E1107" s="4" t="n">
        <v>46304.62404177308</v>
      </c>
      <c r="F1107" t="b">
        <v>1</v>
      </c>
      <c r="G1107" t="n">
        <v/>
      </c>
      <c r="H1107" t="inlineStr">
        <is>
          <t>SEG</t>
        </is>
      </c>
      <c r="I1107" t="inlineStr">
        <is>
          <t>Sports Entertainment Group Ltd</t>
        </is>
      </c>
      <c r="J1107" t="inlineStr">
        <is>
          <t>AUD</t>
        </is>
      </c>
      <c r="K1107" s="5" t="inlineStr">
        <is>
          <t>01a1212c-4c04-75ce-bbb2-e3322e18816e</t>
        </is>
      </c>
      <c r="M1107" t="inlineStr">
        <is>
          <t>UNKNOWN</t>
        </is>
      </c>
      <c r="N1107" t="inlineStr">
        <is>
          <t>DEFAULT</t>
        </is>
      </c>
      <c r="Q1107" t="n">
        <v>0</v>
      </c>
      <c r="R1107" t="inlineStr">
        <is>
          <t>AUD</t>
        </is>
      </c>
      <c r="S1107" t="n">
        <v>0</v>
      </c>
      <c r="T1107" t="inlineStr">
        <is>
          <t>AUD</t>
        </is>
      </c>
      <c r="U1107" t="n">
        <v>0</v>
      </c>
    </row>
    <row r="1108">
      <c r="A1108" s="5" t="inlineStr">
        <is>
          <t>01a1212c-5a1b-7624-8255-89b95943ae3a</t>
        </is>
      </c>
      <c r="C1108" s="5" t="inlineStr">
        <is>
          <t>01a1212c-4b57-70cf-80fd-c2192cb3bf81</t>
        </is>
      </c>
      <c r="D1108" s="4" t="n">
        <v>46304.62404180322</v>
      </c>
      <c r="E1108" s="4" t="n">
        <v>46304.6240418033</v>
      </c>
      <c r="F1108" t="b">
        <v>1</v>
      </c>
      <c r="G1108" t="n">
        <v/>
      </c>
      <c r="H1108" t="inlineStr">
        <is>
          <t>HAS</t>
        </is>
      </c>
      <c r="I1108" t="inlineStr">
        <is>
          <t>Hastings Technology Metals Ltd</t>
        </is>
      </c>
      <c r="J1108" t="inlineStr">
        <is>
          <t>AUD</t>
        </is>
      </c>
      <c r="K1108" s="5" t="inlineStr">
        <is>
          <t>01a1212c-4c04-75ce-bbb2-e3322e18816e</t>
        </is>
      </c>
      <c r="M1108" t="inlineStr">
        <is>
          <t>UNKNOWN</t>
        </is>
      </c>
      <c r="N1108" t="inlineStr">
        <is>
          <t>DEFAULT</t>
        </is>
      </c>
      <c r="Q1108" t="n">
        <v>0</v>
      </c>
      <c r="R1108" t="inlineStr">
        <is>
          <t>AUD</t>
        </is>
      </c>
      <c r="S1108" t="n">
        <v>0</v>
      </c>
      <c r="T1108" t="inlineStr">
        <is>
          <t>AUD</t>
        </is>
      </c>
      <c r="U1108" t="n">
        <v>0</v>
      </c>
    </row>
    <row r="1109">
      <c r="A1109" s="5" t="inlineStr">
        <is>
          <t>01a1212c-5a1e-7024-bf91-2191c683846a</t>
        </is>
      </c>
      <c r="C1109" s="5" t="inlineStr">
        <is>
          <t>01a1212c-4b57-70cf-80fd-c2192cb3bf81</t>
        </is>
      </c>
      <c r="D1109" s="4" t="n">
        <v>46304.62404183399</v>
      </c>
      <c r="E1109" s="4" t="n">
        <v>46304.62404183407</v>
      </c>
      <c r="F1109" t="b">
        <v>1</v>
      </c>
      <c r="G1109" t="n">
        <v/>
      </c>
      <c r="H1109" t="inlineStr">
        <is>
          <t>BGD</t>
        </is>
      </c>
      <c r="I1109" t="inlineStr">
        <is>
          <t>Barton Gold Holdings Ltd</t>
        </is>
      </c>
      <c r="J1109" t="inlineStr">
        <is>
          <t>AUD</t>
        </is>
      </c>
      <c r="K1109" s="5" t="inlineStr">
        <is>
          <t>01a1212c-4c04-75ce-bbb2-e3322e18816e</t>
        </is>
      </c>
      <c r="M1109" t="inlineStr">
        <is>
          <t>UNKNOWN</t>
        </is>
      </c>
      <c r="N1109" t="inlineStr">
        <is>
          <t>DEFAULT</t>
        </is>
      </c>
      <c r="Q1109" t="n">
        <v>0</v>
      </c>
      <c r="R1109" t="inlineStr">
        <is>
          <t>AUD</t>
        </is>
      </c>
      <c r="S1109" t="n">
        <v>0</v>
      </c>
      <c r="T1109" t="inlineStr">
        <is>
          <t>AUD</t>
        </is>
      </c>
      <c r="U1109" t="n">
        <v>0</v>
      </c>
    </row>
    <row r="1110">
      <c r="A1110" s="5" t="inlineStr">
        <is>
          <t>01a1212c-5a21-7261-a3a0-b762c28b2425</t>
        </is>
      </c>
      <c r="C1110" s="5" t="inlineStr">
        <is>
          <t>01a1212c-4b57-70cf-80fd-c2192cb3bf81</t>
        </is>
      </c>
      <c r="D1110" s="4" t="n">
        <v>46304.6240418648</v>
      </c>
      <c r="E1110" s="4" t="n">
        <v>46304.62404186487</v>
      </c>
      <c r="F1110" t="b">
        <v>1</v>
      </c>
      <c r="G1110" t="n">
        <v/>
      </c>
      <c r="H1110" t="inlineStr">
        <is>
          <t>88E</t>
        </is>
      </c>
      <c r="I1110" t="inlineStr">
        <is>
          <t>88 Energy Ltd</t>
        </is>
      </c>
      <c r="J1110" t="inlineStr">
        <is>
          <t>AUD</t>
        </is>
      </c>
      <c r="K1110" s="5" t="inlineStr">
        <is>
          <t>01a1212c-4c04-75ce-bbb2-e3322e18816e</t>
        </is>
      </c>
      <c r="M1110" t="inlineStr">
        <is>
          <t>UNKNOWN</t>
        </is>
      </c>
      <c r="N1110" t="inlineStr">
        <is>
          <t>DEFAULT</t>
        </is>
      </c>
      <c r="Q1110" t="n">
        <v>0</v>
      </c>
      <c r="R1110" t="inlineStr">
        <is>
          <t>AUD</t>
        </is>
      </c>
      <c r="S1110" t="n">
        <v>0</v>
      </c>
      <c r="T1110" t="inlineStr">
        <is>
          <t>AUD</t>
        </is>
      </c>
      <c r="U1110" t="n">
        <v>0</v>
      </c>
    </row>
    <row r="1111">
      <c r="A1111" s="5" t="inlineStr">
        <is>
          <t>01a1212c-5a23-77b1-9542-c90759051843</t>
        </is>
      </c>
      <c r="C1111" s="5" t="inlineStr">
        <is>
          <t>01a1212c-4b57-70cf-80fd-c2192cb3bf81</t>
        </is>
      </c>
      <c r="D1111" s="4" t="n">
        <v>46304.62404189748</v>
      </c>
      <c r="E1111" s="4" t="n">
        <v>46304.62404189756</v>
      </c>
      <c r="F1111" t="b">
        <v>1</v>
      </c>
      <c r="G1111" t="n">
        <v/>
      </c>
      <c r="H1111" t="inlineStr">
        <is>
          <t>CMP</t>
        </is>
      </c>
      <c r="I1111" t="inlineStr">
        <is>
          <t>Compumedics Ltd</t>
        </is>
      </c>
      <c r="J1111" t="inlineStr">
        <is>
          <t>AUD</t>
        </is>
      </c>
      <c r="K1111" s="5" t="inlineStr">
        <is>
          <t>01a1212c-4c04-75ce-bbb2-e3322e18816e</t>
        </is>
      </c>
      <c r="M1111" t="inlineStr">
        <is>
          <t>UNKNOWN</t>
        </is>
      </c>
      <c r="N1111" t="inlineStr">
        <is>
          <t>DEFAULT</t>
        </is>
      </c>
      <c r="Q1111" t="n">
        <v>0</v>
      </c>
      <c r="R1111" t="inlineStr">
        <is>
          <t>AUD</t>
        </is>
      </c>
      <c r="S1111" t="n">
        <v>0</v>
      </c>
      <c r="T1111" t="inlineStr">
        <is>
          <t>AUD</t>
        </is>
      </c>
      <c r="U1111" t="n">
        <v>0</v>
      </c>
    </row>
    <row r="1112">
      <c r="A1112" s="5" t="inlineStr">
        <is>
          <t>01a1212c-5a26-7552-bcfc-507b6e3b5a1e</t>
        </is>
      </c>
      <c r="C1112" s="5" t="inlineStr">
        <is>
          <t>01a1212c-4b57-70cf-80fd-c2192cb3bf81</t>
        </is>
      </c>
      <c r="D1112" s="4" t="n">
        <v>46304.62404192794</v>
      </c>
      <c r="E1112" s="4" t="n">
        <v>46304.62404192802</v>
      </c>
      <c r="F1112" t="b">
        <v>1</v>
      </c>
      <c r="G1112" t="n">
        <v/>
      </c>
      <c r="H1112" t="inlineStr">
        <is>
          <t>VTX</t>
        </is>
      </c>
      <c r="I1112" t="inlineStr">
        <is>
          <t>Vertex Minerals Ltd</t>
        </is>
      </c>
      <c r="J1112" t="inlineStr">
        <is>
          <t>AUD</t>
        </is>
      </c>
      <c r="K1112" s="5" t="inlineStr">
        <is>
          <t>01a1212c-4c04-75ce-bbb2-e3322e18816e</t>
        </is>
      </c>
      <c r="M1112" t="inlineStr">
        <is>
          <t>UNKNOWN</t>
        </is>
      </c>
      <c r="N1112" t="inlineStr">
        <is>
          <t>DEFAULT</t>
        </is>
      </c>
      <c r="Q1112" t="n">
        <v>0</v>
      </c>
      <c r="R1112" t="inlineStr">
        <is>
          <t>AUD</t>
        </is>
      </c>
      <c r="S1112" t="n">
        <v>0</v>
      </c>
      <c r="T1112" t="inlineStr">
        <is>
          <t>AUD</t>
        </is>
      </c>
      <c r="U1112" t="n">
        <v>0</v>
      </c>
    </row>
    <row r="1113">
      <c r="A1113" s="5" t="inlineStr">
        <is>
          <t>01a1212c-5a29-7003-a0ba-350d157ac6f0</t>
        </is>
      </c>
      <c r="C1113" s="5" t="inlineStr">
        <is>
          <t>01a1212c-4b57-70cf-80fd-c2192cb3bf81</t>
        </is>
      </c>
      <c r="D1113" s="4" t="n">
        <v>46304.62404195822</v>
      </c>
      <c r="E1113" s="4" t="n">
        <v>46304.6240419583</v>
      </c>
      <c r="F1113" t="b">
        <v>1</v>
      </c>
      <c r="G1113" t="n">
        <v/>
      </c>
      <c r="H1113" t="inlineStr">
        <is>
          <t>CLNE</t>
        </is>
      </c>
      <c r="I1113" t="inlineStr">
        <is>
          <t>Vaneck Global Clean Energy ETF</t>
        </is>
      </c>
      <c r="J1113" t="inlineStr">
        <is>
          <t>AUD</t>
        </is>
      </c>
      <c r="K1113" s="5" t="inlineStr">
        <is>
          <t>01a1212c-4c04-75ce-bbb2-e3322e18816e</t>
        </is>
      </c>
      <c r="M1113" t="inlineStr">
        <is>
          <t>UNKNOWN</t>
        </is>
      </c>
      <c r="N1113" t="inlineStr">
        <is>
          <t>DEFAULT</t>
        </is>
      </c>
      <c r="Q1113" t="n">
        <v>0</v>
      </c>
      <c r="R1113" t="inlineStr">
        <is>
          <t>AUD</t>
        </is>
      </c>
      <c r="S1113" t="n">
        <v>0</v>
      </c>
      <c r="T1113" t="inlineStr">
        <is>
          <t>AUD</t>
        </is>
      </c>
      <c r="U1113" t="n">
        <v>0</v>
      </c>
    </row>
    <row r="1114">
      <c r="A1114" s="5" t="inlineStr">
        <is>
          <t>01a1212c-5a2b-75d4-92de-fd2c59f9d3d2</t>
        </is>
      </c>
      <c r="C1114" s="5" t="inlineStr">
        <is>
          <t>01a1212c-4b57-70cf-80fd-c2192cb3bf81</t>
        </is>
      </c>
      <c r="D1114" s="4" t="n">
        <v>46304.62404198866</v>
      </c>
      <c r="E1114" s="4" t="n">
        <v>46304.62404198874</v>
      </c>
      <c r="F1114" t="b">
        <v>1</v>
      </c>
      <c r="G1114" t="n">
        <v/>
      </c>
      <c r="H1114" t="inlineStr">
        <is>
          <t>5GOV</t>
        </is>
      </c>
      <c r="I1114" t="inlineStr">
        <is>
          <t>Vaneck 5-10 Year Australian Government Bond ETF</t>
        </is>
      </c>
      <c r="J1114" t="inlineStr">
        <is>
          <t>AUD</t>
        </is>
      </c>
      <c r="K1114" s="5" t="inlineStr">
        <is>
          <t>01a1212c-4c04-75ce-bbb2-e3322e18816e</t>
        </is>
      </c>
      <c r="M1114" t="inlineStr">
        <is>
          <t>UNKNOWN</t>
        </is>
      </c>
      <c r="N1114" t="inlineStr">
        <is>
          <t>DEFAULT</t>
        </is>
      </c>
      <c r="Q1114" t="n">
        <v>0</v>
      </c>
      <c r="R1114" t="inlineStr">
        <is>
          <t>AUD</t>
        </is>
      </c>
      <c r="S1114" t="n">
        <v>0</v>
      </c>
      <c r="T1114" t="inlineStr">
        <is>
          <t>AUD</t>
        </is>
      </c>
      <c r="U1114" t="n">
        <v>0</v>
      </c>
    </row>
    <row r="1115">
      <c r="A1115" s="5" t="inlineStr">
        <is>
          <t>01a1212c-5a2e-7527-93f4-ca49f705a6fb</t>
        </is>
      </c>
      <c r="C1115" s="5" t="inlineStr">
        <is>
          <t>01a1212c-4b57-70cf-80fd-c2192cb3bf81</t>
        </is>
      </c>
      <c r="D1115" s="4" t="n">
        <v>46304.6240420219</v>
      </c>
      <c r="E1115" s="4" t="n">
        <v>46304.62404202198</v>
      </c>
      <c r="F1115" t="b">
        <v>1</v>
      </c>
      <c r="G1115" t="n">
        <v/>
      </c>
      <c r="H1115" t="inlineStr">
        <is>
          <t>OEL</t>
        </is>
      </c>
      <c r="I1115" t="inlineStr">
        <is>
          <t>Otto Energy Ltd</t>
        </is>
      </c>
      <c r="J1115" t="inlineStr">
        <is>
          <t>AUD</t>
        </is>
      </c>
      <c r="K1115" s="5" t="inlineStr">
        <is>
          <t>01a1212c-4c04-75ce-bbb2-e3322e18816e</t>
        </is>
      </c>
      <c r="M1115" t="inlineStr">
        <is>
          <t>UNKNOWN</t>
        </is>
      </c>
      <c r="N1115" t="inlineStr">
        <is>
          <t>DEFAULT</t>
        </is>
      </c>
      <c r="Q1115" t="n">
        <v>0</v>
      </c>
      <c r="R1115" t="inlineStr">
        <is>
          <t>AUD</t>
        </is>
      </c>
      <c r="S1115" t="n">
        <v>0</v>
      </c>
      <c r="T1115" t="inlineStr">
        <is>
          <t>AUD</t>
        </is>
      </c>
      <c r="U1115" t="n">
        <v>0</v>
      </c>
    </row>
    <row r="1116">
      <c r="A1116" s="5" t="inlineStr">
        <is>
          <t>01a1212c-5a31-7720-9488-4d88fd22941b</t>
        </is>
      </c>
      <c r="C1116" s="5" t="inlineStr">
        <is>
          <t>01a1212c-4b57-70cf-80fd-c2192cb3bf81</t>
        </is>
      </c>
      <c r="D1116" s="4" t="n">
        <v>46304.62404205513</v>
      </c>
      <c r="E1116" s="4" t="n">
        <v>46304.6240420552</v>
      </c>
      <c r="F1116" t="b">
        <v>1</v>
      </c>
      <c r="G1116" t="n">
        <v/>
      </c>
      <c r="H1116" t="inlineStr">
        <is>
          <t>NSC</t>
        </is>
      </c>
      <c r="I1116" t="inlineStr">
        <is>
          <t>Naos Small Cap Opportunities Company Ltd</t>
        </is>
      </c>
      <c r="J1116" t="inlineStr">
        <is>
          <t>AUD</t>
        </is>
      </c>
      <c r="K1116" s="5" t="inlineStr">
        <is>
          <t>01a1212c-4c04-75ce-bbb2-e3322e18816e</t>
        </is>
      </c>
      <c r="M1116" t="inlineStr">
        <is>
          <t>UNKNOWN</t>
        </is>
      </c>
      <c r="N1116" t="inlineStr">
        <is>
          <t>DEFAULT</t>
        </is>
      </c>
      <c r="Q1116" t="n">
        <v>0</v>
      </c>
      <c r="R1116" t="inlineStr">
        <is>
          <t>AUD</t>
        </is>
      </c>
      <c r="S1116" t="n">
        <v>0</v>
      </c>
      <c r="T1116" t="inlineStr">
        <is>
          <t>AUD</t>
        </is>
      </c>
      <c r="U1116" t="n">
        <v>0</v>
      </c>
    </row>
    <row r="1117">
      <c r="A1117" s="5" t="inlineStr">
        <is>
          <t>01a1212c-5a34-7298-a52d-f403cbe2b2cb</t>
        </is>
      </c>
      <c r="C1117" s="5" t="inlineStr">
        <is>
          <t>01a1212c-4b57-70cf-80fd-c2192cb3bf81</t>
        </is>
      </c>
      <c r="D1117" s="4" t="n">
        <v>46304.62404208587</v>
      </c>
      <c r="E1117" s="4" t="n">
        <v>46304.62404208595</v>
      </c>
      <c r="F1117" t="b">
        <v>1</v>
      </c>
      <c r="G1117" t="n">
        <v/>
      </c>
      <c r="H1117" t="inlineStr">
        <is>
          <t>E25</t>
        </is>
      </c>
      <c r="I1117" t="inlineStr">
        <is>
          <t>Element 25 Ltd</t>
        </is>
      </c>
      <c r="J1117" t="inlineStr">
        <is>
          <t>AUD</t>
        </is>
      </c>
      <c r="K1117" s="5" t="inlineStr">
        <is>
          <t>01a1212c-4c04-75ce-bbb2-e3322e18816e</t>
        </is>
      </c>
      <c r="M1117" t="inlineStr">
        <is>
          <t>UNKNOWN</t>
        </is>
      </c>
      <c r="N1117" t="inlineStr">
        <is>
          <t>DEFAULT</t>
        </is>
      </c>
      <c r="Q1117" t="n">
        <v>0</v>
      </c>
      <c r="R1117" t="inlineStr">
        <is>
          <t>AUD</t>
        </is>
      </c>
      <c r="S1117" t="n">
        <v>0</v>
      </c>
      <c r="T1117" t="inlineStr">
        <is>
          <t>AUD</t>
        </is>
      </c>
      <c r="U1117" t="n">
        <v>0</v>
      </c>
    </row>
    <row r="1118">
      <c r="A1118" s="5" t="inlineStr">
        <is>
          <t>01a1212c-5a36-714b-86e8-b2007db79a6c</t>
        </is>
      </c>
      <c r="C1118" s="5" t="inlineStr">
        <is>
          <t>01a1212c-4b57-70cf-80fd-c2192cb3bf81</t>
        </is>
      </c>
      <c r="D1118" s="4" t="n">
        <v>46304.62404211641</v>
      </c>
      <c r="E1118" s="4" t="n">
        <v>46304.62404211648</v>
      </c>
      <c r="F1118" t="b">
        <v>1</v>
      </c>
      <c r="G1118" t="n">
        <v/>
      </c>
      <c r="H1118" t="inlineStr">
        <is>
          <t>MCM</t>
        </is>
      </c>
      <c r="I1118" t="inlineStr">
        <is>
          <t>MC Mining Ltd</t>
        </is>
      </c>
      <c r="J1118" t="inlineStr">
        <is>
          <t>AUD</t>
        </is>
      </c>
      <c r="K1118" s="5" t="inlineStr">
        <is>
          <t>01a1212c-4c04-75ce-bbb2-e3322e18816e</t>
        </is>
      </c>
      <c r="M1118" t="inlineStr">
        <is>
          <t>UNKNOWN</t>
        </is>
      </c>
      <c r="N1118" t="inlineStr">
        <is>
          <t>DEFAULT</t>
        </is>
      </c>
      <c r="Q1118" t="n">
        <v>0</v>
      </c>
      <c r="R1118" t="inlineStr">
        <is>
          <t>AUD</t>
        </is>
      </c>
      <c r="S1118" t="n">
        <v>0</v>
      </c>
      <c r="T1118" t="inlineStr">
        <is>
          <t>AUD</t>
        </is>
      </c>
      <c r="U1118" t="n">
        <v>0</v>
      </c>
    </row>
    <row r="1119">
      <c r="A1119" s="5" t="inlineStr">
        <is>
          <t>01a1212c-5a39-771a-93d1-db915ad4aa3e</t>
        </is>
      </c>
      <c r="C1119" s="5" t="inlineStr">
        <is>
          <t>01a1212c-4b57-70cf-80fd-c2192cb3bf81</t>
        </is>
      </c>
      <c r="D1119" s="4" t="n">
        <v>46304.62404214666</v>
      </c>
      <c r="E1119" s="4" t="n">
        <v>46304.62404214674</v>
      </c>
      <c r="F1119" t="b">
        <v>1</v>
      </c>
      <c r="G1119" t="n">
        <v/>
      </c>
      <c r="H1119" t="inlineStr">
        <is>
          <t>GROW</t>
        </is>
      </c>
      <c r="I1119" t="inlineStr">
        <is>
          <t>Schroder Real Return Active ETF</t>
        </is>
      </c>
      <c r="J1119" t="inlineStr">
        <is>
          <t>AUD</t>
        </is>
      </c>
      <c r="K1119" s="5" t="inlineStr">
        <is>
          <t>01a1212c-4c04-75ce-bbb2-e3322e18816e</t>
        </is>
      </c>
      <c r="M1119" t="inlineStr">
        <is>
          <t>UNKNOWN</t>
        </is>
      </c>
      <c r="N1119" t="inlineStr">
        <is>
          <t>DEFAULT</t>
        </is>
      </c>
      <c r="Q1119" t="n">
        <v>0</v>
      </c>
      <c r="R1119" t="inlineStr">
        <is>
          <t>AUD</t>
        </is>
      </c>
      <c r="S1119" t="n">
        <v>0</v>
      </c>
      <c r="T1119" t="inlineStr">
        <is>
          <t>AUD</t>
        </is>
      </c>
      <c r="U1119" t="n">
        <v>0</v>
      </c>
    </row>
    <row r="1120">
      <c r="A1120" s="5" t="inlineStr">
        <is>
          <t>01a1212c-5a3c-753a-927b-fba6e4b85bde</t>
        </is>
      </c>
      <c r="C1120" s="5" t="inlineStr">
        <is>
          <t>01a1212c-4b57-70cf-80fd-c2192cb3bf81</t>
        </is>
      </c>
      <c r="D1120" s="4" t="n">
        <v>46304.62404218059</v>
      </c>
      <c r="E1120" s="4" t="n">
        <v>46304.62404218068</v>
      </c>
      <c r="F1120" t="b">
        <v>1</v>
      </c>
      <c r="G1120" t="n">
        <v/>
      </c>
      <c r="H1120" t="inlineStr">
        <is>
          <t>AHL</t>
        </is>
      </c>
      <c r="I1120" t="inlineStr">
        <is>
          <t>Adrad Holdings Ltd</t>
        </is>
      </c>
      <c r="J1120" t="inlineStr">
        <is>
          <t>AUD</t>
        </is>
      </c>
      <c r="K1120" s="5" t="inlineStr">
        <is>
          <t>01a1212c-4c04-75ce-bbb2-e3322e18816e</t>
        </is>
      </c>
      <c r="M1120" t="inlineStr">
        <is>
          <t>UNKNOWN</t>
        </is>
      </c>
      <c r="N1120" t="inlineStr">
        <is>
          <t>DEFAULT</t>
        </is>
      </c>
      <c r="Q1120" t="n">
        <v>0</v>
      </c>
      <c r="R1120" t="inlineStr">
        <is>
          <t>AUD</t>
        </is>
      </c>
      <c r="S1120" t="n">
        <v>0</v>
      </c>
      <c r="T1120" t="inlineStr">
        <is>
          <t>AUD</t>
        </is>
      </c>
      <c r="U1120" t="n">
        <v>0</v>
      </c>
    </row>
    <row r="1121">
      <c r="A1121" s="5" t="inlineStr">
        <is>
          <t>01a1212c-5a3f-7050-af83-9175cea1a643</t>
        </is>
      </c>
      <c r="C1121" s="5" t="inlineStr">
        <is>
          <t>01a1212c-4b57-70cf-80fd-c2192cb3bf81</t>
        </is>
      </c>
      <c r="D1121" s="4" t="n">
        <v>46304.62404221301</v>
      </c>
      <c r="E1121" s="4" t="n">
        <v>46304.62404221309</v>
      </c>
      <c r="F1121" t="b">
        <v>1</v>
      </c>
      <c r="G1121" t="n">
        <v/>
      </c>
      <c r="H1121" t="inlineStr">
        <is>
          <t>U100</t>
        </is>
      </c>
      <c r="I1121" t="inlineStr">
        <is>
          <t>Global X US 100 ETF</t>
        </is>
      </c>
      <c r="J1121" t="inlineStr">
        <is>
          <t>AUD</t>
        </is>
      </c>
      <c r="K1121" s="5" t="inlineStr">
        <is>
          <t>01a1212c-4c04-75ce-bbb2-e3322e18816e</t>
        </is>
      </c>
      <c r="M1121" t="inlineStr">
        <is>
          <t>UNKNOWN</t>
        </is>
      </c>
      <c r="N1121" t="inlineStr">
        <is>
          <t>DEFAULT</t>
        </is>
      </c>
      <c r="Q1121" t="n">
        <v>0</v>
      </c>
      <c r="R1121" t="inlineStr">
        <is>
          <t>AUD</t>
        </is>
      </c>
      <c r="S1121" t="n">
        <v>0</v>
      </c>
      <c r="T1121" t="inlineStr">
        <is>
          <t>AUD</t>
        </is>
      </c>
      <c r="U1121" t="n">
        <v>0</v>
      </c>
    </row>
    <row r="1122">
      <c r="A1122" s="5" t="inlineStr">
        <is>
          <t>01a1212c-5a41-730a-8461-12bfb75ca2f6</t>
        </is>
      </c>
      <c r="C1122" s="5" t="inlineStr">
        <is>
          <t>01a1212c-4b57-70cf-80fd-c2192cb3bf81</t>
        </is>
      </c>
      <c r="D1122" s="4" t="n">
        <v>46304.6240422438</v>
      </c>
      <c r="E1122" s="4" t="n">
        <v>46304.62404224388</v>
      </c>
      <c r="F1122" t="b">
        <v>1</v>
      </c>
      <c r="G1122" t="n">
        <v/>
      </c>
      <c r="H1122" t="inlineStr">
        <is>
          <t>PEK</t>
        </is>
      </c>
      <c r="I1122" t="inlineStr">
        <is>
          <t>Peak Rare EARTHS Ltd</t>
        </is>
      </c>
      <c r="J1122" t="inlineStr">
        <is>
          <t>AUD</t>
        </is>
      </c>
      <c r="K1122" s="5" t="inlineStr">
        <is>
          <t>01a1212c-4c04-75ce-bbb2-e3322e18816e</t>
        </is>
      </c>
      <c r="M1122" t="inlineStr">
        <is>
          <t>UNKNOWN</t>
        </is>
      </c>
      <c r="N1122" t="inlineStr">
        <is>
          <t>DEFAULT</t>
        </is>
      </c>
      <c r="Q1122" t="n">
        <v>0</v>
      </c>
      <c r="R1122" t="inlineStr">
        <is>
          <t>AUD</t>
        </is>
      </c>
      <c r="S1122" t="n">
        <v>0</v>
      </c>
      <c r="T1122" t="inlineStr">
        <is>
          <t>AUD</t>
        </is>
      </c>
      <c r="U1122" t="n">
        <v>0</v>
      </c>
    </row>
    <row r="1123">
      <c r="A1123" s="5" t="inlineStr">
        <is>
          <t>01a1212c-5a44-73b3-9201-69fabd55b1dd</t>
        </is>
      </c>
      <c r="C1123" s="5" t="inlineStr">
        <is>
          <t>01a1212c-4b57-70cf-80fd-c2192cb3bf81</t>
        </is>
      </c>
      <c r="D1123" s="4" t="n">
        <v>46304.62404227428</v>
      </c>
      <c r="E1123" s="4" t="n">
        <v>46304.62404227435</v>
      </c>
      <c r="F1123" t="b">
        <v>1</v>
      </c>
      <c r="G1123" t="n">
        <v/>
      </c>
      <c r="H1123" t="inlineStr">
        <is>
          <t>EXR</t>
        </is>
      </c>
      <c r="I1123" t="inlineStr">
        <is>
          <t>Elixir Energy Ltd</t>
        </is>
      </c>
      <c r="J1123" t="inlineStr">
        <is>
          <t>AUD</t>
        </is>
      </c>
      <c r="K1123" s="5" t="inlineStr">
        <is>
          <t>01a1212c-4c04-75ce-bbb2-e3322e18816e</t>
        </is>
      </c>
      <c r="M1123" t="inlineStr">
        <is>
          <t>UNKNOWN</t>
        </is>
      </c>
      <c r="N1123" t="inlineStr">
        <is>
          <t>DEFAULT</t>
        </is>
      </c>
      <c r="Q1123" t="n">
        <v>0</v>
      </c>
      <c r="R1123" t="inlineStr">
        <is>
          <t>AUD</t>
        </is>
      </c>
      <c r="S1123" t="n">
        <v>0</v>
      </c>
      <c r="T1123" t="inlineStr">
        <is>
          <t>AUD</t>
        </is>
      </c>
      <c r="U1123" t="n">
        <v>0</v>
      </c>
    </row>
    <row r="1124">
      <c r="A1124" s="5" t="inlineStr">
        <is>
          <t>01a1212c-5a47-70f8-8a00-a862e09ba5e1</t>
        </is>
      </c>
      <c r="C1124" s="5" t="inlineStr">
        <is>
          <t>01a1212c-4b57-70cf-80fd-c2192cb3bf81</t>
        </is>
      </c>
      <c r="D1124" s="4" t="n">
        <v>46304.62404230473</v>
      </c>
      <c r="E1124" s="4" t="n">
        <v>46304.62404230481</v>
      </c>
      <c r="F1124" t="b">
        <v>1</v>
      </c>
      <c r="G1124" t="n">
        <v/>
      </c>
      <c r="H1124" t="inlineStr">
        <is>
          <t>TIP</t>
        </is>
      </c>
      <c r="I1124" t="inlineStr">
        <is>
          <t>Teaminvest Private Group Ltd</t>
        </is>
      </c>
      <c r="J1124" t="inlineStr">
        <is>
          <t>AUD</t>
        </is>
      </c>
      <c r="K1124" s="5" t="inlineStr">
        <is>
          <t>01a1212c-4c04-75ce-bbb2-e3322e18816e</t>
        </is>
      </c>
      <c r="M1124" t="inlineStr">
        <is>
          <t>UNKNOWN</t>
        </is>
      </c>
      <c r="N1124" t="inlineStr">
        <is>
          <t>DEFAULT</t>
        </is>
      </c>
      <c r="Q1124" t="n">
        <v>0</v>
      </c>
      <c r="R1124" t="inlineStr">
        <is>
          <t>AUD</t>
        </is>
      </c>
      <c r="S1124" t="n">
        <v>0</v>
      </c>
      <c r="T1124" t="inlineStr">
        <is>
          <t>AUD</t>
        </is>
      </c>
      <c r="U1124" t="n">
        <v>0</v>
      </c>
    </row>
    <row r="1125">
      <c r="A1125" s="5" t="inlineStr">
        <is>
          <t>01a1212c-5a49-768e-86e9-3f16a60d12d8</t>
        </is>
      </c>
      <c r="C1125" s="5" t="inlineStr">
        <is>
          <t>01a1212c-4b57-70cf-80fd-c2192cb3bf81</t>
        </is>
      </c>
      <c r="D1125" s="4" t="n">
        <v>46304.62404233743</v>
      </c>
      <c r="E1125" s="4" t="n">
        <v>46304.6240423375</v>
      </c>
      <c r="F1125" t="b">
        <v>1</v>
      </c>
      <c r="G1125" t="n">
        <v/>
      </c>
      <c r="H1125" t="inlineStr">
        <is>
          <t>ELS</t>
        </is>
      </c>
      <c r="I1125" t="inlineStr">
        <is>
          <t>Elsight Ltd</t>
        </is>
      </c>
      <c r="J1125" t="inlineStr">
        <is>
          <t>AUD</t>
        </is>
      </c>
      <c r="K1125" s="5" t="inlineStr">
        <is>
          <t>01a1212c-4c04-75ce-bbb2-e3322e18816e</t>
        </is>
      </c>
      <c r="M1125" t="inlineStr">
        <is>
          <t>UNKNOWN</t>
        </is>
      </c>
      <c r="N1125" t="inlineStr">
        <is>
          <t>DEFAULT</t>
        </is>
      </c>
      <c r="Q1125" t="n">
        <v>0</v>
      </c>
      <c r="R1125" t="inlineStr">
        <is>
          <t>AUD</t>
        </is>
      </c>
      <c r="S1125" t="n">
        <v>0</v>
      </c>
      <c r="T1125" t="inlineStr">
        <is>
          <t>AUD</t>
        </is>
      </c>
      <c r="U1125" t="n">
        <v>0</v>
      </c>
    </row>
    <row r="1126">
      <c r="A1126" s="5" t="inlineStr">
        <is>
          <t>01a1212c-5a4c-7329-a4b3-74418d07f14d</t>
        </is>
      </c>
      <c r="C1126" s="5" t="inlineStr">
        <is>
          <t>01a1212c-4b57-70cf-80fd-c2192cb3bf81</t>
        </is>
      </c>
      <c r="D1126" s="4" t="n">
        <v>46304.62404236808</v>
      </c>
      <c r="E1126" s="4" t="n">
        <v>46304.62404236814</v>
      </c>
      <c r="F1126" t="b">
        <v>1</v>
      </c>
      <c r="G1126" t="n">
        <v/>
      </c>
      <c r="H1126" t="inlineStr">
        <is>
          <t>RDG</t>
        </is>
      </c>
      <c r="I1126" t="inlineStr">
        <is>
          <t>Resource Development Group Ltd</t>
        </is>
      </c>
      <c r="J1126" t="inlineStr">
        <is>
          <t>AUD</t>
        </is>
      </c>
      <c r="K1126" s="5" t="inlineStr">
        <is>
          <t>01a1212c-4c04-75ce-bbb2-e3322e18816e</t>
        </is>
      </c>
      <c r="M1126" t="inlineStr">
        <is>
          <t>UNKNOWN</t>
        </is>
      </c>
      <c r="N1126" t="inlineStr">
        <is>
          <t>DEFAULT</t>
        </is>
      </c>
      <c r="Q1126" t="n">
        <v>0</v>
      </c>
      <c r="R1126" t="inlineStr">
        <is>
          <t>AUD</t>
        </is>
      </c>
      <c r="S1126" t="n">
        <v>0</v>
      </c>
      <c r="T1126" t="inlineStr">
        <is>
          <t>AUD</t>
        </is>
      </c>
      <c r="U1126" t="n">
        <v>0</v>
      </c>
    </row>
    <row r="1127">
      <c r="A1127" s="5" t="inlineStr">
        <is>
          <t>01a1212c-5a4f-7084-9937-977a81673591</t>
        </is>
      </c>
      <c r="C1127" s="5" t="inlineStr">
        <is>
          <t>01a1212c-4b57-70cf-80fd-c2192cb3bf81</t>
        </is>
      </c>
      <c r="D1127" s="4" t="n">
        <v>46304.62404239884</v>
      </c>
      <c r="E1127" s="4" t="n">
        <v>46304.62404239892</v>
      </c>
      <c r="F1127" t="b">
        <v>1</v>
      </c>
      <c r="G1127" t="n">
        <v/>
      </c>
      <c r="H1127" t="inlineStr">
        <is>
          <t>IISV</t>
        </is>
      </c>
      <c r="I1127" t="inlineStr">
        <is>
          <t>Intell Investor Select Value SHR Fund - Active ETF</t>
        </is>
      </c>
      <c r="J1127" t="inlineStr">
        <is>
          <t>AUD</t>
        </is>
      </c>
      <c r="K1127" s="5" t="inlineStr">
        <is>
          <t>01a1212c-4c04-75ce-bbb2-e3322e18816e</t>
        </is>
      </c>
      <c r="M1127" t="inlineStr">
        <is>
          <t>UNKNOWN</t>
        </is>
      </c>
      <c r="N1127" t="inlineStr">
        <is>
          <t>DEFAULT</t>
        </is>
      </c>
      <c r="Q1127" t="n">
        <v>0</v>
      </c>
      <c r="R1127" t="inlineStr">
        <is>
          <t>AUD</t>
        </is>
      </c>
      <c r="S1127" t="n">
        <v>0</v>
      </c>
      <c r="T1127" t="inlineStr">
        <is>
          <t>AUD</t>
        </is>
      </c>
      <c r="U1127" t="n">
        <v>0</v>
      </c>
    </row>
    <row r="1128">
      <c r="A1128" s="5" t="inlineStr">
        <is>
          <t>01a1212c-5a51-76dc-b65b-1204f79de171</t>
        </is>
      </c>
      <c r="C1128" s="5" t="inlineStr">
        <is>
          <t>01a1212c-4b57-70cf-80fd-c2192cb3bf81</t>
        </is>
      </c>
      <c r="D1128" s="4" t="n">
        <v>46304.6240424298</v>
      </c>
      <c r="E1128" s="4" t="n">
        <v>46304.62404242988</v>
      </c>
      <c r="F1128" t="b">
        <v>1</v>
      </c>
      <c r="G1128" t="n">
        <v/>
      </c>
      <c r="H1128" t="inlineStr">
        <is>
          <t>WRLD</t>
        </is>
      </c>
      <c r="I1128" t="inlineStr">
        <is>
          <t>Betashares Managed Risk Global Share Fund (Managed Fund)</t>
        </is>
      </c>
      <c r="J1128" t="inlineStr">
        <is>
          <t>AUD</t>
        </is>
      </c>
      <c r="K1128" s="5" t="inlineStr">
        <is>
          <t>01a1212c-4c04-75ce-bbb2-e3322e18816e</t>
        </is>
      </c>
      <c r="M1128" t="inlineStr">
        <is>
          <t>UNKNOWN</t>
        </is>
      </c>
      <c r="N1128" t="inlineStr">
        <is>
          <t>DEFAULT</t>
        </is>
      </c>
      <c r="Q1128" t="n">
        <v>0</v>
      </c>
      <c r="R1128" t="inlineStr">
        <is>
          <t>AUD</t>
        </is>
      </c>
      <c r="S1128" t="n">
        <v>0</v>
      </c>
      <c r="T1128" t="inlineStr">
        <is>
          <t>AUD</t>
        </is>
      </c>
      <c r="U1128" t="n">
        <v>0</v>
      </c>
    </row>
    <row r="1129">
      <c r="A1129" s="5" t="inlineStr">
        <is>
          <t>01a1212c-5a54-775f-9079-d74632e593e2</t>
        </is>
      </c>
      <c r="C1129" s="5" t="inlineStr">
        <is>
          <t>01a1212c-4b57-70cf-80fd-c2192cb3bf81</t>
        </is>
      </c>
      <c r="D1129" s="4" t="n">
        <v>46304.62404246072</v>
      </c>
      <c r="E1129" s="4" t="n">
        <v>46304.62404246079</v>
      </c>
      <c r="F1129" t="b">
        <v>1</v>
      </c>
      <c r="G1129" t="n">
        <v/>
      </c>
      <c r="H1129" t="inlineStr">
        <is>
          <t>DBF</t>
        </is>
      </c>
      <c r="I1129" t="inlineStr">
        <is>
          <t>Duxton Farms Ltd</t>
        </is>
      </c>
      <c r="J1129" t="inlineStr">
        <is>
          <t>AUD</t>
        </is>
      </c>
      <c r="K1129" s="5" t="inlineStr">
        <is>
          <t>01a1212c-4c04-75ce-bbb2-e3322e18816e</t>
        </is>
      </c>
      <c r="M1129" t="inlineStr">
        <is>
          <t>UNKNOWN</t>
        </is>
      </c>
      <c r="N1129" t="inlineStr">
        <is>
          <t>DEFAULT</t>
        </is>
      </c>
      <c r="Q1129" t="n">
        <v>0</v>
      </c>
      <c r="R1129" t="inlineStr">
        <is>
          <t>AUD</t>
        </is>
      </c>
      <c r="S1129" t="n">
        <v>0</v>
      </c>
      <c r="T1129" t="inlineStr">
        <is>
          <t>AUD</t>
        </is>
      </c>
      <c r="U1129" t="n">
        <v>0</v>
      </c>
    </row>
    <row r="1130">
      <c r="A1130" s="5" t="inlineStr">
        <is>
          <t>01a1212c-5a57-74b5-ac29-b0c68d010214</t>
        </is>
      </c>
      <c r="C1130" s="5" t="inlineStr">
        <is>
          <t>01a1212c-4b57-70cf-80fd-c2192cb3bf81</t>
        </is>
      </c>
      <c r="D1130" s="4" t="n">
        <v>46304.62404249341</v>
      </c>
      <c r="E1130" s="4" t="n">
        <v>46304.62404249348</v>
      </c>
      <c r="F1130" t="b">
        <v>1</v>
      </c>
      <c r="G1130" t="n">
        <v/>
      </c>
      <c r="H1130" t="inlineStr">
        <is>
          <t>PSC</t>
        </is>
      </c>
      <c r="I1130" t="inlineStr">
        <is>
          <t>Prospect Resources Ltd</t>
        </is>
      </c>
      <c r="J1130" t="inlineStr">
        <is>
          <t>AUD</t>
        </is>
      </c>
      <c r="K1130" s="5" t="inlineStr">
        <is>
          <t>01a1212c-4c04-75ce-bbb2-e3322e18816e</t>
        </is>
      </c>
      <c r="M1130" t="inlineStr">
        <is>
          <t>UNKNOWN</t>
        </is>
      </c>
      <c r="N1130" t="inlineStr">
        <is>
          <t>DEFAULT</t>
        </is>
      </c>
      <c r="Q1130" t="n">
        <v>0</v>
      </c>
      <c r="R1130" t="inlineStr">
        <is>
          <t>AUD</t>
        </is>
      </c>
      <c r="S1130" t="n">
        <v>0</v>
      </c>
      <c r="T1130" t="inlineStr">
        <is>
          <t>AUD</t>
        </is>
      </c>
      <c r="U1130" t="n">
        <v>0</v>
      </c>
    </row>
    <row r="1131">
      <c r="A1131" s="5" t="inlineStr">
        <is>
          <t>01a1212c-5a59-77b5-bdea-551fbb39899c</t>
        </is>
      </c>
      <c r="C1131" s="5" t="inlineStr">
        <is>
          <t>01a1212c-4b57-70cf-80fd-c2192cb3bf81</t>
        </is>
      </c>
      <c r="D1131" s="4" t="n">
        <v>46304.62404252367</v>
      </c>
      <c r="E1131" s="4" t="n">
        <v>46304.62404252375</v>
      </c>
      <c r="F1131" t="b">
        <v>1</v>
      </c>
      <c r="G1131" t="n">
        <v/>
      </c>
      <c r="H1131" t="inlineStr">
        <is>
          <t>SWF</t>
        </is>
      </c>
      <c r="I1131" t="inlineStr">
        <is>
          <t>Selfwealth Ltd</t>
        </is>
      </c>
      <c r="J1131" t="inlineStr">
        <is>
          <t>AUD</t>
        </is>
      </c>
      <c r="K1131" s="5" t="inlineStr">
        <is>
          <t>01a1212c-4c04-75ce-bbb2-e3322e18816e</t>
        </is>
      </c>
      <c r="M1131" t="inlineStr">
        <is>
          <t>UNKNOWN</t>
        </is>
      </c>
      <c r="N1131" t="inlineStr">
        <is>
          <t>DEFAULT</t>
        </is>
      </c>
      <c r="Q1131" t="n">
        <v>0</v>
      </c>
      <c r="R1131" t="inlineStr">
        <is>
          <t>AUD</t>
        </is>
      </c>
      <c r="S1131" t="n">
        <v>0</v>
      </c>
      <c r="T1131" t="inlineStr">
        <is>
          <t>AUD</t>
        </is>
      </c>
      <c r="U1131" t="n">
        <v>0</v>
      </c>
    </row>
    <row r="1132">
      <c r="A1132" s="5" t="inlineStr">
        <is>
          <t>01a1212c-5a5c-7023-a4dd-e3f3c6e44641</t>
        </is>
      </c>
      <c r="C1132" s="5" t="inlineStr">
        <is>
          <t>01a1212c-4b57-70cf-80fd-c2192cb3bf81</t>
        </is>
      </c>
      <c r="D1132" s="4" t="n">
        <v>46304.62404255437</v>
      </c>
      <c r="E1132" s="4" t="n">
        <v>46304.62404255445</v>
      </c>
      <c r="F1132" t="b">
        <v>1</v>
      </c>
      <c r="G1132" t="n">
        <v/>
      </c>
      <c r="H1132" t="inlineStr">
        <is>
          <t>MTH</t>
        </is>
      </c>
      <c r="I1132" t="inlineStr">
        <is>
          <t>Mithril Silver and Gold Ltd</t>
        </is>
      </c>
      <c r="J1132" t="inlineStr">
        <is>
          <t>AUD</t>
        </is>
      </c>
      <c r="K1132" s="5" t="inlineStr">
        <is>
          <t>01a1212c-4c04-75ce-bbb2-e3322e18816e</t>
        </is>
      </c>
      <c r="M1132" t="inlineStr">
        <is>
          <t>UNKNOWN</t>
        </is>
      </c>
      <c r="N1132" t="inlineStr">
        <is>
          <t>DEFAULT</t>
        </is>
      </c>
      <c r="Q1132" t="n">
        <v>0</v>
      </c>
      <c r="R1132" t="inlineStr">
        <is>
          <t>AUD</t>
        </is>
      </c>
      <c r="S1132" t="n">
        <v>0</v>
      </c>
      <c r="T1132" t="inlineStr">
        <is>
          <t>AUD</t>
        </is>
      </c>
      <c r="U1132" t="n">
        <v>0</v>
      </c>
    </row>
    <row r="1133">
      <c r="A1133" s="5" t="inlineStr">
        <is>
          <t>01a1212c-5a5f-7301-a0e9-7e1ec46ab08c</t>
        </is>
      </c>
      <c r="C1133" s="5" t="inlineStr">
        <is>
          <t>01a1212c-4b57-70cf-80fd-c2192cb3bf81</t>
        </is>
      </c>
      <c r="D1133" s="4" t="n">
        <v>46304.62404258485</v>
      </c>
      <c r="E1133" s="4" t="n">
        <v>46304.62404258493</v>
      </c>
      <c r="F1133" t="b">
        <v>1</v>
      </c>
      <c r="G1133" t="n">
        <v/>
      </c>
      <c r="H1133" t="inlineStr">
        <is>
          <t>E200</t>
        </is>
      </c>
      <c r="I1133" t="inlineStr">
        <is>
          <t>SPDR S&amp;P/ASX 200 Esg Fund</t>
        </is>
      </c>
      <c r="J1133" t="inlineStr">
        <is>
          <t>AUD</t>
        </is>
      </c>
      <c r="K1133" s="5" t="inlineStr">
        <is>
          <t>01a1212c-4c04-75ce-bbb2-e3322e18816e</t>
        </is>
      </c>
      <c r="M1133" t="inlineStr">
        <is>
          <t>UNKNOWN</t>
        </is>
      </c>
      <c r="N1133" t="inlineStr">
        <is>
          <t>DEFAULT</t>
        </is>
      </c>
      <c r="Q1133" t="n">
        <v>0</v>
      </c>
      <c r="R1133" t="inlineStr">
        <is>
          <t>AUD</t>
        </is>
      </c>
      <c r="S1133" t="n">
        <v>0</v>
      </c>
      <c r="T1133" t="inlineStr">
        <is>
          <t>AUD</t>
        </is>
      </c>
      <c r="U1133" t="n">
        <v>0</v>
      </c>
    </row>
    <row r="1134">
      <c r="A1134" s="5" t="inlineStr">
        <is>
          <t>01a1212c-5a62-71c8-bf78-1ffdade5da0a</t>
        </is>
      </c>
      <c r="C1134" s="5" t="inlineStr">
        <is>
          <t>01a1212c-4b57-70cf-80fd-c2192cb3bf81</t>
        </is>
      </c>
      <c r="D1134" s="4" t="n">
        <v>46304.62404261983</v>
      </c>
      <c r="E1134" s="4" t="n">
        <v>46304.62404261992</v>
      </c>
      <c r="F1134" t="b">
        <v>1</v>
      </c>
      <c r="G1134" t="n">
        <v/>
      </c>
      <c r="H1134" t="inlineStr">
        <is>
          <t>KGL</t>
        </is>
      </c>
      <c r="I1134" t="inlineStr">
        <is>
          <t>KGL Resources Ltd</t>
        </is>
      </c>
      <c r="J1134" t="inlineStr">
        <is>
          <t>AUD</t>
        </is>
      </c>
      <c r="K1134" s="5" t="inlineStr">
        <is>
          <t>01a1212c-4c04-75ce-bbb2-e3322e18816e</t>
        </is>
      </c>
      <c r="M1134" t="inlineStr">
        <is>
          <t>UNKNOWN</t>
        </is>
      </c>
      <c r="N1134" t="inlineStr">
        <is>
          <t>DEFAULT</t>
        </is>
      </c>
      <c r="Q1134" t="n">
        <v>0</v>
      </c>
      <c r="R1134" t="inlineStr">
        <is>
          <t>AUD</t>
        </is>
      </c>
      <c r="S1134" t="n">
        <v>0</v>
      </c>
      <c r="T1134" t="inlineStr">
        <is>
          <t>AUD</t>
        </is>
      </c>
      <c r="U1134" t="n">
        <v>0</v>
      </c>
    </row>
    <row r="1135">
      <c r="A1135" s="5" t="inlineStr">
        <is>
          <t>01a1212c-5a64-7488-a498-ffce7da6e517</t>
        </is>
      </c>
      <c r="C1135" s="5" t="inlineStr">
        <is>
          <t>01a1212c-4b57-70cf-80fd-c2192cb3bf81</t>
        </is>
      </c>
      <c r="D1135" s="4" t="n">
        <v>46304.62404265161</v>
      </c>
      <c r="E1135" s="4" t="n">
        <v>46304.62404265168</v>
      </c>
      <c r="F1135" t="b">
        <v>1</v>
      </c>
      <c r="G1135" t="n">
        <v/>
      </c>
      <c r="H1135" t="inlineStr">
        <is>
          <t>FAR</t>
        </is>
      </c>
      <c r="I1135" t="inlineStr">
        <is>
          <t>FAR Ltd</t>
        </is>
      </c>
      <c r="J1135" t="inlineStr">
        <is>
          <t>AUD</t>
        </is>
      </c>
      <c r="K1135" s="5" t="inlineStr">
        <is>
          <t>01a1212c-4c04-75ce-bbb2-e3322e18816e</t>
        </is>
      </c>
      <c r="M1135" t="inlineStr">
        <is>
          <t>UNKNOWN</t>
        </is>
      </c>
      <c r="N1135" t="inlineStr">
        <is>
          <t>DEFAULT</t>
        </is>
      </c>
      <c r="Q1135" t="n">
        <v>0</v>
      </c>
      <c r="R1135" t="inlineStr">
        <is>
          <t>AUD</t>
        </is>
      </c>
      <c r="S1135" t="n">
        <v>0</v>
      </c>
      <c r="T1135" t="inlineStr">
        <is>
          <t>AUD</t>
        </is>
      </c>
      <c r="U1135" t="n">
        <v>0</v>
      </c>
    </row>
    <row r="1136">
      <c r="A1136" s="5" t="inlineStr">
        <is>
          <t>01a1212c-5a67-7469-ad32-65290524680c</t>
        </is>
      </c>
      <c r="C1136" s="5" t="inlineStr">
        <is>
          <t>01a1212c-4b57-70cf-80fd-c2192cb3bf81</t>
        </is>
      </c>
      <c r="D1136" s="4" t="n">
        <v>46304.6240426829</v>
      </c>
      <c r="E1136" s="4" t="n">
        <v>46304.624042683</v>
      </c>
      <c r="F1136" t="b">
        <v>1</v>
      </c>
      <c r="G1136" t="n">
        <v/>
      </c>
      <c r="H1136" t="inlineStr">
        <is>
          <t>FSI</t>
        </is>
      </c>
      <c r="I1136" t="inlineStr">
        <is>
          <t>Flagship Investments Ltd</t>
        </is>
      </c>
      <c r="J1136" t="inlineStr">
        <is>
          <t>AUD</t>
        </is>
      </c>
      <c r="K1136" s="5" t="inlineStr">
        <is>
          <t>01a1212c-4c04-75ce-bbb2-e3322e18816e</t>
        </is>
      </c>
      <c r="M1136" t="inlineStr">
        <is>
          <t>UNKNOWN</t>
        </is>
      </c>
      <c r="N1136" t="inlineStr">
        <is>
          <t>DEFAULT</t>
        </is>
      </c>
      <c r="Q1136" t="n">
        <v>0</v>
      </c>
      <c r="R1136" t="inlineStr">
        <is>
          <t>AUD</t>
        </is>
      </c>
      <c r="S1136" t="n">
        <v>0</v>
      </c>
      <c r="T1136" t="inlineStr">
        <is>
          <t>AUD</t>
        </is>
      </c>
      <c r="U1136" t="n">
        <v>0</v>
      </c>
    </row>
    <row r="1137">
      <c r="A1137" s="5" t="inlineStr">
        <is>
          <t>01a1212c-5a6a-7672-90c1-7f73d9eadf7c</t>
        </is>
      </c>
      <c r="C1137" s="5" t="inlineStr">
        <is>
          <t>01a1212c-4b57-70cf-80fd-c2192cb3bf81</t>
        </is>
      </c>
      <c r="D1137" s="4" t="n">
        <v>46304.6240427142</v>
      </c>
      <c r="E1137" s="4" t="n">
        <v>46304.62404271428</v>
      </c>
      <c r="F1137" t="b">
        <v>1</v>
      </c>
      <c r="G1137" t="n">
        <v/>
      </c>
      <c r="H1137" t="inlineStr">
        <is>
          <t>GPEQ</t>
        </is>
      </c>
      <c r="I1137" t="inlineStr">
        <is>
          <t>Vaneck Global Listed Private Equity ETF</t>
        </is>
      </c>
      <c r="J1137" t="inlineStr">
        <is>
          <t>AUD</t>
        </is>
      </c>
      <c r="K1137" s="5" t="inlineStr">
        <is>
          <t>01a1212c-4c04-75ce-bbb2-e3322e18816e</t>
        </is>
      </c>
      <c r="M1137" t="inlineStr">
        <is>
          <t>UNKNOWN</t>
        </is>
      </c>
      <c r="N1137" t="inlineStr">
        <is>
          <t>DEFAULT</t>
        </is>
      </c>
      <c r="Q1137" t="n">
        <v>0</v>
      </c>
      <c r="R1137" t="inlineStr">
        <is>
          <t>AUD</t>
        </is>
      </c>
      <c r="S1137" t="n">
        <v>0</v>
      </c>
      <c r="T1137" t="inlineStr">
        <is>
          <t>AUD</t>
        </is>
      </c>
      <c r="U1137" t="n">
        <v>0</v>
      </c>
    </row>
    <row r="1138">
      <c r="A1138" s="5" t="inlineStr">
        <is>
          <t>01a1212c-5a6d-72ab-8f5a-3706be27d796</t>
        </is>
      </c>
      <c r="C1138" s="5" t="inlineStr">
        <is>
          <t>01a1212c-4b57-70cf-80fd-c2192cb3bf81</t>
        </is>
      </c>
      <c r="D1138" s="4" t="n">
        <v>46304.62404274676</v>
      </c>
      <c r="E1138" s="4" t="n">
        <v>46304.62404274685</v>
      </c>
      <c r="F1138" t="b">
        <v>1</v>
      </c>
      <c r="G1138" t="n">
        <v/>
      </c>
      <c r="H1138" t="inlineStr">
        <is>
          <t>AZL</t>
        </is>
      </c>
      <c r="I1138" t="inlineStr">
        <is>
          <t>Arizona Lithium Ltd</t>
        </is>
      </c>
      <c r="J1138" t="inlineStr">
        <is>
          <t>AUD</t>
        </is>
      </c>
      <c r="K1138" s="5" t="inlineStr">
        <is>
          <t>01a1212c-4c04-75ce-bbb2-e3322e18816e</t>
        </is>
      </c>
      <c r="M1138" t="inlineStr">
        <is>
          <t>UNKNOWN</t>
        </is>
      </c>
      <c r="N1138" t="inlineStr">
        <is>
          <t>DEFAULT</t>
        </is>
      </c>
      <c r="Q1138" t="n">
        <v>0</v>
      </c>
      <c r="R1138" t="inlineStr">
        <is>
          <t>AUD</t>
        </is>
      </c>
      <c r="S1138" t="n">
        <v>0</v>
      </c>
      <c r="T1138" t="inlineStr">
        <is>
          <t>AUD</t>
        </is>
      </c>
      <c r="U1138" t="n">
        <v>0</v>
      </c>
    </row>
    <row r="1139">
      <c r="A1139" s="5" t="inlineStr">
        <is>
          <t>01a1212c-5a70-74e0-9af7-6631d0ac76b7</t>
        </is>
      </c>
      <c r="C1139" s="5" t="inlineStr">
        <is>
          <t>01a1212c-4b57-70cf-80fd-c2192cb3bf81</t>
        </is>
      </c>
      <c r="D1139" s="4" t="n">
        <v>46304.6240427817</v>
      </c>
      <c r="E1139" s="4" t="n">
        <v>46304.62404278185</v>
      </c>
      <c r="F1139" t="b">
        <v>1</v>
      </c>
      <c r="G1139" t="n">
        <v/>
      </c>
      <c r="H1139" t="inlineStr">
        <is>
          <t>PFG</t>
        </is>
      </c>
      <c r="I1139" t="inlineStr">
        <is>
          <t>Prime Financial Group Ltd</t>
        </is>
      </c>
      <c r="J1139" t="inlineStr">
        <is>
          <t>AUD</t>
        </is>
      </c>
      <c r="K1139" s="5" t="inlineStr">
        <is>
          <t>01a1212c-4c04-75ce-bbb2-e3322e18816e</t>
        </is>
      </c>
      <c r="M1139" t="inlineStr">
        <is>
          <t>UNKNOWN</t>
        </is>
      </c>
      <c r="N1139" t="inlineStr">
        <is>
          <t>DEFAULT</t>
        </is>
      </c>
      <c r="Q1139" t="n">
        <v>0</v>
      </c>
      <c r="R1139" t="inlineStr">
        <is>
          <t>AUD</t>
        </is>
      </c>
      <c r="S1139" t="n">
        <v>0</v>
      </c>
      <c r="T1139" t="inlineStr">
        <is>
          <t>AUD</t>
        </is>
      </c>
      <c r="U1139" t="n">
        <v>0</v>
      </c>
    </row>
    <row r="1140">
      <c r="A1140" s="5" t="inlineStr">
        <is>
          <t>01a1212c-5a73-723e-8bbc-bfdcfbec6956</t>
        </is>
      </c>
      <c r="C1140" s="5" t="inlineStr">
        <is>
          <t>01a1212c-4b57-70cf-80fd-c2192cb3bf81</t>
        </is>
      </c>
      <c r="D1140" s="4" t="n">
        <v>46304.62404281611</v>
      </c>
      <c r="E1140" s="4" t="n">
        <v>46304.62404281621</v>
      </c>
      <c r="F1140" t="b">
        <v>1</v>
      </c>
      <c r="G1140" t="n">
        <v/>
      </c>
      <c r="H1140" t="inlineStr">
        <is>
          <t>BTXX</t>
        </is>
      </c>
      <c r="I1140" t="inlineStr">
        <is>
          <t>Digitalx Bitcoin ETF</t>
        </is>
      </c>
      <c r="J1140" t="inlineStr">
        <is>
          <t>AUD</t>
        </is>
      </c>
      <c r="K1140" s="5" t="inlineStr">
        <is>
          <t>01a1212c-4c04-75ce-bbb2-e3322e18816e</t>
        </is>
      </c>
      <c r="M1140" t="inlineStr">
        <is>
          <t>UNKNOWN</t>
        </is>
      </c>
      <c r="N1140" t="inlineStr">
        <is>
          <t>DEFAULT</t>
        </is>
      </c>
      <c r="Q1140" t="n">
        <v>0</v>
      </c>
      <c r="R1140" t="inlineStr">
        <is>
          <t>AUD</t>
        </is>
      </c>
      <c r="S1140" t="n">
        <v>0</v>
      </c>
      <c r="T1140" t="inlineStr">
        <is>
          <t>AUD</t>
        </is>
      </c>
      <c r="U1140" t="n">
        <v>0</v>
      </c>
    </row>
    <row r="1141">
      <c r="A1141" s="5" t="inlineStr">
        <is>
          <t>01a1212c-5a76-7166-a378-aca49f8d7b27</t>
        </is>
      </c>
      <c r="C1141" s="5" t="inlineStr">
        <is>
          <t>01a1212c-4b57-70cf-80fd-c2192cb3bf81</t>
        </is>
      </c>
      <c r="D1141" s="4" t="n">
        <v>46304.62404284869</v>
      </c>
      <c r="E1141" s="4" t="n">
        <v>46304.62404284879</v>
      </c>
      <c r="F1141" t="b">
        <v>1</v>
      </c>
      <c r="G1141" t="n">
        <v/>
      </c>
      <c r="H1141" t="inlineStr">
        <is>
          <t>BOL</t>
        </is>
      </c>
      <c r="I1141" t="inlineStr">
        <is>
          <t>Boom Logistics Ltd</t>
        </is>
      </c>
      <c r="J1141" t="inlineStr">
        <is>
          <t>AUD</t>
        </is>
      </c>
      <c r="K1141" s="5" t="inlineStr">
        <is>
          <t>01a1212c-4c04-75ce-bbb2-e3322e18816e</t>
        </is>
      </c>
      <c r="M1141" t="inlineStr">
        <is>
          <t>UNKNOWN</t>
        </is>
      </c>
      <c r="N1141" t="inlineStr">
        <is>
          <t>DEFAULT</t>
        </is>
      </c>
      <c r="Q1141" t="n">
        <v>0</v>
      </c>
      <c r="R1141" t="inlineStr">
        <is>
          <t>AUD</t>
        </is>
      </c>
      <c r="S1141" t="n">
        <v>0</v>
      </c>
      <c r="T1141" t="inlineStr">
        <is>
          <t>AUD</t>
        </is>
      </c>
      <c r="U1141" t="n">
        <v>0</v>
      </c>
    </row>
    <row r="1142">
      <c r="A1142" s="5" t="inlineStr">
        <is>
          <t>01a1212c-5a78-770d-90a2-125d16b8b3fe</t>
        </is>
      </c>
      <c r="C1142" s="5" t="inlineStr">
        <is>
          <t>01a1212c-4b57-70cf-80fd-c2192cb3bf81</t>
        </is>
      </c>
      <c r="D1142" s="4" t="n">
        <v>46304.62404288037</v>
      </c>
      <c r="E1142" s="4" t="n">
        <v>46304.62404288046</v>
      </c>
      <c r="F1142" t="b">
        <v>1</v>
      </c>
      <c r="G1142" t="n">
        <v/>
      </c>
      <c r="H1142" t="inlineStr">
        <is>
          <t>LSGE</t>
        </is>
      </c>
      <c r="I1142" t="inlineStr">
        <is>
          <t>Loomis Sayles Global Equity Fund - Active ETF</t>
        </is>
      </c>
      <c r="J1142" t="inlineStr">
        <is>
          <t>AUD</t>
        </is>
      </c>
      <c r="K1142" s="5" t="inlineStr">
        <is>
          <t>01a1212c-4c04-75ce-bbb2-e3322e18816e</t>
        </is>
      </c>
      <c r="M1142" t="inlineStr">
        <is>
          <t>UNKNOWN</t>
        </is>
      </c>
      <c r="N1142" t="inlineStr">
        <is>
          <t>DEFAULT</t>
        </is>
      </c>
      <c r="Q1142" t="n">
        <v>0</v>
      </c>
      <c r="R1142" t="inlineStr">
        <is>
          <t>AUD</t>
        </is>
      </c>
      <c r="S1142" t="n">
        <v>0</v>
      </c>
      <c r="T1142" t="inlineStr">
        <is>
          <t>AUD</t>
        </is>
      </c>
      <c r="U1142" t="n">
        <v>0</v>
      </c>
    </row>
    <row r="1143">
      <c r="A1143" s="5" t="inlineStr">
        <is>
          <t>01a1212c-5a7b-77f8-a490-6fae186fe590</t>
        </is>
      </c>
      <c r="C1143" s="5" t="inlineStr">
        <is>
          <t>01a1212c-4b57-70cf-80fd-c2192cb3bf81</t>
        </is>
      </c>
      <c r="D1143" s="4" t="n">
        <v>46304.624042914</v>
      </c>
      <c r="E1143" s="4" t="n">
        <v>46304.62404291409</v>
      </c>
      <c r="F1143" t="b">
        <v>1</v>
      </c>
      <c r="G1143" t="n">
        <v/>
      </c>
      <c r="H1143" t="inlineStr">
        <is>
          <t>AQC</t>
        </is>
      </c>
      <c r="I1143" t="inlineStr">
        <is>
          <t>Australian Pacific Coal Ltd</t>
        </is>
      </c>
      <c r="J1143" t="inlineStr">
        <is>
          <t>AUD</t>
        </is>
      </c>
      <c r="K1143" s="5" t="inlineStr">
        <is>
          <t>01a1212c-4c04-75ce-bbb2-e3322e18816e</t>
        </is>
      </c>
      <c r="M1143" t="inlineStr">
        <is>
          <t>UNKNOWN</t>
        </is>
      </c>
      <c r="N1143" t="inlineStr">
        <is>
          <t>DEFAULT</t>
        </is>
      </c>
      <c r="Q1143" t="n">
        <v>0</v>
      </c>
      <c r="R1143" t="inlineStr">
        <is>
          <t>AUD</t>
        </is>
      </c>
      <c r="S1143" t="n">
        <v>0</v>
      </c>
      <c r="T1143" t="inlineStr">
        <is>
          <t>AUD</t>
        </is>
      </c>
      <c r="U1143" t="n">
        <v>0</v>
      </c>
    </row>
    <row r="1144">
      <c r="A1144" s="5" t="inlineStr">
        <is>
          <t>01a1212c-5a7e-7535-af21-8803cd40423f</t>
        </is>
      </c>
      <c r="C1144" s="5" t="inlineStr">
        <is>
          <t>01a1212c-4b57-70cf-80fd-c2192cb3bf81</t>
        </is>
      </c>
      <c r="D1144" s="4" t="n">
        <v>46304.62404294527</v>
      </c>
      <c r="E1144" s="4" t="n">
        <v>46304.62404294534</v>
      </c>
      <c r="F1144" t="b">
        <v>1</v>
      </c>
      <c r="G1144" t="n">
        <v/>
      </c>
      <c r="H1144" t="inlineStr">
        <is>
          <t>GL1</t>
        </is>
      </c>
      <c r="I1144" t="inlineStr">
        <is>
          <t>Global Lithium Resources Ltd</t>
        </is>
      </c>
      <c r="J1144" t="inlineStr">
        <is>
          <t>AUD</t>
        </is>
      </c>
      <c r="K1144" s="5" t="inlineStr">
        <is>
          <t>01a1212c-4c04-75ce-bbb2-e3322e18816e</t>
        </is>
      </c>
      <c r="M1144" t="inlineStr">
        <is>
          <t>UNKNOWN</t>
        </is>
      </c>
      <c r="N1144" t="inlineStr">
        <is>
          <t>DEFAULT</t>
        </is>
      </c>
      <c r="Q1144" t="n">
        <v>0</v>
      </c>
      <c r="R1144" t="inlineStr">
        <is>
          <t>AUD</t>
        </is>
      </c>
      <c r="S1144" t="n">
        <v>0</v>
      </c>
      <c r="T1144" t="inlineStr">
        <is>
          <t>AUD</t>
        </is>
      </c>
      <c r="U1144" t="n">
        <v>0</v>
      </c>
    </row>
    <row r="1145">
      <c r="A1145" s="5" t="inlineStr">
        <is>
          <t>01a1212c-5a81-71e3-92db-c903f0671006</t>
        </is>
      </c>
      <c r="C1145" s="5" t="inlineStr">
        <is>
          <t>01a1212c-4b57-70cf-80fd-c2192cb3bf81</t>
        </is>
      </c>
      <c r="D1145" s="4" t="n">
        <v>46304.62404297661</v>
      </c>
      <c r="E1145" s="4" t="n">
        <v>46304.62404297669</v>
      </c>
      <c r="F1145" t="b">
        <v>1</v>
      </c>
      <c r="G1145" t="n">
        <v/>
      </c>
      <c r="H1145" t="inlineStr">
        <is>
          <t>GOVT</t>
        </is>
      </c>
      <c r="I1145" t="inlineStr">
        <is>
          <t>SPDR S&amp;P/ASX Australian Government Bond Fund</t>
        </is>
      </c>
      <c r="J1145" t="inlineStr">
        <is>
          <t>AUD</t>
        </is>
      </c>
      <c r="K1145" s="5" t="inlineStr">
        <is>
          <t>01a1212c-4c04-75ce-bbb2-e3322e18816e</t>
        </is>
      </c>
      <c r="M1145" t="inlineStr">
        <is>
          <t>UNKNOWN</t>
        </is>
      </c>
      <c r="N1145" t="inlineStr">
        <is>
          <t>DEFAULT</t>
        </is>
      </c>
      <c r="Q1145" t="n">
        <v>0</v>
      </c>
      <c r="R1145" t="inlineStr">
        <is>
          <t>AUD</t>
        </is>
      </c>
      <c r="S1145" t="n">
        <v>0</v>
      </c>
      <c r="T1145" t="inlineStr">
        <is>
          <t>AUD</t>
        </is>
      </c>
      <c r="U1145" t="n">
        <v>0</v>
      </c>
    </row>
    <row r="1146">
      <c r="A1146" s="5" t="inlineStr">
        <is>
          <t>01a1212c-5a83-7504-8676-ada86322b8e8</t>
        </is>
      </c>
      <c r="C1146" s="5" t="inlineStr">
        <is>
          <t>01a1212c-4b57-70cf-80fd-c2192cb3bf81</t>
        </is>
      </c>
      <c r="D1146" s="4" t="n">
        <v>46304.62404300761</v>
      </c>
      <c r="E1146" s="4" t="n">
        <v>46304.62404300767</v>
      </c>
      <c r="F1146" t="b">
        <v>1</v>
      </c>
      <c r="G1146" t="n">
        <v/>
      </c>
      <c r="H1146" t="inlineStr">
        <is>
          <t>MNB</t>
        </is>
      </c>
      <c r="I1146" t="inlineStr">
        <is>
          <t>Minbos Resources Ltd</t>
        </is>
      </c>
      <c r="J1146" t="inlineStr">
        <is>
          <t>AUD</t>
        </is>
      </c>
      <c r="K1146" s="5" t="inlineStr">
        <is>
          <t>01a1212c-4c04-75ce-bbb2-e3322e18816e</t>
        </is>
      </c>
      <c r="M1146" t="inlineStr">
        <is>
          <t>UNKNOWN</t>
        </is>
      </c>
      <c r="N1146" t="inlineStr">
        <is>
          <t>DEFAULT</t>
        </is>
      </c>
      <c r="Q1146" t="n">
        <v>0</v>
      </c>
      <c r="R1146" t="inlineStr">
        <is>
          <t>AUD</t>
        </is>
      </c>
      <c r="S1146" t="n">
        <v>0</v>
      </c>
      <c r="T1146" t="inlineStr">
        <is>
          <t>AUD</t>
        </is>
      </c>
      <c r="U1146" t="n">
        <v>0</v>
      </c>
    </row>
    <row r="1147">
      <c r="A1147" s="5" t="inlineStr">
        <is>
          <t>01a1212c-5a86-71c7-b217-7b583e114df9</t>
        </is>
      </c>
      <c r="C1147" s="5" t="inlineStr">
        <is>
          <t>01a1212c-4b57-70cf-80fd-c2192cb3bf81</t>
        </is>
      </c>
      <c r="D1147" s="4" t="n">
        <v>46304.62404303819</v>
      </c>
      <c r="E1147" s="4" t="n">
        <v>46304.62404303827</v>
      </c>
      <c r="F1147" t="b">
        <v>1</v>
      </c>
      <c r="G1147" t="n">
        <v/>
      </c>
      <c r="H1147" t="inlineStr">
        <is>
          <t>DHOF</t>
        </is>
      </c>
      <c r="I1147" t="inlineStr">
        <is>
          <t>Daintree HYBRID Opportunities Fund (Managed Fund)</t>
        </is>
      </c>
      <c r="J1147" t="inlineStr">
        <is>
          <t>AUD</t>
        </is>
      </c>
      <c r="K1147" s="5" t="inlineStr">
        <is>
          <t>01a1212c-4c04-75ce-bbb2-e3322e18816e</t>
        </is>
      </c>
      <c r="M1147" t="inlineStr">
        <is>
          <t>UNKNOWN</t>
        </is>
      </c>
      <c r="N1147" t="inlineStr">
        <is>
          <t>DEFAULT</t>
        </is>
      </c>
      <c r="Q1147" t="n">
        <v>0</v>
      </c>
      <c r="R1147" t="inlineStr">
        <is>
          <t>AUD</t>
        </is>
      </c>
      <c r="S1147" t="n">
        <v>0</v>
      </c>
      <c r="T1147" t="inlineStr">
        <is>
          <t>AUD</t>
        </is>
      </c>
      <c r="U1147" t="n">
        <v>0</v>
      </c>
    </row>
    <row r="1148">
      <c r="A1148" s="5" t="inlineStr">
        <is>
          <t>01a1212c-5a89-719d-ade8-6157cdd6e0a3</t>
        </is>
      </c>
      <c r="C1148" s="5" t="inlineStr">
        <is>
          <t>01a1212c-4b57-70cf-80fd-c2192cb3bf81</t>
        </is>
      </c>
      <c r="D1148" s="4" t="n">
        <v>46304.62404307115</v>
      </c>
      <c r="E1148" s="4" t="n">
        <v>46304.62404307123</v>
      </c>
      <c r="F1148" t="b">
        <v>1</v>
      </c>
      <c r="G1148" t="n">
        <v/>
      </c>
      <c r="H1148" t="inlineStr">
        <is>
          <t>AMN</t>
        </is>
      </c>
      <c r="I1148" t="inlineStr">
        <is>
          <t>Agrimin Ltd</t>
        </is>
      </c>
      <c r="J1148" t="inlineStr">
        <is>
          <t>AUD</t>
        </is>
      </c>
      <c r="K1148" s="5" t="inlineStr">
        <is>
          <t>01a1212c-4c04-75ce-bbb2-e3322e18816e</t>
        </is>
      </c>
      <c r="M1148" t="inlineStr">
        <is>
          <t>UNKNOWN</t>
        </is>
      </c>
      <c r="N1148" t="inlineStr">
        <is>
          <t>DEFAULT</t>
        </is>
      </c>
      <c r="Q1148" t="n">
        <v>0</v>
      </c>
      <c r="R1148" t="inlineStr">
        <is>
          <t>AUD</t>
        </is>
      </c>
      <c r="S1148" t="n">
        <v>0</v>
      </c>
      <c r="T1148" t="inlineStr">
        <is>
          <t>AUD</t>
        </is>
      </c>
      <c r="U1148" t="n">
        <v>0</v>
      </c>
    </row>
    <row r="1149">
      <c r="A1149" s="5" t="inlineStr">
        <is>
          <t>01a1212c-5a8b-75ec-98cb-9f21e637703e</t>
        </is>
      </c>
      <c r="C1149" s="5" t="inlineStr">
        <is>
          <t>01a1212c-4b57-70cf-80fd-c2192cb3bf81</t>
        </is>
      </c>
      <c r="D1149" s="4" t="n">
        <v>46304.62404310198</v>
      </c>
      <c r="E1149" s="4" t="n">
        <v>46304.62404310205</v>
      </c>
      <c r="F1149" t="b">
        <v>1</v>
      </c>
      <c r="G1149" t="n">
        <v/>
      </c>
      <c r="H1149" t="inlineStr">
        <is>
          <t>IIQ</t>
        </is>
      </c>
      <c r="I1149" t="inlineStr">
        <is>
          <t>Inoviq Ltd</t>
        </is>
      </c>
      <c r="J1149" t="inlineStr">
        <is>
          <t>AUD</t>
        </is>
      </c>
      <c r="K1149" s="5" t="inlineStr">
        <is>
          <t>01a1212c-4c04-75ce-bbb2-e3322e18816e</t>
        </is>
      </c>
      <c r="M1149" t="inlineStr">
        <is>
          <t>UNKNOWN</t>
        </is>
      </c>
      <c r="N1149" t="inlineStr">
        <is>
          <t>DEFAULT</t>
        </is>
      </c>
      <c r="Q1149" t="n">
        <v>0</v>
      </c>
      <c r="R1149" t="inlineStr">
        <is>
          <t>AUD</t>
        </is>
      </c>
      <c r="S1149" t="n">
        <v>0</v>
      </c>
      <c r="T1149" t="inlineStr">
        <is>
          <t>AUD</t>
        </is>
      </c>
      <c r="U1149" t="n">
        <v>0</v>
      </c>
    </row>
    <row r="1150">
      <c r="A1150" s="5" t="inlineStr">
        <is>
          <t>01a1212c-5a8e-70a6-b9e0-5ad1105a9f02</t>
        </is>
      </c>
      <c r="C1150" s="5" t="inlineStr">
        <is>
          <t>01a1212c-4b57-70cf-80fd-c2192cb3bf81</t>
        </is>
      </c>
      <c r="D1150" s="4" t="n">
        <v>46304.62404313258</v>
      </c>
      <c r="E1150" s="4" t="n">
        <v>46304.62404313265</v>
      </c>
      <c r="F1150" t="b">
        <v>1</v>
      </c>
      <c r="G1150" t="n">
        <v/>
      </c>
      <c r="H1150" t="inlineStr">
        <is>
          <t>ERM</t>
        </is>
      </c>
      <c r="I1150" t="inlineStr">
        <is>
          <t>Emmerson Resources Ltd</t>
        </is>
      </c>
      <c r="J1150" t="inlineStr">
        <is>
          <t>AUD</t>
        </is>
      </c>
      <c r="K1150" s="5" t="inlineStr">
        <is>
          <t>01a1212c-4c04-75ce-bbb2-e3322e18816e</t>
        </is>
      </c>
      <c r="M1150" t="inlineStr">
        <is>
          <t>UNKNOWN</t>
        </is>
      </c>
      <c r="N1150" t="inlineStr">
        <is>
          <t>DEFAULT</t>
        </is>
      </c>
      <c r="Q1150" t="n">
        <v>0</v>
      </c>
      <c r="R1150" t="inlineStr">
        <is>
          <t>AUD</t>
        </is>
      </c>
      <c r="S1150" t="n">
        <v>0</v>
      </c>
      <c r="T1150" t="inlineStr">
        <is>
          <t>AUD</t>
        </is>
      </c>
      <c r="U1150" t="n">
        <v>0</v>
      </c>
    </row>
    <row r="1151">
      <c r="A1151" s="5" t="inlineStr">
        <is>
          <t>01a1212c-5a91-7163-91bd-913ec786def0</t>
        </is>
      </c>
      <c r="C1151" s="5" t="inlineStr">
        <is>
          <t>01a1212c-4b57-70cf-80fd-c2192cb3bf81</t>
        </is>
      </c>
      <c r="D1151" s="4" t="n">
        <v>46304.62404316603</v>
      </c>
      <c r="E1151" s="4" t="n">
        <v>46304.62404316611</v>
      </c>
      <c r="F1151" t="b">
        <v>1</v>
      </c>
      <c r="G1151" t="n">
        <v/>
      </c>
      <c r="H1151" t="inlineStr">
        <is>
          <t>CDX</t>
        </is>
      </c>
      <c r="I1151" t="inlineStr">
        <is>
          <t>Cardiex Ltd</t>
        </is>
      </c>
      <c r="J1151" t="inlineStr">
        <is>
          <t>AUD</t>
        </is>
      </c>
      <c r="K1151" s="5" t="inlineStr">
        <is>
          <t>01a1212c-4c04-75ce-bbb2-e3322e18816e</t>
        </is>
      </c>
      <c r="M1151" t="inlineStr">
        <is>
          <t>UNKNOWN</t>
        </is>
      </c>
      <c r="N1151" t="inlineStr">
        <is>
          <t>DEFAULT</t>
        </is>
      </c>
      <c r="Q1151" t="n">
        <v>0</v>
      </c>
      <c r="R1151" t="inlineStr">
        <is>
          <t>AUD</t>
        </is>
      </c>
      <c r="S1151" t="n">
        <v>0</v>
      </c>
      <c r="T1151" t="inlineStr">
        <is>
          <t>AUD</t>
        </is>
      </c>
      <c r="U1151" t="n">
        <v>0</v>
      </c>
    </row>
    <row r="1152">
      <c r="A1152" s="5" t="inlineStr">
        <is>
          <t>01a1212c-5a94-76dc-ada9-53ec893299cb</t>
        </is>
      </c>
      <c r="C1152" s="5" t="inlineStr">
        <is>
          <t>01a1212c-4b57-70cf-80fd-c2192cb3bf81</t>
        </is>
      </c>
      <c r="D1152" s="4" t="n">
        <v>46304.62404319691</v>
      </c>
      <c r="E1152" s="4" t="n">
        <v>46304.62404319698</v>
      </c>
      <c r="F1152" t="b">
        <v>1</v>
      </c>
      <c r="G1152" t="n">
        <v/>
      </c>
      <c r="H1152" t="inlineStr">
        <is>
          <t>NOU</t>
        </is>
      </c>
      <c r="I1152" t="inlineStr">
        <is>
          <t>Noumi Ltd</t>
        </is>
      </c>
      <c r="J1152" t="inlineStr">
        <is>
          <t>AUD</t>
        </is>
      </c>
      <c r="K1152" s="5" t="inlineStr">
        <is>
          <t>01a1212c-4c04-75ce-bbb2-e3322e18816e</t>
        </is>
      </c>
      <c r="M1152" t="inlineStr">
        <is>
          <t>UNKNOWN</t>
        </is>
      </c>
      <c r="N1152" t="inlineStr">
        <is>
          <t>DEFAULT</t>
        </is>
      </c>
      <c r="Q1152" t="n">
        <v>0</v>
      </c>
      <c r="R1152" t="inlineStr">
        <is>
          <t>AUD</t>
        </is>
      </c>
      <c r="S1152" t="n">
        <v>0</v>
      </c>
      <c r="T1152" t="inlineStr">
        <is>
          <t>AUD</t>
        </is>
      </c>
      <c r="U1152" t="n">
        <v>0</v>
      </c>
    </row>
    <row r="1153">
      <c r="A1153" s="5" t="inlineStr">
        <is>
          <t>01a1212c-5a96-7263-96ed-2ba663a15ed3</t>
        </is>
      </c>
      <c r="C1153" s="5" t="inlineStr">
        <is>
          <t>01a1212c-4b57-70cf-80fd-c2192cb3bf81</t>
        </is>
      </c>
      <c r="D1153" s="4" t="n">
        <v>46304.62404322972</v>
      </c>
      <c r="E1153" s="4" t="n">
        <v>46304.6240432298</v>
      </c>
      <c r="F1153" t="b">
        <v>1</v>
      </c>
      <c r="G1153" t="n">
        <v/>
      </c>
      <c r="H1153" t="inlineStr">
        <is>
          <t>AHF</t>
        </is>
      </c>
      <c r="I1153" t="inlineStr">
        <is>
          <t>Australian Dairy Nutritionals Ltd</t>
        </is>
      </c>
      <c r="J1153" t="inlineStr">
        <is>
          <t>AUD</t>
        </is>
      </c>
      <c r="K1153" s="5" t="inlineStr">
        <is>
          <t>01a1212c-4c04-75ce-bbb2-e3322e18816e</t>
        </is>
      </c>
      <c r="M1153" t="inlineStr">
        <is>
          <t>UNKNOWN</t>
        </is>
      </c>
      <c r="N1153" t="inlineStr">
        <is>
          <t>DEFAULT</t>
        </is>
      </c>
      <c r="Q1153" t="n">
        <v>0</v>
      </c>
      <c r="R1153" t="inlineStr">
        <is>
          <t>AUD</t>
        </is>
      </c>
      <c r="S1153" t="n">
        <v>0</v>
      </c>
      <c r="T1153" t="inlineStr">
        <is>
          <t>AUD</t>
        </is>
      </c>
      <c r="U1153" t="n">
        <v>0</v>
      </c>
    </row>
    <row r="1154">
      <c r="A1154" s="5" t="inlineStr">
        <is>
          <t>01a1212c-5a99-717e-bf9a-6ffa0ba82006</t>
        </is>
      </c>
      <c r="C1154" s="5" t="inlineStr">
        <is>
          <t>01a1212c-4b57-70cf-80fd-c2192cb3bf81</t>
        </is>
      </c>
      <c r="D1154" s="4" t="n">
        <v>46304.62404326051</v>
      </c>
      <c r="E1154" s="4" t="n">
        <v>46304.62404326058</v>
      </c>
      <c r="F1154" t="b">
        <v>1</v>
      </c>
      <c r="G1154" t="n">
        <v/>
      </c>
      <c r="H1154" t="inlineStr">
        <is>
          <t>MX1</t>
        </is>
      </c>
      <c r="I1154" t="inlineStr">
        <is>
          <t>Micro-X Ltd</t>
        </is>
      </c>
      <c r="J1154" t="inlineStr">
        <is>
          <t>AUD</t>
        </is>
      </c>
      <c r="K1154" s="5" t="inlineStr">
        <is>
          <t>01a1212c-4c04-75ce-bbb2-e3322e18816e</t>
        </is>
      </c>
      <c r="M1154" t="inlineStr">
        <is>
          <t>UNKNOWN</t>
        </is>
      </c>
      <c r="N1154" t="inlineStr">
        <is>
          <t>DEFAULT</t>
        </is>
      </c>
      <c r="Q1154" t="n">
        <v>0</v>
      </c>
      <c r="R1154" t="inlineStr">
        <is>
          <t>AUD</t>
        </is>
      </c>
      <c r="S1154" t="n">
        <v>0</v>
      </c>
      <c r="T1154" t="inlineStr">
        <is>
          <t>AUD</t>
        </is>
      </c>
      <c r="U1154" t="n">
        <v>0</v>
      </c>
    </row>
    <row r="1155">
      <c r="A1155" s="5" t="inlineStr">
        <is>
          <t>01a1212c-5a9c-76b7-8dc6-c15286891160</t>
        </is>
      </c>
      <c r="C1155" s="5" t="inlineStr">
        <is>
          <t>01a1212c-4b57-70cf-80fd-c2192cb3bf81</t>
        </is>
      </c>
      <c r="D1155" s="4" t="n">
        <v>46304.62404329082</v>
      </c>
      <c r="E1155" s="4" t="n">
        <v>46304.62404329089</v>
      </c>
      <c r="F1155" t="b">
        <v>1</v>
      </c>
      <c r="G1155" t="n">
        <v/>
      </c>
      <c r="H1155" t="inlineStr">
        <is>
          <t>HLTH</t>
        </is>
      </c>
      <c r="I1155" t="inlineStr">
        <is>
          <t>Vaneck Global Healthcare Leaders ETF</t>
        </is>
      </c>
      <c r="J1155" t="inlineStr">
        <is>
          <t>AUD</t>
        </is>
      </c>
      <c r="K1155" s="5" t="inlineStr">
        <is>
          <t>01a1212c-4c04-75ce-bbb2-e3322e18816e</t>
        </is>
      </c>
      <c r="M1155" t="inlineStr">
        <is>
          <t>UNKNOWN</t>
        </is>
      </c>
      <c r="N1155" t="inlineStr">
        <is>
          <t>DEFAULT</t>
        </is>
      </c>
      <c r="Q1155" t="n">
        <v>0</v>
      </c>
      <c r="R1155" t="inlineStr">
        <is>
          <t>AUD</t>
        </is>
      </c>
      <c r="S1155" t="n">
        <v>0</v>
      </c>
      <c r="T1155" t="inlineStr">
        <is>
          <t>AUD</t>
        </is>
      </c>
      <c r="U1155" t="n">
        <v>0</v>
      </c>
    </row>
    <row r="1156">
      <c r="A1156" s="5" t="inlineStr">
        <is>
          <t>01a1212c-5a9e-7421-abf9-de65abe34f03</t>
        </is>
      </c>
      <c r="C1156" s="5" t="inlineStr">
        <is>
          <t>01a1212c-4b57-70cf-80fd-c2192cb3bf81</t>
        </is>
      </c>
      <c r="D1156" s="4" t="n">
        <v>46304.62404332141</v>
      </c>
      <c r="E1156" s="4" t="n">
        <v>46304.62404332149</v>
      </c>
      <c r="F1156" t="b">
        <v>1</v>
      </c>
      <c r="G1156" t="n">
        <v/>
      </c>
      <c r="H1156" t="inlineStr">
        <is>
          <t>TNC</t>
        </is>
      </c>
      <c r="I1156" t="inlineStr">
        <is>
          <t>True North Copper Ltd</t>
        </is>
      </c>
      <c r="J1156" t="inlineStr">
        <is>
          <t>AUD</t>
        </is>
      </c>
      <c r="K1156" s="5" t="inlineStr">
        <is>
          <t>01a1212c-4c04-75ce-bbb2-e3322e18816e</t>
        </is>
      </c>
      <c r="M1156" t="inlineStr">
        <is>
          <t>UNKNOWN</t>
        </is>
      </c>
      <c r="N1156" t="inlineStr">
        <is>
          <t>DEFAULT</t>
        </is>
      </c>
      <c r="Q1156" t="n">
        <v>0</v>
      </c>
      <c r="R1156" t="inlineStr">
        <is>
          <t>AUD</t>
        </is>
      </c>
      <c r="S1156" t="n">
        <v>0</v>
      </c>
      <c r="T1156" t="inlineStr">
        <is>
          <t>AUD</t>
        </is>
      </c>
      <c r="U1156" t="n">
        <v>0</v>
      </c>
    </row>
    <row r="1157">
      <c r="A1157" s="5" t="inlineStr">
        <is>
          <t>01a1212c-5aa1-7378-bbf7-4139af5343e6</t>
        </is>
      </c>
      <c r="C1157" s="5" t="inlineStr">
        <is>
          <t>01a1212c-4b57-70cf-80fd-c2192cb3bf81</t>
        </is>
      </c>
      <c r="D1157" s="4" t="n">
        <v>46304.62404335548</v>
      </c>
      <c r="E1157" s="4" t="n">
        <v>46304.62404335556</v>
      </c>
      <c r="F1157" t="b">
        <v>1</v>
      </c>
      <c r="G1157" t="n">
        <v/>
      </c>
      <c r="H1157" t="inlineStr">
        <is>
          <t>TEK</t>
        </is>
      </c>
      <c r="I1157" t="inlineStr">
        <is>
          <t>Thorney Technologies Ltd</t>
        </is>
      </c>
      <c r="J1157" t="inlineStr">
        <is>
          <t>AUD</t>
        </is>
      </c>
      <c r="K1157" s="5" t="inlineStr">
        <is>
          <t>01a1212c-4c04-75ce-bbb2-e3322e18816e</t>
        </is>
      </c>
      <c r="M1157" t="inlineStr">
        <is>
          <t>UNKNOWN</t>
        </is>
      </c>
      <c r="N1157" t="inlineStr">
        <is>
          <t>DEFAULT</t>
        </is>
      </c>
      <c r="Q1157" t="n">
        <v>0</v>
      </c>
      <c r="R1157" t="inlineStr">
        <is>
          <t>AUD</t>
        </is>
      </c>
      <c r="S1157" t="n">
        <v>0</v>
      </c>
      <c r="T1157" t="inlineStr">
        <is>
          <t>AUD</t>
        </is>
      </c>
      <c r="U1157" t="n">
        <v>0</v>
      </c>
    </row>
    <row r="1158">
      <c r="A1158" s="5" t="inlineStr">
        <is>
          <t>01a1212c-5aa4-70c3-8897-f83cf8459bb7</t>
        </is>
      </c>
      <c r="C1158" s="5" t="inlineStr">
        <is>
          <t>01a1212c-4b57-70cf-80fd-c2192cb3bf81</t>
        </is>
      </c>
      <c r="D1158" s="4" t="n">
        <v>46304.62404338603</v>
      </c>
      <c r="E1158" s="4" t="n">
        <v>46304.62404338611</v>
      </c>
      <c r="F1158" t="b">
        <v>1</v>
      </c>
      <c r="G1158" t="n">
        <v/>
      </c>
      <c r="H1158" t="inlineStr">
        <is>
          <t>SGI</t>
        </is>
      </c>
      <c r="I1158" t="inlineStr">
        <is>
          <t>Stealth Group Holdings Ltd</t>
        </is>
      </c>
      <c r="J1158" t="inlineStr">
        <is>
          <t>AUD</t>
        </is>
      </c>
      <c r="K1158" s="5" t="inlineStr">
        <is>
          <t>01a1212c-4c04-75ce-bbb2-e3322e18816e</t>
        </is>
      </c>
      <c r="M1158" t="inlineStr">
        <is>
          <t>UNKNOWN</t>
        </is>
      </c>
      <c r="N1158" t="inlineStr">
        <is>
          <t>DEFAULT</t>
        </is>
      </c>
      <c r="Q1158" t="n">
        <v>0</v>
      </c>
      <c r="R1158" t="inlineStr">
        <is>
          <t>AUD</t>
        </is>
      </c>
      <c r="S1158" t="n">
        <v>0</v>
      </c>
      <c r="T1158" t="inlineStr">
        <is>
          <t>AUD</t>
        </is>
      </c>
      <c r="U1158" t="n">
        <v>0</v>
      </c>
    </row>
    <row r="1159">
      <c r="A1159" s="5" t="inlineStr">
        <is>
          <t>01a1212c-5aa7-77cc-943b-24b3ac4dd918</t>
        </is>
      </c>
      <c r="C1159" s="5" t="inlineStr">
        <is>
          <t>01a1212c-4b57-70cf-80fd-c2192cb3bf81</t>
        </is>
      </c>
      <c r="D1159" s="4" t="n">
        <v>46304.62404341912</v>
      </c>
      <c r="E1159" s="4" t="n">
        <v>46304.6240434192</v>
      </c>
      <c r="F1159" t="b">
        <v>1</v>
      </c>
      <c r="G1159" t="n">
        <v/>
      </c>
      <c r="H1159" t="inlineStr">
        <is>
          <t>AYLD</t>
        </is>
      </c>
      <c r="I1159" t="inlineStr">
        <is>
          <t>Global X S&amp;P/ASX 200 Covered Call ETF</t>
        </is>
      </c>
      <c r="J1159" t="inlineStr">
        <is>
          <t>AUD</t>
        </is>
      </c>
      <c r="K1159" s="5" t="inlineStr">
        <is>
          <t>01a1212c-4c04-75ce-bbb2-e3322e18816e</t>
        </is>
      </c>
      <c r="M1159" t="inlineStr">
        <is>
          <t>UNKNOWN</t>
        </is>
      </c>
      <c r="N1159" t="inlineStr">
        <is>
          <t>DEFAULT</t>
        </is>
      </c>
      <c r="Q1159" t="n">
        <v>0</v>
      </c>
      <c r="R1159" t="inlineStr">
        <is>
          <t>AUD</t>
        </is>
      </c>
      <c r="S1159" t="n">
        <v>0</v>
      </c>
      <c r="T1159" t="inlineStr">
        <is>
          <t>AUD</t>
        </is>
      </c>
      <c r="U1159" t="n">
        <v>0</v>
      </c>
    </row>
    <row r="1160">
      <c r="A1160" s="5" t="inlineStr">
        <is>
          <t>01a1212c-5aa9-72d8-9d00-85230c7a6f86</t>
        </is>
      </c>
      <c r="C1160" s="5" t="inlineStr">
        <is>
          <t>01a1212c-4b57-70cf-80fd-c2192cb3bf81</t>
        </is>
      </c>
      <c r="D1160" s="4" t="n">
        <v>46304.62404344979</v>
      </c>
      <c r="E1160" s="4" t="n">
        <v>46304.62404344988</v>
      </c>
      <c r="F1160" t="b">
        <v>1</v>
      </c>
      <c r="G1160" t="n">
        <v/>
      </c>
      <c r="H1160" t="inlineStr">
        <is>
          <t>CLDD</t>
        </is>
      </c>
      <c r="I1160" t="inlineStr">
        <is>
          <t>Betashares Cloud Computing ETF</t>
        </is>
      </c>
      <c r="J1160" t="inlineStr">
        <is>
          <t>AUD</t>
        </is>
      </c>
      <c r="K1160" s="5" t="inlineStr">
        <is>
          <t>01a1212c-4c04-75ce-bbb2-e3322e18816e</t>
        </is>
      </c>
      <c r="M1160" t="inlineStr">
        <is>
          <t>UNKNOWN</t>
        </is>
      </c>
      <c r="N1160" t="inlineStr">
        <is>
          <t>DEFAULT</t>
        </is>
      </c>
      <c r="Q1160" t="n">
        <v>0</v>
      </c>
      <c r="R1160" t="inlineStr">
        <is>
          <t>AUD</t>
        </is>
      </c>
      <c r="S1160" t="n">
        <v>0</v>
      </c>
      <c r="T1160" t="inlineStr">
        <is>
          <t>AUD</t>
        </is>
      </c>
      <c r="U1160" t="n">
        <v>0</v>
      </c>
    </row>
    <row r="1161">
      <c r="A1161" s="5" t="inlineStr">
        <is>
          <t>01a1212c-5aac-7632-b4fe-e583a36cb171</t>
        </is>
      </c>
      <c r="C1161" s="5" t="inlineStr">
        <is>
          <t>01a1212c-4b57-70cf-80fd-c2192cb3bf81</t>
        </is>
      </c>
      <c r="D1161" s="4" t="n">
        <v>46304.62404348043</v>
      </c>
      <c r="E1161" s="4" t="n">
        <v>46304.6240434805</v>
      </c>
      <c r="F1161" t="b">
        <v>1</v>
      </c>
      <c r="G1161" t="n">
        <v/>
      </c>
      <c r="H1161" t="inlineStr">
        <is>
          <t>IYLD</t>
        </is>
      </c>
      <c r="I1161" t="inlineStr">
        <is>
          <t>Ishares Yield Plus ETF</t>
        </is>
      </c>
      <c r="J1161" t="inlineStr">
        <is>
          <t>AUD</t>
        </is>
      </c>
      <c r="K1161" s="5" t="inlineStr">
        <is>
          <t>01a1212c-4c04-75ce-bbb2-e3322e18816e</t>
        </is>
      </c>
      <c r="M1161" t="inlineStr">
        <is>
          <t>UNKNOWN</t>
        </is>
      </c>
      <c r="N1161" t="inlineStr">
        <is>
          <t>DEFAULT</t>
        </is>
      </c>
      <c r="Q1161" t="n">
        <v>0</v>
      </c>
      <c r="R1161" t="inlineStr">
        <is>
          <t>AUD</t>
        </is>
      </c>
      <c r="S1161" t="n">
        <v>0</v>
      </c>
      <c r="T1161" t="inlineStr">
        <is>
          <t>AUD</t>
        </is>
      </c>
      <c r="U1161" t="n">
        <v>0</v>
      </c>
    </row>
    <row r="1162">
      <c r="A1162" s="5" t="inlineStr">
        <is>
          <t>01a1212c-5aaf-713f-a843-b14eabb63124</t>
        </is>
      </c>
      <c r="C1162" s="5" t="inlineStr">
        <is>
          <t>01a1212c-4b57-70cf-80fd-c2192cb3bf81</t>
        </is>
      </c>
      <c r="D1162" s="4" t="n">
        <v>46304.62404351319</v>
      </c>
      <c r="E1162" s="4" t="n">
        <v>46304.62404351328</v>
      </c>
      <c r="F1162" t="b">
        <v>1</v>
      </c>
      <c r="G1162" t="n">
        <v/>
      </c>
      <c r="H1162" t="inlineStr">
        <is>
          <t>CRI</t>
        </is>
      </c>
      <c r="I1162" t="inlineStr">
        <is>
          <t>Critica Ltd</t>
        </is>
      </c>
      <c r="J1162" t="inlineStr">
        <is>
          <t>AUD</t>
        </is>
      </c>
      <c r="K1162" s="5" t="inlineStr">
        <is>
          <t>01a1212c-4c04-75ce-bbb2-e3322e18816e</t>
        </is>
      </c>
      <c r="M1162" t="inlineStr">
        <is>
          <t>UNKNOWN</t>
        </is>
      </c>
      <c r="N1162" t="inlineStr">
        <is>
          <t>DEFAULT</t>
        </is>
      </c>
      <c r="Q1162" t="n">
        <v>0</v>
      </c>
      <c r="R1162" t="inlineStr">
        <is>
          <t>AUD</t>
        </is>
      </c>
      <c r="S1162" t="n">
        <v>0</v>
      </c>
      <c r="T1162" t="inlineStr">
        <is>
          <t>AUD</t>
        </is>
      </c>
      <c r="U1162" t="n">
        <v>0</v>
      </c>
    </row>
    <row r="1163">
      <c r="A1163" s="5" t="inlineStr">
        <is>
          <t>01a1212c-5ab2-74a5-8835-35593063adbb</t>
        </is>
      </c>
      <c r="C1163" s="5" t="inlineStr">
        <is>
          <t>01a1212c-4b57-70cf-80fd-c2192cb3bf81</t>
        </is>
      </c>
      <c r="D1163" s="4" t="n">
        <v>46304.62404354571</v>
      </c>
      <c r="E1163" s="4" t="n">
        <v>46304.62404354579</v>
      </c>
      <c r="F1163" t="b">
        <v>1</v>
      </c>
      <c r="G1163" t="n">
        <v/>
      </c>
      <c r="H1163" t="inlineStr">
        <is>
          <t>MYE</t>
        </is>
      </c>
      <c r="I1163" t="inlineStr">
        <is>
          <t>Mastermyne Group Ltd</t>
        </is>
      </c>
      <c r="J1163" t="inlineStr">
        <is>
          <t>AUD</t>
        </is>
      </c>
      <c r="K1163" s="5" t="inlineStr">
        <is>
          <t>01a1212c-4c04-75ce-bbb2-e3322e18816e</t>
        </is>
      </c>
      <c r="M1163" t="inlineStr">
        <is>
          <t>UNKNOWN</t>
        </is>
      </c>
      <c r="N1163" t="inlineStr">
        <is>
          <t>DEFAULT</t>
        </is>
      </c>
      <c r="Q1163" t="n">
        <v>0</v>
      </c>
      <c r="R1163" t="inlineStr">
        <is>
          <t>AUD</t>
        </is>
      </c>
      <c r="S1163" t="n">
        <v>0</v>
      </c>
      <c r="T1163" t="inlineStr">
        <is>
          <t>AUD</t>
        </is>
      </c>
      <c r="U1163" t="n">
        <v>0</v>
      </c>
    </row>
    <row r="1164">
      <c r="A1164" s="5" t="inlineStr">
        <is>
          <t>01a1212c-5ab5-7115-8aa8-fdf9e59e49fd</t>
        </is>
      </c>
      <c r="C1164" s="5" t="inlineStr">
        <is>
          <t>01a1212c-4b57-70cf-80fd-c2192cb3bf81</t>
        </is>
      </c>
      <c r="D1164" s="4" t="n">
        <v>46304.62404357889</v>
      </c>
      <c r="E1164" s="4" t="n">
        <v>46304.62404357898</v>
      </c>
      <c r="F1164" t="b">
        <v>1</v>
      </c>
      <c r="G1164" t="n">
        <v/>
      </c>
      <c r="H1164" t="inlineStr">
        <is>
          <t>CD2</t>
        </is>
      </c>
      <c r="I1164" t="inlineStr">
        <is>
          <t>CD Private Equity Fund Ii</t>
        </is>
      </c>
      <c r="J1164" t="inlineStr">
        <is>
          <t>AUD</t>
        </is>
      </c>
      <c r="K1164" s="5" t="inlineStr">
        <is>
          <t>01a1212c-4c04-75ce-bbb2-e3322e18816e</t>
        </is>
      </c>
      <c r="M1164" t="inlineStr">
        <is>
          <t>UNKNOWN</t>
        </is>
      </c>
      <c r="N1164" t="inlineStr">
        <is>
          <t>DEFAULT</t>
        </is>
      </c>
      <c r="Q1164" t="n">
        <v>0</v>
      </c>
      <c r="R1164" t="inlineStr">
        <is>
          <t>AUD</t>
        </is>
      </c>
      <c r="S1164" t="n">
        <v>0</v>
      </c>
      <c r="T1164" t="inlineStr">
        <is>
          <t>AUD</t>
        </is>
      </c>
      <c r="U1164" t="n">
        <v>0</v>
      </c>
    </row>
    <row r="1165">
      <c r="A1165" s="5" t="inlineStr">
        <is>
          <t>01a1212c-5ab7-7705-9f05-034033aad16b</t>
        </is>
      </c>
      <c r="C1165" s="5" t="inlineStr">
        <is>
          <t>01a1212c-4b57-70cf-80fd-c2192cb3bf81</t>
        </is>
      </c>
      <c r="D1165" s="4" t="n">
        <v>46304.62404361031</v>
      </c>
      <c r="E1165" s="4" t="n">
        <v>46304.62404361038</v>
      </c>
      <c r="F1165" t="b">
        <v>1</v>
      </c>
      <c r="G1165" t="n">
        <v/>
      </c>
      <c r="H1165" t="inlineStr">
        <is>
          <t>DGGF</t>
        </is>
      </c>
      <c r="I1165" t="inlineStr">
        <is>
          <t>Betashares Ethical Diversified Growth ETF</t>
        </is>
      </c>
      <c r="J1165" t="inlineStr">
        <is>
          <t>AUD</t>
        </is>
      </c>
      <c r="K1165" s="5" t="inlineStr">
        <is>
          <t>01a1212c-4c04-75ce-bbb2-e3322e18816e</t>
        </is>
      </c>
      <c r="M1165" t="inlineStr">
        <is>
          <t>UNKNOWN</t>
        </is>
      </c>
      <c r="N1165" t="inlineStr">
        <is>
          <t>DEFAULT</t>
        </is>
      </c>
      <c r="Q1165" t="n">
        <v>0</v>
      </c>
      <c r="R1165" t="inlineStr">
        <is>
          <t>AUD</t>
        </is>
      </c>
      <c r="S1165" t="n">
        <v>0</v>
      </c>
      <c r="T1165" t="inlineStr">
        <is>
          <t>AUD</t>
        </is>
      </c>
      <c r="U1165" t="n">
        <v>0</v>
      </c>
    </row>
    <row r="1166">
      <c r="A1166" s="5" t="inlineStr">
        <is>
          <t>01a1212c-5aba-763a-b57e-ee207f390497</t>
        </is>
      </c>
      <c r="C1166" s="5" t="inlineStr">
        <is>
          <t>01a1212c-4b57-70cf-80fd-c2192cb3bf81</t>
        </is>
      </c>
      <c r="D1166" s="4" t="n">
        <v>46304.6240436434</v>
      </c>
      <c r="E1166" s="4" t="n">
        <v>46304.62404364347</v>
      </c>
      <c r="F1166" t="b">
        <v>1</v>
      </c>
      <c r="G1166" t="n">
        <v/>
      </c>
      <c r="H1166" t="inlineStr">
        <is>
          <t>AAL</t>
        </is>
      </c>
      <c r="I1166" t="inlineStr">
        <is>
          <t>Alfabs Australia Ltd</t>
        </is>
      </c>
      <c r="J1166" t="inlineStr">
        <is>
          <t>AUD</t>
        </is>
      </c>
      <c r="K1166" s="5" t="inlineStr">
        <is>
          <t>01a1212c-4c04-75ce-bbb2-e3322e18816e</t>
        </is>
      </c>
      <c r="M1166" t="inlineStr">
        <is>
          <t>UNKNOWN</t>
        </is>
      </c>
      <c r="N1166" t="inlineStr">
        <is>
          <t>DEFAULT</t>
        </is>
      </c>
      <c r="Q1166" t="n">
        <v>0</v>
      </c>
      <c r="R1166" t="inlineStr">
        <is>
          <t>AUD</t>
        </is>
      </c>
      <c r="S1166" t="n">
        <v>0</v>
      </c>
      <c r="T1166" t="inlineStr">
        <is>
          <t>AUD</t>
        </is>
      </c>
      <c r="U1166" t="n">
        <v>0</v>
      </c>
    </row>
    <row r="1167">
      <c r="A1167" s="5" t="inlineStr">
        <is>
          <t>01a1212c-5abd-7753-9d9f-9417061f5f06</t>
        </is>
      </c>
      <c r="C1167" s="5" t="inlineStr">
        <is>
          <t>01a1212c-4b57-70cf-80fd-c2192cb3bf81</t>
        </is>
      </c>
      <c r="D1167" s="4" t="n">
        <v>46304.6240436743</v>
      </c>
      <c r="E1167" s="4" t="n">
        <v>46304.62404367438</v>
      </c>
      <c r="F1167" t="b">
        <v>1</v>
      </c>
      <c r="G1167" t="n">
        <v/>
      </c>
      <c r="H1167" t="inlineStr">
        <is>
          <t>SIO</t>
        </is>
      </c>
      <c r="I1167" t="inlineStr">
        <is>
          <t>Simonds Group Ltd</t>
        </is>
      </c>
      <c r="J1167" t="inlineStr">
        <is>
          <t>AUD</t>
        </is>
      </c>
      <c r="K1167" s="5" t="inlineStr">
        <is>
          <t>01a1212c-4c04-75ce-bbb2-e3322e18816e</t>
        </is>
      </c>
      <c r="M1167" t="inlineStr">
        <is>
          <t>UNKNOWN</t>
        </is>
      </c>
      <c r="N1167" t="inlineStr">
        <is>
          <t>DEFAULT</t>
        </is>
      </c>
      <c r="Q1167" t="n">
        <v>0</v>
      </c>
      <c r="R1167" t="inlineStr">
        <is>
          <t>AUD</t>
        </is>
      </c>
      <c r="S1167" t="n">
        <v>0</v>
      </c>
      <c r="T1167" t="inlineStr">
        <is>
          <t>AUD</t>
        </is>
      </c>
      <c r="U1167" t="n">
        <v>0</v>
      </c>
    </row>
    <row r="1168">
      <c r="A1168" s="5" t="inlineStr">
        <is>
          <t>01a1212c-5ac0-75e4-9dac-cb0696b66dc3</t>
        </is>
      </c>
      <c r="C1168" s="5" t="inlineStr">
        <is>
          <t>01a1212c-4b57-70cf-80fd-c2192cb3bf81</t>
        </is>
      </c>
      <c r="D1168" s="4" t="n">
        <v>46304.62404370512</v>
      </c>
      <c r="E1168" s="4" t="n">
        <v>46304.6240437052</v>
      </c>
      <c r="F1168" t="b">
        <v>1</v>
      </c>
      <c r="G1168" t="n">
        <v/>
      </c>
      <c r="H1168" t="inlineStr">
        <is>
          <t>MNS</t>
        </is>
      </c>
      <c r="I1168" t="inlineStr">
        <is>
          <t>Magnis Energy Technologies Ltd</t>
        </is>
      </c>
      <c r="J1168" t="inlineStr">
        <is>
          <t>AUD</t>
        </is>
      </c>
      <c r="K1168" s="5" t="inlineStr">
        <is>
          <t>01a1212c-4c04-75ce-bbb2-e3322e18816e</t>
        </is>
      </c>
      <c r="M1168" t="inlineStr">
        <is>
          <t>UNKNOWN</t>
        </is>
      </c>
      <c r="N1168" t="inlineStr">
        <is>
          <t>DEFAULT</t>
        </is>
      </c>
      <c r="Q1168" t="n">
        <v>0</v>
      </c>
      <c r="R1168" t="inlineStr">
        <is>
          <t>AUD</t>
        </is>
      </c>
      <c r="S1168" t="n">
        <v>0</v>
      </c>
      <c r="T1168" t="inlineStr">
        <is>
          <t>AUD</t>
        </is>
      </c>
      <c r="U1168" t="n">
        <v>0</v>
      </c>
    </row>
    <row r="1169">
      <c r="A1169" s="5" t="inlineStr">
        <is>
          <t>01a1212c-5ac2-73aa-8c71-69137d4ee852</t>
        </is>
      </c>
      <c r="C1169" s="5" t="inlineStr">
        <is>
          <t>01a1212c-4b57-70cf-80fd-c2192cb3bf81</t>
        </is>
      </c>
      <c r="D1169" s="4" t="n">
        <v>46304.62404373605</v>
      </c>
      <c r="E1169" s="4" t="n">
        <v>46304.62404373613</v>
      </c>
      <c r="F1169" t="b">
        <v>1</v>
      </c>
      <c r="G1169" t="n">
        <v/>
      </c>
      <c r="H1169" t="inlineStr">
        <is>
          <t>5GN</t>
        </is>
      </c>
      <c r="I1169" t="inlineStr">
        <is>
          <t>5G Networks Ltd</t>
        </is>
      </c>
      <c r="J1169" t="inlineStr">
        <is>
          <t>AUD</t>
        </is>
      </c>
      <c r="K1169" s="5" t="inlineStr">
        <is>
          <t>01a1212c-4c04-75ce-bbb2-e3322e18816e</t>
        </is>
      </c>
      <c r="M1169" t="inlineStr">
        <is>
          <t>UNKNOWN</t>
        </is>
      </c>
      <c r="N1169" t="inlineStr">
        <is>
          <t>DEFAULT</t>
        </is>
      </c>
      <c r="Q1169" t="n">
        <v>0</v>
      </c>
      <c r="R1169" t="inlineStr">
        <is>
          <t>AUD</t>
        </is>
      </c>
      <c r="S1169" t="n">
        <v>0</v>
      </c>
      <c r="T1169" t="inlineStr">
        <is>
          <t>AUD</t>
        </is>
      </c>
      <c r="U1169" t="n">
        <v>0</v>
      </c>
    </row>
    <row r="1170">
      <c r="A1170" s="5" t="inlineStr">
        <is>
          <t>01a1212c-5ac5-74fe-95eb-bd6ac1ec783b</t>
        </is>
      </c>
      <c r="C1170" s="5" t="inlineStr">
        <is>
          <t>01a1212c-4b57-70cf-80fd-c2192cb3bf81</t>
        </is>
      </c>
      <c r="D1170" s="4" t="n">
        <v>46304.62404376938</v>
      </c>
      <c r="E1170" s="4" t="n">
        <v>46304.62404376946</v>
      </c>
      <c r="F1170" t="b">
        <v>1</v>
      </c>
      <c r="G1170" t="n">
        <v/>
      </c>
      <c r="H1170" t="inlineStr">
        <is>
          <t>MCE</t>
        </is>
      </c>
      <c r="I1170" t="inlineStr">
        <is>
          <t>Matrix Composites &amp; Engineering Ltd</t>
        </is>
      </c>
      <c r="J1170" t="inlineStr">
        <is>
          <t>AUD</t>
        </is>
      </c>
      <c r="K1170" s="5" t="inlineStr">
        <is>
          <t>01a1212c-4c04-75ce-bbb2-e3322e18816e</t>
        </is>
      </c>
      <c r="M1170" t="inlineStr">
        <is>
          <t>UNKNOWN</t>
        </is>
      </c>
      <c r="N1170" t="inlineStr">
        <is>
          <t>DEFAULT</t>
        </is>
      </c>
      <c r="Q1170" t="n">
        <v>0</v>
      </c>
      <c r="R1170" t="inlineStr">
        <is>
          <t>AUD</t>
        </is>
      </c>
      <c r="S1170" t="n">
        <v>0</v>
      </c>
      <c r="T1170" t="inlineStr">
        <is>
          <t>AUD</t>
        </is>
      </c>
      <c r="U1170" t="n">
        <v>0</v>
      </c>
    </row>
    <row r="1171">
      <c r="A1171" s="5" t="inlineStr">
        <is>
          <t>01a1212c-5ac8-70ec-bf5b-2e9678554369</t>
        </is>
      </c>
      <c r="C1171" s="5" t="inlineStr">
        <is>
          <t>01a1212c-4b57-70cf-80fd-c2192cb3bf81</t>
        </is>
      </c>
      <c r="D1171" s="4" t="n">
        <v>46304.62404380257</v>
      </c>
      <c r="E1171" s="4" t="n">
        <v>46304.62404380264</v>
      </c>
      <c r="F1171" t="b">
        <v>1</v>
      </c>
      <c r="G1171" t="n">
        <v/>
      </c>
      <c r="H1171" t="inlineStr">
        <is>
          <t>SEQ</t>
        </is>
      </c>
      <c r="I1171" t="inlineStr">
        <is>
          <t>Sequoia Financial Group Ltd</t>
        </is>
      </c>
      <c r="J1171" t="inlineStr">
        <is>
          <t>AUD</t>
        </is>
      </c>
      <c r="K1171" s="5" t="inlineStr">
        <is>
          <t>01a1212c-4c04-75ce-bbb2-e3322e18816e</t>
        </is>
      </c>
      <c r="M1171" t="inlineStr">
        <is>
          <t>UNKNOWN</t>
        </is>
      </c>
      <c r="N1171" t="inlineStr">
        <is>
          <t>DEFAULT</t>
        </is>
      </c>
      <c r="Q1171" t="n">
        <v>0</v>
      </c>
      <c r="R1171" t="inlineStr">
        <is>
          <t>AUD</t>
        </is>
      </c>
      <c r="S1171" t="n">
        <v>0</v>
      </c>
      <c r="T1171" t="inlineStr">
        <is>
          <t>AUD</t>
        </is>
      </c>
      <c r="U1171" t="n">
        <v>0</v>
      </c>
    </row>
    <row r="1172">
      <c r="A1172" s="5" t="inlineStr">
        <is>
          <t>01a1212c-5acb-75c6-8e75-44ab7b21732f</t>
        </is>
      </c>
      <c r="C1172" s="5" t="inlineStr">
        <is>
          <t>01a1212c-4b57-70cf-80fd-c2192cb3bf81</t>
        </is>
      </c>
      <c r="D1172" s="4" t="n">
        <v>46304.62404383351</v>
      </c>
      <c r="E1172" s="4" t="n">
        <v>46304.62404383357</v>
      </c>
      <c r="F1172" t="b">
        <v>1</v>
      </c>
      <c r="G1172" t="n">
        <v/>
      </c>
      <c r="H1172" t="inlineStr">
        <is>
          <t>BEAR</t>
        </is>
      </c>
      <c r="I1172" t="inlineStr">
        <is>
          <t>Betashares Australian Equities Bear (Hedge Fund)</t>
        </is>
      </c>
      <c r="J1172" t="inlineStr">
        <is>
          <t>AUD</t>
        </is>
      </c>
      <c r="K1172" s="5" t="inlineStr">
        <is>
          <t>01a1212c-4c04-75ce-bbb2-e3322e18816e</t>
        </is>
      </c>
      <c r="M1172" t="inlineStr">
        <is>
          <t>UNKNOWN</t>
        </is>
      </c>
      <c r="N1172" t="inlineStr">
        <is>
          <t>DEFAULT</t>
        </is>
      </c>
      <c r="Q1172" t="n">
        <v>0</v>
      </c>
      <c r="R1172" t="inlineStr">
        <is>
          <t>AUD</t>
        </is>
      </c>
      <c r="S1172" t="n">
        <v>0</v>
      </c>
      <c r="T1172" t="inlineStr">
        <is>
          <t>AUD</t>
        </is>
      </c>
      <c r="U1172" t="n">
        <v>0</v>
      </c>
    </row>
    <row r="1173">
      <c r="A1173" s="5" t="inlineStr">
        <is>
          <t>01a1212c-5acd-721c-8aad-e2ee481f62ef</t>
        </is>
      </c>
      <c r="C1173" s="5" t="inlineStr">
        <is>
          <t>01a1212c-4b57-70cf-80fd-c2192cb3bf81</t>
        </is>
      </c>
      <c r="D1173" s="4" t="n">
        <v>46304.62404386442</v>
      </c>
      <c r="E1173" s="4" t="n">
        <v>46304.6240438645</v>
      </c>
      <c r="F1173" t="b">
        <v>1</v>
      </c>
      <c r="G1173" t="n">
        <v/>
      </c>
      <c r="H1173" t="inlineStr">
        <is>
          <t>ANO</t>
        </is>
      </c>
      <c r="I1173" t="inlineStr">
        <is>
          <t>Advance Zinctek Ltd</t>
        </is>
      </c>
      <c r="J1173" t="inlineStr">
        <is>
          <t>AUD</t>
        </is>
      </c>
      <c r="K1173" s="5" t="inlineStr">
        <is>
          <t>01a1212c-4c04-75ce-bbb2-e3322e18816e</t>
        </is>
      </c>
      <c r="M1173" t="inlineStr">
        <is>
          <t>UNKNOWN</t>
        </is>
      </c>
      <c r="N1173" t="inlineStr">
        <is>
          <t>DEFAULT</t>
        </is>
      </c>
      <c r="Q1173" t="n">
        <v>0</v>
      </c>
      <c r="R1173" t="inlineStr">
        <is>
          <t>AUD</t>
        </is>
      </c>
      <c r="S1173" t="n">
        <v>0</v>
      </c>
      <c r="T1173" t="inlineStr">
        <is>
          <t>AUD</t>
        </is>
      </c>
      <c r="U1173" t="n">
        <v>0</v>
      </c>
    </row>
    <row r="1174">
      <c r="A1174" s="5" t="inlineStr">
        <is>
          <t>01a1212c-5ad0-70e6-9419-93a0544f1abb</t>
        </is>
      </c>
      <c r="C1174" s="5" t="inlineStr">
        <is>
          <t>01a1212c-4b57-70cf-80fd-c2192cb3bf81</t>
        </is>
      </c>
      <c r="D1174" s="4" t="n">
        <v>46304.62404389525</v>
      </c>
      <c r="E1174" s="4" t="n">
        <v>46304.62404389534</v>
      </c>
      <c r="F1174" t="b">
        <v>1</v>
      </c>
      <c r="G1174" t="n">
        <v/>
      </c>
      <c r="H1174" t="inlineStr">
        <is>
          <t>TVL</t>
        </is>
      </c>
      <c r="I1174" t="inlineStr">
        <is>
          <t>Touch Ventures Ltd</t>
        </is>
      </c>
      <c r="J1174" t="inlineStr">
        <is>
          <t>AUD</t>
        </is>
      </c>
      <c r="K1174" s="5" t="inlineStr">
        <is>
          <t>01a1212c-4c04-75ce-bbb2-e3322e18816e</t>
        </is>
      </c>
      <c r="M1174" t="inlineStr">
        <is>
          <t>UNKNOWN</t>
        </is>
      </c>
      <c r="N1174" t="inlineStr">
        <is>
          <t>DEFAULT</t>
        </is>
      </c>
      <c r="Q1174" t="n">
        <v>0</v>
      </c>
      <c r="R1174" t="inlineStr">
        <is>
          <t>AUD</t>
        </is>
      </c>
      <c r="S1174" t="n">
        <v>0</v>
      </c>
      <c r="T1174" t="inlineStr">
        <is>
          <t>AUD</t>
        </is>
      </c>
      <c r="U1174" t="n">
        <v>0</v>
      </c>
    </row>
    <row r="1175">
      <c r="A1175" s="5" t="inlineStr">
        <is>
          <t>01a1212c-5ad3-774b-9da5-f1c1139783ab</t>
        </is>
      </c>
      <c r="C1175" s="5" t="inlineStr">
        <is>
          <t>01a1212c-4b57-70cf-80fd-c2192cb3bf81</t>
        </is>
      </c>
      <c r="D1175" s="4" t="n">
        <v>46304.6240439306</v>
      </c>
      <c r="E1175" s="4" t="n">
        <v>46304.62404393069</v>
      </c>
      <c r="F1175" t="b">
        <v>1</v>
      </c>
      <c r="G1175" t="n">
        <v/>
      </c>
      <c r="H1175" t="inlineStr">
        <is>
          <t>ESR</t>
        </is>
      </c>
      <c r="I1175" t="inlineStr">
        <is>
          <t>Estrella Resources Ltd</t>
        </is>
      </c>
      <c r="J1175" t="inlineStr">
        <is>
          <t>AUD</t>
        </is>
      </c>
      <c r="K1175" s="5" t="inlineStr">
        <is>
          <t>01a1212c-4c04-75ce-bbb2-e3322e18816e</t>
        </is>
      </c>
      <c r="M1175" t="inlineStr">
        <is>
          <t>UNKNOWN</t>
        </is>
      </c>
      <c r="N1175" t="inlineStr">
        <is>
          <t>DEFAULT</t>
        </is>
      </c>
      <c r="Q1175" t="n">
        <v>0</v>
      </c>
      <c r="R1175" t="inlineStr">
        <is>
          <t>AUD</t>
        </is>
      </c>
      <c r="S1175" t="n">
        <v>0</v>
      </c>
      <c r="T1175" t="inlineStr">
        <is>
          <t>AUD</t>
        </is>
      </c>
      <c r="U1175" t="n">
        <v>0</v>
      </c>
    </row>
    <row r="1176">
      <c r="A1176" s="5" t="inlineStr">
        <is>
          <t>01a1212c-5ad6-70ee-88ff-e0637fc1ebf7</t>
        </is>
      </c>
      <c r="C1176" s="5" t="inlineStr">
        <is>
          <t>01a1212c-4b57-70cf-80fd-c2192cb3bf81</t>
        </is>
      </c>
      <c r="D1176" s="4" t="n">
        <v>46304.62404396215</v>
      </c>
      <c r="E1176" s="4" t="n">
        <v>46304.62404396222</v>
      </c>
      <c r="F1176" t="b">
        <v>1</v>
      </c>
      <c r="G1176" t="n">
        <v/>
      </c>
      <c r="H1176" t="inlineStr">
        <is>
          <t>MQDB</t>
        </is>
      </c>
      <c r="I1176" t="inlineStr">
        <is>
          <t>Macquarie Dynamic Bond Active ETF (Managed Fund)</t>
        </is>
      </c>
      <c r="J1176" t="inlineStr">
        <is>
          <t>AUD</t>
        </is>
      </c>
      <c r="K1176" s="5" t="inlineStr">
        <is>
          <t>01a1212c-4c04-75ce-bbb2-e3322e18816e</t>
        </is>
      </c>
      <c r="M1176" t="inlineStr">
        <is>
          <t>UNKNOWN</t>
        </is>
      </c>
      <c r="N1176" t="inlineStr">
        <is>
          <t>DEFAULT</t>
        </is>
      </c>
      <c r="Q1176" t="n">
        <v>0</v>
      </c>
      <c r="R1176" t="inlineStr">
        <is>
          <t>AUD</t>
        </is>
      </c>
      <c r="S1176" t="n">
        <v>0</v>
      </c>
      <c r="T1176" t="inlineStr">
        <is>
          <t>AUD</t>
        </is>
      </c>
      <c r="U1176" t="n">
        <v>0</v>
      </c>
    </row>
    <row r="1177">
      <c r="A1177" s="5" t="inlineStr">
        <is>
          <t>01a1212c-5ad8-75fd-9e82-c802b7470277</t>
        </is>
      </c>
      <c r="C1177" s="5" t="inlineStr">
        <is>
          <t>01a1212c-4b57-70cf-80fd-c2192cb3bf81</t>
        </is>
      </c>
      <c r="D1177" s="4" t="n">
        <v>46304.6240439934</v>
      </c>
      <c r="E1177" s="4" t="n">
        <v>46304.62404399348</v>
      </c>
      <c r="F1177" t="b">
        <v>1</v>
      </c>
      <c r="G1177" t="n">
        <v/>
      </c>
      <c r="H1177" t="inlineStr">
        <is>
          <t>GXAI</t>
        </is>
      </c>
      <c r="I1177" t="inlineStr">
        <is>
          <t>Global X Artificial Intelligence ETF</t>
        </is>
      </c>
      <c r="J1177" t="inlineStr">
        <is>
          <t>AUD</t>
        </is>
      </c>
      <c r="K1177" s="5" t="inlineStr">
        <is>
          <t>01a1212c-4c04-75ce-bbb2-e3322e18816e</t>
        </is>
      </c>
      <c r="M1177" t="inlineStr">
        <is>
          <t>UNKNOWN</t>
        </is>
      </c>
      <c r="N1177" t="inlineStr">
        <is>
          <t>DEFAULT</t>
        </is>
      </c>
      <c r="Q1177" t="n">
        <v>0</v>
      </c>
      <c r="R1177" t="inlineStr">
        <is>
          <t>AUD</t>
        </is>
      </c>
      <c r="S1177" t="n">
        <v>0</v>
      </c>
      <c r="T1177" t="inlineStr">
        <is>
          <t>AUD</t>
        </is>
      </c>
      <c r="U1177" t="n">
        <v>0</v>
      </c>
    </row>
    <row r="1178">
      <c r="A1178" s="5" t="inlineStr">
        <is>
          <t>01a1212c-5adb-7420-8d94-35f050481494</t>
        </is>
      </c>
      <c r="C1178" s="5" t="inlineStr">
        <is>
          <t>01a1212c-4b57-70cf-80fd-c2192cb3bf81</t>
        </is>
      </c>
      <c r="D1178" s="4" t="n">
        <v>46304.62404402389</v>
      </c>
      <c r="E1178" s="4" t="n">
        <v>46304.62404402397</v>
      </c>
      <c r="F1178" t="b">
        <v>1</v>
      </c>
      <c r="G1178" t="n">
        <v/>
      </c>
      <c r="H1178" t="inlineStr">
        <is>
          <t>OSM</t>
        </is>
      </c>
      <c r="I1178" t="inlineStr">
        <is>
          <t>Osmond Resources Ltd</t>
        </is>
      </c>
      <c r="J1178" t="inlineStr">
        <is>
          <t>AUD</t>
        </is>
      </c>
      <c r="K1178" s="5" t="inlineStr">
        <is>
          <t>01a1212c-4c04-75ce-bbb2-e3322e18816e</t>
        </is>
      </c>
      <c r="M1178" t="inlineStr">
        <is>
          <t>UNKNOWN</t>
        </is>
      </c>
      <c r="N1178" t="inlineStr">
        <is>
          <t>DEFAULT</t>
        </is>
      </c>
      <c r="Q1178" t="n">
        <v>0</v>
      </c>
      <c r="R1178" t="inlineStr">
        <is>
          <t>AUD</t>
        </is>
      </c>
      <c r="S1178" t="n">
        <v>0</v>
      </c>
      <c r="T1178" t="inlineStr">
        <is>
          <t>AUD</t>
        </is>
      </c>
      <c r="U1178" t="n">
        <v>0</v>
      </c>
    </row>
    <row r="1179">
      <c r="A1179" s="5" t="inlineStr">
        <is>
          <t>01a1212c-5ade-7072-bbf6-d83807fa8be4</t>
        </is>
      </c>
      <c r="C1179" s="5" t="inlineStr">
        <is>
          <t>01a1212c-4b57-70cf-80fd-c2192cb3bf81</t>
        </is>
      </c>
      <c r="D1179" s="4" t="n">
        <v>46304.62404405442</v>
      </c>
      <c r="E1179" s="4" t="n">
        <v>46304.62404405449</v>
      </c>
      <c r="F1179" t="b">
        <v>1</v>
      </c>
      <c r="G1179" t="n">
        <v/>
      </c>
      <c r="H1179" t="inlineStr">
        <is>
          <t>MM8</t>
        </is>
      </c>
      <c r="I1179" t="inlineStr">
        <is>
          <t>Medallion Metals Ltd</t>
        </is>
      </c>
      <c r="J1179" t="inlineStr">
        <is>
          <t>AUD</t>
        </is>
      </c>
      <c r="K1179" s="5" t="inlineStr">
        <is>
          <t>01a1212c-4c04-75ce-bbb2-e3322e18816e</t>
        </is>
      </c>
      <c r="M1179" t="inlineStr">
        <is>
          <t>UNKNOWN</t>
        </is>
      </c>
      <c r="N1179" t="inlineStr">
        <is>
          <t>DEFAULT</t>
        </is>
      </c>
      <c r="Q1179" t="n">
        <v>0</v>
      </c>
      <c r="R1179" t="inlineStr">
        <is>
          <t>AUD</t>
        </is>
      </c>
      <c r="S1179" t="n">
        <v>0</v>
      </c>
      <c r="T1179" t="inlineStr">
        <is>
          <t>AUD</t>
        </is>
      </c>
      <c r="U1179" t="n">
        <v>0</v>
      </c>
    </row>
    <row r="1180">
      <c r="A1180" s="5" t="inlineStr">
        <is>
          <t>01a1212c-5ae1-725d-ae29-1324b78ec572</t>
        </is>
      </c>
      <c r="C1180" s="5" t="inlineStr">
        <is>
          <t>01a1212c-4b57-70cf-80fd-c2192cb3bf81</t>
        </is>
      </c>
      <c r="D1180" s="4" t="n">
        <v>46304.62404408702</v>
      </c>
      <c r="E1180" s="4" t="n">
        <v>46304.6240440871</v>
      </c>
      <c r="F1180" t="b">
        <v>1</v>
      </c>
      <c r="G1180" t="n">
        <v/>
      </c>
      <c r="H1180" t="inlineStr">
        <is>
          <t>RINC</t>
        </is>
      </c>
      <c r="I1180" t="inlineStr">
        <is>
          <t>Betashares MRTN Currie RL Inc Fund (Managed Fund)</t>
        </is>
      </c>
      <c r="J1180" t="inlineStr">
        <is>
          <t>AUD</t>
        </is>
      </c>
      <c r="K1180" s="5" t="inlineStr">
        <is>
          <t>01a1212c-4c04-75ce-bbb2-e3322e18816e</t>
        </is>
      </c>
      <c r="M1180" t="inlineStr">
        <is>
          <t>UNKNOWN</t>
        </is>
      </c>
      <c r="N1180" t="inlineStr">
        <is>
          <t>DEFAULT</t>
        </is>
      </c>
      <c r="Q1180" t="n">
        <v>0</v>
      </c>
      <c r="R1180" t="inlineStr">
        <is>
          <t>AUD</t>
        </is>
      </c>
      <c r="S1180" t="n">
        <v>0</v>
      </c>
      <c r="T1180" t="inlineStr">
        <is>
          <t>AUD</t>
        </is>
      </c>
      <c r="U1180" t="n">
        <v>0</v>
      </c>
    </row>
    <row r="1181">
      <c r="A1181" s="5" t="inlineStr">
        <is>
          <t>01a1212c-5ae3-77cd-9a1b-eb8eecaf9cb8</t>
        </is>
      </c>
      <c r="C1181" s="5" t="inlineStr">
        <is>
          <t>01a1212c-4b57-70cf-80fd-c2192cb3bf81</t>
        </is>
      </c>
      <c r="D1181" s="4" t="n">
        <v>46304.62404412013</v>
      </c>
      <c r="E1181" s="4" t="n">
        <v>46304.62404412021</v>
      </c>
      <c r="F1181" t="b">
        <v>1</v>
      </c>
      <c r="G1181" t="n">
        <v/>
      </c>
      <c r="H1181" t="inlineStr">
        <is>
          <t>NTI</t>
        </is>
      </c>
      <c r="I1181" t="inlineStr">
        <is>
          <t>Neurotech International Ltd</t>
        </is>
      </c>
      <c r="J1181" t="inlineStr">
        <is>
          <t>AUD</t>
        </is>
      </c>
      <c r="K1181" s="5" t="inlineStr">
        <is>
          <t>01a1212c-4c04-75ce-bbb2-e3322e18816e</t>
        </is>
      </c>
      <c r="M1181" t="inlineStr">
        <is>
          <t>UNKNOWN</t>
        </is>
      </c>
      <c r="N1181" t="inlineStr">
        <is>
          <t>DEFAULT</t>
        </is>
      </c>
      <c r="Q1181" t="n">
        <v>0</v>
      </c>
      <c r="R1181" t="inlineStr">
        <is>
          <t>AUD</t>
        </is>
      </c>
      <c r="S1181" t="n">
        <v>0</v>
      </c>
      <c r="T1181" t="inlineStr">
        <is>
          <t>AUD</t>
        </is>
      </c>
      <c r="U1181" t="n">
        <v>0</v>
      </c>
    </row>
    <row r="1182">
      <c r="A1182" s="5" t="inlineStr">
        <is>
          <t>01a1212c-5ae6-74a1-aaa3-07f34281a3b3</t>
        </is>
      </c>
      <c r="C1182" s="5" t="inlineStr">
        <is>
          <t>01a1212c-4b57-70cf-80fd-c2192cb3bf81</t>
        </is>
      </c>
      <c r="D1182" s="4" t="n">
        <v>46304.62404415193</v>
      </c>
      <c r="E1182" s="4" t="n">
        <v>46304.62404415201</v>
      </c>
      <c r="F1182" t="b">
        <v>1</v>
      </c>
      <c r="G1182" t="n">
        <v/>
      </c>
      <c r="H1182" t="inlineStr">
        <is>
          <t>MCP</t>
        </is>
      </c>
      <c r="I1182" t="inlineStr">
        <is>
          <t>Mcpherson's Ltd</t>
        </is>
      </c>
      <c r="J1182" t="inlineStr">
        <is>
          <t>AUD</t>
        </is>
      </c>
      <c r="K1182" s="5" t="inlineStr">
        <is>
          <t>01a1212c-4c04-75ce-bbb2-e3322e18816e</t>
        </is>
      </c>
      <c r="M1182" t="inlineStr">
        <is>
          <t>UNKNOWN</t>
        </is>
      </c>
      <c r="N1182" t="inlineStr">
        <is>
          <t>DEFAULT</t>
        </is>
      </c>
      <c r="Q1182" t="n">
        <v>0</v>
      </c>
      <c r="R1182" t="inlineStr">
        <is>
          <t>AUD</t>
        </is>
      </c>
      <c r="S1182" t="n">
        <v>0</v>
      </c>
      <c r="T1182" t="inlineStr">
        <is>
          <t>AUD</t>
        </is>
      </c>
      <c r="U1182" t="n">
        <v>0</v>
      </c>
    </row>
    <row r="1183">
      <c r="A1183" s="5" t="inlineStr">
        <is>
          <t>01a1212c-5ae9-777d-bbbc-f46a73331713</t>
        </is>
      </c>
      <c r="C1183" s="5" t="inlineStr">
        <is>
          <t>01a1212c-4b57-70cf-80fd-c2192cb3bf81</t>
        </is>
      </c>
      <c r="D1183" s="4" t="n">
        <v>46304.62404418246</v>
      </c>
      <c r="E1183" s="4" t="n">
        <v>46304.62404418254</v>
      </c>
      <c r="F1183" t="b">
        <v>1</v>
      </c>
      <c r="G1183" t="n">
        <v/>
      </c>
      <c r="H1183" t="inlineStr">
        <is>
          <t>PCK</t>
        </is>
      </c>
      <c r="I1183" t="inlineStr">
        <is>
          <t>Painchek Ltd</t>
        </is>
      </c>
      <c r="J1183" t="inlineStr">
        <is>
          <t>AUD</t>
        </is>
      </c>
      <c r="K1183" s="5" t="inlineStr">
        <is>
          <t>01a1212c-4c04-75ce-bbb2-e3322e18816e</t>
        </is>
      </c>
      <c r="M1183" t="inlineStr">
        <is>
          <t>UNKNOWN</t>
        </is>
      </c>
      <c r="N1183" t="inlineStr">
        <is>
          <t>DEFAULT</t>
        </is>
      </c>
      <c r="Q1183" t="n">
        <v>0</v>
      </c>
      <c r="R1183" t="inlineStr">
        <is>
          <t>AUD</t>
        </is>
      </c>
      <c r="S1183" t="n">
        <v>0</v>
      </c>
      <c r="T1183" t="inlineStr">
        <is>
          <t>AUD</t>
        </is>
      </c>
      <c r="U1183" t="n">
        <v>0</v>
      </c>
    </row>
    <row r="1184">
      <c r="A1184" s="5" t="inlineStr">
        <is>
          <t>01a1212c-5aec-75d6-b323-afbe61cc92e4</t>
        </is>
      </c>
      <c r="C1184" s="5" t="inlineStr">
        <is>
          <t>01a1212c-4b57-70cf-80fd-c2192cb3bf81</t>
        </is>
      </c>
      <c r="D1184" s="4" t="n">
        <v>46304.62404421524</v>
      </c>
      <c r="E1184" s="4" t="n">
        <v>46304.62404421532</v>
      </c>
      <c r="F1184" t="b">
        <v>1</v>
      </c>
      <c r="G1184" t="n">
        <v/>
      </c>
      <c r="H1184" t="inlineStr">
        <is>
          <t>CCA</t>
        </is>
      </c>
      <c r="I1184" t="inlineStr">
        <is>
          <t>Change Financial Ltd</t>
        </is>
      </c>
      <c r="J1184" t="inlineStr">
        <is>
          <t>AUD</t>
        </is>
      </c>
      <c r="K1184" s="5" t="inlineStr">
        <is>
          <t>01a1212c-4c04-75ce-bbb2-e3322e18816e</t>
        </is>
      </c>
      <c r="M1184" t="inlineStr">
        <is>
          <t>UNKNOWN</t>
        </is>
      </c>
      <c r="N1184" t="inlineStr">
        <is>
          <t>DEFAULT</t>
        </is>
      </c>
      <c r="Q1184" t="n">
        <v>0</v>
      </c>
      <c r="R1184" t="inlineStr">
        <is>
          <t>AUD</t>
        </is>
      </c>
      <c r="S1184" t="n">
        <v>0</v>
      </c>
      <c r="T1184" t="inlineStr">
        <is>
          <t>AUD</t>
        </is>
      </c>
      <c r="U1184" t="n">
        <v>0</v>
      </c>
    </row>
    <row r="1185">
      <c r="A1185" s="5" t="inlineStr">
        <is>
          <t>01a1212c-5aee-7126-847f-9aa7c3bde56f</t>
        </is>
      </c>
      <c r="C1185" s="5" t="inlineStr">
        <is>
          <t>01a1212c-4b57-70cf-80fd-c2192cb3bf81</t>
        </is>
      </c>
      <c r="D1185" s="4" t="n">
        <v>46304.62404424643</v>
      </c>
      <c r="E1185" s="4" t="n">
        <v>46304.62404424649</v>
      </c>
      <c r="F1185" t="b">
        <v>1</v>
      </c>
      <c r="G1185" t="n">
        <v/>
      </c>
      <c r="H1185" t="inlineStr">
        <is>
          <t>ADO</t>
        </is>
      </c>
      <c r="I1185" t="inlineStr">
        <is>
          <t>Anteotech Ltd</t>
        </is>
      </c>
      <c r="J1185" t="inlineStr">
        <is>
          <t>AUD</t>
        </is>
      </c>
      <c r="K1185" s="5" t="inlineStr">
        <is>
          <t>01a1212c-4c04-75ce-bbb2-e3322e18816e</t>
        </is>
      </c>
      <c r="M1185" t="inlineStr">
        <is>
          <t>UNKNOWN</t>
        </is>
      </c>
      <c r="N1185" t="inlineStr">
        <is>
          <t>DEFAULT</t>
        </is>
      </c>
      <c r="Q1185" t="n">
        <v>0</v>
      </c>
      <c r="R1185" t="inlineStr">
        <is>
          <t>AUD</t>
        </is>
      </c>
      <c r="S1185" t="n">
        <v>0</v>
      </c>
      <c r="T1185" t="inlineStr">
        <is>
          <t>AUD</t>
        </is>
      </c>
      <c r="U1185" t="n">
        <v>0</v>
      </c>
    </row>
    <row r="1186">
      <c r="A1186" s="5" t="inlineStr">
        <is>
          <t>01a1212c-5af1-7485-9d34-1b902340bde6</t>
        </is>
      </c>
      <c r="C1186" s="5" t="inlineStr">
        <is>
          <t>01a1212c-4b57-70cf-80fd-c2192cb3bf81</t>
        </is>
      </c>
      <c r="D1186" s="4" t="n">
        <v>46304.62404427678</v>
      </c>
      <c r="E1186" s="4" t="n">
        <v>46304.62404427685</v>
      </c>
      <c r="F1186" t="b">
        <v>1</v>
      </c>
      <c r="G1186" t="n">
        <v/>
      </c>
      <c r="H1186" t="inlineStr">
        <is>
          <t>IMPQ</t>
        </is>
      </c>
      <c r="I1186" t="inlineStr">
        <is>
          <t>Perennial Better Future Fund (Managed Fund)</t>
        </is>
      </c>
      <c r="J1186" t="inlineStr">
        <is>
          <t>AUD</t>
        </is>
      </c>
      <c r="K1186" s="5" t="inlineStr">
        <is>
          <t>01a1212c-4c04-75ce-bbb2-e3322e18816e</t>
        </is>
      </c>
      <c r="M1186" t="inlineStr">
        <is>
          <t>UNKNOWN</t>
        </is>
      </c>
      <c r="N1186" t="inlineStr">
        <is>
          <t>DEFAULT</t>
        </is>
      </c>
      <c r="Q1186" t="n">
        <v>0</v>
      </c>
      <c r="R1186" t="inlineStr">
        <is>
          <t>AUD</t>
        </is>
      </c>
      <c r="S1186" t="n">
        <v>0</v>
      </c>
      <c r="T1186" t="inlineStr">
        <is>
          <t>AUD</t>
        </is>
      </c>
      <c r="U1186" t="n">
        <v>0</v>
      </c>
    </row>
    <row r="1187">
      <c r="A1187" s="5" t="inlineStr">
        <is>
          <t>01a1212c-5af4-7288-ac28-dd8edea59e6c</t>
        </is>
      </c>
      <c r="C1187" s="5" t="inlineStr">
        <is>
          <t>01a1212c-4b57-70cf-80fd-c2192cb3bf81</t>
        </is>
      </c>
      <c r="D1187" s="4" t="n">
        <v>46304.62404430846</v>
      </c>
      <c r="E1187" s="4" t="n">
        <v>46304.62404430854</v>
      </c>
      <c r="F1187" t="b">
        <v>1</v>
      </c>
      <c r="G1187" t="n">
        <v/>
      </c>
      <c r="H1187" t="inlineStr">
        <is>
          <t>PRL</t>
        </is>
      </c>
      <c r="I1187" t="inlineStr">
        <is>
          <t>Province Resources Ltd</t>
        </is>
      </c>
      <c r="J1187" t="inlineStr">
        <is>
          <t>AUD</t>
        </is>
      </c>
      <c r="K1187" s="5" t="inlineStr">
        <is>
          <t>01a1212c-4c04-75ce-bbb2-e3322e18816e</t>
        </is>
      </c>
      <c r="M1187" t="inlineStr">
        <is>
          <t>UNKNOWN</t>
        </is>
      </c>
      <c r="N1187" t="inlineStr">
        <is>
          <t>DEFAULT</t>
        </is>
      </c>
      <c r="Q1187" t="n">
        <v>0</v>
      </c>
      <c r="R1187" t="inlineStr">
        <is>
          <t>AUD</t>
        </is>
      </c>
      <c r="S1187" t="n">
        <v>0</v>
      </c>
      <c r="T1187" t="inlineStr">
        <is>
          <t>AUD</t>
        </is>
      </c>
      <c r="U1187" t="n">
        <v>0</v>
      </c>
    </row>
    <row r="1188">
      <c r="A1188" s="5" t="inlineStr">
        <is>
          <t>01a1212c-5af6-759f-97b6-c2d68e917cae</t>
        </is>
      </c>
      <c r="C1188" s="5" t="inlineStr">
        <is>
          <t>01a1212c-4b57-70cf-80fd-c2192cb3bf81</t>
        </is>
      </c>
      <c r="D1188" s="4" t="n">
        <v>46304.62404434096</v>
      </c>
      <c r="E1188" s="4" t="n">
        <v>46304.62404434103</v>
      </c>
      <c r="F1188" t="b">
        <v>1</v>
      </c>
      <c r="G1188" t="n">
        <v/>
      </c>
      <c r="H1188" t="inlineStr">
        <is>
          <t>CYP</t>
        </is>
      </c>
      <c r="I1188" t="inlineStr">
        <is>
          <t>Cynata Therapeutics Ltd</t>
        </is>
      </c>
      <c r="J1188" t="inlineStr">
        <is>
          <t>AUD</t>
        </is>
      </c>
      <c r="K1188" s="5" t="inlineStr">
        <is>
          <t>01a1212c-4c04-75ce-bbb2-e3322e18816e</t>
        </is>
      </c>
      <c r="M1188" t="inlineStr">
        <is>
          <t>UNKNOWN</t>
        </is>
      </c>
      <c r="N1188" t="inlineStr">
        <is>
          <t>DEFAULT</t>
        </is>
      </c>
      <c r="Q1188" t="n">
        <v>0</v>
      </c>
      <c r="R1188" t="inlineStr">
        <is>
          <t>AUD</t>
        </is>
      </c>
      <c r="S1188" t="n">
        <v>0</v>
      </c>
      <c r="T1188" t="inlineStr">
        <is>
          <t>AUD</t>
        </is>
      </c>
      <c r="U1188" t="n">
        <v>0</v>
      </c>
    </row>
    <row r="1189">
      <c r="A1189" s="5" t="inlineStr">
        <is>
          <t>01a1212c-5af9-707e-acdf-605915cdf96b</t>
        </is>
      </c>
      <c r="C1189" s="5" t="inlineStr">
        <is>
          <t>01a1212c-4b57-70cf-80fd-c2192cb3bf81</t>
        </is>
      </c>
      <c r="D1189" s="4" t="n">
        <v>46304.62404437484</v>
      </c>
      <c r="E1189" s="4" t="n">
        <v>46304.62404437492</v>
      </c>
      <c r="F1189" t="b">
        <v>1</v>
      </c>
      <c r="G1189" t="n">
        <v/>
      </c>
      <c r="H1189" t="inlineStr">
        <is>
          <t>MMA</t>
        </is>
      </c>
      <c r="I1189" t="inlineStr">
        <is>
          <t>Maronan Metals Ltd</t>
        </is>
      </c>
      <c r="J1189" t="inlineStr">
        <is>
          <t>AUD</t>
        </is>
      </c>
      <c r="K1189" s="5" t="inlineStr">
        <is>
          <t>01a1212c-4c04-75ce-bbb2-e3322e18816e</t>
        </is>
      </c>
      <c r="M1189" t="inlineStr">
        <is>
          <t>UNKNOWN</t>
        </is>
      </c>
      <c r="N1189" t="inlineStr">
        <is>
          <t>DEFAULT</t>
        </is>
      </c>
      <c r="Q1189" t="n">
        <v>0</v>
      </c>
      <c r="R1189" t="inlineStr">
        <is>
          <t>AUD</t>
        </is>
      </c>
      <c r="S1189" t="n">
        <v>0</v>
      </c>
      <c r="T1189" t="inlineStr">
        <is>
          <t>AUD</t>
        </is>
      </c>
      <c r="U1189" t="n">
        <v>0</v>
      </c>
    </row>
    <row r="1190">
      <c r="A1190" s="5" t="inlineStr">
        <is>
          <t>01a1212c-5afc-7529-a825-14ef80570a2e</t>
        </is>
      </c>
      <c r="C1190" s="5" t="inlineStr">
        <is>
          <t>01a1212c-4b57-70cf-80fd-c2192cb3bf81</t>
        </is>
      </c>
      <c r="D1190" s="4" t="n">
        <v>46304.62404440633</v>
      </c>
      <c r="E1190" s="4" t="n">
        <v>46304.62404440641</v>
      </c>
      <c r="F1190" t="b">
        <v>1</v>
      </c>
      <c r="G1190" t="n">
        <v/>
      </c>
      <c r="H1190" t="inlineStr">
        <is>
          <t>NWC</t>
        </is>
      </c>
      <c r="I1190" t="inlineStr">
        <is>
          <t>New World Resources Ltd</t>
        </is>
      </c>
      <c r="J1190" t="inlineStr">
        <is>
          <t>AUD</t>
        </is>
      </c>
      <c r="K1190" s="5" t="inlineStr">
        <is>
          <t>01a1212c-4c04-75ce-bbb2-e3322e18816e</t>
        </is>
      </c>
      <c r="M1190" t="inlineStr">
        <is>
          <t>UNKNOWN</t>
        </is>
      </c>
      <c r="N1190" t="inlineStr">
        <is>
          <t>DEFAULT</t>
        </is>
      </c>
      <c r="Q1190" t="n">
        <v>0</v>
      </c>
      <c r="R1190" t="inlineStr">
        <is>
          <t>AUD</t>
        </is>
      </c>
      <c r="S1190" t="n">
        <v>0</v>
      </c>
      <c r="T1190" t="inlineStr">
        <is>
          <t>AUD</t>
        </is>
      </c>
      <c r="U1190" t="n">
        <v>0</v>
      </c>
    </row>
    <row r="1191">
      <c r="A1191" s="5" t="inlineStr">
        <is>
          <t>01a1212c-5aff-727e-b7ac-749aec8c3be8</t>
        </is>
      </c>
      <c r="C1191" s="5" t="inlineStr">
        <is>
          <t>01a1212c-4b57-70cf-80fd-c2192cb3bf81</t>
        </is>
      </c>
      <c r="D1191" s="4" t="n">
        <v>46304.62404443805</v>
      </c>
      <c r="E1191" s="4" t="n">
        <v>46304.62404443815</v>
      </c>
      <c r="F1191" t="b">
        <v>1</v>
      </c>
      <c r="G1191" t="n">
        <v/>
      </c>
      <c r="H1191" t="inlineStr">
        <is>
          <t>IBC</t>
        </is>
      </c>
      <c r="I1191" t="inlineStr">
        <is>
          <t>Ironbark Capital Ltd</t>
        </is>
      </c>
      <c r="J1191" t="inlineStr">
        <is>
          <t>AUD</t>
        </is>
      </c>
      <c r="K1191" s="5" t="inlineStr">
        <is>
          <t>01a1212c-4c04-75ce-bbb2-e3322e18816e</t>
        </is>
      </c>
      <c r="M1191" t="inlineStr">
        <is>
          <t>UNKNOWN</t>
        </is>
      </c>
      <c r="N1191" t="inlineStr">
        <is>
          <t>DEFAULT</t>
        </is>
      </c>
      <c r="Q1191" t="n">
        <v>0</v>
      </c>
      <c r="R1191" t="inlineStr">
        <is>
          <t>AUD</t>
        </is>
      </c>
      <c r="S1191" t="n">
        <v>0</v>
      </c>
      <c r="T1191" t="inlineStr">
        <is>
          <t>AUD</t>
        </is>
      </c>
      <c r="U1191" t="n">
        <v>0</v>
      </c>
    </row>
    <row r="1192">
      <c r="A1192" s="5" t="inlineStr">
        <is>
          <t>01a1212c-5b02-709c-b640-1cf7bf2069d9</t>
        </is>
      </c>
      <c r="C1192" s="5" t="inlineStr">
        <is>
          <t>01a1212c-4b57-70cf-80fd-c2192cb3bf81</t>
        </is>
      </c>
      <c r="D1192" s="4" t="n">
        <v>46304.62404447001</v>
      </c>
      <c r="E1192" s="4" t="n">
        <v>46304.6240444701</v>
      </c>
      <c r="F1192" t="b">
        <v>1</v>
      </c>
      <c r="G1192" t="n">
        <v/>
      </c>
      <c r="H1192" t="inlineStr">
        <is>
          <t>PHX</t>
        </is>
      </c>
      <c r="I1192" t="inlineStr">
        <is>
          <t>Pharmx Technologies Ltd</t>
        </is>
      </c>
      <c r="J1192" t="inlineStr">
        <is>
          <t>AUD</t>
        </is>
      </c>
      <c r="K1192" s="5" t="inlineStr">
        <is>
          <t>01a1212c-4c04-75ce-bbb2-e3322e18816e</t>
        </is>
      </c>
      <c r="M1192" t="inlineStr">
        <is>
          <t>UNKNOWN</t>
        </is>
      </c>
      <c r="N1192" t="inlineStr">
        <is>
          <t>DEFAULT</t>
        </is>
      </c>
      <c r="Q1192" t="n">
        <v>0</v>
      </c>
      <c r="R1192" t="inlineStr">
        <is>
          <t>AUD</t>
        </is>
      </c>
      <c r="S1192" t="n">
        <v>0</v>
      </c>
      <c r="T1192" t="inlineStr">
        <is>
          <t>AUD</t>
        </is>
      </c>
      <c r="U1192" t="n">
        <v>0</v>
      </c>
    </row>
    <row r="1193">
      <c r="A1193" s="5" t="inlineStr">
        <is>
          <t>01a1212c-5b05-7190-aff4-3af0675afe24</t>
        </is>
      </c>
      <c r="C1193" s="5" t="inlineStr">
        <is>
          <t>01a1212c-4b57-70cf-80fd-c2192cb3bf81</t>
        </is>
      </c>
      <c r="D1193" s="4" t="n">
        <v>46304.62404450584</v>
      </c>
      <c r="E1193" s="4" t="n">
        <v>46304.62404450596</v>
      </c>
      <c r="F1193" t="b">
        <v>1</v>
      </c>
      <c r="G1193" t="n">
        <v/>
      </c>
      <c r="H1193" t="inlineStr">
        <is>
          <t>JREG</t>
        </is>
      </c>
      <c r="I1193" t="inlineStr">
        <is>
          <t>Jpmorgan GL Res En in EQ Active ETF (Managed Fund)</t>
        </is>
      </c>
      <c r="J1193" t="inlineStr">
        <is>
          <t>AUD</t>
        </is>
      </c>
      <c r="K1193" s="5" t="inlineStr">
        <is>
          <t>01a1212c-4c04-75ce-bbb2-e3322e18816e</t>
        </is>
      </c>
      <c r="M1193" t="inlineStr">
        <is>
          <t>UNKNOWN</t>
        </is>
      </c>
      <c r="N1193" t="inlineStr">
        <is>
          <t>DEFAULT</t>
        </is>
      </c>
      <c r="Q1193" t="n">
        <v>0</v>
      </c>
      <c r="R1193" t="inlineStr">
        <is>
          <t>AUD</t>
        </is>
      </c>
      <c r="S1193" t="n">
        <v>0</v>
      </c>
      <c r="T1193" t="inlineStr">
        <is>
          <t>AUD</t>
        </is>
      </c>
      <c r="U1193" t="n">
        <v>0</v>
      </c>
    </row>
    <row r="1194">
      <c r="A1194" s="5" t="inlineStr">
        <is>
          <t>01a1212c-5b08-72de-810a-eeb90e768c20</t>
        </is>
      </c>
      <c r="C1194" s="5" t="inlineStr">
        <is>
          <t>01a1212c-4b57-70cf-80fd-c2192cb3bf81</t>
        </is>
      </c>
      <c r="D1194" s="4" t="n">
        <v>46304.62404454053</v>
      </c>
      <c r="E1194" s="4" t="n">
        <v>46304.62404454062</v>
      </c>
      <c r="F1194" t="b">
        <v>1</v>
      </c>
      <c r="G1194" t="n">
        <v/>
      </c>
      <c r="H1194" t="inlineStr">
        <is>
          <t>DTZ</t>
        </is>
      </c>
      <c r="I1194" t="inlineStr">
        <is>
          <t>DOTZ Nano Ltd</t>
        </is>
      </c>
      <c r="J1194" t="inlineStr">
        <is>
          <t>AUD</t>
        </is>
      </c>
      <c r="K1194" s="5" t="inlineStr">
        <is>
          <t>01a1212c-4c04-75ce-bbb2-e3322e18816e</t>
        </is>
      </c>
      <c r="M1194" t="inlineStr">
        <is>
          <t>UNKNOWN</t>
        </is>
      </c>
      <c r="N1194" t="inlineStr">
        <is>
          <t>DEFAULT</t>
        </is>
      </c>
      <c r="Q1194" t="n">
        <v>0</v>
      </c>
      <c r="R1194" t="inlineStr">
        <is>
          <t>AUD</t>
        </is>
      </c>
      <c r="S1194" t="n">
        <v>0</v>
      </c>
      <c r="T1194" t="inlineStr">
        <is>
          <t>AUD</t>
        </is>
      </c>
      <c r="U1194" t="n">
        <v>0</v>
      </c>
    </row>
    <row r="1195">
      <c r="A1195" s="5" t="inlineStr">
        <is>
          <t>01a1212c-5b0b-7512-bda5-536c2ad67010</t>
        </is>
      </c>
      <c r="C1195" s="5" t="inlineStr">
        <is>
          <t>01a1212c-4b57-70cf-80fd-c2192cb3bf81</t>
        </is>
      </c>
      <c r="D1195" s="4" t="n">
        <v>46304.62404457328</v>
      </c>
      <c r="E1195" s="4" t="n">
        <v>46304.62404457338</v>
      </c>
      <c r="F1195" t="b">
        <v>1</v>
      </c>
      <c r="G1195" t="n">
        <v/>
      </c>
      <c r="H1195" t="inlineStr">
        <is>
          <t>GOAT</t>
        </is>
      </c>
      <c r="I1195" t="inlineStr">
        <is>
          <t>Vaneck Morningstar International Wide Moat ETF</t>
        </is>
      </c>
      <c r="J1195" t="inlineStr">
        <is>
          <t>AUD</t>
        </is>
      </c>
      <c r="K1195" s="5" t="inlineStr">
        <is>
          <t>01a1212c-4c04-75ce-bbb2-e3322e18816e</t>
        </is>
      </c>
      <c r="M1195" t="inlineStr">
        <is>
          <t>UNKNOWN</t>
        </is>
      </c>
      <c r="N1195" t="inlineStr">
        <is>
          <t>DEFAULT</t>
        </is>
      </c>
      <c r="Q1195" t="n">
        <v>0</v>
      </c>
      <c r="R1195" t="inlineStr">
        <is>
          <t>AUD</t>
        </is>
      </c>
      <c r="S1195" t="n">
        <v>0</v>
      </c>
      <c r="T1195" t="inlineStr">
        <is>
          <t>AUD</t>
        </is>
      </c>
      <c r="U1195" t="n">
        <v>0</v>
      </c>
    </row>
    <row r="1196">
      <c r="A1196" s="5" t="inlineStr">
        <is>
          <t>01a1212c-5b0d-7131-bead-e5baaa7b4df1</t>
        </is>
      </c>
      <c r="C1196" s="5" t="inlineStr">
        <is>
          <t>01a1212c-4b57-70cf-80fd-c2192cb3bf81</t>
        </is>
      </c>
      <c r="D1196" s="4" t="n">
        <v>46304.62404460536</v>
      </c>
      <c r="E1196" s="4" t="n">
        <v>46304.62404460545</v>
      </c>
      <c r="F1196" t="b">
        <v>1</v>
      </c>
      <c r="G1196" t="n">
        <v/>
      </c>
      <c r="H1196" t="inlineStr">
        <is>
          <t>ARN</t>
        </is>
      </c>
      <c r="I1196" t="inlineStr">
        <is>
          <t>Aldoro Resources Ltd</t>
        </is>
      </c>
      <c r="J1196" t="inlineStr">
        <is>
          <t>AUD</t>
        </is>
      </c>
      <c r="K1196" s="5" t="inlineStr">
        <is>
          <t>01a1212c-4c04-75ce-bbb2-e3322e18816e</t>
        </is>
      </c>
      <c r="M1196" t="inlineStr">
        <is>
          <t>UNKNOWN</t>
        </is>
      </c>
      <c r="N1196" t="inlineStr">
        <is>
          <t>DEFAULT</t>
        </is>
      </c>
      <c r="Q1196" t="n">
        <v>0</v>
      </c>
      <c r="R1196" t="inlineStr">
        <is>
          <t>AUD</t>
        </is>
      </c>
      <c r="S1196" t="n">
        <v>0</v>
      </c>
      <c r="T1196" t="inlineStr">
        <is>
          <t>AUD</t>
        </is>
      </c>
      <c r="U1196" t="n">
        <v>0</v>
      </c>
    </row>
    <row r="1197">
      <c r="A1197" s="5" t="inlineStr">
        <is>
          <t>01a1212c-5b10-722d-8cdc-4443a21e5efe</t>
        </is>
      </c>
      <c r="C1197" s="5" t="inlineStr">
        <is>
          <t>01a1212c-4b57-70cf-80fd-c2192cb3bf81</t>
        </is>
      </c>
      <c r="D1197" s="4" t="n">
        <v>46304.62404463699</v>
      </c>
      <c r="E1197" s="4" t="n">
        <v>46304.62404463707</v>
      </c>
      <c r="F1197" t="b">
        <v>1</v>
      </c>
      <c r="G1197" t="n">
        <v/>
      </c>
      <c r="H1197" t="inlineStr">
        <is>
          <t>AWJ</t>
        </is>
      </c>
      <c r="I1197" t="inlineStr">
        <is>
          <t>Auric Mining Ltd</t>
        </is>
      </c>
      <c r="J1197" t="inlineStr">
        <is>
          <t>AUD</t>
        </is>
      </c>
      <c r="K1197" s="5" t="inlineStr">
        <is>
          <t>01a1212c-4c04-75ce-bbb2-e3322e18816e</t>
        </is>
      </c>
      <c r="M1197" t="inlineStr">
        <is>
          <t>UNKNOWN</t>
        </is>
      </c>
      <c r="N1197" t="inlineStr">
        <is>
          <t>DEFAULT</t>
        </is>
      </c>
      <c r="Q1197" t="n">
        <v>0</v>
      </c>
      <c r="R1197" t="inlineStr">
        <is>
          <t>AUD</t>
        </is>
      </c>
      <c r="S1197" t="n">
        <v>0</v>
      </c>
      <c r="T1197" t="inlineStr">
        <is>
          <t>AUD</t>
        </is>
      </c>
      <c r="U1197" t="n">
        <v>0</v>
      </c>
    </row>
    <row r="1198">
      <c r="A1198" s="5" t="inlineStr">
        <is>
          <t>01a1212c-5b13-7291-bcbf-366c6f14399c</t>
        </is>
      </c>
      <c r="C1198" s="5" t="inlineStr">
        <is>
          <t>01a1212c-4b57-70cf-80fd-c2192cb3bf81</t>
        </is>
      </c>
      <c r="D1198" s="4" t="n">
        <v>46304.62404467079</v>
      </c>
      <c r="E1198" s="4" t="n">
        <v>46304.62404467087</v>
      </c>
      <c r="F1198" t="b">
        <v>1</v>
      </c>
      <c r="G1198" t="n">
        <v/>
      </c>
      <c r="H1198" t="inlineStr">
        <is>
          <t>ATOM</t>
        </is>
      </c>
      <c r="I1198" t="inlineStr">
        <is>
          <t>Global X Uranium ETF</t>
        </is>
      </c>
      <c r="J1198" t="inlineStr">
        <is>
          <t>AUD</t>
        </is>
      </c>
      <c r="K1198" s="5" t="inlineStr">
        <is>
          <t>01a1212c-4c04-75ce-bbb2-e3322e18816e</t>
        </is>
      </c>
      <c r="M1198" t="inlineStr">
        <is>
          <t>UNKNOWN</t>
        </is>
      </c>
      <c r="N1198" t="inlineStr">
        <is>
          <t>DEFAULT</t>
        </is>
      </c>
      <c r="Q1198" t="n">
        <v>0</v>
      </c>
      <c r="R1198" t="inlineStr">
        <is>
          <t>AUD</t>
        </is>
      </c>
      <c r="S1198" t="n">
        <v>0</v>
      </c>
      <c r="T1198" t="inlineStr">
        <is>
          <t>AUD</t>
        </is>
      </c>
      <c r="U1198" t="n">
        <v>0</v>
      </c>
    </row>
    <row r="1199">
      <c r="A1199" s="5" t="inlineStr">
        <is>
          <t>01a1212c-5b16-7106-9ad7-ffab82ecfe2c</t>
        </is>
      </c>
      <c r="C1199" s="5" t="inlineStr">
        <is>
          <t>01a1212c-4b57-70cf-80fd-c2192cb3bf81</t>
        </is>
      </c>
      <c r="D1199" s="4" t="n">
        <v>46304.6240447041</v>
      </c>
      <c r="E1199" s="4" t="n">
        <v>46304.62404470418</v>
      </c>
      <c r="F1199" t="b">
        <v>1</v>
      </c>
      <c r="G1199" t="n">
        <v/>
      </c>
      <c r="H1199" t="inlineStr">
        <is>
          <t>MVP</t>
        </is>
      </c>
      <c r="I1199" t="inlineStr">
        <is>
          <t>Medical Developments International Ltd</t>
        </is>
      </c>
      <c r="J1199" t="inlineStr">
        <is>
          <t>AUD</t>
        </is>
      </c>
      <c r="K1199" s="5" t="inlineStr">
        <is>
          <t>01a1212c-4c04-75ce-bbb2-e3322e18816e</t>
        </is>
      </c>
      <c r="M1199" t="inlineStr">
        <is>
          <t>UNKNOWN</t>
        </is>
      </c>
      <c r="N1199" t="inlineStr">
        <is>
          <t>DEFAULT</t>
        </is>
      </c>
      <c r="Q1199" t="n">
        <v>0</v>
      </c>
      <c r="R1199" t="inlineStr">
        <is>
          <t>AUD</t>
        </is>
      </c>
      <c r="S1199" t="n">
        <v>0</v>
      </c>
      <c r="T1199" t="inlineStr">
        <is>
          <t>AUD</t>
        </is>
      </c>
      <c r="U1199" t="n">
        <v>0</v>
      </c>
    </row>
    <row r="1200">
      <c r="A1200" s="5" t="inlineStr">
        <is>
          <t>01a1212c-5b19-70fe-a4b9-92686bf504b2</t>
        </is>
      </c>
      <c r="C1200" s="5" t="inlineStr">
        <is>
          <t>01a1212c-4b57-70cf-80fd-c2192cb3bf81</t>
        </is>
      </c>
      <c r="D1200" s="4" t="n">
        <v>46304.62404473564</v>
      </c>
      <c r="E1200" s="4" t="n">
        <v>46304.62404473572</v>
      </c>
      <c r="F1200" t="b">
        <v>1</v>
      </c>
      <c r="G1200" t="n">
        <v/>
      </c>
      <c r="H1200" t="inlineStr">
        <is>
          <t>PTX</t>
        </is>
      </c>
      <c r="I1200" t="inlineStr">
        <is>
          <t>Prescient Therapeutics Ltd</t>
        </is>
      </c>
      <c r="J1200" t="inlineStr">
        <is>
          <t>AUD</t>
        </is>
      </c>
      <c r="K1200" s="5" t="inlineStr">
        <is>
          <t>01a1212c-4c04-75ce-bbb2-e3322e18816e</t>
        </is>
      </c>
      <c r="M1200" t="inlineStr">
        <is>
          <t>UNKNOWN</t>
        </is>
      </c>
      <c r="N1200" t="inlineStr">
        <is>
          <t>DEFAULT</t>
        </is>
      </c>
      <c r="Q1200" t="n">
        <v>0</v>
      </c>
      <c r="R1200" t="inlineStr">
        <is>
          <t>AUD</t>
        </is>
      </c>
      <c r="S1200" t="n">
        <v>0</v>
      </c>
      <c r="T1200" t="inlineStr">
        <is>
          <t>AUD</t>
        </is>
      </c>
      <c r="U1200" t="n">
        <v>0</v>
      </c>
    </row>
    <row r="1201">
      <c r="A1201" s="5" t="inlineStr">
        <is>
          <t>01a1212c-5b1b-7574-b8d9-bfaf11fc7344</t>
        </is>
      </c>
      <c r="C1201" s="5" t="inlineStr">
        <is>
          <t>01a1212c-4b57-70cf-80fd-c2192cb3bf81</t>
        </is>
      </c>
      <c r="D1201" s="4" t="n">
        <v>46304.6240447666</v>
      </c>
      <c r="E1201" s="4" t="n">
        <v>46304.62404476666</v>
      </c>
      <c r="F1201" t="b">
        <v>1</v>
      </c>
      <c r="G1201" t="n">
        <v/>
      </c>
      <c r="H1201" t="inlineStr">
        <is>
          <t>VIT</t>
        </is>
      </c>
      <c r="I1201" t="inlineStr">
        <is>
          <t>Vitura Health Ltd</t>
        </is>
      </c>
      <c r="J1201" t="inlineStr">
        <is>
          <t>AUD</t>
        </is>
      </c>
      <c r="K1201" s="5" t="inlineStr">
        <is>
          <t>01a1212c-4c04-75ce-bbb2-e3322e18816e</t>
        </is>
      </c>
      <c r="M1201" t="inlineStr">
        <is>
          <t>UNKNOWN</t>
        </is>
      </c>
      <c r="N1201" t="inlineStr">
        <is>
          <t>DEFAULT</t>
        </is>
      </c>
      <c r="Q1201" t="n">
        <v>0</v>
      </c>
      <c r="R1201" t="inlineStr">
        <is>
          <t>AUD</t>
        </is>
      </c>
      <c r="S1201" t="n">
        <v>0</v>
      </c>
      <c r="T1201" t="inlineStr">
        <is>
          <t>AUD</t>
        </is>
      </c>
      <c r="U1201" t="n">
        <v>0</v>
      </c>
    </row>
    <row r="1202">
      <c r="A1202" s="5" t="inlineStr">
        <is>
          <t>01a1212c-5b1e-75b0-8088-8f20d94834da</t>
        </is>
      </c>
      <c r="C1202" s="5" t="inlineStr">
        <is>
          <t>01a1212c-4b57-70cf-80fd-c2192cb3bf81</t>
        </is>
      </c>
      <c r="D1202" s="4" t="n">
        <v>46304.62404479952</v>
      </c>
      <c r="E1202" s="4" t="n">
        <v>46304.6240447996</v>
      </c>
      <c r="F1202" t="b">
        <v>1</v>
      </c>
      <c r="G1202" t="n">
        <v/>
      </c>
      <c r="H1202" t="inlineStr">
        <is>
          <t>HEUR</t>
        </is>
      </c>
      <c r="I1202" t="inlineStr">
        <is>
          <t>Betashares Europe Currency Hedged ETF</t>
        </is>
      </c>
      <c r="J1202" t="inlineStr">
        <is>
          <t>AUD</t>
        </is>
      </c>
      <c r="K1202" s="5" t="inlineStr">
        <is>
          <t>01a1212c-4c04-75ce-bbb2-e3322e18816e</t>
        </is>
      </c>
      <c r="M1202" t="inlineStr">
        <is>
          <t>UNKNOWN</t>
        </is>
      </c>
      <c r="N1202" t="inlineStr">
        <is>
          <t>DEFAULT</t>
        </is>
      </c>
      <c r="Q1202" t="n">
        <v>0</v>
      </c>
      <c r="R1202" t="inlineStr">
        <is>
          <t>AUD</t>
        </is>
      </c>
      <c r="S1202" t="n">
        <v>0</v>
      </c>
      <c r="T1202" t="inlineStr">
        <is>
          <t>AUD</t>
        </is>
      </c>
      <c r="U1202" t="n">
        <v>0</v>
      </c>
    </row>
    <row r="1203">
      <c r="A1203" s="5" t="inlineStr">
        <is>
          <t>01a1212c-5b21-7013-9a2a-ac3a5e3c1c88</t>
        </is>
      </c>
      <c r="C1203" s="5" t="inlineStr">
        <is>
          <t>01a1212c-4b57-70cf-80fd-c2192cb3bf81</t>
        </is>
      </c>
      <c r="D1203" s="4" t="n">
        <v>46304.62404483066</v>
      </c>
      <c r="E1203" s="4" t="n">
        <v>46304.62404483074</v>
      </c>
      <c r="F1203" t="b">
        <v>1</v>
      </c>
      <c r="G1203" t="n">
        <v/>
      </c>
      <c r="H1203" t="inlineStr">
        <is>
          <t>PVE</t>
        </is>
      </c>
      <c r="I1203" t="inlineStr">
        <is>
          <t>Po Valley Energy Ltd</t>
        </is>
      </c>
      <c r="J1203" t="inlineStr">
        <is>
          <t>AUD</t>
        </is>
      </c>
      <c r="K1203" s="5" t="inlineStr">
        <is>
          <t>01a1212c-4c04-75ce-bbb2-e3322e18816e</t>
        </is>
      </c>
      <c r="M1203" t="inlineStr">
        <is>
          <t>UNKNOWN</t>
        </is>
      </c>
      <c r="N1203" t="inlineStr">
        <is>
          <t>DEFAULT</t>
        </is>
      </c>
      <c r="Q1203" t="n">
        <v>0</v>
      </c>
      <c r="R1203" t="inlineStr">
        <is>
          <t>AUD</t>
        </is>
      </c>
      <c r="S1203" t="n">
        <v>0</v>
      </c>
      <c r="T1203" t="inlineStr">
        <is>
          <t>AUD</t>
        </is>
      </c>
      <c r="U1203" t="n">
        <v>0</v>
      </c>
    </row>
    <row r="1204">
      <c r="A1204" s="5" t="inlineStr">
        <is>
          <t>01a1212c-5b24-763e-a2c3-b1858f0b6953</t>
        </is>
      </c>
      <c r="C1204" s="5" t="inlineStr">
        <is>
          <t>01a1212c-4b57-70cf-80fd-c2192cb3bf81</t>
        </is>
      </c>
      <c r="D1204" s="4" t="n">
        <v>46304.62404486295</v>
      </c>
      <c r="E1204" s="4" t="n">
        <v>46304.62404486303</v>
      </c>
      <c r="F1204" t="b">
        <v>1</v>
      </c>
      <c r="G1204" t="n">
        <v/>
      </c>
      <c r="H1204" t="inlineStr">
        <is>
          <t>CYM</t>
        </is>
      </c>
      <c r="I1204" t="inlineStr">
        <is>
          <t>Cyprium Metals Ltd</t>
        </is>
      </c>
      <c r="J1204" t="inlineStr">
        <is>
          <t>AUD</t>
        </is>
      </c>
      <c r="K1204" s="5" t="inlineStr">
        <is>
          <t>01a1212c-4c04-75ce-bbb2-e3322e18816e</t>
        </is>
      </c>
      <c r="M1204" t="inlineStr">
        <is>
          <t>UNKNOWN</t>
        </is>
      </c>
      <c r="N1204" t="inlineStr">
        <is>
          <t>DEFAULT</t>
        </is>
      </c>
      <c r="Q1204" t="n">
        <v>0</v>
      </c>
      <c r="R1204" t="inlineStr">
        <is>
          <t>AUD</t>
        </is>
      </c>
      <c r="S1204" t="n">
        <v>0</v>
      </c>
      <c r="T1204" t="inlineStr">
        <is>
          <t>AUD</t>
        </is>
      </c>
      <c r="U1204" t="n">
        <v>0</v>
      </c>
    </row>
    <row r="1205">
      <c r="A1205" s="5" t="inlineStr">
        <is>
          <t>01a1212c-5b26-7284-9f5b-92fab0beae60</t>
        </is>
      </c>
      <c r="C1205" s="5" t="inlineStr">
        <is>
          <t>01a1212c-4b57-70cf-80fd-c2192cb3bf81</t>
        </is>
      </c>
      <c r="D1205" s="4" t="n">
        <v>46304.62404489437</v>
      </c>
      <c r="E1205" s="4" t="n">
        <v>46304.62404489446</v>
      </c>
      <c r="F1205" t="b">
        <v>1</v>
      </c>
      <c r="G1205" t="n">
        <v/>
      </c>
      <c r="H1205" t="inlineStr">
        <is>
          <t>SPX</t>
        </is>
      </c>
      <c r="I1205" t="inlineStr">
        <is>
          <t>Spenda Ltd</t>
        </is>
      </c>
      <c r="J1205" t="inlineStr">
        <is>
          <t>AUD</t>
        </is>
      </c>
      <c r="K1205" s="5" t="inlineStr">
        <is>
          <t>01a1212c-4c04-75ce-bbb2-e3322e18816e</t>
        </is>
      </c>
      <c r="M1205" t="inlineStr">
        <is>
          <t>UNKNOWN</t>
        </is>
      </c>
      <c r="N1205" t="inlineStr">
        <is>
          <t>DEFAULT</t>
        </is>
      </c>
      <c r="Q1205" t="n">
        <v>0</v>
      </c>
      <c r="R1205" t="inlineStr">
        <is>
          <t>AUD</t>
        </is>
      </c>
      <c r="S1205" t="n">
        <v>0</v>
      </c>
      <c r="T1205" t="inlineStr">
        <is>
          <t>AUD</t>
        </is>
      </c>
      <c r="U1205" t="n">
        <v>0</v>
      </c>
    </row>
    <row r="1206">
      <c r="A1206" s="5" t="inlineStr">
        <is>
          <t>01a1212c-5b29-7739-9fbb-185370f5d594</t>
        </is>
      </c>
      <c r="C1206" s="5" t="inlineStr">
        <is>
          <t>01a1212c-4b57-70cf-80fd-c2192cb3bf81</t>
        </is>
      </c>
      <c r="D1206" s="4" t="n">
        <v>46304.62404492497</v>
      </c>
      <c r="E1206" s="4" t="n">
        <v>46304.62404492503</v>
      </c>
      <c r="F1206" t="b">
        <v>1</v>
      </c>
      <c r="G1206" t="n">
        <v/>
      </c>
      <c r="H1206" t="inlineStr">
        <is>
          <t>M4M</t>
        </is>
      </c>
      <c r="I1206" t="inlineStr">
        <is>
          <t>Macro Metals Ltd</t>
        </is>
      </c>
      <c r="J1206" t="inlineStr">
        <is>
          <t>AUD</t>
        </is>
      </c>
      <c r="K1206" s="5" t="inlineStr">
        <is>
          <t>01a1212c-4c04-75ce-bbb2-e3322e18816e</t>
        </is>
      </c>
      <c r="M1206" t="inlineStr">
        <is>
          <t>UNKNOWN</t>
        </is>
      </c>
      <c r="N1206" t="inlineStr">
        <is>
          <t>DEFAULT</t>
        </is>
      </c>
      <c r="Q1206" t="n">
        <v>0</v>
      </c>
      <c r="R1206" t="inlineStr">
        <is>
          <t>AUD</t>
        </is>
      </c>
      <c r="S1206" t="n">
        <v>0</v>
      </c>
      <c r="T1206" t="inlineStr">
        <is>
          <t>AUD</t>
        </is>
      </c>
      <c r="U1206" t="n">
        <v>0</v>
      </c>
    </row>
    <row r="1207">
      <c r="A1207" s="5" t="inlineStr">
        <is>
          <t>01a1212c-5b2c-7529-99ab-891295383e0b</t>
        </is>
      </c>
      <c r="C1207" s="5" t="inlineStr">
        <is>
          <t>01a1212c-4b57-70cf-80fd-c2192cb3bf81</t>
        </is>
      </c>
      <c r="D1207" s="4" t="n">
        <v>46304.62404495767</v>
      </c>
      <c r="E1207" s="4" t="n">
        <v>46304.62404495775</v>
      </c>
      <c r="F1207" t="b">
        <v>1</v>
      </c>
      <c r="G1207" t="n">
        <v/>
      </c>
      <c r="H1207" t="inlineStr">
        <is>
          <t>SSR</t>
        </is>
      </c>
      <c r="I1207" t="inlineStr">
        <is>
          <t>SSR Mining Inc</t>
        </is>
      </c>
      <c r="J1207" t="inlineStr">
        <is>
          <t>AUD</t>
        </is>
      </c>
      <c r="K1207" s="5" t="inlineStr">
        <is>
          <t>01a1212c-4c04-75ce-bbb2-e3322e18816e</t>
        </is>
      </c>
      <c r="M1207" t="inlineStr">
        <is>
          <t>UNKNOWN</t>
        </is>
      </c>
      <c r="N1207" t="inlineStr">
        <is>
          <t>DEFAULT</t>
        </is>
      </c>
      <c r="Q1207" t="n">
        <v>0</v>
      </c>
      <c r="R1207" t="inlineStr">
        <is>
          <t>AUD</t>
        </is>
      </c>
      <c r="S1207" t="n">
        <v>0</v>
      </c>
      <c r="T1207" t="inlineStr">
        <is>
          <t>AUD</t>
        </is>
      </c>
      <c r="U1207" t="n">
        <v>0</v>
      </c>
    </row>
    <row r="1208">
      <c r="A1208" s="5" t="inlineStr">
        <is>
          <t>01a1212c-5b2e-7214-a51f-a69bf5737dd9</t>
        </is>
      </c>
      <c r="C1208" s="5" t="inlineStr">
        <is>
          <t>01a1212c-4b57-70cf-80fd-c2192cb3bf81</t>
        </is>
      </c>
      <c r="D1208" s="4" t="n">
        <v>46304.62404498825</v>
      </c>
      <c r="E1208" s="4" t="n">
        <v>46304.62404498833</v>
      </c>
      <c r="F1208" t="b">
        <v>1</v>
      </c>
      <c r="G1208" t="n">
        <v/>
      </c>
      <c r="H1208" t="inlineStr">
        <is>
          <t>BVR</t>
        </is>
      </c>
      <c r="I1208" t="inlineStr">
        <is>
          <t>Bellavista Resources Ltd</t>
        </is>
      </c>
      <c r="J1208" t="inlineStr">
        <is>
          <t>AUD</t>
        </is>
      </c>
      <c r="K1208" s="5" t="inlineStr">
        <is>
          <t>01a1212c-4c04-75ce-bbb2-e3322e18816e</t>
        </is>
      </c>
      <c r="M1208" t="inlineStr">
        <is>
          <t>UNKNOWN</t>
        </is>
      </c>
      <c r="N1208" t="inlineStr">
        <is>
          <t>DEFAULT</t>
        </is>
      </c>
      <c r="Q1208" t="n">
        <v>0</v>
      </c>
      <c r="R1208" t="inlineStr">
        <is>
          <t>AUD</t>
        </is>
      </c>
      <c r="S1208" t="n">
        <v>0</v>
      </c>
      <c r="T1208" t="inlineStr">
        <is>
          <t>AUD</t>
        </is>
      </c>
      <c r="U1208" t="n">
        <v>0</v>
      </c>
    </row>
    <row r="1209">
      <c r="A1209" s="5" t="inlineStr">
        <is>
          <t>01a1212c-5b31-7257-8058-ab4264dd5b25</t>
        </is>
      </c>
      <c r="C1209" s="5" t="inlineStr">
        <is>
          <t>01a1212c-4b57-70cf-80fd-c2192cb3bf81</t>
        </is>
      </c>
      <c r="D1209" s="4" t="n">
        <v>46304.62404501902</v>
      </c>
      <c r="E1209" s="4" t="n">
        <v>46304.6240450191</v>
      </c>
      <c r="F1209" t="b">
        <v>1</v>
      </c>
      <c r="G1209" t="n">
        <v/>
      </c>
      <c r="H1209" t="inlineStr">
        <is>
          <t>WA8</t>
        </is>
      </c>
      <c r="I1209" t="inlineStr">
        <is>
          <t>Warriedar Resources Ltd</t>
        </is>
      </c>
      <c r="J1209" t="inlineStr">
        <is>
          <t>AUD</t>
        </is>
      </c>
      <c r="K1209" s="5" t="inlineStr">
        <is>
          <t>01a1212c-4c04-75ce-bbb2-e3322e18816e</t>
        </is>
      </c>
      <c r="M1209" t="inlineStr">
        <is>
          <t>UNKNOWN</t>
        </is>
      </c>
      <c r="N1209" t="inlineStr">
        <is>
          <t>DEFAULT</t>
        </is>
      </c>
      <c r="Q1209" t="n">
        <v>0</v>
      </c>
      <c r="R1209" t="inlineStr">
        <is>
          <t>AUD</t>
        </is>
      </c>
      <c r="S1209" t="n">
        <v>0</v>
      </c>
      <c r="T1209" t="inlineStr">
        <is>
          <t>AUD</t>
        </is>
      </c>
      <c r="U1209" t="n">
        <v>0</v>
      </c>
    </row>
    <row r="1210">
      <c r="A1210" s="5" t="inlineStr">
        <is>
          <t>01a1212c-5b34-70b5-9ff3-2bb0517e8dc7</t>
        </is>
      </c>
      <c r="C1210" s="5" t="inlineStr">
        <is>
          <t>01a1212c-4b57-70cf-80fd-c2192cb3bf81</t>
        </is>
      </c>
      <c r="D1210" s="4" t="n">
        <v>46304.62404505225</v>
      </c>
      <c r="E1210" s="4" t="n">
        <v>46304.62404505233</v>
      </c>
      <c r="F1210" t="b">
        <v>1</v>
      </c>
      <c r="G1210" t="n">
        <v/>
      </c>
      <c r="H1210" t="inlineStr">
        <is>
          <t>LRT</t>
        </is>
      </c>
      <c r="I1210" t="inlineStr">
        <is>
          <t>Lowell Resources Fund</t>
        </is>
      </c>
      <c r="J1210" t="inlineStr">
        <is>
          <t>AUD</t>
        </is>
      </c>
      <c r="K1210" s="5" t="inlineStr">
        <is>
          <t>01a1212c-4c04-75ce-bbb2-e3322e18816e</t>
        </is>
      </c>
      <c r="M1210" t="inlineStr">
        <is>
          <t>UNKNOWN</t>
        </is>
      </c>
      <c r="N1210" t="inlineStr">
        <is>
          <t>DEFAULT</t>
        </is>
      </c>
      <c r="Q1210" t="n">
        <v>0</v>
      </c>
      <c r="R1210" t="inlineStr">
        <is>
          <t>AUD</t>
        </is>
      </c>
      <c r="S1210" t="n">
        <v>0</v>
      </c>
      <c r="T1210" t="inlineStr">
        <is>
          <t>AUD</t>
        </is>
      </c>
      <c r="U1210" t="n">
        <v>0</v>
      </c>
    </row>
    <row r="1211">
      <c r="A1211" s="5" t="inlineStr">
        <is>
          <t>01a1212c-5b37-753b-9da3-cf15840d3691</t>
        </is>
      </c>
      <c r="C1211" s="5" t="inlineStr">
        <is>
          <t>01a1212c-4b57-70cf-80fd-c2192cb3bf81</t>
        </is>
      </c>
      <c r="D1211" s="4" t="n">
        <v>46304.62404508716</v>
      </c>
      <c r="E1211" s="4" t="n">
        <v>46304.62404508724</v>
      </c>
      <c r="F1211" t="b">
        <v>1</v>
      </c>
      <c r="G1211" t="n">
        <v/>
      </c>
      <c r="H1211" t="inlineStr">
        <is>
          <t>SPD</t>
        </is>
      </c>
      <c r="I1211" t="inlineStr">
        <is>
          <t>Southern Palladium Ltd</t>
        </is>
      </c>
      <c r="J1211" t="inlineStr">
        <is>
          <t>AUD</t>
        </is>
      </c>
      <c r="K1211" s="5" t="inlineStr">
        <is>
          <t>01a1212c-4c04-75ce-bbb2-e3322e18816e</t>
        </is>
      </c>
      <c r="M1211" t="inlineStr">
        <is>
          <t>UNKNOWN</t>
        </is>
      </c>
      <c r="N1211" t="inlineStr">
        <is>
          <t>DEFAULT</t>
        </is>
      </c>
      <c r="Q1211" t="n">
        <v>0</v>
      </c>
      <c r="R1211" t="inlineStr">
        <is>
          <t>AUD</t>
        </is>
      </c>
      <c r="S1211" t="n">
        <v>0</v>
      </c>
      <c r="T1211" t="inlineStr">
        <is>
          <t>AUD</t>
        </is>
      </c>
      <c r="U1211" t="n">
        <v>0</v>
      </c>
    </row>
    <row r="1212">
      <c r="A1212" s="5" t="inlineStr">
        <is>
          <t>01a1212c-5b3a-708b-8036-2943a35ccfbe</t>
        </is>
      </c>
      <c r="C1212" s="5" t="inlineStr">
        <is>
          <t>01a1212c-4b57-70cf-80fd-c2192cb3bf81</t>
        </is>
      </c>
      <c r="D1212" s="4" t="n">
        <v>46304.62404511806</v>
      </c>
      <c r="E1212" s="4" t="n">
        <v>46304.62404511814</v>
      </c>
      <c r="F1212" t="b">
        <v>1</v>
      </c>
      <c r="G1212" t="n">
        <v/>
      </c>
      <c r="H1212" t="inlineStr">
        <is>
          <t>TYP</t>
        </is>
      </c>
      <c r="I1212" t="inlineStr">
        <is>
          <t>Tryptamine Therapeutics Ltd</t>
        </is>
      </c>
      <c r="J1212" t="inlineStr">
        <is>
          <t>AUD</t>
        </is>
      </c>
      <c r="K1212" s="5" t="inlineStr">
        <is>
          <t>01a1212c-4c04-75ce-bbb2-e3322e18816e</t>
        </is>
      </c>
      <c r="M1212" t="inlineStr">
        <is>
          <t>UNKNOWN</t>
        </is>
      </c>
      <c r="N1212" t="inlineStr">
        <is>
          <t>DEFAULT</t>
        </is>
      </c>
      <c r="Q1212" t="n">
        <v>0</v>
      </c>
      <c r="R1212" t="inlineStr">
        <is>
          <t>AUD</t>
        </is>
      </c>
      <c r="S1212" t="n">
        <v>0</v>
      </c>
      <c r="T1212" t="inlineStr">
        <is>
          <t>AUD</t>
        </is>
      </c>
      <c r="U1212" t="n">
        <v>0</v>
      </c>
    </row>
    <row r="1213">
      <c r="A1213" s="5" t="inlineStr">
        <is>
          <t>01a1212c-5b3c-7117-8832-a09754896b79</t>
        </is>
      </c>
      <c r="C1213" s="5" t="inlineStr">
        <is>
          <t>01a1212c-4b57-70cf-80fd-c2192cb3bf81</t>
        </is>
      </c>
      <c r="D1213" s="4" t="n">
        <v>46304.62404514862</v>
      </c>
      <c r="E1213" s="4" t="n">
        <v>46304.6240451487</v>
      </c>
      <c r="F1213" t="b">
        <v>1</v>
      </c>
      <c r="G1213" t="n">
        <v/>
      </c>
      <c r="H1213" t="inlineStr">
        <is>
          <t>BRK</t>
        </is>
      </c>
      <c r="I1213" t="inlineStr">
        <is>
          <t>Brookside Energy Ltd</t>
        </is>
      </c>
      <c r="J1213" t="inlineStr">
        <is>
          <t>AUD</t>
        </is>
      </c>
      <c r="K1213" s="5" t="inlineStr">
        <is>
          <t>01a1212c-4c04-75ce-bbb2-e3322e18816e</t>
        </is>
      </c>
      <c r="M1213" t="inlineStr">
        <is>
          <t>UNKNOWN</t>
        </is>
      </c>
      <c r="N1213" t="inlineStr">
        <is>
          <t>DEFAULT</t>
        </is>
      </c>
      <c r="Q1213" t="n">
        <v>0</v>
      </c>
      <c r="R1213" t="inlineStr">
        <is>
          <t>AUD</t>
        </is>
      </c>
      <c r="S1213" t="n">
        <v>0</v>
      </c>
      <c r="T1213" t="inlineStr">
        <is>
          <t>AUD</t>
        </is>
      </c>
      <c r="U1213" t="n">
        <v>0</v>
      </c>
    </row>
    <row r="1214">
      <c r="A1214" s="5" t="inlineStr">
        <is>
          <t>01a1212c-5b3f-70b3-b2af-cefa52a3d574</t>
        </is>
      </c>
      <c r="C1214" s="5" t="inlineStr">
        <is>
          <t>01a1212c-4b57-70cf-80fd-c2192cb3bf81</t>
        </is>
      </c>
      <c r="D1214" s="4" t="n">
        <v>46304.62404517923</v>
      </c>
      <c r="E1214" s="4" t="n">
        <v>46304.62404517931</v>
      </c>
      <c r="F1214" t="b">
        <v>1</v>
      </c>
      <c r="G1214" t="n">
        <v/>
      </c>
      <c r="H1214" t="inlineStr">
        <is>
          <t>EDC</t>
        </is>
      </c>
      <c r="I1214" t="inlineStr">
        <is>
          <t>Eildon Capital Group</t>
        </is>
      </c>
      <c r="J1214" t="inlineStr">
        <is>
          <t>AUD</t>
        </is>
      </c>
      <c r="K1214" s="5" t="inlineStr">
        <is>
          <t>01a1212c-4c04-75ce-bbb2-e3322e18816e</t>
        </is>
      </c>
      <c r="M1214" t="inlineStr">
        <is>
          <t>UNKNOWN</t>
        </is>
      </c>
      <c r="N1214" t="inlineStr">
        <is>
          <t>DEFAULT</t>
        </is>
      </c>
      <c r="Q1214" t="n">
        <v>0</v>
      </c>
      <c r="R1214" t="inlineStr">
        <is>
          <t>AUD</t>
        </is>
      </c>
      <c r="S1214" t="n">
        <v>0</v>
      </c>
      <c r="T1214" t="inlineStr">
        <is>
          <t>AUD</t>
        </is>
      </c>
      <c r="U1214" t="n">
        <v>0</v>
      </c>
    </row>
    <row r="1215">
      <c r="A1215" s="5" t="inlineStr">
        <is>
          <t>01a1212c-5b42-71dd-b9d6-d0d1f150a558</t>
        </is>
      </c>
      <c r="C1215" s="5" t="inlineStr">
        <is>
          <t>01a1212c-4b57-70cf-80fd-c2192cb3bf81</t>
        </is>
      </c>
      <c r="D1215" s="4" t="n">
        <v>46304.62404521005</v>
      </c>
      <c r="E1215" s="4" t="n">
        <v>46304.62404521013</v>
      </c>
      <c r="F1215" t="b">
        <v>1</v>
      </c>
      <c r="G1215" t="n">
        <v/>
      </c>
      <c r="H1215" t="inlineStr">
        <is>
          <t>LM8</t>
        </is>
      </c>
      <c r="I1215" t="inlineStr">
        <is>
          <t>Lunnon Metals Ltd</t>
        </is>
      </c>
      <c r="J1215" t="inlineStr">
        <is>
          <t>AUD</t>
        </is>
      </c>
      <c r="K1215" s="5" t="inlineStr">
        <is>
          <t>01a1212c-4c04-75ce-bbb2-e3322e18816e</t>
        </is>
      </c>
      <c r="M1215" t="inlineStr">
        <is>
          <t>UNKNOWN</t>
        </is>
      </c>
      <c r="N1215" t="inlineStr">
        <is>
          <t>DEFAULT</t>
        </is>
      </c>
      <c r="Q1215" t="n">
        <v>0</v>
      </c>
      <c r="R1215" t="inlineStr">
        <is>
          <t>AUD</t>
        </is>
      </c>
      <c r="S1215" t="n">
        <v>0</v>
      </c>
      <c r="T1215" t="inlineStr">
        <is>
          <t>AUD</t>
        </is>
      </c>
      <c r="U1215" t="n">
        <v>0</v>
      </c>
    </row>
    <row r="1216">
      <c r="A1216" s="5" t="inlineStr">
        <is>
          <t>01a1212c-5b45-76e6-a059-010ed28efdfa</t>
        </is>
      </c>
      <c r="C1216" s="5" t="inlineStr">
        <is>
          <t>01a1212c-4b57-70cf-80fd-c2192cb3bf81</t>
        </is>
      </c>
      <c r="D1216" s="4" t="n">
        <v>46304.62404524565</v>
      </c>
      <c r="E1216" s="4" t="n">
        <v>46304.62404524573</v>
      </c>
      <c r="F1216" t="b">
        <v>1</v>
      </c>
      <c r="G1216" t="n">
        <v/>
      </c>
      <c r="H1216" t="inlineStr">
        <is>
          <t>IDT</t>
        </is>
      </c>
      <c r="I1216" t="inlineStr">
        <is>
          <t>IDT Australia Ltd</t>
        </is>
      </c>
      <c r="J1216" t="inlineStr">
        <is>
          <t>AUD</t>
        </is>
      </c>
      <c r="K1216" s="5" t="inlineStr">
        <is>
          <t>01a1212c-4c04-75ce-bbb2-e3322e18816e</t>
        </is>
      </c>
      <c r="M1216" t="inlineStr">
        <is>
          <t>UNKNOWN</t>
        </is>
      </c>
      <c r="N1216" t="inlineStr">
        <is>
          <t>DEFAULT</t>
        </is>
      </c>
      <c r="Q1216" t="n">
        <v>0</v>
      </c>
      <c r="R1216" t="inlineStr">
        <is>
          <t>AUD</t>
        </is>
      </c>
      <c r="S1216" t="n">
        <v>0</v>
      </c>
      <c r="T1216" t="inlineStr">
        <is>
          <t>AUD</t>
        </is>
      </c>
      <c r="U1216" t="n">
        <v>0</v>
      </c>
    </row>
    <row r="1217">
      <c r="A1217" s="5" t="inlineStr">
        <is>
          <t>01a1212c-5b47-756b-9e40-85a4c9819868</t>
        </is>
      </c>
      <c r="C1217" s="5" t="inlineStr">
        <is>
          <t>01a1212c-4b57-70cf-80fd-c2192cb3bf81</t>
        </is>
      </c>
      <c r="D1217" s="4" t="n">
        <v>46304.62404527675</v>
      </c>
      <c r="E1217" s="4" t="n">
        <v>46304.62404527683</v>
      </c>
      <c r="F1217" t="b">
        <v>1</v>
      </c>
      <c r="G1217" t="n">
        <v/>
      </c>
      <c r="H1217" t="inlineStr">
        <is>
          <t>HMY</t>
        </is>
      </c>
      <c r="I1217" t="inlineStr">
        <is>
          <t>Harmoney Corp Ltd</t>
        </is>
      </c>
      <c r="J1217" t="inlineStr">
        <is>
          <t>AUD</t>
        </is>
      </c>
      <c r="K1217" s="5" t="inlineStr">
        <is>
          <t>01a1212c-4c04-75ce-bbb2-e3322e18816e</t>
        </is>
      </c>
      <c r="M1217" t="inlineStr">
        <is>
          <t>UNKNOWN</t>
        </is>
      </c>
      <c r="N1217" t="inlineStr">
        <is>
          <t>DEFAULT</t>
        </is>
      </c>
      <c r="Q1217" t="n">
        <v>0</v>
      </c>
      <c r="R1217" t="inlineStr">
        <is>
          <t>AUD</t>
        </is>
      </c>
      <c r="S1217" t="n">
        <v>0</v>
      </c>
      <c r="T1217" t="inlineStr">
        <is>
          <t>AUD</t>
        </is>
      </c>
      <c r="U1217" t="n">
        <v>0</v>
      </c>
    </row>
    <row r="1218">
      <c r="A1218" s="5" t="inlineStr">
        <is>
          <t>01a1212c-5b4a-7608-917c-a1d5a6c8ed51</t>
        </is>
      </c>
      <c r="C1218" s="5" t="inlineStr">
        <is>
          <t>01a1212c-4b57-70cf-80fd-c2192cb3bf81</t>
        </is>
      </c>
      <c r="D1218" s="4" t="n">
        <v>46304.62404530715</v>
      </c>
      <c r="E1218" s="4" t="n">
        <v>46304.62404530723</v>
      </c>
      <c r="F1218" t="b">
        <v>1</v>
      </c>
      <c r="G1218" t="n">
        <v/>
      </c>
      <c r="H1218" t="inlineStr">
        <is>
          <t>CTP</t>
        </is>
      </c>
      <c r="I1218" t="inlineStr">
        <is>
          <t>Central Petroleum Ltd</t>
        </is>
      </c>
      <c r="J1218" t="inlineStr">
        <is>
          <t>AUD</t>
        </is>
      </c>
      <c r="K1218" s="5" t="inlineStr">
        <is>
          <t>01a1212c-4c04-75ce-bbb2-e3322e18816e</t>
        </is>
      </c>
      <c r="M1218" t="inlineStr">
        <is>
          <t>UNKNOWN</t>
        </is>
      </c>
      <c r="N1218" t="inlineStr">
        <is>
          <t>DEFAULT</t>
        </is>
      </c>
      <c r="Q1218" t="n">
        <v>0</v>
      </c>
      <c r="R1218" t="inlineStr">
        <is>
          <t>AUD</t>
        </is>
      </c>
      <c r="S1218" t="n">
        <v>0</v>
      </c>
      <c r="T1218" t="inlineStr">
        <is>
          <t>AUD</t>
        </is>
      </c>
      <c r="U1218" t="n">
        <v>0</v>
      </c>
    </row>
    <row r="1219">
      <c r="A1219" s="5" t="inlineStr">
        <is>
          <t>01a1212c-5b4d-75f8-aa64-fc8ecc953262</t>
        </is>
      </c>
      <c r="C1219" s="5" t="inlineStr">
        <is>
          <t>01a1212c-4b57-70cf-80fd-c2192cb3bf81</t>
        </is>
      </c>
      <c r="D1219" s="4" t="n">
        <v>46304.62404533769</v>
      </c>
      <c r="E1219" s="4" t="n">
        <v>46304.62404533775</v>
      </c>
      <c r="F1219" t="b">
        <v>1</v>
      </c>
      <c r="G1219" t="n">
        <v/>
      </c>
      <c r="H1219" t="inlineStr">
        <is>
          <t>SEN</t>
        </is>
      </c>
      <c r="I1219" t="inlineStr">
        <is>
          <t>Senetas Corporation Ltd</t>
        </is>
      </c>
      <c r="J1219" t="inlineStr">
        <is>
          <t>AUD</t>
        </is>
      </c>
      <c r="K1219" s="5" t="inlineStr">
        <is>
          <t>01a1212c-4c04-75ce-bbb2-e3322e18816e</t>
        </is>
      </c>
      <c r="M1219" t="inlineStr">
        <is>
          <t>UNKNOWN</t>
        </is>
      </c>
      <c r="N1219" t="inlineStr">
        <is>
          <t>DEFAULT</t>
        </is>
      </c>
      <c r="Q1219" t="n">
        <v>0</v>
      </c>
      <c r="R1219" t="inlineStr">
        <is>
          <t>AUD</t>
        </is>
      </c>
      <c r="S1219" t="n">
        <v>0</v>
      </c>
      <c r="T1219" t="inlineStr">
        <is>
          <t>AUD</t>
        </is>
      </c>
      <c r="U1219" t="n">
        <v>0</v>
      </c>
    </row>
    <row r="1220">
      <c r="A1220" s="5" t="inlineStr">
        <is>
          <t>01a1212c-5b4f-77c8-bbc2-03246a660aad</t>
        </is>
      </c>
      <c r="C1220" s="5" t="inlineStr">
        <is>
          <t>01a1212c-4b57-70cf-80fd-c2192cb3bf81</t>
        </is>
      </c>
      <c r="D1220" s="4" t="n">
        <v>46304.62404537026</v>
      </c>
      <c r="E1220" s="4" t="n">
        <v>46304.62404537035</v>
      </c>
      <c r="F1220" t="b">
        <v>1</v>
      </c>
      <c r="G1220" t="n">
        <v/>
      </c>
      <c r="H1220" t="inlineStr">
        <is>
          <t>FFI</t>
        </is>
      </c>
      <c r="I1220" t="inlineStr">
        <is>
          <t>FFI Holdings Ltd</t>
        </is>
      </c>
      <c r="J1220" t="inlineStr">
        <is>
          <t>AUD</t>
        </is>
      </c>
      <c r="K1220" s="5" t="inlineStr">
        <is>
          <t>01a1212c-4c04-75ce-bbb2-e3322e18816e</t>
        </is>
      </c>
      <c r="M1220" t="inlineStr">
        <is>
          <t>UNKNOWN</t>
        </is>
      </c>
      <c r="N1220" t="inlineStr">
        <is>
          <t>DEFAULT</t>
        </is>
      </c>
      <c r="Q1220" t="n">
        <v>0</v>
      </c>
      <c r="R1220" t="inlineStr">
        <is>
          <t>AUD</t>
        </is>
      </c>
      <c r="S1220" t="n">
        <v>0</v>
      </c>
      <c r="T1220" t="inlineStr">
        <is>
          <t>AUD</t>
        </is>
      </c>
      <c r="U1220" t="n">
        <v>0</v>
      </c>
    </row>
    <row r="1221">
      <c r="A1221" s="5" t="inlineStr">
        <is>
          <t>01a1212c-5b52-7487-a133-265f60053e39</t>
        </is>
      </c>
      <c r="C1221" s="5" t="inlineStr">
        <is>
          <t>01a1212c-4b57-70cf-80fd-c2192cb3bf81</t>
        </is>
      </c>
      <c r="D1221" s="4" t="n">
        <v>46304.62404540105</v>
      </c>
      <c r="E1221" s="4" t="n">
        <v>46304.62404540113</v>
      </c>
      <c r="F1221" t="b">
        <v>1</v>
      </c>
      <c r="G1221" t="n">
        <v/>
      </c>
      <c r="H1221" t="inlineStr">
        <is>
          <t>WZR</t>
        </is>
      </c>
      <c r="I1221" t="inlineStr">
        <is>
          <t>Wisr Ltd</t>
        </is>
      </c>
      <c r="J1221" t="inlineStr">
        <is>
          <t>AUD</t>
        </is>
      </c>
      <c r="K1221" s="5" t="inlineStr">
        <is>
          <t>01a1212c-4c04-75ce-bbb2-e3322e18816e</t>
        </is>
      </c>
      <c r="M1221" t="inlineStr">
        <is>
          <t>UNKNOWN</t>
        </is>
      </c>
      <c r="N1221" t="inlineStr">
        <is>
          <t>DEFAULT</t>
        </is>
      </c>
      <c r="Q1221" t="n">
        <v>0</v>
      </c>
      <c r="R1221" t="inlineStr">
        <is>
          <t>AUD</t>
        </is>
      </c>
      <c r="S1221" t="n">
        <v>0</v>
      </c>
      <c r="T1221" t="inlineStr">
        <is>
          <t>AUD</t>
        </is>
      </c>
      <c r="U1221" t="n">
        <v>0</v>
      </c>
    </row>
    <row r="1222">
      <c r="A1222" s="5" t="inlineStr">
        <is>
          <t>01a1212c-5b55-7009-8307-aa6cb8c0e060</t>
        </is>
      </c>
      <c r="C1222" s="5" t="inlineStr">
        <is>
          <t>01a1212c-4b57-70cf-80fd-c2192cb3bf81</t>
        </is>
      </c>
      <c r="D1222" s="4" t="n">
        <v>46304.62404543501</v>
      </c>
      <c r="E1222" s="4" t="n">
        <v>46304.62404543511</v>
      </c>
      <c r="F1222" t="b">
        <v>1</v>
      </c>
      <c r="G1222" t="n">
        <v/>
      </c>
      <c r="H1222" t="inlineStr">
        <is>
          <t>IR1</t>
        </is>
      </c>
      <c r="I1222" t="inlineStr">
        <is>
          <t>Iris Metals Ltd</t>
        </is>
      </c>
      <c r="J1222" t="inlineStr">
        <is>
          <t>AUD</t>
        </is>
      </c>
      <c r="K1222" s="5" t="inlineStr">
        <is>
          <t>01a1212c-4c04-75ce-bbb2-e3322e18816e</t>
        </is>
      </c>
      <c r="M1222" t="inlineStr">
        <is>
          <t>UNKNOWN</t>
        </is>
      </c>
      <c r="N1222" t="inlineStr">
        <is>
          <t>DEFAULT</t>
        </is>
      </c>
      <c r="Q1222" t="n">
        <v>0</v>
      </c>
      <c r="R1222" t="inlineStr">
        <is>
          <t>AUD</t>
        </is>
      </c>
      <c r="S1222" t="n">
        <v>0</v>
      </c>
      <c r="T1222" t="inlineStr">
        <is>
          <t>AUD</t>
        </is>
      </c>
      <c r="U1222" t="n">
        <v>0</v>
      </c>
    </row>
    <row r="1223">
      <c r="A1223" s="5" t="inlineStr">
        <is>
          <t>01a1212c-5b58-74cc-b021-61afdc8aac6c</t>
        </is>
      </c>
      <c r="C1223" s="5" t="inlineStr">
        <is>
          <t>01a1212c-4b57-70cf-80fd-c2192cb3bf81</t>
        </is>
      </c>
      <c r="D1223" s="4" t="n">
        <v>46304.62404546591</v>
      </c>
      <c r="E1223" s="4" t="n">
        <v>46304.62404546599</v>
      </c>
      <c r="F1223" t="b">
        <v>1</v>
      </c>
      <c r="G1223" t="n">
        <v/>
      </c>
      <c r="H1223" t="inlineStr">
        <is>
          <t>G1A</t>
        </is>
      </c>
      <c r="I1223" t="inlineStr">
        <is>
          <t>Galena Mining Ltd</t>
        </is>
      </c>
      <c r="J1223" t="inlineStr">
        <is>
          <t>AUD</t>
        </is>
      </c>
      <c r="K1223" s="5" t="inlineStr">
        <is>
          <t>01a1212c-4c04-75ce-bbb2-e3322e18816e</t>
        </is>
      </c>
      <c r="M1223" t="inlineStr">
        <is>
          <t>UNKNOWN</t>
        </is>
      </c>
      <c r="N1223" t="inlineStr">
        <is>
          <t>DEFAULT</t>
        </is>
      </c>
      <c r="Q1223" t="n">
        <v>0</v>
      </c>
      <c r="R1223" t="inlineStr">
        <is>
          <t>AUD</t>
        </is>
      </c>
      <c r="S1223" t="n">
        <v>0</v>
      </c>
      <c r="T1223" t="inlineStr">
        <is>
          <t>AUD</t>
        </is>
      </c>
      <c r="U1223" t="n">
        <v>0</v>
      </c>
    </row>
    <row r="1224">
      <c r="A1224" s="5" t="inlineStr">
        <is>
          <t>01a1212c-5b5a-7163-b816-d59102070fc4</t>
        </is>
      </c>
      <c r="C1224" s="5" t="inlineStr">
        <is>
          <t>01a1212c-4b57-70cf-80fd-c2192cb3bf81</t>
        </is>
      </c>
      <c r="D1224" s="4" t="n">
        <v>46304.62404549675</v>
      </c>
      <c r="E1224" s="4" t="n">
        <v>46304.62404549683</v>
      </c>
      <c r="F1224" t="b">
        <v>1</v>
      </c>
      <c r="G1224" t="n">
        <v/>
      </c>
      <c r="H1224" t="inlineStr">
        <is>
          <t>AIQ</t>
        </is>
      </c>
      <c r="I1224" t="inlineStr">
        <is>
          <t>Alternative Investment Trust</t>
        </is>
      </c>
      <c r="J1224" t="inlineStr">
        <is>
          <t>AUD</t>
        </is>
      </c>
      <c r="K1224" s="5" t="inlineStr">
        <is>
          <t>01a1212c-4c04-75ce-bbb2-e3322e18816e</t>
        </is>
      </c>
      <c r="M1224" t="inlineStr">
        <is>
          <t>UNKNOWN</t>
        </is>
      </c>
      <c r="N1224" t="inlineStr">
        <is>
          <t>DEFAULT</t>
        </is>
      </c>
      <c r="Q1224" t="n">
        <v>0</v>
      </c>
      <c r="R1224" t="inlineStr">
        <is>
          <t>AUD</t>
        </is>
      </c>
      <c r="S1224" t="n">
        <v>0</v>
      </c>
      <c r="T1224" t="inlineStr">
        <is>
          <t>AUD</t>
        </is>
      </c>
      <c r="U1224" t="n">
        <v>0</v>
      </c>
    </row>
    <row r="1225">
      <c r="A1225" s="5" t="inlineStr">
        <is>
          <t>01a1212c-5b5d-735a-b541-20cf6ae92bc6</t>
        </is>
      </c>
      <c r="C1225" s="5" t="inlineStr">
        <is>
          <t>01a1212c-4b57-70cf-80fd-c2192cb3bf81</t>
        </is>
      </c>
      <c r="D1225" s="4" t="n">
        <v>46304.62404552928</v>
      </c>
      <c r="E1225" s="4" t="n">
        <v>46304.62404552937</v>
      </c>
      <c r="F1225" t="b">
        <v>1</v>
      </c>
      <c r="G1225" t="n">
        <v/>
      </c>
      <c r="H1225" t="inlineStr">
        <is>
          <t>CCX</t>
        </is>
      </c>
      <c r="I1225" t="inlineStr">
        <is>
          <t>City Chic Collective Ltd</t>
        </is>
      </c>
      <c r="J1225" t="inlineStr">
        <is>
          <t>AUD</t>
        </is>
      </c>
      <c r="K1225" s="5" t="inlineStr">
        <is>
          <t>01a1212c-4c04-75ce-bbb2-e3322e18816e</t>
        </is>
      </c>
      <c r="M1225" t="inlineStr">
        <is>
          <t>UNKNOWN</t>
        </is>
      </c>
      <c r="N1225" t="inlineStr">
        <is>
          <t>DEFAULT</t>
        </is>
      </c>
      <c r="Q1225" t="n">
        <v>0</v>
      </c>
      <c r="R1225" t="inlineStr">
        <is>
          <t>AUD</t>
        </is>
      </c>
      <c r="S1225" t="n">
        <v>0</v>
      </c>
      <c r="T1225" t="inlineStr">
        <is>
          <t>AUD</t>
        </is>
      </c>
      <c r="U1225" t="n">
        <v>0</v>
      </c>
    </row>
    <row r="1226">
      <c r="A1226" s="5" t="inlineStr">
        <is>
          <t>01a1212c-5b60-73f3-bde0-6f79e23b7a90</t>
        </is>
      </c>
      <c r="C1226" s="5" t="inlineStr">
        <is>
          <t>01a1212c-4b57-70cf-80fd-c2192cb3bf81</t>
        </is>
      </c>
      <c r="D1226" s="4" t="n">
        <v>46304.62404555987</v>
      </c>
      <c r="E1226" s="4" t="n">
        <v>46304.62404555995</v>
      </c>
      <c r="F1226" t="b">
        <v>1</v>
      </c>
      <c r="G1226" t="n">
        <v/>
      </c>
      <c r="H1226" t="inlineStr">
        <is>
          <t>JAN</t>
        </is>
      </c>
      <c r="I1226" t="inlineStr">
        <is>
          <t>Janison Education Group Ltd</t>
        </is>
      </c>
      <c r="J1226" t="inlineStr">
        <is>
          <t>AUD</t>
        </is>
      </c>
      <c r="K1226" s="5" t="inlineStr">
        <is>
          <t>01a1212c-4c04-75ce-bbb2-e3322e18816e</t>
        </is>
      </c>
      <c r="M1226" t="inlineStr">
        <is>
          <t>UNKNOWN</t>
        </is>
      </c>
      <c r="N1226" t="inlineStr">
        <is>
          <t>DEFAULT</t>
        </is>
      </c>
      <c r="Q1226" t="n">
        <v>0</v>
      </c>
      <c r="R1226" t="inlineStr">
        <is>
          <t>AUD</t>
        </is>
      </c>
      <c r="S1226" t="n">
        <v>0</v>
      </c>
      <c r="T1226" t="inlineStr">
        <is>
          <t>AUD</t>
        </is>
      </c>
      <c r="U1226" t="n">
        <v>0</v>
      </c>
    </row>
    <row r="1227">
      <c r="A1227" s="5" t="inlineStr">
        <is>
          <t>01a1212c-5b62-757b-8964-6d0f953d9961</t>
        </is>
      </c>
      <c r="C1227" s="5" t="inlineStr">
        <is>
          <t>01a1212c-4b57-70cf-80fd-c2192cb3bf81</t>
        </is>
      </c>
      <c r="D1227" s="4" t="n">
        <v>46304.62404559144</v>
      </c>
      <c r="E1227" s="4" t="n">
        <v>46304.62404559152</v>
      </c>
      <c r="F1227" t="b">
        <v>1</v>
      </c>
      <c r="G1227" t="n">
        <v/>
      </c>
      <c r="H1227" t="inlineStr">
        <is>
          <t>BLG</t>
        </is>
      </c>
      <c r="I1227" t="inlineStr">
        <is>
          <t>Bluglass Ltd</t>
        </is>
      </c>
      <c r="J1227" t="inlineStr">
        <is>
          <t>AUD</t>
        </is>
      </c>
      <c r="K1227" s="5" t="inlineStr">
        <is>
          <t>01a1212c-4c04-75ce-bbb2-e3322e18816e</t>
        </is>
      </c>
      <c r="M1227" t="inlineStr">
        <is>
          <t>UNKNOWN</t>
        </is>
      </c>
      <c r="N1227" t="inlineStr">
        <is>
          <t>DEFAULT</t>
        </is>
      </c>
      <c r="Q1227" t="n">
        <v>0</v>
      </c>
      <c r="R1227" t="inlineStr">
        <is>
          <t>AUD</t>
        </is>
      </c>
      <c r="S1227" t="n">
        <v>0</v>
      </c>
      <c r="T1227" t="inlineStr">
        <is>
          <t>AUD</t>
        </is>
      </c>
      <c r="U1227" t="n">
        <v>0</v>
      </c>
    </row>
    <row r="1228">
      <c r="A1228" s="5" t="inlineStr">
        <is>
          <t>01a1212c-5b65-75fe-a122-6544b2eaacae</t>
        </is>
      </c>
      <c r="C1228" s="5" t="inlineStr">
        <is>
          <t>01a1212c-4b57-70cf-80fd-c2192cb3bf81</t>
        </is>
      </c>
      <c r="D1228" s="4" t="n">
        <v>46304.62404562206</v>
      </c>
      <c r="E1228" s="4" t="n">
        <v>46304.62404562214</v>
      </c>
      <c r="F1228" t="b">
        <v>1</v>
      </c>
      <c r="G1228" t="n">
        <v/>
      </c>
      <c r="H1228" t="inlineStr">
        <is>
          <t>SPL</t>
        </is>
      </c>
      <c r="I1228" t="inlineStr">
        <is>
          <t>Starpharma Holdings Ltd</t>
        </is>
      </c>
      <c r="J1228" t="inlineStr">
        <is>
          <t>AUD</t>
        </is>
      </c>
      <c r="K1228" s="5" t="inlineStr">
        <is>
          <t>01a1212c-4c04-75ce-bbb2-e3322e18816e</t>
        </is>
      </c>
      <c r="M1228" t="inlineStr">
        <is>
          <t>UNKNOWN</t>
        </is>
      </c>
      <c r="N1228" t="inlineStr">
        <is>
          <t>DEFAULT</t>
        </is>
      </c>
      <c r="Q1228" t="n">
        <v>0</v>
      </c>
      <c r="R1228" t="inlineStr">
        <is>
          <t>AUD</t>
        </is>
      </c>
      <c r="S1228" t="n">
        <v>0</v>
      </c>
      <c r="T1228" t="inlineStr">
        <is>
          <t>AUD</t>
        </is>
      </c>
      <c r="U1228" t="n">
        <v>0</v>
      </c>
    </row>
    <row r="1229">
      <c r="A1229" s="5" t="inlineStr">
        <is>
          <t>01a1212c-5b68-7667-ab3a-eaf8bd3104b6</t>
        </is>
      </c>
      <c r="C1229" s="5" t="inlineStr">
        <is>
          <t>01a1212c-4b57-70cf-80fd-c2192cb3bf81</t>
        </is>
      </c>
      <c r="D1229" s="4" t="n">
        <v>46304.62404565261</v>
      </c>
      <c r="E1229" s="4" t="n">
        <v>46304.62404565269</v>
      </c>
      <c r="F1229" t="b">
        <v>1</v>
      </c>
      <c r="G1229" t="n">
        <v/>
      </c>
      <c r="H1229" t="inlineStr">
        <is>
          <t>BCOM</t>
        </is>
      </c>
      <c r="I1229" t="inlineStr">
        <is>
          <t>Global X Bloomberg Commodity Complex ETF</t>
        </is>
      </c>
      <c r="J1229" t="inlineStr">
        <is>
          <t>AUD</t>
        </is>
      </c>
      <c r="K1229" s="5" t="inlineStr">
        <is>
          <t>01a1212c-4c04-75ce-bbb2-e3322e18816e</t>
        </is>
      </c>
      <c r="M1229" t="inlineStr">
        <is>
          <t>UNKNOWN</t>
        </is>
      </c>
      <c r="N1229" t="inlineStr">
        <is>
          <t>DEFAULT</t>
        </is>
      </c>
      <c r="Q1229" t="n">
        <v>0</v>
      </c>
      <c r="R1229" t="inlineStr">
        <is>
          <t>AUD</t>
        </is>
      </c>
      <c r="S1229" t="n">
        <v>0</v>
      </c>
      <c r="T1229" t="inlineStr">
        <is>
          <t>AUD</t>
        </is>
      </c>
      <c r="U1229" t="n">
        <v>0</v>
      </c>
    </row>
    <row r="1230">
      <c r="A1230" s="5" t="inlineStr">
        <is>
          <t>01a1212c-5b6b-76f8-8d43-52ac700d3357</t>
        </is>
      </c>
      <c r="C1230" s="5" t="inlineStr">
        <is>
          <t>01a1212c-4b57-70cf-80fd-c2192cb3bf81</t>
        </is>
      </c>
      <c r="D1230" s="4" t="n">
        <v>46304.62404568544</v>
      </c>
      <c r="E1230" s="4" t="n">
        <v>46304.62404568552</v>
      </c>
      <c r="F1230" t="b">
        <v>1</v>
      </c>
      <c r="G1230" t="n">
        <v/>
      </c>
      <c r="H1230" t="inlineStr">
        <is>
          <t>MKT</t>
        </is>
      </c>
      <c r="I1230" t="inlineStr">
        <is>
          <t>The Market Ltd</t>
        </is>
      </c>
      <c r="J1230" t="inlineStr">
        <is>
          <t>AUD</t>
        </is>
      </c>
      <c r="K1230" s="5" t="inlineStr">
        <is>
          <t>01a1212c-4c04-75ce-bbb2-e3322e18816e</t>
        </is>
      </c>
      <c r="M1230" t="inlineStr">
        <is>
          <t>UNKNOWN</t>
        </is>
      </c>
      <c r="N1230" t="inlineStr">
        <is>
          <t>DEFAULT</t>
        </is>
      </c>
      <c r="Q1230" t="n">
        <v>0</v>
      </c>
      <c r="R1230" t="inlineStr">
        <is>
          <t>AUD</t>
        </is>
      </c>
      <c r="S1230" t="n">
        <v>0</v>
      </c>
      <c r="T1230" t="inlineStr">
        <is>
          <t>AUD</t>
        </is>
      </c>
      <c r="U1230" t="n">
        <v>0</v>
      </c>
    </row>
    <row r="1231">
      <c r="A1231" s="5" t="inlineStr">
        <is>
          <t>01a1212c-5b6d-70ff-a7f1-4adb6dd2f24e</t>
        </is>
      </c>
      <c r="C1231" s="5" t="inlineStr">
        <is>
          <t>01a1212c-4b57-70cf-80fd-c2192cb3bf81</t>
        </is>
      </c>
      <c r="D1231" s="4" t="n">
        <v>46304.62404571611</v>
      </c>
      <c r="E1231" s="4" t="n">
        <v>46304.62404571618</v>
      </c>
      <c r="F1231" t="b">
        <v>1</v>
      </c>
      <c r="G1231" t="n">
        <v/>
      </c>
      <c r="H1231" t="inlineStr">
        <is>
          <t>BKT</t>
        </is>
      </c>
      <c r="I1231" t="inlineStr">
        <is>
          <t>Black Rock Mining Ltd</t>
        </is>
      </c>
      <c r="J1231" t="inlineStr">
        <is>
          <t>AUD</t>
        </is>
      </c>
      <c r="K1231" s="5" t="inlineStr">
        <is>
          <t>01a1212c-4c04-75ce-bbb2-e3322e18816e</t>
        </is>
      </c>
      <c r="M1231" t="inlineStr">
        <is>
          <t>UNKNOWN</t>
        </is>
      </c>
      <c r="N1231" t="inlineStr">
        <is>
          <t>DEFAULT</t>
        </is>
      </c>
      <c r="Q1231" t="n">
        <v>0</v>
      </c>
      <c r="R1231" t="inlineStr">
        <is>
          <t>AUD</t>
        </is>
      </c>
      <c r="S1231" t="n">
        <v>0</v>
      </c>
      <c r="T1231" t="inlineStr">
        <is>
          <t>AUD</t>
        </is>
      </c>
      <c r="U1231" t="n">
        <v>0</v>
      </c>
    </row>
    <row r="1232">
      <c r="A1232" s="5" t="inlineStr">
        <is>
          <t>01a1212c-5b70-717c-b5c2-e151b6754323</t>
        </is>
      </c>
      <c r="C1232" s="5" t="inlineStr">
        <is>
          <t>01a1212c-4b57-70cf-80fd-c2192cb3bf81</t>
        </is>
      </c>
      <c r="D1232" s="4" t="n">
        <v>46304.6240457465</v>
      </c>
      <c r="E1232" s="4" t="n">
        <v>46304.62404574658</v>
      </c>
      <c r="F1232" t="b">
        <v>1</v>
      </c>
      <c r="G1232" t="n">
        <v/>
      </c>
      <c r="H1232" t="inlineStr">
        <is>
          <t>RDM</t>
        </is>
      </c>
      <c r="I1232" t="inlineStr">
        <is>
          <t>Red Metal Ltd</t>
        </is>
      </c>
      <c r="J1232" t="inlineStr">
        <is>
          <t>AUD</t>
        </is>
      </c>
      <c r="K1232" s="5" t="inlineStr">
        <is>
          <t>01a1212c-4c04-75ce-bbb2-e3322e18816e</t>
        </is>
      </c>
      <c r="M1232" t="inlineStr">
        <is>
          <t>UNKNOWN</t>
        </is>
      </c>
      <c r="N1232" t="inlineStr">
        <is>
          <t>DEFAULT</t>
        </is>
      </c>
      <c r="Q1232" t="n">
        <v>0</v>
      </c>
      <c r="R1232" t="inlineStr">
        <is>
          <t>AUD</t>
        </is>
      </c>
      <c r="S1232" t="n">
        <v>0</v>
      </c>
      <c r="T1232" t="inlineStr">
        <is>
          <t>AUD</t>
        </is>
      </c>
      <c r="U1232" t="n">
        <v>0</v>
      </c>
    </row>
    <row r="1233">
      <c r="A1233" s="5" t="inlineStr">
        <is>
          <t>01a1212c-5b73-777e-b2d8-84bc533b9ee5</t>
        </is>
      </c>
      <c r="C1233" s="5" t="inlineStr">
        <is>
          <t>01a1212c-4b57-70cf-80fd-c2192cb3bf81</t>
        </is>
      </c>
      <c r="D1233" s="4" t="n">
        <v>46304.62404577779</v>
      </c>
      <c r="E1233" s="4" t="n">
        <v>46304.62404577787</v>
      </c>
      <c r="F1233" t="b">
        <v>1</v>
      </c>
      <c r="G1233" t="n">
        <v/>
      </c>
      <c r="H1233" t="inlineStr">
        <is>
          <t>AVG</t>
        </is>
      </c>
      <c r="I1233" t="inlineStr">
        <is>
          <t>Australian Vintage Ltd</t>
        </is>
      </c>
      <c r="J1233" t="inlineStr">
        <is>
          <t>AUD</t>
        </is>
      </c>
      <c r="K1233" s="5" t="inlineStr">
        <is>
          <t>01a1212c-4c04-75ce-bbb2-e3322e18816e</t>
        </is>
      </c>
      <c r="M1233" t="inlineStr">
        <is>
          <t>UNKNOWN</t>
        </is>
      </c>
      <c r="N1233" t="inlineStr">
        <is>
          <t>DEFAULT</t>
        </is>
      </c>
      <c r="Q1233" t="n">
        <v>0</v>
      </c>
      <c r="R1233" t="inlineStr">
        <is>
          <t>AUD</t>
        </is>
      </c>
      <c r="S1233" t="n">
        <v>0</v>
      </c>
      <c r="T1233" t="inlineStr">
        <is>
          <t>AUD</t>
        </is>
      </c>
      <c r="U1233" t="n">
        <v>0</v>
      </c>
    </row>
    <row r="1234">
      <c r="A1234" s="5" t="inlineStr">
        <is>
          <t>01a1212c-5b75-76db-9bb8-cdff3b20729b</t>
        </is>
      </c>
      <c r="C1234" s="5" t="inlineStr">
        <is>
          <t>01a1212c-4b57-70cf-80fd-c2192cb3bf81</t>
        </is>
      </c>
      <c r="D1234" s="4" t="n">
        <v>46304.62404581031</v>
      </c>
      <c r="E1234" s="4" t="n">
        <v>46304.62404581039</v>
      </c>
      <c r="F1234" t="b">
        <v>1</v>
      </c>
      <c r="G1234" t="n">
        <v/>
      </c>
      <c r="H1234" t="inlineStr">
        <is>
          <t>CZR</t>
        </is>
      </c>
      <c r="I1234" t="inlineStr">
        <is>
          <t>CZR Resources Ltd</t>
        </is>
      </c>
      <c r="J1234" t="inlineStr">
        <is>
          <t>AUD</t>
        </is>
      </c>
      <c r="K1234" s="5" t="inlineStr">
        <is>
          <t>01a1212c-4c04-75ce-bbb2-e3322e18816e</t>
        </is>
      </c>
      <c r="M1234" t="inlineStr">
        <is>
          <t>UNKNOWN</t>
        </is>
      </c>
      <c r="N1234" t="inlineStr">
        <is>
          <t>DEFAULT</t>
        </is>
      </c>
      <c r="Q1234" t="n">
        <v>0</v>
      </c>
      <c r="R1234" t="inlineStr">
        <is>
          <t>AUD</t>
        </is>
      </c>
      <c r="S1234" t="n">
        <v>0</v>
      </c>
      <c r="T1234" t="inlineStr">
        <is>
          <t>AUD</t>
        </is>
      </c>
      <c r="U1234" t="n">
        <v>0</v>
      </c>
    </row>
    <row r="1235">
      <c r="A1235" s="5" t="inlineStr">
        <is>
          <t>01a1212c-5b78-75e2-bf72-ec95cb28fee1</t>
        </is>
      </c>
      <c r="C1235" s="5" t="inlineStr">
        <is>
          <t>01a1212c-4b57-70cf-80fd-c2192cb3bf81</t>
        </is>
      </c>
      <c r="D1235" s="4" t="n">
        <v>46304.6240458409</v>
      </c>
      <c r="E1235" s="4" t="n">
        <v>46304.62404584098</v>
      </c>
      <c r="F1235" t="b">
        <v>1</v>
      </c>
      <c r="G1235" t="n">
        <v/>
      </c>
      <c r="H1235" t="inlineStr">
        <is>
          <t>ATH</t>
        </is>
      </c>
      <c r="I1235" t="inlineStr">
        <is>
          <t>Alterity Therapeutics Ltd</t>
        </is>
      </c>
      <c r="J1235" t="inlineStr">
        <is>
          <t>AUD</t>
        </is>
      </c>
      <c r="K1235" s="5" t="inlineStr">
        <is>
          <t>01a1212c-4c04-75ce-bbb2-e3322e18816e</t>
        </is>
      </c>
      <c r="M1235" t="inlineStr">
        <is>
          <t>UNKNOWN</t>
        </is>
      </c>
      <c r="N1235" t="inlineStr">
        <is>
          <t>DEFAULT</t>
        </is>
      </c>
      <c r="Q1235" t="n">
        <v>0</v>
      </c>
      <c r="R1235" t="inlineStr">
        <is>
          <t>AUD</t>
        </is>
      </c>
      <c r="S1235" t="n">
        <v>0</v>
      </c>
      <c r="T1235" t="inlineStr">
        <is>
          <t>AUD</t>
        </is>
      </c>
      <c r="U1235" t="n">
        <v>0</v>
      </c>
    </row>
    <row r="1236">
      <c r="A1236" s="5" t="inlineStr">
        <is>
          <t>01a1212c-5b7b-7066-8cc4-5ae60ae492aa</t>
        </is>
      </c>
      <c r="C1236" s="5" t="inlineStr">
        <is>
          <t>01a1212c-4b57-70cf-80fd-c2192cb3bf81</t>
        </is>
      </c>
      <c r="D1236" s="4" t="n">
        <v>46304.62404587129</v>
      </c>
      <c r="E1236" s="4" t="n">
        <v>46304.62404587138</v>
      </c>
      <c r="F1236" t="b">
        <v>1</v>
      </c>
      <c r="G1236" t="n">
        <v/>
      </c>
      <c r="H1236" t="inlineStr">
        <is>
          <t>SNAS</t>
        </is>
      </c>
      <c r="I1236" t="inlineStr">
        <is>
          <t>Global X Ultra Short Nasdaq 100 Complex ETF</t>
        </is>
      </c>
      <c r="J1236" t="inlineStr">
        <is>
          <t>AUD</t>
        </is>
      </c>
      <c r="K1236" s="5" t="inlineStr">
        <is>
          <t>01a1212c-4c04-75ce-bbb2-e3322e18816e</t>
        </is>
      </c>
      <c r="M1236" t="inlineStr">
        <is>
          <t>UNKNOWN</t>
        </is>
      </c>
      <c r="N1236" t="inlineStr">
        <is>
          <t>DEFAULT</t>
        </is>
      </c>
      <c r="Q1236" t="n">
        <v>0</v>
      </c>
      <c r="R1236" t="inlineStr">
        <is>
          <t>AUD</t>
        </is>
      </c>
      <c r="S1236" t="n">
        <v>0</v>
      </c>
      <c r="T1236" t="inlineStr">
        <is>
          <t>AUD</t>
        </is>
      </c>
      <c r="U1236" t="n">
        <v>0</v>
      </c>
    </row>
    <row r="1237">
      <c r="A1237" s="5" t="inlineStr">
        <is>
          <t>01a1212c-5b7d-7371-98f1-b1f1c335e845</t>
        </is>
      </c>
      <c r="C1237" s="5" t="inlineStr">
        <is>
          <t>01a1212c-4b57-70cf-80fd-c2192cb3bf81</t>
        </is>
      </c>
      <c r="D1237" s="4" t="n">
        <v>46304.62404590191</v>
      </c>
      <c r="E1237" s="4" t="n">
        <v>46304.62404590199</v>
      </c>
      <c r="F1237" t="b">
        <v>1</v>
      </c>
      <c r="G1237" t="n">
        <v/>
      </c>
      <c r="H1237" t="inlineStr">
        <is>
          <t>IRD</t>
        </is>
      </c>
      <c r="I1237" t="inlineStr">
        <is>
          <t>Iron Road Ltd</t>
        </is>
      </c>
      <c r="J1237" t="inlineStr">
        <is>
          <t>AUD</t>
        </is>
      </c>
      <c r="K1237" s="5" t="inlineStr">
        <is>
          <t>01a1212c-4c04-75ce-bbb2-e3322e18816e</t>
        </is>
      </c>
      <c r="M1237" t="inlineStr">
        <is>
          <t>UNKNOWN</t>
        </is>
      </c>
      <c r="N1237" t="inlineStr">
        <is>
          <t>DEFAULT</t>
        </is>
      </c>
      <c r="Q1237" t="n">
        <v>0</v>
      </c>
      <c r="R1237" t="inlineStr">
        <is>
          <t>AUD</t>
        </is>
      </c>
      <c r="S1237" t="n">
        <v>0</v>
      </c>
      <c r="T1237" t="inlineStr">
        <is>
          <t>AUD</t>
        </is>
      </c>
      <c r="U1237" t="n">
        <v>0</v>
      </c>
    </row>
    <row r="1238">
      <c r="A1238" s="5" t="inlineStr">
        <is>
          <t>01a1212c-5b80-76a1-a64f-02c7233131c3</t>
        </is>
      </c>
      <c r="C1238" s="5" t="inlineStr">
        <is>
          <t>01a1212c-4b57-70cf-80fd-c2192cb3bf81</t>
        </is>
      </c>
      <c r="D1238" s="4" t="n">
        <v>46304.62404593246</v>
      </c>
      <c r="E1238" s="4" t="n">
        <v>46304.62404593255</v>
      </c>
      <c r="F1238" t="b">
        <v>1</v>
      </c>
      <c r="G1238" t="n">
        <v/>
      </c>
      <c r="H1238" t="inlineStr">
        <is>
          <t>AGR</t>
        </is>
      </c>
      <c r="I1238" t="inlineStr">
        <is>
          <t>Aguia Resources Ltd</t>
        </is>
      </c>
      <c r="J1238" t="inlineStr">
        <is>
          <t>AUD</t>
        </is>
      </c>
      <c r="K1238" s="5" t="inlineStr">
        <is>
          <t>01a1212c-4c04-75ce-bbb2-e3322e18816e</t>
        </is>
      </c>
      <c r="M1238" t="inlineStr">
        <is>
          <t>UNKNOWN</t>
        </is>
      </c>
      <c r="N1238" t="inlineStr">
        <is>
          <t>DEFAULT</t>
        </is>
      </c>
      <c r="Q1238" t="n">
        <v>0</v>
      </c>
      <c r="R1238" t="inlineStr">
        <is>
          <t>AUD</t>
        </is>
      </c>
      <c r="S1238" t="n">
        <v>0</v>
      </c>
      <c r="T1238" t="inlineStr">
        <is>
          <t>AUD</t>
        </is>
      </c>
      <c r="U1238" t="n">
        <v>0</v>
      </c>
    </row>
    <row r="1239">
      <c r="A1239" s="5" t="inlineStr">
        <is>
          <t>01a1212c-5b83-7559-951c-e37077cb82a9</t>
        </is>
      </c>
      <c r="C1239" s="5" t="inlineStr">
        <is>
          <t>01a1212c-4b57-70cf-80fd-c2192cb3bf81</t>
        </is>
      </c>
      <c r="D1239" s="4" t="n">
        <v>46304.62404596584</v>
      </c>
      <c r="E1239" s="4" t="n">
        <v>46304.6240459659</v>
      </c>
      <c r="F1239" t="b">
        <v>1</v>
      </c>
      <c r="G1239" t="n">
        <v/>
      </c>
      <c r="H1239" t="inlineStr">
        <is>
          <t>AGY</t>
        </is>
      </c>
      <c r="I1239" t="inlineStr">
        <is>
          <t>Argosy Minerals Ltd</t>
        </is>
      </c>
      <c r="J1239" t="inlineStr">
        <is>
          <t>AUD</t>
        </is>
      </c>
      <c r="K1239" s="5" t="inlineStr">
        <is>
          <t>01a1212c-4c04-75ce-bbb2-e3322e18816e</t>
        </is>
      </c>
      <c r="M1239" t="inlineStr">
        <is>
          <t>UNKNOWN</t>
        </is>
      </c>
      <c r="N1239" t="inlineStr">
        <is>
          <t>DEFAULT</t>
        </is>
      </c>
      <c r="Q1239" t="n">
        <v>0</v>
      </c>
      <c r="R1239" t="inlineStr">
        <is>
          <t>AUD</t>
        </is>
      </c>
      <c r="S1239" t="n">
        <v>0</v>
      </c>
      <c r="T1239" t="inlineStr">
        <is>
          <t>AUD</t>
        </is>
      </c>
      <c r="U1239" t="n">
        <v>0</v>
      </c>
    </row>
    <row r="1240">
      <c r="A1240" s="5" t="inlineStr">
        <is>
          <t>01a1212c-5b86-71e3-8e6d-6ec010c4777c</t>
        </is>
      </c>
      <c r="C1240" s="5" t="inlineStr">
        <is>
          <t>01a1212c-4b57-70cf-80fd-c2192cb3bf81</t>
        </is>
      </c>
      <c r="D1240" s="4" t="n">
        <v>46304.62404599663</v>
      </c>
      <c r="E1240" s="4" t="n">
        <v>46304.6240459967</v>
      </c>
      <c r="F1240" t="b">
        <v>1</v>
      </c>
      <c r="G1240" t="n">
        <v/>
      </c>
      <c r="H1240" t="inlineStr">
        <is>
          <t>PEB</t>
        </is>
      </c>
      <c r="I1240" t="inlineStr">
        <is>
          <t>Pacific Edge Ltd</t>
        </is>
      </c>
      <c r="J1240" t="inlineStr">
        <is>
          <t>AUD</t>
        </is>
      </c>
      <c r="K1240" s="5" t="inlineStr">
        <is>
          <t>01a1212c-4c04-75ce-bbb2-e3322e18816e</t>
        </is>
      </c>
      <c r="M1240" t="inlineStr">
        <is>
          <t>UNKNOWN</t>
        </is>
      </c>
      <c r="N1240" t="inlineStr">
        <is>
          <t>DEFAULT</t>
        </is>
      </c>
      <c r="Q1240" t="n">
        <v>0</v>
      </c>
      <c r="R1240" t="inlineStr">
        <is>
          <t>AUD</t>
        </is>
      </c>
      <c r="S1240" t="n">
        <v>0</v>
      </c>
      <c r="T1240" t="inlineStr">
        <is>
          <t>AUD</t>
        </is>
      </c>
      <c r="U1240" t="n">
        <v>0</v>
      </c>
    </row>
    <row r="1241">
      <c r="A1241" s="5" t="inlineStr">
        <is>
          <t>01a1212c-5b88-7424-8883-b336d1218396</t>
        </is>
      </c>
      <c r="C1241" s="5" t="inlineStr">
        <is>
          <t>01a1212c-4b57-70cf-80fd-c2192cb3bf81</t>
        </is>
      </c>
      <c r="D1241" s="4" t="n">
        <v>46304.62404602703</v>
      </c>
      <c r="E1241" s="4" t="n">
        <v>46304.62404602711</v>
      </c>
      <c r="F1241" t="b">
        <v>1</v>
      </c>
      <c r="G1241" t="n">
        <v/>
      </c>
      <c r="H1241" t="inlineStr">
        <is>
          <t>MQIO</t>
        </is>
      </c>
      <c r="I1241" t="inlineStr">
        <is>
          <t>Macquarie Income Opp Active ETF (Managed Fund)</t>
        </is>
      </c>
      <c r="J1241" t="inlineStr">
        <is>
          <t>AUD</t>
        </is>
      </c>
      <c r="K1241" s="5" t="inlineStr">
        <is>
          <t>01a1212c-4c04-75ce-bbb2-e3322e18816e</t>
        </is>
      </c>
      <c r="M1241" t="inlineStr">
        <is>
          <t>UNKNOWN</t>
        </is>
      </c>
      <c r="N1241" t="inlineStr">
        <is>
          <t>DEFAULT</t>
        </is>
      </c>
      <c r="Q1241" t="n">
        <v>0</v>
      </c>
      <c r="R1241" t="inlineStr">
        <is>
          <t>AUD</t>
        </is>
      </c>
      <c r="S1241" t="n">
        <v>0</v>
      </c>
      <c r="T1241" t="inlineStr">
        <is>
          <t>AUD</t>
        </is>
      </c>
      <c r="U1241" t="n">
        <v>0</v>
      </c>
    </row>
    <row r="1242">
      <c r="A1242" s="5" t="inlineStr">
        <is>
          <t>01a1212c-5b8b-73d0-859e-812e7ff026e9</t>
        </is>
      </c>
      <c r="C1242" s="5" t="inlineStr">
        <is>
          <t>01a1212c-4b57-70cf-80fd-c2192cb3bf81</t>
        </is>
      </c>
      <c r="D1242" s="4" t="n">
        <v>46304.62404605764</v>
      </c>
      <c r="E1242" s="4" t="n">
        <v>46304.62404605772</v>
      </c>
      <c r="F1242" t="b">
        <v>1</v>
      </c>
      <c r="G1242" t="n">
        <v/>
      </c>
      <c r="H1242" t="inlineStr">
        <is>
          <t>GFL</t>
        </is>
      </c>
      <c r="I1242" t="inlineStr">
        <is>
          <t>Global Masters Fund Ltd</t>
        </is>
      </c>
      <c r="J1242" t="inlineStr">
        <is>
          <t>AUD</t>
        </is>
      </c>
      <c r="K1242" s="5" t="inlineStr">
        <is>
          <t>01a1212c-4c04-75ce-bbb2-e3322e18816e</t>
        </is>
      </c>
      <c r="M1242" t="inlineStr">
        <is>
          <t>UNKNOWN</t>
        </is>
      </c>
      <c r="N1242" t="inlineStr">
        <is>
          <t>DEFAULT</t>
        </is>
      </c>
      <c r="Q1242" t="n">
        <v>0</v>
      </c>
      <c r="R1242" t="inlineStr">
        <is>
          <t>AUD</t>
        </is>
      </c>
      <c r="S1242" t="n">
        <v>0</v>
      </c>
      <c r="T1242" t="inlineStr">
        <is>
          <t>AUD</t>
        </is>
      </c>
      <c r="U1242" t="n">
        <v>0</v>
      </c>
    </row>
    <row r="1243">
      <c r="A1243" s="5" t="inlineStr">
        <is>
          <t>01a1212c-5b8e-7138-a3b6-4e92169604e7</t>
        </is>
      </c>
      <c r="C1243" s="5" t="inlineStr">
        <is>
          <t>01a1212c-4b57-70cf-80fd-c2192cb3bf81</t>
        </is>
      </c>
      <c r="D1243" s="4" t="n">
        <v>46304.62404608994</v>
      </c>
      <c r="E1243" s="4" t="n">
        <v>46304.62404609001</v>
      </c>
      <c r="F1243" t="b">
        <v>1</v>
      </c>
      <c r="G1243" t="n">
        <v/>
      </c>
      <c r="H1243" t="inlineStr">
        <is>
          <t>EGR</t>
        </is>
      </c>
      <c r="I1243" t="inlineStr">
        <is>
          <t>Ecograf Ltd</t>
        </is>
      </c>
      <c r="J1243" t="inlineStr">
        <is>
          <t>AUD</t>
        </is>
      </c>
      <c r="K1243" s="5" t="inlineStr">
        <is>
          <t>01a1212c-4c04-75ce-bbb2-e3322e18816e</t>
        </is>
      </c>
      <c r="M1243" t="inlineStr">
        <is>
          <t>UNKNOWN</t>
        </is>
      </c>
      <c r="N1243" t="inlineStr">
        <is>
          <t>DEFAULT</t>
        </is>
      </c>
      <c r="Q1243" t="n">
        <v>0</v>
      </c>
      <c r="R1243" t="inlineStr">
        <is>
          <t>AUD</t>
        </is>
      </c>
      <c r="S1243" t="n">
        <v>0</v>
      </c>
      <c r="T1243" t="inlineStr">
        <is>
          <t>AUD</t>
        </is>
      </c>
      <c r="U1243" t="n">
        <v>0</v>
      </c>
    </row>
    <row r="1244">
      <c r="A1244" s="5" t="inlineStr">
        <is>
          <t>01a1212c-5b90-751e-99be-3937ea1b4687</t>
        </is>
      </c>
      <c r="C1244" s="5" t="inlineStr">
        <is>
          <t>01a1212c-4b57-70cf-80fd-c2192cb3bf81</t>
        </is>
      </c>
      <c r="D1244" s="4" t="n">
        <v>46304.62404612061</v>
      </c>
      <c r="E1244" s="4" t="n">
        <v>46304.6240461207</v>
      </c>
      <c r="F1244" t="b">
        <v>1</v>
      </c>
      <c r="G1244" t="n">
        <v/>
      </c>
      <c r="H1244" t="inlineStr">
        <is>
          <t>YRL</t>
        </is>
      </c>
      <c r="I1244" t="inlineStr">
        <is>
          <t>Yandal Resources Ltd</t>
        </is>
      </c>
      <c r="J1244" t="inlineStr">
        <is>
          <t>AUD</t>
        </is>
      </c>
      <c r="K1244" s="5" t="inlineStr">
        <is>
          <t>01a1212c-4c04-75ce-bbb2-e3322e18816e</t>
        </is>
      </c>
      <c r="M1244" t="inlineStr">
        <is>
          <t>UNKNOWN</t>
        </is>
      </c>
      <c r="N1244" t="inlineStr">
        <is>
          <t>DEFAULT</t>
        </is>
      </c>
      <c r="Q1244" t="n">
        <v>0</v>
      </c>
      <c r="R1244" t="inlineStr">
        <is>
          <t>AUD</t>
        </is>
      </c>
      <c r="S1244" t="n">
        <v>0</v>
      </c>
      <c r="T1244" t="inlineStr">
        <is>
          <t>AUD</t>
        </is>
      </c>
      <c r="U1244" t="n">
        <v>0</v>
      </c>
    </row>
    <row r="1245">
      <c r="A1245" s="5" t="inlineStr">
        <is>
          <t>01a1212c-5b93-74cd-b33b-e9b686dd44b2</t>
        </is>
      </c>
      <c r="C1245" s="5" t="inlineStr">
        <is>
          <t>01a1212c-4b57-70cf-80fd-c2192cb3bf81</t>
        </is>
      </c>
      <c r="D1245" s="4" t="n">
        <v>46304.62404615182</v>
      </c>
      <c r="E1245" s="4" t="n">
        <v>46304.6240461519</v>
      </c>
      <c r="F1245" t="b">
        <v>1</v>
      </c>
      <c r="G1245" t="n">
        <v/>
      </c>
      <c r="H1245" t="inlineStr">
        <is>
          <t>AVC</t>
        </is>
      </c>
      <c r="I1245" t="inlineStr">
        <is>
          <t>Auctus Investment Group Ltd</t>
        </is>
      </c>
      <c r="J1245" t="inlineStr">
        <is>
          <t>AUD</t>
        </is>
      </c>
      <c r="K1245" s="5" t="inlineStr">
        <is>
          <t>01a1212c-4c04-75ce-bbb2-e3322e18816e</t>
        </is>
      </c>
      <c r="M1245" t="inlineStr">
        <is>
          <t>UNKNOWN</t>
        </is>
      </c>
      <c r="N1245" t="inlineStr">
        <is>
          <t>DEFAULT</t>
        </is>
      </c>
      <c r="Q1245" t="n">
        <v>0</v>
      </c>
      <c r="R1245" t="inlineStr">
        <is>
          <t>AUD</t>
        </is>
      </c>
      <c r="S1245" t="n">
        <v>0</v>
      </c>
      <c r="T1245" t="inlineStr">
        <is>
          <t>AUD</t>
        </is>
      </c>
      <c r="U1245" t="n">
        <v>0</v>
      </c>
    </row>
    <row r="1246">
      <c r="A1246" s="5" t="inlineStr">
        <is>
          <t>01a1212c-5b96-72eb-bd12-77e1b41ac541</t>
        </is>
      </c>
      <c r="C1246" s="5" t="inlineStr">
        <is>
          <t>01a1212c-4b57-70cf-80fd-c2192cb3bf81</t>
        </is>
      </c>
      <c r="D1246" s="4" t="n">
        <v>46304.62404618345</v>
      </c>
      <c r="E1246" s="4" t="n">
        <v>46304.62404618352</v>
      </c>
      <c r="F1246" t="b">
        <v>1</v>
      </c>
      <c r="G1246" t="n">
        <v/>
      </c>
      <c r="H1246" t="inlineStr">
        <is>
          <t>JAT</t>
        </is>
      </c>
      <c r="I1246" t="inlineStr">
        <is>
          <t>Jatcorp Ltd</t>
        </is>
      </c>
      <c r="J1246" t="inlineStr">
        <is>
          <t>AUD</t>
        </is>
      </c>
      <c r="K1246" s="5" t="inlineStr">
        <is>
          <t>01a1212c-4c04-75ce-bbb2-e3322e18816e</t>
        </is>
      </c>
      <c r="M1246" t="inlineStr">
        <is>
          <t>UNKNOWN</t>
        </is>
      </c>
      <c r="N1246" t="inlineStr">
        <is>
          <t>DEFAULT</t>
        </is>
      </c>
      <c r="Q1246" t="n">
        <v>0</v>
      </c>
      <c r="R1246" t="inlineStr">
        <is>
          <t>AUD</t>
        </is>
      </c>
      <c r="S1246" t="n">
        <v>0</v>
      </c>
      <c r="T1246" t="inlineStr">
        <is>
          <t>AUD</t>
        </is>
      </c>
      <c r="U1246" t="n">
        <v>0</v>
      </c>
    </row>
    <row r="1247">
      <c r="A1247" s="5" t="inlineStr">
        <is>
          <t>01a1212c-5b98-7794-86cb-50f4458f99a6</t>
        </is>
      </c>
      <c r="C1247" s="5" t="inlineStr">
        <is>
          <t>01a1212c-4b57-70cf-80fd-c2192cb3bf81</t>
        </is>
      </c>
      <c r="D1247" s="4" t="n">
        <v>46304.62404621563</v>
      </c>
      <c r="E1247" s="4" t="n">
        <v>46304.62404621571</v>
      </c>
      <c r="F1247" t="b">
        <v>1</v>
      </c>
      <c r="G1247" t="n">
        <v/>
      </c>
      <c r="H1247" t="inlineStr">
        <is>
          <t>CHW</t>
        </is>
      </c>
      <c r="I1247" t="inlineStr">
        <is>
          <t>Chilwa Minerals Ltd</t>
        </is>
      </c>
      <c r="J1247" t="inlineStr">
        <is>
          <t>AUD</t>
        </is>
      </c>
      <c r="K1247" s="5" t="inlineStr">
        <is>
          <t>01a1212c-4c04-75ce-bbb2-e3322e18816e</t>
        </is>
      </c>
      <c r="M1247" t="inlineStr">
        <is>
          <t>UNKNOWN</t>
        </is>
      </c>
      <c r="N1247" t="inlineStr">
        <is>
          <t>DEFAULT</t>
        </is>
      </c>
      <c r="Q1247" t="n">
        <v>0</v>
      </c>
      <c r="R1247" t="inlineStr">
        <is>
          <t>AUD</t>
        </is>
      </c>
      <c r="S1247" t="n">
        <v>0</v>
      </c>
      <c r="T1247" t="inlineStr">
        <is>
          <t>AUD</t>
        </is>
      </c>
      <c r="U1247" t="n">
        <v>0</v>
      </c>
    </row>
    <row r="1248">
      <c r="A1248" s="5" t="inlineStr">
        <is>
          <t>01a1212c-5b9b-719d-b779-a88d202aa54f</t>
        </is>
      </c>
      <c r="C1248" s="5" t="inlineStr">
        <is>
          <t>01a1212c-4b57-70cf-80fd-c2192cb3bf81</t>
        </is>
      </c>
      <c r="D1248" s="4" t="n">
        <v>46304.6240462509</v>
      </c>
      <c r="E1248" s="4" t="n">
        <v>46304.624046251</v>
      </c>
      <c r="F1248" t="b">
        <v>1</v>
      </c>
      <c r="G1248" t="n">
        <v/>
      </c>
      <c r="H1248" t="inlineStr">
        <is>
          <t>DRE</t>
        </is>
      </c>
      <c r="I1248" t="inlineStr">
        <is>
          <t>Dreadnought Resources Ltd</t>
        </is>
      </c>
      <c r="J1248" t="inlineStr">
        <is>
          <t>AUD</t>
        </is>
      </c>
      <c r="K1248" s="5" t="inlineStr">
        <is>
          <t>01a1212c-4c04-75ce-bbb2-e3322e18816e</t>
        </is>
      </c>
      <c r="M1248" t="inlineStr">
        <is>
          <t>UNKNOWN</t>
        </is>
      </c>
      <c r="N1248" t="inlineStr">
        <is>
          <t>DEFAULT</t>
        </is>
      </c>
      <c r="Q1248" t="n">
        <v>0</v>
      </c>
      <c r="R1248" t="inlineStr">
        <is>
          <t>AUD</t>
        </is>
      </c>
      <c r="S1248" t="n">
        <v>0</v>
      </c>
      <c r="T1248" t="inlineStr">
        <is>
          <t>AUD</t>
        </is>
      </c>
      <c r="U1248" t="n">
        <v>0</v>
      </c>
    </row>
    <row r="1249">
      <c r="A1249" s="5" t="inlineStr">
        <is>
          <t>01a1212c-5b9e-75af-b7c8-0786e7427ff5</t>
        </is>
      </c>
      <c r="C1249" s="5" t="inlineStr">
        <is>
          <t>01a1212c-4b57-70cf-80fd-c2192cb3bf81</t>
        </is>
      </c>
      <c r="D1249" s="4" t="n">
        <v>46304.62404628266</v>
      </c>
      <c r="E1249" s="4" t="n">
        <v>46304.62404628274</v>
      </c>
      <c r="F1249" t="b">
        <v>1</v>
      </c>
      <c r="G1249" t="n">
        <v/>
      </c>
      <c r="H1249" t="inlineStr">
        <is>
          <t>LEL</t>
        </is>
      </c>
      <c r="I1249" t="inlineStr">
        <is>
          <t>Lithium Energy Ltd</t>
        </is>
      </c>
      <c r="J1249" t="inlineStr">
        <is>
          <t>AUD</t>
        </is>
      </c>
      <c r="K1249" s="5" t="inlineStr">
        <is>
          <t>01a1212c-4c04-75ce-bbb2-e3322e18816e</t>
        </is>
      </c>
      <c r="M1249" t="inlineStr">
        <is>
          <t>UNKNOWN</t>
        </is>
      </c>
      <c r="N1249" t="inlineStr">
        <is>
          <t>DEFAULT</t>
        </is>
      </c>
      <c r="Q1249" t="n">
        <v>0</v>
      </c>
      <c r="R1249" t="inlineStr">
        <is>
          <t>AUD</t>
        </is>
      </c>
      <c r="S1249" t="n">
        <v>0</v>
      </c>
      <c r="T1249" t="inlineStr">
        <is>
          <t>AUD</t>
        </is>
      </c>
      <c r="U1249" t="n">
        <v>0</v>
      </c>
    </row>
    <row r="1250">
      <c r="A1250" s="5" t="inlineStr">
        <is>
          <t>01a1212c-5ba1-70b7-9328-00e45aa2c694</t>
        </is>
      </c>
      <c r="C1250" s="5" t="inlineStr">
        <is>
          <t>01a1212c-4b57-70cf-80fd-c2192cb3bf81</t>
        </is>
      </c>
      <c r="D1250" s="4" t="n">
        <v>46304.6240463144</v>
      </c>
      <c r="E1250" s="4" t="n">
        <v>46304.62404631448</v>
      </c>
      <c r="F1250" t="b">
        <v>1</v>
      </c>
      <c r="G1250" t="n">
        <v/>
      </c>
      <c r="H1250" t="inlineStr">
        <is>
          <t>KAU</t>
        </is>
      </c>
      <c r="I1250" t="inlineStr">
        <is>
          <t>Kaiser Reef Ltd</t>
        </is>
      </c>
      <c r="J1250" t="inlineStr">
        <is>
          <t>AUD</t>
        </is>
      </c>
      <c r="K1250" s="5" t="inlineStr">
        <is>
          <t>01a1212c-4c04-75ce-bbb2-e3322e18816e</t>
        </is>
      </c>
      <c r="M1250" t="inlineStr">
        <is>
          <t>UNKNOWN</t>
        </is>
      </c>
      <c r="N1250" t="inlineStr">
        <is>
          <t>DEFAULT</t>
        </is>
      </c>
      <c r="Q1250" t="n">
        <v>0</v>
      </c>
      <c r="R1250" t="inlineStr">
        <is>
          <t>AUD</t>
        </is>
      </c>
      <c r="S1250" t="n">
        <v>0</v>
      </c>
      <c r="T1250" t="inlineStr">
        <is>
          <t>AUD</t>
        </is>
      </c>
      <c r="U1250" t="n">
        <v>0</v>
      </c>
    </row>
    <row r="1251">
      <c r="A1251" s="5" t="inlineStr">
        <is>
          <t>01a1212c-5ba4-7246-ab26-d63f8583f091</t>
        </is>
      </c>
      <c r="C1251" s="5" t="inlineStr">
        <is>
          <t>01a1212c-4b57-70cf-80fd-c2192cb3bf81</t>
        </is>
      </c>
      <c r="D1251" s="4" t="n">
        <v>46304.62404634846</v>
      </c>
      <c r="E1251" s="4" t="n">
        <v>46304.62404634855</v>
      </c>
      <c r="F1251" t="b">
        <v>1</v>
      </c>
      <c r="G1251" t="n">
        <v/>
      </c>
      <c r="H1251" t="inlineStr">
        <is>
          <t>AVD</t>
        </is>
      </c>
      <c r="I1251" t="inlineStr">
        <is>
          <t>Avada Group Ltd</t>
        </is>
      </c>
      <c r="J1251" t="inlineStr">
        <is>
          <t>AUD</t>
        </is>
      </c>
      <c r="K1251" s="5" t="inlineStr">
        <is>
          <t>01a1212c-4c04-75ce-bbb2-e3322e18816e</t>
        </is>
      </c>
      <c r="M1251" t="inlineStr">
        <is>
          <t>UNKNOWN</t>
        </is>
      </c>
      <c r="N1251" t="inlineStr">
        <is>
          <t>DEFAULT</t>
        </is>
      </c>
      <c r="Q1251" t="n">
        <v>0</v>
      </c>
      <c r="R1251" t="inlineStr">
        <is>
          <t>AUD</t>
        </is>
      </c>
      <c r="S1251" t="n">
        <v>0</v>
      </c>
      <c r="T1251" t="inlineStr">
        <is>
          <t>AUD</t>
        </is>
      </c>
      <c r="U1251" t="n">
        <v>0</v>
      </c>
    </row>
    <row r="1252">
      <c r="A1252" s="5" t="inlineStr">
        <is>
          <t>01a1212c-5ba7-724a-b979-da2d83ff34f6</t>
        </is>
      </c>
      <c r="C1252" s="5" t="inlineStr">
        <is>
          <t>01a1212c-4b57-70cf-80fd-c2192cb3bf81</t>
        </is>
      </c>
      <c r="D1252" s="4" t="n">
        <v>46304.62404638236</v>
      </c>
      <c r="E1252" s="4" t="n">
        <v>46304.62404638245</v>
      </c>
      <c r="F1252" t="b">
        <v>1</v>
      </c>
      <c r="G1252" t="n">
        <v/>
      </c>
      <c r="H1252" t="inlineStr">
        <is>
          <t>IDA</t>
        </is>
      </c>
      <c r="I1252" t="inlineStr">
        <is>
          <t>Indiana Resources Ltd</t>
        </is>
      </c>
      <c r="J1252" t="inlineStr">
        <is>
          <t>AUD</t>
        </is>
      </c>
      <c r="K1252" s="5" t="inlineStr">
        <is>
          <t>01a1212c-4c04-75ce-bbb2-e3322e18816e</t>
        </is>
      </c>
      <c r="M1252" t="inlineStr">
        <is>
          <t>UNKNOWN</t>
        </is>
      </c>
      <c r="N1252" t="inlineStr">
        <is>
          <t>DEFAULT</t>
        </is>
      </c>
      <c r="Q1252" t="n">
        <v>0</v>
      </c>
      <c r="R1252" t="inlineStr">
        <is>
          <t>AUD</t>
        </is>
      </c>
      <c r="S1252" t="n">
        <v>0</v>
      </c>
      <c r="T1252" t="inlineStr">
        <is>
          <t>AUD</t>
        </is>
      </c>
      <c r="U1252" t="n">
        <v>0</v>
      </c>
    </row>
    <row r="1253">
      <c r="A1253" s="5" t="inlineStr">
        <is>
          <t>01a1212c-5baa-773a-a1f6-499d0afc82cf</t>
        </is>
      </c>
      <c r="C1253" s="5" t="inlineStr">
        <is>
          <t>01a1212c-4b57-70cf-80fd-c2192cb3bf81</t>
        </is>
      </c>
      <c r="D1253" s="4" t="n">
        <v>46304.62404641438</v>
      </c>
      <c r="E1253" s="4" t="n">
        <v>46304.62404641448</v>
      </c>
      <c r="F1253" t="b">
        <v>1</v>
      </c>
      <c r="G1253" t="n">
        <v/>
      </c>
      <c r="H1253" t="inlineStr">
        <is>
          <t>FXG</t>
        </is>
      </c>
      <c r="I1253" t="inlineStr">
        <is>
          <t>FELIX Gold Ltd</t>
        </is>
      </c>
      <c r="J1253" t="inlineStr">
        <is>
          <t>AUD</t>
        </is>
      </c>
      <c r="K1253" s="5" t="inlineStr">
        <is>
          <t>01a1212c-4c04-75ce-bbb2-e3322e18816e</t>
        </is>
      </c>
      <c r="M1253" t="inlineStr">
        <is>
          <t>UNKNOWN</t>
        </is>
      </c>
      <c r="N1253" t="inlineStr">
        <is>
          <t>DEFAULT</t>
        </is>
      </c>
      <c r="Q1253" t="n">
        <v>0</v>
      </c>
      <c r="R1253" t="inlineStr">
        <is>
          <t>AUD</t>
        </is>
      </c>
      <c r="S1253" t="n">
        <v>0</v>
      </c>
      <c r="T1253" t="inlineStr">
        <is>
          <t>AUD</t>
        </is>
      </c>
      <c r="U1253" t="n">
        <v>0</v>
      </c>
    </row>
    <row r="1254">
      <c r="A1254" s="5" t="inlineStr">
        <is>
          <t>01a1212c-5bac-714d-8d7b-674aa60643e1</t>
        </is>
      </c>
      <c r="C1254" s="5" t="inlineStr">
        <is>
          <t>01a1212c-4b57-70cf-80fd-c2192cb3bf81</t>
        </is>
      </c>
      <c r="D1254" s="4" t="n">
        <v>46304.62404644518</v>
      </c>
      <c r="E1254" s="4" t="n">
        <v>46304.62404644526</v>
      </c>
      <c r="F1254" t="b">
        <v>1</v>
      </c>
      <c r="G1254" t="n">
        <v/>
      </c>
      <c r="H1254" t="inlineStr">
        <is>
          <t>WWI</t>
        </is>
      </c>
      <c r="I1254" t="inlineStr">
        <is>
          <t>West Wits Mining Ltd</t>
        </is>
      </c>
      <c r="J1254" t="inlineStr">
        <is>
          <t>AUD</t>
        </is>
      </c>
      <c r="K1254" s="5" t="inlineStr">
        <is>
          <t>01a1212c-4c04-75ce-bbb2-e3322e18816e</t>
        </is>
      </c>
      <c r="M1254" t="inlineStr">
        <is>
          <t>UNKNOWN</t>
        </is>
      </c>
      <c r="N1254" t="inlineStr">
        <is>
          <t>DEFAULT</t>
        </is>
      </c>
      <c r="Q1254" t="n">
        <v>0</v>
      </c>
      <c r="R1254" t="inlineStr">
        <is>
          <t>AUD</t>
        </is>
      </c>
      <c r="S1254" t="n">
        <v>0</v>
      </c>
      <c r="T1254" t="inlineStr">
        <is>
          <t>AUD</t>
        </is>
      </c>
      <c r="U1254" t="n">
        <v>0</v>
      </c>
    </row>
    <row r="1255">
      <c r="A1255" s="5" t="inlineStr">
        <is>
          <t>01a1212c-5baf-70f9-a5fa-32b496e8dc1c</t>
        </is>
      </c>
      <c r="C1255" s="5" t="inlineStr">
        <is>
          <t>01a1212c-4b57-70cf-80fd-c2192cb3bf81</t>
        </is>
      </c>
      <c r="D1255" s="4" t="n">
        <v>46304.62404648036</v>
      </c>
      <c r="E1255" s="4" t="n">
        <v>46304.62404648044</v>
      </c>
      <c r="F1255" t="b">
        <v>1</v>
      </c>
      <c r="G1255" t="n">
        <v/>
      </c>
      <c r="H1255" t="inlineStr">
        <is>
          <t>NXS</t>
        </is>
      </c>
      <c r="I1255" t="inlineStr">
        <is>
          <t>Next Science Ltd</t>
        </is>
      </c>
      <c r="J1255" t="inlineStr">
        <is>
          <t>AUD</t>
        </is>
      </c>
      <c r="K1255" s="5" t="inlineStr">
        <is>
          <t>01a1212c-4c04-75ce-bbb2-e3322e18816e</t>
        </is>
      </c>
      <c r="M1255" t="inlineStr">
        <is>
          <t>UNKNOWN</t>
        </is>
      </c>
      <c r="N1255" t="inlineStr">
        <is>
          <t>DEFAULT</t>
        </is>
      </c>
      <c r="Q1255" t="n">
        <v>0</v>
      </c>
      <c r="R1255" t="inlineStr">
        <is>
          <t>AUD</t>
        </is>
      </c>
      <c r="S1255" t="n">
        <v>0</v>
      </c>
      <c r="T1255" t="inlineStr">
        <is>
          <t>AUD</t>
        </is>
      </c>
      <c r="U1255" t="n">
        <v>0</v>
      </c>
    </row>
    <row r="1256">
      <c r="A1256" s="5" t="inlineStr">
        <is>
          <t>01a1212c-5bb2-700a-80aa-32cc38273b10</t>
        </is>
      </c>
      <c r="C1256" s="5" t="inlineStr">
        <is>
          <t>01a1212c-4b57-70cf-80fd-c2192cb3bf81</t>
        </is>
      </c>
      <c r="D1256" s="4" t="n">
        <v>46304.62404651087</v>
      </c>
      <c r="E1256" s="4" t="n">
        <v>46304.62404651095</v>
      </c>
      <c r="F1256" t="b">
        <v>1</v>
      </c>
      <c r="G1256" t="n">
        <v/>
      </c>
      <c r="H1256" t="inlineStr">
        <is>
          <t>FLX</t>
        </is>
      </c>
      <c r="I1256" t="inlineStr">
        <is>
          <t>FELIX Group Holdings Ltd</t>
        </is>
      </c>
      <c r="J1256" t="inlineStr">
        <is>
          <t>AUD</t>
        </is>
      </c>
      <c r="K1256" s="5" t="inlineStr">
        <is>
          <t>01a1212c-4c04-75ce-bbb2-e3322e18816e</t>
        </is>
      </c>
      <c r="M1256" t="inlineStr">
        <is>
          <t>UNKNOWN</t>
        </is>
      </c>
      <c r="N1256" t="inlineStr">
        <is>
          <t>DEFAULT</t>
        </is>
      </c>
      <c r="Q1256" t="n">
        <v>0</v>
      </c>
      <c r="R1256" t="inlineStr">
        <is>
          <t>AUD</t>
        </is>
      </c>
      <c r="S1256" t="n">
        <v>0</v>
      </c>
      <c r="T1256" t="inlineStr">
        <is>
          <t>AUD</t>
        </is>
      </c>
      <c r="U1256" t="n">
        <v>0</v>
      </c>
    </row>
    <row r="1257">
      <c r="A1257" s="5" t="inlineStr">
        <is>
          <t>01a1212c-5bb5-72e7-91bc-fb6533d2c22e</t>
        </is>
      </c>
      <c r="C1257" s="5" t="inlineStr">
        <is>
          <t>01a1212c-4b57-70cf-80fd-c2192cb3bf81</t>
        </is>
      </c>
      <c r="D1257" s="4" t="n">
        <v>46304.62404654325</v>
      </c>
      <c r="E1257" s="4" t="n">
        <v>46304.62404654334</v>
      </c>
      <c r="F1257" t="b">
        <v>1</v>
      </c>
      <c r="G1257" t="n">
        <v/>
      </c>
      <c r="H1257" t="inlineStr">
        <is>
          <t>ESK</t>
        </is>
      </c>
      <c r="I1257" t="inlineStr">
        <is>
          <t>Etherstack Plc</t>
        </is>
      </c>
      <c r="J1257" t="inlineStr">
        <is>
          <t>AUD</t>
        </is>
      </c>
      <c r="K1257" s="5" t="inlineStr">
        <is>
          <t>01a1212c-4c04-75ce-bbb2-e3322e18816e</t>
        </is>
      </c>
      <c r="M1257" t="inlineStr">
        <is>
          <t>UNKNOWN</t>
        </is>
      </c>
      <c r="N1257" t="inlineStr">
        <is>
          <t>DEFAULT</t>
        </is>
      </c>
      <c r="Q1257" t="n">
        <v>0</v>
      </c>
      <c r="R1257" t="inlineStr">
        <is>
          <t>AUD</t>
        </is>
      </c>
      <c r="S1257" t="n">
        <v>0</v>
      </c>
      <c r="T1257" t="inlineStr">
        <is>
          <t>AUD</t>
        </is>
      </c>
      <c r="U1257" t="n">
        <v>0</v>
      </c>
    </row>
    <row r="1258">
      <c r="A1258" s="5" t="inlineStr">
        <is>
          <t>01a1212c-5bb7-736d-958c-34842f27a6bd</t>
        </is>
      </c>
      <c r="C1258" s="5" t="inlineStr">
        <is>
          <t>01a1212c-4b57-70cf-80fd-c2192cb3bf81</t>
        </is>
      </c>
      <c r="D1258" s="4" t="n">
        <v>46304.62404657497</v>
      </c>
      <c r="E1258" s="4" t="n">
        <v>46304.62404657505</v>
      </c>
      <c r="F1258" t="b">
        <v>1</v>
      </c>
      <c r="G1258" t="n">
        <v/>
      </c>
      <c r="H1258" t="inlineStr">
        <is>
          <t>AUDS</t>
        </is>
      </c>
      <c r="I1258" t="inlineStr">
        <is>
          <t>Betashares Strong Australian Dollar Fund (Hedge Fund)</t>
        </is>
      </c>
      <c r="J1258" t="inlineStr">
        <is>
          <t>AUD</t>
        </is>
      </c>
      <c r="K1258" s="5" t="inlineStr">
        <is>
          <t>01a1212c-4c04-75ce-bbb2-e3322e18816e</t>
        </is>
      </c>
      <c r="M1258" t="inlineStr">
        <is>
          <t>UNKNOWN</t>
        </is>
      </c>
      <c r="N1258" t="inlineStr">
        <is>
          <t>DEFAULT</t>
        </is>
      </c>
      <c r="Q1258" t="n">
        <v>0</v>
      </c>
      <c r="R1258" t="inlineStr">
        <is>
          <t>AUD</t>
        </is>
      </c>
      <c r="S1258" t="n">
        <v>0</v>
      </c>
      <c r="T1258" t="inlineStr">
        <is>
          <t>AUD</t>
        </is>
      </c>
      <c r="U1258" t="n">
        <v>0</v>
      </c>
    </row>
    <row r="1259">
      <c r="A1259" s="5" t="inlineStr">
        <is>
          <t>01a1212c-5bba-707c-8878-58d9d683a639</t>
        </is>
      </c>
      <c r="C1259" s="5" t="inlineStr">
        <is>
          <t>01a1212c-4b57-70cf-80fd-c2192cb3bf81</t>
        </is>
      </c>
      <c r="D1259" s="4" t="n">
        <v>46304.6240466079</v>
      </c>
      <c r="E1259" s="4" t="n">
        <v>46304.62404660798</v>
      </c>
      <c r="F1259" t="b">
        <v>1</v>
      </c>
      <c r="G1259" t="n">
        <v/>
      </c>
      <c r="H1259" t="inlineStr">
        <is>
          <t>VTM</t>
        </is>
      </c>
      <c r="I1259" t="inlineStr">
        <is>
          <t>Victory Metals Ltd</t>
        </is>
      </c>
      <c r="J1259" t="inlineStr">
        <is>
          <t>AUD</t>
        </is>
      </c>
      <c r="K1259" s="5" t="inlineStr">
        <is>
          <t>01a1212c-4c04-75ce-bbb2-e3322e18816e</t>
        </is>
      </c>
      <c r="M1259" t="inlineStr">
        <is>
          <t>UNKNOWN</t>
        </is>
      </c>
      <c r="N1259" t="inlineStr">
        <is>
          <t>DEFAULT</t>
        </is>
      </c>
      <c r="Q1259" t="n">
        <v>0</v>
      </c>
      <c r="R1259" t="inlineStr">
        <is>
          <t>AUD</t>
        </is>
      </c>
      <c r="S1259" t="n">
        <v>0</v>
      </c>
      <c r="T1259" t="inlineStr">
        <is>
          <t>AUD</t>
        </is>
      </c>
      <c r="U1259" t="n">
        <v>0</v>
      </c>
    </row>
    <row r="1260">
      <c r="A1260" s="5" t="inlineStr">
        <is>
          <t>01a1212c-5bbd-71aa-818e-52342ed2cfde</t>
        </is>
      </c>
      <c r="C1260" s="5" t="inlineStr">
        <is>
          <t>01a1212c-4b57-70cf-80fd-c2192cb3bf81</t>
        </is>
      </c>
      <c r="D1260" s="4" t="n">
        <v>46304.62404663861</v>
      </c>
      <c r="E1260" s="4" t="n">
        <v>46304.62404663868</v>
      </c>
      <c r="F1260" t="b">
        <v>1</v>
      </c>
      <c r="G1260" t="n">
        <v/>
      </c>
      <c r="H1260" t="inlineStr">
        <is>
          <t>ALTB</t>
        </is>
      </c>
      <c r="I1260" t="inlineStr">
        <is>
          <t>Ishares 15+ Year Australian Government Bond ETF</t>
        </is>
      </c>
      <c r="J1260" t="inlineStr">
        <is>
          <t>AUD</t>
        </is>
      </c>
      <c r="K1260" s="5" t="inlineStr">
        <is>
          <t>01a1212c-4c04-75ce-bbb2-e3322e18816e</t>
        </is>
      </c>
      <c r="M1260" t="inlineStr">
        <is>
          <t>UNKNOWN</t>
        </is>
      </c>
      <c r="N1260" t="inlineStr">
        <is>
          <t>DEFAULT</t>
        </is>
      </c>
      <c r="Q1260" t="n">
        <v>0</v>
      </c>
      <c r="R1260" t="inlineStr">
        <is>
          <t>AUD</t>
        </is>
      </c>
      <c r="S1260" t="n">
        <v>0</v>
      </c>
      <c r="T1260" t="inlineStr">
        <is>
          <t>AUD</t>
        </is>
      </c>
      <c r="U1260" t="n">
        <v>0</v>
      </c>
    </row>
    <row r="1261">
      <c r="A1261" s="5" t="inlineStr">
        <is>
          <t>01a1212c-5bc0-7707-84d6-618c0829c16c</t>
        </is>
      </c>
      <c r="C1261" s="5" t="inlineStr">
        <is>
          <t>01a1212c-4b57-70cf-80fd-c2192cb3bf81</t>
        </is>
      </c>
      <c r="D1261" s="4" t="n">
        <v>46304.6240466692</v>
      </c>
      <c r="E1261" s="4" t="n">
        <v>46304.62404666928</v>
      </c>
      <c r="F1261" t="b">
        <v>1</v>
      </c>
      <c r="G1261" t="n">
        <v/>
      </c>
      <c r="H1261" t="inlineStr">
        <is>
          <t>XF1</t>
        </is>
      </c>
      <c r="I1261" t="inlineStr">
        <is>
          <t>Xref Ltd</t>
        </is>
      </c>
      <c r="J1261" t="inlineStr">
        <is>
          <t>AUD</t>
        </is>
      </c>
      <c r="K1261" s="5" t="inlineStr">
        <is>
          <t>01a1212c-4c04-75ce-bbb2-e3322e18816e</t>
        </is>
      </c>
      <c r="M1261" t="inlineStr">
        <is>
          <t>UNKNOWN</t>
        </is>
      </c>
      <c r="N1261" t="inlineStr">
        <is>
          <t>DEFAULT</t>
        </is>
      </c>
      <c r="Q1261" t="n">
        <v>0</v>
      </c>
      <c r="R1261" t="inlineStr">
        <is>
          <t>AUD</t>
        </is>
      </c>
      <c r="S1261" t="n">
        <v>0</v>
      </c>
      <c r="T1261" t="inlineStr">
        <is>
          <t>AUD</t>
        </is>
      </c>
      <c r="U1261" t="n">
        <v>0</v>
      </c>
    </row>
    <row r="1262">
      <c r="A1262" s="5" t="inlineStr">
        <is>
          <t>01a1212c-5bc2-7439-8f31-b6cd06926b58</t>
        </is>
      </c>
      <c r="C1262" s="5" t="inlineStr">
        <is>
          <t>01a1212c-4b57-70cf-80fd-c2192cb3bf81</t>
        </is>
      </c>
      <c r="D1262" s="4" t="n">
        <v>46304.62404669956</v>
      </c>
      <c r="E1262" s="4" t="n">
        <v>46304.62404669964</v>
      </c>
      <c r="F1262" t="b">
        <v>1</v>
      </c>
      <c r="G1262" t="n">
        <v/>
      </c>
      <c r="H1262" t="inlineStr">
        <is>
          <t>DEV</t>
        </is>
      </c>
      <c r="I1262" t="inlineStr">
        <is>
          <t>DEVEX Resources Ltd</t>
        </is>
      </c>
      <c r="J1262" t="inlineStr">
        <is>
          <t>AUD</t>
        </is>
      </c>
      <c r="K1262" s="5" t="inlineStr">
        <is>
          <t>01a1212c-4c04-75ce-bbb2-e3322e18816e</t>
        </is>
      </c>
      <c r="M1262" t="inlineStr">
        <is>
          <t>UNKNOWN</t>
        </is>
      </c>
      <c r="N1262" t="inlineStr">
        <is>
          <t>DEFAULT</t>
        </is>
      </c>
      <c r="Q1262" t="n">
        <v>0</v>
      </c>
      <c r="R1262" t="inlineStr">
        <is>
          <t>AUD</t>
        </is>
      </c>
      <c r="S1262" t="n">
        <v>0</v>
      </c>
      <c r="T1262" t="inlineStr">
        <is>
          <t>AUD</t>
        </is>
      </c>
      <c r="U1262" t="n">
        <v>0</v>
      </c>
    </row>
    <row r="1263">
      <c r="A1263" s="5" t="inlineStr">
        <is>
          <t>01a1212c-5bc5-764b-8066-b1b55111b558</t>
        </is>
      </c>
      <c r="C1263" s="5" t="inlineStr">
        <is>
          <t>01a1212c-4b57-70cf-80fd-c2192cb3bf81</t>
        </is>
      </c>
      <c r="D1263" s="4" t="n">
        <v>46304.62404672984</v>
      </c>
      <c r="E1263" s="4" t="n">
        <v>46304.62404672992</v>
      </c>
      <c r="F1263" t="b">
        <v>1</v>
      </c>
      <c r="G1263" t="n">
        <v/>
      </c>
      <c r="H1263" t="inlineStr">
        <is>
          <t>GCM</t>
        </is>
      </c>
      <c r="I1263" t="inlineStr">
        <is>
          <t>Green Critical Minerals Ltd</t>
        </is>
      </c>
      <c r="J1263" t="inlineStr">
        <is>
          <t>AUD</t>
        </is>
      </c>
      <c r="K1263" s="5" t="inlineStr">
        <is>
          <t>01a1212c-4c04-75ce-bbb2-e3322e18816e</t>
        </is>
      </c>
      <c r="M1263" t="inlineStr">
        <is>
          <t>UNKNOWN</t>
        </is>
      </c>
      <c r="N1263" t="inlineStr">
        <is>
          <t>DEFAULT</t>
        </is>
      </c>
      <c r="Q1263" t="n">
        <v>0</v>
      </c>
      <c r="R1263" t="inlineStr">
        <is>
          <t>AUD</t>
        </is>
      </c>
      <c r="S1263" t="n">
        <v>0</v>
      </c>
      <c r="T1263" t="inlineStr">
        <is>
          <t>AUD</t>
        </is>
      </c>
      <c r="U1263" t="n">
        <v>0</v>
      </c>
    </row>
    <row r="1264">
      <c r="A1264" s="5" t="inlineStr">
        <is>
          <t>01a1212c-5bc8-72b8-ae44-6fe204012392</t>
        </is>
      </c>
      <c r="C1264" s="5" t="inlineStr">
        <is>
          <t>01a1212c-4b57-70cf-80fd-c2192cb3bf81</t>
        </is>
      </c>
      <c r="D1264" s="4" t="n">
        <v>46304.62404676315</v>
      </c>
      <c r="E1264" s="4" t="n">
        <v>46304.62404676323</v>
      </c>
      <c r="F1264" t="b">
        <v>1</v>
      </c>
      <c r="G1264" t="n">
        <v/>
      </c>
      <c r="H1264" t="inlineStr">
        <is>
          <t>JBY</t>
        </is>
      </c>
      <c r="I1264" t="inlineStr">
        <is>
          <t>James Bay Minerals Ltd</t>
        </is>
      </c>
      <c r="J1264" t="inlineStr">
        <is>
          <t>AUD</t>
        </is>
      </c>
      <c r="K1264" s="5" t="inlineStr">
        <is>
          <t>01a1212c-4c04-75ce-bbb2-e3322e18816e</t>
        </is>
      </c>
      <c r="M1264" t="inlineStr">
        <is>
          <t>UNKNOWN</t>
        </is>
      </c>
      <c r="N1264" t="inlineStr">
        <is>
          <t>DEFAULT</t>
        </is>
      </c>
      <c r="Q1264" t="n">
        <v>0</v>
      </c>
      <c r="R1264" t="inlineStr">
        <is>
          <t>AUD</t>
        </is>
      </c>
      <c r="S1264" t="n">
        <v>0</v>
      </c>
      <c r="T1264" t="inlineStr">
        <is>
          <t>AUD</t>
        </is>
      </c>
      <c r="U1264" t="n">
        <v>0</v>
      </c>
    </row>
    <row r="1265">
      <c r="A1265" s="5" t="inlineStr">
        <is>
          <t>01a1212c-5bca-7527-a786-617e885fb20a</t>
        </is>
      </c>
      <c r="C1265" s="5" t="inlineStr">
        <is>
          <t>01a1212c-4b57-70cf-80fd-c2192cb3bf81</t>
        </is>
      </c>
      <c r="D1265" s="4" t="n">
        <v>46304.62404679347</v>
      </c>
      <c r="E1265" s="4" t="n">
        <v>46304.62404679356</v>
      </c>
      <c r="F1265" t="b">
        <v>1</v>
      </c>
      <c r="G1265" t="n">
        <v/>
      </c>
      <c r="H1265" t="inlineStr">
        <is>
          <t>QHL</t>
        </is>
      </c>
      <c r="I1265" t="inlineStr">
        <is>
          <t>Quickstep Holdings Ltd</t>
        </is>
      </c>
      <c r="J1265" t="inlineStr">
        <is>
          <t>AUD</t>
        </is>
      </c>
      <c r="K1265" s="5" t="inlineStr">
        <is>
          <t>01a1212c-4c04-75ce-bbb2-e3322e18816e</t>
        </is>
      </c>
      <c r="M1265" t="inlineStr">
        <is>
          <t>UNKNOWN</t>
        </is>
      </c>
      <c r="N1265" t="inlineStr">
        <is>
          <t>DEFAULT</t>
        </is>
      </c>
      <c r="Q1265" t="n">
        <v>0</v>
      </c>
      <c r="R1265" t="inlineStr">
        <is>
          <t>AUD</t>
        </is>
      </c>
      <c r="S1265" t="n">
        <v>0</v>
      </c>
      <c r="T1265" t="inlineStr">
        <is>
          <t>AUD</t>
        </is>
      </c>
      <c r="U1265" t="n">
        <v>0</v>
      </c>
    </row>
    <row r="1266">
      <c r="A1266" s="5" t="inlineStr">
        <is>
          <t>01a1212c-5bcd-707c-98b5-151d24c0ec39</t>
        </is>
      </c>
      <c r="C1266" s="5" t="inlineStr">
        <is>
          <t>01a1212c-4b57-70cf-80fd-c2192cb3bf81</t>
        </is>
      </c>
      <c r="D1266" s="4" t="n">
        <v>46304.62404682373</v>
      </c>
      <c r="E1266" s="4" t="n">
        <v>46304.62404682381</v>
      </c>
      <c r="F1266" t="b">
        <v>1</v>
      </c>
      <c r="G1266" t="n">
        <v/>
      </c>
      <c r="H1266" t="inlineStr">
        <is>
          <t>BOND</t>
        </is>
      </c>
      <c r="I1266" t="inlineStr">
        <is>
          <t>SPDR S&amp;P/ASX Australian Bond Fund</t>
        </is>
      </c>
      <c r="J1266" t="inlineStr">
        <is>
          <t>AUD</t>
        </is>
      </c>
      <c r="K1266" s="5" t="inlineStr">
        <is>
          <t>01a1212c-4c04-75ce-bbb2-e3322e18816e</t>
        </is>
      </c>
      <c r="M1266" t="inlineStr">
        <is>
          <t>UNKNOWN</t>
        </is>
      </c>
      <c r="N1266" t="inlineStr">
        <is>
          <t>DEFAULT</t>
        </is>
      </c>
      <c r="Q1266" t="n">
        <v>0</v>
      </c>
      <c r="R1266" t="inlineStr">
        <is>
          <t>AUD</t>
        </is>
      </c>
      <c r="S1266" t="n">
        <v>0</v>
      </c>
      <c r="T1266" t="inlineStr">
        <is>
          <t>AUD</t>
        </is>
      </c>
      <c r="U1266" t="n">
        <v>0</v>
      </c>
    </row>
    <row r="1267">
      <c r="A1267" s="5" t="inlineStr">
        <is>
          <t>01a1212c-5bd0-755e-936a-717fa434d95a</t>
        </is>
      </c>
      <c r="C1267" s="5" t="inlineStr">
        <is>
          <t>01a1212c-4b57-70cf-80fd-c2192cb3bf81</t>
        </is>
      </c>
      <c r="D1267" s="4" t="n">
        <v>46304.62404685434</v>
      </c>
      <c r="E1267" s="4" t="n">
        <v>46304.62404685441</v>
      </c>
      <c r="F1267" t="b">
        <v>1</v>
      </c>
      <c r="G1267" t="n">
        <v/>
      </c>
      <c r="H1267" t="inlineStr">
        <is>
          <t>LMG</t>
        </is>
      </c>
      <c r="I1267" t="inlineStr">
        <is>
          <t>Latrobe Magnesium Ltd</t>
        </is>
      </c>
      <c r="J1267" t="inlineStr">
        <is>
          <t>AUD</t>
        </is>
      </c>
      <c r="K1267" s="5" t="inlineStr">
        <is>
          <t>01a1212c-4c04-75ce-bbb2-e3322e18816e</t>
        </is>
      </c>
      <c r="M1267" t="inlineStr">
        <is>
          <t>UNKNOWN</t>
        </is>
      </c>
      <c r="N1267" t="inlineStr">
        <is>
          <t>DEFAULT</t>
        </is>
      </c>
      <c r="Q1267" t="n">
        <v>0</v>
      </c>
      <c r="R1267" t="inlineStr">
        <is>
          <t>AUD</t>
        </is>
      </c>
      <c r="S1267" t="n">
        <v>0</v>
      </c>
      <c r="T1267" t="inlineStr">
        <is>
          <t>AUD</t>
        </is>
      </c>
      <c r="U1267" t="n">
        <v>0</v>
      </c>
    </row>
    <row r="1268">
      <c r="A1268" s="5" t="inlineStr">
        <is>
          <t>01a1212c-5bd2-744c-857d-d4fe9c969f95</t>
        </is>
      </c>
      <c r="C1268" s="5" t="inlineStr">
        <is>
          <t>01a1212c-4b57-70cf-80fd-c2192cb3bf81</t>
        </is>
      </c>
      <c r="D1268" s="4" t="n">
        <v>46304.62404688742</v>
      </c>
      <c r="E1268" s="4" t="n">
        <v>46304.62404688749</v>
      </c>
      <c r="F1268" t="b">
        <v>1</v>
      </c>
      <c r="G1268" t="n">
        <v/>
      </c>
      <c r="H1268" t="inlineStr">
        <is>
          <t>OVT</t>
        </is>
      </c>
      <c r="I1268" t="inlineStr">
        <is>
          <t>Ovanti Ltd</t>
        </is>
      </c>
      <c r="J1268" t="inlineStr">
        <is>
          <t>AUD</t>
        </is>
      </c>
      <c r="K1268" s="5" t="inlineStr">
        <is>
          <t>01a1212c-4c04-75ce-bbb2-e3322e18816e</t>
        </is>
      </c>
      <c r="M1268" t="inlineStr">
        <is>
          <t>UNKNOWN</t>
        </is>
      </c>
      <c r="N1268" t="inlineStr">
        <is>
          <t>DEFAULT</t>
        </is>
      </c>
      <c r="Q1268" t="n">
        <v>0</v>
      </c>
      <c r="R1268" t="inlineStr">
        <is>
          <t>AUD</t>
        </is>
      </c>
      <c r="S1268" t="n">
        <v>0</v>
      </c>
      <c r="T1268" t="inlineStr">
        <is>
          <t>AUD</t>
        </is>
      </c>
      <c r="U1268" t="n">
        <v>0</v>
      </c>
    </row>
    <row r="1269">
      <c r="A1269" s="5" t="inlineStr">
        <is>
          <t>01a1212c-5bd5-72cb-b944-4540dde84223</t>
        </is>
      </c>
      <c r="C1269" s="5" t="inlineStr">
        <is>
          <t>01a1212c-4b57-70cf-80fd-c2192cb3bf81</t>
        </is>
      </c>
      <c r="D1269" s="4" t="n">
        <v>46304.624046918</v>
      </c>
      <c r="E1269" s="4" t="n">
        <v>46304.62404691808</v>
      </c>
      <c r="F1269" t="b">
        <v>1</v>
      </c>
      <c r="G1269" t="n">
        <v/>
      </c>
      <c r="H1269" t="inlineStr">
        <is>
          <t>PRO</t>
        </is>
      </c>
      <c r="I1269" t="inlineStr">
        <is>
          <t>Prophecy International Holdings Ltd</t>
        </is>
      </c>
      <c r="J1269" t="inlineStr">
        <is>
          <t>AUD</t>
        </is>
      </c>
      <c r="K1269" s="5" t="inlineStr">
        <is>
          <t>01a1212c-4c04-75ce-bbb2-e3322e18816e</t>
        </is>
      </c>
      <c r="M1269" t="inlineStr">
        <is>
          <t>UNKNOWN</t>
        </is>
      </c>
      <c r="N1269" t="inlineStr">
        <is>
          <t>DEFAULT</t>
        </is>
      </c>
      <c r="Q1269" t="n">
        <v>0</v>
      </c>
      <c r="R1269" t="inlineStr">
        <is>
          <t>AUD</t>
        </is>
      </c>
      <c r="S1269" t="n">
        <v>0</v>
      </c>
      <c r="T1269" t="inlineStr">
        <is>
          <t>AUD</t>
        </is>
      </c>
      <c r="U1269" t="n">
        <v>0</v>
      </c>
    </row>
    <row r="1270">
      <c r="A1270" s="5" t="inlineStr">
        <is>
          <t>01a1212c-5bd8-7094-80f4-86828cdc149d</t>
        </is>
      </c>
      <c r="C1270" s="5" t="inlineStr">
        <is>
          <t>01a1212c-4b57-70cf-80fd-c2192cb3bf81</t>
        </is>
      </c>
      <c r="D1270" s="4" t="n">
        <v>46304.62404695088</v>
      </c>
      <c r="E1270" s="4" t="n">
        <v>46304.62404695096</v>
      </c>
      <c r="F1270" t="b">
        <v>1</v>
      </c>
      <c r="G1270" t="n">
        <v/>
      </c>
      <c r="H1270" t="inlineStr">
        <is>
          <t>DDB</t>
        </is>
      </c>
      <c r="I1270" t="inlineStr">
        <is>
          <t>Dynamic Group Holdings Ltd</t>
        </is>
      </c>
      <c r="J1270" t="inlineStr">
        <is>
          <t>AUD</t>
        </is>
      </c>
      <c r="K1270" s="5" t="inlineStr">
        <is>
          <t>01a1212c-4c04-75ce-bbb2-e3322e18816e</t>
        </is>
      </c>
      <c r="M1270" t="inlineStr">
        <is>
          <t>UNKNOWN</t>
        </is>
      </c>
      <c r="N1270" t="inlineStr">
        <is>
          <t>DEFAULT</t>
        </is>
      </c>
      <c r="Q1270" t="n">
        <v>0</v>
      </c>
      <c r="R1270" t="inlineStr">
        <is>
          <t>AUD</t>
        </is>
      </c>
      <c r="S1270" t="n">
        <v>0</v>
      </c>
      <c r="T1270" t="inlineStr">
        <is>
          <t>AUD</t>
        </is>
      </c>
      <c r="U1270" t="n">
        <v>0</v>
      </c>
    </row>
    <row r="1271">
      <c r="A1271" s="5" t="inlineStr">
        <is>
          <t>01a1212c-5bdb-7707-8f56-925cc9d098f2</t>
        </is>
      </c>
      <c r="C1271" s="5" t="inlineStr">
        <is>
          <t>01a1212c-4b57-70cf-80fd-c2192cb3bf81</t>
        </is>
      </c>
      <c r="D1271" s="4" t="n">
        <v>46304.62404698207</v>
      </c>
      <c r="E1271" s="4" t="n">
        <v>46304.62404698214</v>
      </c>
      <c r="F1271" t="b">
        <v>1</v>
      </c>
      <c r="G1271" t="n">
        <v/>
      </c>
      <c r="H1271" t="inlineStr">
        <is>
          <t>NGE</t>
        </is>
      </c>
      <c r="I1271" t="inlineStr">
        <is>
          <t>NGE Capital Ltd</t>
        </is>
      </c>
      <c r="J1271" t="inlineStr">
        <is>
          <t>AUD</t>
        </is>
      </c>
      <c r="K1271" s="5" t="inlineStr">
        <is>
          <t>01a1212c-4c04-75ce-bbb2-e3322e18816e</t>
        </is>
      </c>
      <c r="M1271" t="inlineStr">
        <is>
          <t>UNKNOWN</t>
        </is>
      </c>
      <c r="N1271" t="inlineStr">
        <is>
          <t>DEFAULT</t>
        </is>
      </c>
      <c r="Q1271" t="n">
        <v>0</v>
      </c>
      <c r="R1271" t="inlineStr">
        <is>
          <t>AUD</t>
        </is>
      </c>
      <c r="S1271" t="n">
        <v>0</v>
      </c>
      <c r="T1271" t="inlineStr">
        <is>
          <t>AUD</t>
        </is>
      </c>
      <c r="U1271" t="n">
        <v>0</v>
      </c>
    </row>
    <row r="1272">
      <c r="A1272" s="5" t="inlineStr">
        <is>
          <t>01a1212c-5bdd-7230-80d0-b845c8653b77</t>
        </is>
      </c>
      <c r="C1272" s="5" t="inlineStr">
        <is>
          <t>01a1212c-4b57-70cf-80fd-c2192cb3bf81</t>
        </is>
      </c>
      <c r="D1272" s="4" t="n">
        <v>46304.6240470123</v>
      </c>
      <c r="E1272" s="4" t="n">
        <v>46304.62404701237</v>
      </c>
      <c r="F1272" t="b">
        <v>1</v>
      </c>
      <c r="G1272" t="n">
        <v/>
      </c>
      <c r="H1272" t="inlineStr">
        <is>
          <t>TIG</t>
        </is>
      </c>
      <c r="I1272" t="inlineStr">
        <is>
          <t>Tigers Realm Coal Ltd</t>
        </is>
      </c>
      <c r="J1272" t="inlineStr">
        <is>
          <t>AUD</t>
        </is>
      </c>
      <c r="K1272" s="5" t="inlineStr">
        <is>
          <t>01a1212c-4c04-75ce-bbb2-e3322e18816e</t>
        </is>
      </c>
      <c r="M1272" t="inlineStr">
        <is>
          <t>UNKNOWN</t>
        </is>
      </c>
      <c r="N1272" t="inlineStr">
        <is>
          <t>DEFAULT</t>
        </is>
      </c>
      <c r="Q1272" t="n">
        <v>0</v>
      </c>
      <c r="R1272" t="inlineStr">
        <is>
          <t>AUD</t>
        </is>
      </c>
      <c r="S1272" t="n">
        <v>0</v>
      </c>
      <c r="T1272" t="inlineStr">
        <is>
          <t>AUD</t>
        </is>
      </c>
      <c r="U1272" t="n">
        <v>0</v>
      </c>
    </row>
    <row r="1273">
      <c r="A1273" s="5" t="inlineStr">
        <is>
          <t>01a1212c-5be0-76d1-8693-ec99c04fc9d0</t>
        </is>
      </c>
      <c r="C1273" s="5" t="inlineStr">
        <is>
          <t>01a1212c-4b57-70cf-80fd-c2192cb3bf81</t>
        </is>
      </c>
      <c r="D1273" s="4" t="n">
        <v>46304.62404704482</v>
      </c>
      <c r="E1273" s="4" t="n">
        <v>46304.6240470449</v>
      </c>
      <c r="F1273" t="b">
        <v>1</v>
      </c>
      <c r="G1273" t="n">
        <v/>
      </c>
      <c r="H1273" t="inlineStr">
        <is>
          <t>VBC</t>
        </is>
      </c>
      <c r="I1273" t="inlineStr">
        <is>
          <t>Verbrec Ltd</t>
        </is>
      </c>
      <c r="J1273" t="inlineStr">
        <is>
          <t>AUD</t>
        </is>
      </c>
      <c r="K1273" s="5" t="inlineStr">
        <is>
          <t>01a1212c-4c04-75ce-bbb2-e3322e18816e</t>
        </is>
      </c>
      <c r="M1273" t="inlineStr">
        <is>
          <t>UNKNOWN</t>
        </is>
      </c>
      <c r="N1273" t="inlineStr">
        <is>
          <t>DEFAULT</t>
        </is>
      </c>
      <c r="Q1273" t="n">
        <v>0</v>
      </c>
      <c r="R1273" t="inlineStr">
        <is>
          <t>AUD</t>
        </is>
      </c>
      <c r="S1273" t="n">
        <v>0</v>
      </c>
      <c r="T1273" t="inlineStr">
        <is>
          <t>AUD</t>
        </is>
      </c>
      <c r="U1273" t="n">
        <v>0</v>
      </c>
    </row>
    <row r="1274">
      <c r="A1274" s="5" t="inlineStr">
        <is>
          <t>01a1212c-5be3-7438-b98d-bc08d77612bb</t>
        </is>
      </c>
      <c r="C1274" s="5" t="inlineStr">
        <is>
          <t>01a1212c-4b57-70cf-80fd-c2192cb3bf81</t>
        </is>
      </c>
      <c r="D1274" s="4" t="n">
        <v>46304.62404707576</v>
      </c>
      <c r="E1274" s="4" t="n">
        <v>46304.62404707584</v>
      </c>
      <c r="F1274" t="b">
        <v>1</v>
      </c>
      <c r="G1274" t="n">
        <v/>
      </c>
      <c r="H1274" t="inlineStr">
        <is>
          <t>EYE</t>
        </is>
      </c>
      <c r="I1274" t="inlineStr">
        <is>
          <t>Nova EYE Medical Ltd</t>
        </is>
      </c>
      <c r="J1274" t="inlineStr">
        <is>
          <t>AUD</t>
        </is>
      </c>
      <c r="K1274" s="5" t="inlineStr">
        <is>
          <t>01a1212c-4c04-75ce-bbb2-e3322e18816e</t>
        </is>
      </c>
      <c r="M1274" t="inlineStr">
        <is>
          <t>UNKNOWN</t>
        </is>
      </c>
      <c r="N1274" t="inlineStr">
        <is>
          <t>DEFAULT</t>
        </is>
      </c>
      <c r="Q1274" t="n">
        <v>0</v>
      </c>
      <c r="R1274" t="inlineStr">
        <is>
          <t>AUD</t>
        </is>
      </c>
      <c r="S1274" t="n">
        <v>0</v>
      </c>
      <c r="T1274" t="inlineStr">
        <is>
          <t>AUD</t>
        </is>
      </c>
      <c r="U1274" t="n">
        <v>0</v>
      </c>
    </row>
    <row r="1275">
      <c r="A1275" s="5" t="inlineStr">
        <is>
          <t>01a1212c-5be5-708b-9921-66ef65e2951e</t>
        </is>
      </c>
      <c r="C1275" s="5" t="inlineStr">
        <is>
          <t>01a1212c-4b57-70cf-80fd-c2192cb3bf81</t>
        </is>
      </c>
      <c r="D1275" s="4" t="n">
        <v>46304.62404710633</v>
      </c>
      <c r="E1275" s="4" t="n">
        <v>46304.62404710652</v>
      </c>
      <c r="F1275" t="b">
        <v>1</v>
      </c>
      <c r="G1275" t="n">
        <v/>
      </c>
      <c r="H1275" t="inlineStr">
        <is>
          <t>TLM</t>
        </is>
      </c>
      <c r="I1275" t="inlineStr">
        <is>
          <t>Talisman Mining Ltd</t>
        </is>
      </c>
      <c r="J1275" t="inlineStr">
        <is>
          <t>AUD</t>
        </is>
      </c>
      <c r="K1275" s="5" t="inlineStr">
        <is>
          <t>01a1212c-4c04-75ce-bbb2-e3322e18816e</t>
        </is>
      </c>
      <c r="M1275" t="inlineStr">
        <is>
          <t>UNKNOWN</t>
        </is>
      </c>
      <c r="N1275" t="inlineStr">
        <is>
          <t>DEFAULT</t>
        </is>
      </c>
      <c r="Q1275" t="n">
        <v>0</v>
      </c>
      <c r="R1275" t="inlineStr">
        <is>
          <t>AUD</t>
        </is>
      </c>
      <c r="S1275" t="n">
        <v>0</v>
      </c>
      <c r="T1275" t="inlineStr">
        <is>
          <t>AUD</t>
        </is>
      </c>
      <c r="U1275" t="n">
        <v>0</v>
      </c>
    </row>
    <row r="1276">
      <c r="A1276" s="5" t="inlineStr">
        <is>
          <t>01a1212c-5be8-70f9-96ab-88933f6e7aab</t>
        </is>
      </c>
      <c r="C1276" s="5" t="inlineStr">
        <is>
          <t>01a1212c-4b57-70cf-80fd-c2192cb3bf81</t>
        </is>
      </c>
      <c r="D1276" s="4" t="n">
        <v>46304.62404713979</v>
      </c>
      <c r="E1276" s="4" t="n">
        <v>46304.62404713987</v>
      </c>
      <c r="F1276" t="b">
        <v>1</v>
      </c>
      <c r="G1276" t="n">
        <v/>
      </c>
      <c r="H1276" t="inlineStr">
        <is>
          <t>VMT</t>
        </is>
      </c>
      <c r="I1276" t="inlineStr">
        <is>
          <t>Vmoto Ltd</t>
        </is>
      </c>
      <c r="J1276" t="inlineStr">
        <is>
          <t>AUD</t>
        </is>
      </c>
      <c r="K1276" s="5" t="inlineStr">
        <is>
          <t>01a1212c-4c04-75ce-bbb2-e3322e18816e</t>
        </is>
      </c>
      <c r="M1276" t="inlineStr">
        <is>
          <t>UNKNOWN</t>
        </is>
      </c>
      <c r="N1276" t="inlineStr">
        <is>
          <t>DEFAULT</t>
        </is>
      </c>
      <c r="Q1276" t="n">
        <v>0</v>
      </c>
      <c r="R1276" t="inlineStr">
        <is>
          <t>AUD</t>
        </is>
      </c>
      <c r="S1276" t="n">
        <v>0</v>
      </c>
      <c r="T1276" t="inlineStr">
        <is>
          <t>AUD</t>
        </is>
      </c>
      <c r="U1276" t="n">
        <v>0</v>
      </c>
    </row>
    <row r="1277">
      <c r="A1277" s="5" t="inlineStr">
        <is>
          <t>01a1212c-5beb-716d-9052-727f936cf056</t>
        </is>
      </c>
      <c r="C1277" s="5" t="inlineStr">
        <is>
          <t>01a1212c-4b57-70cf-80fd-c2192cb3bf81</t>
        </is>
      </c>
      <c r="D1277" s="4" t="n">
        <v>46304.62404717288</v>
      </c>
      <c r="E1277" s="4" t="n">
        <v>46304.62404717296</v>
      </c>
      <c r="F1277" t="b">
        <v>1</v>
      </c>
      <c r="G1277" t="n">
        <v/>
      </c>
      <c r="H1277" t="inlineStr">
        <is>
          <t>BML</t>
        </is>
      </c>
      <c r="I1277" t="inlineStr">
        <is>
          <t>Boab Metals Ltd</t>
        </is>
      </c>
      <c r="J1277" t="inlineStr">
        <is>
          <t>AUD</t>
        </is>
      </c>
      <c r="K1277" s="5" t="inlineStr">
        <is>
          <t>01a1212c-4c04-75ce-bbb2-e3322e18816e</t>
        </is>
      </c>
      <c r="M1277" t="inlineStr">
        <is>
          <t>UNKNOWN</t>
        </is>
      </c>
      <c r="N1277" t="inlineStr">
        <is>
          <t>DEFAULT</t>
        </is>
      </c>
      <c r="Q1277" t="n">
        <v>0</v>
      </c>
      <c r="R1277" t="inlineStr">
        <is>
          <t>AUD</t>
        </is>
      </c>
      <c r="S1277" t="n">
        <v>0</v>
      </c>
      <c r="T1277" t="inlineStr">
        <is>
          <t>AUD</t>
        </is>
      </c>
      <c r="U1277" t="n">
        <v>0</v>
      </c>
    </row>
    <row r="1278">
      <c r="A1278" s="5" t="inlineStr">
        <is>
          <t>01a1212c-5bee-7636-94b5-0124e2e177d7</t>
        </is>
      </c>
      <c r="C1278" s="5" t="inlineStr">
        <is>
          <t>01a1212c-4b57-70cf-80fd-c2192cb3bf81</t>
        </is>
      </c>
      <c r="D1278" s="4" t="n">
        <v>46304.62404720417</v>
      </c>
      <c r="E1278" s="4" t="n">
        <v>46304.62404720425</v>
      </c>
      <c r="F1278" t="b">
        <v>1</v>
      </c>
      <c r="G1278" t="n">
        <v/>
      </c>
      <c r="H1278" t="inlineStr">
        <is>
          <t>FGR</t>
        </is>
      </c>
      <c r="I1278" t="inlineStr">
        <is>
          <t>First Graphene Ltd</t>
        </is>
      </c>
      <c r="J1278" t="inlineStr">
        <is>
          <t>AUD</t>
        </is>
      </c>
      <c r="K1278" s="5" t="inlineStr">
        <is>
          <t>01a1212c-4c04-75ce-bbb2-e3322e18816e</t>
        </is>
      </c>
      <c r="M1278" t="inlineStr">
        <is>
          <t>UNKNOWN</t>
        </is>
      </c>
      <c r="N1278" t="inlineStr">
        <is>
          <t>DEFAULT</t>
        </is>
      </c>
      <c r="Q1278" t="n">
        <v>0</v>
      </c>
      <c r="R1278" t="inlineStr">
        <is>
          <t>AUD</t>
        </is>
      </c>
      <c r="S1278" t="n">
        <v>0</v>
      </c>
      <c r="T1278" t="inlineStr">
        <is>
          <t>AUD</t>
        </is>
      </c>
      <c r="U1278" t="n">
        <v>0</v>
      </c>
    </row>
    <row r="1279">
      <c r="A1279" s="5" t="inlineStr">
        <is>
          <t>01a1212c-5bf1-77be-ad54-c0e8e78a0052</t>
        </is>
      </c>
      <c r="C1279" s="5" t="inlineStr">
        <is>
          <t>01a1212c-4b57-70cf-80fd-c2192cb3bf81</t>
        </is>
      </c>
      <c r="D1279" s="4" t="n">
        <v>46304.62404723503</v>
      </c>
      <c r="E1279" s="4" t="n">
        <v>46304.62404723511</v>
      </c>
      <c r="F1279" t="b">
        <v>1</v>
      </c>
      <c r="G1279" t="n">
        <v/>
      </c>
      <c r="H1279" t="inlineStr">
        <is>
          <t>RTR</t>
        </is>
      </c>
      <c r="I1279" t="inlineStr">
        <is>
          <t>Rumble Resources Ltd</t>
        </is>
      </c>
      <c r="J1279" t="inlineStr">
        <is>
          <t>AUD</t>
        </is>
      </c>
      <c r="K1279" s="5" t="inlineStr">
        <is>
          <t>01a1212c-4c04-75ce-bbb2-e3322e18816e</t>
        </is>
      </c>
      <c r="M1279" t="inlineStr">
        <is>
          <t>UNKNOWN</t>
        </is>
      </c>
      <c r="N1279" t="inlineStr">
        <is>
          <t>DEFAULT</t>
        </is>
      </c>
      <c r="Q1279" t="n">
        <v>0</v>
      </c>
      <c r="R1279" t="inlineStr">
        <is>
          <t>AUD</t>
        </is>
      </c>
      <c r="S1279" t="n">
        <v>0</v>
      </c>
      <c r="T1279" t="inlineStr">
        <is>
          <t>AUD</t>
        </is>
      </c>
      <c r="U1279" t="n">
        <v>0</v>
      </c>
    </row>
    <row r="1280">
      <c r="A1280" s="5" t="inlineStr">
        <is>
          <t>01a1212c-5bf3-7663-9c15-ed52327c9e82</t>
        </is>
      </c>
      <c r="C1280" s="5" t="inlineStr">
        <is>
          <t>01a1212c-4b57-70cf-80fd-c2192cb3bf81</t>
        </is>
      </c>
      <c r="D1280" s="4" t="n">
        <v>46304.62404726605</v>
      </c>
      <c r="E1280" s="4" t="n">
        <v>46304.62404726614</v>
      </c>
      <c r="F1280" t="b">
        <v>1</v>
      </c>
      <c r="G1280" t="n">
        <v/>
      </c>
      <c r="H1280" t="inlineStr">
        <is>
          <t>AQD</t>
        </is>
      </c>
      <c r="I1280" t="inlineStr">
        <is>
          <t>Ausquest Ltd</t>
        </is>
      </c>
      <c r="J1280" t="inlineStr">
        <is>
          <t>AUD</t>
        </is>
      </c>
      <c r="K1280" s="5" t="inlineStr">
        <is>
          <t>01a1212c-4c04-75ce-bbb2-e3322e18816e</t>
        </is>
      </c>
      <c r="M1280" t="inlineStr">
        <is>
          <t>UNKNOWN</t>
        </is>
      </c>
      <c r="N1280" t="inlineStr">
        <is>
          <t>DEFAULT</t>
        </is>
      </c>
      <c r="Q1280" t="n">
        <v>0</v>
      </c>
      <c r="R1280" t="inlineStr">
        <is>
          <t>AUD</t>
        </is>
      </c>
      <c r="S1280" t="n">
        <v>0</v>
      </c>
      <c r="T1280" t="inlineStr">
        <is>
          <t>AUD</t>
        </is>
      </c>
      <c r="U1280" t="n">
        <v>0</v>
      </c>
    </row>
    <row r="1281">
      <c r="A1281" s="5" t="inlineStr">
        <is>
          <t>01a1212c-5bf6-722c-9d4d-0d1421db69d3</t>
        </is>
      </c>
      <c r="C1281" s="5" t="inlineStr">
        <is>
          <t>01a1212c-4b57-70cf-80fd-c2192cb3bf81</t>
        </is>
      </c>
      <c r="D1281" s="4" t="n">
        <v>46304.62404729723</v>
      </c>
      <c r="E1281" s="4" t="n">
        <v>46304.62404729733</v>
      </c>
      <c r="F1281" t="b">
        <v>1</v>
      </c>
      <c r="G1281" t="n">
        <v/>
      </c>
      <c r="H1281" t="inlineStr">
        <is>
          <t>SKY</t>
        </is>
      </c>
      <c r="I1281" t="inlineStr">
        <is>
          <t>SKY Metals Ltd</t>
        </is>
      </c>
      <c r="J1281" t="inlineStr">
        <is>
          <t>AUD</t>
        </is>
      </c>
      <c r="K1281" s="5" t="inlineStr">
        <is>
          <t>01a1212c-4c04-75ce-bbb2-e3322e18816e</t>
        </is>
      </c>
      <c r="M1281" t="inlineStr">
        <is>
          <t>UNKNOWN</t>
        </is>
      </c>
      <c r="N1281" t="inlineStr">
        <is>
          <t>DEFAULT</t>
        </is>
      </c>
      <c r="Q1281" t="n">
        <v>0</v>
      </c>
      <c r="R1281" t="inlineStr">
        <is>
          <t>AUD</t>
        </is>
      </c>
      <c r="S1281" t="n">
        <v>0</v>
      </c>
      <c r="T1281" t="inlineStr">
        <is>
          <t>AUD</t>
        </is>
      </c>
      <c r="U1281" t="n">
        <v>0</v>
      </c>
    </row>
    <row r="1282">
      <c r="A1282" s="5" t="inlineStr">
        <is>
          <t>01a1212c-5bf9-7761-b7e3-4b73592d6ec3</t>
        </is>
      </c>
      <c r="C1282" s="5" t="inlineStr">
        <is>
          <t>01a1212c-4b57-70cf-80fd-c2192cb3bf81</t>
        </is>
      </c>
      <c r="D1282" s="4" t="n">
        <v>46304.6240473306</v>
      </c>
      <c r="E1282" s="4" t="n">
        <v>46304.62404733068</v>
      </c>
      <c r="F1282" t="b">
        <v>1</v>
      </c>
      <c r="G1282" t="n">
        <v/>
      </c>
      <c r="H1282" t="inlineStr">
        <is>
          <t>BANK</t>
        </is>
      </c>
      <c r="I1282" t="inlineStr">
        <is>
          <t>Global X Australian Bank Credit ETF</t>
        </is>
      </c>
      <c r="J1282" t="inlineStr">
        <is>
          <t>AUD</t>
        </is>
      </c>
      <c r="K1282" s="5" t="inlineStr">
        <is>
          <t>01a1212c-4c04-75ce-bbb2-e3322e18816e</t>
        </is>
      </c>
      <c r="M1282" t="inlineStr">
        <is>
          <t>UNKNOWN</t>
        </is>
      </c>
      <c r="N1282" t="inlineStr">
        <is>
          <t>DEFAULT</t>
        </is>
      </c>
      <c r="Q1282" t="n">
        <v>0</v>
      </c>
      <c r="R1282" t="inlineStr">
        <is>
          <t>AUD</t>
        </is>
      </c>
      <c r="S1282" t="n">
        <v>0</v>
      </c>
      <c r="T1282" t="inlineStr">
        <is>
          <t>AUD</t>
        </is>
      </c>
      <c r="U1282" t="n">
        <v>0</v>
      </c>
    </row>
    <row r="1283">
      <c r="A1283" s="5" t="inlineStr">
        <is>
          <t>01a1212c-5bfb-775d-91a7-4c411034b162</t>
        </is>
      </c>
      <c r="C1283" s="5" t="inlineStr">
        <is>
          <t>01a1212c-4b57-70cf-80fd-c2192cb3bf81</t>
        </is>
      </c>
      <c r="D1283" s="4" t="n">
        <v>46304.62404736102</v>
      </c>
      <c r="E1283" s="4" t="n">
        <v>46304.6240473611</v>
      </c>
      <c r="F1283" t="b">
        <v>1</v>
      </c>
      <c r="G1283" t="n">
        <v/>
      </c>
      <c r="H1283" t="inlineStr">
        <is>
          <t>MEC</t>
        </is>
      </c>
      <c r="I1283" t="inlineStr">
        <is>
          <t>Morphic Ethical Equities Fund Ltd</t>
        </is>
      </c>
      <c r="J1283" t="inlineStr">
        <is>
          <t>AUD</t>
        </is>
      </c>
      <c r="K1283" s="5" t="inlineStr">
        <is>
          <t>01a1212c-4c04-75ce-bbb2-e3322e18816e</t>
        </is>
      </c>
      <c r="M1283" t="inlineStr">
        <is>
          <t>UNKNOWN</t>
        </is>
      </c>
      <c r="N1283" t="inlineStr">
        <is>
          <t>DEFAULT</t>
        </is>
      </c>
      <c r="Q1283" t="n">
        <v>0</v>
      </c>
      <c r="R1283" t="inlineStr">
        <is>
          <t>AUD</t>
        </is>
      </c>
      <c r="S1283" t="n">
        <v>0</v>
      </c>
      <c r="T1283" t="inlineStr">
        <is>
          <t>AUD</t>
        </is>
      </c>
      <c r="U1283" t="n">
        <v>0</v>
      </c>
    </row>
    <row r="1284">
      <c r="A1284" s="5" t="inlineStr">
        <is>
          <t>01a1212c-5bfe-779a-8530-5c0718291a42</t>
        </is>
      </c>
      <c r="C1284" s="5" t="inlineStr">
        <is>
          <t>01a1212c-4b57-70cf-80fd-c2192cb3bf81</t>
        </is>
      </c>
      <c r="D1284" s="4" t="n">
        <v>46304.6240473917</v>
      </c>
      <c r="E1284" s="4" t="n">
        <v>46304.62404739179</v>
      </c>
      <c r="F1284" t="b">
        <v>1</v>
      </c>
      <c r="G1284" t="n">
        <v/>
      </c>
      <c r="H1284" t="inlineStr">
        <is>
          <t>DNA</t>
        </is>
      </c>
      <c r="I1284" t="inlineStr">
        <is>
          <t>Donaco International Ltd</t>
        </is>
      </c>
      <c r="J1284" t="inlineStr">
        <is>
          <t>AUD</t>
        </is>
      </c>
      <c r="K1284" s="5" t="inlineStr">
        <is>
          <t>01a1212c-4c04-75ce-bbb2-e3322e18816e</t>
        </is>
      </c>
      <c r="M1284" t="inlineStr">
        <is>
          <t>UNKNOWN</t>
        </is>
      </c>
      <c r="N1284" t="inlineStr">
        <is>
          <t>DEFAULT</t>
        </is>
      </c>
      <c r="Q1284" t="n">
        <v>0</v>
      </c>
      <c r="R1284" t="inlineStr">
        <is>
          <t>AUD</t>
        </is>
      </c>
      <c r="S1284" t="n">
        <v>0</v>
      </c>
      <c r="T1284" t="inlineStr">
        <is>
          <t>AUD</t>
        </is>
      </c>
      <c r="U1284" t="n">
        <v>0</v>
      </c>
    </row>
    <row r="1285">
      <c r="A1285" s="5" t="inlineStr">
        <is>
          <t>01a1212c-5c01-75b8-9c02-76da2c2753f7</t>
        </is>
      </c>
      <c r="C1285" s="5" t="inlineStr">
        <is>
          <t>01a1212c-4b57-70cf-80fd-c2192cb3bf81</t>
        </is>
      </c>
      <c r="D1285" s="4" t="n">
        <v>46304.62404742363</v>
      </c>
      <c r="E1285" s="4" t="n">
        <v>46304.62404742371</v>
      </c>
      <c r="F1285" t="b">
        <v>1</v>
      </c>
      <c r="G1285" t="n">
        <v/>
      </c>
      <c r="H1285" t="inlineStr">
        <is>
          <t>PUA</t>
        </is>
      </c>
      <c r="I1285" t="inlineStr">
        <is>
          <t>Peak Minerals Ltd</t>
        </is>
      </c>
      <c r="J1285" t="inlineStr">
        <is>
          <t>AUD</t>
        </is>
      </c>
      <c r="K1285" s="5" t="inlineStr">
        <is>
          <t>01a1212c-4c04-75ce-bbb2-e3322e18816e</t>
        </is>
      </c>
      <c r="M1285" t="inlineStr">
        <is>
          <t>UNKNOWN</t>
        </is>
      </c>
      <c r="N1285" t="inlineStr">
        <is>
          <t>DEFAULT</t>
        </is>
      </c>
      <c r="Q1285" t="n">
        <v>0</v>
      </c>
      <c r="R1285" t="inlineStr">
        <is>
          <t>AUD</t>
        </is>
      </c>
      <c r="S1285" t="n">
        <v>0</v>
      </c>
      <c r="T1285" t="inlineStr">
        <is>
          <t>AUD</t>
        </is>
      </c>
      <c r="U1285" t="n">
        <v>0</v>
      </c>
    </row>
    <row r="1286">
      <c r="A1286" s="5" t="inlineStr">
        <is>
          <t>01a1212c-5c03-7022-85c5-2dd4e35064df</t>
        </is>
      </c>
      <c r="C1286" s="5" t="inlineStr">
        <is>
          <t>01a1212c-4b57-70cf-80fd-c2192cb3bf81</t>
        </is>
      </c>
      <c r="D1286" s="4" t="n">
        <v>46304.62404745442</v>
      </c>
      <c r="E1286" s="4" t="n">
        <v>46304.62404745449</v>
      </c>
      <c r="F1286" t="b">
        <v>1</v>
      </c>
      <c r="G1286" t="n">
        <v/>
      </c>
      <c r="H1286" t="inlineStr">
        <is>
          <t>JPR</t>
        </is>
      </c>
      <c r="I1286" t="inlineStr">
        <is>
          <t>Jupiter Energy Ltd</t>
        </is>
      </c>
      <c r="J1286" t="inlineStr">
        <is>
          <t>AUD</t>
        </is>
      </c>
      <c r="K1286" s="5" t="inlineStr">
        <is>
          <t>01a1212c-4c04-75ce-bbb2-e3322e18816e</t>
        </is>
      </c>
      <c r="M1286" t="inlineStr">
        <is>
          <t>UNKNOWN</t>
        </is>
      </c>
      <c r="N1286" t="inlineStr">
        <is>
          <t>DEFAULT</t>
        </is>
      </c>
      <c r="Q1286" t="n">
        <v>0</v>
      </c>
      <c r="R1286" t="inlineStr">
        <is>
          <t>AUD</t>
        </is>
      </c>
      <c r="S1286" t="n">
        <v>0</v>
      </c>
      <c r="T1286" t="inlineStr">
        <is>
          <t>AUD</t>
        </is>
      </c>
      <c r="U1286" t="n">
        <v>0</v>
      </c>
    </row>
    <row r="1287">
      <c r="A1287" s="5" t="inlineStr">
        <is>
          <t>01a1212c-5c06-7593-b0e5-8b5d863e6a66</t>
        </is>
      </c>
      <c r="C1287" s="5" t="inlineStr">
        <is>
          <t>01a1212c-4b57-70cf-80fd-c2192cb3bf81</t>
        </is>
      </c>
      <c r="D1287" s="4" t="n">
        <v>46304.62404748711</v>
      </c>
      <c r="E1287" s="4" t="n">
        <v>46304.62404748717</v>
      </c>
      <c r="F1287" t="b">
        <v>1</v>
      </c>
      <c r="G1287" t="n">
        <v/>
      </c>
      <c r="H1287" t="inlineStr">
        <is>
          <t>KAT</t>
        </is>
      </c>
      <c r="I1287" t="inlineStr">
        <is>
          <t>Katana Capital Ltd</t>
        </is>
      </c>
      <c r="J1287" t="inlineStr">
        <is>
          <t>AUD</t>
        </is>
      </c>
      <c r="K1287" s="5" t="inlineStr">
        <is>
          <t>01a1212c-4c04-75ce-bbb2-e3322e18816e</t>
        </is>
      </c>
      <c r="M1287" t="inlineStr">
        <is>
          <t>UNKNOWN</t>
        </is>
      </c>
      <c r="N1287" t="inlineStr">
        <is>
          <t>DEFAULT</t>
        </is>
      </c>
      <c r="Q1287" t="n">
        <v>0</v>
      </c>
      <c r="R1287" t="inlineStr">
        <is>
          <t>AUD</t>
        </is>
      </c>
      <c r="S1287" t="n">
        <v>0</v>
      </c>
      <c r="T1287" t="inlineStr">
        <is>
          <t>AUD</t>
        </is>
      </c>
      <c r="U1287" t="n">
        <v>0</v>
      </c>
    </row>
    <row r="1288">
      <c r="A1288" s="5" t="inlineStr">
        <is>
          <t>01a1212c-5c09-7443-850d-73a6d6ea0cd9</t>
        </is>
      </c>
      <c r="C1288" s="5" t="inlineStr">
        <is>
          <t>01a1212c-4b57-70cf-80fd-c2192cb3bf81</t>
        </is>
      </c>
      <c r="D1288" s="4" t="n">
        <v>46304.62404752104</v>
      </c>
      <c r="E1288" s="4" t="n">
        <v>46304.62404752112</v>
      </c>
      <c r="F1288" t="b">
        <v>1</v>
      </c>
      <c r="G1288" t="n">
        <v/>
      </c>
      <c r="H1288" t="inlineStr">
        <is>
          <t>MPX</t>
        </is>
      </c>
      <c r="I1288" t="inlineStr">
        <is>
          <t>Mustera Property Group Ltd</t>
        </is>
      </c>
      <c r="J1288" t="inlineStr">
        <is>
          <t>AUD</t>
        </is>
      </c>
      <c r="K1288" s="5" t="inlineStr">
        <is>
          <t>01a1212c-4c04-75ce-bbb2-e3322e18816e</t>
        </is>
      </c>
      <c r="M1288" t="inlineStr">
        <is>
          <t>UNKNOWN</t>
        </is>
      </c>
      <c r="N1288" t="inlineStr">
        <is>
          <t>DEFAULT</t>
        </is>
      </c>
      <c r="Q1288" t="n">
        <v>0</v>
      </c>
      <c r="R1288" t="inlineStr">
        <is>
          <t>AUD</t>
        </is>
      </c>
      <c r="S1288" t="n">
        <v>0</v>
      </c>
      <c r="T1288" t="inlineStr">
        <is>
          <t>AUD</t>
        </is>
      </c>
      <c r="U1288" t="n">
        <v>0</v>
      </c>
    </row>
    <row r="1289">
      <c r="A1289" s="5" t="inlineStr">
        <is>
          <t>01a1212c-5c0c-734a-851f-dac75aa02a6a</t>
        </is>
      </c>
      <c r="C1289" s="5" t="inlineStr">
        <is>
          <t>01a1212c-4b57-70cf-80fd-c2192cb3bf81</t>
        </is>
      </c>
      <c r="D1289" s="4" t="n">
        <v>46304.62404755214</v>
      </c>
      <c r="E1289" s="4" t="n">
        <v>46304.62404755222</v>
      </c>
      <c r="F1289" t="b">
        <v>1</v>
      </c>
      <c r="G1289" t="n">
        <v/>
      </c>
      <c r="H1289" t="inlineStr">
        <is>
          <t>ROG</t>
        </is>
      </c>
      <c r="I1289" t="inlineStr">
        <is>
          <t>Red Sky Energy Ltd</t>
        </is>
      </c>
      <c r="J1289" t="inlineStr">
        <is>
          <t>AUD</t>
        </is>
      </c>
      <c r="K1289" s="5" t="inlineStr">
        <is>
          <t>01a1212c-4c04-75ce-bbb2-e3322e18816e</t>
        </is>
      </c>
      <c r="M1289" t="inlineStr">
        <is>
          <t>UNKNOWN</t>
        </is>
      </c>
      <c r="N1289" t="inlineStr">
        <is>
          <t>DEFAULT</t>
        </is>
      </c>
      <c r="Q1289" t="n">
        <v>0</v>
      </c>
      <c r="R1289" t="inlineStr">
        <is>
          <t>AUD</t>
        </is>
      </c>
      <c r="S1289" t="n">
        <v>0</v>
      </c>
      <c r="T1289" t="inlineStr">
        <is>
          <t>AUD</t>
        </is>
      </c>
      <c r="U1289" t="n">
        <v>0</v>
      </c>
    </row>
    <row r="1290">
      <c r="A1290" s="5" t="inlineStr">
        <is>
          <t>01a1212c-5c0f-7521-86c9-4ea67a559f4b</t>
        </is>
      </c>
      <c r="C1290" s="5" t="inlineStr">
        <is>
          <t>01a1212c-4b57-70cf-80fd-c2192cb3bf81</t>
        </is>
      </c>
      <c r="D1290" s="4" t="n">
        <v>46304.62404758281</v>
      </c>
      <c r="E1290" s="4" t="n">
        <v>46304.62404758288</v>
      </c>
      <c r="F1290" t="b">
        <v>1</v>
      </c>
      <c r="G1290" t="n">
        <v/>
      </c>
      <c r="H1290" t="inlineStr">
        <is>
          <t>WCN</t>
        </is>
      </c>
      <c r="I1290" t="inlineStr">
        <is>
          <t>White Cliff Minerals Ltd</t>
        </is>
      </c>
      <c r="J1290" t="inlineStr">
        <is>
          <t>AUD</t>
        </is>
      </c>
      <c r="K1290" s="5" t="inlineStr">
        <is>
          <t>01a1212c-4c04-75ce-bbb2-e3322e18816e</t>
        </is>
      </c>
      <c r="M1290" t="inlineStr">
        <is>
          <t>UNKNOWN</t>
        </is>
      </c>
      <c r="N1290" t="inlineStr">
        <is>
          <t>DEFAULT</t>
        </is>
      </c>
      <c r="Q1290" t="n">
        <v>0</v>
      </c>
      <c r="R1290" t="inlineStr">
        <is>
          <t>AUD</t>
        </is>
      </c>
      <c r="S1290" t="n">
        <v>0</v>
      </c>
      <c r="T1290" t="inlineStr">
        <is>
          <t>AUD</t>
        </is>
      </c>
      <c r="U1290" t="n">
        <v>0</v>
      </c>
    </row>
    <row r="1291">
      <c r="A1291" s="5" t="inlineStr">
        <is>
          <t>01a1212c-5c11-718d-be18-2d3806f2d293</t>
        </is>
      </c>
      <c r="C1291" s="5" t="inlineStr">
        <is>
          <t>01a1212c-4b57-70cf-80fd-c2192cb3bf81</t>
        </is>
      </c>
      <c r="D1291" s="4" t="n">
        <v>46304.62404761515</v>
      </c>
      <c r="E1291" s="4" t="n">
        <v>46304.62404761522</v>
      </c>
      <c r="F1291" t="b">
        <v>1</v>
      </c>
      <c r="G1291" t="n">
        <v/>
      </c>
      <c r="H1291" t="inlineStr">
        <is>
          <t>VIG</t>
        </is>
      </c>
      <c r="I1291" t="inlineStr">
        <is>
          <t>Victor Group Holdings Ltd</t>
        </is>
      </c>
      <c r="J1291" t="inlineStr">
        <is>
          <t>AUD</t>
        </is>
      </c>
      <c r="K1291" s="5" t="inlineStr">
        <is>
          <t>01a1212c-4c04-75ce-bbb2-e3322e18816e</t>
        </is>
      </c>
      <c r="M1291" t="inlineStr">
        <is>
          <t>UNKNOWN</t>
        </is>
      </c>
      <c r="N1291" t="inlineStr">
        <is>
          <t>DEFAULT</t>
        </is>
      </c>
      <c r="Q1291" t="n">
        <v>0</v>
      </c>
      <c r="R1291" t="inlineStr">
        <is>
          <t>AUD</t>
        </is>
      </c>
      <c r="S1291" t="n">
        <v>0</v>
      </c>
      <c r="T1291" t="inlineStr">
        <is>
          <t>AUD</t>
        </is>
      </c>
      <c r="U1291" t="n">
        <v>0</v>
      </c>
    </row>
    <row r="1292">
      <c r="A1292" s="5" t="inlineStr">
        <is>
          <t>01a1212c-5c14-7047-8782-b647b6d66935</t>
        </is>
      </c>
      <c r="C1292" s="5" t="inlineStr">
        <is>
          <t>01a1212c-4b57-70cf-80fd-c2192cb3bf81</t>
        </is>
      </c>
      <c r="D1292" s="4" t="n">
        <v>46304.62404764582</v>
      </c>
      <c r="E1292" s="4" t="n">
        <v>46304.62404764589</v>
      </c>
      <c r="F1292" t="b">
        <v>1</v>
      </c>
      <c r="G1292" t="n">
        <v/>
      </c>
      <c r="H1292" t="inlineStr">
        <is>
          <t>QFE</t>
        </is>
      </c>
      <c r="I1292" t="inlineStr">
        <is>
          <t>Quickfee Ltd</t>
        </is>
      </c>
      <c r="J1292" t="inlineStr">
        <is>
          <t>AUD</t>
        </is>
      </c>
      <c r="K1292" s="5" t="inlineStr">
        <is>
          <t>01a1212c-4c04-75ce-bbb2-e3322e18816e</t>
        </is>
      </c>
      <c r="M1292" t="inlineStr">
        <is>
          <t>UNKNOWN</t>
        </is>
      </c>
      <c r="N1292" t="inlineStr">
        <is>
          <t>DEFAULT</t>
        </is>
      </c>
      <c r="Q1292" t="n">
        <v>0</v>
      </c>
      <c r="R1292" t="inlineStr">
        <is>
          <t>AUD</t>
        </is>
      </c>
      <c r="S1292" t="n">
        <v>0</v>
      </c>
      <c r="T1292" t="inlineStr">
        <is>
          <t>AUD</t>
        </is>
      </c>
      <c r="U1292" t="n">
        <v>0</v>
      </c>
    </row>
    <row r="1293">
      <c r="A1293" s="5" t="inlineStr">
        <is>
          <t>01a1212c-5c17-7292-a341-d1cf6801e1b8</t>
        </is>
      </c>
      <c r="C1293" s="5" t="inlineStr">
        <is>
          <t>01a1212c-4b57-70cf-80fd-c2192cb3bf81</t>
        </is>
      </c>
      <c r="D1293" s="4" t="n">
        <v>46304.62404767667</v>
      </c>
      <c r="E1293" s="4" t="n">
        <v>46304.62404767675</v>
      </c>
      <c r="F1293" t="b">
        <v>1</v>
      </c>
      <c r="G1293" t="n">
        <v/>
      </c>
      <c r="H1293" t="inlineStr">
        <is>
          <t>BRU</t>
        </is>
      </c>
      <c r="I1293" t="inlineStr">
        <is>
          <t>Buru Energy Ltd</t>
        </is>
      </c>
      <c r="J1293" t="inlineStr">
        <is>
          <t>AUD</t>
        </is>
      </c>
      <c r="K1293" s="5" t="inlineStr">
        <is>
          <t>01a1212c-4c04-75ce-bbb2-e3322e18816e</t>
        </is>
      </c>
      <c r="M1293" t="inlineStr">
        <is>
          <t>UNKNOWN</t>
        </is>
      </c>
      <c r="N1293" t="inlineStr">
        <is>
          <t>DEFAULT</t>
        </is>
      </c>
      <c r="Q1293" t="n">
        <v>0</v>
      </c>
      <c r="R1293" t="inlineStr">
        <is>
          <t>AUD</t>
        </is>
      </c>
      <c r="S1293" t="n">
        <v>0</v>
      </c>
      <c r="T1293" t="inlineStr">
        <is>
          <t>AUD</t>
        </is>
      </c>
      <c r="U1293" t="n">
        <v>0</v>
      </c>
    </row>
    <row r="1294">
      <c r="A1294" s="5" t="inlineStr">
        <is>
          <t>01a1212c-5c19-710a-9c86-6a34827c6a88</t>
        </is>
      </c>
      <c r="C1294" s="5" t="inlineStr">
        <is>
          <t>01a1212c-4b57-70cf-80fd-c2192cb3bf81</t>
        </is>
      </c>
      <c r="D1294" s="4" t="n">
        <v>46304.62404770716</v>
      </c>
      <c r="E1294" s="4" t="n">
        <v>46304.62404770724</v>
      </c>
      <c r="F1294" t="b">
        <v>1</v>
      </c>
      <c r="G1294" t="n">
        <v/>
      </c>
      <c r="H1294" t="inlineStr">
        <is>
          <t>SUV</t>
        </is>
      </c>
      <c r="I1294" t="inlineStr">
        <is>
          <t>Suvo Strategic Minerals Ltd</t>
        </is>
      </c>
      <c r="J1294" t="inlineStr">
        <is>
          <t>AUD</t>
        </is>
      </c>
      <c r="K1294" s="5" t="inlineStr">
        <is>
          <t>01a1212c-4c04-75ce-bbb2-e3322e18816e</t>
        </is>
      </c>
      <c r="M1294" t="inlineStr">
        <is>
          <t>UNKNOWN</t>
        </is>
      </c>
      <c r="N1294" t="inlineStr">
        <is>
          <t>DEFAULT</t>
        </is>
      </c>
      <c r="Q1294" t="n">
        <v>0</v>
      </c>
      <c r="R1294" t="inlineStr">
        <is>
          <t>AUD</t>
        </is>
      </c>
      <c r="S1294" t="n">
        <v>0</v>
      </c>
      <c r="T1294" t="inlineStr">
        <is>
          <t>AUD</t>
        </is>
      </c>
      <c r="U1294" t="n">
        <v>0</v>
      </c>
    </row>
    <row r="1295">
      <c r="A1295" s="5" t="inlineStr">
        <is>
          <t>01a1212c-5c1c-76ad-9da8-9304d78b6fab</t>
        </is>
      </c>
      <c r="C1295" s="5" t="inlineStr">
        <is>
          <t>01a1212c-4b57-70cf-80fd-c2192cb3bf81</t>
        </is>
      </c>
      <c r="D1295" s="4" t="n">
        <v>46304.62404773757</v>
      </c>
      <c r="E1295" s="4" t="n">
        <v>46304.62404773767</v>
      </c>
      <c r="F1295" t="b">
        <v>1</v>
      </c>
      <c r="G1295" t="n">
        <v/>
      </c>
      <c r="H1295" t="inlineStr">
        <is>
          <t>INCM</t>
        </is>
      </c>
      <c r="I1295" t="inlineStr">
        <is>
          <t>Betashares Global Income Leaders ETF</t>
        </is>
      </c>
      <c r="J1295" t="inlineStr">
        <is>
          <t>AUD</t>
        </is>
      </c>
      <c r="K1295" s="5" t="inlineStr">
        <is>
          <t>01a1212c-4c04-75ce-bbb2-e3322e18816e</t>
        </is>
      </c>
      <c r="M1295" t="inlineStr">
        <is>
          <t>UNKNOWN</t>
        </is>
      </c>
      <c r="N1295" t="inlineStr">
        <is>
          <t>DEFAULT</t>
        </is>
      </c>
      <c r="Q1295" t="n">
        <v>0</v>
      </c>
      <c r="R1295" t="inlineStr">
        <is>
          <t>AUD</t>
        </is>
      </c>
      <c r="S1295" t="n">
        <v>0</v>
      </c>
      <c r="T1295" t="inlineStr">
        <is>
          <t>AUD</t>
        </is>
      </c>
      <c r="U1295" t="n">
        <v>0</v>
      </c>
    </row>
    <row r="1296">
      <c r="A1296" s="5" t="inlineStr">
        <is>
          <t>01a1212c-5c1f-7295-9647-f1eabe289ad7</t>
        </is>
      </c>
      <c r="C1296" s="5" t="inlineStr">
        <is>
          <t>01a1212c-4b57-70cf-80fd-c2192cb3bf81</t>
        </is>
      </c>
      <c r="D1296" s="4" t="n">
        <v>46304.62404777068</v>
      </c>
      <c r="E1296" s="4" t="n">
        <v>46304.62404777076</v>
      </c>
      <c r="F1296" t="b">
        <v>1</v>
      </c>
      <c r="G1296" t="n">
        <v/>
      </c>
      <c r="H1296" t="inlineStr">
        <is>
          <t>YOJ</t>
        </is>
      </c>
      <c r="I1296" t="inlineStr">
        <is>
          <t>Yojee Ltd</t>
        </is>
      </c>
      <c r="J1296" t="inlineStr">
        <is>
          <t>AUD</t>
        </is>
      </c>
      <c r="K1296" s="5" t="inlineStr">
        <is>
          <t>01a1212c-4c04-75ce-bbb2-e3322e18816e</t>
        </is>
      </c>
      <c r="M1296" t="inlineStr">
        <is>
          <t>UNKNOWN</t>
        </is>
      </c>
      <c r="N1296" t="inlineStr">
        <is>
          <t>DEFAULT</t>
        </is>
      </c>
      <c r="Q1296" t="n">
        <v>0</v>
      </c>
      <c r="R1296" t="inlineStr">
        <is>
          <t>AUD</t>
        </is>
      </c>
      <c r="S1296" t="n">
        <v>0</v>
      </c>
      <c r="T1296" t="inlineStr">
        <is>
          <t>AUD</t>
        </is>
      </c>
      <c r="U1296" t="n">
        <v>0</v>
      </c>
    </row>
    <row r="1297">
      <c r="A1297" s="5" t="inlineStr">
        <is>
          <t>01a1212c-5c21-71dc-9cf3-554f5701bc00</t>
        </is>
      </c>
      <c r="C1297" s="5" t="inlineStr">
        <is>
          <t>01a1212c-4b57-70cf-80fd-c2192cb3bf81</t>
        </is>
      </c>
      <c r="D1297" s="4" t="n">
        <v>46304.62404780116</v>
      </c>
      <c r="E1297" s="4" t="n">
        <v>46304.62404780124</v>
      </c>
      <c r="F1297" t="b">
        <v>1</v>
      </c>
      <c r="G1297" t="n">
        <v/>
      </c>
      <c r="H1297" t="inlineStr">
        <is>
          <t>GBR</t>
        </is>
      </c>
      <c r="I1297" t="inlineStr">
        <is>
          <t>Great Boulder Resources Ltd</t>
        </is>
      </c>
      <c r="J1297" t="inlineStr">
        <is>
          <t>AUD</t>
        </is>
      </c>
      <c r="K1297" s="5" t="inlineStr">
        <is>
          <t>01a1212c-4c04-75ce-bbb2-e3322e18816e</t>
        </is>
      </c>
      <c r="M1297" t="inlineStr">
        <is>
          <t>UNKNOWN</t>
        </is>
      </c>
      <c r="N1297" t="inlineStr">
        <is>
          <t>DEFAULT</t>
        </is>
      </c>
      <c r="Q1297" t="n">
        <v>0</v>
      </c>
      <c r="R1297" t="inlineStr">
        <is>
          <t>AUD</t>
        </is>
      </c>
      <c r="S1297" t="n">
        <v>0</v>
      </c>
      <c r="T1297" t="inlineStr">
        <is>
          <t>AUD</t>
        </is>
      </c>
      <c r="U1297" t="n">
        <v>0</v>
      </c>
    </row>
    <row r="1298">
      <c r="A1298" s="5" t="inlineStr">
        <is>
          <t>01a1212c-5c24-773b-af97-1491d864a19b</t>
        </is>
      </c>
      <c r="C1298" s="5" t="inlineStr">
        <is>
          <t>01a1212c-4b57-70cf-80fd-c2192cb3bf81</t>
        </is>
      </c>
      <c r="D1298" s="4" t="n">
        <v>46304.6240478314</v>
      </c>
      <c r="E1298" s="4" t="n">
        <v>46304.62404783148</v>
      </c>
      <c r="F1298" t="b">
        <v>1</v>
      </c>
      <c r="G1298" t="n">
        <v/>
      </c>
      <c r="H1298" t="inlineStr">
        <is>
          <t>PH2</t>
        </is>
      </c>
      <c r="I1298" t="inlineStr">
        <is>
          <t>Pure Hydrogen Corporation Ltd</t>
        </is>
      </c>
      <c r="J1298" t="inlineStr">
        <is>
          <t>AUD</t>
        </is>
      </c>
      <c r="K1298" s="5" t="inlineStr">
        <is>
          <t>01a1212c-4c04-75ce-bbb2-e3322e18816e</t>
        </is>
      </c>
      <c r="M1298" t="inlineStr">
        <is>
          <t>UNKNOWN</t>
        </is>
      </c>
      <c r="N1298" t="inlineStr">
        <is>
          <t>DEFAULT</t>
        </is>
      </c>
      <c r="Q1298" t="n">
        <v>0</v>
      </c>
      <c r="R1298" t="inlineStr">
        <is>
          <t>AUD</t>
        </is>
      </c>
      <c r="S1298" t="n">
        <v>0</v>
      </c>
      <c r="T1298" t="inlineStr">
        <is>
          <t>AUD</t>
        </is>
      </c>
      <c r="U1298" t="n">
        <v>0</v>
      </c>
    </row>
    <row r="1299">
      <c r="A1299" s="5" t="inlineStr">
        <is>
          <t>01a1212c-5c27-7444-a659-7cc87d039ac0</t>
        </is>
      </c>
      <c r="C1299" s="5" t="inlineStr">
        <is>
          <t>01a1212c-4b57-70cf-80fd-c2192cb3bf81</t>
        </is>
      </c>
      <c r="D1299" s="4" t="n">
        <v>46304.62404786263</v>
      </c>
      <c r="E1299" s="4" t="n">
        <v>46304.62404786271</v>
      </c>
      <c r="F1299" t="b">
        <v>1</v>
      </c>
      <c r="G1299" t="n">
        <v/>
      </c>
      <c r="H1299" t="inlineStr">
        <is>
          <t>PPL</t>
        </is>
      </c>
      <c r="I1299" t="inlineStr">
        <is>
          <t>Pureprofile Ltd</t>
        </is>
      </c>
      <c r="J1299" t="inlineStr">
        <is>
          <t>AUD</t>
        </is>
      </c>
      <c r="K1299" s="5" t="inlineStr">
        <is>
          <t>01a1212c-4c04-75ce-bbb2-e3322e18816e</t>
        </is>
      </c>
      <c r="M1299" t="inlineStr">
        <is>
          <t>UNKNOWN</t>
        </is>
      </c>
      <c r="N1299" t="inlineStr">
        <is>
          <t>DEFAULT</t>
        </is>
      </c>
      <c r="Q1299" t="n">
        <v>0</v>
      </c>
      <c r="R1299" t="inlineStr">
        <is>
          <t>AUD</t>
        </is>
      </c>
      <c r="S1299" t="n">
        <v>0</v>
      </c>
      <c r="T1299" t="inlineStr">
        <is>
          <t>AUD</t>
        </is>
      </c>
      <c r="U1299" t="n">
        <v>0</v>
      </c>
    </row>
    <row r="1300">
      <c r="A1300" s="5" t="inlineStr">
        <is>
          <t>01a1212c-5c2a-725e-8792-5e4c659e127b</t>
        </is>
      </c>
      <c r="C1300" s="5" t="inlineStr">
        <is>
          <t>01a1212c-4b57-70cf-80fd-c2192cb3bf81</t>
        </is>
      </c>
      <c r="D1300" s="4" t="n">
        <v>46304.62404789598</v>
      </c>
      <c r="E1300" s="4" t="n">
        <v>46304.62404789607</v>
      </c>
      <c r="F1300" t="b">
        <v>1</v>
      </c>
      <c r="G1300" t="n">
        <v/>
      </c>
      <c r="H1300" t="inlineStr">
        <is>
          <t>CVB</t>
        </is>
      </c>
      <c r="I1300" t="inlineStr">
        <is>
          <t>Curvebeam Ai Ltd</t>
        </is>
      </c>
      <c r="J1300" t="inlineStr">
        <is>
          <t>AUD</t>
        </is>
      </c>
      <c r="K1300" s="5" t="inlineStr">
        <is>
          <t>01a1212c-4c04-75ce-bbb2-e3322e18816e</t>
        </is>
      </c>
      <c r="M1300" t="inlineStr">
        <is>
          <t>UNKNOWN</t>
        </is>
      </c>
      <c r="N1300" t="inlineStr">
        <is>
          <t>DEFAULT</t>
        </is>
      </c>
      <c r="Q1300" t="n">
        <v>0</v>
      </c>
      <c r="R1300" t="inlineStr">
        <is>
          <t>AUD</t>
        </is>
      </c>
      <c r="S1300" t="n">
        <v>0</v>
      </c>
      <c r="T1300" t="inlineStr">
        <is>
          <t>AUD</t>
        </is>
      </c>
      <c r="U1300" t="n">
        <v>0</v>
      </c>
    </row>
    <row r="1301">
      <c r="A1301" s="5" t="inlineStr">
        <is>
          <t>01a1212c-5c2c-707a-8d08-b37c4798e7fd</t>
        </is>
      </c>
      <c r="C1301" s="5" t="inlineStr">
        <is>
          <t>01a1212c-4b57-70cf-80fd-c2192cb3bf81</t>
        </is>
      </c>
      <c r="D1301" s="4" t="n">
        <v>46304.62404792728</v>
      </c>
      <c r="E1301" s="4" t="n">
        <v>46304.62404792737</v>
      </c>
      <c r="F1301" t="b">
        <v>1</v>
      </c>
      <c r="G1301" t="n">
        <v/>
      </c>
      <c r="H1301" t="inlineStr">
        <is>
          <t>KAI</t>
        </is>
      </c>
      <c r="I1301" t="inlineStr">
        <is>
          <t>Kairos Minerals Ltd</t>
        </is>
      </c>
      <c r="J1301" t="inlineStr">
        <is>
          <t>AUD</t>
        </is>
      </c>
      <c r="K1301" s="5" t="inlineStr">
        <is>
          <t>01a1212c-4c04-75ce-bbb2-e3322e18816e</t>
        </is>
      </c>
      <c r="M1301" t="inlineStr">
        <is>
          <t>UNKNOWN</t>
        </is>
      </c>
      <c r="N1301" t="inlineStr">
        <is>
          <t>DEFAULT</t>
        </is>
      </c>
      <c r="Q1301" t="n">
        <v>0</v>
      </c>
      <c r="R1301" t="inlineStr">
        <is>
          <t>AUD</t>
        </is>
      </c>
      <c r="S1301" t="n">
        <v>0</v>
      </c>
      <c r="T1301" t="inlineStr">
        <is>
          <t>AUD</t>
        </is>
      </c>
      <c r="U1301" t="n">
        <v>0</v>
      </c>
    </row>
    <row r="1302">
      <c r="A1302" s="5" t="inlineStr">
        <is>
          <t>01a1212c-5c2f-735d-b74a-5010d7ad09b0</t>
        </is>
      </c>
      <c r="C1302" s="5" t="inlineStr">
        <is>
          <t>01a1212c-4b57-70cf-80fd-c2192cb3bf81</t>
        </is>
      </c>
      <c r="D1302" s="4" t="n">
        <v>46304.62404795869</v>
      </c>
      <c r="E1302" s="4" t="n">
        <v>46304.62404795879</v>
      </c>
      <c r="F1302" t="b">
        <v>1</v>
      </c>
      <c r="G1302" t="n">
        <v/>
      </c>
      <c r="H1302" t="inlineStr">
        <is>
          <t>STG</t>
        </is>
      </c>
      <c r="I1302" t="inlineStr">
        <is>
          <t>Straker Ltd</t>
        </is>
      </c>
      <c r="J1302" t="inlineStr">
        <is>
          <t>AUD</t>
        </is>
      </c>
      <c r="K1302" s="5" t="inlineStr">
        <is>
          <t>01a1212c-4c04-75ce-bbb2-e3322e18816e</t>
        </is>
      </c>
      <c r="M1302" t="inlineStr">
        <is>
          <t>UNKNOWN</t>
        </is>
      </c>
      <c r="N1302" t="inlineStr">
        <is>
          <t>DEFAULT</t>
        </is>
      </c>
      <c r="Q1302" t="n">
        <v>0</v>
      </c>
      <c r="R1302" t="inlineStr">
        <is>
          <t>AUD</t>
        </is>
      </c>
      <c r="S1302" t="n">
        <v>0</v>
      </c>
      <c r="T1302" t="inlineStr">
        <is>
          <t>AUD</t>
        </is>
      </c>
      <c r="U1302" t="n">
        <v>0</v>
      </c>
    </row>
    <row r="1303">
      <c r="A1303" s="5" t="inlineStr">
        <is>
          <t>01a1212c-5c32-72e1-93c9-a61922768f19</t>
        </is>
      </c>
      <c r="C1303" s="5" t="inlineStr">
        <is>
          <t>01a1212c-4b57-70cf-80fd-c2192cb3bf81</t>
        </is>
      </c>
      <c r="D1303" s="4" t="n">
        <v>46304.62404799021</v>
      </c>
      <c r="E1303" s="4" t="n">
        <v>46304.62404799029</v>
      </c>
      <c r="F1303" t="b">
        <v>1</v>
      </c>
      <c r="G1303" t="n">
        <v/>
      </c>
      <c r="H1303" t="inlineStr">
        <is>
          <t>CSX</t>
        </is>
      </c>
      <c r="I1303" t="inlineStr">
        <is>
          <t>Cleanspace Holdings Ltd</t>
        </is>
      </c>
      <c r="J1303" t="inlineStr">
        <is>
          <t>AUD</t>
        </is>
      </c>
      <c r="K1303" s="5" t="inlineStr">
        <is>
          <t>01a1212c-4c04-75ce-bbb2-e3322e18816e</t>
        </is>
      </c>
      <c r="M1303" t="inlineStr">
        <is>
          <t>UNKNOWN</t>
        </is>
      </c>
      <c r="N1303" t="inlineStr">
        <is>
          <t>DEFAULT</t>
        </is>
      </c>
      <c r="Q1303" t="n">
        <v>0</v>
      </c>
      <c r="R1303" t="inlineStr">
        <is>
          <t>AUD</t>
        </is>
      </c>
      <c r="S1303" t="n">
        <v>0</v>
      </c>
      <c r="T1303" t="inlineStr">
        <is>
          <t>AUD</t>
        </is>
      </c>
      <c r="U1303" t="n">
        <v>0</v>
      </c>
    </row>
    <row r="1304">
      <c r="A1304" s="5" t="inlineStr">
        <is>
          <t>01a1212c-5c35-718b-84ee-70db6bbad663</t>
        </is>
      </c>
      <c r="C1304" s="5" t="inlineStr">
        <is>
          <t>01a1212c-4b57-70cf-80fd-c2192cb3bf81</t>
        </is>
      </c>
      <c r="D1304" s="4" t="n">
        <v>46304.62404802515</v>
      </c>
      <c r="E1304" s="4" t="n">
        <v>46304.6240480253</v>
      </c>
      <c r="F1304" t="b">
        <v>1</v>
      </c>
      <c r="G1304" t="n">
        <v/>
      </c>
      <c r="H1304" t="inlineStr">
        <is>
          <t>SIX</t>
        </is>
      </c>
      <c r="I1304" t="inlineStr">
        <is>
          <t>Sprintex Ltd</t>
        </is>
      </c>
      <c r="J1304" t="inlineStr">
        <is>
          <t>AUD</t>
        </is>
      </c>
      <c r="K1304" s="5" t="inlineStr">
        <is>
          <t>01a1212c-4c04-75ce-bbb2-e3322e18816e</t>
        </is>
      </c>
      <c r="M1304" t="inlineStr">
        <is>
          <t>UNKNOWN</t>
        </is>
      </c>
      <c r="N1304" t="inlineStr">
        <is>
          <t>DEFAULT</t>
        </is>
      </c>
      <c r="Q1304" t="n">
        <v>0</v>
      </c>
      <c r="R1304" t="inlineStr">
        <is>
          <t>AUD</t>
        </is>
      </c>
      <c r="S1304" t="n">
        <v>0</v>
      </c>
      <c r="T1304" t="inlineStr">
        <is>
          <t>AUD</t>
        </is>
      </c>
      <c r="U1304" t="n">
        <v>0</v>
      </c>
    </row>
    <row r="1305">
      <c r="A1305" s="5" t="inlineStr">
        <is>
          <t>01a1212c-5c38-7272-95ee-5b7830d6398a</t>
        </is>
      </c>
      <c r="C1305" s="5" t="inlineStr">
        <is>
          <t>01a1212c-4b57-70cf-80fd-c2192cb3bf81</t>
        </is>
      </c>
      <c r="D1305" s="4" t="n">
        <v>46304.62404806467</v>
      </c>
      <c r="E1305" s="4" t="n">
        <v>46304.62404806477</v>
      </c>
      <c r="F1305" t="b">
        <v>1</v>
      </c>
      <c r="G1305" t="n">
        <v/>
      </c>
      <c r="H1305" t="inlineStr">
        <is>
          <t>RVT</t>
        </is>
      </c>
      <c r="I1305" t="inlineStr">
        <is>
          <t>Richmond Vanadium Technology Ltd</t>
        </is>
      </c>
      <c r="J1305" t="inlineStr">
        <is>
          <t>AUD</t>
        </is>
      </c>
      <c r="K1305" s="5" t="inlineStr">
        <is>
          <t>01a1212c-4c04-75ce-bbb2-e3322e18816e</t>
        </is>
      </c>
      <c r="M1305" t="inlineStr">
        <is>
          <t>UNKNOWN</t>
        </is>
      </c>
      <c r="N1305" t="inlineStr">
        <is>
          <t>DEFAULT</t>
        </is>
      </c>
      <c r="Q1305" t="n">
        <v>0</v>
      </c>
      <c r="R1305" t="inlineStr">
        <is>
          <t>AUD</t>
        </is>
      </c>
      <c r="S1305" t="n">
        <v>0</v>
      </c>
      <c r="T1305" t="inlineStr">
        <is>
          <t>AUD</t>
        </is>
      </c>
      <c r="U1305" t="n">
        <v>0</v>
      </c>
    </row>
    <row r="1306">
      <c r="A1306" s="5" t="inlineStr">
        <is>
          <t>01a1212c-5c3b-7245-8560-659ec4856718</t>
        </is>
      </c>
      <c r="C1306" s="5" t="inlineStr">
        <is>
          <t>01a1212c-4b57-70cf-80fd-c2192cb3bf81</t>
        </is>
      </c>
      <c r="D1306" s="4" t="n">
        <v>46304.62404810011</v>
      </c>
      <c r="E1306" s="4" t="n">
        <v>46304.62404810022</v>
      </c>
      <c r="F1306" t="b">
        <v>1</v>
      </c>
      <c r="G1306" t="n">
        <v/>
      </c>
      <c r="H1306" t="inlineStr">
        <is>
          <t>SWP</t>
        </is>
      </c>
      <c r="I1306" t="inlineStr">
        <is>
          <t>Swoop Holdings Ltd</t>
        </is>
      </c>
      <c r="J1306" t="inlineStr">
        <is>
          <t>AUD</t>
        </is>
      </c>
      <c r="K1306" s="5" t="inlineStr">
        <is>
          <t>01a1212c-4c04-75ce-bbb2-e3322e18816e</t>
        </is>
      </c>
      <c r="M1306" t="inlineStr">
        <is>
          <t>UNKNOWN</t>
        </is>
      </c>
      <c r="N1306" t="inlineStr">
        <is>
          <t>DEFAULT</t>
        </is>
      </c>
      <c r="Q1306" t="n">
        <v>0</v>
      </c>
      <c r="R1306" t="inlineStr">
        <is>
          <t>AUD</t>
        </is>
      </c>
      <c r="S1306" t="n">
        <v>0</v>
      </c>
      <c r="T1306" t="inlineStr">
        <is>
          <t>AUD</t>
        </is>
      </c>
      <c r="U1306" t="n">
        <v>0</v>
      </c>
    </row>
    <row r="1307">
      <c r="A1307" s="5" t="inlineStr">
        <is>
          <t>01a1212c-5c3e-743f-be15-376b77fb516a</t>
        </is>
      </c>
      <c r="C1307" s="5" t="inlineStr">
        <is>
          <t>01a1212c-4b57-70cf-80fd-c2192cb3bf81</t>
        </is>
      </c>
      <c r="D1307" s="4" t="n">
        <v>46304.62404813457</v>
      </c>
      <c r="E1307" s="4" t="n">
        <v>46304.62404813468</v>
      </c>
      <c r="F1307" t="b">
        <v>1</v>
      </c>
      <c r="G1307" t="n">
        <v/>
      </c>
      <c r="H1307" t="inlineStr">
        <is>
          <t>HE8</t>
        </is>
      </c>
      <c r="I1307" t="inlineStr">
        <is>
          <t>Helios Energy Ltd</t>
        </is>
      </c>
      <c r="J1307" t="inlineStr">
        <is>
          <t>AUD</t>
        </is>
      </c>
      <c r="K1307" s="5" t="inlineStr">
        <is>
          <t>01a1212c-4c04-75ce-bbb2-e3322e18816e</t>
        </is>
      </c>
      <c r="M1307" t="inlineStr">
        <is>
          <t>UNKNOWN</t>
        </is>
      </c>
      <c r="N1307" t="inlineStr">
        <is>
          <t>DEFAULT</t>
        </is>
      </c>
      <c r="Q1307" t="n">
        <v>0</v>
      </c>
      <c r="R1307" t="inlineStr">
        <is>
          <t>AUD</t>
        </is>
      </c>
      <c r="S1307" t="n">
        <v>0</v>
      </c>
      <c r="T1307" t="inlineStr">
        <is>
          <t>AUD</t>
        </is>
      </c>
      <c r="U1307" t="n">
        <v>0</v>
      </c>
    </row>
    <row r="1308">
      <c r="A1308" s="5" t="inlineStr">
        <is>
          <t>01a1212c-5c41-7066-aef7-b89e69753c9f</t>
        </is>
      </c>
      <c r="C1308" s="5" t="inlineStr">
        <is>
          <t>01a1212c-4b57-70cf-80fd-c2192cb3bf81</t>
        </is>
      </c>
      <c r="D1308" s="4" t="n">
        <v>46304.6240481671</v>
      </c>
      <c r="E1308" s="4" t="n">
        <v>46304.6240481672</v>
      </c>
      <c r="F1308" t="b">
        <v>1</v>
      </c>
      <c r="G1308" t="n">
        <v/>
      </c>
      <c r="H1308" t="inlineStr">
        <is>
          <t>RTH</t>
        </is>
      </c>
      <c r="I1308" t="inlineStr">
        <is>
          <t>Ras Technology Holdings Ltd</t>
        </is>
      </c>
      <c r="J1308" t="inlineStr">
        <is>
          <t>AUD</t>
        </is>
      </c>
      <c r="K1308" s="5" t="inlineStr">
        <is>
          <t>01a1212c-4c04-75ce-bbb2-e3322e18816e</t>
        </is>
      </c>
      <c r="M1308" t="inlineStr">
        <is>
          <t>UNKNOWN</t>
        </is>
      </c>
      <c r="N1308" t="inlineStr">
        <is>
          <t>DEFAULT</t>
        </is>
      </c>
      <c r="Q1308" t="n">
        <v>0</v>
      </c>
      <c r="R1308" t="inlineStr">
        <is>
          <t>AUD</t>
        </is>
      </c>
      <c r="S1308" t="n">
        <v>0</v>
      </c>
      <c r="T1308" t="inlineStr">
        <is>
          <t>AUD</t>
        </is>
      </c>
      <c r="U1308" t="n">
        <v>0</v>
      </c>
    </row>
    <row r="1309">
      <c r="A1309" s="5" t="inlineStr">
        <is>
          <t>01a1212c-5c44-7126-9441-c8a6c3dc12c8</t>
        </is>
      </c>
      <c r="C1309" s="5" t="inlineStr">
        <is>
          <t>01a1212c-4b57-70cf-80fd-c2192cb3bf81</t>
        </is>
      </c>
      <c r="D1309" s="4" t="n">
        <v>46304.62404820139</v>
      </c>
      <c r="E1309" s="4" t="n">
        <v>46304.62404820147</v>
      </c>
      <c r="F1309" t="b">
        <v>1</v>
      </c>
      <c r="G1309" t="n">
        <v/>
      </c>
      <c r="H1309" t="inlineStr">
        <is>
          <t>LGP</t>
        </is>
      </c>
      <c r="I1309" t="inlineStr">
        <is>
          <t>Little Green Pharma Ltd</t>
        </is>
      </c>
      <c r="J1309" t="inlineStr">
        <is>
          <t>AUD</t>
        </is>
      </c>
      <c r="K1309" s="5" t="inlineStr">
        <is>
          <t>01a1212c-4c04-75ce-bbb2-e3322e18816e</t>
        </is>
      </c>
      <c r="M1309" t="inlineStr">
        <is>
          <t>UNKNOWN</t>
        </is>
      </c>
      <c r="N1309" t="inlineStr">
        <is>
          <t>DEFAULT</t>
        </is>
      </c>
      <c r="Q1309" t="n">
        <v>0</v>
      </c>
      <c r="R1309" t="inlineStr">
        <is>
          <t>AUD</t>
        </is>
      </c>
      <c r="S1309" t="n">
        <v>0</v>
      </c>
      <c r="T1309" t="inlineStr">
        <is>
          <t>AUD</t>
        </is>
      </c>
      <c r="U1309" t="n">
        <v>0</v>
      </c>
    </row>
    <row r="1310">
      <c r="A1310" s="5" t="inlineStr">
        <is>
          <t>01a1212c-5c47-7573-b6ed-f4669825dc8e</t>
        </is>
      </c>
      <c r="C1310" s="5" t="inlineStr">
        <is>
          <t>01a1212c-4b57-70cf-80fd-c2192cb3bf81</t>
        </is>
      </c>
      <c r="D1310" s="4" t="n">
        <v>46304.62404823348</v>
      </c>
      <c r="E1310" s="4" t="n">
        <v>46304.62404823356</v>
      </c>
      <c r="F1310" t="b">
        <v>1</v>
      </c>
      <c r="G1310" t="n">
        <v/>
      </c>
      <c r="H1310" t="inlineStr">
        <is>
          <t>CURE</t>
        </is>
      </c>
      <c r="I1310" t="inlineStr">
        <is>
          <t>Global X S&amp;P Biotech ETF</t>
        </is>
      </c>
      <c r="J1310" t="inlineStr">
        <is>
          <t>AUD</t>
        </is>
      </c>
      <c r="K1310" s="5" t="inlineStr">
        <is>
          <t>01a1212c-4c04-75ce-bbb2-e3322e18816e</t>
        </is>
      </c>
      <c r="M1310" t="inlineStr">
        <is>
          <t>UNKNOWN</t>
        </is>
      </c>
      <c r="N1310" t="inlineStr">
        <is>
          <t>DEFAULT</t>
        </is>
      </c>
      <c r="Q1310" t="n">
        <v>0</v>
      </c>
      <c r="R1310" t="inlineStr">
        <is>
          <t>AUD</t>
        </is>
      </c>
      <c r="S1310" t="n">
        <v>0</v>
      </c>
      <c r="T1310" t="inlineStr">
        <is>
          <t>AUD</t>
        </is>
      </c>
      <c r="U1310" t="n">
        <v>0</v>
      </c>
    </row>
    <row r="1311">
      <c r="A1311" s="5" t="inlineStr">
        <is>
          <t>01a1212c-5c49-766d-8229-f2b29592e49c</t>
        </is>
      </c>
      <c r="C1311" s="5" t="inlineStr">
        <is>
          <t>01a1212c-4b57-70cf-80fd-c2192cb3bf81</t>
        </is>
      </c>
      <c r="D1311" s="4" t="n">
        <v>46304.62404826469</v>
      </c>
      <c r="E1311" s="4" t="n">
        <v>46304.62404826477</v>
      </c>
      <c r="F1311" t="b">
        <v>1</v>
      </c>
      <c r="G1311" t="n">
        <v/>
      </c>
      <c r="H1311" t="inlineStr">
        <is>
          <t>AQI</t>
        </is>
      </c>
      <c r="I1311" t="inlineStr">
        <is>
          <t>Alicanto Minerals Ltd</t>
        </is>
      </c>
      <c r="J1311" t="inlineStr">
        <is>
          <t>AUD</t>
        </is>
      </c>
      <c r="K1311" s="5" t="inlineStr">
        <is>
          <t>01a1212c-4c04-75ce-bbb2-e3322e18816e</t>
        </is>
      </c>
      <c r="M1311" t="inlineStr">
        <is>
          <t>UNKNOWN</t>
        </is>
      </c>
      <c r="N1311" t="inlineStr">
        <is>
          <t>DEFAULT</t>
        </is>
      </c>
      <c r="Q1311" t="n">
        <v>0</v>
      </c>
      <c r="R1311" t="inlineStr">
        <is>
          <t>AUD</t>
        </is>
      </c>
      <c r="S1311" t="n">
        <v>0</v>
      </c>
      <c r="T1311" t="inlineStr">
        <is>
          <t>AUD</t>
        </is>
      </c>
      <c r="U1311" t="n">
        <v>0</v>
      </c>
    </row>
    <row r="1312">
      <c r="A1312" s="5" t="inlineStr">
        <is>
          <t>01a1212c-5c4c-74f9-bd60-3e21acb9c967</t>
        </is>
      </c>
      <c r="C1312" s="5" t="inlineStr">
        <is>
          <t>01a1212c-4b57-70cf-80fd-c2192cb3bf81</t>
        </is>
      </c>
      <c r="D1312" s="4" t="n">
        <v>46304.62404829553</v>
      </c>
      <c r="E1312" s="4" t="n">
        <v>46304.62404829561</v>
      </c>
      <c r="F1312" t="b">
        <v>1</v>
      </c>
      <c r="G1312" t="n">
        <v/>
      </c>
      <c r="H1312" t="inlineStr">
        <is>
          <t>STM</t>
        </is>
      </c>
      <c r="I1312" t="inlineStr">
        <is>
          <t>Sunstone Metals Ltd</t>
        </is>
      </c>
      <c r="J1312" t="inlineStr">
        <is>
          <t>AUD</t>
        </is>
      </c>
      <c r="K1312" s="5" t="inlineStr">
        <is>
          <t>01a1212c-4c04-75ce-bbb2-e3322e18816e</t>
        </is>
      </c>
      <c r="M1312" t="inlineStr">
        <is>
          <t>UNKNOWN</t>
        </is>
      </c>
      <c r="N1312" t="inlineStr">
        <is>
          <t>DEFAULT</t>
        </is>
      </c>
      <c r="Q1312" t="n">
        <v>0</v>
      </c>
      <c r="R1312" t="inlineStr">
        <is>
          <t>AUD</t>
        </is>
      </c>
      <c r="S1312" t="n">
        <v>0</v>
      </c>
      <c r="T1312" t="inlineStr">
        <is>
          <t>AUD</t>
        </is>
      </c>
      <c r="U1312" t="n">
        <v>0</v>
      </c>
    </row>
    <row r="1313">
      <c r="A1313" s="5" t="inlineStr">
        <is>
          <t>01a1212c-5c4f-70df-94a8-56b085d1b8ba</t>
        </is>
      </c>
      <c r="C1313" s="5" t="inlineStr">
        <is>
          <t>01a1212c-4b57-70cf-80fd-c2192cb3bf81</t>
        </is>
      </c>
      <c r="D1313" s="4" t="n">
        <v>46304.62404832688</v>
      </c>
      <c r="E1313" s="4" t="n">
        <v>46304.62404832696</v>
      </c>
      <c r="F1313" t="b">
        <v>1</v>
      </c>
      <c r="G1313" t="n">
        <v/>
      </c>
      <c r="H1313" t="inlineStr">
        <is>
          <t>TSO</t>
        </is>
      </c>
      <c r="I1313" t="inlineStr">
        <is>
          <t>Tesoro Gold Ltd</t>
        </is>
      </c>
      <c r="J1313" t="inlineStr">
        <is>
          <t>AUD</t>
        </is>
      </c>
      <c r="K1313" s="5" t="inlineStr">
        <is>
          <t>01a1212c-4c04-75ce-bbb2-e3322e18816e</t>
        </is>
      </c>
      <c r="M1313" t="inlineStr">
        <is>
          <t>UNKNOWN</t>
        </is>
      </c>
      <c r="N1313" t="inlineStr">
        <is>
          <t>DEFAULT</t>
        </is>
      </c>
      <c r="Q1313" t="n">
        <v>0</v>
      </c>
      <c r="R1313" t="inlineStr">
        <is>
          <t>AUD</t>
        </is>
      </c>
      <c r="S1313" t="n">
        <v>0</v>
      </c>
      <c r="T1313" t="inlineStr">
        <is>
          <t>AUD</t>
        </is>
      </c>
      <c r="U1313" t="n">
        <v>0</v>
      </c>
    </row>
    <row r="1314">
      <c r="A1314" s="5" t="inlineStr">
        <is>
          <t>01a1212c-5c52-7364-b616-e2af7d3287c5</t>
        </is>
      </c>
      <c r="C1314" s="5" t="inlineStr">
        <is>
          <t>01a1212c-4b57-70cf-80fd-c2192cb3bf81</t>
        </is>
      </c>
      <c r="D1314" s="4" t="n">
        <v>46304.62404836019</v>
      </c>
      <c r="E1314" s="4" t="n">
        <v>46304.62404836027</v>
      </c>
      <c r="F1314" t="b">
        <v>1</v>
      </c>
      <c r="G1314" t="n">
        <v/>
      </c>
      <c r="H1314" t="inlineStr">
        <is>
          <t>AMD</t>
        </is>
      </c>
      <c r="I1314" t="inlineStr">
        <is>
          <t>Arrow Minerals Ltd</t>
        </is>
      </c>
      <c r="J1314" t="inlineStr">
        <is>
          <t>AUD</t>
        </is>
      </c>
      <c r="K1314" s="5" t="inlineStr">
        <is>
          <t>01a1212c-4c04-75ce-bbb2-e3322e18816e</t>
        </is>
      </c>
      <c r="M1314" t="inlineStr">
        <is>
          <t>UNKNOWN</t>
        </is>
      </c>
      <c r="N1314" t="inlineStr">
        <is>
          <t>DEFAULT</t>
        </is>
      </c>
      <c r="Q1314" t="n">
        <v>0</v>
      </c>
      <c r="R1314" t="inlineStr">
        <is>
          <t>AUD</t>
        </is>
      </c>
      <c r="S1314" t="n">
        <v>0</v>
      </c>
      <c r="T1314" t="inlineStr">
        <is>
          <t>AUD</t>
        </is>
      </c>
      <c r="U1314" t="n">
        <v>0</v>
      </c>
    </row>
    <row r="1315">
      <c r="A1315" s="5" t="inlineStr">
        <is>
          <t>01a1212c-5c54-71f0-b9c8-7d8ba894862b</t>
        </is>
      </c>
      <c r="C1315" s="5" t="inlineStr">
        <is>
          <t>01a1212c-4b57-70cf-80fd-c2192cb3bf81</t>
        </is>
      </c>
      <c r="D1315" s="4" t="n">
        <v>46304.62404839154</v>
      </c>
      <c r="E1315" s="4" t="n">
        <v>46304.62404839162</v>
      </c>
      <c r="F1315" t="b">
        <v>1</v>
      </c>
      <c r="G1315" t="n">
        <v/>
      </c>
      <c r="H1315" t="inlineStr">
        <is>
          <t>EAFZ</t>
        </is>
      </c>
      <c r="I1315" t="inlineStr">
        <is>
          <t>Ellerston Asia Growth Fund (Hedge Fund)</t>
        </is>
      </c>
      <c r="J1315" t="inlineStr">
        <is>
          <t>AUD</t>
        </is>
      </c>
      <c r="K1315" s="5" t="inlineStr">
        <is>
          <t>01a1212c-4c04-75ce-bbb2-e3322e18816e</t>
        </is>
      </c>
      <c r="M1315" t="inlineStr">
        <is>
          <t>UNKNOWN</t>
        </is>
      </c>
      <c r="N1315" t="inlineStr">
        <is>
          <t>DEFAULT</t>
        </is>
      </c>
      <c r="Q1315" t="n">
        <v>0</v>
      </c>
      <c r="R1315" t="inlineStr">
        <is>
          <t>AUD</t>
        </is>
      </c>
      <c r="S1315" t="n">
        <v>0</v>
      </c>
      <c r="T1315" t="inlineStr">
        <is>
          <t>AUD</t>
        </is>
      </c>
      <c r="U1315" t="n">
        <v>0</v>
      </c>
    </row>
    <row r="1316">
      <c r="A1316" s="5" t="inlineStr">
        <is>
          <t>01a1212c-5c57-756a-bb7b-42d9e520377d</t>
        </is>
      </c>
      <c r="C1316" s="5" t="inlineStr">
        <is>
          <t>01a1212c-4b57-70cf-80fd-c2192cb3bf81</t>
        </is>
      </c>
      <c r="D1316" s="4" t="n">
        <v>46304.62404842264</v>
      </c>
      <c r="E1316" s="4" t="n">
        <v>46304.62404842272</v>
      </c>
      <c r="F1316" t="b">
        <v>1</v>
      </c>
      <c r="G1316" t="n">
        <v/>
      </c>
      <c r="H1316" t="inlineStr">
        <is>
          <t>IPT</t>
        </is>
      </c>
      <c r="I1316" t="inlineStr">
        <is>
          <t>Impact Minerals Ltd</t>
        </is>
      </c>
      <c r="J1316" t="inlineStr">
        <is>
          <t>AUD</t>
        </is>
      </c>
      <c r="K1316" s="5" t="inlineStr">
        <is>
          <t>01a1212c-4c04-75ce-bbb2-e3322e18816e</t>
        </is>
      </c>
      <c r="M1316" t="inlineStr">
        <is>
          <t>UNKNOWN</t>
        </is>
      </c>
      <c r="N1316" t="inlineStr">
        <is>
          <t>DEFAULT</t>
        </is>
      </c>
      <c r="Q1316" t="n">
        <v>0</v>
      </c>
      <c r="R1316" t="inlineStr">
        <is>
          <t>AUD</t>
        </is>
      </c>
      <c r="S1316" t="n">
        <v>0</v>
      </c>
      <c r="T1316" t="inlineStr">
        <is>
          <t>AUD</t>
        </is>
      </c>
      <c r="U1316" t="n">
        <v>0</v>
      </c>
    </row>
    <row r="1317">
      <c r="A1317" s="5" t="inlineStr">
        <is>
          <t>01a1212c-5c5a-75ed-b2e7-5dee8ea4d85b</t>
        </is>
      </c>
      <c r="C1317" s="5" t="inlineStr">
        <is>
          <t>01a1212c-4b57-70cf-80fd-c2192cb3bf81</t>
        </is>
      </c>
      <c r="D1317" s="4" t="n">
        <v>46304.624048453</v>
      </c>
      <c r="E1317" s="4" t="n">
        <v>46304.62404845306</v>
      </c>
      <c r="F1317" t="b">
        <v>1</v>
      </c>
      <c r="G1317" t="n">
        <v/>
      </c>
      <c r="H1317" t="inlineStr">
        <is>
          <t>CTE</t>
        </is>
      </c>
      <c r="I1317" t="inlineStr">
        <is>
          <t>Cryosite Ltd</t>
        </is>
      </c>
      <c r="J1317" t="inlineStr">
        <is>
          <t>AUD</t>
        </is>
      </c>
      <c r="K1317" s="5" t="inlineStr">
        <is>
          <t>01a1212c-4c04-75ce-bbb2-e3322e18816e</t>
        </is>
      </c>
      <c r="M1317" t="inlineStr">
        <is>
          <t>UNKNOWN</t>
        </is>
      </c>
      <c r="N1317" t="inlineStr">
        <is>
          <t>DEFAULT</t>
        </is>
      </c>
      <c r="Q1317" t="n">
        <v>0</v>
      </c>
      <c r="R1317" t="inlineStr">
        <is>
          <t>AUD</t>
        </is>
      </c>
      <c r="S1317" t="n">
        <v>0</v>
      </c>
      <c r="T1317" t="inlineStr">
        <is>
          <t>AUD</t>
        </is>
      </c>
      <c r="U1317" t="n">
        <v>0</v>
      </c>
    </row>
    <row r="1318">
      <c r="A1318" s="5" t="inlineStr">
        <is>
          <t>01a1212c-5c5d-722f-8e45-4bdf87b0a990</t>
        </is>
      </c>
      <c r="C1318" s="5" t="inlineStr">
        <is>
          <t>01a1212c-4b57-70cf-80fd-c2192cb3bf81</t>
        </is>
      </c>
      <c r="D1318" s="4" t="n">
        <v>46304.624048486</v>
      </c>
      <c r="E1318" s="4" t="n">
        <v>46304.62404848608</v>
      </c>
      <c r="F1318" t="b">
        <v>1</v>
      </c>
      <c r="G1318" t="n">
        <v/>
      </c>
      <c r="H1318" t="inlineStr">
        <is>
          <t>DCOR</t>
        </is>
      </c>
      <c r="I1318" t="inlineStr">
        <is>
          <t>Daintree Core Income Active ETF</t>
        </is>
      </c>
      <c r="J1318" t="inlineStr">
        <is>
          <t>AUD</t>
        </is>
      </c>
      <c r="K1318" s="5" t="inlineStr">
        <is>
          <t>01a1212c-4c04-75ce-bbb2-e3322e18816e</t>
        </is>
      </c>
      <c r="M1318" t="inlineStr">
        <is>
          <t>UNKNOWN</t>
        </is>
      </c>
      <c r="N1318" t="inlineStr">
        <is>
          <t>DEFAULT</t>
        </is>
      </c>
      <c r="Q1318" t="n">
        <v>0</v>
      </c>
      <c r="R1318" t="inlineStr">
        <is>
          <t>AUD</t>
        </is>
      </c>
      <c r="S1318" t="n">
        <v>0</v>
      </c>
      <c r="T1318" t="inlineStr">
        <is>
          <t>AUD</t>
        </is>
      </c>
      <c r="U1318" t="n">
        <v>0</v>
      </c>
    </row>
    <row r="1319">
      <c r="A1319" s="5" t="inlineStr">
        <is>
          <t>01a1212c-5c5f-76be-b0e8-4fc8a2a64b46</t>
        </is>
      </c>
      <c r="C1319" s="5" t="inlineStr">
        <is>
          <t>01a1212c-4b57-70cf-80fd-c2192cb3bf81</t>
        </is>
      </c>
      <c r="D1319" s="4" t="n">
        <v>46304.62404851693</v>
      </c>
      <c r="E1319" s="4" t="n">
        <v>46304.62404851701</v>
      </c>
      <c r="F1319" t="b">
        <v>1</v>
      </c>
      <c r="G1319" t="n">
        <v/>
      </c>
      <c r="H1319" t="inlineStr">
        <is>
          <t>DGH</t>
        </is>
      </c>
      <c r="I1319" t="inlineStr">
        <is>
          <t>Desane Group Holdings Ltd</t>
        </is>
      </c>
      <c r="J1319" t="inlineStr">
        <is>
          <t>AUD</t>
        </is>
      </c>
      <c r="K1319" s="5" t="inlineStr">
        <is>
          <t>01a1212c-4c04-75ce-bbb2-e3322e18816e</t>
        </is>
      </c>
      <c r="M1319" t="inlineStr">
        <is>
          <t>UNKNOWN</t>
        </is>
      </c>
      <c r="N1319" t="inlineStr">
        <is>
          <t>DEFAULT</t>
        </is>
      </c>
      <c r="Q1319" t="n">
        <v>0</v>
      </c>
      <c r="R1319" t="inlineStr">
        <is>
          <t>AUD</t>
        </is>
      </c>
      <c r="S1319" t="n">
        <v>0</v>
      </c>
      <c r="T1319" t="inlineStr">
        <is>
          <t>AUD</t>
        </is>
      </c>
      <c r="U1319" t="n">
        <v>0</v>
      </c>
    </row>
    <row r="1320">
      <c r="A1320" s="5" t="inlineStr">
        <is>
          <t>01a1212c-5c62-7678-8ab2-0bb73bb3f0b0</t>
        </is>
      </c>
      <c r="C1320" s="5" t="inlineStr">
        <is>
          <t>01a1212c-4b57-70cf-80fd-c2192cb3bf81</t>
        </is>
      </c>
      <c r="D1320" s="4" t="n">
        <v>46304.62404854752</v>
      </c>
      <c r="E1320" s="4" t="n">
        <v>46304.6240485476</v>
      </c>
      <c r="F1320" t="b">
        <v>1</v>
      </c>
      <c r="G1320" t="n">
        <v/>
      </c>
      <c r="H1320" t="inlineStr">
        <is>
          <t>IVR</t>
        </is>
      </c>
      <c r="I1320" t="inlineStr">
        <is>
          <t>Investigator Resources Ltd</t>
        </is>
      </c>
      <c r="J1320" t="inlineStr">
        <is>
          <t>AUD</t>
        </is>
      </c>
      <c r="K1320" s="5" t="inlineStr">
        <is>
          <t>01a1212c-4c04-75ce-bbb2-e3322e18816e</t>
        </is>
      </c>
      <c r="M1320" t="inlineStr">
        <is>
          <t>UNKNOWN</t>
        </is>
      </c>
      <c r="N1320" t="inlineStr">
        <is>
          <t>DEFAULT</t>
        </is>
      </c>
      <c r="Q1320" t="n">
        <v>0</v>
      </c>
      <c r="R1320" t="inlineStr">
        <is>
          <t>AUD</t>
        </is>
      </c>
      <c r="S1320" t="n">
        <v>0</v>
      </c>
      <c r="T1320" t="inlineStr">
        <is>
          <t>AUD</t>
        </is>
      </c>
      <c r="U1320" t="n">
        <v>0</v>
      </c>
    </row>
    <row r="1321">
      <c r="A1321" s="5" t="inlineStr">
        <is>
          <t>01a1212c-5c65-7777-9124-1dc06736e7d0</t>
        </is>
      </c>
      <c r="C1321" s="5" t="inlineStr">
        <is>
          <t>01a1212c-4b57-70cf-80fd-c2192cb3bf81</t>
        </is>
      </c>
      <c r="D1321" s="4" t="n">
        <v>46304.6240485803</v>
      </c>
      <c r="E1321" s="4" t="n">
        <v>46304.62404858039</v>
      </c>
      <c r="F1321" t="b">
        <v>1</v>
      </c>
      <c r="G1321" t="n">
        <v/>
      </c>
      <c r="H1321" t="inlineStr">
        <is>
          <t>S2R</t>
        </is>
      </c>
      <c r="I1321" t="inlineStr">
        <is>
          <t>S2 Resources Ltd</t>
        </is>
      </c>
      <c r="J1321" t="inlineStr">
        <is>
          <t>AUD</t>
        </is>
      </c>
      <c r="K1321" s="5" t="inlineStr">
        <is>
          <t>01a1212c-4c04-75ce-bbb2-e3322e18816e</t>
        </is>
      </c>
      <c r="M1321" t="inlineStr">
        <is>
          <t>UNKNOWN</t>
        </is>
      </c>
      <c r="N1321" t="inlineStr">
        <is>
          <t>DEFAULT</t>
        </is>
      </c>
      <c r="Q1321" t="n">
        <v>0</v>
      </c>
      <c r="R1321" t="inlineStr">
        <is>
          <t>AUD</t>
        </is>
      </c>
      <c r="S1321" t="n">
        <v>0</v>
      </c>
      <c r="T1321" t="inlineStr">
        <is>
          <t>AUD</t>
        </is>
      </c>
      <c r="U1321" t="n">
        <v>0</v>
      </c>
    </row>
    <row r="1322">
      <c r="A1322" s="5" t="inlineStr">
        <is>
          <t>01a1212c-5c68-7032-af3b-518736268f56</t>
        </is>
      </c>
      <c r="C1322" s="5" t="inlineStr">
        <is>
          <t>01a1212c-4b57-70cf-80fd-c2192cb3bf81</t>
        </is>
      </c>
      <c r="D1322" s="4" t="n">
        <v>46304.6240486125</v>
      </c>
      <c r="E1322" s="4" t="n">
        <v>46304.62404861258</v>
      </c>
      <c r="F1322" t="b">
        <v>1</v>
      </c>
      <c r="G1322" t="n">
        <v/>
      </c>
      <c r="H1322" t="inlineStr">
        <is>
          <t>CETF</t>
        </is>
      </c>
      <c r="I1322" t="inlineStr">
        <is>
          <t>Vaneck Ftse China A50 ETF</t>
        </is>
      </c>
      <c r="J1322" t="inlineStr">
        <is>
          <t>AUD</t>
        </is>
      </c>
      <c r="K1322" s="5" t="inlineStr">
        <is>
          <t>01a1212c-4c04-75ce-bbb2-e3322e18816e</t>
        </is>
      </c>
      <c r="M1322" t="inlineStr">
        <is>
          <t>UNKNOWN</t>
        </is>
      </c>
      <c r="N1322" t="inlineStr">
        <is>
          <t>DEFAULT</t>
        </is>
      </c>
      <c r="Q1322" t="n">
        <v>0</v>
      </c>
      <c r="R1322" t="inlineStr">
        <is>
          <t>AUD</t>
        </is>
      </c>
      <c r="S1322" t="n">
        <v>0</v>
      </c>
      <c r="T1322" t="inlineStr">
        <is>
          <t>AUD</t>
        </is>
      </c>
      <c r="U1322" t="n">
        <v>0</v>
      </c>
    </row>
    <row r="1323">
      <c r="A1323" s="5" t="inlineStr">
        <is>
          <t>01a1212c-5c6a-7194-9b29-68aa7f674cac</t>
        </is>
      </c>
      <c r="C1323" s="5" t="inlineStr">
        <is>
          <t>01a1212c-4b57-70cf-80fd-c2192cb3bf81</t>
        </is>
      </c>
      <c r="D1323" s="4" t="n">
        <v>46304.62404864636</v>
      </c>
      <c r="E1323" s="4" t="n">
        <v>46304.62404864644</v>
      </c>
      <c r="F1323" t="b">
        <v>1</v>
      </c>
      <c r="G1323" t="n">
        <v/>
      </c>
      <c r="H1323" t="inlineStr">
        <is>
          <t>ABV</t>
        </is>
      </c>
      <c r="I1323" t="inlineStr">
        <is>
          <t>Advanced Braking Technology Ltd</t>
        </is>
      </c>
      <c r="J1323" t="inlineStr">
        <is>
          <t>AUD</t>
        </is>
      </c>
      <c r="K1323" s="5" t="inlineStr">
        <is>
          <t>01a1212c-4c04-75ce-bbb2-e3322e18816e</t>
        </is>
      </c>
      <c r="M1323" t="inlineStr">
        <is>
          <t>UNKNOWN</t>
        </is>
      </c>
      <c r="N1323" t="inlineStr">
        <is>
          <t>DEFAULT</t>
        </is>
      </c>
      <c r="Q1323" t="n">
        <v>0</v>
      </c>
      <c r="R1323" t="inlineStr">
        <is>
          <t>AUD</t>
        </is>
      </c>
      <c r="S1323" t="n">
        <v>0</v>
      </c>
      <c r="T1323" t="inlineStr">
        <is>
          <t>AUD</t>
        </is>
      </c>
      <c r="U1323" t="n">
        <v>0</v>
      </c>
    </row>
    <row r="1324">
      <c r="A1324" s="5" t="inlineStr">
        <is>
          <t>01a1212c-5c6d-72dd-8d2b-adf16d16d410</t>
        </is>
      </c>
      <c r="C1324" s="5" t="inlineStr">
        <is>
          <t>01a1212c-4b57-70cf-80fd-c2192cb3bf81</t>
        </is>
      </c>
      <c r="D1324" s="4" t="n">
        <v>46304.62404867689</v>
      </c>
      <c r="E1324" s="4" t="n">
        <v>46304.62404867697</v>
      </c>
      <c r="F1324" t="b">
        <v>1</v>
      </c>
      <c r="G1324" t="n">
        <v/>
      </c>
      <c r="H1324" t="inlineStr">
        <is>
          <t>GHM</t>
        </is>
      </c>
      <c r="I1324" t="inlineStr">
        <is>
          <t>Golden Horse Minerals Ltd</t>
        </is>
      </c>
      <c r="J1324" t="inlineStr">
        <is>
          <t>AUD</t>
        </is>
      </c>
      <c r="K1324" s="5" t="inlineStr">
        <is>
          <t>01a1212c-4c04-75ce-bbb2-e3322e18816e</t>
        </is>
      </c>
      <c r="M1324" t="inlineStr">
        <is>
          <t>UNKNOWN</t>
        </is>
      </c>
      <c r="N1324" t="inlineStr">
        <is>
          <t>DEFAULT</t>
        </is>
      </c>
      <c r="Q1324" t="n">
        <v>0</v>
      </c>
      <c r="R1324" t="inlineStr">
        <is>
          <t>AUD</t>
        </is>
      </c>
      <c r="S1324" t="n">
        <v>0</v>
      </c>
      <c r="T1324" t="inlineStr">
        <is>
          <t>AUD</t>
        </is>
      </c>
      <c r="U1324" t="n">
        <v>0</v>
      </c>
    </row>
    <row r="1325">
      <c r="A1325" s="5" t="inlineStr">
        <is>
          <t>01a1212c-5c70-73cd-8d09-a32d38184814</t>
        </is>
      </c>
      <c r="C1325" s="5" t="inlineStr">
        <is>
          <t>01a1212c-4b57-70cf-80fd-c2192cb3bf81</t>
        </is>
      </c>
      <c r="D1325" s="4" t="n">
        <v>46304.62404870771</v>
      </c>
      <c r="E1325" s="4" t="n">
        <v>46304.62404870778</v>
      </c>
      <c r="F1325" t="b">
        <v>1</v>
      </c>
      <c r="G1325" t="n">
        <v/>
      </c>
      <c r="H1325" t="inlineStr">
        <is>
          <t>FCT</t>
        </is>
      </c>
      <c r="I1325" t="inlineStr">
        <is>
          <t>Firstwave Cloud Technology Ltd</t>
        </is>
      </c>
      <c r="J1325" t="inlineStr">
        <is>
          <t>AUD</t>
        </is>
      </c>
      <c r="K1325" s="5" t="inlineStr">
        <is>
          <t>01a1212c-4c04-75ce-bbb2-e3322e18816e</t>
        </is>
      </c>
      <c r="M1325" t="inlineStr">
        <is>
          <t>UNKNOWN</t>
        </is>
      </c>
      <c r="N1325" t="inlineStr">
        <is>
          <t>DEFAULT</t>
        </is>
      </c>
      <c r="Q1325" t="n">
        <v>0</v>
      </c>
      <c r="R1325" t="inlineStr">
        <is>
          <t>AUD</t>
        </is>
      </c>
      <c r="S1325" t="n">
        <v>0</v>
      </c>
      <c r="T1325" t="inlineStr">
        <is>
          <t>AUD</t>
        </is>
      </c>
      <c r="U1325" t="n">
        <v>0</v>
      </c>
    </row>
    <row r="1326">
      <c r="A1326" s="5" t="inlineStr">
        <is>
          <t>01a1212c-5c72-713d-a8df-22e404f9f512</t>
        </is>
      </c>
      <c r="C1326" s="5" t="inlineStr">
        <is>
          <t>01a1212c-4b57-70cf-80fd-c2192cb3bf81</t>
        </is>
      </c>
      <c r="D1326" s="4" t="n">
        <v>46304.62404873809</v>
      </c>
      <c r="E1326" s="4" t="n">
        <v>46304.62404873816</v>
      </c>
      <c r="F1326" t="b">
        <v>1</v>
      </c>
      <c r="G1326" t="n">
        <v/>
      </c>
      <c r="H1326" t="inlineStr">
        <is>
          <t>WTL</t>
        </is>
      </c>
      <c r="I1326" t="inlineStr">
        <is>
          <t>WT Financial Group Ltd</t>
        </is>
      </c>
      <c r="J1326" t="inlineStr">
        <is>
          <t>AUD</t>
        </is>
      </c>
      <c r="K1326" s="5" t="inlineStr">
        <is>
          <t>01a1212c-4c04-75ce-bbb2-e3322e18816e</t>
        </is>
      </c>
      <c r="M1326" t="inlineStr">
        <is>
          <t>UNKNOWN</t>
        </is>
      </c>
      <c r="N1326" t="inlineStr">
        <is>
          <t>DEFAULT</t>
        </is>
      </c>
      <c r="Q1326" t="n">
        <v>0</v>
      </c>
      <c r="R1326" t="inlineStr">
        <is>
          <t>AUD</t>
        </is>
      </c>
      <c r="S1326" t="n">
        <v>0</v>
      </c>
      <c r="T1326" t="inlineStr">
        <is>
          <t>AUD</t>
        </is>
      </c>
      <c r="U1326" t="n">
        <v>0</v>
      </c>
    </row>
    <row r="1327">
      <c r="A1327" s="5" t="inlineStr">
        <is>
          <t>01a1212c-5c75-7182-a0fe-947b7b32e437</t>
        </is>
      </c>
      <c r="C1327" s="5" t="inlineStr">
        <is>
          <t>01a1212c-4b57-70cf-80fd-c2192cb3bf81</t>
        </is>
      </c>
      <c r="D1327" s="4" t="n">
        <v>46304.624048773</v>
      </c>
      <c r="E1327" s="4" t="n">
        <v>46304.62404877308</v>
      </c>
      <c r="F1327" t="b">
        <v>1</v>
      </c>
      <c r="G1327" t="n">
        <v/>
      </c>
      <c r="H1327" t="inlineStr">
        <is>
          <t>VRX</t>
        </is>
      </c>
      <c r="I1327" t="inlineStr">
        <is>
          <t>VRX Silica Ltd</t>
        </is>
      </c>
      <c r="J1327" t="inlineStr">
        <is>
          <t>AUD</t>
        </is>
      </c>
      <c r="K1327" s="5" t="inlineStr">
        <is>
          <t>01a1212c-4c04-75ce-bbb2-e3322e18816e</t>
        </is>
      </c>
      <c r="M1327" t="inlineStr">
        <is>
          <t>UNKNOWN</t>
        </is>
      </c>
      <c r="N1327" t="inlineStr">
        <is>
          <t>DEFAULT</t>
        </is>
      </c>
      <c r="Q1327" t="n">
        <v>0</v>
      </c>
      <c r="R1327" t="inlineStr">
        <is>
          <t>AUD</t>
        </is>
      </c>
      <c r="S1327" t="n">
        <v>0</v>
      </c>
      <c r="T1327" t="inlineStr">
        <is>
          <t>AUD</t>
        </is>
      </c>
      <c r="U1327" t="n">
        <v>0</v>
      </c>
    </row>
    <row r="1328">
      <c r="A1328" s="5" t="inlineStr">
        <is>
          <t>01a1212c-5c78-715b-b557-f8255532db6a</t>
        </is>
      </c>
      <c r="C1328" s="5" t="inlineStr">
        <is>
          <t>01a1212c-4b57-70cf-80fd-c2192cb3bf81</t>
        </is>
      </c>
      <c r="D1328" s="4" t="n">
        <v>46304.62404880622</v>
      </c>
      <c r="E1328" s="4" t="n">
        <v>46304.6240488063</v>
      </c>
      <c r="F1328" t="b">
        <v>1</v>
      </c>
      <c r="G1328" t="n">
        <v/>
      </c>
      <c r="H1328" t="inlineStr">
        <is>
          <t>BDX</t>
        </is>
      </c>
      <c r="I1328" t="inlineStr">
        <is>
          <t>Bcal Diagnostics Ltd</t>
        </is>
      </c>
      <c r="J1328" t="inlineStr">
        <is>
          <t>AUD</t>
        </is>
      </c>
      <c r="K1328" s="5" t="inlineStr">
        <is>
          <t>01a1212c-4c04-75ce-bbb2-e3322e18816e</t>
        </is>
      </c>
      <c r="M1328" t="inlineStr">
        <is>
          <t>UNKNOWN</t>
        </is>
      </c>
      <c r="N1328" t="inlineStr">
        <is>
          <t>DEFAULT</t>
        </is>
      </c>
      <c r="Q1328" t="n">
        <v>0</v>
      </c>
      <c r="R1328" t="inlineStr">
        <is>
          <t>AUD</t>
        </is>
      </c>
      <c r="S1328" t="n">
        <v>0</v>
      </c>
      <c r="T1328" t="inlineStr">
        <is>
          <t>AUD</t>
        </is>
      </c>
      <c r="U1328" t="n">
        <v>0</v>
      </c>
    </row>
    <row r="1329">
      <c r="A1329" s="5" t="inlineStr">
        <is>
          <t>01a1212c-5c7b-712b-9db4-73831bd5aa86</t>
        </is>
      </c>
      <c r="C1329" s="5" t="inlineStr">
        <is>
          <t>01a1212c-4b57-70cf-80fd-c2192cb3bf81</t>
        </is>
      </c>
      <c r="D1329" s="4" t="n">
        <v>46304.62404883718</v>
      </c>
      <c r="E1329" s="4" t="n">
        <v>46304.62404883727</v>
      </c>
      <c r="F1329" t="b">
        <v>1</v>
      </c>
      <c r="G1329" t="n">
        <v/>
      </c>
      <c r="H1329" t="inlineStr">
        <is>
          <t>TMG</t>
        </is>
      </c>
      <c r="I1329" t="inlineStr">
        <is>
          <t>Trigg Minerals Ltd</t>
        </is>
      </c>
      <c r="J1329" t="inlineStr">
        <is>
          <t>AUD</t>
        </is>
      </c>
      <c r="K1329" s="5" t="inlineStr">
        <is>
          <t>01a1212c-4c04-75ce-bbb2-e3322e18816e</t>
        </is>
      </c>
      <c r="M1329" t="inlineStr">
        <is>
          <t>UNKNOWN</t>
        </is>
      </c>
      <c r="N1329" t="inlineStr">
        <is>
          <t>DEFAULT</t>
        </is>
      </c>
      <c r="Q1329" t="n">
        <v>0</v>
      </c>
      <c r="R1329" t="inlineStr">
        <is>
          <t>AUD</t>
        </is>
      </c>
      <c r="S1329" t="n">
        <v>0</v>
      </c>
      <c r="T1329" t="inlineStr">
        <is>
          <t>AUD</t>
        </is>
      </c>
      <c r="U1329" t="n">
        <v>0</v>
      </c>
    </row>
    <row r="1330">
      <c r="A1330" s="5" t="inlineStr">
        <is>
          <t>01a1212c-5c7e-77d9-97a3-cb541bf5ffa1</t>
        </is>
      </c>
      <c r="C1330" s="5" t="inlineStr">
        <is>
          <t>01a1212c-4b57-70cf-80fd-c2192cb3bf81</t>
        </is>
      </c>
      <c r="D1330" s="4" t="n">
        <v>46304.62404886884</v>
      </c>
      <c r="E1330" s="4" t="n">
        <v>46304.62404886894</v>
      </c>
      <c r="F1330" t="b">
        <v>1</v>
      </c>
      <c r="G1330" t="n">
        <v/>
      </c>
      <c r="H1330" t="inlineStr">
        <is>
          <t>MHK</t>
        </is>
      </c>
      <c r="I1330" t="inlineStr">
        <is>
          <t>Metal Hawk Ltd</t>
        </is>
      </c>
      <c r="J1330" t="inlineStr">
        <is>
          <t>AUD</t>
        </is>
      </c>
      <c r="K1330" s="5" t="inlineStr">
        <is>
          <t>01a1212c-4c04-75ce-bbb2-e3322e18816e</t>
        </is>
      </c>
      <c r="M1330" t="inlineStr">
        <is>
          <t>UNKNOWN</t>
        </is>
      </c>
      <c r="N1330" t="inlineStr">
        <is>
          <t>DEFAULT</t>
        </is>
      </c>
      <c r="Q1330" t="n">
        <v>0</v>
      </c>
      <c r="R1330" t="inlineStr">
        <is>
          <t>AUD</t>
        </is>
      </c>
      <c r="S1330" t="n">
        <v>0</v>
      </c>
      <c r="T1330" t="inlineStr">
        <is>
          <t>AUD</t>
        </is>
      </c>
      <c r="U1330" t="n">
        <v>0</v>
      </c>
    </row>
    <row r="1331">
      <c r="A1331" s="5" t="inlineStr">
        <is>
          <t>01a1212c-5c80-73b0-b99c-ee8bb71c1089</t>
        </is>
      </c>
      <c r="C1331" s="5" t="inlineStr">
        <is>
          <t>01a1212c-4b57-70cf-80fd-c2192cb3bf81</t>
        </is>
      </c>
      <c r="D1331" s="4" t="n">
        <v>46304.6240489004</v>
      </c>
      <c r="E1331" s="4" t="n">
        <v>46304.62404890048</v>
      </c>
      <c r="F1331" t="b">
        <v>1</v>
      </c>
      <c r="G1331" t="n">
        <v/>
      </c>
      <c r="H1331" t="inlineStr">
        <is>
          <t>BBC</t>
        </is>
      </c>
      <c r="I1331" t="inlineStr">
        <is>
          <t>BNK Banking Corporation Ltd</t>
        </is>
      </c>
      <c r="J1331" t="inlineStr">
        <is>
          <t>AUD</t>
        </is>
      </c>
      <c r="K1331" s="5" t="inlineStr">
        <is>
          <t>01a1212c-4c04-75ce-bbb2-e3322e18816e</t>
        </is>
      </c>
      <c r="M1331" t="inlineStr">
        <is>
          <t>UNKNOWN</t>
        </is>
      </c>
      <c r="N1331" t="inlineStr">
        <is>
          <t>DEFAULT</t>
        </is>
      </c>
      <c r="Q1331" t="n">
        <v>0</v>
      </c>
      <c r="R1331" t="inlineStr">
        <is>
          <t>AUD</t>
        </is>
      </c>
      <c r="S1331" t="n">
        <v>0</v>
      </c>
      <c r="T1331" t="inlineStr">
        <is>
          <t>AUD</t>
        </is>
      </c>
      <c r="U1331" t="n">
        <v>0</v>
      </c>
    </row>
    <row r="1332">
      <c r="A1332" s="5" t="inlineStr">
        <is>
          <t>01a1212c-5c83-7068-83c2-a7a9185ac093</t>
        </is>
      </c>
      <c r="C1332" s="5" t="inlineStr">
        <is>
          <t>01a1212c-4b57-70cf-80fd-c2192cb3bf81</t>
        </is>
      </c>
      <c r="D1332" s="4" t="n">
        <v>46304.62404893316</v>
      </c>
      <c r="E1332" s="4" t="n">
        <v>46304.62404893323</v>
      </c>
      <c r="F1332" t="b">
        <v>1</v>
      </c>
      <c r="G1332" t="n">
        <v/>
      </c>
      <c r="H1332" t="inlineStr">
        <is>
          <t>NGY</t>
        </is>
      </c>
      <c r="I1332" t="inlineStr">
        <is>
          <t>Nuenergy Gas Ltd</t>
        </is>
      </c>
      <c r="J1332" t="inlineStr">
        <is>
          <t>AUD</t>
        </is>
      </c>
      <c r="K1332" s="5" t="inlineStr">
        <is>
          <t>01a1212c-4c04-75ce-bbb2-e3322e18816e</t>
        </is>
      </c>
      <c r="M1332" t="inlineStr">
        <is>
          <t>UNKNOWN</t>
        </is>
      </c>
      <c r="N1332" t="inlineStr">
        <is>
          <t>DEFAULT</t>
        </is>
      </c>
      <c r="Q1332" t="n">
        <v>0</v>
      </c>
      <c r="R1332" t="inlineStr">
        <is>
          <t>AUD</t>
        </is>
      </c>
      <c r="S1332" t="n">
        <v>0</v>
      </c>
      <c r="T1332" t="inlineStr">
        <is>
          <t>AUD</t>
        </is>
      </c>
      <c r="U1332" t="n">
        <v>0</v>
      </c>
    </row>
    <row r="1333">
      <c r="A1333" s="5" t="inlineStr">
        <is>
          <t>01a1212c-5c86-74dc-a55a-2292b4e5fd68</t>
        </is>
      </c>
      <c r="C1333" s="5" t="inlineStr">
        <is>
          <t>01a1212c-4b57-70cf-80fd-c2192cb3bf81</t>
        </is>
      </c>
      <c r="D1333" s="4" t="n">
        <v>46304.624048964</v>
      </c>
      <c r="E1333" s="4" t="n">
        <v>46304.62404896408</v>
      </c>
      <c r="F1333" t="b">
        <v>1</v>
      </c>
      <c r="G1333" t="n">
        <v/>
      </c>
      <c r="H1333" t="inlineStr">
        <is>
          <t>CAMG</t>
        </is>
      </c>
      <c r="I1333" t="inlineStr">
        <is>
          <t>Clime Capital Ltd</t>
        </is>
      </c>
      <c r="J1333" t="inlineStr">
        <is>
          <t>AUD</t>
        </is>
      </c>
      <c r="K1333" s="5" t="inlineStr">
        <is>
          <t>01a1212c-4c04-75ce-bbb2-e3322e18816e</t>
        </is>
      </c>
      <c r="M1333" t="inlineStr">
        <is>
          <t>UNKNOWN</t>
        </is>
      </c>
      <c r="N1333" t="inlineStr">
        <is>
          <t>DEFAULT</t>
        </is>
      </c>
      <c r="Q1333" t="n">
        <v>0</v>
      </c>
      <c r="R1333" t="inlineStr">
        <is>
          <t>AUD</t>
        </is>
      </c>
      <c r="S1333" t="n">
        <v>0</v>
      </c>
      <c r="T1333" t="inlineStr">
        <is>
          <t>AUD</t>
        </is>
      </c>
      <c r="U1333" t="n">
        <v>0</v>
      </c>
    </row>
    <row r="1334">
      <c r="A1334" s="5" t="inlineStr">
        <is>
          <t>01a1212c-5c89-729b-992d-1c086111ad5c</t>
        </is>
      </c>
      <c r="C1334" s="5" t="inlineStr">
        <is>
          <t>01a1212c-4b57-70cf-80fd-c2192cb3bf81</t>
        </is>
      </c>
      <c r="D1334" s="4" t="n">
        <v>46304.62404899491</v>
      </c>
      <c r="E1334" s="4" t="n">
        <v>46304.62404899498</v>
      </c>
      <c r="F1334" t="b">
        <v>1</v>
      </c>
      <c r="G1334" t="n">
        <v/>
      </c>
      <c r="H1334" t="inlineStr">
        <is>
          <t>PPK</t>
        </is>
      </c>
      <c r="I1334" t="inlineStr">
        <is>
          <t>PPK Group Ltd</t>
        </is>
      </c>
      <c r="J1334" t="inlineStr">
        <is>
          <t>AUD</t>
        </is>
      </c>
      <c r="K1334" s="5" t="inlineStr">
        <is>
          <t>01a1212c-4c04-75ce-bbb2-e3322e18816e</t>
        </is>
      </c>
      <c r="M1334" t="inlineStr">
        <is>
          <t>UNKNOWN</t>
        </is>
      </c>
      <c r="N1334" t="inlineStr">
        <is>
          <t>DEFAULT</t>
        </is>
      </c>
      <c r="Q1334" t="n">
        <v>0</v>
      </c>
      <c r="R1334" t="inlineStr">
        <is>
          <t>AUD</t>
        </is>
      </c>
      <c r="S1334" t="n">
        <v>0</v>
      </c>
      <c r="T1334" t="inlineStr">
        <is>
          <t>AUD</t>
        </is>
      </c>
      <c r="U1334" t="n">
        <v>0</v>
      </c>
    </row>
    <row r="1335">
      <c r="A1335" s="5" t="inlineStr">
        <is>
          <t>01a1212c-5c8b-764c-9a4a-85635cf5f223</t>
        </is>
      </c>
      <c r="C1335" s="5" t="inlineStr">
        <is>
          <t>01a1212c-4b57-70cf-80fd-c2192cb3bf81</t>
        </is>
      </c>
      <c r="D1335" s="4" t="n">
        <v>46304.62404902549</v>
      </c>
      <c r="E1335" s="4" t="n">
        <v>46304.62404902557</v>
      </c>
      <c r="F1335" t="b">
        <v>1</v>
      </c>
      <c r="G1335" t="n">
        <v/>
      </c>
      <c r="H1335" t="inlineStr">
        <is>
          <t>AW1</t>
        </is>
      </c>
      <c r="I1335" t="inlineStr">
        <is>
          <t>American West Metals Ltd</t>
        </is>
      </c>
      <c r="J1335" t="inlineStr">
        <is>
          <t>AUD</t>
        </is>
      </c>
      <c r="K1335" s="5" t="inlineStr">
        <is>
          <t>01a1212c-4c04-75ce-bbb2-e3322e18816e</t>
        </is>
      </c>
      <c r="M1335" t="inlineStr">
        <is>
          <t>UNKNOWN</t>
        </is>
      </c>
      <c r="N1335" t="inlineStr">
        <is>
          <t>DEFAULT</t>
        </is>
      </c>
      <c r="Q1335" t="n">
        <v>0</v>
      </c>
      <c r="R1335" t="inlineStr">
        <is>
          <t>AUD</t>
        </is>
      </c>
      <c r="S1335" t="n">
        <v>0</v>
      </c>
      <c r="T1335" t="inlineStr">
        <is>
          <t>AUD</t>
        </is>
      </c>
      <c r="U1335" t="n">
        <v>0</v>
      </c>
    </row>
    <row r="1336">
      <c r="A1336" s="5" t="inlineStr">
        <is>
          <t>01a1212c-5c8e-7758-925a-7f8253b94e74</t>
        </is>
      </c>
      <c r="C1336" s="5" t="inlineStr">
        <is>
          <t>01a1212c-4b57-70cf-80fd-c2192cb3bf81</t>
        </is>
      </c>
      <c r="D1336" s="4" t="n">
        <v>46304.62404905795</v>
      </c>
      <c r="E1336" s="4" t="n">
        <v>46304.62404905802</v>
      </c>
      <c r="F1336" t="b">
        <v>1</v>
      </c>
      <c r="G1336" t="n">
        <v/>
      </c>
      <c r="H1336" t="inlineStr">
        <is>
          <t>AGC</t>
        </is>
      </c>
      <c r="I1336" t="inlineStr">
        <is>
          <t>Australian Gold and Copper Ltd</t>
        </is>
      </c>
      <c r="J1336" t="inlineStr">
        <is>
          <t>AUD</t>
        </is>
      </c>
      <c r="K1336" s="5" t="inlineStr">
        <is>
          <t>01a1212c-4c04-75ce-bbb2-e3322e18816e</t>
        </is>
      </c>
      <c r="M1336" t="inlineStr">
        <is>
          <t>UNKNOWN</t>
        </is>
      </c>
      <c r="N1336" t="inlineStr">
        <is>
          <t>DEFAULT</t>
        </is>
      </c>
      <c r="Q1336" t="n">
        <v>0</v>
      </c>
      <c r="R1336" t="inlineStr">
        <is>
          <t>AUD</t>
        </is>
      </c>
      <c r="S1336" t="n">
        <v>0</v>
      </c>
      <c r="T1336" t="inlineStr">
        <is>
          <t>AUD</t>
        </is>
      </c>
      <c r="U1336" t="n">
        <v>0</v>
      </c>
    </row>
    <row r="1337">
      <c r="A1337" s="5" t="inlineStr">
        <is>
          <t>01a1212c-5c91-7779-9392-aaf1c17d2c25</t>
        </is>
      </c>
      <c r="C1337" s="5" t="inlineStr">
        <is>
          <t>01a1212c-4b57-70cf-80fd-c2192cb3bf81</t>
        </is>
      </c>
      <c r="D1337" s="4" t="n">
        <v>46304.62404908836</v>
      </c>
      <c r="E1337" s="4" t="n">
        <v>46304.62404908842</v>
      </c>
      <c r="F1337" t="b">
        <v>1</v>
      </c>
      <c r="G1337" t="n">
        <v/>
      </c>
      <c r="H1337" t="inlineStr">
        <is>
          <t>SRZ</t>
        </is>
      </c>
      <c r="I1337" t="inlineStr">
        <is>
          <t>Stellar Resources Ltd</t>
        </is>
      </c>
      <c r="J1337" t="inlineStr">
        <is>
          <t>AUD</t>
        </is>
      </c>
      <c r="K1337" s="5" t="inlineStr">
        <is>
          <t>01a1212c-4c04-75ce-bbb2-e3322e18816e</t>
        </is>
      </c>
      <c r="M1337" t="inlineStr">
        <is>
          <t>UNKNOWN</t>
        </is>
      </c>
      <c r="N1337" t="inlineStr">
        <is>
          <t>DEFAULT</t>
        </is>
      </c>
      <c r="Q1337" t="n">
        <v>0</v>
      </c>
      <c r="R1337" t="inlineStr">
        <is>
          <t>AUD</t>
        </is>
      </c>
      <c r="S1337" t="n">
        <v>0</v>
      </c>
      <c r="T1337" t="inlineStr">
        <is>
          <t>AUD</t>
        </is>
      </c>
      <c r="U1337" t="n">
        <v>0</v>
      </c>
    </row>
    <row r="1338">
      <c r="A1338" s="5" t="inlineStr">
        <is>
          <t>01a1212c-5c93-700b-95be-df9306751b61</t>
        </is>
      </c>
      <c r="C1338" s="5" t="inlineStr">
        <is>
          <t>01a1212c-4b57-70cf-80fd-c2192cb3bf81</t>
        </is>
      </c>
      <c r="D1338" s="4" t="n">
        <v>46304.62404911884</v>
      </c>
      <c r="E1338" s="4" t="n">
        <v>46304.62404911891</v>
      </c>
      <c r="F1338" t="b">
        <v>1</v>
      </c>
      <c r="G1338" t="n">
        <v/>
      </c>
      <c r="H1338" t="inlineStr">
        <is>
          <t>PWN</t>
        </is>
      </c>
      <c r="I1338" t="inlineStr">
        <is>
          <t>Parkway Corporate Ltd</t>
        </is>
      </c>
      <c r="J1338" t="inlineStr">
        <is>
          <t>AUD</t>
        </is>
      </c>
      <c r="K1338" s="5" t="inlineStr">
        <is>
          <t>01a1212c-4c04-75ce-bbb2-e3322e18816e</t>
        </is>
      </c>
      <c r="M1338" t="inlineStr">
        <is>
          <t>UNKNOWN</t>
        </is>
      </c>
      <c r="N1338" t="inlineStr">
        <is>
          <t>DEFAULT</t>
        </is>
      </c>
      <c r="Q1338" t="n">
        <v>0</v>
      </c>
      <c r="R1338" t="inlineStr">
        <is>
          <t>AUD</t>
        </is>
      </c>
      <c r="S1338" t="n">
        <v>0</v>
      </c>
      <c r="T1338" t="inlineStr">
        <is>
          <t>AUD</t>
        </is>
      </c>
      <c r="U1338" t="n">
        <v>0</v>
      </c>
    </row>
    <row r="1339">
      <c r="A1339" s="5" t="inlineStr">
        <is>
          <t>01a1212c-5c96-745c-b1a6-585c2dba4fdd</t>
        </is>
      </c>
      <c r="C1339" s="5" t="inlineStr">
        <is>
          <t>01a1212c-4b57-70cf-80fd-c2192cb3bf81</t>
        </is>
      </c>
      <c r="D1339" s="4" t="n">
        <v>46304.62404914945</v>
      </c>
      <c r="E1339" s="4" t="n">
        <v>46304.62404914953</v>
      </c>
      <c r="F1339" t="b">
        <v>1</v>
      </c>
      <c r="G1339" t="n">
        <v/>
      </c>
      <c r="H1339" t="inlineStr">
        <is>
          <t>TCF</t>
        </is>
      </c>
      <c r="I1339" t="inlineStr">
        <is>
          <t>360 Capital Mortgage REIT</t>
        </is>
      </c>
      <c r="J1339" t="inlineStr">
        <is>
          <t>AUD</t>
        </is>
      </c>
      <c r="K1339" s="5" t="inlineStr">
        <is>
          <t>01a1212c-4c04-75ce-bbb2-e3322e18816e</t>
        </is>
      </c>
      <c r="M1339" t="inlineStr">
        <is>
          <t>UNKNOWN</t>
        </is>
      </c>
      <c r="N1339" t="inlineStr">
        <is>
          <t>DEFAULT</t>
        </is>
      </c>
      <c r="Q1339" t="n">
        <v>0</v>
      </c>
      <c r="R1339" t="inlineStr">
        <is>
          <t>AUD</t>
        </is>
      </c>
      <c r="S1339" t="n">
        <v>0</v>
      </c>
      <c r="T1339" t="inlineStr">
        <is>
          <t>AUD</t>
        </is>
      </c>
      <c r="U1339" t="n">
        <v>0</v>
      </c>
    </row>
    <row r="1340">
      <c r="A1340" s="5" t="inlineStr">
        <is>
          <t>01a1212c-5c99-72ab-9cfa-b7577001e329</t>
        </is>
      </c>
      <c r="C1340" s="5" t="inlineStr">
        <is>
          <t>01a1212c-4b57-70cf-80fd-c2192cb3bf81</t>
        </is>
      </c>
      <c r="D1340" s="4" t="n">
        <v>46304.62404918002</v>
      </c>
      <c r="E1340" s="4" t="n">
        <v>46304.62404918009</v>
      </c>
      <c r="F1340" t="b">
        <v>1</v>
      </c>
      <c r="G1340" t="n">
        <v/>
      </c>
      <c r="H1340" t="inlineStr">
        <is>
          <t>CFLO</t>
        </is>
      </c>
      <c r="I1340" t="inlineStr">
        <is>
          <t>Betashares Global Cash Flow Kings ETF</t>
        </is>
      </c>
      <c r="J1340" t="inlineStr">
        <is>
          <t>AUD</t>
        </is>
      </c>
      <c r="K1340" s="5" t="inlineStr">
        <is>
          <t>01a1212c-4c04-75ce-bbb2-e3322e18816e</t>
        </is>
      </c>
      <c r="M1340" t="inlineStr">
        <is>
          <t>UNKNOWN</t>
        </is>
      </c>
      <c r="N1340" t="inlineStr">
        <is>
          <t>DEFAULT</t>
        </is>
      </c>
      <c r="Q1340" t="n">
        <v>0</v>
      </c>
      <c r="R1340" t="inlineStr">
        <is>
          <t>AUD</t>
        </is>
      </c>
      <c r="S1340" t="n">
        <v>0</v>
      </c>
      <c r="T1340" t="inlineStr">
        <is>
          <t>AUD</t>
        </is>
      </c>
      <c r="U1340" t="n">
        <v>0</v>
      </c>
    </row>
    <row r="1341">
      <c r="A1341" s="5" t="inlineStr">
        <is>
          <t>01a1212c-5c9b-761c-8961-e0645f9eff3b</t>
        </is>
      </c>
      <c r="C1341" s="5" t="inlineStr">
        <is>
          <t>01a1212c-4b57-70cf-80fd-c2192cb3bf81</t>
        </is>
      </c>
      <c r="D1341" s="4" t="n">
        <v>46304.62404921274</v>
      </c>
      <c r="E1341" s="4" t="n">
        <v>46304.62404921283</v>
      </c>
      <c r="F1341" t="b">
        <v>1</v>
      </c>
      <c r="G1341" t="n">
        <v/>
      </c>
      <c r="H1341" t="inlineStr">
        <is>
          <t>MPA</t>
        </is>
      </c>
      <c r="I1341" t="inlineStr">
        <is>
          <t>Mad Paws Holdings Ltd</t>
        </is>
      </c>
      <c r="J1341" t="inlineStr">
        <is>
          <t>AUD</t>
        </is>
      </c>
      <c r="K1341" s="5" t="inlineStr">
        <is>
          <t>01a1212c-4c04-75ce-bbb2-e3322e18816e</t>
        </is>
      </c>
      <c r="M1341" t="inlineStr">
        <is>
          <t>UNKNOWN</t>
        </is>
      </c>
      <c r="N1341" t="inlineStr">
        <is>
          <t>DEFAULT</t>
        </is>
      </c>
      <c r="Q1341" t="n">
        <v>0</v>
      </c>
      <c r="R1341" t="inlineStr">
        <is>
          <t>AUD</t>
        </is>
      </c>
      <c r="S1341" t="n">
        <v>0</v>
      </c>
      <c r="T1341" t="inlineStr">
        <is>
          <t>AUD</t>
        </is>
      </c>
      <c r="U1341" t="n">
        <v>0</v>
      </c>
    </row>
    <row r="1342">
      <c r="A1342" s="5" t="inlineStr">
        <is>
          <t>01a1212c-5c9e-722f-ba5b-9cc8bcd87dbc</t>
        </is>
      </c>
      <c r="C1342" s="5" t="inlineStr">
        <is>
          <t>01a1212c-4b57-70cf-80fd-c2192cb3bf81</t>
        </is>
      </c>
      <c r="D1342" s="4" t="n">
        <v>46304.62404924326</v>
      </c>
      <c r="E1342" s="4" t="n">
        <v>46304.62404924334</v>
      </c>
      <c r="F1342" t="b">
        <v>1</v>
      </c>
      <c r="G1342" t="n">
        <v/>
      </c>
      <c r="H1342" t="inlineStr">
        <is>
          <t>TAM</t>
        </is>
      </c>
      <c r="I1342" t="inlineStr">
        <is>
          <t>Tanami Gold NL</t>
        </is>
      </c>
      <c r="J1342" t="inlineStr">
        <is>
          <t>AUD</t>
        </is>
      </c>
      <c r="K1342" s="5" t="inlineStr">
        <is>
          <t>01a1212c-4c04-75ce-bbb2-e3322e18816e</t>
        </is>
      </c>
      <c r="M1342" t="inlineStr">
        <is>
          <t>UNKNOWN</t>
        </is>
      </c>
      <c r="N1342" t="inlineStr">
        <is>
          <t>DEFAULT</t>
        </is>
      </c>
      <c r="Q1342" t="n">
        <v>0</v>
      </c>
      <c r="R1342" t="inlineStr">
        <is>
          <t>AUD</t>
        </is>
      </c>
      <c r="S1342" t="n">
        <v>0</v>
      </c>
      <c r="T1342" t="inlineStr">
        <is>
          <t>AUD</t>
        </is>
      </c>
      <c r="U1342" t="n">
        <v>0</v>
      </c>
    </row>
    <row r="1343">
      <c r="A1343" s="5" t="inlineStr">
        <is>
          <t>01a1212c-5ca1-70b5-ae12-61a82f03d042</t>
        </is>
      </c>
      <c r="C1343" s="5" t="inlineStr">
        <is>
          <t>01a1212c-4b57-70cf-80fd-c2192cb3bf81</t>
        </is>
      </c>
      <c r="D1343" s="4" t="n">
        <v>46304.62404927384</v>
      </c>
      <c r="E1343" s="4" t="n">
        <v>46304.62404927391</v>
      </c>
      <c r="F1343" t="b">
        <v>1</v>
      </c>
      <c r="G1343" t="n">
        <v/>
      </c>
      <c r="H1343" t="inlineStr">
        <is>
          <t>GAP</t>
        </is>
      </c>
      <c r="I1343" t="inlineStr">
        <is>
          <t>Gale Pacific Ltd</t>
        </is>
      </c>
      <c r="J1343" t="inlineStr">
        <is>
          <t>AUD</t>
        </is>
      </c>
      <c r="K1343" s="5" t="inlineStr">
        <is>
          <t>01a1212c-4c04-75ce-bbb2-e3322e18816e</t>
        </is>
      </c>
      <c r="M1343" t="inlineStr">
        <is>
          <t>UNKNOWN</t>
        </is>
      </c>
      <c r="N1343" t="inlineStr">
        <is>
          <t>DEFAULT</t>
        </is>
      </c>
      <c r="Q1343" t="n">
        <v>0</v>
      </c>
      <c r="R1343" t="inlineStr">
        <is>
          <t>AUD</t>
        </is>
      </c>
      <c r="S1343" t="n">
        <v>0</v>
      </c>
      <c r="T1343" t="inlineStr">
        <is>
          <t>AUD</t>
        </is>
      </c>
      <c r="U1343" t="n">
        <v>0</v>
      </c>
    </row>
    <row r="1344">
      <c r="A1344" s="5" t="inlineStr">
        <is>
          <t>01a1212c-5ca4-7215-b248-88a67f65a2d9</t>
        </is>
      </c>
      <c r="C1344" s="5" t="inlineStr">
        <is>
          <t>01a1212c-4b57-70cf-80fd-c2192cb3bf81</t>
        </is>
      </c>
      <c r="D1344" s="4" t="n">
        <v>46304.62404930852</v>
      </c>
      <c r="E1344" s="4" t="n">
        <v>46304.6240493086</v>
      </c>
      <c r="F1344" t="b">
        <v>1</v>
      </c>
      <c r="G1344" t="n">
        <v/>
      </c>
      <c r="H1344" t="inlineStr">
        <is>
          <t>EIGA</t>
        </is>
      </c>
      <c r="I1344" t="inlineStr">
        <is>
          <t>Perennial Income Generator Fund (Managed Fund)</t>
        </is>
      </c>
      <c r="J1344" t="inlineStr">
        <is>
          <t>AUD</t>
        </is>
      </c>
      <c r="K1344" s="5" t="inlineStr">
        <is>
          <t>01a1212c-4c04-75ce-bbb2-e3322e18816e</t>
        </is>
      </c>
      <c r="M1344" t="inlineStr">
        <is>
          <t>UNKNOWN</t>
        </is>
      </c>
      <c r="N1344" t="inlineStr">
        <is>
          <t>DEFAULT</t>
        </is>
      </c>
      <c r="Q1344" t="n">
        <v>0</v>
      </c>
      <c r="R1344" t="inlineStr">
        <is>
          <t>AUD</t>
        </is>
      </c>
      <c r="S1344" t="n">
        <v>0</v>
      </c>
      <c r="T1344" t="inlineStr">
        <is>
          <t>AUD</t>
        </is>
      </c>
      <c r="U1344" t="n">
        <v>0</v>
      </c>
    </row>
    <row r="1345">
      <c r="A1345" s="5" t="inlineStr">
        <is>
          <t>01a1212c-5ca7-71e9-910c-97e4f30edaba</t>
        </is>
      </c>
      <c r="C1345" s="5" t="inlineStr">
        <is>
          <t>01a1212c-4b57-70cf-80fd-c2192cb3bf81</t>
        </is>
      </c>
      <c r="D1345" s="4" t="n">
        <v>46304.62404934571</v>
      </c>
      <c r="E1345" s="4" t="n">
        <v>46304.62404934579</v>
      </c>
      <c r="F1345" t="b">
        <v>1</v>
      </c>
      <c r="G1345" t="n">
        <v/>
      </c>
      <c r="H1345" t="inlineStr">
        <is>
          <t>GAL</t>
        </is>
      </c>
      <c r="I1345" t="inlineStr">
        <is>
          <t>Galileo Mining Ltd</t>
        </is>
      </c>
      <c r="J1345" t="inlineStr">
        <is>
          <t>AUD</t>
        </is>
      </c>
      <c r="K1345" s="5" t="inlineStr">
        <is>
          <t>01a1212c-4c04-75ce-bbb2-e3322e18816e</t>
        </is>
      </c>
      <c r="M1345" t="inlineStr">
        <is>
          <t>UNKNOWN</t>
        </is>
      </c>
      <c r="N1345" t="inlineStr">
        <is>
          <t>DEFAULT</t>
        </is>
      </c>
      <c r="Q1345" t="n">
        <v>0</v>
      </c>
      <c r="R1345" t="inlineStr">
        <is>
          <t>AUD</t>
        </is>
      </c>
      <c r="S1345" t="n">
        <v>0</v>
      </c>
      <c r="T1345" t="inlineStr">
        <is>
          <t>AUD</t>
        </is>
      </c>
      <c r="U1345" t="n">
        <v>0</v>
      </c>
    </row>
    <row r="1346">
      <c r="A1346" s="5" t="inlineStr">
        <is>
          <t>01a1212c-5caa-77cc-ac62-1654fa580280</t>
        </is>
      </c>
      <c r="C1346" s="5" t="inlineStr">
        <is>
          <t>01a1212c-4b57-70cf-80fd-c2192cb3bf81</t>
        </is>
      </c>
      <c r="D1346" s="4" t="n">
        <v>46304.62404937724</v>
      </c>
      <c r="E1346" s="4" t="n">
        <v>46304.62404937733</v>
      </c>
      <c r="F1346" t="b">
        <v>1</v>
      </c>
      <c r="G1346" t="n">
        <v/>
      </c>
      <c r="H1346" t="inlineStr">
        <is>
          <t>ENL</t>
        </is>
      </c>
      <c r="I1346" t="inlineStr">
        <is>
          <t>Enlitic Inc</t>
        </is>
      </c>
      <c r="J1346" t="inlineStr">
        <is>
          <t>AUD</t>
        </is>
      </c>
      <c r="K1346" s="5" t="inlineStr">
        <is>
          <t>01a1212c-4c04-75ce-bbb2-e3322e18816e</t>
        </is>
      </c>
      <c r="M1346" t="inlineStr">
        <is>
          <t>UNKNOWN</t>
        </is>
      </c>
      <c r="N1346" t="inlineStr">
        <is>
          <t>DEFAULT</t>
        </is>
      </c>
      <c r="Q1346" t="n">
        <v>0</v>
      </c>
      <c r="R1346" t="inlineStr">
        <is>
          <t>AUD</t>
        </is>
      </c>
      <c r="S1346" t="n">
        <v>0</v>
      </c>
      <c r="T1346" t="inlineStr">
        <is>
          <t>AUD</t>
        </is>
      </c>
      <c r="U1346" t="n">
        <v>0</v>
      </c>
    </row>
    <row r="1347">
      <c r="A1347" s="5" t="inlineStr">
        <is>
          <t>01a1212c-5cac-718f-be6a-aafb5b6558f1</t>
        </is>
      </c>
      <c r="C1347" s="5" t="inlineStr">
        <is>
          <t>01a1212c-4b57-70cf-80fd-c2192cb3bf81</t>
        </is>
      </c>
      <c r="D1347" s="4" t="n">
        <v>46304.62404940782</v>
      </c>
      <c r="E1347" s="4" t="n">
        <v>46304.62404940788</v>
      </c>
      <c r="F1347" t="b">
        <v>1</v>
      </c>
      <c r="G1347" t="n">
        <v/>
      </c>
      <c r="H1347" t="inlineStr">
        <is>
          <t>AII</t>
        </is>
      </c>
      <c r="I1347" t="inlineStr">
        <is>
          <t>Almonty Industries Inc</t>
        </is>
      </c>
      <c r="J1347" t="inlineStr">
        <is>
          <t>AUD</t>
        </is>
      </c>
      <c r="K1347" s="5" t="inlineStr">
        <is>
          <t>01a1212c-4c04-75ce-bbb2-e3322e18816e</t>
        </is>
      </c>
      <c r="M1347" t="inlineStr">
        <is>
          <t>UNKNOWN</t>
        </is>
      </c>
      <c r="N1347" t="inlineStr">
        <is>
          <t>DEFAULT</t>
        </is>
      </c>
      <c r="Q1347" t="n">
        <v>0</v>
      </c>
      <c r="R1347" t="inlineStr">
        <is>
          <t>AUD</t>
        </is>
      </c>
      <c r="S1347" t="n">
        <v>0</v>
      </c>
      <c r="T1347" t="inlineStr">
        <is>
          <t>AUD</t>
        </is>
      </c>
      <c r="U1347" t="n">
        <v>0</v>
      </c>
    </row>
    <row r="1348">
      <c r="A1348" s="5" t="inlineStr">
        <is>
          <t>01a1212c-5caf-7615-981a-a64aff4949bc</t>
        </is>
      </c>
      <c r="C1348" s="5" t="inlineStr">
        <is>
          <t>01a1212c-4b57-70cf-80fd-c2192cb3bf81</t>
        </is>
      </c>
      <c r="D1348" s="4" t="n">
        <v>46304.62404943809</v>
      </c>
      <c r="E1348" s="4" t="n">
        <v>46304.62404943816</v>
      </c>
      <c r="F1348" t="b">
        <v>1</v>
      </c>
      <c r="G1348" t="n">
        <v/>
      </c>
      <c r="H1348" t="inlineStr">
        <is>
          <t>MFD</t>
        </is>
      </c>
      <c r="I1348" t="inlineStr">
        <is>
          <t>Mayfield Childcare Ltd</t>
        </is>
      </c>
      <c r="J1348" t="inlineStr">
        <is>
          <t>AUD</t>
        </is>
      </c>
      <c r="K1348" s="5" t="inlineStr">
        <is>
          <t>01a1212c-4c04-75ce-bbb2-e3322e18816e</t>
        </is>
      </c>
      <c r="M1348" t="inlineStr">
        <is>
          <t>UNKNOWN</t>
        </is>
      </c>
      <c r="N1348" t="inlineStr">
        <is>
          <t>DEFAULT</t>
        </is>
      </c>
      <c r="Q1348" t="n">
        <v>0</v>
      </c>
      <c r="R1348" t="inlineStr">
        <is>
          <t>AUD</t>
        </is>
      </c>
      <c r="S1348" t="n">
        <v>0</v>
      </c>
      <c r="T1348" t="inlineStr">
        <is>
          <t>AUD</t>
        </is>
      </c>
      <c r="U1348" t="n">
        <v>0</v>
      </c>
    </row>
    <row r="1349">
      <c r="A1349" s="5" t="inlineStr">
        <is>
          <t>01a1212c-5cb1-77c6-b29e-5d87970db43e</t>
        </is>
      </c>
      <c r="C1349" s="5" t="inlineStr">
        <is>
          <t>01a1212c-4b57-70cf-80fd-c2192cb3bf81</t>
        </is>
      </c>
      <c r="D1349" s="4" t="n">
        <v>46304.62404946846</v>
      </c>
      <c r="E1349" s="4" t="n">
        <v>46304.62404946854</v>
      </c>
      <c r="F1349" t="b">
        <v>1</v>
      </c>
      <c r="G1349" t="n">
        <v/>
      </c>
      <c r="H1349" t="inlineStr">
        <is>
          <t>DBBF</t>
        </is>
      </c>
      <c r="I1349" t="inlineStr">
        <is>
          <t>Betashares Ethical Diversified Balanced ETF</t>
        </is>
      </c>
      <c r="J1349" t="inlineStr">
        <is>
          <t>AUD</t>
        </is>
      </c>
      <c r="K1349" s="5" t="inlineStr">
        <is>
          <t>01a1212c-4c04-75ce-bbb2-e3322e18816e</t>
        </is>
      </c>
      <c r="M1349" t="inlineStr">
        <is>
          <t>UNKNOWN</t>
        </is>
      </c>
      <c r="N1349" t="inlineStr">
        <is>
          <t>DEFAULT</t>
        </is>
      </c>
      <c r="Q1349" t="n">
        <v>0</v>
      </c>
      <c r="R1349" t="inlineStr">
        <is>
          <t>AUD</t>
        </is>
      </c>
      <c r="S1349" t="n">
        <v>0</v>
      </c>
      <c r="T1349" t="inlineStr">
        <is>
          <t>AUD</t>
        </is>
      </c>
      <c r="U1349" t="n">
        <v>0</v>
      </c>
    </row>
    <row r="1350">
      <c r="A1350" s="5" t="inlineStr">
        <is>
          <t>01a1212c-5cb5-7427-905b-1682563d51c3</t>
        </is>
      </c>
      <c r="C1350" s="5" t="inlineStr">
        <is>
          <t>01a1212c-4b57-70cf-80fd-c2192cb3bf81</t>
        </is>
      </c>
      <c r="D1350" s="4" t="n">
        <v>46304.62404950544</v>
      </c>
      <c r="E1350" s="4" t="n">
        <v>46304.62404950552</v>
      </c>
      <c r="F1350" t="b">
        <v>1</v>
      </c>
      <c r="G1350" t="n">
        <v/>
      </c>
      <c r="H1350" t="inlineStr">
        <is>
          <t>GTI</t>
        </is>
      </c>
      <c r="I1350" t="inlineStr">
        <is>
          <t>Gratifii Ltd</t>
        </is>
      </c>
      <c r="J1350" t="inlineStr">
        <is>
          <t>AUD</t>
        </is>
      </c>
      <c r="K1350" s="5" t="inlineStr">
        <is>
          <t>01a1212c-4c04-75ce-bbb2-e3322e18816e</t>
        </is>
      </c>
      <c r="M1350" t="inlineStr">
        <is>
          <t>UNKNOWN</t>
        </is>
      </c>
      <c r="N1350" t="inlineStr">
        <is>
          <t>DEFAULT</t>
        </is>
      </c>
      <c r="Q1350" t="n">
        <v>0</v>
      </c>
      <c r="R1350" t="inlineStr">
        <is>
          <t>AUD</t>
        </is>
      </c>
      <c r="S1350" t="n">
        <v>0</v>
      </c>
      <c r="T1350" t="inlineStr">
        <is>
          <t>AUD</t>
        </is>
      </c>
      <c r="U1350" t="n">
        <v>0</v>
      </c>
    </row>
    <row r="1351">
      <c r="A1351" s="5" t="inlineStr">
        <is>
          <t>01a1212c-5cb7-7019-8996-0e15e23fa40c</t>
        </is>
      </c>
      <c r="C1351" s="5" t="inlineStr">
        <is>
          <t>01a1212c-4b57-70cf-80fd-c2192cb3bf81</t>
        </is>
      </c>
      <c r="D1351" s="4" t="n">
        <v>46304.62404953659</v>
      </c>
      <c r="E1351" s="4" t="n">
        <v>46304.62404953666</v>
      </c>
      <c r="F1351" t="b">
        <v>1</v>
      </c>
      <c r="G1351" t="n">
        <v/>
      </c>
      <c r="H1351" t="inlineStr">
        <is>
          <t>AUST</t>
        </is>
      </c>
      <c r="I1351" t="inlineStr">
        <is>
          <t>Betashares Managed Risk AUS SH Fund (Managed Fund)</t>
        </is>
      </c>
      <c r="J1351" t="inlineStr">
        <is>
          <t>AUD</t>
        </is>
      </c>
      <c r="K1351" s="5" t="inlineStr">
        <is>
          <t>01a1212c-4c04-75ce-bbb2-e3322e18816e</t>
        </is>
      </c>
      <c r="M1351" t="inlineStr">
        <is>
          <t>UNKNOWN</t>
        </is>
      </c>
      <c r="N1351" t="inlineStr">
        <is>
          <t>DEFAULT</t>
        </is>
      </c>
      <c r="Q1351" t="n">
        <v>0</v>
      </c>
      <c r="R1351" t="inlineStr">
        <is>
          <t>AUD</t>
        </is>
      </c>
      <c r="S1351" t="n">
        <v>0</v>
      </c>
      <c r="T1351" t="inlineStr">
        <is>
          <t>AUD</t>
        </is>
      </c>
      <c r="U1351" t="n">
        <v>0</v>
      </c>
    </row>
    <row r="1352">
      <c r="A1352" s="5" t="inlineStr">
        <is>
          <t>01a1212c-5cba-73c2-88e7-3d6614e4d404</t>
        </is>
      </c>
      <c r="C1352" s="5" t="inlineStr">
        <is>
          <t>01a1212c-4b57-70cf-80fd-c2192cb3bf81</t>
        </is>
      </c>
      <c r="D1352" s="4" t="n">
        <v>46304.62404956736</v>
      </c>
      <c r="E1352" s="4" t="n">
        <v>46304.62404956744</v>
      </c>
      <c r="F1352" t="b">
        <v>1</v>
      </c>
      <c r="G1352" t="n">
        <v/>
      </c>
      <c r="H1352" t="inlineStr">
        <is>
          <t>I88</t>
        </is>
      </c>
      <c r="I1352" t="inlineStr">
        <is>
          <t>Infini Resources Ltd</t>
        </is>
      </c>
      <c r="J1352" t="inlineStr">
        <is>
          <t>AUD</t>
        </is>
      </c>
      <c r="K1352" s="5" t="inlineStr">
        <is>
          <t>01a1212c-4c04-75ce-bbb2-e3322e18816e</t>
        </is>
      </c>
      <c r="M1352" t="inlineStr">
        <is>
          <t>UNKNOWN</t>
        </is>
      </c>
      <c r="N1352" t="inlineStr">
        <is>
          <t>DEFAULT</t>
        </is>
      </c>
      <c r="Q1352" t="n">
        <v>0</v>
      </c>
      <c r="R1352" t="inlineStr">
        <is>
          <t>AUD</t>
        </is>
      </c>
      <c r="S1352" t="n">
        <v>0</v>
      </c>
      <c r="T1352" t="inlineStr">
        <is>
          <t>AUD</t>
        </is>
      </c>
      <c r="U1352" t="n">
        <v>0</v>
      </c>
    </row>
    <row r="1353">
      <c r="A1353" s="5" t="inlineStr">
        <is>
          <t>01a1212c-5cbd-7708-91f1-bfed36943f78</t>
        </is>
      </c>
      <c r="C1353" s="5" t="inlineStr">
        <is>
          <t>01a1212c-4b57-70cf-80fd-c2192cb3bf81</t>
        </is>
      </c>
      <c r="D1353" s="4" t="n">
        <v>46304.62404959801</v>
      </c>
      <c r="E1353" s="4" t="n">
        <v>46304.62404959809</v>
      </c>
      <c r="F1353" t="b">
        <v>1</v>
      </c>
      <c r="G1353" t="n">
        <v/>
      </c>
      <c r="H1353" t="inlineStr">
        <is>
          <t>DEM</t>
        </is>
      </c>
      <c r="I1353" t="inlineStr">
        <is>
          <t>De.Mem Ltd</t>
        </is>
      </c>
      <c r="J1353" t="inlineStr">
        <is>
          <t>AUD</t>
        </is>
      </c>
      <c r="K1353" s="5" t="inlineStr">
        <is>
          <t>01a1212c-4c04-75ce-bbb2-e3322e18816e</t>
        </is>
      </c>
      <c r="M1353" t="inlineStr">
        <is>
          <t>UNKNOWN</t>
        </is>
      </c>
      <c r="N1353" t="inlineStr">
        <is>
          <t>DEFAULT</t>
        </is>
      </c>
      <c r="Q1353" t="n">
        <v>0</v>
      </c>
      <c r="R1353" t="inlineStr">
        <is>
          <t>AUD</t>
        </is>
      </c>
      <c r="S1353" t="n">
        <v>0</v>
      </c>
      <c r="T1353" t="inlineStr">
        <is>
          <t>AUD</t>
        </is>
      </c>
      <c r="U1353" t="n">
        <v>0</v>
      </c>
    </row>
    <row r="1354">
      <c r="A1354" s="5" t="inlineStr">
        <is>
          <t>01a1212c-5cbf-7327-90cf-e3fb6c142717</t>
        </is>
      </c>
      <c r="C1354" s="5" t="inlineStr">
        <is>
          <t>01a1212c-4b57-70cf-80fd-c2192cb3bf81</t>
        </is>
      </c>
      <c r="D1354" s="4" t="n">
        <v>46304.62404963063</v>
      </c>
      <c r="E1354" s="4" t="n">
        <v>46304.62404963071</v>
      </c>
      <c r="F1354" t="b">
        <v>1</v>
      </c>
      <c r="G1354" t="n">
        <v/>
      </c>
      <c r="H1354" t="inlineStr">
        <is>
          <t>SGQ</t>
        </is>
      </c>
      <c r="I1354" t="inlineStr">
        <is>
          <t>ST George Mining Ltd</t>
        </is>
      </c>
      <c r="J1354" t="inlineStr">
        <is>
          <t>AUD</t>
        </is>
      </c>
      <c r="K1354" s="5" t="inlineStr">
        <is>
          <t>01a1212c-4c04-75ce-bbb2-e3322e18816e</t>
        </is>
      </c>
      <c r="M1354" t="inlineStr">
        <is>
          <t>UNKNOWN</t>
        </is>
      </c>
      <c r="N1354" t="inlineStr">
        <is>
          <t>DEFAULT</t>
        </is>
      </c>
      <c r="Q1354" t="n">
        <v>0</v>
      </c>
      <c r="R1354" t="inlineStr">
        <is>
          <t>AUD</t>
        </is>
      </c>
      <c r="S1354" t="n">
        <v>0</v>
      </c>
      <c r="T1354" t="inlineStr">
        <is>
          <t>AUD</t>
        </is>
      </c>
      <c r="U1354" t="n">
        <v>0</v>
      </c>
    </row>
    <row r="1355">
      <c r="A1355" s="5" t="inlineStr">
        <is>
          <t>01a1212c-5cc2-7303-9ab3-6fb9198ce6d8</t>
        </is>
      </c>
      <c r="C1355" s="5" t="inlineStr">
        <is>
          <t>01a1212c-4b57-70cf-80fd-c2192cb3bf81</t>
        </is>
      </c>
      <c r="D1355" s="4" t="n">
        <v>46304.62404966168</v>
      </c>
      <c r="E1355" s="4" t="n">
        <v>46304.62404966175</v>
      </c>
      <c r="F1355" t="b">
        <v>1</v>
      </c>
      <c r="G1355" t="n">
        <v/>
      </c>
      <c r="H1355" t="inlineStr">
        <is>
          <t>AVA</t>
        </is>
      </c>
      <c r="I1355" t="inlineStr">
        <is>
          <t>AVA Risk Group Ltd</t>
        </is>
      </c>
      <c r="J1355" t="inlineStr">
        <is>
          <t>AUD</t>
        </is>
      </c>
      <c r="K1355" s="5" t="inlineStr">
        <is>
          <t>01a1212c-4c04-75ce-bbb2-e3322e18816e</t>
        </is>
      </c>
      <c r="M1355" t="inlineStr">
        <is>
          <t>UNKNOWN</t>
        </is>
      </c>
      <c r="N1355" t="inlineStr">
        <is>
          <t>DEFAULT</t>
        </is>
      </c>
      <c r="Q1355" t="n">
        <v>0</v>
      </c>
      <c r="R1355" t="inlineStr">
        <is>
          <t>AUD</t>
        </is>
      </c>
      <c r="S1355" t="n">
        <v>0</v>
      </c>
      <c r="T1355" t="inlineStr">
        <is>
          <t>AUD</t>
        </is>
      </c>
      <c r="U1355" t="n">
        <v>0</v>
      </c>
    </row>
    <row r="1356">
      <c r="A1356" s="5" t="inlineStr">
        <is>
          <t>01a1212c-5cc5-7507-9853-5f9004a5eec3</t>
        </is>
      </c>
      <c r="C1356" s="5" t="inlineStr">
        <is>
          <t>01a1212c-4b57-70cf-80fd-c2192cb3bf81</t>
        </is>
      </c>
      <c r="D1356" s="4" t="n">
        <v>46304.62404969321</v>
      </c>
      <c r="E1356" s="4" t="n">
        <v>46304.62404969329</v>
      </c>
      <c r="F1356" t="b">
        <v>1</v>
      </c>
      <c r="G1356" t="n">
        <v/>
      </c>
      <c r="H1356" t="inlineStr">
        <is>
          <t>AUN</t>
        </is>
      </c>
      <c r="I1356" t="inlineStr">
        <is>
          <t>Aurumin Ltd</t>
        </is>
      </c>
      <c r="J1356" t="inlineStr">
        <is>
          <t>AUD</t>
        </is>
      </c>
      <c r="K1356" s="5" t="inlineStr">
        <is>
          <t>01a1212c-4c04-75ce-bbb2-e3322e18816e</t>
        </is>
      </c>
      <c r="M1356" t="inlineStr">
        <is>
          <t>UNKNOWN</t>
        </is>
      </c>
      <c r="N1356" t="inlineStr">
        <is>
          <t>DEFAULT</t>
        </is>
      </c>
      <c r="Q1356" t="n">
        <v>0</v>
      </c>
      <c r="R1356" t="inlineStr">
        <is>
          <t>AUD</t>
        </is>
      </c>
      <c r="S1356" t="n">
        <v>0</v>
      </c>
      <c r="T1356" t="inlineStr">
        <is>
          <t>AUD</t>
        </is>
      </c>
      <c r="U1356" t="n">
        <v>0</v>
      </c>
    </row>
    <row r="1357">
      <c r="A1357" s="5" t="inlineStr">
        <is>
          <t>01a1212c-5cc8-739c-9b39-a84ccddf4632</t>
        </is>
      </c>
      <c r="C1357" s="5" t="inlineStr">
        <is>
          <t>01a1212c-4b57-70cf-80fd-c2192cb3bf81</t>
        </is>
      </c>
      <c r="D1357" s="4" t="n">
        <v>46304.62404972434</v>
      </c>
      <c r="E1357" s="4" t="n">
        <v>46304.62404972442</v>
      </c>
      <c r="F1357" t="b">
        <v>1</v>
      </c>
      <c r="G1357" t="n">
        <v/>
      </c>
      <c r="H1357" t="inlineStr">
        <is>
          <t>FRM</t>
        </is>
      </c>
      <c r="I1357" t="inlineStr">
        <is>
          <t>Farm Pride Foods Ltd</t>
        </is>
      </c>
      <c r="J1357" t="inlineStr">
        <is>
          <t>AUD</t>
        </is>
      </c>
      <c r="K1357" s="5" t="inlineStr">
        <is>
          <t>01a1212c-4c04-75ce-bbb2-e3322e18816e</t>
        </is>
      </c>
      <c r="M1357" t="inlineStr">
        <is>
          <t>UNKNOWN</t>
        </is>
      </c>
      <c r="N1357" t="inlineStr">
        <is>
          <t>DEFAULT</t>
        </is>
      </c>
      <c r="Q1357" t="n">
        <v>0</v>
      </c>
      <c r="R1357" t="inlineStr">
        <is>
          <t>AUD</t>
        </is>
      </c>
      <c r="S1357" t="n">
        <v>0</v>
      </c>
      <c r="T1357" t="inlineStr">
        <is>
          <t>AUD</t>
        </is>
      </c>
      <c r="U1357" t="n">
        <v>0</v>
      </c>
    </row>
    <row r="1358">
      <c r="A1358" s="5" t="inlineStr">
        <is>
          <t>01a1212c-5cca-7652-84f2-b00ce0ecf654</t>
        </is>
      </c>
      <c r="C1358" s="5" t="inlineStr">
        <is>
          <t>01a1212c-4b57-70cf-80fd-c2192cb3bf81</t>
        </is>
      </c>
      <c r="D1358" s="4" t="n">
        <v>46304.62404975577</v>
      </c>
      <c r="E1358" s="4" t="n">
        <v>46304.62404975585</v>
      </c>
      <c r="F1358" t="b">
        <v>1</v>
      </c>
      <c r="G1358" t="n">
        <v/>
      </c>
      <c r="H1358" t="inlineStr">
        <is>
          <t>ATX</t>
        </is>
      </c>
      <c r="I1358" t="inlineStr">
        <is>
          <t>Amplia Therapeutics Ltd</t>
        </is>
      </c>
      <c r="J1358" t="inlineStr">
        <is>
          <t>AUD</t>
        </is>
      </c>
      <c r="K1358" s="5" t="inlineStr">
        <is>
          <t>01a1212c-4c04-75ce-bbb2-e3322e18816e</t>
        </is>
      </c>
      <c r="M1358" t="inlineStr">
        <is>
          <t>UNKNOWN</t>
        </is>
      </c>
      <c r="N1358" t="inlineStr">
        <is>
          <t>DEFAULT</t>
        </is>
      </c>
      <c r="Q1358" t="n">
        <v>0</v>
      </c>
      <c r="R1358" t="inlineStr">
        <is>
          <t>AUD</t>
        </is>
      </c>
      <c r="S1358" t="n">
        <v>0</v>
      </c>
      <c r="T1358" t="inlineStr">
        <is>
          <t>AUD</t>
        </is>
      </c>
      <c r="U1358" t="n">
        <v>0</v>
      </c>
    </row>
    <row r="1359">
      <c r="A1359" s="5" t="inlineStr">
        <is>
          <t>01a1212c-5ccd-71d2-b77c-240f8e553237</t>
        </is>
      </c>
      <c r="C1359" s="5" t="inlineStr">
        <is>
          <t>01a1212c-4b57-70cf-80fd-c2192cb3bf81</t>
        </is>
      </c>
      <c r="D1359" s="4" t="n">
        <v>46304.62404979059</v>
      </c>
      <c r="E1359" s="4" t="n">
        <v>46304.62404979068</v>
      </c>
      <c r="F1359" t="b">
        <v>1</v>
      </c>
      <c r="G1359" t="n">
        <v/>
      </c>
      <c r="H1359" t="inlineStr">
        <is>
          <t>A3D</t>
        </is>
      </c>
      <c r="I1359" t="inlineStr">
        <is>
          <t>Aurora Labs Ltd</t>
        </is>
      </c>
      <c r="J1359" t="inlineStr">
        <is>
          <t>AUD</t>
        </is>
      </c>
      <c r="K1359" s="5" t="inlineStr">
        <is>
          <t>01a1212c-4c04-75ce-bbb2-e3322e18816e</t>
        </is>
      </c>
      <c r="M1359" t="inlineStr">
        <is>
          <t>UNKNOWN</t>
        </is>
      </c>
      <c r="N1359" t="inlineStr">
        <is>
          <t>DEFAULT</t>
        </is>
      </c>
      <c r="Q1359" t="n">
        <v>0</v>
      </c>
      <c r="R1359" t="inlineStr">
        <is>
          <t>AUD</t>
        </is>
      </c>
      <c r="S1359" t="n">
        <v>0</v>
      </c>
      <c r="T1359" t="inlineStr">
        <is>
          <t>AUD</t>
        </is>
      </c>
      <c r="U1359" t="n">
        <v>0</v>
      </c>
    </row>
    <row r="1360">
      <c r="A1360" s="5" t="inlineStr">
        <is>
          <t>01a1212c-5cd0-747a-ad50-77c075fd136a</t>
        </is>
      </c>
      <c r="C1360" s="5" t="inlineStr">
        <is>
          <t>01a1212c-4b57-70cf-80fd-c2192cb3bf81</t>
        </is>
      </c>
      <c r="D1360" s="4" t="n">
        <v>46304.62404982243</v>
      </c>
      <c r="E1360" s="4" t="n">
        <v>46304.62404982252</v>
      </c>
      <c r="F1360" t="b">
        <v>1</v>
      </c>
      <c r="G1360" t="n">
        <v/>
      </c>
      <c r="H1360" t="inlineStr">
        <is>
          <t>SNS</t>
        </is>
      </c>
      <c r="I1360" t="inlineStr">
        <is>
          <t>Sensen Networks Ltd</t>
        </is>
      </c>
      <c r="J1360" t="inlineStr">
        <is>
          <t>AUD</t>
        </is>
      </c>
      <c r="K1360" s="5" t="inlineStr">
        <is>
          <t>01a1212c-4c04-75ce-bbb2-e3322e18816e</t>
        </is>
      </c>
      <c r="M1360" t="inlineStr">
        <is>
          <t>UNKNOWN</t>
        </is>
      </c>
      <c r="N1360" t="inlineStr">
        <is>
          <t>DEFAULT</t>
        </is>
      </c>
      <c r="Q1360" t="n">
        <v>0</v>
      </c>
      <c r="R1360" t="inlineStr">
        <is>
          <t>AUD</t>
        </is>
      </c>
      <c r="S1360" t="n">
        <v>0</v>
      </c>
      <c r="T1360" t="inlineStr">
        <is>
          <t>AUD</t>
        </is>
      </c>
      <c r="U1360" t="n">
        <v>0</v>
      </c>
    </row>
    <row r="1361">
      <c r="A1361" s="5" t="inlineStr">
        <is>
          <t>01a1212c-5cd3-70b7-ad5b-cd4a5b04abb7</t>
        </is>
      </c>
      <c r="C1361" s="5" t="inlineStr">
        <is>
          <t>01a1212c-4b57-70cf-80fd-c2192cb3bf81</t>
        </is>
      </c>
      <c r="D1361" s="4" t="n">
        <v>46304.62404985556</v>
      </c>
      <c r="E1361" s="4" t="n">
        <v>46304.62404985567</v>
      </c>
      <c r="F1361" t="b">
        <v>1</v>
      </c>
      <c r="G1361" t="n">
        <v/>
      </c>
      <c r="H1361" t="inlineStr">
        <is>
          <t>VMM</t>
        </is>
      </c>
      <c r="I1361" t="inlineStr">
        <is>
          <t>Viridis Mining and Minerals Ltd</t>
        </is>
      </c>
      <c r="J1361" t="inlineStr">
        <is>
          <t>AUD</t>
        </is>
      </c>
      <c r="K1361" s="5" t="inlineStr">
        <is>
          <t>01a1212c-4c04-75ce-bbb2-e3322e18816e</t>
        </is>
      </c>
      <c r="M1361" t="inlineStr">
        <is>
          <t>UNKNOWN</t>
        </is>
      </c>
      <c r="N1361" t="inlineStr">
        <is>
          <t>DEFAULT</t>
        </is>
      </c>
      <c r="Q1361" t="n">
        <v>0</v>
      </c>
      <c r="R1361" t="inlineStr">
        <is>
          <t>AUD</t>
        </is>
      </c>
      <c r="S1361" t="n">
        <v>0</v>
      </c>
      <c r="T1361" t="inlineStr">
        <is>
          <t>AUD</t>
        </is>
      </c>
      <c r="U1361" t="n">
        <v>0</v>
      </c>
    </row>
    <row r="1362">
      <c r="A1362" s="5" t="inlineStr">
        <is>
          <t>01a1212c-5cd6-753d-8830-1490de3396ae</t>
        </is>
      </c>
      <c r="C1362" s="5" t="inlineStr">
        <is>
          <t>01a1212c-4b57-70cf-80fd-c2192cb3bf81</t>
        </is>
      </c>
      <c r="D1362" s="4" t="n">
        <v>46304.62404988991</v>
      </c>
      <c r="E1362" s="4" t="n">
        <v>46304.62404989</v>
      </c>
      <c r="F1362" t="b">
        <v>1</v>
      </c>
      <c r="G1362" t="n">
        <v/>
      </c>
      <c r="H1362" t="inlineStr">
        <is>
          <t>LDX</t>
        </is>
      </c>
      <c r="I1362" t="inlineStr">
        <is>
          <t>Lumos Diagnostics Holdings Ltd</t>
        </is>
      </c>
      <c r="J1362" t="inlineStr">
        <is>
          <t>AUD</t>
        </is>
      </c>
      <c r="K1362" s="5" t="inlineStr">
        <is>
          <t>01a1212c-4c04-75ce-bbb2-e3322e18816e</t>
        </is>
      </c>
      <c r="M1362" t="inlineStr">
        <is>
          <t>UNKNOWN</t>
        </is>
      </c>
      <c r="N1362" t="inlineStr">
        <is>
          <t>DEFAULT</t>
        </is>
      </c>
      <c r="Q1362" t="n">
        <v>0</v>
      </c>
      <c r="R1362" t="inlineStr">
        <is>
          <t>AUD</t>
        </is>
      </c>
      <c r="S1362" t="n">
        <v>0</v>
      </c>
      <c r="T1362" t="inlineStr">
        <is>
          <t>AUD</t>
        </is>
      </c>
      <c r="U1362" t="n">
        <v>0</v>
      </c>
    </row>
    <row r="1363">
      <c r="A1363" s="5" t="inlineStr">
        <is>
          <t>01a1212c-5cd9-77da-b313-82eec76f1408</t>
        </is>
      </c>
      <c r="C1363" s="5" t="inlineStr">
        <is>
          <t>01a1212c-4b57-70cf-80fd-c2192cb3bf81</t>
        </is>
      </c>
      <c r="D1363" s="4" t="n">
        <v>46304.62404992469</v>
      </c>
      <c r="E1363" s="4" t="n">
        <v>46304.62404992479</v>
      </c>
      <c r="F1363" t="b">
        <v>1</v>
      </c>
      <c r="G1363" t="n">
        <v/>
      </c>
      <c r="H1363" t="inlineStr">
        <is>
          <t>WAK</t>
        </is>
      </c>
      <c r="I1363" t="inlineStr">
        <is>
          <t>Wa Kaolin Ltd</t>
        </is>
      </c>
      <c r="J1363" t="inlineStr">
        <is>
          <t>AUD</t>
        </is>
      </c>
      <c r="K1363" s="5" t="inlineStr">
        <is>
          <t>01a1212c-4c04-75ce-bbb2-e3322e18816e</t>
        </is>
      </c>
      <c r="M1363" t="inlineStr">
        <is>
          <t>UNKNOWN</t>
        </is>
      </c>
      <c r="N1363" t="inlineStr">
        <is>
          <t>DEFAULT</t>
        </is>
      </c>
      <c r="Q1363" t="n">
        <v>0</v>
      </c>
      <c r="R1363" t="inlineStr">
        <is>
          <t>AUD</t>
        </is>
      </c>
      <c r="S1363" t="n">
        <v>0</v>
      </c>
      <c r="T1363" t="inlineStr">
        <is>
          <t>AUD</t>
        </is>
      </c>
      <c r="U1363" t="n">
        <v>0</v>
      </c>
    </row>
    <row r="1364">
      <c r="A1364" s="5" t="inlineStr">
        <is>
          <t>01a1212c-5cdc-70c9-aa6b-2bccfe98196c</t>
        </is>
      </c>
      <c r="C1364" s="5" t="inlineStr">
        <is>
          <t>01a1212c-4b57-70cf-80fd-c2192cb3bf81</t>
        </is>
      </c>
      <c r="D1364" s="4" t="n">
        <v>46304.62404996052</v>
      </c>
      <c r="E1364" s="4" t="n">
        <v>46304.62404996061</v>
      </c>
      <c r="F1364" t="b">
        <v>1</v>
      </c>
      <c r="G1364" t="n">
        <v/>
      </c>
      <c r="H1364" t="inlineStr">
        <is>
          <t>IXR</t>
        </is>
      </c>
      <c r="I1364" t="inlineStr">
        <is>
          <t>Ionic Rare EARTHS Ltd</t>
        </is>
      </c>
      <c r="J1364" t="inlineStr">
        <is>
          <t>AUD</t>
        </is>
      </c>
      <c r="K1364" s="5" t="inlineStr">
        <is>
          <t>01a1212c-4c04-75ce-bbb2-e3322e18816e</t>
        </is>
      </c>
      <c r="M1364" t="inlineStr">
        <is>
          <t>UNKNOWN</t>
        </is>
      </c>
      <c r="N1364" t="inlineStr">
        <is>
          <t>DEFAULT</t>
        </is>
      </c>
      <c r="Q1364" t="n">
        <v>0</v>
      </c>
      <c r="R1364" t="inlineStr">
        <is>
          <t>AUD</t>
        </is>
      </c>
      <c r="S1364" t="n">
        <v>0</v>
      </c>
      <c r="T1364" t="inlineStr">
        <is>
          <t>AUD</t>
        </is>
      </c>
      <c r="U1364" t="n">
        <v>0</v>
      </c>
    </row>
    <row r="1365">
      <c r="A1365" s="5" t="inlineStr">
        <is>
          <t>01a1212c-5cdf-76f3-b31d-50e9e34fb6a3</t>
        </is>
      </c>
      <c r="C1365" s="5" t="inlineStr">
        <is>
          <t>01a1212c-4b57-70cf-80fd-c2192cb3bf81</t>
        </is>
      </c>
      <c r="D1365" s="4" t="n">
        <v>46304.62404999226</v>
      </c>
      <c r="E1365" s="4" t="n">
        <v>46304.62404999234</v>
      </c>
      <c r="F1365" t="b">
        <v>1</v>
      </c>
      <c r="G1365" t="n">
        <v/>
      </c>
      <c r="H1365" t="inlineStr">
        <is>
          <t>EMC</t>
        </is>
      </c>
      <c r="I1365" t="inlineStr">
        <is>
          <t>Everest Metals Corporation Ltd</t>
        </is>
      </c>
      <c r="J1365" t="inlineStr">
        <is>
          <t>AUD</t>
        </is>
      </c>
      <c r="K1365" s="5" t="inlineStr">
        <is>
          <t>01a1212c-4c04-75ce-bbb2-e3322e18816e</t>
        </is>
      </c>
      <c r="M1365" t="inlineStr">
        <is>
          <t>UNKNOWN</t>
        </is>
      </c>
      <c r="N1365" t="inlineStr">
        <is>
          <t>DEFAULT</t>
        </is>
      </c>
      <c r="Q1365" t="n">
        <v>0</v>
      </c>
      <c r="R1365" t="inlineStr">
        <is>
          <t>AUD</t>
        </is>
      </c>
      <c r="S1365" t="n">
        <v>0</v>
      </c>
      <c r="T1365" t="inlineStr">
        <is>
          <t>AUD</t>
        </is>
      </c>
      <c r="U1365" t="n">
        <v>0</v>
      </c>
    </row>
    <row r="1366">
      <c r="A1366" s="5" t="inlineStr">
        <is>
          <t>01a1212c-5ce1-71e4-9753-33966bfdf5bc</t>
        </is>
      </c>
      <c r="C1366" s="5" t="inlineStr">
        <is>
          <t>01a1212c-4b57-70cf-80fd-c2192cb3bf81</t>
        </is>
      </c>
      <c r="D1366" s="4" t="n">
        <v>46304.62405002386</v>
      </c>
      <c r="E1366" s="4" t="n">
        <v>46304.62405002394</v>
      </c>
      <c r="F1366" t="b">
        <v>1</v>
      </c>
      <c r="G1366" t="n">
        <v/>
      </c>
      <c r="H1366" t="inlineStr">
        <is>
          <t>TRE</t>
        </is>
      </c>
      <c r="I1366" t="inlineStr">
        <is>
          <t>Toubani Resources Ltd</t>
        </is>
      </c>
      <c r="J1366" t="inlineStr">
        <is>
          <t>AUD</t>
        </is>
      </c>
      <c r="K1366" s="5" t="inlineStr">
        <is>
          <t>01a1212c-4c04-75ce-bbb2-e3322e18816e</t>
        </is>
      </c>
      <c r="M1366" t="inlineStr">
        <is>
          <t>UNKNOWN</t>
        </is>
      </c>
      <c r="N1366" t="inlineStr">
        <is>
          <t>DEFAULT</t>
        </is>
      </c>
      <c r="Q1366" t="n">
        <v>0</v>
      </c>
      <c r="R1366" t="inlineStr">
        <is>
          <t>AUD</t>
        </is>
      </c>
      <c r="S1366" t="n">
        <v>0</v>
      </c>
      <c r="T1366" t="inlineStr">
        <is>
          <t>AUD</t>
        </is>
      </c>
      <c r="U1366" t="n">
        <v>0</v>
      </c>
    </row>
    <row r="1367">
      <c r="A1367" s="5" t="inlineStr">
        <is>
          <t>01a1212c-5ce4-76b0-8431-c9d99fecfac5</t>
        </is>
      </c>
      <c r="C1367" s="5" t="inlineStr">
        <is>
          <t>01a1212c-4b57-70cf-80fd-c2192cb3bf81</t>
        </is>
      </c>
      <c r="D1367" s="4" t="n">
        <v>46304.62405005722</v>
      </c>
      <c r="E1367" s="4" t="n">
        <v>46304.6240500573</v>
      </c>
      <c r="F1367" t="b">
        <v>1</v>
      </c>
      <c r="G1367" t="n">
        <v/>
      </c>
      <c r="H1367" t="inlineStr">
        <is>
          <t>DEL</t>
        </is>
      </c>
      <c r="I1367" t="inlineStr">
        <is>
          <t>Delorean Corporation Ltd</t>
        </is>
      </c>
      <c r="J1367" t="inlineStr">
        <is>
          <t>AUD</t>
        </is>
      </c>
      <c r="K1367" s="5" t="inlineStr">
        <is>
          <t>01a1212c-4c04-75ce-bbb2-e3322e18816e</t>
        </is>
      </c>
      <c r="M1367" t="inlineStr">
        <is>
          <t>UNKNOWN</t>
        </is>
      </c>
      <c r="N1367" t="inlineStr">
        <is>
          <t>DEFAULT</t>
        </is>
      </c>
      <c r="Q1367" t="n">
        <v>0</v>
      </c>
      <c r="R1367" t="inlineStr">
        <is>
          <t>AUD</t>
        </is>
      </c>
      <c r="S1367" t="n">
        <v>0</v>
      </c>
      <c r="T1367" t="inlineStr">
        <is>
          <t>AUD</t>
        </is>
      </c>
      <c r="U1367" t="n">
        <v>0</v>
      </c>
    </row>
    <row r="1368">
      <c r="A1368" s="5" t="inlineStr">
        <is>
          <t>01a1212c-5ce8-72aa-b2b2-babcdc39cc79</t>
        </is>
      </c>
      <c r="C1368" s="5" t="inlineStr">
        <is>
          <t>01a1212c-4b57-70cf-80fd-c2192cb3bf81</t>
        </is>
      </c>
      <c r="D1368" s="4" t="n">
        <v>46304.62405009806</v>
      </c>
      <c r="E1368" s="4" t="n">
        <v>46304.62405009816</v>
      </c>
      <c r="F1368" t="b">
        <v>1</v>
      </c>
      <c r="G1368" t="n">
        <v/>
      </c>
      <c r="H1368" t="inlineStr">
        <is>
          <t>BEZ</t>
        </is>
      </c>
      <c r="I1368" t="inlineStr">
        <is>
          <t>Besra Gold Inc</t>
        </is>
      </c>
      <c r="J1368" t="inlineStr">
        <is>
          <t>AUD</t>
        </is>
      </c>
      <c r="K1368" s="5" t="inlineStr">
        <is>
          <t>01a1212c-4c04-75ce-bbb2-e3322e18816e</t>
        </is>
      </c>
      <c r="M1368" t="inlineStr">
        <is>
          <t>UNKNOWN</t>
        </is>
      </c>
      <c r="N1368" t="inlineStr">
        <is>
          <t>DEFAULT</t>
        </is>
      </c>
      <c r="Q1368" t="n">
        <v>0</v>
      </c>
      <c r="R1368" t="inlineStr">
        <is>
          <t>AUD</t>
        </is>
      </c>
      <c r="S1368" t="n">
        <v>0</v>
      </c>
      <c r="T1368" t="inlineStr">
        <is>
          <t>AUD</t>
        </is>
      </c>
      <c r="U1368" t="n">
        <v>0</v>
      </c>
    </row>
    <row r="1369">
      <c r="A1369" s="5" t="inlineStr">
        <is>
          <t>01a1212c-5ceb-72b4-addd-2def8062f058</t>
        </is>
      </c>
      <c r="C1369" s="5" t="inlineStr">
        <is>
          <t>01a1212c-4b57-70cf-80fd-c2192cb3bf81</t>
        </is>
      </c>
      <c r="D1369" s="4" t="n">
        <v>46304.62405013022</v>
      </c>
      <c r="E1369" s="4" t="n">
        <v>46304.6240501303</v>
      </c>
      <c r="F1369" t="b">
        <v>1</v>
      </c>
      <c r="G1369" t="n">
        <v/>
      </c>
      <c r="H1369" t="inlineStr">
        <is>
          <t>HCRD</t>
        </is>
      </c>
      <c r="I1369" t="inlineStr">
        <is>
          <t>Betashares Interest Rate Hedged Aus Corp Bond ETF</t>
        </is>
      </c>
      <c r="J1369" t="inlineStr">
        <is>
          <t>AUD</t>
        </is>
      </c>
      <c r="K1369" s="5" t="inlineStr">
        <is>
          <t>01a1212c-4c04-75ce-bbb2-e3322e18816e</t>
        </is>
      </c>
      <c r="M1369" t="inlineStr">
        <is>
          <t>UNKNOWN</t>
        </is>
      </c>
      <c r="N1369" t="inlineStr">
        <is>
          <t>DEFAULT</t>
        </is>
      </c>
      <c r="Q1369" t="n">
        <v>0</v>
      </c>
      <c r="R1369" t="inlineStr">
        <is>
          <t>AUD</t>
        </is>
      </c>
      <c r="S1369" t="n">
        <v>0</v>
      </c>
      <c r="T1369" t="inlineStr">
        <is>
          <t>AUD</t>
        </is>
      </c>
      <c r="U1369" t="n">
        <v>0</v>
      </c>
    </row>
    <row r="1370">
      <c r="A1370" s="5" t="inlineStr">
        <is>
          <t>01a1212c-5cee-72a2-931d-1348cafe439d</t>
        </is>
      </c>
      <c r="C1370" s="5" t="inlineStr">
        <is>
          <t>01a1212c-4b57-70cf-80fd-c2192cb3bf81</t>
        </is>
      </c>
      <c r="D1370" s="4" t="n">
        <v>46304.62405016609</v>
      </c>
      <c r="E1370" s="4" t="n">
        <v>46304.6240501662</v>
      </c>
      <c r="F1370" t="b">
        <v>1</v>
      </c>
      <c r="G1370" t="n">
        <v/>
      </c>
      <c r="H1370" t="inlineStr">
        <is>
          <t>CAE</t>
        </is>
      </c>
      <c r="I1370" t="inlineStr">
        <is>
          <t>Cannindah Resources Ltd</t>
        </is>
      </c>
      <c r="J1370" t="inlineStr">
        <is>
          <t>AUD</t>
        </is>
      </c>
      <c r="K1370" s="5" t="inlineStr">
        <is>
          <t>01a1212c-4c04-75ce-bbb2-e3322e18816e</t>
        </is>
      </c>
      <c r="M1370" t="inlineStr">
        <is>
          <t>UNKNOWN</t>
        </is>
      </c>
      <c r="N1370" t="inlineStr">
        <is>
          <t>DEFAULT</t>
        </is>
      </c>
      <c r="Q1370" t="n">
        <v>0</v>
      </c>
      <c r="R1370" t="inlineStr">
        <is>
          <t>AUD</t>
        </is>
      </c>
      <c r="S1370" t="n">
        <v>0</v>
      </c>
      <c r="T1370" t="inlineStr">
        <is>
          <t>AUD</t>
        </is>
      </c>
      <c r="U1370" t="n">
        <v>0</v>
      </c>
    </row>
    <row r="1371">
      <c r="A1371" s="5" t="inlineStr">
        <is>
          <t>01a1212c-5cf1-7566-9126-9779cf6cbda2</t>
        </is>
      </c>
      <c r="C1371" s="5" t="inlineStr">
        <is>
          <t>01a1212c-4b57-70cf-80fd-c2192cb3bf81</t>
        </is>
      </c>
      <c r="D1371" s="4" t="n">
        <v>46304.62405020021</v>
      </c>
      <c r="E1371" s="4" t="n">
        <v>46304.62405020029</v>
      </c>
      <c r="F1371" t="b">
        <v>1</v>
      </c>
      <c r="G1371" t="n">
        <v/>
      </c>
      <c r="H1371" t="inlineStr">
        <is>
          <t>MCGG</t>
        </is>
      </c>
      <c r="I1371" t="inlineStr">
        <is>
          <t>Munro Concentrated Global Growth Active ETF</t>
        </is>
      </c>
      <c r="J1371" t="inlineStr">
        <is>
          <t>AUD</t>
        </is>
      </c>
      <c r="K1371" s="5" t="inlineStr">
        <is>
          <t>01a1212c-4c04-75ce-bbb2-e3322e18816e</t>
        </is>
      </c>
      <c r="M1371" t="inlineStr">
        <is>
          <t>UNKNOWN</t>
        </is>
      </c>
      <c r="N1371" t="inlineStr">
        <is>
          <t>DEFAULT</t>
        </is>
      </c>
      <c r="Q1371" t="n">
        <v>0</v>
      </c>
      <c r="R1371" t="inlineStr">
        <is>
          <t>AUD</t>
        </is>
      </c>
      <c r="S1371" t="n">
        <v>0</v>
      </c>
      <c r="T1371" t="inlineStr">
        <is>
          <t>AUD</t>
        </is>
      </c>
      <c r="U1371" t="n">
        <v>0</v>
      </c>
    </row>
    <row r="1372">
      <c r="A1372" s="5" t="inlineStr">
        <is>
          <t>01a1212c-5cf3-72bb-a53a-02074136d0bd</t>
        </is>
      </c>
      <c r="C1372" s="5" t="inlineStr">
        <is>
          <t>01a1212c-4b57-70cf-80fd-c2192cb3bf81</t>
        </is>
      </c>
      <c r="D1372" s="4" t="n">
        <v>46304.62405023149</v>
      </c>
      <c r="E1372" s="4" t="n">
        <v>46304.62405023157</v>
      </c>
      <c r="F1372" t="b">
        <v>1</v>
      </c>
      <c r="G1372" t="n">
        <v/>
      </c>
      <c r="H1372" t="inlineStr">
        <is>
          <t>HGEN</t>
        </is>
      </c>
      <c r="I1372" t="inlineStr">
        <is>
          <t>Global X Hydrogen ETF</t>
        </is>
      </c>
      <c r="J1372" t="inlineStr">
        <is>
          <t>AUD</t>
        </is>
      </c>
      <c r="K1372" s="5" t="inlineStr">
        <is>
          <t>01a1212c-4c04-75ce-bbb2-e3322e18816e</t>
        </is>
      </c>
      <c r="M1372" t="inlineStr">
        <is>
          <t>UNKNOWN</t>
        </is>
      </c>
      <c r="N1372" t="inlineStr">
        <is>
          <t>DEFAULT</t>
        </is>
      </c>
      <c r="Q1372" t="n">
        <v>0</v>
      </c>
      <c r="R1372" t="inlineStr">
        <is>
          <t>AUD</t>
        </is>
      </c>
      <c r="S1372" t="n">
        <v>0</v>
      </c>
      <c r="T1372" t="inlineStr">
        <is>
          <t>AUD</t>
        </is>
      </c>
      <c r="U1372" t="n">
        <v>0</v>
      </c>
    </row>
    <row r="1373">
      <c r="A1373" s="5" t="inlineStr">
        <is>
          <t>01a1212c-5cf6-7297-97cc-f8414e2fc11e</t>
        </is>
      </c>
      <c r="C1373" s="5" t="inlineStr">
        <is>
          <t>01a1212c-4b57-70cf-80fd-c2192cb3bf81</t>
        </is>
      </c>
      <c r="D1373" s="4" t="n">
        <v>46304.62405026647</v>
      </c>
      <c r="E1373" s="4" t="n">
        <v>46304.62405026656</v>
      </c>
      <c r="F1373" t="b">
        <v>1</v>
      </c>
      <c r="G1373" t="n">
        <v/>
      </c>
      <c r="H1373" t="inlineStr">
        <is>
          <t>MI6</t>
        </is>
      </c>
      <c r="I1373" t="inlineStr">
        <is>
          <t>Minerals 260 Ltd</t>
        </is>
      </c>
      <c r="J1373" t="inlineStr">
        <is>
          <t>AUD</t>
        </is>
      </c>
      <c r="K1373" s="5" t="inlineStr">
        <is>
          <t>01a1212c-4c04-75ce-bbb2-e3322e18816e</t>
        </is>
      </c>
      <c r="M1373" t="inlineStr">
        <is>
          <t>UNKNOWN</t>
        </is>
      </c>
      <c r="N1373" t="inlineStr">
        <is>
          <t>DEFAULT</t>
        </is>
      </c>
      <c r="Q1373" t="n">
        <v>0</v>
      </c>
      <c r="R1373" t="inlineStr">
        <is>
          <t>AUD</t>
        </is>
      </c>
      <c r="S1373" t="n">
        <v>0</v>
      </c>
      <c r="T1373" t="inlineStr">
        <is>
          <t>AUD</t>
        </is>
      </c>
      <c r="U1373" t="n">
        <v>0</v>
      </c>
    </row>
    <row r="1374">
      <c r="A1374" s="5" t="inlineStr">
        <is>
          <t>01a1212c-5cf9-778e-931f-3438de6a71bc</t>
        </is>
      </c>
      <c r="C1374" s="5" t="inlineStr">
        <is>
          <t>01a1212c-4b57-70cf-80fd-c2192cb3bf81</t>
        </is>
      </c>
      <c r="D1374" s="4" t="n">
        <v>46304.62405029814</v>
      </c>
      <c r="E1374" s="4" t="n">
        <v>46304.62405029822</v>
      </c>
      <c r="F1374" t="b">
        <v>1</v>
      </c>
      <c r="G1374" t="n">
        <v/>
      </c>
      <c r="H1374" t="inlineStr">
        <is>
          <t>WTM</t>
        </is>
      </c>
      <c r="I1374" t="inlineStr">
        <is>
          <t>Waratah Minerals Ltd</t>
        </is>
      </c>
      <c r="J1374" t="inlineStr">
        <is>
          <t>AUD</t>
        </is>
      </c>
      <c r="K1374" s="5" t="inlineStr">
        <is>
          <t>01a1212c-4c04-75ce-bbb2-e3322e18816e</t>
        </is>
      </c>
      <c r="M1374" t="inlineStr">
        <is>
          <t>UNKNOWN</t>
        </is>
      </c>
      <c r="N1374" t="inlineStr">
        <is>
          <t>DEFAULT</t>
        </is>
      </c>
      <c r="Q1374" t="n">
        <v>0</v>
      </c>
      <c r="R1374" t="inlineStr">
        <is>
          <t>AUD</t>
        </is>
      </c>
      <c r="S1374" t="n">
        <v>0</v>
      </c>
      <c r="T1374" t="inlineStr">
        <is>
          <t>AUD</t>
        </is>
      </c>
      <c r="U1374" t="n">
        <v>0</v>
      </c>
    </row>
    <row r="1375">
      <c r="A1375" s="5" t="inlineStr">
        <is>
          <t>01a1212c-5cfc-7108-bcbc-10ddab203d06</t>
        </is>
      </c>
      <c r="C1375" s="5" t="inlineStr">
        <is>
          <t>01a1212c-4b57-70cf-80fd-c2192cb3bf81</t>
        </is>
      </c>
      <c r="D1375" s="4" t="n">
        <v>46304.62405032924</v>
      </c>
      <c r="E1375" s="4" t="n">
        <v>46304.62405032932</v>
      </c>
      <c r="F1375" t="b">
        <v>1</v>
      </c>
      <c r="G1375" t="n">
        <v/>
      </c>
      <c r="H1375" t="inlineStr">
        <is>
          <t>NTD</t>
        </is>
      </c>
      <c r="I1375" t="inlineStr">
        <is>
          <t>Ntaw Holdings Ltd</t>
        </is>
      </c>
      <c r="J1375" t="inlineStr">
        <is>
          <t>AUD</t>
        </is>
      </c>
      <c r="K1375" s="5" t="inlineStr">
        <is>
          <t>01a1212c-4c04-75ce-bbb2-e3322e18816e</t>
        </is>
      </c>
      <c r="M1375" t="inlineStr">
        <is>
          <t>UNKNOWN</t>
        </is>
      </c>
      <c r="N1375" t="inlineStr">
        <is>
          <t>DEFAULT</t>
        </is>
      </c>
      <c r="Q1375" t="n">
        <v>0</v>
      </c>
      <c r="R1375" t="inlineStr">
        <is>
          <t>AUD</t>
        </is>
      </c>
      <c r="S1375" t="n">
        <v>0</v>
      </c>
      <c r="T1375" t="inlineStr">
        <is>
          <t>AUD</t>
        </is>
      </c>
      <c r="U1375" t="n">
        <v>0</v>
      </c>
    </row>
    <row r="1376">
      <c r="A1376" s="5" t="inlineStr">
        <is>
          <t>01a1212c-5cff-7030-8255-3f47accaebc1</t>
        </is>
      </c>
      <c r="C1376" s="5" t="inlineStr">
        <is>
          <t>01a1212c-4b57-70cf-80fd-c2192cb3bf81</t>
        </is>
      </c>
      <c r="D1376" s="4" t="n">
        <v>46304.62405036053</v>
      </c>
      <c r="E1376" s="4" t="n">
        <v>46304.6240503606</v>
      </c>
      <c r="F1376" t="b">
        <v>1</v>
      </c>
      <c r="G1376" t="n">
        <v/>
      </c>
      <c r="H1376" t="inlineStr">
        <is>
          <t>A1G</t>
        </is>
      </c>
      <c r="I1376" t="inlineStr">
        <is>
          <t>African Gold Ltd</t>
        </is>
      </c>
      <c r="J1376" t="inlineStr">
        <is>
          <t>AUD</t>
        </is>
      </c>
      <c r="K1376" s="5" t="inlineStr">
        <is>
          <t>01a1212c-4c04-75ce-bbb2-e3322e18816e</t>
        </is>
      </c>
      <c r="M1376" t="inlineStr">
        <is>
          <t>UNKNOWN</t>
        </is>
      </c>
      <c r="N1376" t="inlineStr">
        <is>
          <t>DEFAULT</t>
        </is>
      </c>
      <c r="Q1376" t="n">
        <v>0</v>
      </c>
      <c r="R1376" t="inlineStr">
        <is>
          <t>AUD</t>
        </is>
      </c>
      <c r="S1376" t="n">
        <v>0</v>
      </c>
      <c r="T1376" t="inlineStr">
        <is>
          <t>AUD</t>
        </is>
      </c>
      <c r="U1376" t="n">
        <v>0</v>
      </c>
    </row>
    <row r="1377">
      <c r="A1377" s="5" t="inlineStr">
        <is>
          <t>01a1212c-5d02-7460-b375-4bd53da7d0ce</t>
        </is>
      </c>
      <c r="C1377" s="5" t="inlineStr">
        <is>
          <t>01a1212c-4b57-70cf-80fd-c2192cb3bf81</t>
        </is>
      </c>
      <c r="D1377" s="4" t="n">
        <v>46304.6240503952</v>
      </c>
      <c r="E1377" s="4" t="n">
        <v>46304.62405039528</v>
      </c>
      <c r="F1377" t="b">
        <v>1</v>
      </c>
      <c r="G1377" t="n">
        <v/>
      </c>
      <c r="H1377" t="inlineStr">
        <is>
          <t>ILA</t>
        </is>
      </c>
      <c r="I1377" t="inlineStr">
        <is>
          <t>Island Pharmaceuticals Ltd</t>
        </is>
      </c>
      <c r="J1377" t="inlineStr">
        <is>
          <t>AUD</t>
        </is>
      </c>
      <c r="K1377" s="5" t="inlineStr">
        <is>
          <t>01a1212c-4c04-75ce-bbb2-e3322e18816e</t>
        </is>
      </c>
      <c r="M1377" t="inlineStr">
        <is>
          <t>UNKNOWN</t>
        </is>
      </c>
      <c r="N1377" t="inlineStr">
        <is>
          <t>DEFAULT</t>
        </is>
      </c>
      <c r="Q1377" t="n">
        <v>0</v>
      </c>
      <c r="R1377" t="inlineStr">
        <is>
          <t>AUD</t>
        </is>
      </c>
      <c r="S1377" t="n">
        <v>0</v>
      </c>
      <c r="T1377" t="inlineStr">
        <is>
          <t>AUD</t>
        </is>
      </c>
      <c r="U1377" t="n">
        <v>0</v>
      </c>
    </row>
    <row r="1378">
      <c r="A1378" s="5" t="inlineStr">
        <is>
          <t>01a1212c-5d04-77c4-beaa-e269ab429eca</t>
        </is>
      </c>
      <c r="C1378" s="5" t="inlineStr">
        <is>
          <t>01a1212c-4b57-70cf-80fd-c2192cb3bf81</t>
        </is>
      </c>
      <c r="D1378" s="4" t="n">
        <v>46304.62405042793</v>
      </c>
      <c r="E1378" s="4" t="n">
        <v>46304.62405042802</v>
      </c>
      <c r="F1378" t="b">
        <v>1</v>
      </c>
      <c r="G1378" t="n">
        <v/>
      </c>
      <c r="H1378" t="inlineStr">
        <is>
          <t>CC5</t>
        </is>
      </c>
      <c r="I1378" t="inlineStr">
        <is>
          <t>Clever Culture Systems Ltd</t>
        </is>
      </c>
      <c r="J1378" t="inlineStr">
        <is>
          <t>AUD</t>
        </is>
      </c>
      <c r="K1378" s="5" t="inlineStr">
        <is>
          <t>01a1212c-4c04-75ce-bbb2-e3322e18816e</t>
        </is>
      </c>
      <c r="M1378" t="inlineStr">
        <is>
          <t>UNKNOWN</t>
        </is>
      </c>
      <c r="N1378" t="inlineStr">
        <is>
          <t>DEFAULT</t>
        </is>
      </c>
      <c r="Q1378" t="n">
        <v>0</v>
      </c>
      <c r="R1378" t="inlineStr">
        <is>
          <t>AUD</t>
        </is>
      </c>
      <c r="S1378" t="n">
        <v>0</v>
      </c>
      <c r="T1378" t="inlineStr">
        <is>
          <t>AUD</t>
        </is>
      </c>
      <c r="U1378" t="n">
        <v>0</v>
      </c>
    </row>
    <row r="1379">
      <c r="A1379" s="5" t="inlineStr">
        <is>
          <t>01a1212c-5d07-750d-ae04-3a12648405e0</t>
        </is>
      </c>
      <c r="C1379" s="5" t="inlineStr">
        <is>
          <t>01a1212c-4b57-70cf-80fd-c2192cb3bf81</t>
        </is>
      </c>
      <c r="D1379" s="4" t="n">
        <v>46304.62405045917</v>
      </c>
      <c r="E1379" s="4" t="n">
        <v>46304.62405045925</v>
      </c>
      <c r="F1379" t="b">
        <v>1</v>
      </c>
      <c r="G1379" t="n">
        <v/>
      </c>
      <c r="H1379" t="inlineStr">
        <is>
          <t>VNGS</t>
        </is>
      </c>
      <c r="I1379" t="inlineStr">
        <is>
          <t>Vaughan Nelson Global Smid Fund (Managed Fund)</t>
        </is>
      </c>
      <c r="J1379" t="inlineStr">
        <is>
          <t>AUD</t>
        </is>
      </c>
      <c r="K1379" s="5" t="inlineStr">
        <is>
          <t>01a1212c-4c04-75ce-bbb2-e3322e18816e</t>
        </is>
      </c>
      <c r="M1379" t="inlineStr">
        <is>
          <t>UNKNOWN</t>
        </is>
      </c>
      <c r="N1379" t="inlineStr">
        <is>
          <t>DEFAULT</t>
        </is>
      </c>
      <c r="Q1379" t="n">
        <v>0</v>
      </c>
      <c r="R1379" t="inlineStr">
        <is>
          <t>AUD</t>
        </is>
      </c>
      <c r="S1379" t="n">
        <v>0</v>
      </c>
      <c r="T1379" t="inlineStr">
        <is>
          <t>AUD</t>
        </is>
      </c>
      <c r="U1379" t="n">
        <v>0</v>
      </c>
    </row>
    <row r="1380">
      <c r="A1380" s="5" t="inlineStr">
        <is>
          <t>01a1212c-5d0a-7072-8c43-10623a82024a</t>
        </is>
      </c>
      <c r="C1380" s="5" t="inlineStr">
        <is>
          <t>01a1212c-4b57-70cf-80fd-c2192cb3bf81</t>
        </is>
      </c>
      <c r="D1380" s="4" t="n">
        <v>46304.6240504907</v>
      </c>
      <c r="E1380" s="4" t="n">
        <v>46304.62405049078</v>
      </c>
      <c r="F1380" t="b">
        <v>1</v>
      </c>
      <c r="G1380" t="n">
        <v/>
      </c>
      <c r="H1380" t="inlineStr">
        <is>
          <t>JRV</t>
        </is>
      </c>
      <c r="I1380" t="inlineStr">
        <is>
          <t>Jervois Global Ltd</t>
        </is>
      </c>
      <c r="J1380" t="inlineStr">
        <is>
          <t>AUD</t>
        </is>
      </c>
      <c r="K1380" s="5" t="inlineStr">
        <is>
          <t>01a1212c-4c04-75ce-bbb2-e3322e18816e</t>
        </is>
      </c>
      <c r="M1380" t="inlineStr">
        <is>
          <t>UNKNOWN</t>
        </is>
      </c>
      <c r="N1380" t="inlineStr">
        <is>
          <t>DEFAULT</t>
        </is>
      </c>
      <c r="Q1380" t="n">
        <v>0</v>
      </c>
      <c r="R1380" t="inlineStr">
        <is>
          <t>AUD</t>
        </is>
      </c>
      <c r="S1380" t="n">
        <v>0</v>
      </c>
      <c r="T1380" t="inlineStr">
        <is>
          <t>AUD</t>
        </is>
      </c>
      <c r="U1380" t="n">
        <v>0</v>
      </c>
    </row>
    <row r="1381">
      <c r="A1381" s="5" t="inlineStr">
        <is>
          <t>01a1212c-5d0d-7217-930d-697141390d19</t>
        </is>
      </c>
      <c r="C1381" s="5" t="inlineStr">
        <is>
          <t>01a1212c-4b57-70cf-80fd-c2192cb3bf81</t>
        </is>
      </c>
      <c r="D1381" s="4" t="n">
        <v>46304.62405052205</v>
      </c>
      <c r="E1381" s="4" t="n">
        <v>46304.62405052213</v>
      </c>
      <c r="F1381" t="b">
        <v>1</v>
      </c>
      <c r="G1381" t="n">
        <v/>
      </c>
      <c r="H1381" t="inlineStr">
        <is>
          <t>GHHF</t>
        </is>
      </c>
      <c r="I1381" t="inlineStr">
        <is>
          <t>Betashares Wealthbuilder All GR Geared Complex ETF</t>
        </is>
      </c>
      <c r="J1381" t="inlineStr">
        <is>
          <t>AUD</t>
        </is>
      </c>
      <c r="K1381" s="5" t="inlineStr">
        <is>
          <t>01a1212c-4c04-75ce-bbb2-e3322e18816e</t>
        </is>
      </c>
      <c r="M1381" t="inlineStr">
        <is>
          <t>UNKNOWN</t>
        </is>
      </c>
      <c r="N1381" t="inlineStr">
        <is>
          <t>DEFAULT</t>
        </is>
      </c>
      <c r="Q1381" t="n">
        <v>0</v>
      </c>
      <c r="R1381" t="inlineStr">
        <is>
          <t>AUD</t>
        </is>
      </c>
      <c r="S1381" t="n">
        <v>0</v>
      </c>
      <c r="T1381" t="inlineStr">
        <is>
          <t>AUD</t>
        </is>
      </c>
      <c r="U1381" t="n">
        <v>0</v>
      </c>
    </row>
    <row r="1382">
      <c r="A1382" s="5" t="inlineStr">
        <is>
          <t>01a1212c-5d0f-729e-b1dd-e78c9b898377</t>
        </is>
      </c>
      <c r="C1382" s="5" t="inlineStr">
        <is>
          <t>01a1212c-4b57-70cf-80fd-c2192cb3bf81</t>
        </is>
      </c>
      <c r="D1382" s="4" t="n">
        <v>46304.62405055582</v>
      </c>
      <c r="E1382" s="4" t="n">
        <v>46304.6240505559</v>
      </c>
      <c r="F1382" t="b">
        <v>1</v>
      </c>
      <c r="G1382" t="n">
        <v/>
      </c>
      <c r="H1382" t="inlineStr">
        <is>
          <t>TDO</t>
        </is>
      </c>
      <c r="I1382" t="inlineStr">
        <is>
          <t>3D Energi Ltd</t>
        </is>
      </c>
      <c r="J1382" t="inlineStr">
        <is>
          <t>AUD</t>
        </is>
      </c>
      <c r="K1382" s="5" t="inlineStr">
        <is>
          <t>01a1212c-4c04-75ce-bbb2-e3322e18816e</t>
        </is>
      </c>
      <c r="M1382" t="inlineStr">
        <is>
          <t>UNKNOWN</t>
        </is>
      </c>
      <c r="N1382" t="inlineStr">
        <is>
          <t>DEFAULT</t>
        </is>
      </c>
      <c r="Q1382" t="n">
        <v>0</v>
      </c>
      <c r="R1382" t="inlineStr">
        <is>
          <t>AUD</t>
        </is>
      </c>
      <c r="S1382" t="n">
        <v>0</v>
      </c>
      <c r="T1382" t="inlineStr">
        <is>
          <t>AUD</t>
        </is>
      </c>
      <c r="U1382" t="n">
        <v>0</v>
      </c>
    </row>
    <row r="1383">
      <c r="A1383" s="5" t="inlineStr">
        <is>
          <t>01a1212c-5d12-7422-b0dc-15dc29631e5a</t>
        </is>
      </c>
      <c r="C1383" s="5" t="inlineStr">
        <is>
          <t>01a1212c-4b57-70cf-80fd-c2192cb3bf81</t>
        </is>
      </c>
      <c r="D1383" s="4" t="n">
        <v>46304.624050587</v>
      </c>
      <c r="E1383" s="4" t="n">
        <v>46304.62405058707</v>
      </c>
      <c r="F1383" t="b">
        <v>1</v>
      </c>
      <c r="G1383" t="n">
        <v/>
      </c>
      <c r="H1383" t="inlineStr">
        <is>
          <t>MTC</t>
        </is>
      </c>
      <c r="I1383" t="inlineStr">
        <is>
          <t>Metalstech Ltd</t>
        </is>
      </c>
      <c r="J1383" t="inlineStr">
        <is>
          <t>AUD</t>
        </is>
      </c>
      <c r="K1383" s="5" t="inlineStr">
        <is>
          <t>01a1212c-4c04-75ce-bbb2-e3322e18816e</t>
        </is>
      </c>
      <c r="M1383" t="inlineStr">
        <is>
          <t>UNKNOWN</t>
        </is>
      </c>
      <c r="N1383" t="inlineStr">
        <is>
          <t>DEFAULT</t>
        </is>
      </c>
      <c r="Q1383" t="n">
        <v>0</v>
      </c>
      <c r="R1383" t="inlineStr">
        <is>
          <t>AUD</t>
        </is>
      </c>
      <c r="S1383" t="n">
        <v>0</v>
      </c>
      <c r="T1383" t="inlineStr">
        <is>
          <t>AUD</t>
        </is>
      </c>
      <c r="U1383" t="n">
        <v>0</v>
      </c>
    </row>
    <row r="1384">
      <c r="A1384" s="5" t="inlineStr">
        <is>
          <t>01a1212c-5d15-7205-8094-20c58be5618e</t>
        </is>
      </c>
      <c r="C1384" s="5" t="inlineStr">
        <is>
          <t>01a1212c-4b57-70cf-80fd-c2192cb3bf81</t>
        </is>
      </c>
      <c r="D1384" s="4" t="n">
        <v>46304.62405062137</v>
      </c>
      <c r="E1384" s="4" t="n">
        <v>46304.62405062145</v>
      </c>
      <c r="F1384" t="b">
        <v>1</v>
      </c>
      <c r="G1384" t="n">
        <v/>
      </c>
      <c r="H1384" t="inlineStr">
        <is>
          <t>CCG</t>
        </is>
      </c>
      <c r="I1384" t="inlineStr">
        <is>
          <t>Comms Group Ltd</t>
        </is>
      </c>
      <c r="J1384" t="inlineStr">
        <is>
          <t>AUD</t>
        </is>
      </c>
      <c r="K1384" s="5" t="inlineStr">
        <is>
          <t>01a1212c-4c04-75ce-bbb2-e3322e18816e</t>
        </is>
      </c>
      <c r="M1384" t="inlineStr">
        <is>
          <t>UNKNOWN</t>
        </is>
      </c>
      <c r="N1384" t="inlineStr">
        <is>
          <t>DEFAULT</t>
        </is>
      </c>
      <c r="Q1384" t="n">
        <v>0</v>
      </c>
      <c r="R1384" t="inlineStr">
        <is>
          <t>AUD</t>
        </is>
      </c>
      <c r="S1384" t="n">
        <v>0</v>
      </c>
      <c r="T1384" t="inlineStr">
        <is>
          <t>AUD</t>
        </is>
      </c>
      <c r="U1384" t="n">
        <v>0</v>
      </c>
    </row>
    <row r="1385">
      <c r="A1385" s="5" t="inlineStr">
        <is>
          <t>01a1212c-5d18-7570-8dc6-a6cd2b4e7960</t>
        </is>
      </c>
      <c r="C1385" s="5" t="inlineStr">
        <is>
          <t>01a1212c-4b57-70cf-80fd-c2192cb3bf81</t>
        </is>
      </c>
      <c r="D1385" s="4" t="n">
        <v>46304.62405065326</v>
      </c>
      <c r="E1385" s="4" t="n">
        <v>46304.62405065334</v>
      </c>
      <c r="F1385" t="b">
        <v>1</v>
      </c>
      <c r="G1385" t="n">
        <v/>
      </c>
      <c r="H1385" t="inlineStr">
        <is>
          <t>RTG</t>
        </is>
      </c>
      <c r="I1385" t="inlineStr">
        <is>
          <t>RTG Mining Inc</t>
        </is>
      </c>
      <c r="J1385" t="inlineStr">
        <is>
          <t>AUD</t>
        </is>
      </c>
      <c r="K1385" s="5" t="inlineStr">
        <is>
          <t>01a1212c-4c04-75ce-bbb2-e3322e18816e</t>
        </is>
      </c>
      <c r="M1385" t="inlineStr">
        <is>
          <t>UNKNOWN</t>
        </is>
      </c>
      <c r="N1385" t="inlineStr">
        <is>
          <t>DEFAULT</t>
        </is>
      </c>
      <c r="Q1385" t="n">
        <v>0</v>
      </c>
      <c r="R1385" t="inlineStr">
        <is>
          <t>AUD</t>
        </is>
      </c>
      <c r="S1385" t="n">
        <v>0</v>
      </c>
      <c r="T1385" t="inlineStr">
        <is>
          <t>AUD</t>
        </is>
      </c>
      <c r="U1385" t="n">
        <v>0</v>
      </c>
    </row>
    <row r="1386">
      <c r="A1386" s="5" t="inlineStr">
        <is>
          <t>01a1212c-5d1b-76a6-96ec-12c071668ea1</t>
        </is>
      </c>
      <c r="C1386" s="5" t="inlineStr">
        <is>
          <t>01a1212c-4b57-70cf-80fd-c2192cb3bf81</t>
        </is>
      </c>
      <c r="D1386" s="4" t="n">
        <v>46304.62405068424</v>
      </c>
      <c r="E1386" s="4" t="n">
        <v>46304.6240506843</v>
      </c>
      <c r="F1386" t="b">
        <v>1</v>
      </c>
      <c r="G1386" t="n">
        <v/>
      </c>
      <c r="H1386" t="inlineStr">
        <is>
          <t>NOX</t>
        </is>
      </c>
      <c r="I1386" t="inlineStr">
        <is>
          <t>Noxopharm Ltd</t>
        </is>
      </c>
      <c r="J1386" t="inlineStr">
        <is>
          <t>AUD</t>
        </is>
      </c>
      <c r="K1386" s="5" t="inlineStr">
        <is>
          <t>01a1212c-4c04-75ce-bbb2-e3322e18816e</t>
        </is>
      </c>
      <c r="M1386" t="inlineStr">
        <is>
          <t>UNKNOWN</t>
        </is>
      </c>
      <c r="N1386" t="inlineStr">
        <is>
          <t>DEFAULT</t>
        </is>
      </c>
      <c r="Q1386" t="n">
        <v>0</v>
      </c>
      <c r="R1386" t="inlineStr">
        <is>
          <t>AUD</t>
        </is>
      </c>
      <c r="S1386" t="n">
        <v>0</v>
      </c>
      <c r="T1386" t="inlineStr">
        <is>
          <t>AUD</t>
        </is>
      </c>
      <c r="U1386" t="n">
        <v>0</v>
      </c>
    </row>
    <row r="1387">
      <c r="A1387" s="5" t="inlineStr">
        <is>
          <t>01a1212c-5d1d-7132-80c3-8616c820b075</t>
        </is>
      </c>
      <c r="C1387" s="5" t="inlineStr">
        <is>
          <t>01a1212c-4b57-70cf-80fd-c2192cb3bf81</t>
        </is>
      </c>
      <c r="D1387" s="4" t="n">
        <v>46304.62405071742</v>
      </c>
      <c r="E1387" s="4" t="n">
        <v>46304.62405071749</v>
      </c>
      <c r="F1387" t="b">
        <v>1</v>
      </c>
      <c r="G1387" t="n">
        <v/>
      </c>
      <c r="H1387" t="inlineStr">
        <is>
          <t>LEG</t>
        </is>
      </c>
      <c r="I1387" t="inlineStr">
        <is>
          <t>Legend Mining Ltd</t>
        </is>
      </c>
      <c r="J1387" t="inlineStr">
        <is>
          <t>AUD</t>
        </is>
      </c>
      <c r="K1387" s="5" t="inlineStr">
        <is>
          <t>01a1212c-4c04-75ce-bbb2-e3322e18816e</t>
        </is>
      </c>
      <c r="M1387" t="inlineStr">
        <is>
          <t>UNKNOWN</t>
        </is>
      </c>
      <c r="N1387" t="inlineStr">
        <is>
          <t>DEFAULT</t>
        </is>
      </c>
      <c r="Q1387" t="n">
        <v>0</v>
      </c>
      <c r="R1387" t="inlineStr">
        <is>
          <t>AUD</t>
        </is>
      </c>
      <c r="S1387" t="n">
        <v>0</v>
      </c>
      <c r="T1387" t="inlineStr">
        <is>
          <t>AUD</t>
        </is>
      </c>
      <c r="U1387" t="n">
        <v>0</v>
      </c>
    </row>
    <row r="1388">
      <c r="A1388" s="5" t="inlineStr">
        <is>
          <t>01a1212c-5d20-7758-8865-34701ca8c9b6</t>
        </is>
      </c>
      <c r="C1388" s="5" t="inlineStr">
        <is>
          <t>01a1212c-4b57-70cf-80fd-c2192cb3bf81</t>
        </is>
      </c>
      <c r="D1388" s="4" t="n">
        <v>46304.62405074801</v>
      </c>
      <c r="E1388" s="4" t="n">
        <v>46304.62405074809</v>
      </c>
      <c r="F1388" t="b">
        <v>1</v>
      </c>
      <c r="G1388" t="n">
        <v/>
      </c>
      <c r="H1388" t="inlineStr">
        <is>
          <t>EMH</t>
        </is>
      </c>
      <c r="I1388" t="inlineStr">
        <is>
          <t>European Metals Holdings Ltd</t>
        </is>
      </c>
      <c r="J1388" t="inlineStr">
        <is>
          <t>AUD</t>
        </is>
      </c>
      <c r="K1388" s="5" t="inlineStr">
        <is>
          <t>01a1212c-4c04-75ce-bbb2-e3322e18816e</t>
        </is>
      </c>
      <c r="M1388" t="inlineStr">
        <is>
          <t>UNKNOWN</t>
        </is>
      </c>
      <c r="N1388" t="inlineStr">
        <is>
          <t>DEFAULT</t>
        </is>
      </c>
      <c r="Q1388" t="n">
        <v>0</v>
      </c>
      <c r="R1388" t="inlineStr">
        <is>
          <t>AUD</t>
        </is>
      </c>
      <c r="S1388" t="n">
        <v>0</v>
      </c>
      <c r="T1388" t="inlineStr">
        <is>
          <t>AUD</t>
        </is>
      </c>
      <c r="U1388" t="n">
        <v>0</v>
      </c>
    </row>
    <row r="1389">
      <c r="A1389" s="5" t="inlineStr">
        <is>
          <t>01a1212c-5d23-76ba-9263-1bb2751dea3c</t>
        </is>
      </c>
      <c r="C1389" s="5" t="inlineStr">
        <is>
          <t>01a1212c-4b57-70cf-80fd-c2192cb3bf81</t>
        </is>
      </c>
      <c r="D1389" s="4" t="n">
        <v>46304.6240507787</v>
      </c>
      <c r="E1389" s="4" t="n">
        <v>46304.6240507788</v>
      </c>
      <c r="F1389" t="b">
        <v>1</v>
      </c>
      <c r="G1389" t="n">
        <v/>
      </c>
      <c r="H1389" t="inlineStr">
        <is>
          <t>AXN</t>
        </is>
      </c>
      <c r="I1389" t="inlineStr">
        <is>
          <t>Alliance Nickel Ltd</t>
        </is>
      </c>
      <c r="J1389" t="inlineStr">
        <is>
          <t>AUD</t>
        </is>
      </c>
      <c r="K1389" s="5" t="inlineStr">
        <is>
          <t>01a1212c-4c04-75ce-bbb2-e3322e18816e</t>
        </is>
      </c>
      <c r="M1389" t="inlineStr">
        <is>
          <t>UNKNOWN</t>
        </is>
      </c>
      <c r="N1389" t="inlineStr">
        <is>
          <t>DEFAULT</t>
        </is>
      </c>
      <c r="Q1389" t="n">
        <v>0</v>
      </c>
      <c r="R1389" t="inlineStr">
        <is>
          <t>AUD</t>
        </is>
      </c>
      <c r="S1389" t="n">
        <v>0</v>
      </c>
      <c r="T1389" t="inlineStr">
        <is>
          <t>AUD</t>
        </is>
      </c>
      <c r="U1389" t="n">
        <v>0</v>
      </c>
    </row>
    <row r="1390">
      <c r="A1390" s="5" t="inlineStr">
        <is>
          <t>01a1212c-5d26-771b-8f24-a150e44b9a4a</t>
        </is>
      </c>
      <c r="C1390" s="5" t="inlineStr">
        <is>
          <t>01a1212c-4b57-70cf-80fd-c2192cb3bf81</t>
        </is>
      </c>
      <c r="D1390" s="4" t="n">
        <v>46304.62405081369</v>
      </c>
      <c r="E1390" s="4" t="n">
        <v>46304.62405081377</v>
      </c>
      <c r="F1390" t="b">
        <v>1</v>
      </c>
      <c r="G1390" t="n">
        <v/>
      </c>
      <c r="H1390" t="inlineStr">
        <is>
          <t>COV</t>
        </is>
      </c>
      <c r="I1390" t="inlineStr">
        <is>
          <t>Cleo Diagnostics Ltd</t>
        </is>
      </c>
      <c r="J1390" t="inlineStr">
        <is>
          <t>AUD</t>
        </is>
      </c>
      <c r="K1390" s="5" t="inlineStr">
        <is>
          <t>01a1212c-4c04-75ce-bbb2-e3322e18816e</t>
        </is>
      </c>
      <c r="M1390" t="inlineStr">
        <is>
          <t>UNKNOWN</t>
        </is>
      </c>
      <c r="N1390" t="inlineStr">
        <is>
          <t>DEFAULT</t>
        </is>
      </c>
      <c r="Q1390" t="n">
        <v>0</v>
      </c>
      <c r="R1390" t="inlineStr">
        <is>
          <t>AUD</t>
        </is>
      </c>
      <c r="S1390" t="n">
        <v>0</v>
      </c>
      <c r="T1390" t="inlineStr">
        <is>
          <t>AUD</t>
        </is>
      </c>
      <c r="U1390" t="n">
        <v>0</v>
      </c>
    </row>
    <row r="1391">
      <c r="A1391" s="5" t="inlineStr">
        <is>
          <t>01a1212c-5d29-7493-8468-2c9a62ea178a</t>
        </is>
      </c>
      <c r="C1391" s="5" t="inlineStr">
        <is>
          <t>01a1212c-4b57-70cf-80fd-c2192cb3bf81</t>
        </is>
      </c>
      <c r="D1391" s="4" t="n">
        <v>46304.62405085041</v>
      </c>
      <c r="E1391" s="4" t="n">
        <v>46304.62405085049</v>
      </c>
      <c r="F1391" t="b">
        <v>1</v>
      </c>
      <c r="G1391" t="n">
        <v/>
      </c>
      <c r="H1391" t="inlineStr">
        <is>
          <t>FGH</t>
        </is>
      </c>
      <c r="I1391" t="inlineStr">
        <is>
          <t>Foresta Group Holdings Ltd</t>
        </is>
      </c>
      <c r="J1391" t="inlineStr">
        <is>
          <t>AUD</t>
        </is>
      </c>
      <c r="K1391" s="5" t="inlineStr">
        <is>
          <t>01a1212c-4c04-75ce-bbb2-e3322e18816e</t>
        </is>
      </c>
      <c r="M1391" t="inlineStr">
        <is>
          <t>UNKNOWN</t>
        </is>
      </c>
      <c r="N1391" t="inlineStr">
        <is>
          <t>DEFAULT</t>
        </is>
      </c>
      <c r="Q1391" t="n">
        <v>0</v>
      </c>
      <c r="R1391" t="inlineStr">
        <is>
          <t>AUD</t>
        </is>
      </c>
      <c r="S1391" t="n">
        <v>0</v>
      </c>
      <c r="T1391" t="inlineStr">
        <is>
          <t>AUD</t>
        </is>
      </c>
      <c r="U1391" t="n">
        <v>0</v>
      </c>
    </row>
    <row r="1392">
      <c r="A1392" s="5" t="inlineStr">
        <is>
          <t>01a1212c-5d2c-77ee-b43a-1b44880f1f8c</t>
        </is>
      </c>
      <c r="C1392" s="5" t="inlineStr">
        <is>
          <t>01a1212c-4b57-70cf-80fd-c2192cb3bf81</t>
        </is>
      </c>
      <c r="D1392" s="4" t="n">
        <v>46304.62405088587</v>
      </c>
      <c r="E1392" s="4" t="n">
        <v>46304.62405088595</v>
      </c>
      <c r="F1392" t="b">
        <v>1</v>
      </c>
      <c r="G1392" t="n">
        <v/>
      </c>
      <c r="H1392" t="inlineStr">
        <is>
          <t>GWR</t>
        </is>
      </c>
      <c r="I1392" t="inlineStr">
        <is>
          <t>GWR Group Ltd</t>
        </is>
      </c>
      <c r="J1392" t="inlineStr">
        <is>
          <t>AUD</t>
        </is>
      </c>
      <c r="K1392" s="5" t="inlineStr">
        <is>
          <t>01a1212c-4c04-75ce-bbb2-e3322e18816e</t>
        </is>
      </c>
      <c r="M1392" t="inlineStr">
        <is>
          <t>UNKNOWN</t>
        </is>
      </c>
      <c r="N1392" t="inlineStr">
        <is>
          <t>DEFAULT</t>
        </is>
      </c>
      <c r="Q1392" t="n">
        <v>0</v>
      </c>
      <c r="R1392" t="inlineStr">
        <is>
          <t>AUD</t>
        </is>
      </c>
      <c r="S1392" t="n">
        <v>0</v>
      </c>
      <c r="T1392" t="inlineStr">
        <is>
          <t>AUD</t>
        </is>
      </c>
      <c r="U1392" t="n">
        <v>0</v>
      </c>
    </row>
    <row r="1393">
      <c r="A1393" s="5" t="inlineStr">
        <is>
          <t>01a1212c-5d2f-718d-8203-e8705d45a8a1</t>
        </is>
      </c>
      <c r="C1393" s="5" t="inlineStr">
        <is>
          <t>01a1212c-4b57-70cf-80fd-c2192cb3bf81</t>
        </is>
      </c>
      <c r="D1393" s="4" t="n">
        <v>46304.62405091802</v>
      </c>
      <c r="E1393" s="4" t="n">
        <v>46304.62405091809</v>
      </c>
      <c r="F1393" t="b">
        <v>1</v>
      </c>
      <c r="G1393" t="n">
        <v/>
      </c>
      <c r="H1393" t="inlineStr">
        <is>
          <t>GEN</t>
        </is>
      </c>
      <c r="I1393" t="inlineStr">
        <is>
          <t>Genmin Ltd</t>
        </is>
      </c>
      <c r="J1393" t="inlineStr">
        <is>
          <t>AUD</t>
        </is>
      </c>
      <c r="K1393" s="5" t="inlineStr">
        <is>
          <t>01a1212c-4c04-75ce-bbb2-e3322e18816e</t>
        </is>
      </c>
      <c r="M1393" t="inlineStr">
        <is>
          <t>UNKNOWN</t>
        </is>
      </c>
      <c r="N1393" t="inlineStr">
        <is>
          <t>DEFAULT</t>
        </is>
      </c>
      <c r="Q1393" t="n">
        <v>0</v>
      </c>
      <c r="R1393" t="inlineStr">
        <is>
          <t>AUD</t>
        </is>
      </c>
      <c r="S1393" t="n">
        <v>0</v>
      </c>
      <c r="T1393" t="inlineStr">
        <is>
          <t>AUD</t>
        </is>
      </c>
      <c r="U1393" t="n">
        <v>0</v>
      </c>
    </row>
    <row r="1394">
      <c r="A1394" s="5" t="inlineStr">
        <is>
          <t>01a1212c-5d31-73ab-9eda-095044b1a95a</t>
        </is>
      </c>
      <c r="C1394" s="5" t="inlineStr">
        <is>
          <t>01a1212c-4b57-70cf-80fd-c2192cb3bf81</t>
        </is>
      </c>
      <c r="D1394" s="4" t="n">
        <v>46304.62405094869</v>
      </c>
      <c r="E1394" s="4" t="n">
        <v>46304.62405094876</v>
      </c>
      <c r="F1394" t="b">
        <v>1</v>
      </c>
      <c r="G1394" t="n">
        <v/>
      </c>
      <c r="H1394" t="inlineStr">
        <is>
          <t>GCAP</t>
        </is>
      </c>
      <c r="I1394" t="inlineStr">
        <is>
          <t>Vaneck Bentham GL Cap Se Active ETF (Managed Fund)</t>
        </is>
      </c>
      <c r="J1394" t="inlineStr">
        <is>
          <t>AUD</t>
        </is>
      </c>
      <c r="K1394" s="5" t="inlineStr">
        <is>
          <t>01a1212c-4c04-75ce-bbb2-e3322e18816e</t>
        </is>
      </c>
      <c r="M1394" t="inlineStr">
        <is>
          <t>UNKNOWN</t>
        </is>
      </c>
      <c r="N1394" t="inlineStr">
        <is>
          <t>DEFAULT</t>
        </is>
      </c>
      <c r="Q1394" t="n">
        <v>0</v>
      </c>
      <c r="R1394" t="inlineStr">
        <is>
          <t>AUD</t>
        </is>
      </c>
      <c r="S1394" t="n">
        <v>0</v>
      </c>
      <c r="T1394" t="inlineStr">
        <is>
          <t>AUD</t>
        </is>
      </c>
      <c r="U1394" t="n">
        <v>0</v>
      </c>
    </row>
    <row r="1395">
      <c r="A1395" s="5" t="inlineStr">
        <is>
          <t>01a1212c-5d34-77a9-9714-e4ccd75e86cf</t>
        </is>
      </c>
      <c r="C1395" s="5" t="inlineStr">
        <is>
          <t>01a1212c-4b57-70cf-80fd-c2192cb3bf81</t>
        </is>
      </c>
      <c r="D1395" s="4" t="n">
        <v>46304.62405097979</v>
      </c>
      <c r="E1395" s="4" t="n">
        <v>46304.62405097986</v>
      </c>
      <c r="F1395" t="b">
        <v>1</v>
      </c>
      <c r="G1395" t="n">
        <v/>
      </c>
      <c r="H1395" t="inlineStr">
        <is>
          <t>AEV</t>
        </is>
      </c>
      <c r="I1395" t="inlineStr">
        <is>
          <t>Avenira Ltd</t>
        </is>
      </c>
      <c r="J1395" t="inlineStr">
        <is>
          <t>AUD</t>
        </is>
      </c>
      <c r="K1395" s="5" t="inlineStr">
        <is>
          <t>01a1212c-4c04-75ce-bbb2-e3322e18816e</t>
        </is>
      </c>
      <c r="M1395" t="inlineStr">
        <is>
          <t>UNKNOWN</t>
        </is>
      </c>
      <c r="N1395" t="inlineStr">
        <is>
          <t>DEFAULT</t>
        </is>
      </c>
      <c r="Q1395" t="n">
        <v>0</v>
      </c>
      <c r="R1395" t="inlineStr">
        <is>
          <t>AUD</t>
        </is>
      </c>
      <c r="S1395" t="n">
        <v>0</v>
      </c>
      <c r="T1395" t="inlineStr">
        <is>
          <t>AUD</t>
        </is>
      </c>
      <c r="U1395" t="n">
        <v>0</v>
      </c>
    </row>
    <row r="1396">
      <c r="A1396" s="5" t="inlineStr">
        <is>
          <t>01a1212c-5d37-76b4-9fe3-b0e398a582ad</t>
        </is>
      </c>
      <c r="C1396" s="5" t="inlineStr">
        <is>
          <t>01a1212c-4b57-70cf-80fd-c2192cb3bf81</t>
        </is>
      </c>
      <c r="D1396" s="4" t="n">
        <v>46304.62405101602</v>
      </c>
      <c r="E1396" s="4" t="n">
        <v>46304.62405101611</v>
      </c>
      <c r="F1396" t="b">
        <v>1</v>
      </c>
      <c r="G1396" t="n">
        <v/>
      </c>
      <c r="H1396" t="inlineStr">
        <is>
          <t>UBN</t>
        </is>
      </c>
      <c r="I1396" t="inlineStr">
        <is>
          <t>Urbanise.com Ltd</t>
        </is>
      </c>
      <c r="J1396" t="inlineStr">
        <is>
          <t>AUD</t>
        </is>
      </c>
      <c r="K1396" s="5" t="inlineStr">
        <is>
          <t>01a1212c-4c04-75ce-bbb2-e3322e18816e</t>
        </is>
      </c>
      <c r="M1396" t="inlineStr">
        <is>
          <t>UNKNOWN</t>
        </is>
      </c>
      <c r="N1396" t="inlineStr">
        <is>
          <t>DEFAULT</t>
        </is>
      </c>
      <c r="Q1396" t="n">
        <v>0</v>
      </c>
      <c r="R1396" t="inlineStr">
        <is>
          <t>AUD</t>
        </is>
      </c>
      <c r="S1396" t="n">
        <v>0</v>
      </c>
      <c r="T1396" t="inlineStr">
        <is>
          <t>AUD</t>
        </is>
      </c>
      <c r="U1396" t="n">
        <v>0</v>
      </c>
    </row>
    <row r="1397">
      <c r="A1397" s="5" t="inlineStr">
        <is>
          <t>01a1212c-5d3a-76e7-9b7f-403bc2389a70</t>
        </is>
      </c>
      <c r="C1397" s="5" t="inlineStr">
        <is>
          <t>01a1212c-4b57-70cf-80fd-c2192cb3bf81</t>
        </is>
      </c>
      <c r="D1397" s="4" t="n">
        <v>46304.62405104971</v>
      </c>
      <c r="E1397" s="4" t="n">
        <v>46304.62405104979</v>
      </c>
      <c r="F1397" t="b">
        <v>1</v>
      </c>
      <c r="G1397" t="n">
        <v/>
      </c>
      <c r="H1397" t="inlineStr">
        <is>
          <t>PGA1</t>
        </is>
      </c>
      <c r="I1397" t="inlineStr">
        <is>
          <t>Plato Global Alpha Fund Complex ETF</t>
        </is>
      </c>
      <c r="J1397" t="inlineStr">
        <is>
          <t>AUD</t>
        </is>
      </c>
      <c r="K1397" s="5" t="inlineStr">
        <is>
          <t>01a1212c-4c04-75ce-bbb2-e3322e18816e</t>
        </is>
      </c>
      <c r="M1397" t="inlineStr">
        <is>
          <t>UNKNOWN</t>
        </is>
      </c>
      <c r="N1397" t="inlineStr">
        <is>
          <t>DEFAULT</t>
        </is>
      </c>
      <c r="Q1397" t="n">
        <v>0</v>
      </c>
      <c r="R1397" t="inlineStr">
        <is>
          <t>AUD</t>
        </is>
      </c>
      <c r="S1397" t="n">
        <v>0</v>
      </c>
      <c r="T1397" t="inlineStr">
        <is>
          <t>AUD</t>
        </is>
      </c>
      <c r="U1397" t="n">
        <v>0</v>
      </c>
    </row>
    <row r="1398">
      <c r="A1398" s="5" t="inlineStr">
        <is>
          <t>01a1212c-5d3d-7500-b3ee-1f84035894dd</t>
        </is>
      </c>
      <c r="C1398" s="5" t="inlineStr">
        <is>
          <t>01a1212c-4b57-70cf-80fd-c2192cb3bf81</t>
        </is>
      </c>
      <c r="D1398" s="4" t="n">
        <v>46304.62405108127</v>
      </c>
      <c r="E1398" s="4" t="n">
        <v>46304.62405108134</v>
      </c>
      <c r="F1398" t="b">
        <v>1</v>
      </c>
      <c r="G1398" t="n">
        <v/>
      </c>
      <c r="H1398" t="inlineStr">
        <is>
          <t>COB</t>
        </is>
      </c>
      <c r="I1398" t="inlineStr">
        <is>
          <t>Cobalt Blue Holdings Ltd</t>
        </is>
      </c>
      <c r="J1398" t="inlineStr">
        <is>
          <t>AUD</t>
        </is>
      </c>
      <c r="K1398" s="5" t="inlineStr">
        <is>
          <t>01a1212c-4c04-75ce-bbb2-e3322e18816e</t>
        </is>
      </c>
      <c r="M1398" t="inlineStr">
        <is>
          <t>UNKNOWN</t>
        </is>
      </c>
      <c r="N1398" t="inlineStr">
        <is>
          <t>DEFAULT</t>
        </is>
      </c>
      <c r="Q1398" t="n">
        <v>0</v>
      </c>
      <c r="R1398" t="inlineStr">
        <is>
          <t>AUD</t>
        </is>
      </c>
      <c r="S1398" t="n">
        <v>0</v>
      </c>
      <c r="T1398" t="inlineStr">
        <is>
          <t>AUD</t>
        </is>
      </c>
      <c r="U1398" t="n">
        <v>0</v>
      </c>
    </row>
    <row r="1399">
      <c r="A1399" s="5" t="inlineStr">
        <is>
          <t>01a1212c-5d3f-706f-9c99-0895d104a692</t>
        </is>
      </c>
      <c r="C1399" s="5" t="inlineStr">
        <is>
          <t>01a1212c-4b57-70cf-80fd-c2192cb3bf81</t>
        </is>
      </c>
      <c r="D1399" s="4" t="n">
        <v>46304.62405111214</v>
      </c>
      <c r="E1399" s="4" t="n">
        <v>46304.62405111221</v>
      </c>
      <c r="F1399" t="b">
        <v>1</v>
      </c>
      <c r="G1399" t="n">
        <v/>
      </c>
      <c r="H1399" t="inlineStr">
        <is>
          <t>IAM</t>
        </is>
      </c>
      <c r="I1399" t="inlineStr">
        <is>
          <t>Income Asset Management Group Ltd</t>
        </is>
      </c>
      <c r="J1399" t="inlineStr">
        <is>
          <t>AUD</t>
        </is>
      </c>
      <c r="K1399" s="5" t="inlineStr">
        <is>
          <t>01a1212c-4c04-75ce-bbb2-e3322e18816e</t>
        </is>
      </c>
      <c r="M1399" t="inlineStr">
        <is>
          <t>UNKNOWN</t>
        </is>
      </c>
      <c r="N1399" t="inlineStr">
        <is>
          <t>DEFAULT</t>
        </is>
      </c>
      <c r="Q1399" t="n">
        <v>0</v>
      </c>
      <c r="R1399" t="inlineStr">
        <is>
          <t>AUD</t>
        </is>
      </c>
      <c r="S1399" t="n">
        <v>0</v>
      </c>
      <c r="T1399" t="inlineStr">
        <is>
          <t>AUD</t>
        </is>
      </c>
      <c r="U1399" t="n">
        <v>0</v>
      </c>
    </row>
    <row r="1400">
      <c r="A1400" s="5" t="inlineStr">
        <is>
          <t>01a1212c-5d42-77d7-a0e5-a16e613b7279</t>
        </is>
      </c>
      <c r="C1400" s="5" t="inlineStr">
        <is>
          <t>01a1212c-4b57-70cf-80fd-c2192cb3bf81</t>
        </is>
      </c>
      <c r="D1400" s="4" t="n">
        <v>46304.62405114504</v>
      </c>
      <c r="E1400" s="4" t="n">
        <v>46304.62405114512</v>
      </c>
      <c r="F1400" t="b">
        <v>1</v>
      </c>
      <c r="G1400" t="n">
        <v/>
      </c>
      <c r="H1400" t="inlineStr">
        <is>
          <t>KP2</t>
        </is>
      </c>
      <c r="I1400" t="inlineStr">
        <is>
          <t>Kore Potash Plc</t>
        </is>
      </c>
      <c r="J1400" t="inlineStr">
        <is>
          <t>AUD</t>
        </is>
      </c>
      <c r="K1400" s="5" t="inlineStr">
        <is>
          <t>01a1212c-4c04-75ce-bbb2-e3322e18816e</t>
        </is>
      </c>
      <c r="M1400" t="inlineStr">
        <is>
          <t>UNKNOWN</t>
        </is>
      </c>
      <c r="N1400" t="inlineStr">
        <is>
          <t>DEFAULT</t>
        </is>
      </c>
      <c r="Q1400" t="n">
        <v>0</v>
      </c>
      <c r="R1400" t="inlineStr">
        <is>
          <t>AUD</t>
        </is>
      </c>
      <c r="S1400" t="n">
        <v>0</v>
      </c>
      <c r="T1400" t="inlineStr">
        <is>
          <t>AUD</t>
        </is>
      </c>
      <c r="U1400" t="n">
        <v>0</v>
      </c>
    </row>
    <row r="1401">
      <c r="A1401" s="5" t="inlineStr">
        <is>
          <t>01a1212c-5d45-76c0-8486-ac7a74c8ff69</t>
        </is>
      </c>
      <c r="C1401" s="5" t="inlineStr">
        <is>
          <t>01a1212c-4b57-70cf-80fd-c2192cb3bf81</t>
        </is>
      </c>
      <c r="D1401" s="4" t="n">
        <v>46304.62405117594</v>
      </c>
      <c r="E1401" s="4" t="n">
        <v>46304.62405117602</v>
      </c>
      <c r="F1401" t="b">
        <v>1</v>
      </c>
      <c r="G1401" t="n">
        <v/>
      </c>
      <c r="H1401" t="inlineStr">
        <is>
          <t>RHY</t>
        </is>
      </c>
      <c r="I1401" t="inlineStr">
        <is>
          <t>RHYTHM Biosciences Ltd</t>
        </is>
      </c>
      <c r="J1401" t="inlineStr">
        <is>
          <t>AUD</t>
        </is>
      </c>
      <c r="K1401" s="5" t="inlineStr">
        <is>
          <t>01a1212c-4c04-75ce-bbb2-e3322e18816e</t>
        </is>
      </c>
      <c r="M1401" t="inlineStr">
        <is>
          <t>UNKNOWN</t>
        </is>
      </c>
      <c r="N1401" t="inlineStr">
        <is>
          <t>DEFAULT</t>
        </is>
      </c>
      <c r="Q1401" t="n">
        <v>0</v>
      </c>
      <c r="R1401" t="inlineStr">
        <is>
          <t>AUD</t>
        </is>
      </c>
      <c r="S1401" t="n">
        <v>0</v>
      </c>
      <c r="T1401" t="inlineStr">
        <is>
          <t>AUD</t>
        </is>
      </c>
      <c r="U1401" t="n">
        <v>0</v>
      </c>
    </row>
    <row r="1402">
      <c r="A1402" s="5" t="inlineStr">
        <is>
          <t>01a1212c-5d48-736c-92d2-11ece07e0c10</t>
        </is>
      </c>
      <c r="C1402" s="5" t="inlineStr">
        <is>
          <t>01a1212c-4b57-70cf-80fd-c2192cb3bf81</t>
        </is>
      </c>
      <c r="D1402" s="4" t="n">
        <v>46304.62405121182</v>
      </c>
      <c r="E1402" s="4" t="n">
        <v>46304.6240512119</v>
      </c>
      <c r="F1402" t="b">
        <v>1</v>
      </c>
      <c r="G1402" t="n">
        <v/>
      </c>
      <c r="H1402" t="inlineStr">
        <is>
          <t>G50</t>
        </is>
      </c>
      <c r="I1402" t="inlineStr">
        <is>
          <t>G50 Corp Ltd</t>
        </is>
      </c>
      <c r="J1402" t="inlineStr">
        <is>
          <t>AUD</t>
        </is>
      </c>
      <c r="K1402" s="5" t="inlineStr">
        <is>
          <t>01a1212c-4c04-75ce-bbb2-e3322e18816e</t>
        </is>
      </c>
      <c r="M1402" t="inlineStr">
        <is>
          <t>UNKNOWN</t>
        </is>
      </c>
      <c r="N1402" t="inlineStr">
        <is>
          <t>DEFAULT</t>
        </is>
      </c>
      <c r="Q1402" t="n">
        <v>0</v>
      </c>
      <c r="R1402" t="inlineStr">
        <is>
          <t>AUD</t>
        </is>
      </c>
      <c r="S1402" t="n">
        <v>0</v>
      </c>
      <c r="T1402" t="inlineStr">
        <is>
          <t>AUD</t>
        </is>
      </c>
      <c r="U1402" t="n">
        <v>0</v>
      </c>
    </row>
    <row r="1403">
      <c r="A1403" s="5" t="inlineStr">
        <is>
          <t>01a1212c-5d4b-706c-b07a-f4fd0c1ab605</t>
        </is>
      </c>
      <c r="C1403" s="5" t="inlineStr">
        <is>
          <t>01a1212c-4b57-70cf-80fd-c2192cb3bf81</t>
        </is>
      </c>
      <c r="D1403" s="4" t="n">
        <v>46304.62405124416</v>
      </c>
      <c r="E1403" s="4" t="n">
        <v>46304.62405124424</v>
      </c>
      <c r="F1403" t="b">
        <v>1</v>
      </c>
      <c r="G1403" t="n">
        <v/>
      </c>
      <c r="H1403" t="inlineStr">
        <is>
          <t>NXD</t>
        </is>
      </c>
      <c r="I1403" t="inlineStr">
        <is>
          <t>Nexted Group Ltd</t>
        </is>
      </c>
      <c r="J1403" t="inlineStr">
        <is>
          <t>AUD</t>
        </is>
      </c>
      <c r="K1403" s="5" t="inlineStr">
        <is>
          <t>01a1212c-4c04-75ce-bbb2-e3322e18816e</t>
        </is>
      </c>
      <c r="M1403" t="inlineStr">
        <is>
          <t>UNKNOWN</t>
        </is>
      </c>
      <c r="N1403" t="inlineStr">
        <is>
          <t>DEFAULT</t>
        </is>
      </c>
      <c r="Q1403" t="n">
        <v>0</v>
      </c>
      <c r="R1403" t="inlineStr">
        <is>
          <t>AUD</t>
        </is>
      </c>
      <c r="S1403" t="n">
        <v>0</v>
      </c>
      <c r="T1403" t="inlineStr">
        <is>
          <t>AUD</t>
        </is>
      </c>
      <c r="U1403" t="n">
        <v>0</v>
      </c>
    </row>
    <row r="1404">
      <c r="A1404" s="5" t="inlineStr">
        <is>
          <t>01a1212c-5d4e-75eb-82ba-6a5edb8fd679</t>
        </is>
      </c>
      <c r="C1404" s="5" t="inlineStr">
        <is>
          <t>01a1212c-4b57-70cf-80fd-c2192cb3bf81</t>
        </is>
      </c>
      <c r="D1404" s="4" t="n">
        <v>46304.624051275</v>
      </c>
      <c r="E1404" s="4" t="n">
        <v>46304.62405127507</v>
      </c>
      <c r="F1404" t="b">
        <v>1</v>
      </c>
      <c r="G1404" t="n">
        <v/>
      </c>
      <c r="H1404" t="inlineStr">
        <is>
          <t>CG1</t>
        </is>
      </c>
      <c r="I1404" t="inlineStr">
        <is>
          <t>Carbonxt Group Ltd</t>
        </is>
      </c>
      <c r="J1404" t="inlineStr">
        <is>
          <t>AUD</t>
        </is>
      </c>
      <c r="K1404" s="5" t="inlineStr">
        <is>
          <t>01a1212c-4c04-75ce-bbb2-e3322e18816e</t>
        </is>
      </c>
      <c r="M1404" t="inlineStr">
        <is>
          <t>UNKNOWN</t>
        </is>
      </c>
      <c r="N1404" t="inlineStr">
        <is>
          <t>DEFAULT</t>
        </is>
      </c>
      <c r="Q1404" t="n">
        <v>0</v>
      </c>
      <c r="R1404" t="inlineStr">
        <is>
          <t>AUD</t>
        </is>
      </c>
      <c r="S1404" t="n">
        <v>0</v>
      </c>
      <c r="T1404" t="inlineStr">
        <is>
          <t>AUD</t>
        </is>
      </c>
      <c r="U1404" t="n">
        <v>0</v>
      </c>
    </row>
    <row r="1405">
      <c r="A1405" s="5" t="inlineStr">
        <is>
          <t>01a1212c-5d50-75dc-a200-315d9dd5089a</t>
        </is>
      </c>
      <c r="C1405" s="5" t="inlineStr">
        <is>
          <t>01a1212c-4b57-70cf-80fd-c2192cb3bf81</t>
        </is>
      </c>
      <c r="D1405" s="4" t="n">
        <v>46304.62405130843</v>
      </c>
      <c r="E1405" s="4" t="n">
        <v>46304.62405130852</v>
      </c>
      <c r="F1405" t="b">
        <v>1</v>
      </c>
      <c r="G1405" t="n">
        <v/>
      </c>
      <c r="H1405" t="inlineStr">
        <is>
          <t>CD1</t>
        </is>
      </c>
      <c r="I1405" t="inlineStr">
        <is>
          <t>CD Private Equity Fund I</t>
        </is>
      </c>
      <c r="J1405" t="inlineStr">
        <is>
          <t>AUD</t>
        </is>
      </c>
      <c r="K1405" s="5" t="inlineStr">
        <is>
          <t>01a1212c-4c04-75ce-bbb2-e3322e18816e</t>
        </is>
      </c>
      <c r="M1405" t="inlineStr">
        <is>
          <t>UNKNOWN</t>
        </is>
      </c>
      <c r="N1405" t="inlineStr">
        <is>
          <t>DEFAULT</t>
        </is>
      </c>
      <c r="Q1405" t="n">
        <v>0</v>
      </c>
      <c r="R1405" t="inlineStr">
        <is>
          <t>AUD</t>
        </is>
      </c>
      <c r="S1405" t="n">
        <v>0</v>
      </c>
      <c r="T1405" t="inlineStr">
        <is>
          <t>AUD</t>
        </is>
      </c>
      <c r="U1405" t="n">
        <v>0</v>
      </c>
    </row>
    <row r="1406">
      <c r="A1406" s="5" t="inlineStr">
        <is>
          <t>01a1212c-5d53-73f8-bc95-99a313b733f2</t>
        </is>
      </c>
      <c r="C1406" s="5" t="inlineStr">
        <is>
          <t>01a1212c-4b57-70cf-80fd-c2192cb3bf81</t>
        </is>
      </c>
      <c r="D1406" s="4" t="n">
        <v>46304.62405133923</v>
      </c>
      <c r="E1406" s="4" t="n">
        <v>46304.62405133932</v>
      </c>
      <c r="F1406" t="b">
        <v>1</v>
      </c>
      <c r="G1406" t="n">
        <v/>
      </c>
      <c r="H1406" t="inlineStr">
        <is>
          <t>LPE</t>
        </is>
      </c>
      <c r="I1406" t="inlineStr">
        <is>
          <t>Locality Planning Energy Holdings Ltd</t>
        </is>
      </c>
      <c r="J1406" t="inlineStr">
        <is>
          <t>AUD</t>
        </is>
      </c>
      <c r="K1406" s="5" t="inlineStr">
        <is>
          <t>01a1212c-4c04-75ce-bbb2-e3322e18816e</t>
        </is>
      </c>
      <c r="M1406" t="inlineStr">
        <is>
          <t>UNKNOWN</t>
        </is>
      </c>
      <c r="N1406" t="inlineStr">
        <is>
          <t>DEFAULT</t>
        </is>
      </c>
      <c r="Q1406" t="n">
        <v>0</v>
      </c>
      <c r="R1406" t="inlineStr">
        <is>
          <t>AUD</t>
        </is>
      </c>
      <c r="S1406" t="n">
        <v>0</v>
      </c>
      <c r="T1406" t="inlineStr">
        <is>
          <t>AUD</t>
        </is>
      </c>
      <c r="U1406" t="n">
        <v>0</v>
      </c>
    </row>
    <row r="1407">
      <c r="A1407" s="5" t="inlineStr">
        <is>
          <t>01a1212c-5d56-7704-b70e-f3cb5e4a36c9</t>
        </is>
      </c>
      <c r="C1407" s="5" t="inlineStr">
        <is>
          <t>01a1212c-4b57-70cf-80fd-c2192cb3bf81</t>
        </is>
      </c>
      <c r="D1407" s="4" t="n">
        <v>46304.62405136989</v>
      </c>
      <c r="E1407" s="4" t="n">
        <v>46304.62405136995</v>
      </c>
      <c r="F1407" t="b">
        <v>1</v>
      </c>
      <c r="G1407" t="n">
        <v/>
      </c>
      <c r="H1407" t="inlineStr">
        <is>
          <t>RMY</t>
        </is>
      </c>
      <c r="I1407" t="inlineStr">
        <is>
          <t>Rma Global Ltd</t>
        </is>
      </c>
      <c r="J1407" t="inlineStr">
        <is>
          <t>AUD</t>
        </is>
      </c>
      <c r="K1407" s="5" t="inlineStr">
        <is>
          <t>01a1212c-4c04-75ce-bbb2-e3322e18816e</t>
        </is>
      </c>
      <c r="M1407" t="inlineStr">
        <is>
          <t>UNKNOWN</t>
        </is>
      </c>
      <c r="N1407" t="inlineStr">
        <is>
          <t>DEFAULT</t>
        </is>
      </c>
      <c r="Q1407" t="n">
        <v>0</v>
      </c>
      <c r="R1407" t="inlineStr">
        <is>
          <t>AUD</t>
        </is>
      </c>
      <c r="S1407" t="n">
        <v>0</v>
      </c>
      <c r="T1407" t="inlineStr">
        <is>
          <t>AUD</t>
        </is>
      </c>
      <c r="U1407" t="n">
        <v>0</v>
      </c>
    </row>
    <row r="1408">
      <c r="A1408" s="5" t="inlineStr">
        <is>
          <t>01a1212c-5d59-729d-98ad-1ae40f748742</t>
        </is>
      </c>
      <c r="C1408" s="5" t="inlineStr">
        <is>
          <t>01a1212c-4b57-70cf-80fd-c2192cb3bf81</t>
        </is>
      </c>
      <c r="D1408" s="4" t="n">
        <v>46304.62405140339</v>
      </c>
      <c r="E1408" s="4" t="n">
        <v>46304.62405140347</v>
      </c>
      <c r="F1408" t="b">
        <v>1</v>
      </c>
      <c r="G1408" t="n">
        <v/>
      </c>
      <c r="H1408" t="inlineStr">
        <is>
          <t>SSO</t>
        </is>
      </c>
      <c r="I1408" t="inlineStr">
        <is>
          <t>SPDR S&amp;P/ASX Small Ordinaries Fund</t>
        </is>
      </c>
      <c r="J1408" t="inlineStr">
        <is>
          <t>AUD</t>
        </is>
      </c>
      <c r="K1408" s="5" t="inlineStr">
        <is>
          <t>01a1212c-4c04-75ce-bbb2-e3322e18816e</t>
        </is>
      </c>
      <c r="M1408" t="inlineStr">
        <is>
          <t>UNKNOWN</t>
        </is>
      </c>
      <c r="N1408" t="inlineStr">
        <is>
          <t>DEFAULT</t>
        </is>
      </c>
      <c r="Q1408" t="n">
        <v>0</v>
      </c>
      <c r="R1408" t="inlineStr">
        <is>
          <t>AUD</t>
        </is>
      </c>
      <c r="S1408" t="n">
        <v>0</v>
      </c>
      <c r="T1408" t="inlineStr">
        <is>
          <t>AUD</t>
        </is>
      </c>
      <c r="U1408" t="n">
        <v>0</v>
      </c>
    </row>
    <row r="1409">
      <c r="A1409" s="5" t="inlineStr">
        <is>
          <t>01a1212c-5d5b-732d-b344-b981b05f249c</t>
        </is>
      </c>
      <c r="C1409" s="5" t="inlineStr">
        <is>
          <t>01a1212c-4b57-70cf-80fd-c2192cb3bf81</t>
        </is>
      </c>
      <c r="D1409" s="4" t="n">
        <v>46304.62405143519</v>
      </c>
      <c r="E1409" s="4" t="n">
        <v>46304.62405143527</v>
      </c>
      <c r="F1409" t="b">
        <v>1</v>
      </c>
      <c r="G1409" t="n">
        <v/>
      </c>
      <c r="H1409" t="inlineStr">
        <is>
          <t>LCE</t>
        </is>
      </c>
      <c r="I1409" t="inlineStr">
        <is>
          <t>London City Equities Ltd</t>
        </is>
      </c>
      <c r="J1409" t="inlineStr">
        <is>
          <t>AUD</t>
        </is>
      </c>
      <c r="K1409" s="5" t="inlineStr">
        <is>
          <t>01a1212c-4c04-75ce-bbb2-e3322e18816e</t>
        </is>
      </c>
      <c r="M1409" t="inlineStr">
        <is>
          <t>UNKNOWN</t>
        </is>
      </c>
      <c r="N1409" t="inlineStr">
        <is>
          <t>DEFAULT</t>
        </is>
      </c>
      <c r="Q1409" t="n">
        <v>0</v>
      </c>
      <c r="R1409" t="inlineStr">
        <is>
          <t>AUD</t>
        </is>
      </c>
      <c r="S1409" t="n">
        <v>0</v>
      </c>
      <c r="T1409" t="inlineStr">
        <is>
          <t>AUD</t>
        </is>
      </c>
      <c r="U1409" t="n">
        <v>0</v>
      </c>
    </row>
    <row r="1410">
      <c r="A1410" s="5" t="inlineStr">
        <is>
          <t>01a1212c-5d5e-70e8-ba5a-3e4f39550f9e</t>
        </is>
      </c>
      <c r="C1410" s="5" t="inlineStr">
        <is>
          <t>01a1212c-4b57-70cf-80fd-c2192cb3bf81</t>
        </is>
      </c>
      <c r="D1410" s="4" t="n">
        <v>46304.62405146915</v>
      </c>
      <c r="E1410" s="4" t="n">
        <v>46304.62405146923</v>
      </c>
      <c r="F1410" t="b">
        <v>1</v>
      </c>
      <c r="G1410" t="n">
        <v/>
      </c>
      <c r="H1410" t="inlineStr">
        <is>
          <t>ECP</t>
        </is>
      </c>
      <c r="I1410" t="inlineStr">
        <is>
          <t>ECP Emerging Growth Ltd</t>
        </is>
      </c>
      <c r="J1410" t="inlineStr">
        <is>
          <t>AUD</t>
        </is>
      </c>
      <c r="K1410" s="5" t="inlineStr">
        <is>
          <t>01a1212c-4c04-75ce-bbb2-e3322e18816e</t>
        </is>
      </c>
      <c r="M1410" t="inlineStr">
        <is>
          <t>UNKNOWN</t>
        </is>
      </c>
      <c r="N1410" t="inlineStr">
        <is>
          <t>DEFAULT</t>
        </is>
      </c>
      <c r="Q1410" t="n">
        <v>0</v>
      </c>
      <c r="R1410" t="inlineStr">
        <is>
          <t>AUD</t>
        </is>
      </c>
      <c r="S1410" t="n">
        <v>0</v>
      </c>
      <c r="T1410" t="inlineStr">
        <is>
          <t>AUD</t>
        </is>
      </c>
      <c r="U1410" t="n">
        <v>0</v>
      </c>
    </row>
    <row r="1411">
      <c r="A1411" s="5" t="inlineStr">
        <is>
          <t>01a1212c-5d61-74b5-85d8-042c581d6788</t>
        </is>
      </c>
      <c r="C1411" s="5" t="inlineStr">
        <is>
          <t>01a1212c-4b57-70cf-80fd-c2192cb3bf81</t>
        </is>
      </c>
      <c r="D1411" s="4" t="n">
        <v>46304.62405150057</v>
      </c>
      <c r="E1411" s="4" t="n">
        <v>46304.62405150065</v>
      </c>
      <c r="F1411" t="b">
        <v>1</v>
      </c>
      <c r="G1411" t="n">
        <v/>
      </c>
      <c r="H1411" t="inlineStr">
        <is>
          <t>DOC</t>
        </is>
      </c>
      <c r="I1411" t="inlineStr">
        <is>
          <t>Doctor Care Anywhere Group Plc</t>
        </is>
      </c>
      <c r="J1411" t="inlineStr">
        <is>
          <t>AUD</t>
        </is>
      </c>
      <c r="K1411" s="5" t="inlineStr">
        <is>
          <t>01a1212c-4c04-75ce-bbb2-e3322e18816e</t>
        </is>
      </c>
      <c r="M1411" t="inlineStr">
        <is>
          <t>UNKNOWN</t>
        </is>
      </c>
      <c r="N1411" t="inlineStr">
        <is>
          <t>DEFAULT</t>
        </is>
      </c>
      <c r="Q1411" t="n">
        <v>0</v>
      </c>
      <c r="R1411" t="inlineStr">
        <is>
          <t>AUD</t>
        </is>
      </c>
      <c r="S1411" t="n">
        <v>0</v>
      </c>
      <c r="T1411" t="inlineStr">
        <is>
          <t>AUD</t>
        </is>
      </c>
      <c r="U1411" t="n">
        <v>0</v>
      </c>
    </row>
    <row r="1412">
      <c r="A1412" s="5" t="inlineStr">
        <is>
          <t>01a1212c-5d64-77bf-870e-b7ba96c93a88</t>
        </is>
      </c>
      <c r="C1412" s="5" t="inlineStr">
        <is>
          <t>01a1212c-4b57-70cf-80fd-c2192cb3bf81</t>
        </is>
      </c>
      <c r="D1412" s="4" t="n">
        <v>46304.62405153204</v>
      </c>
      <c r="E1412" s="4" t="n">
        <v>46304.62405153212</v>
      </c>
      <c r="F1412" t="b">
        <v>1</v>
      </c>
      <c r="G1412" t="n">
        <v/>
      </c>
      <c r="H1412" t="inlineStr">
        <is>
          <t>SRT</t>
        </is>
      </c>
      <c r="I1412" t="inlineStr">
        <is>
          <t>Strata Investment Holdings Plc</t>
        </is>
      </c>
      <c r="J1412" t="inlineStr">
        <is>
          <t>AUD</t>
        </is>
      </c>
      <c r="K1412" s="5" t="inlineStr">
        <is>
          <t>01a1212c-4c04-75ce-bbb2-e3322e18816e</t>
        </is>
      </c>
      <c r="M1412" t="inlineStr">
        <is>
          <t>UNKNOWN</t>
        </is>
      </c>
      <c r="N1412" t="inlineStr">
        <is>
          <t>DEFAULT</t>
        </is>
      </c>
      <c r="Q1412" t="n">
        <v>0</v>
      </c>
      <c r="R1412" t="inlineStr">
        <is>
          <t>AUD</t>
        </is>
      </c>
      <c r="S1412" t="n">
        <v>0</v>
      </c>
      <c r="T1412" t="inlineStr">
        <is>
          <t>AUD</t>
        </is>
      </c>
      <c r="U1412" t="n">
        <v>0</v>
      </c>
    </row>
    <row r="1413">
      <c r="A1413" s="5" t="inlineStr">
        <is>
          <t>01a1212c-5d66-757f-8d9e-beea82719451</t>
        </is>
      </c>
      <c r="C1413" s="5" t="inlineStr">
        <is>
          <t>01a1212c-4b57-70cf-80fd-c2192cb3bf81</t>
        </is>
      </c>
      <c r="D1413" s="4" t="n">
        <v>46304.62405156357</v>
      </c>
      <c r="E1413" s="4" t="n">
        <v>46304.62405156365</v>
      </c>
      <c r="F1413" t="b">
        <v>1</v>
      </c>
      <c r="G1413" t="n">
        <v/>
      </c>
      <c r="H1413" t="inlineStr">
        <is>
          <t>AMX</t>
        </is>
      </c>
      <c r="I1413" t="inlineStr">
        <is>
          <t>Aerometrex Ltd</t>
        </is>
      </c>
      <c r="J1413" t="inlineStr">
        <is>
          <t>AUD</t>
        </is>
      </c>
      <c r="K1413" s="5" t="inlineStr">
        <is>
          <t>01a1212c-4c04-75ce-bbb2-e3322e18816e</t>
        </is>
      </c>
      <c r="M1413" t="inlineStr">
        <is>
          <t>UNKNOWN</t>
        </is>
      </c>
      <c r="N1413" t="inlineStr">
        <is>
          <t>DEFAULT</t>
        </is>
      </c>
      <c r="Q1413" t="n">
        <v>0</v>
      </c>
      <c r="R1413" t="inlineStr">
        <is>
          <t>AUD</t>
        </is>
      </c>
      <c r="S1413" t="n">
        <v>0</v>
      </c>
      <c r="T1413" t="inlineStr">
        <is>
          <t>AUD</t>
        </is>
      </c>
      <c r="U1413" t="n">
        <v>0</v>
      </c>
    </row>
    <row r="1414">
      <c r="A1414" s="5" t="inlineStr">
        <is>
          <t>01a1212c-5d69-7004-acfa-3cad393572a5</t>
        </is>
      </c>
      <c r="C1414" s="5" t="inlineStr">
        <is>
          <t>01a1212c-4b57-70cf-80fd-c2192cb3bf81</t>
        </is>
      </c>
      <c r="D1414" s="4" t="n">
        <v>46304.62405159772</v>
      </c>
      <c r="E1414" s="4" t="n">
        <v>46304.62405159781</v>
      </c>
      <c r="F1414" t="b">
        <v>1</v>
      </c>
      <c r="G1414" t="n">
        <v/>
      </c>
      <c r="H1414" t="inlineStr">
        <is>
          <t>NIM</t>
        </is>
      </c>
      <c r="I1414" t="inlineStr">
        <is>
          <t>Nimy Resources Ltd</t>
        </is>
      </c>
      <c r="J1414" t="inlineStr">
        <is>
          <t>AUD</t>
        </is>
      </c>
      <c r="K1414" s="5" t="inlineStr">
        <is>
          <t>01a1212c-4c04-75ce-bbb2-e3322e18816e</t>
        </is>
      </c>
      <c r="M1414" t="inlineStr">
        <is>
          <t>UNKNOWN</t>
        </is>
      </c>
      <c r="N1414" t="inlineStr">
        <is>
          <t>DEFAULT</t>
        </is>
      </c>
      <c r="Q1414" t="n">
        <v>0</v>
      </c>
      <c r="R1414" t="inlineStr">
        <is>
          <t>AUD</t>
        </is>
      </c>
      <c r="S1414" t="n">
        <v>0</v>
      </c>
      <c r="T1414" t="inlineStr">
        <is>
          <t>AUD</t>
        </is>
      </c>
      <c r="U1414" t="n">
        <v>0</v>
      </c>
    </row>
    <row r="1415">
      <c r="A1415" s="5" t="inlineStr">
        <is>
          <t>01a1212c-5d6c-748d-953a-4b59ac41b24f</t>
        </is>
      </c>
      <c r="C1415" s="5" t="inlineStr">
        <is>
          <t>01a1212c-4b57-70cf-80fd-c2192cb3bf81</t>
        </is>
      </c>
      <c r="D1415" s="4" t="n">
        <v>46304.62405163001</v>
      </c>
      <c r="E1415" s="4" t="n">
        <v>46304.62405163012</v>
      </c>
      <c r="F1415" t="b">
        <v>1</v>
      </c>
      <c r="G1415" t="n">
        <v/>
      </c>
      <c r="H1415" t="inlineStr">
        <is>
          <t>5EA</t>
        </is>
      </c>
      <c r="I1415" t="inlineStr">
        <is>
          <t>5E Advanced Materials Inc</t>
        </is>
      </c>
      <c r="J1415" t="inlineStr">
        <is>
          <t>AUD</t>
        </is>
      </c>
      <c r="K1415" s="5" t="inlineStr">
        <is>
          <t>01a1212c-4c04-75ce-bbb2-e3322e18816e</t>
        </is>
      </c>
      <c r="M1415" t="inlineStr">
        <is>
          <t>UNKNOWN</t>
        </is>
      </c>
      <c r="N1415" t="inlineStr">
        <is>
          <t>DEFAULT</t>
        </is>
      </c>
      <c r="Q1415" t="n">
        <v>0</v>
      </c>
      <c r="R1415" t="inlineStr">
        <is>
          <t>AUD</t>
        </is>
      </c>
      <c r="S1415" t="n">
        <v>0</v>
      </c>
      <c r="T1415" t="inlineStr">
        <is>
          <t>AUD</t>
        </is>
      </c>
      <c r="U1415" t="n">
        <v>0</v>
      </c>
    </row>
    <row r="1416">
      <c r="A1416" s="5" t="inlineStr">
        <is>
          <t>01a1212c-5d6f-71aa-9278-0d064c8e1d4f</t>
        </is>
      </c>
      <c r="C1416" s="5" t="inlineStr">
        <is>
          <t>01a1212c-4b57-70cf-80fd-c2192cb3bf81</t>
        </is>
      </c>
      <c r="D1416" s="4" t="n">
        <v>46304.62405166269</v>
      </c>
      <c r="E1416" s="4" t="n">
        <v>46304.62405166278</v>
      </c>
      <c r="F1416" t="b">
        <v>1</v>
      </c>
      <c r="G1416" t="n">
        <v/>
      </c>
      <c r="H1416" t="inlineStr">
        <is>
          <t>NCC</t>
        </is>
      </c>
      <c r="I1416" t="inlineStr">
        <is>
          <t>Naos Emerging Opportunities Company Ltd</t>
        </is>
      </c>
      <c r="J1416" t="inlineStr">
        <is>
          <t>AUD</t>
        </is>
      </c>
      <c r="K1416" s="5" t="inlineStr">
        <is>
          <t>01a1212c-4c04-75ce-bbb2-e3322e18816e</t>
        </is>
      </c>
      <c r="M1416" t="inlineStr">
        <is>
          <t>UNKNOWN</t>
        </is>
      </c>
      <c r="N1416" t="inlineStr">
        <is>
          <t>DEFAULT</t>
        </is>
      </c>
      <c r="Q1416" t="n">
        <v>0</v>
      </c>
      <c r="R1416" t="inlineStr">
        <is>
          <t>AUD</t>
        </is>
      </c>
      <c r="S1416" t="n">
        <v>0</v>
      </c>
      <c r="T1416" t="inlineStr">
        <is>
          <t>AUD</t>
        </is>
      </c>
      <c r="U1416" t="n">
        <v>0</v>
      </c>
    </row>
    <row r="1417">
      <c r="A1417" s="5" t="inlineStr">
        <is>
          <t>01a1212c-5d72-701f-8b64-893fa8454536</t>
        </is>
      </c>
      <c r="C1417" s="5" t="inlineStr">
        <is>
          <t>01a1212c-4b57-70cf-80fd-c2192cb3bf81</t>
        </is>
      </c>
      <c r="D1417" s="4" t="n">
        <v>46304.62405169437</v>
      </c>
      <c r="E1417" s="4" t="n">
        <v>46304.62405169445</v>
      </c>
      <c r="F1417" t="b">
        <v>1</v>
      </c>
      <c r="G1417" t="n">
        <v/>
      </c>
      <c r="H1417" t="inlineStr">
        <is>
          <t>CLA</t>
        </is>
      </c>
      <c r="I1417" t="inlineStr">
        <is>
          <t>Celsius Resources Ltd</t>
        </is>
      </c>
      <c r="J1417" t="inlineStr">
        <is>
          <t>AUD</t>
        </is>
      </c>
      <c r="K1417" s="5" t="inlineStr">
        <is>
          <t>01a1212c-4c04-75ce-bbb2-e3322e18816e</t>
        </is>
      </c>
      <c r="M1417" t="inlineStr">
        <is>
          <t>UNKNOWN</t>
        </is>
      </c>
      <c r="N1417" t="inlineStr">
        <is>
          <t>DEFAULT</t>
        </is>
      </c>
      <c r="Q1417" t="n">
        <v>0</v>
      </c>
      <c r="R1417" t="inlineStr">
        <is>
          <t>AUD</t>
        </is>
      </c>
      <c r="S1417" t="n">
        <v>0</v>
      </c>
      <c r="T1417" t="inlineStr">
        <is>
          <t>AUD</t>
        </is>
      </c>
      <c r="U1417" t="n">
        <v>0</v>
      </c>
    </row>
    <row r="1418">
      <c r="A1418" s="5" t="inlineStr">
        <is>
          <t>01a1212c-5d75-7349-9b23-c7d79fdd0fa5</t>
        </is>
      </c>
      <c r="C1418" s="5" t="inlineStr">
        <is>
          <t>01a1212c-4b57-70cf-80fd-c2192cb3bf81</t>
        </is>
      </c>
      <c r="D1418" s="4" t="n">
        <v>46304.62405172611</v>
      </c>
      <c r="E1418" s="4" t="n">
        <v>46304.62405172619</v>
      </c>
      <c r="F1418" t="b">
        <v>1</v>
      </c>
      <c r="G1418" t="n">
        <v/>
      </c>
      <c r="H1418" t="inlineStr">
        <is>
          <t>EMMG</t>
        </is>
      </c>
      <c r="I1418" t="inlineStr">
        <is>
          <t>Betashares Martin Currie Em Fund (Managed Fund)</t>
        </is>
      </c>
      <c r="J1418" t="inlineStr">
        <is>
          <t>AUD</t>
        </is>
      </c>
      <c r="K1418" s="5" t="inlineStr">
        <is>
          <t>01a1212c-4c04-75ce-bbb2-e3322e18816e</t>
        </is>
      </c>
      <c r="M1418" t="inlineStr">
        <is>
          <t>UNKNOWN</t>
        </is>
      </c>
      <c r="N1418" t="inlineStr">
        <is>
          <t>DEFAULT</t>
        </is>
      </c>
      <c r="Q1418" t="n">
        <v>0</v>
      </c>
      <c r="R1418" t="inlineStr">
        <is>
          <t>AUD</t>
        </is>
      </c>
      <c r="S1418" t="n">
        <v>0</v>
      </c>
      <c r="T1418" t="inlineStr">
        <is>
          <t>AUD</t>
        </is>
      </c>
      <c r="U1418" t="n">
        <v>0</v>
      </c>
    </row>
    <row r="1419">
      <c r="A1419" s="5" t="inlineStr">
        <is>
          <t>01a1212c-5d78-750d-bcd5-31f2bb0f562c</t>
        </is>
      </c>
      <c r="C1419" s="5" t="inlineStr">
        <is>
          <t>01a1212c-4b57-70cf-80fd-c2192cb3bf81</t>
        </is>
      </c>
      <c r="D1419" s="4" t="n">
        <v>46304.62405176069</v>
      </c>
      <c r="E1419" s="4" t="n">
        <v>46304.62405176079</v>
      </c>
      <c r="F1419" t="b">
        <v>1</v>
      </c>
      <c r="G1419" t="n">
        <v/>
      </c>
      <c r="H1419" t="inlineStr">
        <is>
          <t>HMX</t>
        </is>
      </c>
      <c r="I1419" t="inlineStr">
        <is>
          <t>Hammer Metals Ltd</t>
        </is>
      </c>
      <c r="J1419" t="inlineStr">
        <is>
          <t>AUD</t>
        </is>
      </c>
      <c r="K1419" s="5" t="inlineStr">
        <is>
          <t>01a1212c-4c04-75ce-bbb2-e3322e18816e</t>
        </is>
      </c>
      <c r="M1419" t="inlineStr">
        <is>
          <t>UNKNOWN</t>
        </is>
      </c>
      <c r="N1419" t="inlineStr">
        <is>
          <t>DEFAULT</t>
        </is>
      </c>
      <c r="Q1419" t="n">
        <v>0</v>
      </c>
      <c r="R1419" t="inlineStr">
        <is>
          <t>AUD</t>
        </is>
      </c>
      <c r="S1419" t="n">
        <v>0</v>
      </c>
      <c r="T1419" t="inlineStr">
        <is>
          <t>AUD</t>
        </is>
      </c>
      <c r="U1419" t="n">
        <v>0</v>
      </c>
    </row>
    <row r="1420">
      <c r="A1420" s="5" t="inlineStr">
        <is>
          <t>01a1212c-5d7a-7506-9beb-5a6881a686be</t>
        </is>
      </c>
      <c r="C1420" s="5" t="inlineStr">
        <is>
          <t>01a1212c-4b57-70cf-80fd-c2192cb3bf81</t>
        </is>
      </c>
      <c r="D1420" s="4" t="n">
        <v>46304.62405179449</v>
      </c>
      <c r="E1420" s="4" t="n">
        <v>46304.62405179458</v>
      </c>
      <c r="F1420" t="b">
        <v>1</v>
      </c>
      <c r="G1420" t="n">
        <v/>
      </c>
      <c r="H1420" t="inlineStr">
        <is>
          <t>CIW</t>
        </is>
      </c>
      <c r="I1420" t="inlineStr">
        <is>
          <t>Clime Investment Management Ltd</t>
        </is>
      </c>
      <c r="J1420" t="inlineStr">
        <is>
          <t>AUD</t>
        </is>
      </c>
      <c r="K1420" s="5" t="inlineStr">
        <is>
          <t>01a1212c-4c04-75ce-bbb2-e3322e18816e</t>
        </is>
      </c>
      <c r="M1420" t="inlineStr">
        <is>
          <t>UNKNOWN</t>
        </is>
      </c>
      <c r="N1420" t="inlineStr">
        <is>
          <t>DEFAULT</t>
        </is>
      </c>
      <c r="Q1420" t="n">
        <v>0</v>
      </c>
      <c r="R1420" t="inlineStr">
        <is>
          <t>AUD</t>
        </is>
      </c>
      <c r="S1420" t="n">
        <v>0</v>
      </c>
      <c r="T1420" t="inlineStr">
        <is>
          <t>AUD</t>
        </is>
      </c>
      <c r="U1420" t="n">
        <v>0</v>
      </c>
    </row>
    <row r="1421">
      <c r="A1421" s="5" t="inlineStr">
        <is>
          <t>01a1212c-5d7d-7141-a437-8635dda176d9</t>
        </is>
      </c>
      <c r="C1421" s="5" t="inlineStr">
        <is>
          <t>01a1212c-4b57-70cf-80fd-c2192cb3bf81</t>
        </is>
      </c>
      <c r="D1421" s="4" t="n">
        <v>46304.62405182912</v>
      </c>
      <c r="E1421" s="4" t="n">
        <v>46304.62405182921</v>
      </c>
      <c r="F1421" t="b">
        <v>1</v>
      </c>
      <c r="G1421" t="n">
        <v/>
      </c>
      <c r="H1421" t="inlineStr">
        <is>
          <t>SRL</t>
        </is>
      </c>
      <c r="I1421" t="inlineStr">
        <is>
          <t>Sunrise Energy Metals Ltd</t>
        </is>
      </c>
      <c r="J1421" t="inlineStr">
        <is>
          <t>AUD</t>
        </is>
      </c>
      <c r="K1421" s="5" t="inlineStr">
        <is>
          <t>01a1212c-4c04-75ce-bbb2-e3322e18816e</t>
        </is>
      </c>
      <c r="M1421" t="inlineStr">
        <is>
          <t>UNKNOWN</t>
        </is>
      </c>
      <c r="N1421" t="inlineStr">
        <is>
          <t>DEFAULT</t>
        </is>
      </c>
      <c r="Q1421" t="n">
        <v>0</v>
      </c>
      <c r="R1421" t="inlineStr">
        <is>
          <t>AUD</t>
        </is>
      </c>
      <c r="S1421" t="n">
        <v>0</v>
      </c>
      <c r="T1421" t="inlineStr">
        <is>
          <t>AUD</t>
        </is>
      </c>
      <c r="U1421" t="n">
        <v>0</v>
      </c>
    </row>
    <row r="1422">
      <c r="A1422" s="5" t="inlineStr">
        <is>
          <t>01a1212c-5d80-765a-be4d-10df131523aa</t>
        </is>
      </c>
      <c r="C1422" s="5" t="inlineStr">
        <is>
          <t>01a1212c-4b57-70cf-80fd-c2192cb3bf81</t>
        </is>
      </c>
      <c r="D1422" s="4" t="n">
        <v>46304.62405186081</v>
      </c>
      <c r="E1422" s="4" t="n">
        <v>46304.62405186089</v>
      </c>
      <c r="F1422" t="b">
        <v>1</v>
      </c>
      <c r="G1422" t="n">
        <v/>
      </c>
      <c r="H1422" t="inlineStr">
        <is>
          <t>MXR</t>
        </is>
      </c>
      <c r="I1422" t="inlineStr">
        <is>
          <t>Maximus Resources Ltd</t>
        </is>
      </c>
      <c r="J1422" t="inlineStr">
        <is>
          <t>AUD</t>
        </is>
      </c>
      <c r="K1422" s="5" t="inlineStr">
        <is>
          <t>01a1212c-4c04-75ce-bbb2-e3322e18816e</t>
        </is>
      </c>
      <c r="M1422" t="inlineStr">
        <is>
          <t>UNKNOWN</t>
        </is>
      </c>
      <c r="N1422" t="inlineStr">
        <is>
          <t>DEFAULT</t>
        </is>
      </c>
      <c r="Q1422" t="n">
        <v>0</v>
      </c>
      <c r="R1422" t="inlineStr">
        <is>
          <t>AUD</t>
        </is>
      </c>
      <c r="S1422" t="n">
        <v>0</v>
      </c>
      <c r="T1422" t="inlineStr">
        <is>
          <t>AUD</t>
        </is>
      </c>
      <c r="U1422" t="n">
        <v>0</v>
      </c>
    </row>
    <row r="1423">
      <c r="A1423" s="5" t="inlineStr">
        <is>
          <t>01a1212c-5d83-7721-88c8-68e59dfa933b</t>
        </is>
      </c>
      <c r="C1423" s="5" t="inlineStr">
        <is>
          <t>01a1212c-4b57-70cf-80fd-c2192cb3bf81</t>
        </is>
      </c>
      <c r="D1423" s="4" t="n">
        <v>46304.62405189411</v>
      </c>
      <c r="E1423" s="4" t="n">
        <v>46304.62405189419</v>
      </c>
      <c r="F1423" t="b">
        <v>1</v>
      </c>
      <c r="G1423" t="n">
        <v/>
      </c>
      <c r="H1423" t="inlineStr">
        <is>
          <t>GBE</t>
        </is>
      </c>
      <c r="I1423" t="inlineStr">
        <is>
          <t>Globe Metals &amp; Mining Ltd</t>
        </is>
      </c>
      <c r="J1423" t="inlineStr">
        <is>
          <t>AUD</t>
        </is>
      </c>
      <c r="K1423" s="5" t="inlineStr">
        <is>
          <t>01a1212c-4c04-75ce-bbb2-e3322e18816e</t>
        </is>
      </c>
      <c r="M1423" t="inlineStr">
        <is>
          <t>UNKNOWN</t>
        </is>
      </c>
      <c r="N1423" t="inlineStr">
        <is>
          <t>DEFAULT</t>
        </is>
      </c>
      <c r="Q1423" t="n">
        <v>0</v>
      </c>
      <c r="R1423" t="inlineStr">
        <is>
          <t>AUD</t>
        </is>
      </c>
      <c r="S1423" t="n">
        <v>0</v>
      </c>
      <c r="T1423" t="inlineStr">
        <is>
          <t>AUD</t>
        </is>
      </c>
      <c r="U1423" t="n">
        <v>0</v>
      </c>
    </row>
    <row r="1424">
      <c r="A1424" s="5" t="inlineStr">
        <is>
          <t>01a1212c-5d86-718c-9285-1d1efa2c8ea7</t>
        </is>
      </c>
      <c r="C1424" s="5" t="inlineStr">
        <is>
          <t>01a1212c-4b57-70cf-80fd-c2192cb3bf81</t>
        </is>
      </c>
      <c r="D1424" s="4" t="n">
        <v>46304.62405192502</v>
      </c>
      <c r="E1424" s="4" t="n">
        <v>46304.62405192511</v>
      </c>
      <c r="F1424" t="b">
        <v>1</v>
      </c>
      <c r="G1424" t="n">
        <v/>
      </c>
      <c r="H1424" t="inlineStr">
        <is>
          <t>KME</t>
        </is>
      </c>
      <c r="I1424" t="inlineStr">
        <is>
          <t>Kip Mcgrath Education Centres Ltd</t>
        </is>
      </c>
      <c r="J1424" t="inlineStr">
        <is>
          <t>AUD</t>
        </is>
      </c>
      <c r="K1424" s="5" t="inlineStr">
        <is>
          <t>01a1212c-4c04-75ce-bbb2-e3322e18816e</t>
        </is>
      </c>
      <c r="M1424" t="inlineStr">
        <is>
          <t>UNKNOWN</t>
        </is>
      </c>
      <c r="N1424" t="inlineStr">
        <is>
          <t>DEFAULT</t>
        </is>
      </c>
      <c r="Q1424" t="n">
        <v>0</v>
      </c>
      <c r="R1424" t="inlineStr">
        <is>
          <t>AUD</t>
        </is>
      </c>
      <c r="S1424" t="n">
        <v>0</v>
      </c>
      <c r="T1424" t="inlineStr">
        <is>
          <t>AUD</t>
        </is>
      </c>
      <c r="U1424" t="n">
        <v>0</v>
      </c>
    </row>
    <row r="1425">
      <c r="A1425" s="5" t="inlineStr">
        <is>
          <t>01a1212c-5d88-776c-8cb9-2ec4b095b692</t>
        </is>
      </c>
      <c r="C1425" s="5" t="inlineStr">
        <is>
          <t>01a1212c-4b57-70cf-80fd-c2192cb3bf81</t>
        </is>
      </c>
      <c r="D1425" s="4" t="n">
        <v>46304.62405195578</v>
      </c>
      <c r="E1425" s="4" t="n">
        <v>46304.62405195586</v>
      </c>
      <c r="F1425" t="b">
        <v>1</v>
      </c>
      <c r="G1425" t="n">
        <v/>
      </c>
      <c r="H1425" t="inlineStr">
        <is>
          <t>CDO</t>
        </is>
      </c>
      <c r="I1425" t="inlineStr">
        <is>
          <t>Cadence Opportunities Fund Ltd</t>
        </is>
      </c>
      <c r="J1425" t="inlineStr">
        <is>
          <t>AUD</t>
        </is>
      </c>
      <c r="K1425" s="5" t="inlineStr">
        <is>
          <t>01a1212c-4c04-75ce-bbb2-e3322e18816e</t>
        </is>
      </c>
      <c r="M1425" t="inlineStr">
        <is>
          <t>UNKNOWN</t>
        </is>
      </c>
      <c r="N1425" t="inlineStr">
        <is>
          <t>DEFAULT</t>
        </is>
      </c>
      <c r="Q1425" t="n">
        <v>0</v>
      </c>
      <c r="R1425" t="inlineStr">
        <is>
          <t>AUD</t>
        </is>
      </c>
      <c r="S1425" t="n">
        <v>0</v>
      </c>
      <c r="T1425" t="inlineStr">
        <is>
          <t>AUD</t>
        </is>
      </c>
      <c r="U1425" t="n">
        <v>0</v>
      </c>
    </row>
    <row r="1426">
      <c r="A1426" s="5" t="inlineStr">
        <is>
          <t>01a1212c-5d8b-7419-87c7-2895fa1e8aa9</t>
        </is>
      </c>
      <c r="C1426" s="5" t="inlineStr">
        <is>
          <t>01a1212c-4b57-70cf-80fd-c2192cb3bf81</t>
        </is>
      </c>
      <c r="D1426" s="4" t="n">
        <v>46304.62405198646</v>
      </c>
      <c r="E1426" s="4" t="n">
        <v>46304.62405198653</v>
      </c>
      <c r="F1426" t="b">
        <v>1</v>
      </c>
      <c r="G1426" t="n">
        <v/>
      </c>
      <c r="H1426" t="inlineStr">
        <is>
          <t>ARD</t>
        </is>
      </c>
      <c r="I1426" t="inlineStr">
        <is>
          <t>Argent Minerals Ltd</t>
        </is>
      </c>
      <c r="J1426" t="inlineStr">
        <is>
          <t>AUD</t>
        </is>
      </c>
      <c r="K1426" s="5" t="inlineStr">
        <is>
          <t>01a1212c-4c04-75ce-bbb2-e3322e18816e</t>
        </is>
      </c>
      <c r="M1426" t="inlineStr">
        <is>
          <t>UNKNOWN</t>
        </is>
      </c>
      <c r="N1426" t="inlineStr">
        <is>
          <t>DEFAULT</t>
        </is>
      </c>
      <c r="Q1426" t="n">
        <v>0</v>
      </c>
      <c r="R1426" t="inlineStr">
        <is>
          <t>AUD</t>
        </is>
      </c>
      <c r="S1426" t="n">
        <v>0</v>
      </c>
      <c r="T1426" t="inlineStr">
        <is>
          <t>AUD</t>
        </is>
      </c>
      <c r="U1426" t="n">
        <v>0</v>
      </c>
    </row>
    <row r="1427">
      <c r="A1427" s="5" t="inlineStr">
        <is>
          <t>01a1212c-5d8e-7331-9d2b-e53041ec8823</t>
        </is>
      </c>
      <c r="C1427" s="5" t="inlineStr">
        <is>
          <t>01a1212c-4b57-70cf-80fd-c2192cb3bf81</t>
        </is>
      </c>
      <c r="D1427" s="4" t="n">
        <v>46304.6240520208</v>
      </c>
      <c r="E1427" s="4" t="n">
        <v>46304.62405202088</v>
      </c>
      <c r="F1427" t="b">
        <v>1</v>
      </c>
      <c r="G1427" t="n">
        <v/>
      </c>
      <c r="H1427" t="inlineStr">
        <is>
          <t>MAT</t>
        </is>
      </c>
      <c r="I1427" t="inlineStr">
        <is>
          <t>Matsa Resources Ltd</t>
        </is>
      </c>
      <c r="J1427" t="inlineStr">
        <is>
          <t>AUD</t>
        </is>
      </c>
      <c r="K1427" s="5" t="inlineStr">
        <is>
          <t>01a1212c-4c04-75ce-bbb2-e3322e18816e</t>
        </is>
      </c>
      <c r="M1427" t="inlineStr">
        <is>
          <t>UNKNOWN</t>
        </is>
      </c>
      <c r="N1427" t="inlineStr">
        <is>
          <t>DEFAULT</t>
        </is>
      </c>
      <c r="Q1427" t="n">
        <v>0</v>
      </c>
      <c r="R1427" t="inlineStr">
        <is>
          <t>AUD</t>
        </is>
      </c>
      <c r="S1427" t="n">
        <v>0</v>
      </c>
      <c r="T1427" t="inlineStr">
        <is>
          <t>AUD</t>
        </is>
      </c>
      <c r="U1427" t="n">
        <v>0</v>
      </c>
    </row>
    <row r="1428">
      <c r="A1428" s="5" t="inlineStr">
        <is>
          <t>01a1212c-5d91-72df-bb79-559926f61444</t>
        </is>
      </c>
      <c r="C1428" s="5" t="inlineStr">
        <is>
          <t>01a1212c-4b57-70cf-80fd-c2192cb3bf81</t>
        </is>
      </c>
      <c r="D1428" s="4" t="n">
        <v>46304.62405205394</v>
      </c>
      <c r="E1428" s="4" t="n">
        <v>46304.62405205402</v>
      </c>
      <c r="F1428" t="b">
        <v>1</v>
      </c>
      <c r="G1428" t="n">
        <v/>
      </c>
      <c r="H1428" t="inlineStr">
        <is>
          <t>ASH</t>
        </is>
      </c>
      <c r="I1428" t="inlineStr">
        <is>
          <t>Ashley Services Group Ltd</t>
        </is>
      </c>
      <c r="J1428" t="inlineStr">
        <is>
          <t>AUD</t>
        </is>
      </c>
      <c r="K1428" s="5" t="inlineStr">
        <is>
          <t>01a1212c-4c04-75ce-bbb2-e3322e18816e</t>
        </is>
      </c>
      <c r="M1428" t="inlineStr">
        <is>
          <t>UNKNOWN</t>
        </is>
      </c>
      <c r="N1428" t="inlineStr">
        <is>
          <t>DEFAULT</t>
        </is>
      </c>
      <c r="Q1428" t="n">
        <v>0</v>
      </c>
      <c r="R1428" t="inlineStr">
        <is>
          <t>AUD</t>
        </is>
      </c>
      <c r="S1428" t="n">
        <v>0</v>
      </c>
      <c r="T1428" t="inlineStr">
        <is>
          <t>AUD</t>
        </is>
      </c>
      <c r="U1428" t="n">
        <v>0</v>
      </c>
    </row>
    <row r="1429">
      <c r="A1429" s="5" t="inlineStr">
        <is>
          <t>01a1212c-5d93-766f-b25a-705522adf811</t>
        </is>
      </c>
      <c r="C1429" s="5" t="inlineStr">
        <is>
          <t>01a1212c-4b57-70cf-80fd-c2192cb3bf81</t>
        </is>
      </c>
      <c r="D1429" s="4" t="n">
        <v>46304.62405208447</v>
      </c>
      <c r="E1429" s="4" t="n">
        <v>46304.62405208454</v>
      </c>
      <c r="F1429" t="b">
        <v>1</v>
      </c>
      <c r="G1429" t="n">
        <v/>
      </c>
      <c r="H1429" t="inlineStr">
        <is>
          <t>TOE</t>
        </is>
      </c>
      <c r="I1429" t="inlineStr">
        <is>
          <t>Toro Energy Ltd</t>
        </is>
      </c>
      <c r="J1429" t="inlineStr">
        <is>
          <t>AUD</t>
        </is>
      </c>
      <c r="K1429" s="5" t="inlineStr">
        <is>
          <t>01a1212c-4c04-75ce-bbb2-e3322e18816e</t>
        </is>
      </c>
      <c r="M1429" t="inlineStr">
        <is>
          <t>UNKNOWN</t>
        </is>
      </c>
      <c r="N1429" t="inlineStr">
        <is>
          <t>DEFAULT</t>
        </is>
      </c>
      <c r="Q1429" t="n">
        <v>0</v>
      </c>
      <c r="R1429" t="inlineStr">
        <is>
          <t>AUD</t>
        </is>
      </c>
      <c r="S1429" t="n">
        <v>0</v>
      </c>
      <c r="T1429" t="inlineStr">
        <is>
          <t>AUD</t>
        </is>
      </c>
      <c r="U1429" t="n">
        <v>0</v>
      </c>
    </row>
    <row r="1430">
      <c r="A1430" s="5" t="inlineStr">
        <is>
          <t>01a1212c-5d96-70b2-81bf-340cb9ad821c</t>
        </is>
      </c>
      <c r="C1430" s="5" t="inlineStr">
        <is>
          <t>01a1212c-4b57-70cf-80fd-c2192cb3bf81</t>
        </is>
      </c>
      <c r="D1430" s="4" t="n">
        <v>46304.62405211521</v>
      </c>
      <c r="E1430" s="4" t="n">
        <v>46304.62405211529</v>
      </c>
      <c r="F1430" t="b">
        <v>1</v>
      </c>
      <c r="G1430" t="n">
        <v/>
      </c>
      <c r="H1430" t="inlineStr">
        <is>
          <t>AHI</t>
        </is>
      </c>
      <c r="I1430" t="inlineStr">
        <is>
          <t>Advanced Health Intelligence Ltd</t>
        </is>
      </c>
      <c r="J1430" t="inlineStr">
        <is>
          <t>AUD</t>
        </is>
      </c>
      <c r="K1430" s="5" t="inlineStr">
        <is>
          <t>01a1212c-4c04-75ce-bbb2-e3322e18816e</t>
        </is>
      </c>
      <c r="M1430" t="inlineStr">
        <is>
          <t>UNKNOWN</t>
        </is>
      </c>
      <c r="N1430" t="inlineStr">
        <is>
          <t>DEFAULT</t>
        </is>
      </c>
      <c r="Q1430" t="n">
        <v>0</v>
      </c>
      <c r="R1430" t="inlineStr">
        <is>
          <t>AUD</t>
        </is>
      </c>
      <c r="S1430" t="n">
        <v>0</v>
      </c>
      <c r="T1430" t="inlineStr">
        <is>
          <t>AUD</t>
        </is>
      </c>
      <c r="U1430" t="n">
        <v>0</v>
      </c>
    </row>
    <row r="1431">
      <c r="A1431" s="5" t="inlineStr">
        <is>
          <t>01a1212c-5d99-730e-97a2-f90e5eb8457c</t>
        </is>
      </c>
      <c r="C1431" s="5" t="inlineStr">
        <is>
          <t>01a1212c-4b57-70cf-80fd-c2192cb3bf81</t>
        </is>
      </c>
      <c r="D1431" s="4" t="n">
        <v>46304.62405214583</v>
      </c>
      <c r="E1431" s="4" t="n">
        <v>46304.62405214591</v>
      </c>
      <c r="F1431" t="b">
        <v>1</v>
      </c>
      <c r="G1431" t="n">
        <v/>
      </c>
      <c r="H1431" t="inlineStr">
        <is>
          <t>TAL</t>
        </is>
      </c>
      <c r="I1431" t="inlineStr">
        <is>
          <t>Talius Group Ltd</t>
        </is>
      </c>
      <c r="J1431" t="inlineStr">
        <is>
          <t>AUD</t>
        </is>
      </c>
      <c r="K1431" s="5" t="inlineStr">
        <is>
          <t>01a1212c-4c04-75ce-bbb2-e3322e18816e</t>
        </is>
      </c>
      <c r="M1431" t="inlineStr">
        <is>
          <t>UNKNOWN</t>
        </is>
      </c>
      <c r="N1431" t="inlineStr">
        <is>
          <t>DEFAULT</t>
        </is>
      </c>
      <c r="Q1431" t="n">
        <v>0</v>
      </c>
      <c r="R1431" t="inlineStr">
        <is>
          <t>AUD</t>
        </is>
      </c>
      <c r="S1431" t="n">
        <v>0</v>
      </c>
      <c r="T1431" t="inlineStr">
        <is>
          <t>AUD</t>
        </is>
      </c>
      <c r="U1431" t="n">
        <v>0</v>
      </c>
    </row>
    <row r="1432">
      <c r="A1432" s="5" t="inlineStr">
        <is>
          <t>01a1212c-5d9c-70b8-861b-ce7657550352</t>
        </is>
      </c>
      <c r="C1432" s="5" t="inlineStr">
        <is>
          <t>01a1212c-4b57-70cf-80fd-c2192cb3bf81</t>
        </is>
      </c>
      <c r="D1432" s="4" t="n">
        <v>46304.62405218155</v>
      </c>
      <c r="E1432" s="4" t="n">
        <v>46304.62405218164</v>
      </c>
      <c r="F1432" t="b">
        <v>1</v>
      </c>
      <c r="G1432" t="n">
        <v/>
      </c>
      <c r="H1432" t="inlineStr">
        <is>
          <t>AGD</t>
        </is>
      </c>
      <c r="I1432" t="inlineStr">
        <is>
          <t>Austral Gold Ltd</t>
        </is>
      </c>
      <c r="J1432" t="inlineStr">
        <is>
          <t>AUD</t>
        </is>
      </c>
      <c r="K1432" s="5" t="inlineStr">
        <is>
          <t>01a1212c-4c04-75ce-bbb2-e3322e18816e</t>
        </is>
      </c>
      <c r="M1432" t="inlineStr">
        <is>
          <t>UNKNOWN</t>
        </is>
      </c>
      <c r="N1432" t="inlineStr">
        <is>
          <t>DEFAULT</t>
        </is>
      </c>
      <c r="Q1432" t="n">
        <v>0</v>
      </c>
      <c r="R1432" t="inlineStr">
        <is>
          <t>AUD</t>
        </is>
      </c>
      <c r="S1432" t="n">
        <v>0</v>
      </c>
      <c r="T1432" t="inlineStr">
        <is>
          <t>AUD</t>
        </is>
      </c>
      <c r="U1432" t="n">
        <v>0</v>
      </c>
    </row>
    <row r="1433">
      <c r="A1433" s="5" t="inlineStr">
        <is>
          <t>01a1212c-5d9f-743e-b2ca-9ff0e79957e0</t>
        </is>
      </c>
      <c r="C1433" s="5" t="inlineStr">
        <is>
          <t>01a1212c-4b57-70cf-80fd-c2192cb3bf81</t>
        </is>
      </c>
      <c r="D1433" s="4" t="n">
        <v>46304.62405221291</v>
      </c>
      <c r="E1433" s="4" t="n">
        <v>46304.62405221299</v>
      </c>
      <c r="F1433" t="b">
        <v>1</v>
      </c>
      <c r="G1433" t="n">
        <v/>
      </c>
      <c r="H1433" t="inlineStr">
        <is>
          <t>QMAX</t>
        </is>
      </c>
      <c r="I1433" t="inlineStr">
        <is>
          <t>Betashares Nasdaq 100 Yield MAX (Managed Fund)</t>
        </is>
      </c>
      <c r="J1433" t="inlineStr">
        <is>
          <t>AUD</t>
        </is>
      </c>
      <c r="K1433" s="5" t="inlineStr">
        <is>
          <t>01a1212c-4c04-75ce-bbb2-e3322e18816e</t>
        </is>
      </c>
      <c r="M1433" t="inlineStr">
        <is>
          <t>UNKNOWN</t>
        </is>
      </c>
      <c r="N1433" t="inlineStr">
        <is>
          <t>DEFAULT</t>
        </is>
      </c>
      <c r="Q1433" t="n">
        <v>0</v>
      </c>
      <c r="R1433" t="inlineStr">
        <is>
          <t>AUD</t>
        </is>
      </c>
      <c r="S1433" t="n">
        <v>0</v>
      </c>
      <c r="T1433" t="inlineStr">
        <is>
          <t>AUD</t>
        </is>
      </c>
      <c r="U1433" t="n">
        <v>0</v>
      </c>
    </row>
    <row r="1434">
      <c r="A1434" s="5" t="inlineStr">
        <is>
          <t>01a1212c-5da1-76f4-aaa2-452da6d7245b</t>
        </is>
      </c>
      <c r="C1434" s="5" t="inlineStr">
        <is>
          <t>01a1212c-4b57-70cf-80fd-c2192cb3bf81</t>
        </is>
      </c>
      <c r="D1434" s="4" t="n">
        <v>46304.62405224433</v>
      </c>
      <c r="E1434" s="4" t="n">
        <v>46304.62405224441</v>
      </c>
      <c r="F1434" t="b">
        <v>1</v>
      </c>
      <c r="G1434" t="n">
        <v/>
      </c>
      <c r="H1434" t="inlineStr">
        <is>
          <t>RFX</t>
        </is>
      </c>
      <c r="I1434" t="inlineStr">
        <is>
          <t>Redflow Ltd</t>
        </is>
      </c>
      <c r="J1434" t="inlineStr">
        <is>
          <t>AUD</t>
        </is>
      </c>
      <c r="K1434" s="5" t="inlineStr">
        <is>
          <t>01a1212c-4c04-75ce-bbb2-e3322e18816e</t>
        </is>
      </c>
      <c r="M1434" t="inlineStr">
        <is>
          <t>UNKNOWN</t>
        </is>
      </c>
      <c r="N1434" t="inlineStr">
        <is>
          <t>DEFAULT</t>
        </is>
      </c>
      <c r="Q1434" t="n">
        <v>0</v>
      </c>
      <c r="R1434" t="inlineStr">
        <is>
          <t>AUD</t>
        </is>
      </c>
      <c r="S1434" t="n">
        <v>0</v>
      </c>
      <c r="T1434" t="inlineStr">
        <is>
          <t>AUD</t>
        </is>
      </c>
      <c r="U1434" t="n">
        <v>0</v>
      </c>
    </row>
    <row r="1435">
      <c r="A1435" s="5" t="inlineStr">
        <is>
          <t>01a1212c-5da4-7485-a0df-b560d142d379</t>
        </is>
      </c>
      <c r="C1435" s="5" t="inlineStr">
        <is>
          <t>01a1212c-4b57-70cf-80fd-c2192cb3bf81</t>
        </is>
      </c>
      <c r="D1435" s="4" t="n">
        <v>46304.62405227648</v>
      </c>
      <c r="E1435" s="4" t="n">
        <v>46304.62405227657</v>
      </c>
      <c r="F1435" t="b">
        <v>1</v>
      </c>
      <c r="G1435" t="n">
        <v/>
      </c>
      <c r="H1435" t="inlineStr">
        <is>
          <t>KRM</t>
        </is>
      </c>
      <c r="I1435" t="inlineStr">
        <is>
          <t>Kingsrose Mining Ltd</t>
        </is>
      </c>
      <c r="J1435" t="inlineStr">
        <is>
          <t>AUD</t>
        </is>
      </c>
      <c r="K1435" s="5" t="inlineStr">
        <is>
          <t>01a1212c-4c04-75ce-bbb2-e3322e18816e</t>
        </is>
      </c>
      <c r="M1435" t="inlineStr">
        <is>
          <t>UNKNOWN</t>
        </is>
      </c>
      <c r="N1435" t="inlineStr">
        <is>
          <t>DEFAULT</t>
        </is>
      </c>
      <c r="Q1435" t="n">
        <v>0</v>
      </c>
      <c r="R1435" t="inlineStr">
        <is>
          <t>AUD</t>
        </is>
      </c>
      <c r="S1435" t="n">
        <v>0</v>
      </c>
      <c r="T1435" t="inlineStr">
        <is>
          <t>AUD</t>
        </is>
      </c>
      <c r="U1435" t="n">
        <v>0</v>
      </c>
    </row>
    <row r="1436">
      <c r="A1436" s="5" t="inlineStr">
        <is>
          <t>01a1212c-5da7-7387-a660-f66b1c0fed3e</t>
        </is>
      </c>
      <c r="C1436" s="5" t="inlineStr">
        <is>
          <t>01a1212c-4b57-70cf-80fd-c2192cb3bf81</t>
        </is>
      </c>
      <c r="D1436" s="4" t="n">
        <v>46304.62405230704</v>
      </c>
      <c r="E1436" s="4" t="n">
        <v>46304.62405230711</v>
      </c>
      <c r="F1436" t="b">
        <v>1</v>
      </c>
      <c r="G1436" t="n">
        <v/>
      </c>
      <c r="H1436" t="inlineStr">
        <is>
          <t>ICI</t>
        </is>
      </c>
      <c r="I1436" t="inlineStr">
        <is>
          <t>Icandy Interactive Ltd</t>
        </is>
      </c>
      <c r="J1436" t="inlineStr">
        <is>
          <t>AUD</t>
        </is>
      </c>
      <c r="K1436" s="5" t="inlineStr">
        <is>
          <t>01a1212c-4c04-75ce-bbb2-e3322e18816e</t>
        </is>
      </c>
      <c r="M1436" t="inlineStr">
        <is>
          <t>UNKNOWN</t>
        </is>
      </c>
      <c r="N1436" t="inlineStr">
        <is>
          <t>DEFAULT</t>
        </is>
      </c>
      <c r="Q1436" t="n">
        <v>0</v>
      </c>
      <c r="R1436" t="inlineStr">
        <is>
          <t>AUD</t>
        </is>
      </c>
      <c r="S1436" t="n">
        <v>0</v>
      </c>
      <c r="T1436" t="inlineStr">
        <is>
          <t>AUD</t>
        </is>
      </c>
      <c r="U1436" t="n">
        <v>0</v>
      </c>
    </row>
    <row r="1437">
      <c r="A1437" s="5" t="inlineStr">
        <is>
          <t>01a1212c-5daa-76be-97bf-78f997ccc7a1</t>
        </is>
      </c>
      <c r="C1437" s="5" t="inlineStr">
        <is>
          <t>01a1212c-4b57-70cf-80fd-c2192cb3bf81</t>
        </is>
      </c>
      <c r="D1437" s="4" t="n">
        <v>46304.62405234244</v>
      </c>
      <c r="E1437" s="4" t="n">
        <v>46304.62405234254</v>
      </c>
      <c r="F1437" t="b">
        <v>1</v>
      </c>
      <c r="G1437" t="n">
        <v/>
      </c>
      <c r="H1437" t="inlineStr">
        <is>
          <t>MRC</t>
        </is>
      </c>
      <c r="I1437" t="inlineStr">
        <is>
          <t>Mineral Commodities Ltd</t>
        </is>
      </c>
      <c r="J1437" t="inlineStr">
        <is>
          <t>AUD</t>
        </is>
      </c>
      <c r="K1437" s="5" t="inlineStr">
        <is>
          <t>01a1212c-4c04-75ce-bbb2-e3322e18816e</t>
        </is>
      </c>
      <c r="M1437" t="inlineStr">
        <is>
          <t>UNKNOWN</t>
        </is>
      </c>
      <c r="N1437" t="inlineStr">
        <is>
          <t>DEFAULT</t>
        </is>
      </c>
      <c r="Q1437" t="n">
        <v>0</v>
      </c>
      <c r="R1437" t="inlineStr">
        <is>
          <t>AUD</t>
        </is>
      </c>
      <c r="S1437" t="n">
        <v>0</v>
      </c>
      <c r="T1437" t="inlineStr">
        <is>
          <t>AUD</t>
        </is>
      </c>
      <c r="U1437" t="n">
        <v>0</v>
      </c>
    </row>
    <row r="1438">
      <c r="A1438" s="5" t="inlineStr">
        <is>
          <t>01a1212c-5dac-71ee-9209-89d25c221b68</t>
        </is>
      </c>
      <c r="C1438" s="5" t="inlineStr">
        <is>
          <t>01a1212c-4b57-70cf-80fd-c2192cb3bf81</t>
        </is>
      </c>
      <c r="D1438" s="4" t="n">
        <v>46304.62405237348</v>
      </c>
      <c r="E1438" s="4" t="n">
        <v>46304.62405237356</v>
      </c>
      <c r="F1438" t="b">
        <v>1</v>
      </c>
      <c r="G1438" t="n">
        <v/>
      </c>
      <c r="H1438" t="inlineStr">
        <is>
          <t>TCO</t>
        </is>
      </c>
      <c r="I1438" t="inlineStr">
        <is>
          <t>Transmetro Corporation Ltd</t>
        </is>
      </c>
      <c r="J1438" t="inlineStr">
        <is>
          <t>AUD</t>
        </is>
      </c>
      <c r="K1438" s="5" t="inlineStr">
        <is>
          <t>01a1212c-4c04-75ce-bbb2-e3322e18816e</t>
        </is>
      </c>
      <c r="M1438" t="inlineStr">
        <is>
          <t>UNKNOWN</t>
        </is>
      </c>
      <c r="N1438" t="inlineStr">
        <is>
          <t>DEFAULT</t>
        </is>
      </c>
      <c r="Q1438" t="n">
        <v>0</v>
      </c>
      <c r="R1438" t="inlineStr">
        <is>
          <t>AUD</t>
        </is>
      </c>
      <c r="S1438" t="n">
        <v>0</v>
      </c>
      <c r="T1438" t="inlineStr">
        <is>
          <t>AUD</t>
        </is>
      </c>
      <c r="U1438" t="n">
        <v>0</v>
      </c>
    </row>
    <row r="1439">
      <c r="A1439" s="5" t="inlineStr">
        <is>
          <t>01a1212c-5daf-70a3-9723-ffa092a797c5</t>
        </is>
      </c>
      <c r="C1439" s="5" t="inlineStr">
        <is>
          <t>01a1212c-4b57-70cf-80fd-c2192cb3bf81</t>
        </is>
      </c>
      <c r="D1439" s="4" t="n">
        <v>46304.62405240487</v>
      </c>
      <c r="E1439" s="4" t="n">
        <v>46304.62405240496</v>
      </c>
      <c r="F1439" t="b">
        <v>1</v>
      </c>
      <c r="G1439" t="n">
        <v/>
      </c>
      <c r="H1439" t="inlineStr">
        <is>
          <t>AAM</t>
        </is>
      </c>
      <c r="I1439" t="inlineStr">
        <is>
          <t>Aumega Metals Ltd</t>
        </is>
      </c>
      <c r="J1439" t="inlineStr">
        <is>
          <t>AUD</t>
        </is>
      </c>
      <c r="K1439" s="5" t="inlineStr">
        <is>
          <t>01a1212c-4c04-75ce-bbb2-e3322e18816e</t>
        </is>
      </c>
      <c r="M1439" t="inlineStr">
        <is>
          <t>UNKNOWN</t>
        </is>
      </c>
      <c r="N1439" t="inlineStr">
        <is>
          <t>DEFAULT</t>
        </is>
      </c>
      <c r="Q1439" t="n">
        <v>0</v>
      </c>
      <c r="R1439" t="inlineStr">
        <is>
          <t>AUD</t>
        </is>
      </c>
      <c r="S1439" t="n">
        <v>0</v>
      </c>
      <c r="T1439" t="inlineStr">
        <is>
          <t>AUD</t>
        </is>
      </c>
      <c r="U1439" t="n">
        <v>0</v>
      </c>
    </row>
    <row r="1440">
      <c r="A1440" s="5" t="inlineStr">
        <is>
          <t>01a1212c-5db2-72fd-9be8-e27f75129e57</t>
        </is>
      </c>
      <c r="C1440" s="5" t="inlineStr">
        <is>
          <t>01a1212c-4b57-70cf-80fd-c2192cb3bf81</t>
        </is>
      </c>
      <c r="D1440" s="4" t="n">
        <v>46304.62405243712</v>
      </c>
      <c r="E1440" s="4" t="n">
        <v>46304.6240524372</v>
      </c>
      <c r="F1440" t="b">
        <v>1</v>
      </c>
      <c r="G1440" t="n">
        <v/>
      </c>
      <c r="H1440" t="inlineStr">
        <is>
          <t>UBI</t>
        </is>
      </c>
      <c r="I1440" t="inlineStr">
        <is>
          <t>Universal Biosensors Inc</t>
        </is>
      </c>
      <c r="J1440" t="inlineStr">
        <is>
          <t>AUD</t>
        </is>
      </c>
      <c r="K1440" s="5" t="inlineStr">
        <is>
          <t>01a1212c-4c04-75ce-bbb2-e3322e18816e</t>
        </is>
      </c>
      <c r="M1440" t="inlineStr">
        <is>
          <t>UNKNOWN</t>
        </is>
      </c>
      <c r="N1440" t="inlineStr">
        <is>
          <t>DEFAULT</t>
        </is>
      </c>
      <c r="Q1440" t="n">
        <v>0</v>
      </c>
      <c r="R1440" t="inlineStr">
        <is>
          <t>AUD</t>
        </is>
      </c>
      <c r="S1440" t="n">
        <v>0</v>
      </c>
      <c r="T1440" t="inlineStr">
        <is>
          <t>AUD</t>
        </is>
      </c>
      <c r="U1440" t="n">
        <v>0</v>
      </c>
    </row>
    <row r="1441">
      <c r="A1441" s="5" t="inlineStr">
        <is>
          <t>01a1212c-5db5-7187-af6b-5ba6c389160b</t>
        </is>
      </c>
      <c r="C1441" s="5" t="inlineStr">
        <is>
          <t>01a1212c-4b57-70cf-80fd-c2192cb3bf81</t>
        </is>
      </c>
      <c r="D1441" s="4" t="n">
        <v>46304.62405246833</v>
      </c>
      <c r="E1441" s="4" t="n">
        <v>46304.62405246841</v>
      </c>
      <c r="F1441" t="b">
        <v>1</v>
      </c>
      <c r="G1441" t="n">
        <v/>
      </c>
      <c r="H1441" t="inlineStr">
        <is>
          <t>GT1</t>
        </is>
      </c>
      <c r="I1441" t="inlineStr">
        <is>
          <t>Green Technology Metals Ltd</t>
        </is>
      </c>
      <c r="J1441" t="inlineStr">
        <is>
          <t>AUD</t>
        </is>
      </c>
      <c r="K1441" s="5" t="inlineStr">
        <is>
          <t>01a1212c-4c04-75ce-bbb2-e3322e18816e</t>
        </is>
      </c>
      <c r="M1441" t="inlineStr">
        <is>
          <t>UNKNOWN</t>
        </is>
      </c>
      <c r="N1441" t="inlineStr">
        <is>
          <t>DEFAULT</t>
        </is>
      </c>
      <c r="Q1441" t="n">
        <v>0</v>
      </c>
      <c r="R1441" t="inlineStr">
        <is>
          <t>AUD</t>
        </is>
      </c>
      <c r="S1441" t="n">
        <v>0</v>
      </c>
      <c r="T1441" t="inlineStr">
        <is>
          <t>AUD</t>
        </is>
      </c>
      <c r="U1441" t="n">
        <v>0</v>
      </c>
    </row>
    <row r="1442">
      <c r="A1442" s="5" t="inlineStr">
        <is>
          <t>01a1212c-5db7-7193-903c-d15cfb76963e</t>
        </is>
      </c>
      <c r="C1442" s="5" t="inlineStr">
        <is>
          <t>01a1212c-4b57-70cf-80fd-c2192cb3bf81</t>
        </is>
      </c>
      <c r="D1442" s="4" t="n">
        <v>46304.62405250103</v>
      </c>
      <c r="E1442" s="4" t="n">
        <v>46304.62405250111</v>
      </c>
      <c r="F1442" t="b">
        <v>1</v>
      </c>
      <c r="G1442" t="n">
        <v/>
      </c>
      <c r="H1442" t="inlineStr">
        <is>
          <t>BRX</t>
        </is>
      </c>
      <c r="I1442" t="inlineStr">
        <is>
          <t>Belararox Ltd</t>
        </is>
      </c>
      <c r="J1442" t="inlineStr">
        <is>
          <t>AUD</t>
        </is>
      </c>
      <c r="K1442" s="5" t="inlineStr">
        <is>
          <t>01a1212c-4c04-75ce-bbb2-e3322e18816e</t>
        </is>
      </c>
      <c r="M1442" t="inlineStr">
        <is>
          <t>UNKNOWN</t>
        </is>
      </c>
      <c r="N1442" t="inlineStr">
        <is>
          <t>DEFAULT</t>
        </is>
      </c>
      <c r="Q1442" t="n">
        <v>0</v>
      </c>
      <c r="R1442" t="inlineStr">
        <is>
          <t>AUD</t>
        </is>
      </c>
      <c r="S1442" t="n">
        <v>0</v>
      </c>
      <c r="T1442" t="inlineStr">
        <is>
          <t>AUD</t>
        </is>
      </c>
      <c r="U1442" t="n">
        <v>0</v>
      </c>
    </row>
    <row r="1443">
      <c r="A1443" s="5" t="inlineStr">
        <is>
          <t>01a1212c-5dba-75b1-9e83-6ef3b7b95355</t>
        </is>
      </c>
      <c r="C1443" s="5" t="inlineStr">
        <is>
          <t>01a1212c-4b57-70cf-80fd-c2192cb3bf81</t>
        </is>
      </c>
      <c r="D1443" s="4" t="n">
        <v>46304.6240525316</v>
      </c>
      <c r="E1443" s="4" t="n">
        <v>46304.62405253168</v>
      </c>
      <c r="F1443" t="b">
        <v>1</v>
      </c>
      <c r="G1443" t="n">
        <v/>
      </c>
      <c r="H1443" t="inlineStr">
        <is>
          <t>FPC</t>
        </is>
      </c>
      <c r="I1443" t="inlineStr">
        <is>
          <t>Fat Prophets Global Contrarian Fund Ltd</t>
        </is>
      </c>
      <c r="J1443" t="inlineStr">
        <is>
          <t>AUD</t>
        </is>
      </c>
      <c r="K1443" s="5" t="inlineStr">
        <is>
          <t>01a1212c-4c04-75ce-bbb2-e3322e18816e</t>
        </is>
      </c>
      <c r="M1443" t="inlineStr">
        <is>
          <t>UNKNOWN</t>
        </is>
      </c>
      <c r="N1443" t="inlineStr">
        <is>
          <t>DEFAULT</t>
        </is>
      </c>
      <c r="Q1443" t="n">
        <v>0</v>
      </c>
      <c r="R1443" t="inlineStr">
        <is>
          <t>AUD</t>
        </is>
      </c>
      <c r="S1443" t="n">
        <v>0</v>
      </c>
      <c r="T1443" t="inlineStr">
        <is>
          <t>AUD</t>
        </is>
      </c>
      <c r="U1443" t="n">
        <v>0</v>
      </c>
    </row>
    <row r="1444">
      <c r="A1444" s="5" t="inlineStr">
        <is>
          <t>01a1212c-5dbd-7306-972c-c20bd8b4ba0d</t>
        </is>
      </c>
      <c r="C1444" s="5" t="inlineStr">
        <is>
          <t>01a1212c-4b57-70cf-80fd-c2192cb3bf81</t>
        </is>
      </c>
      <c r="D1444" s="4" t="n">
        <v>46304.62405256215</v>
      </c>
      <c r="E1444" s="4" t="n">
        <v>46304.62405256223</v>
      </c>
      <c r="F1444" t="b">
        <v>1</v>
      </c>
      <c r="G1444" t="n">
        <v/>
      </c>
      <c r="H1444" t="inlineStr">
        <is>
          <t>AUQ</t>
        </is>
      </c>
      <c r="I1444" t="inlineStr">
        <is>
          <t>Alara Resources Ltd</t>
        </is>
      </c>
      <c r="J1444" t="inlineStr">
        <is>
          <t>AUD</t>
        </is>
      </c>
      <c r="K1444" s="5" t="inlineStr">
        <is>
          <t>01a1212c-4c04-75ce-bbb2-e3322e18816e</t>
        </is>
      </c>
      <c r="M1444" t="inlineStr">
        <is>
          <t>UNKNOWN</t>
        </is>
      </c>
      <c r="N1444" t="inlineStr">
        <is>
          <t>DEFAULT</t>
        </is>
      </c>
      <c r="Q1444" t="n">
        <v>0</v>
      </c>
      <c r="R1444" t="inlineStr">
        <is>
          <t>AUD</t>
        </is>
      </c>
      <c r="S1444" t="n">
        <v>0</v>
      </c>
      <c r="T1444" t="inlineStr">
        <is>
          <t>AUD</t>
        </is>
      </c>
      <c r="U1444" t="n">
        <v>0</v>
      </c>
    </row>
    <row r="1445">
      <c r="A1445" s="5" t="inlineStr">
        <is>
          <t>01a1212c-5dc0-75ab-b858-82a8f3956f62</t>
        </is>
      </c>
      <c r="C1445" s="5" t="inlineStr">
        <is>
          <t>01a1212c-4b57-70cf-80fd-c2192cb3bf81</t>
        </is>
      </c>
      <c r="D1445" s="4" t="n">
        <v>46304.62405259544</v>
      </c>
      <c r="E1445" s="4" t="n">
        <v>46304.62405259552</v>
      </c>
      <c r="F1445" t="b">
        <v>1</v>
      </c>
      <c r="G1445" t="n">
        <v/>
      </c>
      <c r="H1445" t="inlineStr">
        <is>
          <t>G6M</t>
        </is>
      </c>
      <c r="I1445" t="inlineStr">
        <is>
          <t>Group 6 Metals Ltd</t>
        </is>
      </c>
      <c r="J1445" t="inlineStr">
        <is>
          <t>AUD</t>
        </is>
      </c>
      <c r="K1445" s="5" t="inlineStr">
        <is>
          <t>01a1212c-4c04-75ce-bbb2-e3322e18816e</t>
        </is>
      </c>
      <c r="M1445" t="inlineStr">
        <is>
          <t>UNKNOWN</t>
        </is>
      </c>
      <c r="N1445" t="inlineStr">
        <is>
          <t>DEFAULT</t>
        </is>
      </c>
      <c r="Q1445" t="n">
        <v>0</v>
      </c>
      <c r="R1445" t="inlineStr">
        <is>
          <t>AUD</t>
        </is>
      </c>
      <c r="S1445" t="n">
        <v>0</v>
      </c>
      <c r="T1445" t="inlineStr">
        <is>
          <t>AUD</t>
        </is>
      </c>
      <c r="U1445" t="n">
        <v>0</v>
      </c>
    </row>
    <row r="1446">
      <c r="A1446" s="5" t="inlineStr">
        <is>
          <t>01a1212c-5dc3-77a0-b937-25afdba7bf58</t>
        </is>
      </c>
      <c r="C1446" s="5" t="inlineStr">
        <is>
          <t>01a1212c-4b57-70cf-80fd-c2192cb3bf81</t>
        </is>
      </c>
      <c r="D1446" s="4" t="n">
        <v>46304.62405262879</v>
      </c>
      <c r="E1446" s="4" t="n">
        <v>46304.62405262887</v>
      </c>
      <c r="F1446" t="b">
        <v>1</v>
      </c>
      <c r="G1446" t="n">
        <v/>
      </c>
      <c r="H1446" t="inlineStr">
        <is>
          <t>SUH</t>
        </is>
      </c>
      <c r="I1446" t="inlineStr">
        <is>
          <t>Southern Hemisphere Mining Ltd</t>
        </is>
      </c>
      <c r="J1446" t="inlineStr">
        <is>
          <t>AUD</t>
        </is>
      </c>
      <c r="K1446" s="5" t="inlineStr">
        <is>
          <t>01a1212c-4c04-75ce-bbb2-e3322e18816e</t>
        </is>
      </c>
      <c r="M1446" t="inlineStr">
        <is>
          <t>UNKNOWN</t>
        </is>
      </c>
      <c r="N1446" t="inlineStr">
        <is>
          <t>DEFAULT</t>
        </is>
      </c>
      <c r="Q1446" t="n">
        <v>0</v>
      </c>
      <c r="R1446" t="inlineStr">
        <is>
          <t>AUD</t>
        </is>
      </c>
      <c r="S1446" t="n">
        <v>0</v>
      </c>
      <c r="T1446" t="inlineStr">
        <is>
          <t>AUD</t>
        </is>
      </c>
      <c r="U1446" t="n">
        <v>0</v>
      </c>
    </row>
    <row r="1447">
      <c r="A1447" s="5" t="inlineStr">
        <is>
          <t>01a1212c-5dc5-735d-a839-34634bfbbebe</t>
        </is>
      </c>
      <c r="C1447" s="5" t="inlineStr">
        <is>
          <t>01a1212c-4b57-70cf-80fd-c2192cb3bf81</t>
        </is>
      </c>
      <c r="D1447" s="4" t="n">
        <v>46304.62405265955</v>
      </c>
      <c r="E1447" s="4" t="n">
        <v>46304.62405265963</v>
      </c>
      <c r="F1447" t="b">
        <v>1</v>
      </c>
      <c r="G1447" t="n">
        <v/>
      </c>
      <c r="H1447" t="inlineStr">
        <is>
          <t>SOP</t>
        </is>
      </c>
      <c r="I1447" t="inlineStr">
        <is>
          <t>Synertec Corporation Ltd</t>
        </is>
      </c>
      <c r="J1447" t="inlineStr">
        <is>
          <t>AUD</t>
        </is>
      </c>
      <c r="K1447" s="5" t="inlineStr">
        <is>
          <t>01a1212c-4c04-75ce-bbb2-e3322e18816e</t>
        </is>
      </c>
      <c r="M1447" t="inlineStr">
        <is>
          <t>UNKNOWN</t>
        </is>
      </c>
      <c r="N1447" t="inlineStr">
        <is>
          <t>DEFAULT</t>
        </is>
      </c>
      <c r="Q1447" t="n">
        <v>0</v>
      </c>
      <c r="R1447" t="inlineStr">
        <is>
          <t>AUD</t>
        </is>
      </c>
      <c r="S1447" t="n">
        <v>0</v>
      </c>
      <c r="T1447" t="inlineStr">
        <is>
          <t>AUD</t>
        </is>
      </c>
      <c r="U1447" t="n">
        <v>0</v>
      </c>
    </row>
    <row r="1448">
      <c r="A1448" s="5" t="inlineStr">
        <is>
          <t>01a1212c-5dc8-7277-8400-8b23a9d68b5e</t>
        </is>
      </c>
      <c r="C1448" s="5" t="inlineStr">
        <is>
          <t>01a1212c-4b57-70cf-80fd-c2192cb3bf81</t>
        </is>
      </c>
      <c r="D1448" s="4" t="n">
        <v>46304.62405269</v>
      </c>
      <c r="E1448" s="4" t="n">
        <v>46304.62405269008</v>
      </c>
      <c r="F1448" t="b">
        <v>1</v>
      </c>
      <c r="G1448" t="n">
        <v/>
      </c>
      <c r="H1448" t="inlineStr">
        <is>
          <t>SPN</t>
        </is>
      </c>
      <c r="I1448" t="inlineStr">
        <is>
          <t>Sparc Technologies Ltd</t>
        </is>
      </c>
      <c r="J1448" t="inlineStr">
        <is>
          <t>AUD</t>
        </is>
      </c>
      <c r="K1448" s="5" t="inlineStr">
        <is>
          <t>01a1212c-4c04-75ce-bbb2-e3322e18816e</t>
        </is>
      </c>
      <c r="M1448" t="inlineStr">
        <is>
          <t>UNKNOWN</t>
        </is>
      </c>
      <c r="N1448" t="inlineStr">
        <is>
          <t>DEFAULT</t>
        </is>
      </c>
      <c r="Q1448" t="n">
        <v>0</v>
      </c>
      <c r="R1448" t="inlineStr">
        <is>
          <t>AUD</t>
        </is>
      </c>
      <c r="S1448" t="n">
        <v>0</v>
      </c>
      <c r="T1448" t="inlineStr">
        <is>
          <t>AUD</t>
        </is>
      </c>
      <c r="U1448" t="n">
        <v>0</v>
      </c>
    </row>
    <row r="1449">
      <c r="A1449" s="5" t="inlineStr">
        <is>
          <t>01a1212c-5dca-7260-bc7e-2b96514baa52</t>
        </is>
      </c>
      <c r="C1449" s="5" t="inlineStr">
        <is>
          <t>01a1212c-4b57-70cf-80fd-c2192cb3bf81</t>
        </is>
      </c>
      <c r="D1449" s="4" t="n">
        <v>46304.62405272058</v>
      </c>
      <c r="E1449" s="4" t="n">
        <v>46304.62405272066</v>
      </c>
      <c r="F1449" t="b">
        <v>1</v>
      </c>
      <c r="G1449" t="n">
        <v/>
      </c>
      <c r="H1449" t="inlineStr">
        <is>
          <t>AS1</t>
        </is>
      </c>
      <c r="I1449" t="inlineStr">
        <is>
          <t>Asara Resources Ltd</t>
        </is>
      </c>
      <c r="J1449" t="inlineStr">
        <is>
          <t>AUD</t>
        </is>
      </c>
      <c r="K1449" s="5" t="inlineStr">
        <is>
          <t>01a1212c-4c04-75ce-bbb2-e3322e18816e</t>
        </is>
      </c>
      <c r="M1449" t="inlineStr">
        <is>
          <t>UNKNOWN</t>
        </is>
      </c>
      <c r="N1449" t="inlineStr">
        <is>
          <t>DEFAULT</t>
        </is>
      </c>
      <c r="Q1449" t="n">
        <v>0</v>
      </c>
      <c r="R1449" t="inlineStr">
        <is>
          <t>AUD</t>
        </is>
      </c>
      <c r="S1449" t="n">
        <v>0</v>
      </c>
      <c r="T1449" t="inlineStr">
        <is>
          <t>AUD</t>
        </is>
      </c>
      <c r="U1449" t="n">
        <v>0</v>
      </c>
    </row>
    <row r="1450">
      <c r="A1450" s="5" t="inlineStr">
        <is>
          <t>01a1212c-5dcd-71c4-8a1e-9b849e0d241f</t>
        </is>
      </c>
      <c r="C1450" s="5" t="inlineStr">
        <is>
          <t>01a1212c-4b57-70cf-80fd-c2192cb3bf81</t>
        </is>
      </c>
      <c r="D1450" s="4" t="n">
        <v>46304.62405275141</v>
      </c>
      <c r="E1450" s="4" t="n">
        <v>46304.62405275148</v>
      </c>
      <c r="F1450" t="b">
        <v>1</v>
      </c>
      <c r="G1450" t="n">
        <v/>
      </c>
      <c r="H1450" t="inlineStr">
        <is>
          <t>GPR</t>
        </is>
      </c>
      <c r="I1450" t="inlineStr">
        <is>
          <t>Geopacific Resources Ltd</t>
        </is>
      </c>
      <c r="J1450" t="inlineStr">
        <is>
          <t>AUD</t>
        </is>
      </c>
      <c r="K1450" s="5" t="inlineStr">
        <is>
          <t>01a1212c-4c04-75ce-bbb2-e3322e18816e</t>
        </is>
      </c>
      <c r="M1450" t="inlineStr">
        <is>
          <t>UNKNOWN</t>
        </is>
      </c>
      <c r="N1450" t="inlineStr">
        <is>
          <t>DEFAULT</t>
        </is>
      </c>
      <c r="Q1450" t="n">
        <v>0</v>
      </c>
      <c r="R1450" t="inlineStr">
        <is>
          <t>AUD</t>
        </is>
      </c>
      <c r="S1450" t="n">
        <v>0</v>
      </c>
      <c r="T1450" t="inlineStr">
        <is>
          <t>AUD</t>
        </is>
      </c>
      <c r="U1450" t="n">
        <v>0</v>
      </c>
    </row>
    <row r="1451">
      <c r="A1451" s="5" t="inlineStr">
        <is>
          <t>01a1212c-5dd0-72fd-80e5-3a9eeeea4d1a</t>
        </is>
      </c>
      <c r="C1451" s="5" t="inlineStr">
        <is>
          <t>01a1212c-4b57-70cf-80fd-c2192cb3bf81</t>
        </is>
      </c>
      <c r="D1451" s="4" t="n">
        <v>46304.62405278444</v>
      </c>
      <c r="E1451" s="4" t="n">
        <v>46304.62405278451</v>
      </c>
      <c r="F1451" t="b">
        <v>1</v>
      </c>
      <c r="G1451" t="n">
        <v/>
      </c>
      <c r="H1451" t="inlineStr">
        <is>
          <t>CWX</t>
        </is>
      </c>
      <c r="I1451" t="inlineStr">
        <is>
          <t>Carawine Resources Ltd</t>
        </is>
      </c>
      <c r="J1451" t="inlineStr">
        <is>
          <t>AUD</t>
        </is>
      </c>
      <c r="K1451" s="5" t="inlineStr">
        <is>
          <t>01a1212c-4c04-75ce-bbb2-e3322e18816e</t>
        </is>
      </c>
      <c r="M1451" t="inlineStr">
        <is>
          <t>UNKNOWN</t>
        </is>
      </c>
      <c r="N1451" t="inlineStr">
        <is>
          <t>DEFAULT</t>
        </is>
      </c>
      <c r="Q1451" t="n">
        <v>0</v>
      </c>
      <c r="R1451" t="inlineStr">
        <is>
          <t>AUD</t>
        </is>
      </c>
      <c r="S1451" t="n">
        <v>0</v>
      </c>
      <c r="T1451" t="inlineStr">
        <is>
          <t>AUD</t>
        </is>
      </c>
      <c r="U1451" t="n">
        <v>0</v>
      </c>
    </row>
    <row r="1452">
      <c r="A1452" s="5" t="inlineStr">
        <is>
          <t>01a1212c-5dd3-7583-b15a-21f544745a03</t>
        </is>
      </c>
      <c r="C1452" s="5" t="inlineStr">
        <is>
          <t>01a1212c-4b57-70cf-80fd-c2192cb3bf81</t>
        </is>
      </c>
      <c r="D1452" s="4" t="n">
        <v>46304.62405281563</v>
      </c>
      <c r="E1452" s="4" t="n">
        <v>46304.62405281571</v>
      </c>
      <c r="F1452" t="b">
        <v>1</v>
      </c>
      <c r="G1452" t="n">
        <v/>
      </c>
      <c r="H1452" t="inlineStr">
        <is>
          <t>NFM</t>
        </is>
      </c>
      <c r="I1452" t="inlineStr">
        <is>
          <t>New Frontier Minerals Ltd</t>
        </is>
      </c>
      <c r="J1452" t="inlineStr">
        <is>
          <t>AUD</t>
        </is>
      </c>
      <c r="K1452" s="5" t="inlineStr">
        <is>
          <t>01a1212c-4c04-75ce-bbb2-e3322e18816e</t>
        </is>
      </c>
      <c r="M1452" t="inlineStr">
        <is>
          <t>UNKNOWN</t>
        </is>
      </c>
      <c r="N1452" t="inlineStr">
        <is>
          <t>DEFAULT</t>
        </is>
      </c>
      <c r="Q1452" t="n">
        <v>0</v>
      </c>
      <c r="R1452" t="inlineStr">
        <is>
          <t>AUD</t>
        </is>
      </c>
      <c r="S1452" t="n">
        <v>0</v>
      </c>
      <c r="T1452" t="inlineStr">
        <is>
          <t>AUD</t>
        </is>
      </c>
      <c r="U1452" t="n">
        <v>0</v>
      </c>
    </row>
    <row r="1453">
      <c r="A1453" s="5" t="inlineStr">
        <is>
          <t>01a1212c-5dd5-7180-8104-3c32e126c616</t>
        </is>
      </c>
      <c r="C1453" s="5" t="inlineStr">
        <is>
          <t>01a1212c-4b57-70cf-80fd-c2192cb3bf81</t>
        </is>
      </c>
      <c r="D1453" s="4" t="n">
        <v>46304.6240528464</v>
      </c>
      <c r="E1453" s="4" t="n">
        <v>46304.62405284648</v>
      </c>
      <c r="F1453" t="b">
        <v>1</v>
      </c>
      <c r="G1453" t="n">
        <v/>
      </c>
      <c r="H1453" t="inlineStr">
        <is>
          <t>MFOA</t>
        </is>
      </c>
      <c r="I1453" t="inlineStr">
        <is>
          <t>Milford Australian Absolute Growth (Hedge Fund)</t>
        </is>
      </c>
      <c r="J1453" t="inlineStr">
        <is>
          <t>AUD</t>
        </is>
      </c>
      <c r="K1453" s="5" t="inlineStr">
        <is>
          <t>01a1212c-4c04-75ce-bbb2-e3322e18816e</t>
        </is>
      </c>
      <c r="M1453" t="inlineStr">
        <is>
          <t>UNKNOWN</t>
        </is>
      </c>
      <c r="N1453" t="inlineStr">
        <is>
          <t>DEFAULT</t>
        </is>
      </c>
      <c r="Q1453" t="n">
        <v>0</v>
      </c>
      <c r="R1453" t="inlineStr">
        <is>
          <t>AUD</t>
        </is>
      </c>
      <c r="S1453" t="n">
        <v>0</v>
      </c>
      <c r="T1453" t="inlineStr">
        <is>
          <t>AUD</t>
        </is>
      </c>
      <c r="U1453" t="n">
        <v>0</v>
      </c>
    </row>
    <row r="1454">
      <c r="A1454" s="5" t="inlineStr">
        <is>
          <t>01a1212c-5dd8-7347-9030-c610cf168df7</t>
        </is>
      </c>
      <c r="C1454" s="5" t="inlineStr">
        <is>
          <t>01a1212c-4b57-70cf-80fd-c2192cb3bf81</t>
        </is>
      </c>
      <c r="D1454" s="4" t="n">
        <v>46304.62405287699</v>
      </c>
      <c r="E1454" s="4" t="n">
        <v>46304.62405287707</v>
      </c>
      <c r="F1454" t="b">
        <v>1</v>
      </c>
      <c r="G1454" t="n">
        <v/>
      </c>
      <c r="H1454" t="inlineStr">
        <is>
          <t>RDN</t>
        </is>
      </c>
      <c r="I1454" t="inlineStr">
        <is>
          <t>Raiden Resources Ltd</t>
        </is>
      </c>
      <c r="J1454" t="inlineStr">
        <is>
          <t>AUD</t>
        </is>
      </c>
      <c r="K1454" s="5" t="inlineStr">
        <is>
          <t>01a1212c-4c04-75ce-bbb2-e3322e18816e</t>
        </is>
      </c>
      <c r="M1454" t="inlineStr">
        <is>
          <t>UNKNOWN</t>
        </is>
      </c>
      <c r="N1454" t="inlineStr">
        <is>
          <t>DEFAULT</t>
        </is>
      </c>
      <c r="Q1454" t="n">
        <v>0</v>
      </c>
      <c r="R1454" t="inlineStr">
        <is>
          <t>AUD</t>
        </is>
      </c>
      <c r="S1454" t="n">
        <v>0</v>
      </c>
      <c r="T1454" t="inlineStr">
        <is>
          <t>AUD</t>
        </is>
      </c>
      <c r="U1454" t="n">
        <v>0</v>
      </c>
    </row>
    <row r="1455">
      <c r="A1455" s="5" t="inlineStr">
        <is>
          <t>01a1212c-5ddb-7461-9c16-4630befbf30f</t>
        </is>
      </c>
      <c r="C1455" s="5" t="inlineStr">
        <is>
          <t>01a1212c-4b57-70cf-80fd-c2192cb3bf81</t>
        </is>
      </c>
      <c r="D1455" s="4" t="n">
        <v>46304.62405291001</v>
      </c>
      <c r="E1455" s="4" t="n">
        <v>46304.62405291009</v>
      </c>
      <c r="F1455" t="b">
        <v>1</v>
      </c>
      <c r="G1455" t="n">
        <v/>
      </c>
      <c r="H1455" t="inlineStr">
        <is>
          <t>CBE</t>
        </is>
      </c>
      <c r="I1455" t="inlineStr">
        <is>
          <t>Cobre Ltd</t>
        </is>
      </c>
      <c r="J1455" t="inlineStr">
        <is>
          <t>AUD</t>
        </is>
      </c>
      <c r="K1455" s="5" t="inlineStr">
        <is>
          <t>01a1212c-4c04-75ce-bbb2-e3322e18816e</t>
        </is>
      </c>
      <c r="M1455" t="inlineStr">
        <is>
          <t>UNKNOWN</t>
        </is>
      </c>
      <c r="N1455" t="inlineStr">
        <is>
          <t>DEFAULT</t>
        </is>
      </c>
      <c r="Q1455" t="n">
        <v>0</v>
      </c>
      <c r="R1455" t="inlineStr">
        <is>
          <t>AUD</t>
        </is>
      </c>
      <c r="S1455" t="n">
        <v>0</v>
      </c>
      <c r="T1455" t="inlineStr">
        <is>
          <t>AUD</t>
        </is>
      </c>
      <c r="U1455" t="n">
        <v>0</v>
      </c>
    </row>
    <row r="1456">
      <c r="A1456" s="5" t="inlineStr">
        <is>
          <t>01a1212c-5dde-77a0-9ee8-bf06a728fe25</t>
        </is>
      </c>
      <c r="C1456" s="5" t="inlineStr">
        <is>
          <t>01a1212c-4b57-70cf-80fd-c2192cb3bf81</t>
        </is>
      </c>
      <c r="D1456" s="4" t="n">
        <v>46304.62405294128</v>
      </c>
      <c r="E1456" s="4" t="n">
        <v>46304.62405294136</v>
      </c>
      <c r="F1456" t="b">
        <v>1</v>
      </c>
      <c r="G1456" t="n">
        <v/>
      </c>
      <c r="H1456" t="inlineStr">
        <is>
          <t>RHT</t>
        </is>
      </c>
      <c r="I1456" t="inlineStr">
        <is>
          <t>Resonance Health Ltd</t>
        </is>
      </c>
      <c r="J1456" t="inlineStr">
        <is>
          <t>AUD</t>
        </is>
      </c>
      <c r="K1456" s="5" t="inlineStr">
        <is>
          <t>01a1212c-4c04-75ce-bbb2-e3322e18816e</t>
        </is>
      </c>
      <c r="M1456" t="inlineStr">
        <is>
          <t>UNKNOWN</t>
        </is>
      </c>
      <c r="N1456" t="inlineStr">
        <is>
          <t>DEFAULT</t>
        </is>
      </c>
      <c r="Q1456" t="n">
        <v>0</v>
      </c>
      <c r="R1456" t="inlineStr">
        <is>
          <t>AUD</t>
        </is>
      </c>
      <c r="S1456" t="n">
        <v>0</v>
      </c>
      <c r="T1456" t="inlineStr">
        <is>
          <t>AUD</t>
        </is>
      </c>
      <c r="U1456" t="n">
        <v>0</v>
      </c>
    </row>
    <row r="1457">
      <c r="A1457" s="5" t="inlineStr">
        <is>
          <t>01a1212c-5de0-7144-aa6b-f8f55efdd16d</t>
        </is>
      </c>
      <c r="C1457" s="5" t="inlineStr">
        <is>
          <t>01a1212c-4b57-70cf-80fd-c2192cb3bf81</t>
        </is>
      </c>
      <c r="D1457" s="4" t="n">
        <v>46304.6240529721</v>
      </c>
      <c r="E1457" s="4" t="n">
        <v>46304.62405297218</v>
      </c>
      <c r="F1457" t="b">
        <v>1</v>
      </c>
      <c r="G1457" t="n">
        <v/>
      </c>
      <c r="H1457" t="inlineStr">
        <is>
          <t>FAL</t>
        </is>
      </c>
      <c r="I1457" t="inlineStr">
        <is>
          <t>Falcon Metals Ltd</t>
        </is>
      </c>
      <c r="J1457" t="inlineStr">
        <is>
          <t>AUD</t>
        </is>
      </c>
      <c r="K1457" s="5" t="inlineStr">
        <is>
          <t>01a1212c-4c04-75ce-bbb2-e3322e18816e</t>
        </is>
      </c>
      <c r="M1457" t="inlineStr">
        <is>
          <t>UNKNOWN</t>
        </is>
      </c>
      <c r="N1457" t="inlineStr">
        <is>
          <t>DEFAULT</t>
        </is>
      </c>
      <c r="Q1457" t="n">
        <v>0</v>
      </c>
      <c r="R1457" t="inlineStr">
        <is>
          <t>AUD</t>
        </is>
      </c>
      <c r="S1457" t="n">
        <v>0</v>
      </c>
      <c r="T1457" t="inlineStr">
        <is>
          <t>AUD</t>
        </is>
      </c>
      <c r="U1457" t="n">
        <v>0</v>
      </c>
    </row>
    <row r="1458">
      <c r="A1458" s="5" t="inlineStr">
        <is>
          <t>01a1212c-5de3-72db-a20d-ea9cc7bffd57</t>
        </is>
      </c>
      <c r="C1458" s="5" t="inlineStr">
        <is>
          <t>01a1212c-4b57-70cf-80fd-c2192cb3bf81</t>
        </is>
      </c>
      <c r="D1458" s="4" t="n">
        <v>46304.62405300286</v>
      </c>
      <c r="E1458" s="4" t="n">
        <v>46304.62405300293</v>
      </c>
      <c r="F1458" t="b">
        <v>1</v>
      </c>
      <c r="G1458" t="n">
        <v/>
      </c>
      <c r="H1458" t="inlineStr">
        <is>
          <t>AQN</t>
        </is>
      </c>
      <c r="I1458" t="inlineStr">
        <is>
          <t>Aquirian Ltd</t>
        </is>
      </c>
      <c r="J1458" t="inlineStr">
        <is>
          <t>AUD</t>
        </is>
      </c>
      <c r="K1458" s="5" t="inlineStr">
        <is>
          <t>01a1212c-4c04-75ce-bbb2-e3322e18816e</t>
        </is>
      </c>
      <c r="M1458" t="inlineStr">
        <is>
          <t>UNKNOWN</t>
        </is>
      </c>
      <c r="N1458" t="inlineStr">
        <is>
          <t>DEFAULT</t>
        </is>
      </c>
      <c r="Q1458" t="n">
        <v>0</v>
      </c>
      <c r="R1458" t="inlineStr">
        <is>
          <t>AUD</t>
        </is>
      </c>
      <c r="S1458" t="n">
        <v>0</v>
      </c>
      <c r="T1458" t="inlineStr">
        <is>
          <t>AUD</t>
        </is>
      </c>
      <c r="U1458" t="n">
        <v>0</v>
      </c>
    </row>
    <row r="1459">
      <c r="A1459" s="5" t="inlineStr">
        <is>
          <t>01a1212c-5de5-7453-aa0a-7b595ff0eed0</t>
        </is>
      </c>
      <c r="C1459" s="5" t="inlineStr">
        <is>
          <t>01a1212c-4b57-70cf-80fd-c2192cb3bf81</t>
        </is>
      </c>
      <c r="D1459" s="4" t="n">
        <v>46304.62405303341</v>
      </c>
      <c r="E1459" s="4" t="n">
        <v>46304.6240530335</v>
      </c>
      <c r="F1459" t="b">
        <v>1</v>
      </c>
      <c r="G1459" t="n">
        <v/>
      </c>
      <c r="H1459" t="inlineStr">
        <is>
          <t>TMK</t>
        </is>
      </c>
      <c r="I1459" t="inlineStr">
        <is>
          <t>TMK Energy Ltd</t>
        </is>
      </c>
      <c r="J1459" t="inlineStr">
        <is>
          <t>AUD</t>
        </is>
      </c>
      <c r="K1459" s="5" t="inlineStr">
        <is>
          <t>01a1212c-4c04-75ce-bbb2-e3322e18816e</t>
        </is>
      </c>
      <c r="M1459" t="inlineStr">
        <is>
          <t>UNKNOWN</t>
        </is>
      </c>
      <c r="N1459" t="inlineStr">
        <is>
          <t>DEFAULT</t>
        </is>
      </c>
      <c r="Q1459" t="n">
        <v>0</v>
      </c>
      <c r="R1459" t="inlineStr">
        <is>
          <t>AUD</t>
        </is>
      </c>
      <c r="S1459" t="n">
        <v>0</v>
      </c>
      <c r="T1459" t="inlineStr">
        <is>
          <t>AUD</t>
        </is>
      </c>
      <c r="U1459" t="n">
        <v>0</v>
      </c>
    </row>
    <row r="1460">
      <c r="A1460" s="5" t="inlineStr">
        <is>
          <t>01a1212c-5de8-7116-b492-7343ae9d1f68</t>
        </is>
      </c>
      <c r="C1460" s="5" t="inlineStr">
        <is>
          <t>01a1212c-4b57-70cf-80fd-c2192cb3bf81</t>
        </is>
      </c>
      <c r="D1460" s="4" t="n">
        <v>46304.6240530663</v>
      </c>
      <c r="E1460" s="4" t="n">
        <v>46304.62405306636</v>
      </c>
      <c r="F1460" t="b">
        <v>1</v>
      </c>
      <c r="G1460" t="n">
        <v/>
      </c>
      <c r="H1460" t="inlineStr">
        <is>
          <t>FTL</t>
        </is>
      </c>
      <c r="I1460" t="inlineStr">
        <is>
          <t>Firetail Resources Ltd</t>
        </is>
      </c>
      <c r="J1460" t="inlineStr">
        <is>
          <t>AUD</t>
        </is>
      </c>
      <c r="K1460" s="5" t="inlineStr">
        <is>
          <t>01a1212c-4c04-75ce-bbb2-e3322e18816e</t>
        </is>
      </c>
      <c r="M1460" t="inlineStr">
        <is>
          <t>UNKNOWN</t>
        </is>
      </c>
      <c r="N1460" t="inlineStr">
        <is>
          <t>DEFAULT</t>
        </is>
      </c>
      <c r="Q1460" t="n">
        <v>0</v>
      </c>
      <c r="R1460" t="inlineStr">
        <is>
          <t>AUD</t>
        </is>
      </c>
      <c r="S1460" t="n">
        <v>0</v>
      </c>
      <c r="T1460" t="inlineStr">
        <is>
          <t>AUD</t>
        </is>
      </c>
      <c r="U1460" t="n">
        <v>0</v>
      </c>
    </row>
    <row r="1461">
      <c r="A1461" s="5" t="inlineStr">
        <is>
          <t>01a1212c-5deb-72f5-89f3-11afd6f7d5ca</t>
        </is>
      </c>
      <c r="C1461" s="5" t="inlineStr">
        <is>
          <t>01a1212c-4b57-70cf-80fd-c2192cb3bf81</t>
        </is>
      </c>
      <c r="D1461" s="4" t="n">
        <v>46304.62405309691</v>
      </c>
      <c r="E1461" s="4" t="n">
        <v>46304.62405309699</v>
      </c>
      <c r="F1461" t="b">
        <v>1</v>
      </c>
      <c r="G1461" t="n">
        <v/>
      </c>
      <c r="H1461" t="inlineStr">
        <is>
          <t>OSL</t>
        </is>
      </c>
      <c r="I1461" t="inlineStr">
        <is>
          <t>Oncosil Medical Ltd</t>
        </is>
      </c>
      <c r="J1461" t="inlineStr">
        <is>
          <t>AUD</t>
        </is>
      </c>
      <c r="K1461" s="5" t="inlineStr">
        <is>
          <t>01a1212c-4c04-75ce-bbb2-e3322e18816e</t>
        </is>
      </c>
      <c r="M1461" t="inlineStr">
        <is>
          <t>UNKNOWN</t>
        </is>
      </c>
      <c r="N1461" t="inlineStr">
        <is>
          <t>DEFAULT</t>
        </is>
      </c>
      <c r="Q1461" t="n">
        <v>0</v>
      </c>
      <c r="R1461" t="inlineStr">
        <is>
          <t>AUD</t>
        </is>
      </c>
      <c r="S1461" t="n">
        <v>0</v>
      </c>
      <c r="T1461" t="inlineStr">
        <is>
          <t>AUD</t>
        </is>
      </c>
      <c r="U1461" t="n">
        <v>0</v>
      </c>
    </row>
    <row r="1462">
      <c r="A1462" s="5" t="inlineStr">
        <is>
          <t>01a1212c-5dee-7648-a5d1-16d5af57fddb</t>
        </is>
      </c>
      <c r="C1462" s="5" t="inlineStr">
        <is>
          <t>01a1212c-4b57-70cf-80fd-c2192cb3bf81</t>
        </is>
      </c>
      <c r="D1462" s="4" t="n">
        <v>46304.62405312986</v>
      </c>
      <c r="E1462" s="4" t="n">
        <v>46304.62405312994</v>
      </c>
      <c r="F1462" t="b">
        <v>1</v>
      </c>
      <c r="G1462" t="n">
        <v/>
      </c>
      <c r="H1462" t="inlineStr">
        <is>
          <t>NVQ</t>
        </is>
      </c>
      <c r="I1462" t="inlineStr">
        <is>
          <t>Noviqtech Ltd</t>
        </is>
      </c>
      <c r="J1462" t="inlineStr">
        <is>
          <t>AUD</t>
        </is>
      </c>
      <c r="K1462" s="5" t="inlineStr">
        <is>
          <t>01a1212c-4c04-75ce-bbb2-e3322e18816e</t>
        </is>
      </c>
      <c r="M1462" t="inlineStr">
        <is>
          <t>UNKNOWN</t>
        </is>
      </c>
      <c r="N1462" t="inlineStr">
        <is>
          <t>DEFAULT</t>
        </is>
      </c>
      <c r="Q1462" t="n">
        <v>0</v>
      </c>
      <c r="R1462" t="inlineStr">
        <is>
          <t>AUD</t>
        </is>
      </c>
      <c r="S1462" t="n">
        <v>0</v>
      </c>
      <c r="T1462" t="inlineStr">
        <is>
          <t>AUD</t>
        </is>
      </c>
      <c r="U1462" t="n">
        <v>0</v>
      </c>
    </row>
    <row r="1463">
      <c r="A1463" s="5" t="inlineStr">
        <is>
          <t>01a1212c-5df1-7102-a96b-81f130f09236</t>
        </is>
      </c>
      <c r="C1463" s="5" t="inlineStr">
        <is>
          <t>01a1212c-4b57-70cf-80fd-c2192cb3bf81</t>
        </is>
      </c>
      <c r="D1463" s="4" t="n">
        <v>46304.62405316205</v>
      </c>
      <c r="E1463" s="4" t="n">
        <v>46304.62405316213</v>
      </c>
      <c r="F1463" t="b">
        <v>1</v>
      </c>
      <c r="G1463" t="n">
        <v/>
      </c>
      <c r="H1463" t="inlineStr">
        <is>
          <t>GC1</t>
        </is>
      </c>
      <c r="I1463" t="inlineStr">
        <is>
          <t>Glennon Small Companies Ltd</t>
        </is>
      </c>
      <c r="J1463" t="inlineStr">
        <is>
          <t>AUD</t>
        </is>
      </c>
      <c r="K1463" s="5" t="inlineStr">
        <is>
          <t>01a1212c-4c04-75ce-bbb2-e3322e18816e</t>
        </is>
      </c>
      <c r="M1463" t="inlineStr">
        <is>
          <t>UNKNOWN</t>
        </is>
      </c>
      <c r="N1463" t="inlineStr">
        <is>
          <t>DEFAULT</t>
        </is>
      </c>
      <c r="Q1463" t="n">
        <v>0</v>
      </c>
      <c r="R1463" t="inlineStr">
        <is>
          <t>AUD</t>
        </is>
      </c>
      <c r="S1463" t="n">
        <v>0</v>
      </c>
      <c r="T1463" t="inlineStr">
        <is>
          <t>AUD</t>
        </is>
      </c>
      <c r="U1463" t="n">
        <v>0</v>
      </c>
    </row>
    <row r="1464">
      <c r="A1464" s="5" t="inlineStr">
        <is>
          <t>01a1212c-5df3-70d1-84a8-3a0ab1c16334</t>
        </is>
      </c>
      <c r="C1464" s="5" t="inlineStr">
        <is>
          <t>01a1212c-4b57-70cf-80fd-c2192cb3bf81</t>
        </is>
      </c>
      <c r="D1464" s="4" t="n">
        <v>46304.62405319373</v>
      </c>
      <c r="E1464" s="4" t="n">
        <v>46304.62405319381</v>
      </c>
      <c r="F1464" t="b">
        <v>1</v>
      </c>
      <c r="G1464" t="n">
        <v/>
      </c>
      <c r="H1464" t="inlineStr">
        <is>
          <t>XRG</t>
        </is>
      </c>
      <c r="I1464" t="inlineStr">
        <is>
          <t>Xreality Group Ltd</t>
        </is>
      </c>
      <c r="J1464" t="inlineStr">
        <is>
          <t>AUD</t>
        </is>
      </c>
      <c r="K1464" s="5" t="inlineStr">
        <is>
          <t>01a1212c-4c04-75ce-bbb2-e3322e18816e</t>
        </is>
      </c>
      <c r="M1464" t="inlineStr">
        <is>
          <t>UNKNOWN</t>
        </is>
      </c>
      <c r="N1464" t="inlineStr">
        <is>
          <t>DEFAULT</t>
        </is>
      </c>
      <c r="Q1464" t="n">
        <v>0</v>
      </c>
      <c r="R1464" t="inlineStr">
        <is>
          <t>AUD</t>
        </is>
      </c>
      <c r="S1464" t="n">
        <v>0</v>
      </c>
      <c r="T1464" t="inlineStr">
        <is>
          <t>AUD</t>
        </is>
      </c>
      <c r="U1464" t="n">
        <v>0</v>
      </c>
    </row>
    <row r="1465">
      <c r="A1465" s="5" t="inlineStr">
        <is>
          <t>01a1212c-5df6-7217-9e03-a1e3dcadd8c6</t>
        </is>
      </c>
      <c r="C1465" s="5" t="inlineStr">
        <is>
          <t>01a1212c-4b57-70cf-80fd-c2192cb3bf81</t>
        </is>
      </c>
      <c r="D1465" s="4" t="n">
        <v>46304.62405322777</v>
      </c>
      <c r="E1465" s="4" t="n">
        <v>46304.62405322785</v>
      </c>
      <c r="F1465" t="b">
        <v>1</v>
      </c>
      <c r="G1465" t="n">
        <v/>
      </c>
      <c r="H1465" t="inlineStr">
        <is>
          <t>XMET</t>
        </is>
      </c>
      <c r="I1465" t="inlineStr">
        <is>
          <t>Betashares Energy Transition Metals ETF</t>
        </is>
      </c>
      <c r="J1465" t="inlineStr">
        <is>
          <t>AUD</t>
        </is>
      </c>
      <c r="K1465" s="5" t="inlineStr">
        <is>
          <t>01a1212c-4c04-75ce-bbb2-e3322e18816e</t>
        </is>
      </c>
      <c r="M1465" t="inlineStr">
        <is>
          <t>UNKNOWN</t>
        </is>
      </c>
      <c r="N1465" t="inlineStr">
        <is>
          <t>DEFAULT</t>
        </is>
      </c>
      <c r="Q1465" t="n">
        <v>0</v>
      </c>
      <c r="R1465" t="inlineStr">
        <is>
          <t>AUD</t>
        </is>
      </c>
      <c r="S1465" t="n">
        <v>0</v>
      </c>
      <c r="T1465" t="inlineStr">
        <is>
          <t>AUD</t>
        </is>
      </c>
      <c r="U1465" t="n">
        <v>0</v>
      </c>
    </row>
    <row r="1466">
      <c r="A1466" s="5" t="inlineStr">
        <is>
          <t>01a1212c-5df9-75db-a071-729fb0648bf1</t>
        </is>
      </c>
      <c r="C1466" s="5" t="inlineStr">
        <is>
          <t>01a1212c-4b57-70cf-80fd-c2192cb3bf81</t>
        </is>
      </c>
      <c r="D1466" s="4" t="n">
        <v>46304.62405325918</v>
      </c>
      <c r="E1466" s="4" t="n">
        <v>46304.62405325927</v>
      </c>
      <c r="F1466" t="b">
        <v>1</v>
      </c>
      <c r="G1466" t="n">
        <v/>
      </c>
      <c r="H1466" t="inlineStr">
        <is>
          <t>S3GO</t>
        </is>
      </c>
      <c r="I1466" t="inlineStr">
        <is>
          <t>Firetrail S3 Global Opps Fund (Managed Fund)</t>
        </is>
      </c>
      <c r="J1466" t="inlineStr">
        <is>
          <t>AUD</t>
        </is>
      </c>
      <c r="K1466" s="5" t="inlineStr">
        <is>
          <t>01a1212c-4c04-75ce-bbb2-e3322e18816e</t>
        </is>
      </c>
      <c r="M1466" t="inlineStr">
        <is>
          <t>UNKNOWN</t>
        </is>
      </c>
      <c r="N1466" t="inlineStr">
        <is>
          <t>DEFAULT</t>
        </is>
      </c>
      <c r="Q1466" t="n">
        <v>0</v>
      </c>
      <c r="R1466" t="inlineStr">
        <is>
          <t>AUD</t>
        </is>
      </c>
      <c r="S1466" t="n">
        <v>0</v>
      </c>
      <c r="T1466" t="inlineStr">
        <is>
          <t>AUD</t>
        </is>
      </c>
      <c r="U1466" t="n">
        <v>0</v>
      </c>
    </row>
    <row r="1467">
      <c r="A1467" s="5" t="inlineStr">
        <is>
          <t>01a1212c-5dfc-76e6-a504-cf347f3b2cd5</t>
        </is>
      </c>
      <c r="C1467" s="5" t="inlineStr">
        <is>
          <t>01a1212c-4b57-70cf-80fd-c2192cb3bf81</t>
        </is>
      </c>
      <c r="D1467" s="4" t="n">
        <v>46304.62405329184</v>
      </c>
      <c r="E1467" s="4" t="n">
        <v>46304.62405329193</v>
      </c>
      <c r="F1467" t="b">
        <v>1</v>
      </c>
      <c r="G1467" t="n">
        <v/>
      </c>
      <c r="H1467" t="inlineStr">
        <is>
          <t>PXX</t>
        </is>
      </c>
      <c r="I1467" t="inlineStr">
        <is>
          <t>Polarx Ltd</t>
        </is>
      </c>
      <c r="J1467" t="inlineStr">
        <is>
          <t>AUD</t>
        </is>
      </c>
      <c r="K1467" s="5" t="inlineStr">
        <is>
          <t>01a1212c-4c04-75ce-bbb2-e3322e18816e</t>
        </is>
      </c>
      <c r="M1467" t="inlineStr">
        <is>
          <t>UNKNOWN</t>
        </is>
      </c>
      <c r="N1467" t="inlineStr">
        <is>
          <t>DEFAULT</t>
        </is>
      </c>
      <c r="Q1467" t="n">
        <v>0</v>
      </c>
      <c r="R1467" t="inlineStr">
        <is>
          <t>AUD</t>
        </is>
      </c>
      <c r="S1467" t="n">
        <v>0</v>
      </c>
      <c r="T1467" t="inlineStr">
        <is>
          <t>AUD</t>
        </is>
      </c>
      <c r="U1467" t="n">
        <v>0</v>
      </c>
    </row>
    <row r="1468">
      <c r="A1468" s="5" t="inlineStr">
        <is>
          <t>01a1212c-5e00-7353-aefc-dce48e789cb8</t>
        </is>
      </c>
      <c r="C1468" s="5" t="inlineStr">
        <is>
          <t>01a1212c-4b57-70cf-80fd-c2192cb3bf81</t>
        </is>
      </c>
      <c r="D1468" s="4" t="n">
        <v>46304.6240533366</v>
      </c>
      <c r="E1468" s="4" t="n">
        <v>46304.62405333678</v>
      </c>
      <c r="F1468" t="b">
        <v>1</v>
      </c>
      <c r="G1468" t="n">
        <v/>
      </c>
      <c r="H1468" t="inlineStr">
        <is>
          <t>WEMG</t>
        </is>
      </c>
      <c r="I1468" t="inlineStr">
        <is>
          <t>SPDR S&amp;P Emerging Markets Carbon Control Fund</t>
        </is>
      </c>
      <c r="J1468" t="inlineStr">
        <is>
          <t>AUD</t>
        </is>
      </c>
      <c r="K1468" s="5" t="inlineStr">
        <is>
          <t>01a1212c-4c04-75ce-bbb2-e3322e18816e</t>
        </is>
      </c>
      <c r="M1468" t="inlineStr">
        <is>
          <t>UNKNOWN</t>
        </is>
      </c>
      <c r="N1468" t="inlineStr">
        <is>
          <t>DEFAULT</t>
        </is>
      </c>
      <c r="Q1468" t="n">
        <v>0</v>
      </c>
      <c r="R1468" t="inlineStr">
        <is>
          <t>AUD</t>
        </is>
      </c>
      <c r="S1468" t="n">
        <v>0</v>
      </c>
      <c r="T1468" t="inlineStr">
        <is>
          <t>AUD</t>
        </is>
      </c>
      <c r="U1468" t="n">
        <v>0</v>
      </c>
    </row>
    <row r="1469">
      <c r="A1469" s="5" t="inlineStr">
        <is>
          <t>01a1212c-5e04-7360-a17c-ded6563d785e</t>
        </is>
      </c>
      <c r="C1469" s="5" t="inlineStr">
        <is>
          <t>01a1212c-4b57-70cf-80fd-c2192cb3bf81</t>
        </is>
      </c>
      <c r="D1469" s="4" t="n">
        <v>46304.62405339324</v>
      </c>
      <c r="E1469" s="4" t="n">
        <v>46304.62405339342</v>
      </c>
      <c r="F1469" t="b">
        <v>1</v>
      </c>
      <c r="G1469" t="n">
        <v/>
      </c>
      <c r="H1469" t="inlineStr">
        <is>
          <t>DFND</t>
        </is>
      </c>
      <c r="I1469" t="inlineStr">
        <is>
          <t>Vaneck Global Defence ETF</t>
        </is>
      </c>
      <c r="J1469" t="inlineStr">
        <is>
          <t>AUD</t>
        </is>
      </c>
      <c r="K1469" s="5" t="inlineStr">
        <is>
          <t>01a1212c-4c04-75ce-bbb2-e3322e18816e</t>
        </is>
      </c>
      <c r="M1469" t="inlineStr">
        <is>
          <t>UNKNOWN</t>
        </is>
      </c>
      <c r="N1469" t="inlineStr">
        <is>
          <t>DEFAULT</t>
        </is>
      </c>
      <c r="Q1469" t="n">
        <v>0</v>
      </c>
      <c r="R1469" t="inlineStr">
        <is>
          <t>AUD</t>
        </is>
      </c>
      <c r="S1469" t="n">
        <v>0</v>
      </c>
      <c r="T1469" t="inlineStr">
        <is>
          <t>AUD</t>
        </is>
      </c>
      <c r="U1469" t="n">
        <v>0</v>
      </c>
    </row>
    <row r="1470">
      <c r="A1470" s="5" t="inlineStr">
        <is>
          <t>01a1212c-5e09-719f-835c-da80c52570c3</t>
        </is>
      </c>
      <c r="C1470" s="5" t="inlineStr">
        <is>
          <t>01a1212c-4b57-70cf-80fd-c2192cb3bf81</t>
        </is>
      </c>
      <c r="D1470" s="4" t="n">
        <v>46304.62405344662</v>
      </c>
      <c r="E1470" s="4" t="n">
        <v>46304.62405344679</v>
      </c>
      <c r="F1470" t="b">
        <v>1</v>
      </c>
      <c r="G1470" t="n">
        <v/>
      </c>
      <c r="H1470" t="inlineStr">
        <is>
          <t>NXM</t>
        </is>
      </c>
      <c r="I1470" t="inlineStr">
        <is>
          <t>Nexus Minerals Ltd</t>
        </is>
      </c>
      <c r="J1470" t="inlineStr">
        <is>
          <t>AUD</t>
        </is>
      </c>
      <c r="K1470" s="5" t="inlineStr">
        <is>
          <t>01a1212c-4c04-75ce-bbb2-e3322e18816e</t>
        </is>
      </c>
      <c r="M1470" t="inlineStr">
        <is>
          <t>UNKNOWN</t>
        </is>
      </c>
      <c r="N1470" t="inlineStr">
        <is>
          <t>DEFAULT</t>
        </is>
      </c>
      <c r="Q1470" t="n">
        <v>0</v>
      </c>
      <c r="R1470" t="inlineStr">
        <is>
          <t>AUD</t>
        </is>
      </c>
      <c r="S1470" t="n">
        <v>0</v>
      </c>
      <c r="T1470" t="inlineStr">
        <is>
          <t>AUD</t>
        </is>
      </c>
      <c r="U1470" t="n">
        <v>0</v>
      </c>
    </row>
    <row r="1471">
      <c r="A1471" s="5" t="inlineStr">
        <is>
          <t>01a1212c-5e0d-7579-a6f7-ae0c67544d39</t>
        </is>
      </c>
      <c r="C1471" s="5" t="inlineStr">
        <is>
          <t>01a1212c-4b57-70cf-80fd-c2192cb3bf81</t>
        </is>
      </c>
      <c r="D1471" s="4" t="n">
        <v>46304.62405349548</v>
      </c>
      <c r="E1471" s="4" t="n">
        <v>46304.62405349564</v>
      </c>
      <c r="F1471" t="b">
        <v>1</v>
      </c>
      <c r="G1471" t="n">
        <v/>
      </c>
      <c r="H1471" t="inlineStr">
        <is>
          <t>CXZ</t>
        </is>
      </c>
      <c r="I1471" t="inlineStr">
        <is>
          <t>Connexion Mobility Ltd</t>
        </is>
      </c>
      <c r="J1471" t="inlineStr">
        <is>
          <t>AUD</t>
        </is>
      </c>
      <c r="K1471" s="5" t="inlineStr">
        <is>
          <t>01a1212c-4c04-75ce-bbb2-e3322e18816e</t>
        </is>
      </c>
      <c r="M1471" t="inlineStr">
        <is>
          <t>UNKNOWN</t>
        </is>
      </c>
      <c r="N1471" t="inlineStr">
        <is>
          <t>DEFAULT</t>
        </is>
      </c>
      <c r="Q1471" t="n">
        <v>0</v>
      </c>
      <c r="R1471" t="inlineStr">
        <is>
          <t>AUD</t>
        </is>
      </c>
      <c r="S1471" t="n">
        <v>0</v>
      </c>
      <c r="T1471" t="inlineStr">
        <is>
          <t>AUD</t>
        </is>
      </c>
      <c r="U1471" t="n">
        <v>0</v>
      </c>
    </row>
    <row r="1472">
      <c r="A1472" s="5" t="inlineStr">
        <is>
          <t>01a1212c-5e11-73a7-b184-ac5f98f9a1e1</t>
        </is>
      </c>
      <c r="C1472" s="5" t="inlineStr">
        <is>
          <t>01a1212c-4b57-70cf-80fd-c2192cb3bf81</t>
        </is>
      </c>
      <c r="D1472" s="4" t="n">
        <v>46304.6240535373</v>
      </c>
      <c r="E1472" s="4" t="n">
        <v>46304.62405353747</v>
      </c>
      <c r="F1472" t="b">
        <v>1</v>
      </c>
      <c r="G1472" t="n">
        <v/>
      </c>
      <c r="H1472" t="inlineStr">
        <is>
          <t>COD</t>
        </is>
      </c>
      <c r="I1472" t="inlineStr">
        <is>
          <t>Coda Minerals Ltd</t>
        </is>
      </c>
      <c r="J1472" t="inlineStr">
        <is>
          <t>AUD</t>
        </is>
      </c>
      <c r="K1472" s="5" t="inlineStr">
        <is>
          <t>01a1212c-4c04-75ce-bbb2-e3322e18816e</t>
        </is>
      </c>
      <c r="M1472" t="inlineStr">
        <is>
          <t>UNKNOWN</t>
        </is>
      </c>
      <c r="N1472" t="inlineStr">
        <is>
          <t>DEFAULT</t>
        </is>
      </c>
      <c r="Q1472" t="n">
        <v>0</v>
      </c>
      <c r="R1472" t="inlineStr">
        <is>
          <t>AUD</t>
        </is>
      </c>
      <c r="S1472" t="n">
        <v>0</v>
      </c>
      <c r="T1472" t="inlineStr">
        <is>
          <t>AUD</t>
        </is>
      </c>
      <c r="U1472" t="n">
        <v>0</v>
      </c>
    </row>
    <row r="1473">
      <c r="A1473" s="5" t="inlineStr">
        <is>
          <t>01a1212c-5e15-7582-9481-e7f31179ee15</t>
        </is>
      </c>
      <c r="C1473" s="5" t="inlineStr">
        <is>
          <t>01a1212c-4b57-70cf-80fd-c2192cb3bf81</t>
        </is>
      </c>
      <c r="D1473" s="4" t="n">
        <v>46304.62405358136</v>
      </c>
      <c r="E1473" s="4" t="n">
        <v>46304.62405358148</v>
      </c>
      <c r="F1473" t="b">
        <v>1</v>
      </c>
      <c r="G1473" t="n">
        <v/>
      </c>
      <c r="H1473" t="inlineStr">
        <is>
          <t>MOV</t>
        </is>
      </c>
      <c r="I1473" t="inlineStr">
        <is>
          <t>Move Logistics Group Ltd</t>
        </is>
      </c>
      <c r="J1473" t="inlineStr">
        <is>
          <t>AUD</t>
        </is>
      </c>
      <c r="K1473" s="5" t="inlineStr">
        <is>
          <t>01a1212c-4c04-75ce-bbb2-e3322e18816e</t>
        </is>
      </c>
      <c r="M1473" t="inlineStr">
        <is>
          <t>UNKNOWN</t>
        </is>
      </c>
      <c r="N1473" t="inlineStr">
        <is>
          <t>DEFAULT</t>
        </is>
      </c>
      <c r="Q1473" t="n">
        <v>0</v>
      </c>
      <c r="R1473" t="inlineStr">
        <is>
          <t>AUD</t>
        </is>
      </c>
      <c r="S1473" t="n">
        <v>0</v>
      </c>
      <c r="T1473" t="inlineStr">
        <is>
          <t>AUD</t>
        </is>
      </c>
      <c r="U1473" t="n">
        <v>0</v>
      </c>
    </row>
    <row r="1474">
      <c r="A1474" s="5" t="inlineStr">
        <is>
          <t>01a1212c-5e18-72cc-ad1e-b6cfe241c2cd</t>
        </is>
      </c>
      <c r="C1474" s="5" t="inlineStr">
        <is>
          <t>01a1212c-4b57-70cf-80fd-c2192cb3bf81</t>
        </is>
      </c>
      <c r="D1474" s="4" t="n">
        <v>46304.62405361739</v>
      </c>
      <c r="E1474" s="4" t="n">
        <v>46304.62405361749</v>
      </c>
      <c r="F1474" t="b">
        <v>1</v>
      </c>
      <c r="G1474" t="n">
        <v/>
      </c>
      <c r="H1474" t="inlineStr">
        <is>
          <t>WAG</t>
        </is>
      </c>
      <c r="I1474" t="inlineStr">
        <is>
          <t>The Australian Wealth Advisors Group Ltd</t>
        </is>
      </c>
      <c r="J1474" t="inlineStr">
        <is>
          <t>AUD</t>
        </is>
      </c>
      <c r="K1474" s="5" t="inlineStr">
        <is>
          <t>01a1212c-4c04-75ce-bbb2-e3322e18816e</t>
        </is>
      </c>
      <c r="M1474" t="inlineStr">
        <is>
          <t>UNKNOWN</t>
        </is>
      </c>
      <c r="N1474" t="inlineStr">
        <is>
          <t>DEFAULT</t>
        </is>
      </c>
      <c r="Q1474" t="n">
        <v>0</v>
      </c>
      <c r="R1474" t="inlineStr">
        <is>
          <t>AUD</t>
        </is>
      </c>
      <c r="S1474" t="n">
        <v>0</v>
      </c>
      <c r="T1474" t="inlineStr">
        <is>
          <t>AUD</t>
        </is>
      </c>
      <c r="U1474" t="n">
        <v>0</v>
      </c>
    </row>
    <row r="1475">
      <c r="A1475" s="5" t="inlineStr">
        <is>
          <t>01a1212c-5e1b-72a8-9989-23fecf7eef60</t>
        </is>
      </c>
      <c r="C1475" s="5" t="inlineStr">
        <is>
          <t>01a1212c-4b57-70cf-80fd-c2192cb3bf81</t>
        </is>
      </c>
      <c r="D1475" s="4" t="n">
        <v>46304.62405364901</v>
      </c>
      <c r="E1475" s="4" t="n">
        <v>46304.62405364909</v>
      </c>
      <c r="F1475" t="b">
        <v>1</v>
      </c>
      <c r="G1475" t="n">
        <v/>
      </c>
      <c r="H1475" t="inlineStr">
        <is>
          <t>ADN</t>
        </is>
      </c>
      <c r="I1475" t="inlineStr">
        <is>
          <t>Andromeda Metals Ltd</t>
        </is>
      </c>
      <c r="J1475" t="inlineStr">
        <is>
          <t>AUD</t>
        </is>
      </c>
      <c r="K1475" s="5" t="inlineStr">
        <is>
          <t>01a1212c-4c04-75ce-bbb2-e3322e18816e</t>
        </is>
      </c>
      <c r="M1475" t="inlineStr">
        <is>
          <t>UNKNOWN</t>
        </is>
      </c>
      <c r="N1475" t="inlineStr">
        <is>
          <t>DEFAULT</t>
        </is>
      </c>
      <c r="Q1475" t="n">
        <v>0</v>
      </c>
      <c r="R1475" t="inlineStr">
        <is>
          <t>AUD</t>
        </is>
      </c>
      <c r="S1475" t="n">
        <v>0</v>
      </c>
      <c r="T1475" t="inlineStr">
        <is>
          <t>AUD</t>
        </is>
      </c>
      <c r="U1475" t="n">
        <v>0</v>
      </c>
    </row>
    <row r="1476">
      <c r="A1476" s="5" t="inlineStr">
        <is>
          <t>01a1212c-5e1d-7235-ab07-ad1899d1880b</t>
        </is>
      </c>
      <c r="C1476" s="5" t="inlineStr">
        <is>
          <t>01a1212c-4b57-70cf-80fd-c2192cb3bf81</t>
        </is>
      </c>
      <c r="D1476" s="4" t="n">
        <v>46304.62405368087</v>
      </c>
      <c r="E1476" s="4" t="n">
        <v>46304.62405368095</v>
      </c>
      <c r="F1476" t="b">
        <v>1</v>
      </c>
      <c r="G1476" t="n">
        <v/>
      </c>
      <c r="H1476" t="inlineStr">
        <is>
          <t>ICL</t>
        </is>
      </c>
      <c r="I1476" t="inlineStr">
        <is>
          <t>Iceni Gold Ltd</t>
        </is>
      </c>
      <c r="J1476" t="inlineStr">
        <is>
          <t>AUD</t>
        </is>
      </c>
      <c r="K1476" s="5" t="inlineStr">
        <is>
          <t>01a1212c-4c04-75ce-bbb2-e3322e18816e</t>
        </is>
      </c>
      <c r="M1476" t="inlineStr">
        <is>
          <t>UNKNOWN</t>
        </is>
      </c>
      <c r="N1476" t="inlineStr">
        <is>
          <t>DEFAULT</t>
        </is>
      </c>
      <c r="Q1476" t="n">
        <v>0</v>
      </c>
      <c r="R1476" t="inlineStr">
        <is>
          <t>AUD</t>
        </is>
      </c>
      <c r="S1476" t="n">
        <v>0</v>
      </c>
      <c r="T1476" t="inlineStr">
        <is>
          <t>AUD</t>
        </is>
      </c>
      <c r="U1476" t="n">
        <v>0</v>
      </c>
    </row>
    <row r="1477">
      <c r="A1477" s="5" t="inlineStr">
        <is>
          <t>01a1212c-5e20-758f-a1a1-ebb2b9b76148</t>
        </is>
      </c>
      <c r="C1477" s="5" t="inlineStr">
        <is>
          <t>01a1212c-4b57-70cf-80fd-c2192cb3bf81</t>
        </is>
      </c>
      <c r="D1477" s="4" t="n">
        <v>46304.62405371538</v>
      </c>
      <c r="E1477" s="4" t="n">
        <v>46304.62405371549</v>
      </c>
      <c r="F1477" t="b">
        <v>1</v>
      </c>
      <c r="G1477" t="n">
        <v/>
      </c>
      <c r="H1477" t="inlineStr">
        <is>
          <t>MAG</t>
        </is>
      </c>
      <c r="I1477" t="inlineStr">
        <is>
          <t>Magmatic Resources Ltd</t>
        </is>
      </c>
      <c r="J1477" t="inlineStr">
        <is>
          <t>AUD</t>
        </is>
      </c>
      <c r="K1477" s="5" t="inlineStr">
        <is>
          <t>01a1212c-4c04-75ce-bbb2-e3322e18816e</t>
        </is>
      </c>
      <c r="M1477" t="inlineStr">
        <is>
          <t>UNKNOWN</t>
        </is>
      </c>
      <c r="N1477" t="inlineStr">
        <is>
          <t>DEFAULT</t>
        </is>
      </c>
      <c r="Q1477" t="n">
        <v>0</v>
      </c>
      <c r="R1477" t="inlineStr">
        <is>
          <t>AUD</t>
        </is>
      </c>
      <c r="S1477" t="n">
        <v>0</v>
      </c>
      <c r="T1477" t="inlineStr">
        <is>
          <t>AUD</t>
        </is>
      </c>
      <c r="U1477" t="n">
        <v>0</v>
      </c>
    </row>
    <row r="1478">
      <c r="A1478" s="5" t="inlineStr">
        <is>
          <t>01a1212c-5e23-717c-97ae-f8870721658e</t>
        </is>
      </c>
      <c r="C1478" s="5" t="inlineStr">
        <is>
          <t>01a1212c-4b57-70cf-80fd-c2192cb3bf81</t>
        </is>
      </c>
      <c r="D1478" s="4" t="n">
        <v>46304.6240537497</v>
      </c>
      <c r="E1478" s="4" t="n">
        <v>46304.62405374978</v>
      </c>
      <c r="F1478" t="b">
        <v>1</v>
      </c>
      <c r="G1478" t="n">
        <v/>
      </c>
      <c r="H1478" t="inlineStr">
        <is>
          <t>5GG</t>
        </is>
      </c>
      <c r="I1478" t="inlineStr">
        <is>
          <t>Pentanet Ltd</t>
        </is>
      </c>
      <c r="J1478" t="inlineStr">
        <is>
          <t>AUD</t>
        </is>
      </c>
      <c r="K1478" s="5" t="inlineStr">
        <is>
          <t>01a1212c-4c04-75ce-bbb2-e3322e18816e</t>
        </is>
      </c>
      <c r="M1478" t="inlineStr">
        <is>
          <t>UNKNOWN</t>
        </is>
      </c>
      <c r="N1478" t="inlineStr">
        <is>
          <t>DEFAULT</t>
        </is>
      </c>
      <c r="Q1478" t="n">
        <v>0</v>
      </c>
      <c r="R1478" t="inlineStr">
        <is>
          <t>AUD</t>
        </is>
      </c>
      <c r="S1478" t="n">
        <v>0</v>
      </c>
      <c r="T1478" t="inlineStr">
        <is>
          <t>AUD</t>
        </is>
      </c>
      <c r="U1478" t="n">
        <v>0</v>
      </c>
    </row>
    <row r="1479">
      <c r="A1479" s="5" t="inlineStr">
        <is>
          <t>01a1212c-5e26-74d2-bd2f-a103f8f850ba</t>
        </is>
      </c>
      <c r="C1479" s="5" t="inlineStr">
        <is>
          <t>01a1212c-4b57-70cf-80fd-c2192cb3bf81</t>
        </is>
      </c>
      <c r="D1479" s="4" t="n">
        <v>46304.62405378161</v>
      </c>
      <c r="E1479" s="4" t="n">
        <v>46304.6240537817</v>
      </c>
      <c r="F1479" t="b">
        <v>1</v>
      </c>
      <c r="G1479" t="n">
        <v/>
      </c>
      <c r="H1479" t="inlineStr">
        <is>
          <t>BMR</t>
        </is>
      </c>
      <c r="I1479" t="inlineStr">
        <is>
          <t>Ballymore Resources Ltd</t>
        </is>
      </c>
      <c r="J1479" t="inlineStr">
        <is>
          <t>AUD</t>
        </is>
      </c>
      <c r="K1479" s="5" t="inlineStr">
        <is>
          <t>01a1212c-4c04-75ce-bbb2-e3322e18816e</t>
        </is>
      </c>
      <c r="M1479" t="inlineStr">
        <is>
          <t>UNKNOWN</t>
        </is>
      </c>
      <c r="N1479" t="inlineStr">
        <is>
          <t>DEFAULT</t>
        </is>
      </c>
      <c r="Q1479" t="n">
        <v>0</v>
      </c>
      <c r="R1479" t="inlineStr">
        <is>
          <t>AUD</t>
        </is>
      </c>
      <c r="S1479" t="n">
        <v>0</v>
      </c>
      <c r="T1479" t="inlineStr">
        <is>
          <t>AUD</t>
        </is>
      </c>
      <c r="U1479" t="n">
        <v>0</v>
      </c>
    </row>
    <row r="1480">
      <c r="A1480" s="5" t="inlineStr">
        <is>
          <t>01a1212c-5e29-7425-a9a1-7b888130946c</t>
        </is>
      </c>
      <c r="C1480" s="5" t="inlineStr">
        <is>
          <t>01a1212c-4b57-70cf-80fd-c2192cb3bf81</t>
        </is>
      </c>
      <c r="D1480" s="4" t="n">
        <v>46304.62405381289</v>
      </c>
      <c r="E1480" s="4" t="n">
        <v>46304.62405381299</v>
      </c>
      <c r="F1480" t="b">
        <v>1</v>
      </c>
      <c r="G1480" t="n">
        <v/>
      </c>
      <c r="H1480" t="inlineStr">
        <is>
          <t>ECS</t>
        </is>
      </c>
      <c r="I1480" t="inlineStr">
        <is>
          <t>ECS Botanics Holdings Ltd</t>
        </is>
      </c>
      <c r="J1480" t="inlineStr">
        <is>
          <t>AUD</t>
        </is>
      </c>
      <c r="K1480" s="5" t="inlineStr">
        <is>
          <t>01a1212c-4c04-75ce-bbb2-e3322e18816e</t>
        </is>
      </c>
      <c r="M1480" t="inlineStr">
        <is>
          <t>UNKNOWN</t>
        </is>
      </c>
      <c r="N1480" t="inlineStr">
        <is>
          <t>DEFAULT</t>
        </is>
      </c>
      <c r="Q1480" t="n">
        <v>0</v>
      </c>
      <c r="R1480" t="inlineStr">
        <is>
          <t>AUD</t>
        </is>
      </c>
      <c r="S1480" t="n">
        <v>0</v>
      </c>
      <c r="T1480" t="inlineStr">
        <is>
          <t>AUD</t>
        </is>
      </c>
      <c r="U1480" t="n">
        <v>0</v>
      </c>
    </row>
    <row r="1481">
      <c r="A1481" s="5" t="inlineStr">
        <is>
          <t>01a1212c-5e2c-77fe-8ec3-b9975f0d8593</t>
        </is>
      </c>
      <c r="C1481" s="5" t="inlineStr">
        <is>
          <t>01a1212c-4b57-70cf-80fd-c2192cb3bf81</t>
        </is>
      </c>
      <c r="D1481" s="4" t="n">
        <v>46304.62405384408</v>
      </c>
      <c r="E1481" s="4" t="n">
        <v>46304.62405384416</v>
      </c>
      <c r="F1481" t="b">
        <v>1</v>
      </c>
      <c r="G1481" t="n">
        <v/>
      </c>
      <c r="H1481" t="inlineStr">
        <is>
          <t>NHE</t>
        </is>
      </c>
      <c r="I1481" t="inlineStr">
        <is>
          <t>Noble Helium Ltd</t>
        </is>
      </c>
      <c r="J1481" t="inlineStr">
        <is>
          <t>AUD</t>
        </is>
      </c>
      <c r="K1481" s="5" t="inlineStr">
        <is>
          <t>01a1212c-4c04-75ce-bbb2-e3322e18816e</t>
        </is>
      </c>
      <c r="M1481" t="inlineStr">
        <is>
          <t>UNKNOWN</t>
        </is>
      </c>
      <c r="N1481" t="inlineStr">
        <is>
          <t>DEFAULT</t>
        </is>
      </c>
      <c r="Q1481" t="n">
        <v>0</v>
      </c>
      <c r="R1481" t="inlineStr">
        <is>
          <t>AUD</t>
        </is>
      </c>
      <c r="S1481" t="n">
        <v>0</v>
      </c>
      <c r="T1481" t="inlineStr">
        <is>
          <t>AUD</t>
        </is>
      </c>
      <c r="U1481" t="n">
        <v>0</v>
      </c>
    </row>
    <row r="1482">
      <c r="A1482" s="5" t="inlineStr">
        <is>
          <t>01a1212c-5e2e-729f-9848-2cfc9e25214b</t>
        </is>
      </c>
      <c r="C1482" s="5" t="inlineStr">
        <is>
          <t>01a1212c-4b57-70cf-80fd-c2192cb3bf81</t>
        </is>
      </c>
      <c r="D1482" s="4" t="n">
        <v>46304.62405387488</v>
      </c>
      <c r="E1482" s="4" t="n">
        <v>46304.62405387496</v>
      </c>
      <c r="F1482" t="b">
        <v>1</v>
      </c>
      <c r="G1482" t="n">
        <v/>
      </c>
      <c r="H1482" t="inlineStr">
        <is>
          <t>KPO</t>
        </is>
      </c>
      <c r="I1482" t="inlineStr">
        <is>
          <t>Kalina Power Ltd</t>
        </is>
      </c>
      <c r="J1482" t="inlineStr">
        <is>
          <t>AUD</t>
        </is>
      </c>
      <c r="K1482" s="5" t="inlineStr">
        <is>
          <t>01a1212c-4c04-75ce-bbb2-e3322e18816e</t>
        </is>
      </c>
      <c r="M1482" t="inlineStr">
        <is>
          <t>UNKNOWN</t>
        </is>
      </c>
      <c r="N1482" t="inlineStr">
        <is>
          <t>DEFAULT</t>
        </is>
      </c>
      <c r="Q1482" t="n">
        <v>0</v>
      </c>
      <c r="R1482" t="inlineStr">
        <is>
          <t>AUD</t>
        </is>
      </c>
      <c r="S1482" t="n">
        <v>0</v>
      </c>
      <c r="T1482" t="inlineStr">
        <is>
          <t>AUD</t>
        </is>
      </c>
      <c r="U1482" t="n">
        <v>0</v>
      </c>
    </row>
    <row r="1483">
      <c r="A1483" s="5" t="inlineStr">
        <is>
          <t>01a1212c-5e31-7508-9e8e-0342951a72f4</t>
        </is>
      </c>
      <c r="C1483" s="5" t="inlineStr">
        <is>
          <t>01a1212c-4b57-70cf-80fd-c2192cb3bf81</t>
        </is>
      </c>
      <c r="D1483" s="4" t="n">
        <v>46304.62405391056</v>
      </c>
      <c r="E1483" s="4" t="n">
        <v>46304.62405391065</v>
      </c>
      <c r="F1483" t="b">
        <v>1</v>
      </c>
      <c r="G1483" t="n">
        <v/>
      </c>
      <c r="H1483" t="inlineStr">
        <is>
          <t>NUH</t>
        </is>
      </c>
      <c r="I1483" t="inlineStr">
        <is>
          <t>Nuheara Ltd</t>
        </is>
      </c>
      <c r="J1483" t="inlineStr">
        <is>
          <t>AUD</t>
        </is>
      </c>
      <c r="K1483" s="5" t="inlineStr">
        <is>
          <t>01a1212c-4c04-75ce-bbb2-e3322e18816e</t>
        </is>
      </c>
      <c r="M1483" t="inlineStr">
        <is>
          <t>UNKNOWN</t>
        </is>
      </c>
      <c r="N1483" t="inlineStr">
        <is>
          <t>DEFAULT</t>
        </is>
      </c>
      <c r="Q1483" t="n">
        <v>0</v>
      </c>
      <c r="R1483" t="inlineStr">
        <is>
          <t>AUD</t>
        </is>
      </c>
      <c r="S1483" t="n">
        <v>0</v>
      </c>
      <c r="T1483" t="inlineStr">
        <is>
          <t>AUD</t>
        </is>
      </c>
      <c r="U1483" t="n">
        <v>0</v>
      </c>
    </row>
    <row r="1484">
      <c r="A1484" s="5" t="inlineStr">
        <is>
          <t>01a1212c-5e34-763b-95b2-523b9051d162</t>
        </is>
      </c>
      <c r="C1484" s="5" t="inlineStr">
        <is>
          <t>01a1212c-4b57-70cf-80fd-c2192cb3bf81</t>
        </is>
      </c>
      <c r="D1484" s="4" t="n">
        <v>46304.62405394208</v>
      </c>
      <c r="E1484" s="4" t="n">
        <v>46304.62405394216</v>
      </c>
      <c r="F1484" t="b">
        <v>1</v>
      </c>
      <c r="G1484" t="n">
        <v/>
      </c>
      <c r="H1484" t="inlineStr">
        <is>
          <t>MKR</t>
        </is>
      </c>
      <c r="I1484" t="inlineStr">
        <is>
          <t>Manuka Resources Ltd</t>
        </is>
      </c>
      <c r="J1484" t="inlineStr">
        <is>
          <t>AUD</t>
        </is>
      </c>
      <c r="K1484" s="5" t="inlineStr">
        <is>
          <t>01a1212c-4c04-75ce-bbb2-e3322e18816e</t>
        </is>
      </c>
      <c r="M1484" t="inlineStr">
        <is>
          <t>UNKNOWN</t>
        </is>
      </c>
      <c r="N1484" t="inlineStr">
        <is>
          <t>DEFAULT</t>
        </is>
      </c>
      <c r="Q1484" t="n">
        <v>0</v>
      </c>
      <c r="R1484" t="inlineStr">
        <is>
          <t>AUD</t>
        </is>
      </c>
      <c r="S1484" t="n">
        <v>0</v>
      </c>
      <c r="T1484" t="inlineStr">
        <is>
          <t>AUD</t>
        </is>
      </c>
      <c r="U1484" t="n">
        <v>0</v>
      </c>
    </row>
    <row r="1485">
      <c r="A1485" s="5" t="inlineStr">
        <is>
          <t>01a1212c-5e37-7346-a0ef-39cc60a4fb8d</t>
        </is>
      </c>
      <c r="C1485" s="5" t="inlineStr">
        <is>
          <t>01a1212c-4b57-70cf-80fd-c2192cb3bf81</t>
        </is>
      </c>
      <c r="D1485" s="4" t="n">
        <v>46304.62405397269</v>
      </c>
      <c r="E1485" s="4" t="n">
        <v>46304.62405397277</v>
      </c>
      <c r="F1485" t="b">
        <v>1</v>
      </c>
      <c r="G1485" t="n">
        <v/>
      </c>
      <c r="H1485" t="inlineStr">
        <is>
          <t>HCF</t>
        </is>
      </c>
      <c r="I1485" t="inlineStr">
        <is>
          <t>H&amp;G High Conviction Ltd</t>
        </is>
      </c>
      <c r="J1485" t="inlineStr">
        <is>
          <t>AUD</t>
        </is>
      </c>
      <c r="K1485" s="5" t="inlineStr">
        <is>
          <t>01a1212c-4c04-75ce-bbb2-e3322e18816e</t>
        </is>
      </c>
      <c r="M1485" t="inlineStr">
        <is>
          <t>UNKNOWN</t>
        </is>
      </c>
      <c r="N1485" t="inlineStr">
        <is>
          <t>DEFAULT</t>
        </is>
      </c>
      <c r="Q1485" t="n">
        <v>0</v>
      </c>
      <c r="R1485" t="inlineStr">
        <is>
          <t>AUD</t>
        </is>
      </c>
      <c r="S1485" t="n">
        <v>0</v>
      </c>
      <c r="T1485" t="inlineStr">
        <is>
          <t>AUD</t>
        </is>
      </c>
      <c r="U1485" t="n">
        <v>0</v>
      </c>
    </row>
    <row r="1486">
      <c r="A1486" s="5" t="inlineStr">
        <is>
          <t>01a1212c-5e39-770f-abd7-a75d62437cf9</t>
        </is>
      </c>
      <c r="C1486" s="5" t="inlineStr">
        <is>
          <t>01a1212c-4b57-70cf-80fd-c2192cb3bf81</t>
        </is>
      </c>
      <c r="D1486" s="4" t="n">
        <v>46304.62405400355</v>
      </c>
      <c r="E1486" s="4" t="n">
        <v>46304.62405400362</v>
      </c>
      <c r="F1486" t="b">
        <v>1</v>
      </c>
      <c r="G1486" t="n">
        <v/>
      </c>
      <c r="H1486" t="inlineStr">
        <is>
          <t>US10</t>
        </is>
      </c>
      <c r="I1486" t="inlineStr">
        <is>
          <t>Betashares US Treasury Bond 7-10YR CH ETF</t>
        </is>
      </c>
      <c r="J1486" t="inlineStr">
        <is>
          <t>AUD</t>
        </is>
      </c>
      <c r="K1486" s="5" t="inlineStr">
        <is>
          <t>01a1212c-4c04-75ce-bbb2-e3322e18816e</t>
        </is>
      </c>
      <c r="M1486" t="inlineStr">
        <is>
          <t>UNKNOWN</t>
        </is>
      </c>
      <c r="N1486" t="inlineStr">
        <is>
          <t>DEFAULT</t>
        </is>
      </c>
      <c r="Q1486" t="n">
        <v>0</v>
      </c>
      <c r="R1486" t="inlineStr">
        <is>
          <t>AUD</t>
        </is>
      </c>
      <c r="S1486" t="n">
        <v>0</v>
      </c>
      <c r="T1486" t="inlineStr">
        <is>
          <t>AUD</t>
        </is>
      </c>
      <c r="U1486" t="n">
        <v>0</v>
      </c>
    </row>
    <row r="1487">
      <c r="A1487" s="5" t="inlineStr">
        <is>
          <t>01a1212c-5e3c-705c-b73c-101463f7fa30</t>
        </is>
      </c>
      <c r="C1487" s="5" t="inlineStr">
        <is>
          <t>01a1212c-4b57-70cf-80fd-c2192cb3bf81</t>
        </is>
      </c>
      <c r="D1487" s="4" t="n">
        <v>46304.6240540346</v>
      </c>
      <c r="E1487" s="4" t="n">
        <v>46304.62405403468</v>
      </c>
      <c r="F1487" t="b">
        <v>1</v>
      </c>
      <c r="G1487" t="n">
        <v/>
      </c>
      <c r="H1487" t="inlineStr">
        <is>
          <t>MQEG</t>
        </is>
      </c>
      <c r="I1487" t="inlineStr">
        <is>
          <t>Macquarie Core Global Equity Active ETF</t>
        </is>
      </c>
      <c r="J1487" t="inlineStr">
        <is>
          <t>AUD</t>
        </is>
      </c>
      <c r="K1487" s="5" t="inlineStr">
        <is>
          <t>01a1212c-4c04-75ce-bbb2-e3322e18816e</t>
        </is>
      </c>
      <c r="M1487" t="inlineStr">
        <is>
          <t>UNKNOWN</t>
        </is>
      </c>
      <c r="N1487" t="inlineStr">
        <is>
          <t>DEFAULT</t>
        </is>
      </c>
      <c r="Q1487" t="n">
        <v>0</v>
      </c>
      <c r="R1487" t="inlineStr">
        <is>
          <t>AUD</t>
        </is>
      </c>
      <c r="S1487" t="n">
        <v>0</v>
      </c>
      <c r="T1487" t="inlineStr">
        <is>
          <t>AUD</t>
        </is>
      </c>
      <c r="U1487" t="n">
        <v>0</v>
      </c>
    </row>
    <row r="1488">
      <c r="A1488" s="5" t="inlineStr">
        <is>
          <t>01a1212c-5e3f-74ea-8232-1a12ae802f6b</t>
        </is>
      </c>
      <c r="C1488" s="5" t="inlineStr">
        <is>
          <t>01a1212c-4b57-70cf-80fd-c2192cb3bf81</t>
        </is>
      </c>
      <c r="D1488" s="4" t="n">
        <v>46304.62405406848</v>
      </c>
      <c r="E1488" s="4" t="n">
        <v>46304.62405406855</v>
      </c>
      <c r="F1488" t="b">
        <v>1</v>
      </c>
      <c r="G1488" t="n">
        <v/>
      </c>
      <c r="H1488" t="inlineStr">
        <is>
          <t>REZ</t>
        </is>
      </c>
      <c r="I1488" t="inlineStr">
        <is>
          <t>Resources &amp; Energy Group Ltd</t>
        </is>
      </c>
      <c r="J1488" t="inlineStr">
        <is>
          <t>AUD</t>
        </is>
      </c>
      <c r="K1488" s="5" t="inlineStr">
        <is>
          <t>01a1212c-4c04-75ce-bbb2-e3322e18816e</t>
        </is>
      </c>
      <c r="M1488" t="inlineStr">
        <is>
          <t>UNKNOWN</t>
        </is>
      </c>
      <c r="N1488" t="inlineStr">
        <is>
          <t>DEFAULT</t>
        </is>
      </c>
      <c r="Q1488" t="n">
        <v>0</v>
      </c>
      <c r="R1488" t="inlineStr">
        <is>
          <t>AUD</t>
        </is>
      </c>
      <c r="S1488" t="n">
        <v>0</v>
      </c>
      <c r="T1488" t="inlineStr">
        <is>
          <t>AUD</t>
        </is>
      </c>
      <c r="U1488" t="n">
        <v>0</v>
      </c>
    </row>
    <row r="1489">
      <c r="A1489" s="5" t="inlineStr">
        <is>
          <t>01a1212c-5e42-73ac-9523-d37bb8fa59b6</t>
        </is>
      </c>
      <c r="C1489" s="5" t="inlineStr">
        <is>
          <t>01a1212c-4b57-70cf-80fd-c2192cb3bf81</t>
        </is>
      </c>
      <c r="D1489" s="4" t="n">
        <v>46304.6240541057</v>
      </c>
      <c r="E1489" s="4" t="n">
        <v>46304.62405410579</v>
      </c>
      <c r="F1489" t="b">
        <v>1</v>
      </c>
      <c r="G1489" t="n">
        <v/>
      </c>
      <c r="H1489" t="inlineStr">
        <is>
          <t>LIT</t>
        </is>
      </c>
      <c r="I1489" t="inlineStr">
        <is>
          <t>Livium Ltd</t>
        </is>
      </c>
      <c r="J1489" t="inlineStr">
        <is>
          <t>AUD</t>
        </is>
      </c>
      <c r="K1489" s="5" t="inlineStr">
        <is>
          <t>01a1212c-4c04-75ce-bbb2-e3322e18816e</t>
        </is>
      </c>
      <c r="M1489" t="inlineStr">
        <is>
          <t>UNKNOWN</t>
        </is>
      </c>
      <c r="N1489" t="inlineStr">
        <is>
          <t>DEFAULT</t>
        </is>
      </c>
      <c r="Q1489" t="n">
        <v>0</v>
      </c>
      <c r="R1489" t="inlineStr">
        <is>
          <t>AUD</t>
        </is>
      </c>
      <c r="S1489" t="n">
        <v>0</v>
      </c>
      <c r="T1489" t="inlineStr">
        <is>
          <t>AUD</t>
        </is>
      </c>
      <c r="U1489" t="n">
        <v>0</v>
      </c>
    </row>
    <row r="1490">
      <c r="A1490" s="5" t="inlineStr">
        <is>
          <t>01a1212c-5e45-72c1-87d8-a1ed426af7ec</t>
        </is>
      </c>
      <c r="C1490" s="5" t="inlineStr">
        <is>
          <t>01a1212c-4b57-70cf-80fd-c2192cb3bf81</t>
        </is>
      </c>
      <c r="D1490" s="4" t="n">
        <v>46304.62405413794</v>
      </c>
      <c r="E1490" s="4" t="n">
        <v>46304.62405413802</v>
      </c>
      <c r="F1490" t="b">
        <v>1</v>
      </c>
      <c r="G1490" t="n">
        <v/>
      </c>
      <c r="H1490" t="inlineStr">
        <is>
          <t>ION</t>
        </is>
      </c>
      <c r="I1490" t="inlineStr">
        <is>
          <t>Iondrive Ltd</t>
        </is>
      </c>
      <c r="J1490" t="inlineStr">
        <is>
          <t>AUD</t>
        </is>
      </c>
      <c r="K1490" s="5" t="inlineStr">
        <is>
          <t>01a1212c-4c04-75ce-bbb2-e3322e18816e</t>
        </is>
      </c>
      <c r="M1490" t="inlineStr">
        <is>
          <t>UNKNOWN</t>
        </is>
      </c>
      <c r="N1490" t="inlineStr">
        <is>
          <t>DEFAULT</t>
        </is>
      </c>
      <c r="Q1490" t="n">
        <v>0</v>
      </c>
      <c r="R1490" t="inlineStr">
        <is>
          <t>AUD</t>
        </is>
      </c>
      <c r="S1490" t="n">
        <v>0</v>
      </c>
      <c r="T1490" t="inlineStr">
        <is>
          <t>AUD</t>
        </is>
      </c>
      <c r="U1490" t="n">
        <v>0</v>
      </c>
    </row>
    <row r="1491">
      <c r="A1491" s="5" t="inlineStr">
        <is>
          <t>01a1212c-5e48-710e-8a8e-e5b539a0bb70</t>
        </is>
      </c>
      <c r="C1491" s="5" t="inlineStr">
        <is>
          <t>01a1212c-4b57-70cf-80fd-c2192cb3bf81</t>
        </is>
      </c>
      <c r="D1491" s="4" t="n">
        <v>46304.62405416874</v>
      </c>
      <c r="E1491" s="4" t="n">
        <v>46304.62405416882</v>
      </c>
      <c r="F1491" t="b">
        <v>1</v>
      </c>
      <c r="G1491" t="n">
        <v/>
      </c>
      <c r="H1491" t="inlineStr">
        <is>
          <t>JAL</t>
        </is>
      </c>
      <c r="I1491" t="inlineStr">
        <is>
          <t>Jameson Resources Ltd</t>
        </is>
      </c>
      <c r="J1491" t="inlineStr">
        <is>
          <t>AUD</t>
        </is>
      </c>
      <c r="K1491" s="5" t="inlineStr">
        <is>
          <t>01a1212c-4c04-75ce-bbb2-e3322e18816e</t>
        </is>
      </c>
      <c r="M1491" t="inlineStr">
        <is>
          <t>UNKNOWN</t>
        </is>
      </c>
      <c r="N1491" t="inlineStr">
        <is>
          <t>DEFAULT</t>
        </is>
      </c>
      <c r="Q1491" t="n">
        <v>0</v>
      </c>
      <c r="R1491" t="inlineStr">
        <is>
          <t>AUD</t>
        </is>
      </c>
      <c r="S1491" t="n">
        <v>0</v>
      </c>
      <c r="T1491" t="inlineStr">
        <is>
          <t>AUD</t>
        </is>
      </c>
      <c r="U1491" t="n">
        <v>0</v>
      </c>
    </row>
    <row r="1492">
      <c r="A1492" s="5" t="inlineStr">
        <is>
          <t>01a1212c-5e4a-7558-a9aa-097d328e7b45</t>
        </is>
      </c>
      <c r="C1492" s="5" t="inlineStr">
        <is>
          <t>01a1212c-4b57-70cf-80fd-c2192cb3bf81</t>
        </is>
      </c>
      <c r="D1492" s="4" t="n">
        <v>46304.62405420141</v>
      </c>
      <c r="E1492" s="4" t="n">
        <v>46304.62405420149</v>
      </c>
      <c r="F1492" t="b">
        <v>1</v>
      </c>
      <c r="G1492" t="n">
        <v/>
      </c>
      <c r="H1492" t="inlineStr">
        <is>
          <t>EMP</t>
        </is>
      </c>
      <c r="I1492" t="inlineStr">
        <is>
          <t>Emperor Energy Ltd</t>
        </is>
      </c>
      <c r="J1492" t="inlineStr">
        <is>
          <t>AUD</t>
        </is>
      </c>
      <c r="K1492" s="5" t="inlineStr">
        <is>
          <t>01a1212c-4c04-75ce-bbb2-e3322e18816e</t>
        </is>
      </c>
      <c r="M1492" t="inlineStr">
        <is>
          <t>UNKNOWN</t>
        </is>
      </c>
      <c r="N1492" t="inlineStr">
        <is>
          <t>DEFAULT</t>
        </is>
      </c>
      <c r="Q1492" t="n">
        <v>0</v>
      </c>
      <c r="R1492" t="inlineStr">
        <is>
          <t>AUD</t>
        </is>
      </c>
      <c r="S1492" t="n">
        <v>0</v>
      </c>
      <c r="T1492" t="inlineStr">
        <is>
          <t>AUD</t>
        </is>
      </c>
      <c r="U1492" t="n">
        <v>0</v>
      </c>
    </row>
    <row r="1493">
      <c r="A1493" s="5" t="inlineStr">
        <is>
          <t>01a1212c-5e4d-706f-b03a-1343a88f5e52</t>
        </is>
      </c>
      <c r="C1493" s="5" t="inlineStr">
        <is>
          <t>01a1212c-4b57-70cf-80fd-c2192cb3bf81</t>
        </is>
      </c>
      <c r="D1493" s="4" t="n">
        <v>46304.62405423176</v>
      </c>
      <c r="E1493" s="4" t="n">
        <v>46304.62405423183</v>
      </c>
      <c r="F1493" t="b">
        <v>1</v>
      </c>
      <c r="G1493" t="n">
        <v/>
      </c>
      <c r="H1493" t="inlineStr">
        <is>
          <t>EVZ</t>
        </is>
      </c>
      <c r="I1493" t="inlineStr">
        <is>
          <t>EVZ Ltd</t>
        </is>
      </c>
      <c r="J1493" t="inlineStr">
        <is>
          <t>AUD</t>
        </is>
      </c>
      <c r="K1493" s="5" t="inlineStr">
        <is>
          <t>01a1212c-4c04-75ce-bbb2-e3322e18816e</t>
        </is>
      </c>
      <c r="M1493" t="inlineStr">
        <is>
          <t>UNKNOWN</t>
        </is>
      </c>
      <c r="N1493" t="inlineStr">
        <is>
          <t>DEFAULT</t>
        </is>
      </c>
      <c r="Q1493" t="n">
        <v>0</v>
      </c>
      <c r="R1493" t="inlineStr">
        <is>
          <t>AUD</t>
        </is>
      </c>
      <c r="S1493" t="n">
        <v>0</v>
      </c>
      <c r="T1493" t="inlineStr">
        <is>
          <t>AUD</t>
        </is>
      </c>
      <c r="U1493" t="n">
        <v>0</v>
      </c>
    </row>
    <row r="1494">
      <c r="A1494" s="5" t="inlineStr">
        <is>
          <t>01a1212c-5e50-7755-a15a-12c3b9dd14e2</t>
        </is>
      </c>
      <c r="C1494" s="5" t="inlineStr">
        <is>
          <t>01a1212c-4b57-70cf-80fd-c2192cb3bf81</t>
        </is>
      </c>
      <c r="D1494" s="4" t="n">
        <v>46304.62405426281</v>
      </c>
      <c r="E1494" s="4" t="n">
        <v>46304.62405426289</v>
      </c>
      <c r="F1494" t="b">
        <v>1</v>
      </c>
      <c r="G1494" t="n">
        <v/>
      </c>
      <c r="H1494" t="inlineStr">
        <is>
          <t>SRJ</t>
        </is>
      </c>
      <c r="I1494" t="inlineStr">
        <is>
          <t>SRJ Technologies Group Plc</t>
        </is>
      </c>
      <c r="J1494" t="inlineStr">
        <is>
          <t>AUD</t>
        </is>
      </c>
      <c r="K1494" s="5" t="inlineStr">
        <is>
          <t>01a1212c-4c04-75ce-bbb2-e3322e18816e</t>
        </is>
      </c>
      <c r="M1494" t="inlineStr">
        <is>
          <t>UNKNOWN</t>
        </is>
      </c>
      <c r="N1494" t="inlineStr">
        <is>
          <t>DEFAULT</t>
        </is>
      </c>
      <c r="Q1494" t="n">
        <v>0</v>
      </c>
      <c r="R1494" t="inlineStr">
        <is>
          <t>AUD</t>
        </is>
      </c>
      <c r="S1494" t="n">
        <v>0</v>
      </c>
      <c r="T1494" t="inlineStr">
        <is>
          <t>AUD</t>
        </is>
      </c>
      <c r="U1494" t="n">
        <v>0</v>
      </c>
    </row>
    <row r="1495">
      <c r="A1495" s="5" t="inlineStr">
        <is>
          <t>01a1212c-5e52-7388-b830-e344fb5a3097</t>
        </is>
      </c>
      <c r="C1495" s="5" t="inlineStr">
        <is>
          <t>01a1212c-4b57-70cf-80fd-c2192cb3bf81</t>
        </is>
      </c>
      <c r="D1495" s="4" t="n">
        <v>46304.62405429333</v>
      </c>
      <c r="E1495" s="4" t="n">
        <v>46304.6240542934</v>
      </c>
      <c r="F1495" t="b">
        <v>1</v>
      </c>
      <c r="G1495" t="n">
        <v/>
      </c>
      <c r="H1495" t="inlineStr">
        <is>
          <t>LVH</t>
        </is>
      </c>
      <c r="I1495" t="inlineStr">
        <is>
          <t>Livehire Ltd</t>
        </is>
      </c>
      <c r="J1495" t="inlineStr">
        <is>
          <t>AUD</t>
        </is>
      </c>
      <c r="K1495" s="5" t="inlineStr">
        <is>
          <t>01a1212c-4c04-75ce-bbb2-e3322e18816e</t>
        </is>
      </c>
      <c r="M1495" t="inlineStr">
        <is>
          <t>UNKNOWN</t>
        </is>
      </c>
      <c r="N1495" t="inlineStr">
        <is>
          <t>DEFAULT</t>
        </is>
      </c>
      <c r="Q1495" t="n">
        <v>0</v>
      </c>
      <c r="R1495" t="inlineStr">
        <is>
          <t>AUD</t>
        </is>
      </c>
      <c r="S1495" t="n">
        <v>0</v>
      </c>
      <c r="T1495" t="inlineStr">
        <is>
          <t>AUD</t>
        </is>
      </c>
      <c r="U1495" t="n">
        <v>0</v>
      </c>
    </row>
    <row r="1496">
      <c r="A1496" s="5" t="inlineStr">
        <is>
          <t>01a1212c-5e55-7702-85de-a5bb0a62ce2c</t>
        </is>
      </c>
      <c r="C1496" s="5" t="inlineStr">
        <is>
          <t>01a1212c-4b57-70cf-80fd-c2192cb3bf81</t>
        </is>
      </c>
      <c r="D1496" s="4" t="n">
        <v>46304.62405432367</v>
      </c>
      <c r="E1496" s="4" t="n">
        <v>46304.62405432374</v>
      </c>
      <c r="F1496" t="b">
        <v>1</v>
      </c>
      <c r="G1496" t="n">
        <v/>
      </c>
      <c r="H1496" t="inlineStr">
        <is>
          <t>ACU</t>
        </is>
      </c>
      <c r="I1496" t="inlineStr">
        <is>
          <t>Acumentis Group Ltd</t>
        </is>
      </c>
      <c r="J1496" t="inlineStr">
        <is>
          <t>AUD</t>
        </is>
      </c>
      <c r="K1496" s="5" t="inlineStr">
        <is>
          <t>01a1212c-4c04-75ce-bbb2-e3322e18816e</t>
        </is>
      </c>
      <c r="M1496" t="inlineStr">
        <is>
          <t>UNKNOWN</t>
        </is>
      </c>
      <c r="N1496" t="inlineStr">
        <is>
          <t>DEFAULT</t>
        </is>
      </c>
      <c r="Q1496" t="n">
        <v>0</v>
      </c>
      <c r="R1496" t="inlineStr">
        <is>
          <t>AUD</t>
        </is>
      </c>
      <c r="S1496" t="n">
        <v>0</v>
      </c>
      <c r="T1496" t="inlineStr">
        <is>
          <t>AUD</t>
        </is>
      </c>
      <c r="U1496" t="n">
        <v>0</v>
      </c>
    </row>
    <row r="1497">
      <c r="A1497" s="5" t="inlineStr">
        <is>
          <t>01a1212c-5e58-7406-8a24-3bc818b9b5ad</t>
        </is>
      </c>
      <c r="C1497" s="5" t="inlineStr">
        <is>
          <t>01a1212c-4b57-70cf-80fd-c2192cb3bf81</t>
        </is>
      </c>
      <c r="D1497" s="4" t="n">
        <v>46304.62405435712</v>
      </c>
      <c r="E1497" s="4" t="n">
        <v>46304.6240543572</v>
      </c>
      <c r="F1497" t="b">
        <v>1</v>
      </c>
      <c r="G1497" t="n">
        <v/>
      </c>
      <c r="H1497" t="inlineStr">
        <is>
          <t>MQWS</t>
        </is>
      </c>
      <c r="I1497" t="inlineStr">
        <is>
          <t>MQ Walter Scott GLBL EQ Active ETF (Managed Fund)</t>
        </is>
      </c>
      <c r="J1497" t="inlineStr">
        <is>
          <t>AUD</t>
        </is>
      </c>
      <c r="K1497" s="5" t="inlineStr">
        <is>
          <t>01a1212c-4c04-75ce-bbb2-e3322e18816e</t>
        </is>
      </c>
      <c r="M1497" t="inlineStr">
        <is>
          <t>UNKNOWN</t>
        </is>
      </c>
      <c r="N1497" t="inlineStr">
        <is>
          <t>DEFAULT</t>
        </is>
      </c>
      <c r="Q1497" t="n">
        <v>0</v>
      </c>
      <c r="R1497" t="inlineStr">
        <is>
          <t>AUD</t>
        </is>
      </c>
      <c r="S1497" t="n">
        <v>0</v>
      </c>
      <c r="T1497" t="inlineStr">
        <is>
          <t>AUD</t>
        </is>
      </c>
      <c r="U1497" t="n">
        <v>0</v>
      </c>
    </row>
    <row r="1498">
      <c r="A1498" s="5" t="inlineStr">
        <is>
          <t>01a1212c-5e5b-7409-a63a-595a9627daa2</t>
        </is>
      </c>
      <c r="C1498" s="5" t="inlineStr">
        <is>
          <t>01a1212c-4b57-70cf-80fd-c2192cb3bf81</t>
        </is>
      </c>
      <c r="D1498" s="4" t="n">
        <v>46304.62405438776</v>
      </c>
      <c r="E1498" s="4" t="n">
        <v>46304.62405438784</v>
      </c>
      <c r="F1498" t="b">
        <v>1</v>
      </c>
      <c r="G1498" t="n">
        <v/>
      </c>
      <c r="H1498" t="inlineStr">
        <is>
          <t>AR9</t>
        </is>
      </c>
      <c r="I1498" t="inlineStr">
        <is>
          <t>Archtis Ltd</t>
        </is>
      </c>
      <c r="J1498" t="inlineStr">
        <is>
          <t>AUD</t>
        </is>
      </c>
      <c r="K1498" s="5" t="inlineStr">
        <is>
          <t>01a1212c-4c04-75ce-bbb2-e3322e18816e</t>
        </is>
      </c>
      <c r="M1498" t="inlineStr">
        <is>
          <t>UNKNOWN</t>
        </is>
      </c>
      <c r="N1498" t="inlineStr">
        <is>
          <t>DEFAULT</t>
        </is>
      </c>
      <c r="Q1498" t="n">
        <v>0</v>
      </c>
      <c r="R1498" t="inlineStr">
        <is>
          <t>AUD</t>
        </is>
      </c>
      <c r="S1498" t="n">
        <v>0</v>
      </c>
      <c r="T1498" t="inlineStr">
        <is>
          <t>AUD</t>
        </is>
      </c>
      <c r="U1498" t="n">
        <v>0</v>
      </c>
    </row>
    <row r="1499">
      <c r="A1499" s="5" t="inlineStr">
        <is>
          <t>01a1212c-5e5d-70e1-9a1a-d7c571ebe994</t>
        </is>
      </c>
      <c r="C1499" s="5" t="inlineStr">
        <is>
          <t>01a1212c-4b57-70cf-80fd-c2192cb3bf81</t>
        </is>
      </c>
      <c r="D1499" s="4" t="n">
        <v>46304.62405441861</v>
      </c>
      <c r="E1499" s="4" t="n">
        <v>46304.62405441868</v>
      </c>
      <c r="F1499" t="b">
        <v>1</v>
      </c>
      <c r="G1499" t="n">
        <v/>
      </c>
      <c r="H1499" t="inlineStr">
        <is>
          <t>NMR</t>
        </is>
      </c>
      <c r="I1499" t="inlineStr">
        <is>
          <t>Native Mineral Resources Holdings Ltd</t>
        </is>
      </c>
      <c r="J1499" t="inlineStr">
        <is>
          <t>AUD</t>
        </is>
      </c>
      <c r="K1499" s="5" t="inlineStr">
        <is>
          <t>01a1212c-4c04-75ce-bbb2-e3322e18816e</t>
        </is>
      </c>
      <c r="M1499" t="inlineStr">
        <is>
          <t>UNKNOWN</t>
        </is>
      </c>
      <c r="N1499" t="inlineStr">
        <is>
          <t>DEFAULT</t>
        </is>
      </c>
      <c r="Q1499" t="n">
        <v>0</v>
      </c>
      <c r="R1499" t="inlineStr">
        <is>
          <t>AUD</t>
        </is>
      </c>
      <c r="S1499" t="n">
        <v>0</v>
      </c>
      <c r="T1499" t="inlineStr">
        <is>
          <t>AUD</t>
        </is>
      </c>
      <c r="U1499" t="n">
        <v>0</v>
      </c>
    </row>
    <row r="1500">
      <c r="A1500" s="5" t="inlineStr">
        <is>
          <t>01a1212c-5e60-71cf-a459-909a9ffaa595</t>
        </is>
      </c>
      <c r="C1500" s="5" t="inlineStr">
        <is>
          <t>01a1212c-4b57-70cf-80fd-c2192cb3bf81</t>
        </is>
      </c>
      <c r="D1500" s="4" t="n">
        <v>46304.62405445671</v>
      </c>
      <c r="E1500" s="4" t="n">
        <v>46304.62405445681</v>
      </c>
      <c r="F1500" t="b">
        <v>1</v>
      </c>
      <c r="G1500" t="n">
        <v/>
      </c>
      <c r="H1500" t="inlineStr">
        <is>
          <t>ADEF</t>
        </is>
      </c>
      <c r="I1500" t="inlineStr">
        <is>
          <t>Apostle Dundas Global Equity Classd (Managed Fund)</t>
        </is>
      </c>
      <c r="J1500" t="inlineStr">
        <is>
          <t>AUD</t>
        </is>
      </c>
      <c r="K1500" s="5" t="inlineStr">
        <is>
          <t>01a1212c-4c04-75ce-bbb2-e3322e18816e</t>
        </is>
      </c>
      <c r="M1500" t="inlineStr">
        <is>
          <t>UNKNOWN</t>
        </is>
      </c>
      <c r="N1500" t="inlineStr">
        <is>
          <t>DEFAULT</t>
        </is>
      </c>
      <c r="Q1500" t="n">
        <v>0</v>
      </c>
      <c r="R1500" t="inlineStr">
        <is>
          <t>AUD</t>
        </is>
      </c>
      <c r="S1500" t="n">
        <v>0</v>
      </c>
      <c r="T1500" t="inlineStr">
        <is>
          <t>AUD</t>
        </is>
      </c>
      <c r="U1500" t="n">
        <v>0</v>
      </c>
    </row>
    <row r="1501">
      <c r="A1501" s="5" t="inlineStr">
        <is>
          <t>01a1212c-5e63-7152-a5af-2f89580703f2</t>
        </is>
      </c>
      <c r="C1501" s="5" t="inlineStr">
        <is>
          <t>01a1212c-4b57-70cf-80fd-c2192cb3bf81</t>
        </is>
      </c>
      <c r="D1501" s="4" t="n">
        <v>46304.62405449145</v>
      </c>
      <c r="E1501" s="4" t="n">
        <v>46304.62405449151</v>
      </c>
      <c r="F1501" t="b">
        <v>1</v>
      </c>
      <c r="G1501" t="n">
        <v/>
      </c>
      <c r="H1501" t="inlineStr">
        <is>
          <t>WNX</t>
        </is>
      </c>
      <c r="I1501" t="inlineStr">
        <is>
          <t>Wellnex Life Ltd</t>
        </is>
      </c>
      <c r="J1501" t="inlineStr">
        <is>
          <t>AUD</t>
        </is>
      </c>
      <c r="K1501" s="5" t="inlineStr">
        <is>
          <t>01a1212c-4c04-75ce-bbb2-e3322e18816e</t>
        </is>
      </c>
      <c r="M1501" t="inlineStr">
        <is>
          <t>UNKNOWN</t>
        </is>
      </c>
      <c r="N1501" t="inlineStr">
        <is>
          <t>DEFAULT</t>
        </is>
      </c>
      <c r="Q1501" t="n">
        <v>0</v>
      </c>
      <c r="R1501" t="inlineStr">
        <is>
          <t>AUD</t>
        </is>
      </c>
      <c r="S1501" t="n">
        <v>0</v>
      </c>
      <c r="T1501" t="inlineStr">
        <is>
          <t>AUD</t>
        </is>
      </c>
      <c r="U1501" t="n">
        <v>0</v>
      </c>
    </row>
    <row r="1502">
      <c r="A1502" s="5" t="inlineStr">
        <is>
          <t>01a1212c-5e66-73d5-8cd6-e535a799f4c9</t>
        </is>
      </c>
      <c r="C1502" s="5" t="inlineStr">
        <is>
          <t>01a1212c-4b57-70cf-80fd-c2192cb3bf81</t>
        </is>
      </c>
      <c r="D1502" s="4" t="n">
        <v>46304.62405452404</v>
      </c>
      <c r="E1502" s="4" t="n">
        <v>46304.62405452412</v>
      </c>
      <c r="F1502" t="b">
        <v>1</v>
      </c>
      <c r="G1502" t="n">
        <v/>
      </c>
      <c r="H1502" t="inlineStr">
        <is>
          <t>AYI</t>
        </is>
      </c>
      <c r="I1502" t="inlineStr">
        <is>
          <t>A1 Investments &amp; Resources Ltd</t>
        </is>
      </c>
      <c r="J1502" t="inlineStr">
        <is>
          <t>AUD</t>
        </is>
      </c>
      <c r="K1502" s="5" t="inlineStr">
        <is>
          <t>01a1212c-4c04-75ce-bbb2-e3322e18816e</t>
        </is>
      </c>
      <c r="M1502" t="inlineStr">
        <is>
          <t>UNKNOWN</t>
        </is>
      </c>
      <c r="N1502" t="inlineStr">
        <is>
          <t>DEFAULT</t>
        </is>
      </c>
      <c r="Q1502" t="n">
        <v>0</v>
      </c>
      <c r="R1502" t="inlineStr">
        <is>
          <t>AUD</t>
        </is>
      </c>
      <c r="S1502" t="n">
        <v>0</v>
      </c>
      <c r="T1502" t="inlineStr">
        <is>
          <t>AUD</t>
        </is>
      </c>
      <c r="U1502" t="n">
        <v>0</v>
      </c>
    </row>
    <row r="1503">
      <c r="A1503" s="5" t="inlineStr">
        <is>
          <t>01a1212c-5e69-735e-a74e-82f35e1f6db0</t>
        </is>
      </c>
      <c r="C1503" s="5" t="inlineStr">
        <is>
          <t>01a1212c-4b57-70cf-80fd-c2192cb3bf81</t>
        </is>
      </c>
      <c r="D1503" s="4" t="n">
        <v>46304.62405455492</v>
      </c>
      <c r="E1503" s="4" t="n">
        <v>46304.62405455499</v>
      </c>
      <c r="F1503" t="b">
        <v>1</v>
      </c>
      <c r="G1503" t="n">
        <v/>
      </c>
      <c r="H1503" t="inlineStr">
        <is>
          <t>ATU</t>
        </is>
      </c>
      <c r="I1503" t="inlineStr">
        <is>
          <t>Atrum Coal Ltd</t>
        </is>
      </c>
      <c r="J1503" t="inlineStr">
        <is>
          <t>AUD</t>
        </is>
      </c>
      <c r="K1503" s="5" t="inlineStr">
        <is>
          <t>01a1212c-4c04-75ce-bbb2-e3322e18816e</t>
        </is>
      </c>
      <c r="M1503" t="inlineStr">
        <is>
          <t>UNKNOWN</t>
        </is>
      </c>
      <c r="N1503" t="inlineStr">
        <is>
          <t>DEFAULT</t>
        </is>
      </c>
      <c r="Q1503" t="n">
        <v>0</v>
      </c>
      <c r="R1503" t="inlineStr">
        <is>
          <t>AUD</t>
        </is>
      </c>
      <c r="S1503" t="n">
        <v>0</v>
      </c>
      <c r="T1503" t="inlineStr">
        <is>
          <t>AUD</t>
        </is>
      </c>
      <c r="U1503" t="n">
        <v>0</v>
      </c>
    </row>
    <row r="1504">
      <c r="A1504" s="5" t="inlineStr">
        <is>
          <t>01a1212c-5e6c-74e6-9909-a69f4fb946cb</t>
        </is>
      </c>
      <c r="C1504" s="5" t="inlineStr">
        <is>
          <t>01a1212c-4b57-70cf-80fd-c2192cb3bf81</t>
        </is>
      </c>
      <c r="D1504" s="4" t="n">
        <v>46304.62405458539</v>
      </c>
      <c r="E1504" s="4" t="n">
        <v>46304.62405458546</v>
      </c>
      <c r="F1504" t="b">
        <v>1</v>
      </c>
      <c r="G1504" t="n">
        <v/>
      </c>
      <c r="H1504" t="inlineStr">
        <is>
          <t>ODA</t>
        </is>
      </c>
      <c r="I1504" t="inlineStr">
        <is>
          <t>Orcoda Ltd</t>
        </is>
      </c>
      <c r="J1504" t="inlineStr">
        <is>
          <t>AUD</t>
        </is>
      </c>
      <c r="K1504" s="5" t="inlineStr">
        <is>
          <t>01a1212c-4c04-75ce-bbb2-e3322e18816e</t>
        </is>
      </c>
      <c r="M1504" t="inlineStr">
        <is>
          <t>UNKNOWN</t>
        </is>
      </c>
      <c r="N1504" t="inlineStr">
        <is>
          <t>DEFAULT</t>
        </is>
      </c>
      <c r="Q1504" t="n">
        <v>0</v>
      </c>
      <c r="R1504" t="inlineStr">
        <is>
          <t>AUD</t>
        </is>
      </c>
      <c r="S1504" t="n">
        <v>0</v>
      </c>
      <c r="T1504" t="inlineStr">
        <is>
          <t>AUD</t>
        </is>
      </c>
      <c r="U1504" t="n">
        <v>0</v>
      </c>
    </row>
    <row r="1505">
      <c r="A1505" s="5" t="inlineStr">
        <is>
          <t>01a1212c-5e6e-71ed-b287-d612b6de4f16</t>
        </is>
      </c>
      <c r="C1505" s="5" t="inlineStr">
        <is>
          <t>01a1212c-4b57-70cf-80fd-c2192cb3bf81</t>
        </is>
      </c>
      <c r="D1505" s="4" t="n">
        <v>46304.62405461696</v>
      </c>
      <c r="E1505" s="4" t="n">
        <v>46304.62405461704</v>
      </c>
      <c r="F1505" t="b">
        <v>1</v>
      </c>
      <c r="G1505" t="n">
        <v/>
      </c>
      <c r="H1505" t="inlineStr">
        <is>
          <t>GUE</t>
        </is>
      </c>
      <c r="I1505" t="inlineStr">
        <is>
          <t>Global Uranium and Enrichment Ltd</t>
        </is>
      </c>
      <c r="J1505" t="inlineStr">
        <is>
          <t>AUD</t>
        </is>
      </c>
      <c r="K1505" s="5" t="inlineStr">
        <is>
          <t>01a1212c-4c04-75ce-bbb2-e3322e18816e</t>
        </is>
      </c>
      <c r="M1505" t="inlineStr">
        <is>
          <t>UNKNOWN</t>
        </is>
      </c>
      <c r="N1505" t="inlineStr">
        <is>
          <t>DEFAULT</t>
        </is>
      </c>
      <c r="Q1505" t="n">
        <v>0</v>
      </c>
      <c r="R1505" t="inlineStr">
        <is>
          <t>AUD</t>
        </is>
      </c>
      <c r="S1505" t="n">
        <v>0</v>
      </c>
      <c r="T1505" t="inlineStr">
        <is>
          <t>AUD</t>
        </is>
      </c>
      <c r="U1505" t="n">
        <v>0</v>
      </c>
    </row>
    <row r="1506">
      <c r="A1506" s="5" t="inlineStr">
        <is>
          <t>01a1212c-5e71-7259-8858-3800e2d63927</t>
        </is>
      </c>
      <c r="C1506" s="5" t="inlineStr">
        <is>
          <t>01a1212c-4b57-70cf-80fd-c2192cb3bf81</t>
        </is>
      </c>
      <c r="D1506" s="4" t="n">
        <v>46304.6240546503</v>
      </c>
      <c r="E1506" s="4" t="n">
        <v>46304.62405465038</v>
      </c>
      <c r="F1506" t="b">
        <v>1</v>
      </c>
      <c r="G1506" t="n">
        <v/>
      </c>
      <c r="H1506" t="inlineStr">
        <is>
          <t>CYB</t>
        </is>
      </c>
      <c r="I1506" t="inlineStr">
        <is>
          <t>Aucyber Ltd</t>
        </is>
      </c>
      <c r="J1506" t="inlineStr">
        <is>
          <t>AUD</t>
        </is>
      </c>
      <c r="K1506" s="5" t="inlineStr">
        <is>
          <t>01a1212c-4c04-75ce-bbb2-e3322e18816e</t>
        </is>
      </c>
      <c r="M1506" t="inlineStr">
        <is>
          <t>UNKNOWN</t>
        </is>
      </c>
      <c r="N1506" t="inlineStr">
        <is>
          <t>DEFAULT</t>
        </is>
      </c>
      <c r="Q1506" t="n">
        <v>0</v>
      </c>
      <c r="R1506" t="inlineStr">
        <is>
          <t>AUD</t>
        </is>
      </c>
      <c r="S1506" t="n">
        <v>0</v>
      </c>
      <c r="T1506" t="inlineStr">
        <is>
          <t>AUD</t>
        </is>
      </c>
      <c r="U1506" t="n">
        <v>0</v>
      </c>
    </row>
    <row r="1507">
      <c r="A1507" s="5" t="inlineStr">
        <is>
          <t>01a1212c-5e74-744c-a950-25312141a9cd</t>
        </is>
      </c>
      <c r="C1507" s="5" t="inlineStr">
        <is>
          <t>01a1212c-4b57-70cf-80fd-c2192cb3bf81</t>
        </is>
      </c>
      <c r="D1507" s="4" t="n">
        <v>46304.62405468328</v>
      </c>
      <c r="E1507" s="4" t="n">
        <v>46304.62405468337</v>
      </c>
      <c r="F1507" t="b">
        <v>1</v>
      </c>
      <c r="G1507" t="n">
        <v/>
      </c>
      <c r="H1507" t="inlineStr">
        <is>
          <t>CCM</t>
        </is>
      </c>
      <c r="I1507" t="inlineStr">
        <is>
          <t>Cadoux Ltd</t>
        </is>
      </c>
      <c r="J1507" t="inlineStr">
        <is>
          <t>AUD</t>
        </is>
      </c>
      <c r="K1507" s="5" t="inlineStr">
        <is>
          <t>01a1212c-4c04-75ce-bbb2-e3322e18816e</t>
        </is>
      </c>
      <c r="M1507" t="inlineStr">
        <is>
          <t>UNKNOWN</t>
        </is>
      </c>
      <c r="N1507" t="inlineStr">
        <is>
          <t>DEFAULT</t>
        </is>
      </c>
      <c r="Q1507" t="n">
        <v>0</v>
      </c>
      <c r="R1507" t="inlineStr">
        <is>
          <t>AUD</t>
        </is>
      </c>
      <c r="S1507" t="n">
        <v>0</v>
      </c>
      <c r="T1507" t="inlineStr">
        <is>
          <t>AUD</t>
        </is>
      </c>
      <c r="U1507" t="n">
        <v>0</v>
      </c>
    </row>
    <row r="1508">
      <c r="A1508" s="5" t="inlineStr">
        <is>
          <t>01a1212c-5e77-748d-8c17-7b4419c0634d</t>
        </is>
      </c>
      <c r="C1508" s="5" t="inlineStr">
        <is>
          <t>01a1212c-4b57-70cf-80fd-c2192cb3bf81</t>
        </is>
      </c>
      <c r="D1508" s="4" t="n">
        <v>46304.62405471455</v>
      </c>
      <c r="E1508" s="4" t="n">
        <v>46304.62405471463</v>
      </c>
      <c r="F1508" t="b">
        <v>1</v>
      </c>
      <c r="G1508" t="n">
        <v/>
      </c>
      <c r="H1508" t="inlineStr">
        <is>
          <t>BTN</t>
        </is>
      </c>
      <c r="I1508" t="inlineStr">
        <is>
          <t>Butn Ltd</t>
        </is>
      </c>
      <c r="J1508" t="inlineStr">
        <is>
          <t>AUD</t>
        </is>
      </c>
      <c r="K1508" s="5" t="inlineStr">
        <is>
          <t>01a1212c-4c04-75ce-bbb2-e3322e18816e</t>
        </is>
      </c>
      <c r="M1508" t="inlineStr">
        <is>
          <t>UNKNOWN</t>
        </is>
      </c>
      <c r="N1508" t="inlineStr">
        <is>
          <t>DEFAULT</t>
        </is>
      </c>
      <c r="Q1508" t="n">
        <v>0</v>
      </c>
      <c r="R1508" t="inlineStr">
        <is>
          <t>AUD</t>
        </is>
      </c>
      <c r="S1508" t="n">
        <v>0</v>
      </c>
      <c r="T1508" t="inlineStr">
        <is>
          <t>AUD</t>
        </is>
      </c>
      <c r="U1508" t="n">
        <v>0</v>
      </c>
    </row>
    <row r="1509">
      <c r="A1509" s="5" t="inlineStr">
        <is>
          <t>01a1212c-5e79-7512-9777-8fd4ead2bd36</t>
        </is>
      </c>
      <c r="C1509" s="5" t="inlineStr">
        <is>
          <t>01a1212c-4b57-70cf-80fd-c2192cb3bf81</t>
        </is>
      </c>
      <c r="D1509" s="4" t="n">
        <v>46304.62405474611</v>
      </c>
      <c r="E1509" s="4" t="n">
        <v>46304.62405474619</v>
      </c>
      <c r="F1509" t="b">
        <v>1</v>
      </c>
      <c r="G1509" t="n">
        <v/>
      </c>
      <c r="H1509" t="inlineStr">
        <is>
          <t>CAN</t>
        </is>
      </c>
      <c r="I1509" t="inlineStr">
        <is>
          <t>Cann Group Ltd</t>
        </is>
      </c>
      <c r="J1509" t="inlineStr">
        <is>
          <t>AUD</t>
        </is>
      </c>
      <c r="K1509" s="5" t="inlineStr">
        <is>
          <t>01a1212c-4c04-75ce-bbb2-e3322e18816e</t>
        </is>
      </c>
      <c r="M1509" t="inlineStr">
        <is>
          <t>UNKNOWN</t>
        </is>
      </c>
      <c r="N1509" t="inlineStr">
        <is>
          <t>DEFAULT</t>
        </is>
      </c>
      <c r="Q1509" t="n">
        <v>0</v>
      </c>
      <c r="R1509" t="inlineStr">
        <is>
          <t>AUD</t>
        </is>
      </c>
      <c r="S1509" t="n">
        <v>0</v>
      </c>
      <c r="T1509" t="inlineStr">
        <is>
          <t>AUD</t>
        </is>
      </c>
      <c r="U1509" t="n">
        <v>0</v>
      </c>
    </row>
    <row r="1510">
      <c r="A1510" s="5" t="inlineStr">
        <is>
          <t>01a1212c-5e7c-750d-8919-e9119d36298f</t>
        </is>
      </c>
      <c r="C1510" s="5" t="inlineStr">
        <is>
          <t>01a1212c-4b57-70cf-80fd-c2192cb3bf81</t>
        </is>
      </c>
      <c r="D1510" s="4" t="n">
        <v>46304.62405477752</v>
      </c>
      <c r="E1510" s="4" t="n">
        <v>46304.6240547776</v>
      </c>
      <c r="F1510" t="b">
        <v>1</v>
      </c>
      <c r="G1510" t="n">
        <v/>
      </c>
      <c r="H1510" t="inlineStr">
        <is>
          <t>MVOL</t>
        </is>
      </c>
      <c r="I1510" t="inlineStr">
        <is>
          <t>Ishares Edge MSCI Australia Minimum Volatility ETF</t>
        </is>
      </c>
      <c r="J1510" t="inlineStr">
        <is>
          <t>AUD</t>
        </is>
      </c>
      <c r="K1510" s="5" t="inlineStr">
        <is>
          <t>01a1212c-4c04-75ce-bbb2-e3322e18816e</t>
        </is>
      </c>
      <c r="M1510" t="inlineStr">
        <is>
          <t>UNKNOWN</t>
        </is>
      </c>
      <c r="N1510" t="inlineStr">
        <is>
          <t>DEFAULT</t>
        </is>
      </c>
      <c r="Q1510" t="n">
        <v>0</v>
      </c>
      <c r="R1510" t="inlineStr">
        <is>
          <t>AUD</t>
        </is>
      </c>
      <c r="S1510" t="n">
        <v>0</v>
      </c>
      <c r="T1510" t="inlineStr">
        <is>
          <t>AUD</t>
        </is>
      </c>
      <c r="U1510" t="n">
        <v>0</v>
      </c>
    </row>
    <row r="1511">
      <c r="A1511" s="5" t="inlineStr">
        <is>
          <t>01a1212c-5e7f-7784-835e-3747ef84444f</t>
        </is>
      </c>
      <c r="C1511" s="5" t="inlineStr">
        <is>
          <t>01a1212c-4b57-70cf-80fd-c2192cb3bf81</t>
        </is>
      </c>
      <c r="D1511" s="4" t="n">
        <v>46304.62405481215</v>
      </c>
      <c r="E1511" s="4" t="n">
        <v>46304.62405481224</v>
      </c>
      <c r="F1511" t="b">
        <v>1</v>
      </c>
      <c r="G1511" t="n">
        <v/>
      </c>
      <c r="H1511" t="inlineStr">
        <is>
          <t>BDG</t>
        </is>
      </c>
      <c r="I1511" t="inlineStr">
        <is>
          <t>Black Dragon Gold Corp</t>
        </is>
      </c>
      <c r="J1511" t="inlineStr">
        <is>
          <t>AUD</t>
        </is>
      </c>
      <c r="K1511" s="5" t="inlineStr">
        <is>
          <t>01a1212c-4c04-75ce-bbb2-e3322e18816e</t>
        </is>
      </c>
      <c r="M1511" t="inlineStr">
        <is>
          <t>UNKNOWN</t>
        </is>
      </c>
      <c r="N1511" t="inlineStr">
        <is>
          <t>DEFAULT</t>
        </is>
      </c>
      <c r="Q1511" t="n">
        <v>0</v>
      </c>
      <c r="R1511" t="inlineStr">
        <is>
          <t>AUD</t>
        </is>
      </c>
      <c r="S1511" t="n">
        <v>0</v>
      </c>
      <c r="T1511" t="inlineStr">
        <is>
          <t>AUD</t>
        </is>
      </c>
      <c r="U1511" t="n">
        <v>0</v>
      </c>
    </row>
    <row r="1512">
      <c r="A1512" s="5" t="inlineStr">
        <is>
          <t>01a1212c-5e82-71de-888d-64e23d3c3939</t>
        </is>
      </c>
      <c r="C1512" s="5" t="inlineStr">
        <is>
          <t>01a1212c-4b57-70cf-80fd-c2192cb3bf81</t>
        </is>
      </c>
      <c r="D1512" s="4" t="n">
        <v>46304.62405484312</v>
      </c>
      <c r="E1512" s="4" t="n">
        <v>46304.6240548432</v>
      </c>
      <c r="F1512" t="b">
        <v>1</v>
      </c>
      <c r="G1512" t="n">
        <v/>
      </c>
      <c r="H1512" t="inlineStr">
        <is>
          <t>CNQ</t>
        </is>
      </c>
      <c r="I1512" t="inlineStr">
        <is>
          <t>Clean TEQ Water Ltd</t>
        </is>
      </c>
      <c r="J1512" t="inlineStr">
        <is>
          <t>AUD</t>
        </is>
      </c>
      <c r="K1512" s="5" t="inlineStr">
        <is>
          <t>01a1212c-4c04-75ce-bbb2-e3322e18816e</t>
        </is>
      </c>
      <c r="M1512" t="inlineStr">
        <is>
          <t>UNKNOWN</t>
        </is>
      </c>
      <c r="N1512" t="inlineStr">
        <is>
          <t>DEFAULT</t>
        </is>
      </c>
      <c r="Q1512" t="n">
        <v>0</v>
      </c>
      <c r="R1512" t="inlineStr">
        <is>
          <t>AUD</t>
        </is>
      </c>
      <c r="S1512" t="n">
        <v>0</v>
      </c>
      <c r="T1512" t="inlineStr">
        <is>
          <t>AUD</t>
        </is>
      </c>
      <c r="U1512" t="n">
        <v>0</v>
      </c>
    </row>
    <row r="1513">
      <c r="A1513" s="5" t="inlineStr">
        <is>
          <t>01a1212c-5e84-77a4-800f-8341a24a8615</t>
        </is>
      </c>
      <c r="C1513" s="5" t="inlineStr">
        <is>
          <t>01a1212c-4b57-70cf-80fd-c2192cb3bf81</t>
        </is>
      </c>
      <c r="D1513" s="4" t="n">
        <v>46304.62405487386</v>
      </c>
      <c r="E1513" s="4" t="n">
        <v>46304.62405487392</v>
      </c>
      <c r="F1513" t="b">
        <v>1</v>
      </c>
      <c r="G1513" t="n">
        <v/>
      </c>
      <c r="H1513" t="inlineStr">
        <is>
          <t>NAC</t>
        </is>
      </c>
      <c r="I1513" t="inlineStr">
        <is>
          <t>Naos Ex-50 Opportunities Company Ltd</t>
        </is>
      </c>
      <c r="J1513" t="inlineStr">
        <is>
          <t>AUD</t>
        </is>
      </c>
      <c r="K1513" s="5" t="inlineStr">
        <is>
          <t>01a1212c-4c04-75ce-bbb2-e3322e18816e</t>
        </is>
      </c>
      <c r="M1513" t="inlineStr">
        <is>
          <t>UNKNOWN</t>
        </is>
      </c>
      <c r="N1513" t="inlineStr">
        <is>
          <t>DEFAULT</t>
        </is>
      </c>
      <c r="Q1513" t="n">
        <v>0</v>
      </c>
      <c r="R1513" t="inlineStr">
        <is>
          <t>AUD</t>
        </is>
      </c>
      <c r="S1513" t="n">
        <v>0</v>
      </c>
      <c r="T1513" t="inlineStr">
        <is>
          <t>AUD</t>
        </is>
      </c>
      <c r="U1513" t="n">
        <v>0</v>
      </c>
    </row>
    <row r="1514">
      <c r="A1514" s="5" t="inlineStr">
        <is>
          <t>01a1212c-5e87-7777-a647-233ab17b7af7</t>
        </is>
      </c>
      <c r="C1514" s="5" t="inlineStr">
        <is>
          <t>01a1212c-4b57-70cf-80fd-c2192cb3bf81</t>
        </is>
      </c>
      <c r="D1514" s="4" t="n">
        <v>46304.62405490426</v>
      </c>
      <c r="E1514" s="4" t="n">
        <v>46304.62405490433</v>
      </c>
      <c r="F1514" t="b">
        <v>1</v>
      </c>
      <c r="G1514" t="n">
        <v/>
      </c>
      <c r="H1514" t="inlineStr">
        <is>
          <t>FSIGA</t>
        </is>
      </c>
      <c r="I1514" t="inlineStr">
        <is>
          <t>Flagship Investments Ltd</t>
        </is>
      </c>
      <c r="J1514" t="inlineStr">
        <is>
          <t>AUD</t>
        </is>
      </c>
      <c r="K1514" s="5" t="inlineStr">
        <is>
          <t>01a1212c-4c04-75ce-bbb2-e3322e18816e</t>
        </is>
      </c>
      <c r="M1514" t="inlineStr">
        <is>
          <t>UNKNOWN</t>
        </is>
      </c>
      <c r="N1514" t="inlineStr">
        <is>
          <t>DEFAULT</t>
        </is>
      </c>
      <c r="Q1514" t="n">
        <v>0</v>
      </c>
      <c r="R1514" t="inlineStr">
        <is>
          <t>AUD</t>
        </is>
      </c>
      <c r="S1514" t="n">
        <v>0</v>
      </c>
      <c r="T1514" t="inlineStr">
        <is>
          <t>AUD</t>
        </is>
      </c>
      <c r="U1514" t="n">
        <v>0</v>
      </c>
    </row>
    <row r="1515">
      <c r="A1515" s="5" t="inlineStr">
        <is>
          <t>01a1212c-5e8a-723d-95fa-bf58e45ec5ad</t>
        </is>
      </c>
      <c r="C1515" s="5" t="inlineStr">
        <is>
          <t>01a1212c-4b57-70cf-80fd-c2192cb3bf81</t>
        </is>
      </c>
      <c r="D1515" s="4" t="n">
        <v>46304.62405493477</v>
      </c>
      <c r="E1515" s="4" t="n">
        <v>46304.62405493484</v>
      </c>
      <c r="F1515" t="b">
        <v>1</v>
      </c>
      <c r="G1515" t="n">
        <v/>
      </c>
      <c r="H1515" t="inlineStr">
        <is>
          <t>PHO</t>
        </is>
      </c>
      <c r="I1515" t="inlineStr">
        <is>
          <t>Phosco Ltd</t>
        </is>
      </c>
      <c r="J1515" t="inlineStr">
        <is>
          <t>AUD</t>
        </is>
      </c>
      <c r="K1515" s="5" t="inlineStr">
        <is>
          <t>01a1212c-4c04-75ce-bbb2-e3322e18816e</t>
        </is>
      </c>
      <c r="M1515" t="inlineStr">
        <is>
          <t>UNKNOWN</t>
        </is>
      </c>
      <c r="N1515" t="inlineStr">
        <is>
          <t>DEFAULT</t>
        </is>
      </c>
      <c r="Q1515" t="n">
        <v>0</v>
      </c>
      <c r="R1515" t="inlineStr">
        <is>
          <t>AUD</t>
        </is>
      </c>
      <c r="S1515" t="n">
        <v>0</v>
      </c>
      <c r="T1515" t="inlineStr">
        <is>
          <t>AUD</t>
        </is>
      </c>
      <c r="U1515" t="n">
        <v>0</v>
      </c>
    </row>
    <row r="1516">
      <c r="A1516" s="5" t="inlineStr">
        <is>
          <t>01a1212c-5e8d-73f3-96fc-02831058aec8</t>
        </is>
      </c>
      <c r="C1516" s="5" t="inlineStr">
        <is>
          <t>01a1212c-4b57-70cf-80fd-c2192cb3bf81</t>
        </is>
      </c>
      <c r="D1516" s="4" t="n">
        <v>46304.62405496755</v>
      </c>
      <c r="E1516" s="4" t="n">
        <v>46304.62405496761</v>
      </c>
      <c r="F1516" t="b">
        <v>1</v>
      </c>
      <c r="G1516" t="n">
        <v/>
      </c>
      <c r="H1516" t="inlineStr">
        <is>
          <t>VRS</t>
        </is>
      </c>
      <c r="I1516" t="inlineStr">
        <is>
          <t>Veris Ltd</t>
        </is>
      </c>
      <c r="J1516" t="inlineStr">
        <is>
          <t>AUD</t>
        </is>
      </c>
      <c r="K1516" s="5" t="inlineStr">
        <is>
          <t>01a1212c-4c04-75ce-bbb2-e3322e18816e</t>
        </is>
      </c>
      <c r="M1516" t="inlineStr">
        <is>
          <t>UNKNOWN</t>
        </is>
      </c>
      <c r="N1516" t="inlineStr">
        <is>
          <t>DEFAULT</t>
        </is>
      </c>
      <c r="Q1516" t="n">
        <v>0</v>
      </c>
      <c r="R1516" t="inlineStr">
        <is>
          <t>AUD</t>
        </is>
      </c>
      <c r="S1516" t="n">
        <v>0</v>
      </c>
      <c r="T1516" t="inlineStr">
        <is>
          <t>AUD</t>
        </is>
      </c>
      <c r="U1516" t="n">
        <v>0</v>
      </c>
    </row>
    <row r="1517">
      <c r="A1517" s="5" t="inlineStr">
        <is>
          <t>01a1212c-5e90-7358-b970-a63786c0eefa</t>
        </is>
      </c>
      <c r="C1517" s="5" t="inlineStr">
        <is>
          <t>01a1212c-4b57-70cf-80fd-c2192cb3bf81</t>
        </is>
      </c>
      <c r="D1517" s="4" t="n">
        <v>46304.62405500601</v>
      </c>
      <c r="E1517" s="4" t="n">
        <v>46304.6240550061</v>
      </c>
      <c r="F1517" t="b">
        <v>1</v>
      </c>
      <c r="G1517" t="n">
        <v/>
      </c>
      <c r="H1517" t="inlineStr">
        <is>
          <t>IMC</t>
        </is>
      </c>
      <c r="I1517" t="inlineStr">
        <is>
          <t>Immuron Ltd</t>
        </is>
      </c>
      <c r="J1517" t="inlineStr">
        <is>
          <t>AUD</t>
        </is>
      </c>
      <c r="K1517" s="5" t="inlineStr">
        <is>
          <t>01a1212c-4c04-75ce-bbb2-e3322e18816e</t>
        </is>
      </c>
      <c r="M1517" t="inlineStr">
        <is>
          <t>UNKNOWN</t>
        </is>
      </c>
      <c r="N1517" t="inlineStr">
        <is>
          <t>DEFAULT</t>
        </is>
      </c>
      <c r="Q1517" t="n">
        <v>0</v>
      </c>
      <c r="R1517" t="inlineStr">
        <is>
          <t>AUD</t>
        </is>
      </c>
      <c r="S1517" t="n">
        <v>0</v>
      </c>
      <c r="T1517" t="inlineStr">
        <is>
          <t>AUD</t>
        </is>
      </c>
      <c r="U1517" t="n">
        <v>0</v>
      </c>
    </row>
    <row r="1518">
      <c r="A1518" s="5" t="inlineStr">
        <is>
          <t>01a1212c-5e93-7637-83d0-008c93262518</t>
        </is>
      </c>
      <c r="C1518" s="5" t="inlineStr">
        <is>
          <t>01a1212c-4b57-70cf-80fd-c2192cb3bf81</t>
        </is>
      </c>
      <c r="D1518" s="4" t="n">
        <v>46304.62405504107</v>
      </c>
      <c r="E1518" s="4" t="n">
        <v>46304.62405504117</v>
      </c>
      <c r="F1518" t="b">
        <v>1</v>
      </c>
      <c r="G1518" t="n">
        <v/>
      </c>
      <c r="H1518" t="inlineStr">
        <is>
          <t>ARV</t>
        </is>
      </c>
      <c r="I1518" t="inlineStr">
        <is>
          <t>Artemis Resources Ltd</t>
        </is>
      </c>
      <c r="J1518" t="inlineStr">
        <is>
          <t>AUD</t>
        </is>
      </c>
      <c r="K1518" s="5" t="inlineStr">
        <is>
          <t>01a1212c-4c04-75ce-bbb2-e3322e18816e</t>
        </is>
      </c>
      <c r="M1518" t="inlineStr">
        <is>
          <t>UNKNOWN</t>
        </is>
      </c>
      <c r="N1518" t="inlineStr">
        <is>
          <t>DEFAULT</t>
        </is>
      </c>
      <c r="Q1518" t="n">
        <v>0</v>
      </c>
      <c r="R1518" t="inlineStr">
        <is>
          <t>AUD</t>
        </is>
      </c>
      <c r="S1518" t="n">
        <v>0</v>
      </c>
      <c r="T1518" t="inlineStr">
        <is>
          <t>AUD</t>
        </is>
      </c>
      <c r="U1518" t="n">
        <v>0</v>
      </c>
    </row>
    <row r="1519">
      <c r="A1519" s="5" t="inlineStr">
        <is>
          <t>01a1212c-5e96-70ee-a75d-97d7cb4d54d9</t>
        </is>
      </c>
      <c r="C1519" s="5" t="inlineStr">
        <is>
          <t>01a1212c-4b57-70cf-80fd-c2192cb3bf81</t>
        </is>
      </c>
      <c r="D1519" s="4" t="n">
        <v>46304.62405507712</v>
      </c>
      <c r="E1519" s="4" t="n">
        <v>46304.62405507721</v>
      </c>
      <c r="F1519" t="b">
        <v>1</v>
      </c>
      <c r="G1519" t="n">
        <v/>
      </c>
      <c r="H1519" t="inlineStr">
        <is>
          <t>MAUCA</t>
        </is>
      </c>
      <c r="I1519" t="inlineStr">
        <is>
          <t>Magnetic Resources NL</t>
        </is>
      </c>
      <c r="J1519" t="inlineStr">
        <is>
          <t>AUD</t>
        </is>
      </c>
      <c r="K1519" s="5" t="inlineStr">
        <is>
          <t>01a1212c-4c04-75ce-bbb2-e3322e18816e</t>
        </is>
      </c>
      <c r="M1519" t="inlineStr">
        <is>
          <t>UNKNOWN</t>
        </is>
      </c>
      <c r="N1519" t="inlineStr">
        <is>
          <t>DEFAULT</t>
        </is>
      </c>
      <c r="Q1519" t="n">
        <v>0</v>
      </c>
      <c r="R1519" t="inlineStr">
        <is>
          <t>AUD</t>
        </is>
      </c>
      <c r="S1519" t="n">
        <v>0</v>
      </c>
      <c r="T1519" t="inlineStr">
        <is>
          <t>AUD</t>
        </is>
      </c>
      <c r="U1519" t="n">
        <v>0</v>
      </c>
    </row>
    <row r="1520">
      <c r="A1520" s="5" t="inlineStr">
        <is>
          <t>01a1212c-5e99-7110-a5c3-57c596f1dbbd</t>
        </is>
      </c>
      <c r="C1520" s="5" t="inlineStr">
        <is>
          <t>01a1212c-4b57-70cf-80fd-c2192cb3bf81</t>
        </is>
      </c>
      <c r="D1520" s="4" t="n">
        <v>46304.62405511149</v>
      </c>
      <c r="E1520" s="4" t="n">
        <v>46304.62405511158</v>
      </c>
      <c r="F1520" t="b">
        <v>1</v>
      </c>
      <c r="G1520" t="n">
        <v/>
      </c>
      <c r="H1520" t="inlineStr">
        <is>
          <t>SOR</t>
        </is>
      </c>
      <c r="I1520" t="inlineStr">
        <is>
          <t>Strategic Elements Ltd</t>
        </is>
      </c>
      <c r="J1520" t="inlineStr">
        <is>
          <t>AUD</t>
        </is>
      </c>
      <c r="K1520" s="5" t="inlineStr">
        <is>
          <t>01a1212c-4c04-75ce-bbb2-e3322e18816e</t>
        </is>
      </c>
      <c r="M1520" t="inlineStr">
        <is>
          <t>UNKNOWN</t>
        </is>
      </c>
      <c r="N1520" t="inlineStr">
        <is>
          <t>DEFAULT</t>
        </is>
      </c>
      <c r="Q1520" t="n">
        <v>0</v>
      </c>
      <c r="R1520" t="inlineStr">
        <is>
          <t>AUD</t>
        </is>
      </c>
      <c r="S1520" t="n">
        <v>0</v>
      </c>
      <c r="T1520" t="inlineStr">
        <is>
          <t>AUD</t>
        </is>
      </c>
      <c r="U1520" t="n">
        <v>0</v>
      </c>
    </row>
    <row r="1521">
      <c r="A1521" s="5" t="inlineStr">
        <is>
          <t>01a1212c-5e9c-7124-9e15-a88915183afd</t>
        </is>
      </c>
      <c r="C1521" s="5" t="inlineStr">
        <is>
          <t>01a1212c-4b57-70cf-80fd-c2192cb3bf81</t>
        </is>
      </c>
      <c r="D1521" s="4" t="n">
        <v>46304.6240551482</v>
      </c>
      <c r="E1521" s="4" t="n">
        <v>46304.62405514831</v>
      </c>
      <c r="F1521" t="b">
        <v>1</v>
      </c>
      <c r="G1521" t="n">
        <v/>
      </c>
      <c r="H1521" t="inlineStr">
        <is>
          <t>AEI</t>
        </is>
      </c>
      <c r="I1521" t="inlineStr">
        <is>
          <t>Aeris Environmental Ltd</t>
        </is>
      </c>
      <c r="J1521" t="inlineStr">
        <is>
          <t>AUD</t>
        </is>
      </c>
      <c r="K1521" s="5" t="inlineStr">
        <is>
          <t>01a1212c-4c04-75ce-bbb2-e3322e18816e</t>
        </is>
      </c>
      <c r="M1521" t="inlineStr">
        <is>
          <t>UNKNOWN</t>
        </is>
      </c>
      <c r="N1521" t="inlineStr">
        <is>
          <t>DEFAULT</t>
        </is>
      </c>
      <c r="Q1521" t="n">
        <v>0</v>
      </c>
      <c r="R1521" t="inlineStr">
        <is>
          <t>AUD</t>
        </is>
      </c>
      <c r="S1521" t="n">
        <v>0</v>
      </c>
      <c r="T1521" t="inlineStr">
        <is>
          <t>AUD</t>
        </is>
      </c>
      <c r="U1521" t="n">
        <v>0</v>
      </c>
    </row>
    <row r="1522">
      <c r="A1522" s="5" t="inlineStr">
        <is>
          <t>01a1212c-5e9f-77ac-b9fd-7ea827ac7bd3</t>
        </is>
      </c>
      <c r="C1522" s="5" t="inlineStr">
        <is>
          <t>01a1212c-4b57-70cf-80fd-c2192cb3bf81</t>
        </is>
      </c>
      <c r="D1522" s="4" t="n">
        <v>46304.62405518143</v>
      </c>
      <c r="E1522" s="4" t="n">
        <v>46304.62405518153</v>
      </c>
      <c r="F1522" t="b">
        <v>1</v>
      </c>
      <c r="G1522" t="n">
        <v/>
      </c>
      <c r="H1522" t="inlineStr">
        <is>
          <t>MPK</t>
        </is>
      </c>
      <c r="I1522" t="inlineStr">
        <is>
          <t>Many Peaks Minerals Ltd</t>
        </is>
      </c>
      <c r="J1522" t="inlineStr">
        <is>
          <t>AUD</t>
        </is>
      </c>
      <c r="K1522" s="5" t="inlineStr">
        <is>
          <t>01a1212c-4c04-75ce-bbb2-e3322e18816e</t>
        </is>
      </c>
      <c r="M1522" t="inlineStr">
        <is>
          <t>UNKNOWN</t>
        </is>
      </c>
      <c r="N1522" t="inlineStr">
        <is>
          <t>DEFAULT</t>
        </is>
      </c>
      <c r="Q1522" t="n">
        <v>0</v>
      </c>
      <c r="R1522" t="inlineStr">
        <is>
          <t>AUD</t>
        </is>
      </c>
      <c r="S1522" t="n">
        <v>0</v>
      </c>
      <c r="T1522" t="inlineStr">
        <is>
          <t>AUD</t>
        </is>
      </c>
      <c r="U1522" t="n">
        <v>0</v>
      </c>
    </row>
    <row r="1523">
      <c r="A1523" s="5" t="inlineStr">
        <is>
          <t>01a1212c-5ea2-7396-b145-7f8d19608139</t>
        </is>
      </c>
      <c r="C1523" s="5" t="inlineStr">
        <is>
          <t>01a1212c-4b57-70cf-80fd-c2192cb3bf81</t>
        </is>
      </c>
      <c r="D1523" s="4" t="n">
        <v>46304.62405521471</v>
      </c>
      <c r="E1523" s="4" t="n">
        <v>46304.62405521484</v>
      </c>
      <c r="F1523" t="b">
        <v>1</v>
      </c>
      <c r="G1523" t="n">
        <v/>
      </c>
      <c r="H1523" t="inlineStr">
        <is>
          <t>EINC</t>
        </is>
      </c>
      <c r="I1523" t="inlineStr">
        <is>
          <t>Betashares MRTN Currie EQY Inc Fund (Managed Fund)</t>
        </is>
      </c>
      <c r="J1523" t="inlineStr">
        <is>
          <t>AUD</t>
        </is>
      </c>
      <c r="K1523" s="5" t="inlineStr">
        <is>
          <t>01a1212c-4c04-75ce-bbb2-e3322e18816e</t>
        </is>
      </c>
      <c r="M1523" t="inlineStr">
        <is>
          <t>UNKNOWN</t>
        </is>
      </c>
      <c r="N1523" t="inlineStr">
        <is>
          <t>DEFAULT</t>
        </is>
      </c>
      <c r="Q1523" t="n">
        <v>0</v>
      </c>
      <c r="R1523" t="inlineStr">
        <is>
          <t>AUD</t>
        </is>
      </c>
      <c r="S1523" t="n">
        <v>0</v>
      </c>
      <c r="T1523" t="inlineStr">
        <is>
          <t>AUD</t>
        </is>
      </c>
      <c r="U1523" t="n">
        <v>0</v>
      </c>
    </row>
    <row r="1524">
      <c r="A1524" s="5" t="inlineStr">
        <is>
          <t>01a1212c-5ea6-7303-9f75-5963ee8cd663</t>
        </is>
      </c>
      <c r="C1524" s="5" t="inlineStr">
        <is>
          <t>01a1212c-4b57-70cf-80fd-c2192cb3bf81</t>
        </is>
      </c>
      <c r="D1524" s="4" t="n">
        <v>46304.62405525798</v>
      </c>
      <c r="E1524" s="4" t="n">
        <v>46304.62405525809</v>
      </c>
      <c r="F1524" t="b">
        <v>1</v>
      </c>
      <c r="G1524" t="n">
        <v/>
      </c>
      <c r="H1524" t="inlineStr">
        <is>
          <t>MBH</t>
        </is>
      </c>
      <c r="I1524" t="inlineStr">
        <is>
          <t>Maggie Beer Holdings Ltd</t>
        </is>
      </c>
      <c r="J1524" t="inlineStr">
        <is>
          <t>AUD</t>
        </is>
      </c>
      <c r="K1524" s="5" t="inlineStr">
        <is>
          <t>01a1212c-4c04-75ce-bbb2-e3322e18816e</t>
        </is>
      </c>
      <c r="M1524" t="inlineStr">
        <is>
          <t>UNKNOWN</t>
        </is>
      </c>
      <c r="N1524" t="inlineStr">
        <is>
          <t>DEFAULT</t>
        </is>
      </c>
      <c r="Q1524" t="n">
        <v>0</v>
      </c>
      <c r="R1524" t="inlineStr">
        <is>
          <t>AUD</t>
        </is>
      </c>
      <c r="S1524" t="n">
        <v>0</v>
      </c>
      <c r="T1524" t="inlineStr">
        <is>
          <t>AUD</t>
        </is>
      </c>
      <c r="U1524" t="n">
        <v>0</v>
      </c>
    </row>
    <row r="1525">
      <c r="A1525" s="5" t="inlineStr">
        <is>
          <t>01a1212c-5ea9-75a8-af04-42593e863275</t>
        </is>
      </c>
      <c r="C1525" s="5" t="inlineStr">
        <is>
          <t>01a1212c-4b57-70cf-80fd-c2192cb3bf81</t>
        </is>
      </c>
      <c r="D1525" s="4" t="n">
        <v>46304.62405529276</v>
      </c>
      <c r="E1525" s="4" t="n">
        <v>46304.62405529285</v>
      </c>
      <c r="F1525" t="b">
        <v>1</v>
      </c>
      <c r="G1525" t="n">
        <v/>
      </c>
      <c r="H1525" t="inlineStr">
        <is>
          <t>TOU</t>
        </is>
      </c>
      <c r="I1525" t="inlineStr">
        <is>
          <t>Tlou Energy Ltd</t>
        </is>
      </c>
      <c r="J1525" t="inlineStr">
        <is>
          <t>AUD</t>
        </is>
      </c>
      <c r="K1525" s="5" t="inlineStr">
        <is>
          <t>01a1212c-4c04-75ce-bbb2-e3322e18816e</t>
        </is>
      </c>
      <c r="M1525" t="inlineStr">
        <is>
          <t>UNKNOWN</t>
        </is>
      </c>
      <c r="N1525" t="inlineStr">
        <is>
          <t>DEFAULT</t>
        </is>
      </c>
      <c r="Q1525" t="n">
        <v>0</v>
      </c>
      <c r="R1525" t="inlineStr">
        <is>
          <t>AUD</t>
        </is>
      </c>
      <c r="S1525" t="n">
        <v>0</v>
      </c>
      <c r="T1525" t="inlineStr">
        <is>
          <t>AUD</t>
        </is>
      </c>
      <c r="U1525" t="n">
        <v>0</v>
      </c>
    </row>
    <row r="1526">
      <c r="A1526" s="5" t="inlineStr">
        <is>
          <t>01a1212c-5eab-728b-84b9-514a50b94810</t>
        </is>
      </c>
      <c r="C1526" s="5" t="inlineStr">
        <is>
          <t>01a1212c-4b57-70cf-80fd-c2192cb3bf81</t>
        </is>
      </c>
      <c r="D1526" s="4" t="n">
        <v>46304.62405532403</v>
      </c>
      <c r="E1526" s="4" t="n">
        <v>46304.62405532411</v>
      </c>
      <c r="F1526" t="b">
        <v>1</v>
      </c>
      <c r="G1526" t="n">
        <v/>
      </c>
      <c r="H1526" t="inlineStr">
        <is>
          <t>QML</t>
        </is>
      </c>
      <c r="I1526" t="inlineStr">
        <is>
          <t>Qmines Ltd</t>
        </is>
      </c>
      <c r="J1526" t="inlineStr">
        <is>
          <t>AUD</t>
        </is>
      </c>
      <c r="K1526" s="5" t="inlineStr">
        <is>
          <t>01a1212c-4c04-75ce-bbb2-e3322e18816e</t>
        </is>
      </c>
      <c r="M1526" t="inlineStr">
        <is>
          <t>UNKNOWN</t>
        </is>
      </c>
      <c r="N1526" t="inlineStr">
        <is>
          <t>DEFAULT</t>
        </is>
      </c>
      <c r="Q1526" t="n">
        <v>0</v>
      </c>
      <c r="R1526" t="inlineStr">
        <is>
          <t>AUD</t>
        </is>
      </c>
      <c r="S1526" t="n">
        <v>0</v>
      </c>
      <c r="T1526" t="inlineStr">
        <is>
          <t>AUD</t>
        </is>
      </c>
      <c r="U1526" t="n">
        <v>0</v>
      </c>
    </row>
    <row r="1527">
      <c r="A1527" s="5" t="inlineStr">
        <is>
          <t>01a1212c-5eae-7033-87c9-77dd28c4fa24</t>
        </is>
      </c>
      <c r="C1527" s="5" t="inlineStr">
        <is>
          <t>01a1212c-4b57-70cf-80fd-c2192cb3bf81</t>
        </is>
      </c>
      <c r="D1527" s="4" t="n">
        <v>46304.62405535514</v>
      </c>
      <c r="E1527" s="4" t="n">
        <v>46304.62405535522</v>
      </c>
      <c r="F1527" t="b">
        <v>1</v>
      </c>
      <c r="G1527" t="n">
        <v/>
      </c>
      <c r="H1527" t="inlineStr">
        <is>
          <t>ASE</t>
        </is>
      </c>
      <c r="I1527" t="inlineStr">
        <is>
          <t>Astute Metals NL</t>
        </is>
      </c>
      <c r="J1527" t="inlineStr">
        <is>
          <t>AUD</t>
        </is>
      </c>
      <c r="K1527" s="5" t="inlineStr">
        <is>
          <t>01a1212c-4c04-75ce-bbb2-e3322e18816e</t>
        </is>
      </c>
      <c r="M1527" t="inlineStr">
        <is>
          <t>UNKNOWN</t>
        </is>
      </c>
      <c r="N1527" t="inlineStr">
        <is>
          <t>DEFAULT</t>
        </is>
      </c>
      <c r="Q1527" t="n">
        <v>0</v>
      </c>
      <c r="R1527" t="inlineStr">
        <is>
          <t>AUD</t>
        </is>
      </c>
      <c r="S1527" t="n">
        <v>0</v>
      </c>
      <c r="T1527" t="inlineStr">
        <is>
          <t>AUD</t>
        </is>
      </c>
      <c r="U1527" t="n">
        <v>0</v>
      </c>
    </row>
    <row r="1528">
      <c r="A1528" s="5" t="inlineStr">
        <is>
          <t>01a1212c-5eb1-70a1-bbae-968498cce95f</t>
        </is>
      </c>
      <c r="C1528" s="5" t="inlineStr">
        <is>
          <t>01a1212c-4b57-70cf-80fd-c2192cb3bf81</t>
        </is>
      </c>
      <c r="D1528" s="4" t="n">
        <v>46304.62405538637</v>
      </c>
      <c r="E1528" s="4" t="n">
        <v>46304.62405538645</v>
      </c>
      <c r="F1528" t="b">
        <v>1</v>
      </c>
      <c r="G1528" t="n">
        <v/>
      </c>
      <c r="H1528" t="inlineStr">
        <is>
          <t>FOS</t>
        </is>
      </c>
      <c r="I1528" t="inlineStr">
        <is>
          <t>FOS Capital Ltd</t>
        </is>
      </c>
      <c r="J1528" t="inlineStr">
        <is>
          <t>AUD</t>
        </is>
      </c>
      <c r="K1528" s="5" t="inlineStr">
        <is>
          <t>01a1212c-4c04-75ce-bbb2-e3322e18816e</t>
        </is>
      </c>
      <c r="M1528" t="inlineStr">
        <is>
          <t>UNKNOWN</t>
        </is>
      </c>
      <c r="N1528" t="inlineStr">
        <is>
          <t>DEFAULT</t>
        </is>
      </c>
      <c r="Q1528" t="n">
        <v>0</v>
      </c>
      <c r="R1528" t="inlineStr">
        <is>
          <t>AUD</t>
        </is>
      </c>
      <c r="S1528" t="n">
        <v>0</v>
      </c>
      <c r="T1528" t="inlineStr">
        <is>
          <t>AUD</t>
        </is>
      </c>
      <c r="U1528" t="n">
        <v>0</v>
      </c>
    </row>
    <row r="1529">
      <c r="A1529" s="5" t="inlineStr">
        <is>
          <t>01a1212c-5eb4-7001-a0d4-8480c2c2ff9c</t>
        </is>
      </c>
      <c r="C1529" s="5" t="inlineStr">
        <is>
          <t>01a1212c-4b57-70cf-80fd-c2192cb3bf81</t>
        </is>
      </c>
      <c r="D1529" s="4" t="n">
        <v>46304.62405542742</v>
      </c>
      <c r="E1529" s="4" t="n">
        <v>46304.62405542751</v>
      </c>
      <c r="F1529" t="b">
        <v>1</v>
      </c>
      <c r="G1529" t="n">
        <v/>
      </c>
      <c r="H1529" t="inlineStr">
        <is>
          <t>NCCGA</t>
        </is>
      </c>
      <c r="I1529" t="inlineStr">
        <is>
          <t>Naos Emerging Opportunities Company Ltd</t>
        </is>
      </c>
      <c r="J1529" t="inlineStr">
        <is>
          <t>AUD</t>
        </is>
      </c>
      <c r="K1529" s="5" t="inlineStr">
        <is>
          <t>01a1212c-4c04-75ce-bbb2-e3322e18816e</t>
        </is>
      </c>
      <c r="M1529" t="inlineStr">
        <is>
          <t>UNKNOWN</t>
        </is>
      </c>
      <c r="N1529" t="inlineStr">
        <is>
          <t>DEFAULT</t>
        </is>
      </c>
      <c r="Q1529" t="n">
        <v>0</v>
      </c>
      <c r="R1529" t="inlineStr">
        <is>
          <t>AUD</t>
        </is>
      </c>
      <c r="S1529" t="n">
        <v>0</v>
      </c>
      <c r="T1529" t="inlineStr">
        <is>
          <t>AUD</t>
        </is>
      </c>
      <c r="U1529" t="n">
        <v>0</v>
      </c>
    </row>
    <row r="1530">
      <c r="A1530" s="5" t="inlineStr">
        <is>
          <t>01a1212c-5eb7-732f-ac47-44bc4aebb407</t>
        </is>
      </c>
      <c r="C1530" s="5" t="inlineStr">
        <is>
          <t>01a1212c-4b57-70cf-80fd-c2192cb3bf81</t>
        </is>
      </c>
      <c r="D1530" s="4" t="n">
        <v>46304.62405546198</v>
      </c>
      <c r="E1530" s="4" t="n">
        <v>46304.62405546206</v>
      </c>
      <c r="F1530" t="b">
        <v>1</v>
      </c>
      <c r="G1530" t="n">
        <v/>
      </c>
      <c r="H1530" t="inlineStr">
        <is>
          <t>ARI</t>
        </is>
      </c>
      <c r="I1530" t="inlineStr">
        <is>
          <t>Arika Resources Ltd</t>
        </is>
      </c>
      <c r="J1530" t="inlineStr">
        <is>
          <t>AUD</t>
        </is>
      </c>
      <c r="K1530" s="5" t="inlineStr">
        <is>
          <t>01a1212c-4c04-75ce-bbb2-e3322e18816e</t>
        </is>
      </c>
      <c r="M1530" t="inlineStr">
        <is>
          <t>UNKNOWN</t>
        </is>
      </c>
      <c r="N1530" t="inlineStr">
        <is>
          <t>DEFAULT</t>
        </is>
      </c>
      <c r="Q1530" t="n">
        <v>0</v>
      </c>
      <c r="R1530" t="inlineStr">
        <is>
          <t>AUD</t>
        </is>
      </c>
      <c r="S1530" t="n">
        <v>0</v>
      </c>
      <c r="T1530" t="inlineStr">
        <is>
          <t>AUD</t>
        </is>
      </c>
      <c r="U1530" t="n">
        <v>0</v>
      </c>
    </row>
    <row r="1531">
      <c r="A1531" s="5" t="inlineStr">
        <is>
          <t>01a1212c-5eba-7185-b38f-6599da6e10cf</t>
        </is>
      </c>
      <c r="C1531" s="5" t="inlineStr">
        <is>
          <t>01a1212c-4b57-70cf-80fd-c2192cb3bf81</t>
        </is>
      </c>
      <c r="D1531" s="4" t="n">
        <v>46304.62405549292</v>
      </c>
      <c r="E1531" s="4" t="n">
        <v>46304.624055493</v>
      </c>
      <c r="F1531" t="b">
        <v>1</v>
      </c>
      <c r="G1531" t="n">
        <v/>
      </c>
      <c r="H1531" t="inlineStr">
        <is>
          <t>SKM</t>
        </is>
      </c>
      <c r="I1531" t="inlineStr">
        <is>
          <t>Skylark Minerals Ltd</t>
        </is>
      </c>
      <c r="J1531" t="inlineStr">
        <is>
          <t>AUD</t>
        </is>
      </c>
      <c r="K1531" s="5" t="inlineStr">
        <is>
          <t>01a1212c-4c04-75ce-bbb2-e3322e18816e</t>
        </is>
      </c>
      <c r="M1531" t="inlineStr">
        <is>
          <t>UNKNOWN</t>
        </is>
      </c>
      <c r="N1531" t="inlineStr">
        <is>
          <t>DEFAULT</t>
        </is>
      </c>
      <c r="Q1531" t="n">
        <v>0</v>
      </c>
      <c r="R1531" t="inlineStr">
        <is>
          <t>AUD</t>
        </is>
      </c>
      <c r="S1531" t="n">
        <v>0</v>
      </c>
      <c r="T1531" t="inlineStr">
        <is>
          <t>AUD</t>
        </is>
      </c>
      <c r="U1531" t="n">
        <v>0</v>
      </c>
    </row>
    <row r="1532">
      <c r="A1532" s="5" t="inlineStr">
        <is>
          <t>01a1212c-5ebd-7256-8936-f1ed6052f667</t>
        </is>
      </c>
      <c r="C1532" s="5" t="inlineStr">
        <is>
          <t>01a1212c-4b57-70cf-80fd-c2192cb3bf81</t>
        </is>
      </c>
      <c r="D1532" s="4" t="n">
        <v>46304.62405552443</v>
      </c>
      <c r="E1532" s="4" t="n">
        <v>46304.62405552452</v>
      </c>
      <c r="F1532" t="b">
        <v>1</v>
      </c>
      <c r="G1532" t="n">
        <v/>
      </c>
      <c r="H1532" t="inlineStr">
        <is>
          <t>AJX</t>
        </is>
      </c>
      <c r="I1532" t="inlineStr">
        <is>
          <t>Alexium International Group Ltd</t>
        </is>
      </c>
      <c r="J1532" t="inlineStr">
        <is>
          <t>AUD</t>
        </is>
      </c>
      <c r="K1532" s="5" t="inlineStr">
        <is>
          <t>01a1212c-4c04-75ce-bbb2-e3322e18816e</t>
        </is>
      </c>
      <c r="M1532" t="inlineStr">
        <is>
          <t>UNKNOWN</t>
        </is>
      </c>
      <c r="N1532" t="inlineStr">
        <is>
          <t>DEFAULT</t>
        </is>
      </c>
      <c r="Q1532" t="n">
        <v>0</v>
      </c>
      <c r="R1532" t="inlineStr">
        <is>
          <t>AUD</t>
        </is>
      </c>
      <c r="S1532" t="n">
        <v>0</v>
      </c>
      <c r="T1532" t="inlineStr">
        <is>
          <t>AUD</t>
        </is>
      </c>
      <c r="U1532" t="n">
        <v>0</v>
      </c>
    </row>
    <row r="1533">
      <c r="A1533" s="5" t="inlineStr">
        <is>
          <t>01a1212c-5ebf-7416-9c83-210219e9cfbe</t>
        </is>
      </c>
      <c r="C1533" s="5" t="inlineStr">
        <is>
          <t>01a1212c-4b57-70cf-80fd-c2192cb3bf81</t>
        </is>
      </c>
      <c r="D1533" s="4" t="n">
        <v>46304.62405555493</v>
      </c>
      <c r="E1533" s="4" t="n">
        <v>46304.62405555501</v>
      </c>
      <c r="F1533" t="b">
        <v>1</v>
      </c>
      <c r="G1533" t="n">
        <v/>
      </c>
      <c r="H1533" t="inlineStr">
        <is>
          <t>POS</t>
        </is>
      </c>
      <c r="I1533" t="inlineStr">
        <is>
          <t>Poseidon Nickel Ltd</t>
        </is>
      </c>
      <c r="J1533" t="inlineStr">
        <is>
          <t>AUD</t>
        </is>
      </c>
      <c r="K1533" s="5" t="inlineStr">
        <is>
          <t>01a1212c-4c04-75ce-bbb2-e3322e18816e</t>
        </is>
      </c>
      <c r="M1533" t="inlineStr">
        <is>
          <t>UNKNOWN</t>
        </is>
      </c>
      <c r="N1533" t="inlineStr">
        <is>
          <t>DEFAULT</t>
        </is>
      </c>
      <c r="Q1533" t="n">
        <v>0</v>
      </c>
      <c r="R1533" t="inlineStr">
        <is>
          <t>AUD</t>
        </is>
      </c>
      <c r="S1533" t="n">
        <v>0</v>
      </c>
      <c r="T1533" t="inlineStr">
        <is>
          <t>AUD</t>
        </is>
      </c>
      <c r="U1533" t="n">
        <v>0</v>
      </c>
    </row>
    <row r="1534">
      <c r="A1534" s="5" t="inlineStr">
        <is>
          <t>01a1212c-5ec2-7055-8d81-d5dbcaebd799</t>
        </is>
      </c>
      <c r="C1534" s="5" t="inlineStr">
        <is>
          <t>01a1212c-4b57-70cf-80fd-c2192cb3bf81</t>
        </is>
      </c>
      <c r="D1534" s="4" t="n">
        <v>46304.62405558981</v>
      </c>
      <c r="E1534" s="4" t="n">
        <v>46304.6240555899</v>
      </c>
      <c r="F1534" t="b">
        <v>1</v>
      </c>
      <c r="G1534" t="n">
        <v/>
      </c>
      <c r="H1534" t="inlineStr">
        <is>
          <t>S66</t>
        </is>
      </c>
      <c r="I1534" t="inlineStr">
        <is>
          <t>Star Combo Pharma Ltd</t>
        </is>
      </c>
      <c r="J1534" t="inlineStr">
        <is>
          <t>AUD</t>
        </is>
      </c>
      <c r="K1534" s="5" t="inlineStr">
        <is>
          <t>01a1212c-4c04-75ce-bbb2-e3322e18816e</t>
        </is>
      </c>
      <c r="M1534" t="inlineStr">
        <is>
          <t>UNKNOWN</t>
        </is>
      </c>
      <c r="N1534" t="inlineStr">
        <is>
          <t>DEFAULT</t>
        </is>
      </c>
      <c r="Q1534" t="n">
        <v>0</v>
      </c>
      <c r="R1534" t="inlineStr">
        <is>
          <t>AUD</t>
        </is>
      </c>
      <c r="S1534" t="n">
        <v>0</v>
      </c>
      <c r="T1534" t="inlineStr">
        <is>
          <t>AUD</t>
        </is>
      </c>
      <c r="U1534" t="n">
        <v>0</v>
      </c>
    </row>
    <row r="1535">
      <c r="A1535" s="5" t="inlineStr">
        <is>
          <t>01a1212c-5ec5-7281-817e-4f88460f70e1</t>
        </is>
      </c>
      <c r="C1535" s="5" t="inlineStr">
        <is>
          <t>01a1212c-4b57-70cf-80fd-c2192cb3bf81</t>
        </is>
      </c>
      <c r="D1535" s="4" t="n">
        <v>46304.62405562124</v>
      </c>
      <c r="E1535" s="4" t="n">
        <v>46304.62405562132</v>
      </c>
      <c r="F1535" t="b">
        <v>1</v>
      </c>
      <c r="G1535" t="n">
        <v/>
      </c>
      <c r="H1535" t="inlineStr">
        <is>
          <t>OEC</t>
        </is>
      </c>
      <c r="I1535" t="inlineStr">
        <is>
          <t>Orbital Corporation Ltd</t>
        </is>
      </c>
      <c r="J1535" t="inlineStr">
        <is>
          <t>AUD</t>
        </is>
      </c>
      <c r="K1535" s="5" t="inlineStr">
        <is>
          <t>01a1212c-4c04-75ce-bbb2-e3322e18816e</t>
        </is>
      </c>
      <c r="M1535" t="inlineStr">
        <is>
          <t>UNKNOWN</t>
        </is>
      </c>
      <c r="N1535" t="inlineStr">
        <is>
          <t>DEFAULT</t>
        </is>
      </c>
      <c r="Q1535" t="n">
        <v>0</v>
      </c>
      <c r="R1535" t="inlineStr">
        <is>
          <t>AUD</t>
        </is>
      </c>
      <c r="S1535" t="n">
        <v>0</v>
      </c>
      <c r="T1535" t="inlineStr">
        <is>
          <t>AUD</t>
        </is>
      </c>
      <c r="U1535" t="n">
        <v>0</v>
      </c>
    </row>
    <row r="1536">
      <c r="A1536" s="5" t="inlineStr">
        <is>
          <t>01a1212c-5ec8-7699-b1d1-d0de146483f9</t>
        </is>
      </c>
      <c r="C1536" s="5" t="inlineStr">
        <is>
          <t>01a1212c-4b57-70cf-80fd-c2192cb3bf81</t>
        </is>
      </c>
      <c r="D1536" s="4" t="n">
        <v>46304.62405565174</v>
      </c>
      <c r="E1536" s="4" t="n">
        <v>46304.62405565182</v>
      </c>
      <c r="F1536" t="b">
        <v>1</v>
      </c>
      <c r="G1536" t="n">
        <v/>
      </c>
      <c r="H1536" t="inlineStr">
        <is>
          <t>POD</t>
        </is>
      </c>
      <c r="I1536" t="inlineStr">
        <is>
          <t>Podium Minerals Ltd</t>
        </is>
      </c>
      <c r="J1536" t="inlineStr">
        <is>
          <t>AUD</t>
        </is>
      </c>
      <c r="K1536" s="5" t="inlineStr">
        <is>
          <t>01a1212c-4c04-75ce-bbb2-e3322e18816e</t>
        </is>
      </c>
      <c r="M1536" t="inlineStr">
        <is>
          <t>UNKNOWN</t>
        </is>
      </c>
      <c r="N1536" t="inlineStr">
        <is>
          <t>DEFAULT</t>
        </is>
      </c>
      <c r="Q1536" t="n">
        <v>0</v>
      </c>
      <c r="R1536" t="inlineStr">
        <is>
          <t>AUD</t>
        </is>
      </c>
      <c r="S1536" t="n">
        <v>0</v>
      </c>
      <c r="T1536" t="inlineStr">
        <is>
          <t>AUD</t>
        </is>
      </c>
      <c r="U1536" t="n">
        <v>0</v>
      </c>
    </row>
    <row r="1537">
      <c r="A1537" s="5" t="inlineStr">
        <is>
          <t>01a1212c-5eca-747e-aa87-e66b58765b13</t>
        </is>
      </c>
      <c r="C1537" s="5" t="inlineStr">
        <is>
          <t>01a1212c-4b57-70cf-80fd-c2192cb3bf81</t>
        </is>
      </c>
      <c r="D1537" s="4" t="n">
        <v>46304.62405568262</v>
      </c>
      <c r="E1537" s="4" t="n">
        <v>46304.62405568269</v>
      </c>
      <c r="F1537" t="b">
        <v>1</v>
      </c>
      <c r="G1537" t="n">
        <v/>
      </c>
      <c r="H1537" t="inlineStr">
        <is>
          <t>CSS</t>
        </is>
      </c>
      <c r="I1537" t="inlineStr">
        <is>
          <t>Clean Seas Seafood Ltd</t>
        </is>
      </c>
      <c r="J1537" t="inlineStr">
        <is>
          <t>AUD</t>
        </is>
      </c>
      <c r="K1537" s="5" t="inlineStr">
        <is>
          <t>01a1212c-4c04-75ce-bbb2-e3322e18816e</t>
        </is>
      </c>
      <c r="M1537" t="inlineStr">
        <is>
          <t>UNKNOWN</t>
        </is>
      </c>
      <c r="N1537" t="inlineStr">
        <is>
          <t>DEFAULT</t>
        </is>
      </c>
      <c r="Q1537" t="n">
        <v>0</v>
      </c>
      <c r="R1537" t="inlineStr">
        <is>
          <t>AUD</t>
        </is>
      </c>
      <c r="S1537" t="n">
        <v>0</v>
      </c>
      <c r="T1537" t="inlineStr">
        <is>
          <t>AUD</t>
        </is>
      </c>
      <c r="U1537" t="n">
        <v>0</v>
      </c>
    </row>
    <row r="1538">
      <c r="A1538" s="5" t="inlineStr">
        <is>
          <t>01a1212c-5ecd-71d4-80f8-ff1c644a0916</t>
        </is>
      </c>
      <c r="C1538" s="5" t="inlineStr">
        <is>
          <t>01a1212c-4b57-70cf-80fd-c2192cb3bf81</t>
        </is>
      </c>
      <c r="D1538" s="4" t="n">
        <v>46304.62405571638</v>
      </c>
      <c r="E1538" s="4" t="n">
        <v>46304.62405571647</v>
      </c>
      <c r="F1538" t="b">
        <v>1</v>
      </c>
      <c r="G1538" t="n">
        <v/>
      </c>
      <c r="H1538" t="inlineStr">
        <is>
          <t>EME</t>
        </is>
      </c>
      <c r="I1538" t="inlineStr">
        <is>
          <t>Energy Metals Ltd</t>
        </is>
      </c>
      <c r="J1538" t="inlineStr">
        <is>
          <t>AUD</t>
        </is>
      </c>
      <c r="K1538" s="5" t="inlineStr">
        <is>
          <t>01a1212c-4c04-75ce-bbb2-e3322e18816e</t>
        </is>
      </c>
      <c r="M1538" t="inlineStr">
        <is>
          <t>UNKNOWN</t>
        </is>
      </c>
      <c r="N1538" t="inlineStr">
        <is>
          <t>DEFAULT</t>
        </is>
      </c>
      <c r="Q1538" t="n">
        <v>0</v>
      </c>
      <c r="R1538" t="inlineStr">
        <is>
          <t>AUD</t>
        </is>
      </c>
      <c r="S1538" t="n">
        <v>0</v>
      </c>
      <c r="T1538" t="inlineStr">
        <is>
          <t>AUD</t>
        </is>
      </c>
      <c r="U1538" t="n">
        <v>0</v>
      </c>
    </row>
    <row r="1539">
      <c r="A1539" s="5" t="inlineStr">
        <is>
          <t>01a1212c-5ed0-77ef-bece-35fe673226a8</t>
        </is>
      </c>
      <c r="C1539" s="5" t="inlineStr">
        <is>
          <t>01a1212c-4b57-70cf-80fd-c2192cb3bf81</t>
        </is>
      </c>
      <c r="D1539" s="4" t="n">
        <v>46304.62405575076</v>
      </c>
      <c r="E1539" s="4" t="n">
        <v>46304.62405575084</v>
      </c>
      <c r="F1539" t="b">
        <v>1</v>
      </c>
      <c r="G1539" t="n">
        <v/>
      </c>
      <c r="H1539" t="inlineStr">
        <is>
          <t>UNT</t>
        </is>
      </c>
      <c r="I1539" t="inlineStr">
        <is>
          <t>Unith Ltd</t>
        </is>
      </c>
      <c r="J1539" t="inlineStr">
        <is>
          <t>AUD</t>
        </is>
      </c>
      <c r="K1539" s="5" t="inlineStr">
        <is>
          <t>01a1212c-4c04-75ce-bbb2-e3322e18816e</t>
        </is>
      </c>
      <c r="M1539" t="inlineStr">
        <is>
          <t>UNKNOWN</t>
        </is>
      </c>
      <c r="N1539" t="inlineStr">
        <is>
          <t>DEFAULT</t>
        </is>
      </c>
      <c r="Q1539" t="n">
        <v>0</v>
      </c>
      <c r="R1539" t="inlineStr">
        <is>
          <t>AUD</t>
        </is>
      </c>
      <c r="S1539" t="n">
        <v>0</v>
      </c>
      <c r="T1539" t="inlineStr">
        <is>
          <t>AUD</t>
        </is>
      </c>
      <c r="U1539" t="n">
        <v>0</v>
      </c>
    </row>
    <row r="1540">
      <c r="A1540" s="5" t="inlineStr">
        <is>
          <t>01a1212c-5ed3-7032-b716-5dfeda3b99d9</t>
        </is>
      </c>
      <c r="C1540" s="5" t="inlineStr">
        <is>
          <t>01a1212c-4b57-70cf-80fd-c2192cb3bf81</t>
        </is>
      </c>
      <c r="D1540" s="4" t="n">
        <v>46304.62405578412</v>
      </c>
      <c r="E1540" s="4" t="n">
        <v>46304.6240557842</v>
      </c>
      <c r="F1540" t="b">
        <v>1</v>
      </c>
      <c r="G1540" t="n">
        <v/>
      </c>
      <c r="H1540" t="inlineStr">
        <is>
          <t>KNB</t>
        </is>
      </c>
      <c r="I1540" t="inlineStr">
        <is>
          <t>Koonenberry Gold Ltd</t>
        </is>
      </c>
      <c r="J1540" t="inlineStr">
        <is>
          <t>AUD</t>
        </is>
      </c>
      <c r="K1540" s="5" t="inlineStr">
        <is>
          <t>01a1212c-4c04-75ce-bbb2-e3322e18816e</t>
        </is>
      </c>
      <c r="M1540" t="inlineStr">
        <is>
          <t>UNKNOWN</t>
        </is>
      </c>
      <c r="N1540" t="inlineStr">
        <is>
          <t>DEFAULT</t>
        </is>
      </c>
      <c r="Q1540" t="n">
        <v>0</v>
      </c>
      <c r="R1540" t="inlineStr">
        <is>
          <t>AUD</t>
        </is>
      </c>
      <c r="S1540" t="n">
        <v>0</v>
      </c>
      <c r="T1540" t="inlineStr">
        <is>
          <t>AUD</t>
        </is>
      </c>
      <c r="U1540" t="n">
        <v>0</v>
      </c>
    </row>
    <row r="1541">
      <c r="A1541" s="5" t="inlineStr">
        <is>
          <t>01a1212c-5ed6-778d-bd6f-843b100702ec</t>
        </is>
      </c>
      <c r="C1541" s="5" t="inlineStr">
        <is>
          <t>01a1212c-4b57-70cf-80fd-c2192cb3bf81</t>
        </is>
      </c>
      <c r="D1541" s="4" t="n">
        <v>46304.62405581626</v>
      </c>
      <c r="E1541" s="4" t="n">
        <v>46304.62405581634</v>
      </c>
      <c r="F1541" t="b">
        <v>1</v>
      </c>
      <c r="G1541" t="n">
        <v/>
      </c>
      <c r="H1541" t="inlineStr">
        <is>
          <t>ZNC</t>
        </is>
      </c>
      <c r="I1541" t="inlineStr">
        <is>
          <t>Zenith Minerals Ltd</t>
        </is>
      </c>
      <c r="J1541" t="inlineStr">
        <is>
          <t>AUD</t>
        </is>
      </c>
      <c r="K1541" s="5" t="inlineStr">
        <is>
          <t>01a1212c-4c04-75ce-bbb2-e3322e18816e</t>
        </is>
      </c>
      <c r="M1541" t="inlineStr">
        <is>
          <t>UNKNOWN</t>
        </is>
      </c>
      <c r="N1541" t="inlineStr">
        <is>
          <t>DEFAULT</t>
        </is>
      </c>
      <c r="Q1541" t="n">
        <v>0</v>
      </c>
      <c r="R1541" t="inlineStr">
        <is>
          <t>AUD</t>
        </is>
      </c>
      <c r="S1541" t="n">
        <v>0</v>
      </c>
      <c r="T1541" t="inlineStr">
        <is>
          <t>AUD</t>
        </is>
      </c>
      <c r="U1541" t="n">
        <v>0</v>
      </c>
    </row>
    <row r="1542">
      <c r="A1542" s="5" t="inlineStr">
        <is>
          <t>01a1212c-5ed9-70c1-ba0f-ee2e42c3e484</t>
        </is>
      </c>
      <c r="C1542" s="5" t="inlineStr">
        <is>
          <t>01a1212c-4b57-70cf-80fd-c2192cb3bf81</t>
        </is>
      </c>
      <c r="D1542" s="4" t="n">
        <v>46304.6240558473</v>
      </c>
      <c r="E1542" s="4" t="n">
        <v>46304.62405584739</v>
      </c>
      <c r="F1542" t="b">
        <v>1</v>
      </c>
      <c r="G1542" t="n">
        <v/>
      </c>
      <c r="H1542" t="inlineStr">
        <is>
          <t>EPM</t>
        </is>
      </c>
      <c r="I1542" t="inlineStr">
        <is>
          <t>Eclipse Metals Ltd</t>
        </is>
      </c>
      <c r="J1542" t="inlineStr">
        <is>
          <t>AUD</t>
        </is>
      </c>
      <c r="K1542" s="5" t="inlineStr">
        <is>
          <t>01a1212c-4c04-75ce-bbb2-e3322e18816e</t>
        </is>
      </c>
      <c r="M1542" t="inlineStr">
        <is>
          <t>UNKNOWN</t>
        </is>
      </c>
      <c r="N1542" t="inlineStr">
        <is>
          <t>DEFAULT</t>
        </is>
      </c>
      <c r="Q1542" t="n">
        <v>0</v>
      </c>
      <c r="R1542" t="inlineStr">
        <is>
          <t>AUD</t>
        </is>
      </c>
      <c r="S1542" t="n">
        <v>0</v>
      </c>
      <c r="T1542" t="inlineStr">
        <is>
          <t>AUD</t>
        </is>
      </c>
      <c r="U1542" t="n">
        <v>0</v>
      </c>
    </row>
    <row r="1543">
      <c r="A1543" s="5" t="inlineStr">
        <is>
          <t>01a1212c-5edb-75e7-9130-3fc3e7408c88</t>
        </is>
      </c>
      <c r="C1543" s="5" t="inlineStr">
        <is>
          <t>01a1212c-4b57-70cf-80fd-c2192cb3bf81</t>
        </is>
      </c>
      <c r="D1543" s="4" t="n">
        <v>46304.62405587792</v>
      </c>
      <c r="E1543" s="4" t="n">
        <v>46304.62405587798</v>
      </c>
      <c r="F1543" t="b">
        <v>1</v>
      </c>
      <c r="G1543" t="n">
        <v/>
      </c>
      <c r="H1543" t="inlineStr">
        <is>
          <t>CST</t>
        </is>
      </c>
      <c r="I1543" t="inlineStr">
        <is>
          <t>Castile Resources Ltd</t>
        </is>
      </c>
      <c r="J1543" t="inlineStr">
        <is>
          <t>AUD</t>
        </is>
      </c>
      <c r="K1543" s="5" t="inlineStr">
        <is>
          <t>01a1212c-4c04-75ce-bbb2-e3322e18816e</t>
        </is>
      </c>
      <c r="M1543" t="inlineStr">
        <is>
          <t>UNKNOWN</t>
        </is>
      </c>
      <c r="N1543" t="inlineStr">
        <is>
          <t>DEFAULT</t>
        </is>
      </c>
      <c r="Q1543" t="n">
        <v>0</v>
      </c>
      <c r="R1543" t="inlineStr">
        <is>
          <t>AUD</t>
        </is>
      </c>
      <c r="S1543" t="n">
        <v>0</v>
      </c>
      <c r="T1543" t="inlineStr">
        <is>
          <t>AUD</t>
        </is>
      </c>
      <c r="U1543" t="n">
        <v>0</v>
      </c>
    </row>
    <row r="1544">
      <c r="A1544" s="5" t="inlineStr">
        <is>
          <t>01a1212c-5ede-72b3-883c-8c31cf44bd18</t>
        </is>
      </c>
      <c r="C1544" s="5" t="inlineStr">
        <is>
          <t>01a1212c-4b57-70cf-80fd-c2192cb3bf81</t>
        </is>
      </c>
      <c r="D1544" s="4" t="n">
        <v>46304.62405591236</v>
      </c>
      <c r="E1544" s="4" t="n">
        <v>46304.62405591244</v>
      </c>
      <c r="F1544" t="b">
        <v>1</v>
      </c>
      <c r="G1544" t="n">
        <v/>
      </c>
      <c r="H1544" t="inlineStr">
        <is>
          <t>IXU</t>
        </is>
      </c>
      <c r="I1544" t="inlineStr">
        <is>
          <t>Ixup Ltd</t>
        </is>
      </c>
      <c r="J1544" t="inlineStr">
        <is>
          <t>AUD</t>
        </is>
      </c>
      <c r="K1544" s="5" t="inlineStr">
        <is>
          <t>01a1212c-4c04-75ce-bbb2-e3322e18816e</t>
        </is>
      </c>
      <c r="M1544" t="inlineStr">
        <is>
          <t>UNKNOWN</t>
        </is>
      </c>
      <c r="N1544" t="inlineStr">
        <is>
          <t>DEFAULT</t>
        </is>
      </c>
      <c r="Q1544" t="n">
        <v>0</v>
      </c>
      <c r="R1544" t="inlineStr">
        <is>
          <t>AUD</t>
        </is>
      </c>
      <c r="S1544" t="n">
        <v>0</v>
      </c>
      <c r="T1544" t="inlineStr">
        <is>
          <t>AUD</t>
        </is>
      </c>
      <c r="U1544" t="n">
        <v>0</v>
      </c>
    </row>
    <row r="1545">
      <c r="A1545" s="5" t="inlineStr">
        <is>
          <t>01a1212c-5ee1-72fc-952f-421e66708199</t>
        </is>
      </c>
      <c r="C1545" s="5" t="inlineStr">
        <is>
          <t>01a1212c-4b57-70cf-80fd-c2192cb3bf81</t>
        </is>
      </c>
      <c r="D1545" s="4" t="n">
        <v>46304.62405594283</v>
      </c>
      <c r="E1545" s="4" t="n">
        <v>46304.62405594291</v>
      </c>
      <c r="F1545" t="b">
        <v>1</v>
      </c>
      <c r="G1545" t="n">
        <v/>
      </c>
      <c r="H1545" t="inlineStr">
        <is>
          <t>HHR</t>
        </is>
      </c>
      <c r="I1545" t="inlineStr">
        <is>
          <t>Hartshead Resources NL</t>
        </is>
      </c>
      <c r="J1545" t="inlineStr">
        <is>
          <t>AUD</t>
        </is>
      </c>
      <c r="K1545" s="5" t="inlineStr">
        <is>
          <t>01a1212c-4c04-75ce-bbb2-e3322e18816e</t>
        </is>
      </c>
      <c r="M1545" t="inlineStr">
        <is>
          <t>UNKNOWN</t>
        </is>
      </c>
      <c r="N1545" t="inlineStr">
        <is>
          <t>DEFAULT</t>
        </is>
      </c>
      <c r="Q1545" t="n">
        <v>0</v>
      </c>
      <c r="R1545" t="inlineStr">
        <is>
          <t>AUD</t>
        </is>
      </c>
      <c r="S1545" t="n">
        <v>0</v>
      </c>
      <c r="T1545" t="inlineStr">
        <is>
          <t>AUD</t>
        </is>
      </c>
      <c r="U1545" t="n">
        <v>0</v>
      </c>
    </row>
    <row r="1546">
      <c r="A1546" s="5" t="inlineStr">
        <is>
          <t>01a1212c-5ee4-75c9-a4c3-11376eb084eb</t>
        </is>
      </c>
      <c r="C1546" s="5" t="inlineStr">
        <is>
          <t>01a1212c-4b57-70cf-80fd-c2192cb3bf81</t>
        </is>
      </c>
      <c r="D1546" s="4" t="n">
        <v>46304.62405597357</v>
      </c>
      <c r="E1546" s="4" t="n">
        <v>46304.62405597365</v>
      </c>
      <c r="F1546" t="b">
        <v>1</v>
      </c>
      <c r="G1546" t="n">
        <v/>
      </c>
      <c r="H1546" t="inlineStr">
        <is>
          <t>EMB</t>
        </is>
      </c>
      <c r="I1546" t="inlineStr">
        <is>
          <t>Embelton Ltd</t>
        </is>
      </c>
      <c r="J1546" t="inlineStr">
        <is>
          <t>AUD</t>
        </is>
      </c>
      <c r="K1546" s="5" t="inlineStr">
        <is>
          <t>01a1212c-4c04-75ce-bbb2-e3322e18816e</t>
        </is>
      </c>
      <c r="M1546" t="inlineStr">
        <is>
          <t>UNKNOWN</t>
        </is>
      </c>
      <c r="N1546" t="inlineStr">
        <is>
          <t>DEFAULT</t>
        </is>
      </c>
      <c r="Q1546" t="n">
        <v>0</v>
      </c>
      <c r="R1546" t="inlineStr">
        <is>
          <t>AUD</t>
        </is>
      </c>
      <c r="S1546" t="n">
        <v>0</v>
      </c>
      <c r="T1546" t="inlineStr">
        <is>
          <t>AUD</t>
        </is>
      </c>
      <c r="U1546" t="n">
        <v>0</v>
      </c>
    </row>
    <row r="1547">
      <c r="A1547" s="5" t="inlineStr">
        <is>
          <t>01a1212c-5ee6-74f1-b3e1-e9b0afa4b198</t>
        </is>
      </c>
      <c r="C1547" s="5" t="inlineStr">
        <is>
          <t>01a1212c-4b57-70cf-80fd-c2192cb3bf81</t>
        </is>
      </c>
      <c r="D1547" s="4" t="n">
        <v>46304.62405600408</v>
      </c>
      <c r="E1547" s="4" t="n">
        <v>46304.62405600416</v>
      </c>
      <c r="F1547" t="b">
        <v>1</v>
      </c>
      <c r="G1547" t="n">
        <v/>
      </c>
      <c r="H1547" t="inlineStr">
        <is>
          <t>TGH</t>
        </is>
      </c>
      <c r="I1547" t="inlineStr">
        <is>
          <t>Terragen Holdings Ltd</t>
        </is>
      </c>
      <c r="J1547" t="inlineStr">
        <is>
          <t>AUD</t>
        </is>
      </c>
      <c r="K1547" s="5" t="inlineStr">
        <is>
          <t>01a1212c-4c04-75ce-bbb2-e3322e18816e</t>
        </is>
      </c>
      <c r="M1547" t="inlineStr">
        <is>
          <t>UNKNOWN</t>
        </is>
      </c>
      <c r="N1547" t="inlineStr">
        <is>
          <t>DEFAULT</t>
        </is>
      </c>
      <c r="Q1547" t="n">
        <v>0</v>
      </c>
      <c r="R1547" t="inlineStr">
        <is>
          <t>AUD</t>
        </is>
      </c>
      <c r="S1547" t="n">
        <v>0</v>
      </c>
      <c r="T1547" t="inlineStr">
        <is>
          <t>AUD</t>
        </is>
      </c>
      <c r="U1547" t="n">
        <v>0</v>
      </c>
    </row>
    <row r="1548">
      <c r="A1548" s="5" t="inlineStr">
        <is>
          <t>01a1212c-5ee9-7046-a359-5c172c096fac</t>
        </is>
      </c>
      <c r="C1548" s="5" t="inlineStr">
        <is>
          <t>01a1212c-4b57-70cf-80fd-c2192cb3bf81</t>
        </is>
      </c>
      <c r="D1548" s="4" t="n">
        <v>46304.6240560365</v>
      </c>
      <c r="E1548" s="4" t="n">
        <v>46304.62405603658</v>
      </c>
      <c r="F1548" t="b">
        <v>1</v>
      </c>
      <c r="G1548" t="n">
        <v/>
      </c>
      <c r="H1548" t="inlineStr">
        <is>
          <t>RPM</t>
        </is>
      </c>
      <c r="I1548" t="inlineStr">
        <is>
          <t>RPM Automotive Group Ltd</t>
        </is>
      </c>
      <c r="J1548" t="inlineStr">
        <is>
          <t>AUD</t>
        </is>
      </c>
      <c r="K1548" s="5" t="inlineStr">
        <is>
          <t>01a1212c-4c04-75ce-bbb2-e3322e18816e</t>
        </is>
      </c>
      <c r="M1548" t="inlineStr">
        <is>
          <t>UNKNOWN</t>
        </is>
      </c>
      <c r="N1548" t="inlineStr">
        <is>
          <t>DEFAULT</t>
        </is>
      </c>
      <c r="Q1548" t="n">
        <v>0</v>
      </c>
      <c r="R1548" t="inlineStr">
        <is>
          <t>AUD</t>
        </is>
      </c>
      <c r="S1548" t="n">
        <v>0</v>
      </c>
      <c r="T1548" t="inlineStr">
        <is>
          <t>AUD</t>
        </is>
      </c>
      <c r="U1548" t="n">
        <v>0</v>
      </c>
    </row>
    <row r="1549">
      <c r="A1549" s="5" t="inlineStr">
        <is>
          <t>01a1212c-5eec-71e1-a6e4-edf11bee3e5e</t>
        </is>
      </c>
      <c r="C1549" s="5" t="inlineStr">
        <is>
          <t>01a1212c-4b57-70cf-80fd-c2192cb3bf81</t>
        </is>
      </c>
      <c r="D1549" s="4" t="n">
        <v>46304.62405606721</v>
      </c>
      <c r="E1549" s="4" t="n">
        <v>46304.62405606729</v>
      </c>
      <c r="F1549" t="b">
        <v>1</v>
      </c>
      <c r="G1549" t="n">
        <v/>
      </c>
      <c r="H1549" t="inlineStr">
        <is>
          <t>JAV</t>
        </is>
      </c>
      <c r="I1549" t="inlineStr">
        <is>
          <t>Javelin Minerals Ltd</t>
        </is>
      </c>
      <c r="J1549" t="inlineStr">
        <is>
          <t>AUD</t>
        </is>
      </c>
      <c r="K1549" s="5" t="inlineStr">
        <is>
          <t>01a1212c-4c04-75ce-bbb2-e3322e18816e</t>
        </is>
      </c>
      <c r="M1549" t="inlineStr">
        <is>
          <t>UNKNOWN</t>
        </is>
      </c>
      <c r="N1549" t="inlineStr">
        <is>
          <t>DEFAULT</t>
        </is>
      </c>
      <c r="Q1549" t="n">
        <v>0</v>
      </c>
      <c r="R1549" t="inlineStr">
        <is>
          <t>AUD</t>
        </is>
      </c>
      <c r="S1549" t="n">
        <v>0</v>
      </c>
      <c r="T1549" t="inlineStr">
        <is>
          <t>AUD</t>
        </is>
      </c>
      <c r="U1549" t="n">
        <v>0</v>
      </c>
    </row>
    <row r="1550">
      <c r="A1550" s="5" t="inlineStr">
        <is>
          <t>01a1212c-5eef-74c3-a98f-d431b3a5279d</t>
        </is>
      </c>
      <c r="C1550" s="5" t="inlineStr">
        <is>
          <t>01a1212c-4b57-70cf-80fd-c2192cb3bf81</t>
        </is>
      </c>
      <c r="D1550" s="4" t="n">
        <v>46304.62405610087</v>
      </c>
      <c r="E1550" s="4" t="n">
        <v>46304.62405610095</v>
      </c>
      <c r="F1550" t="b">
        <v>1</v>
      </c>
      <c r="G1550" t="n">
        <v/>
      </c>
      <c r="H1550" t="inlineStr">
        <is>
          <t>JRHG</t>
        </is>
      </c>
      <c r="I1550" t="inlineStr">
        <is>
          <t>Jpmorgan GL Re En in EQH Active ETF (Managed Fund)</t>
        </is>
      </c>
      <c r="J1550" t="inlineStr">
        <is>
          <t>AUD</t>
        </is>
      </c>
      <c r="K1550" s="5" t="inlineStr">
        <is>
          <t>01a1212c-4c04-75ce-bbb2-e3322e18816e</t>
        </is>
      </c>
      <c r="M1550" t="inlineStr">
        <is>
          <t>UNKNOWN</t>
        </is>
      </c>
      <c r="N1550" t="inlineStr">
        <is>
          <t>DEFAULT</t>
        </is>
      </c>
      <c r="Q1550" t="n">
        <v>0</v>
      </c>
      <c r="R1550" t="inlineStr">
        <is>
          <t>AUD</t>
        </is>
      </c>
      <c r="S1550" t="n">
        <v>0</v>
      </c>
      <c r="T1550" t="inlineStr">
        <is>
          <t>AUD</t>
        </is>
      </c>
      <c r="U1550" t="n">
        <v>0</v>
      </c>
    </row>
    <row r="1551">
      <c r="A1551" s="5" t="inlineStr">
        <is>
          <t>01a1212c-5ef1-70f6-9aff-da7b7a875267</t>
        </is>
      </c>
      <c r="C1551" s="5" t="inlineStr">
        <is>
          <t>01a1212c-4b57-70cf-80fd-c2192cb3bf81</t>
        </is>
      </c>
      <c r="D1551" s="4" t="n">
        <v>46304.62405613182</v>
      </c>
      <c r="E1551" s="4" t="n">
        <v>46304.6240561319</v>
      </c>
      <c r="F1551" t="b">
        <v>1</v>
      </c>
      <c r="G1551" t="n">
        <v/>
      </c>
      <c r="H1551" t="inlineStr">
        <is>
          <t>FNX</t>
        </is>
      </c>
      <c r="I1551" t="inlineStr">
        <is>
          <t>Finexia Financial Group Ltd</t>
        </is>
      </c>
      <c r="J1551" t="inlineStr">
        <is>
          <t>AUD</t>
        </is>
      </c>
      <c r="K1551" s="5" t="inlineStr">
        <is>
          <t>01a1212c-4c04-75ce-bbb2-e3322e18816e</t>
        </is>
      </c>
      <c r="M1551" t="inlineStr">
        <is>
          <t>UNKNOWN</t>
        </is>
      </c>
      <c r="N1551" t="inlineStr">
        <is>
          <t>DEFAULT</t>
        </is>
      </c>
      <c r="Q1551" t="n">
        <v>0</v>
      </c>
      <c r="R1551" t="inlineStr">
        <is>
          <t>AUD</t>
        </is>
      </c>
      <c r="S1551" t="n">
        <v>0</v>
      </c>
      <c r="T1551" t="inlineStr">
        <is>
          <t>AUD</t>
        </is>
      </c>
      <c r="U1551" t="n">
        <v>0</v>
      </c>
    </row>
    <row r="1552">
      <c r="A1552" s="5" t="inlineStr">
        <is>
          <t>01a1212c-5ef4-736a-b629-7d5a68e48265</t>
        </is>
      </c>
      <c r="C1552" s="5" t="inlineStr">
        <is>
          <t>01a1212c-4b57-70cf-80fd-c2192cb3bf81</t>
        </is>
      </c>
      <c r="D1552" s="4" t="n">
        <v>46304.62405616227</v>
      </c>
      <c r="E1552" s="4" t="n">
        <v>46304.62405616235</v>
      </c>
      <c r="F1552" t="b">
        <v>1</v>
      </c>
      <c r="G1552" t="n">
        <v/>
      </c>
      <c r="H1552" t="inlineStr">
        <is>
          <t>LGM</t>
        </is>
      </c>
      <c r="I1552" t="inlineStr">
        <is>
          <t>Legacy Minerals Holdings Ltd</t>
        </is>
      </c>
      <c r="J1552" t="inlineStr">
        <is>
          <t>AUD</t>
        </is>
      </c>
      <c r="K1552" s="5" t="inlineStr">
        <is>
          <t>01a1212c-4c04-75ce-bbb2-e3322e18816e</t>
        </is>
      </c>
      <c r="M1552" t="inlineStr">
        <is>
          <t>UNKNOWN</t>
        </is>
      </c>
      <c r="N1552" t="inlineStr">
        <is>
          <t>DEFAULT</t>
        </is>
      </c>
      <c r="Q1552" t="n">
        <v>0</v>
      </c>
      <c r="R1552" t="inlineStr">
        <is>
          <t>AUD</t>
        </is>
      </c>
      <c r="S1552" t="n">
        <v>0</v>
      </c>
      <c r="T1552" t="inlineStr">
        <is>
          <t>AUD</t>
        </is>
      </c>
      <c r="U1552" t="n">
        <v>0</v>
      </c>
    </row>
    <row r="1553">
      <c r="A1553" s="5" t="inlineStr">
        <is>
          <t>01a1212c-5ef7-71f5-9d1f-ceabfa9d192b</t>
        </is>
      </c>
      <c r="C1553" s="5" t="inlineStr">
        <is>
          <t>01a1212c-4b57-70cf-80fd-c2192cb3bf81</t>
        </is>
      </c>
      <c r="D1553" s="4" t="n">
        <v>46304.62405619537</v>
      </c>
      <c r="E1553" s="4" t="n">
        <v>46304.62405619544</v>
      </c>
      <c r="F1553" t="b">
        <v>1</v>
      </c>
      <c r="G1553" t="n">
        <v/>
      </c>
      <c r="H1553" t="inlineStr">
        <is>
          <t>FPP</t>
        </is>
      </c>
      <c r="I1553" t="inlineStr">
        <is>
          <t>Fat Prophets Global Property Fund</t>
        </is>
      </c>
      <c r="J1553" t="inlineStr">
        <is>
          <t>AUD</t>
        </is>
      </c>
      <c r="K1553" s="5" t="inlineStr">
        <is>
          <t>01a1212c-4c04-75ce-bbb2-e3322e18816e</t>
        </is>
      </c>
      <c r="M1553" t="inlineStr">
        <is>
          <t>UNKNOWN</t>
        </is>
      </c>
      <c r="N1553" t="inlineStr">
        <is>
          <t>DEFAULT</t>
        </is>
      </c>
      <c r="Q1553" t="n">
        <v>0</v>
      </c>
      <c r="R1553" t="inlineStr">
        <is>
          <t>AUD</t>
        </is>
      </c>
      <c r="S1553" t="n">
        <v>0</v>
      </c>
      <c r="T1553" t="inlineStr">
        <is>
          <t>AUD</t>
        </is>
      </c>
      <c r="U1553" t="n">
        <v>0</v>
      </c>
    </row>
    <row r="1554">
      <c r="A1554" s="5" t="inlineStr">
        <is>
          <t>01a1212c-5ef9-7674-858c-c581023d5529</t>
        </is>
      </c>
      <c r="C1554" s="5" t="inlineStr">
        <is>
          <t>01a1212c-4b57-70cf-80fd-c2192cb3bf81</t>
        </is>
      </c>
      <c r="D1554" s="4" t="n">
        <v>46304.62405622588</v>
      </c>
      <c r="E1554" s="4" t="n">
        <v>46304.62405622595</v>
      </c>
      <c r="F1554" t="b">
        <v>1</v>
      </c>
      <c r="G1554" t="n">
        <v/>
      </c>
      <c r="H1554" t="inlineStr">
        <is>
          <t>NOV</t>
        </is>
      </c>
      <c r="I1554" t="inlineStr">
        <is>
          <t>Novatti Group Ltd</t>
        </is>
      </c>
      <c r="J1554" t="inlineStr">
        <is>
          <t>AUD</t>
        </is>
      </c>
      <c r="K1554" s="5" t="inlineStr">
        <is>
          <t>01a1212c-4c04-75ce-bbb2-e3322e18816e</t>
        </is>
      </c>
      <c r="M1554" t="inlineStr">
        <is>
          <t>UNKNOWN</t>
        </is>
      </c>
      <c r="N1554" t="inlineStr">
        <is>
          <t>DEFAULT</t>
        </is>
      </c>
      <c r="Q1554" t="n">
        <v>0</v>
      </c>
      <c r="R1554" t="inlineStr">
        <is>
          <t>AUD</t>
        </is>
      </c>
      <c r="S1554" t="n">
        <v>0</v>
      </c>
      <c r="T1554" t="inlineStr">
        <is>
          <t>AUD</t>
        </is>
      </c>
      <c r="U1554" t="n">
        <v>0</v>
      </c>
    </row>
    <row r="1555">
      <c r="A1555" s="5" t="inlineStr">
        <is>
          <t>01a1212c-5efc-7086-aa3a-ee9d60b33f12</t>
        </is>
      </c>
      <c r="C1555" s="5" t="inlineStr">
        <is>
          <t>01a1212c-4b57-70cf-80fd-c2192cb3bf81</t>
        </is>
      </c>
      <c r="D1555" s="4" t="n">
        <v>46304.62405625683</v>
      </c>
      <c r="E1555" s="4" t="n">
        <v>46304.62405625692</v>
      </c>
      <c r="F1555" t="b">
        <v>1</v>
      </c>
      <c r="G1555" t="n">
        <v/>
      </c>
      <c r="H1555" t="inlineStr">
        <is>
          <t>INV</t>
        </is>
      </c>
      <c r="I1555" t="inlineStr">
        <is>
          <t>Investsmart Group Ltd</t>
        </is>
      </c>
      <c r="J1555" t="inlineStr">
        <is>
          <t>AUD</t>
        </is>
      </c>
      <c r="K1555" s="5" t="inlineStr">
        <is>
          <t>01a1212c-4c04-75ce-bbb2-e3322e18816e</t>
        </is>
      </c>
      <c r="M1555" t="inlineStr">
        <is>
          <t>UNKNOWN</t>
        </is>
      </c>
      <c r="N1555" t="inlineStr">
        <is>
          <t>DEFAULT</t>
        </is>
      </c>
      <c r="Q1555" t="n">
        <v>0</v>
      </c>
      <c r="R1555" t="inlineStr">
        <is>
          <t>AUD</t>
        </is>
      </c>
      <c r="S1555" t="n">
        <v>0</v>
      </c>
      <c r="T1555" t="inlineStr">
        <is>
          <t>AUD</t>
        </is>
      </c>
      <c r="U1555" t="n">
        <v>0</v>
      </c>
    </row>
    <row r="1556">
      <c r="A1556" s="5" t="inlineStr">
        <is>
          <t>01a1212c-5eff-7201-8ad3-9db0fc6e18ec</t>
        </is>
      </c>
      <c r="C1556" s="5" t="inlineStr">
        <is>
          <t>01a1212c-4b57-70cf-80fd-c2192cb3bf81</t>
        </is>
      </c>
      <c r="D1556" s="4" t="n">
        <v>46304.62405628804</v>
      </c>
      <c r="E1556" s="4" t="n">
        <v>46304.62405628813</v>
      </c>
      <c r="F1556" t="b">
        <v>1</v>
      </c>
      <c r="G1556" t="n">
        <v/>
      </c>
      <c r="H1556" t="inlineStr">
        <is>
          <t>GSN</t>
        </is>
      </c>
      <c r="I1556" t="inlineStr">
        <is>
          <t>Great Southern Mining Ltd</t>
        </is>
      </c>
      <c r="J1556" t="inlineStr">
        <is>
          <t>AUD</t>
        </is>
      </c>
      <c r="K1556" s="5" t="inlineStr">
        <is>
          <t>01a1212c-4c04-75ce-bbb2-e3322e18816e</t>
        </is>
      </c>
      <c r="M1556" t="inlineStr">
        <is>
          <t>UNKNOWN</t>
        </is>
      </c>
      <c r="N1556" t="inlineStr">
        <is>
          <t>DEFAULT</t>
        </is>
      </c>
      <c r="Q1556" t="n">
        <v>0</v>
      </c>
      <c r="R1556" t="inlineStr">
        <is>
          <t>AUD</t>
        </is>
      </c>
      <c r="S1556" t="n">
        <v>0</v>
      </c>
      <c r="T1556" t="inlineStr">
        <is>
          <t>AUD</t>
        </is>
      </c>
      <c r="U1556" t="n">
        <v>0</v>
      </c>
    </row>
    <row r="1557">
      <c r="A1557" s="5" t="inlineStr">
        <is>
          <t>01a1212c-5f02-7638-b0c8-5d7a3376d7ad</t>
        </is>
      </c>
      <c r="C1557" s="5" t="inlineStr">
        <is>
          <t>01a1212c-4b57-70cf-80fd-c2192cb3bf81</t>
        </is>
      </c>
      <c r="D1557" s="4" t="n">
        <v>46304.62405632066</v>
      </c>
      <c r="E1557" s="4" t="n">
        <v>46304.62405632074</v>
      </c>
      <c r="F1557" t="b">
        <v>1</v>
      </c>
      <c r="G1557" t="n">
        <v/>
      </c>
      <c r="H1557" t="inlineStr">
        <is>
          <t>BEO</t>
        </is>
      </c>
      <c r="I1557" t="inlineStr">
        <is>
          <t>Beonic Ltd</t>
        </is>
      </c>
      <c r="J1557" t="inlineStr">
        <is>
          <t>AUD</t>
        </is>
      </c>
      <c r="K1557" s="5" t="inlineStr">
        <is>
          <t>01a1212c-4c04-75ce-bbb2-e3322e18816e</t>
        </is>
      </c>
      <c r="M1557" t="inlineStr">
        <is>
          <t>UNKNOWN</t>
        </is>
      </c>
      <c r="N1557" t="inlineStr">
        <is>
          <t>DEFAULT</t>
        </is>
      </c>
      <c r="Q1557" t="n">
        <v>0</v>
      </c>
      <c r="R1557" t="inlineStr">
        <is>
          <t>AUD</t>
        </is>
      </c>
      <c r="S1557" t="n">
        <v>0</v>
      </c>
      <c r="T1557" t="inlineStr">
        <is>
          <t>AUD</t>
        </is>
      </c>
      <c r="U1557" t="n">
        <v>0</v>
      </c>
    </row>
    <row r="1558">
      <c r="A1558" s="5" t="inlineStr">
        <is>
          <t>01a1212c-5f04-71e9-9123-13bda91fc11a</t>
        </is>
      </c>
      <c r="C1558" s="5" t="inlineStr">
        <is>
          <t>01a1212c-4b57-70cf-80fd-c2192cb3bf81</t>
        </is>
      </c>
      <c r="D1558" s="4" t="n">
        <v>46304.62405635124</v>
      </c>
      <c r="E1558" s="4" t="n">
        <v>46304.62405635131</v>
      </c>
      <c r="F1558" t="b">
        <v>1</v>
      </c>
      <c r="G1558" t="n">
        <v/>
      </c>
      <c r="H1558" t="inlineStr">
        <is>
          <t>VML</t>
        </is>
      </c>
      <c r="I1558" t="inlineStr">
        <is>
          <t>Vital Metals Ltd</t>
        </is>
      </c>
      <c r="J1558" t="inlineStr">
        <is>
          <t>AUD</t>
        </is>
      </c>
      <c r="K1558" s="5" t="inlineStr">
        <is>
          <t>01a1212c-4c04-75ce-bbb2-e3322e18816e</t>
        </is>
      </c>
      <c r="M1558" t="inlineStr">
        <is>
          <t>UNKNOWN</t>
        </is>
      </c>
      <c r="N1558" t="inlineStr">
        <is>
          <t>DEFAULT</t>
        </is>
      </c>
      <c r="Q1558" t="n">
        <v>0</v>
      </c>
      <c r="R1558" t="inlineStr">
        <is>
          <t>AUD</t>
        </is>
      </c>
      <c r="S1558" t="n">
        <v>0</v>
      </c>
      <c r="T1558" t="inlineStr">
        <is>
          <t>AUD</t>
        </is>
      </c>
      <c r="U1558" t="n">
        <v>0</v>
      </c>
    </row>
    <row r="1559">
      <c r="A1559" s="5" t="inlineStr">
        <is>
          <t>01a1212c-5f07-7640-b8fb-c5f53529a07c</t>
        </is>
      </c>
      <c r="C1559" s="5" t="inlineStr">
        <is>
          <t>01a1212c-4b57-70cf-80fd-c2192cb3bf81</t>
        </is>
      </c>
      <c r="D1559" s="4" t="n">
        <v>46304.62405638191</v>
      </c>
      <c r="E1559" s="4" t="n">
        <v>46304.62405638199</v>
      </c>
      <c r="F1559" t="b">
        <v>1</v>
      </c>
      <c r="G1559" t="n">
        <v/>
      </c>
      <c r="H1559" t="inlineStr">
        <is>
          <t>CLU</t>
        </is>
      </c>
      <c r="I1559" t="inlineStr">
        <is>
          <t>Cluey Ltd</t>
        </is>
      </c>
      <c r="J1559" t="inlineStr">
        <is>
          <t>AUD</t>
        </is>
      </c>
      <c r="K1559" s="5" t="inlineStr">
        <is>
          <t>01a1212c-4c04-75ce-bbb2-e3322e18816e</t>
        </is>
      </c>
      <c r="M1559" t="inlineStr">
        <is>
          <t>UNKNOWN</t>
        </is>
      </c>
      <c r="N1559" t="inlineStr">
        <is>
          <t>DEFAULT</t>
        </is>
      </c>
      <c r="Q1559" t="n">
        <v>0</v>
      </c>
      <c r="R1559" t="inlineStr">
        <is>
          <t>AUD</t>
        </is>
      </c>
      <c r="S1559" t="n">
        <v>0</v>
      </c>
      <c r="T1559" t="inlineStr">
        <is>
          <t>AUD</t>
        </is>
      </c>
      <c r="U1559" t="n">
        <v>0</v>
      </c>
    </row>
    <row r="1560">
      <c r="A1560" s="5" t="inlineStr">
        <is>
          <t>01a1212c-5f09-759d-b769-0ea047c50d22</t>
        </is>
      </c>
      <c r="C1560" s="5" t="inlineStr">
        <is>
          <t>01a1212c-4b57-70cf-80fd-c2192cb3bf81</t>
        </is>
      </c>
      <c r="D1560" s="4" t="n">
        <v>46304.62405641241</v>
      </c>
      <c r="E1560" s="4" t="n">
        <v>46304.62405641247</v>
      </c>
      <c r="F1560" t="b">
        <v>1</v>
      </c>
      <c r="G1560" t="n">
        <v/>
      </c>
      <c r="H1560" t="inlineStr">
        <is>
          <t>EXT</t>
        </is>
      </c>
      <c r="I1560" t="inlineStr">
        <is>
          <t>Excite Technology Services Ltd</t>
        </is>
      </c>
      <c r="J1560" t="inlineStr">
        <is>
          <t>AUD</t>
        </is>
      </c>
      <c r="K1560" s="5" t="inlineStr">
        <is>
          <t>01a1212c-4c04-75ce-bbb2-e3322e18816e</t>
        </is>
      </c>
      <c r="M1560" t="inlineStr">
        <is>
          <t>UNKNOWN</t>
        </is>
      </c>
      <c r="N1560" t="inlineStr">
        <is>
          <t>DEFAULT</t>
        </is>
      </c>
      <c r="Q1560" t="n">
        <v>0</v>
      </c>
      <c r="R1560" t="inlineStr">
        <is>
          <t>AUD</t>
        </is>
      </c>
      <c r="S1560" t="n">
        <v>0</v>
      </c>
      <c r="T1560" t="inlineStr">
        <is>
          <t>AUD</t>
        </is>
      </c>
      <c r="U1560" t="n">
        <v>0</v>
      </c>
    </row>
    <row r="1561">
      <c r="A1561" s="5" t="inlineStr">
        <is>
          <t>01a1212c-5f0c-70ec-92b9-b3c72130ba1c</t>
        </is>
      </c>
      <c r="C1561" s="5" t="inlineStr">
        <is>
          <t>01a1212c-4b57-70cf-80fd-c2192cb3bf81</t>
        </is>
      </c>
      <c r="D1561" s="4" t="n">
        <v>46304.62405644429</v>
      </c>
      <c r="E1561" s="4" t="n">
        <v>46304.62405644437</v>
      </c>
      <c r="F1561" t="b">
        <v>1</v>
      </c>
      <c r="G1561" t="n">
        <v/>
      </c>
      <c r="H1561" t="inlineStr">
        <is>
          <t>CXU</t>
        </is>
      </c>
      <c r="I1561" t="inlineStr">
        <is>
          <t>Cauldron Energy Ltd</t>
        </is>
      </c>
      <c r="J1561" t="inlineStr">
        <is>
          <t>AUD</t>
        </is>
      </c>
      <c r="K1561" s="5" t="inlineStr">
        <is>
          <t>01a1212c-4c04-75ce-bbb2-e3322e18816e</t>
        </is>
      </c>
      <c r="M1561" t="inlineStr">
        <is>
          <t>UNKNOWN</t>
        </is>
      </c>
      <c r="N1561" t="inlineStr">
        <is>
          <t>DEFAULT</t>
        </is>
      </c>
      <c r="Q1561" t="n">
        <v>0</v>
      </c>
      <c r="R1561" t="inlineStr">
        <is>
          <t>AUD</t>
        </is>
      </c>
      <c r="S1561" t="n">
        <v>0</v>
      </c>
      <c r="T1561" t="inlineStr">
        <is>
          <t>AUD</t>
        </is>
      </c>
      <c r="U1561" t="n">
        <v>0</v>
      </c>
    </row>
    <row r="1562">
      <c r="A1562" s="5" t="inlineStr">
        <is>
          <t>01a1212c-5f10-70bc-b8c6-4150c8faabb5</t>
        </is>
      </c>
      <c r="C1562" s="5" t="inlineStr">
        <is>
          <t>01a1212c-4b57-70cf-80fd-c2192cb3bf81</t>
        </is>
      </c>
      <c r="D1562" s="4" t="n">
        <v>46304.62405649175</v>
      </c>
      <c r="E1562" s="4" t="n">
        <v>46304.62405649192</v>
      </c>
      <c r="F1562" t="b">
        <v>1</v>
      </c>
      <c r="G1562" t="n">
        <v/>
      </c>
      <c r="H1562" t="inlineStr">
        <is>
          <t>VR8</t>
        </is>
      </c>
      <c r="I1562" t="inlineStr">
        <is>
          <t>Vanadium Resources Ltd</t>
        </is>
      </c>
      <c r="J1562" t="inlineStr">
        <is>
          <t>AUD</t>
        </is>
      </c>
      <c r="K1562" s="5" t="inlineStr">
        <is>
          <t>01a1212c-4c04-75ce-bbb2-e3322e18816e</t>
        </is>
      </c>
      <c r="M1562" t="inlineStr">
        <is>
          <t>UNKNOWN</t>
        </is>
      </c>
      <c r="N1562" t="inlineStr">
        <is>
          <t>DEFAULT</t>
        </is>
      </c>
      <c r="Q1562" t="n">
        <v>0</v>
      </c>
      <c r="R1562" t="inlineStr">
        <is>
          <t>AUD</t>
        </is>
      </c>
      <c r="S1562" t="n">
        <v>0</v>
      </c>
      <c r="T1562" t="inlineStr">
        <is>
          <t>AUD</t>
        </is>
      </c>
      <c r="U1562" t="n">
        <v>0</v>
      </c>
    </row>
    <row r="1563">
      <c r="A1563" s="5" t="inlineStr">
        <is>
          <t>01a1212c-5f14-77e4-8d26-a1ef8b0463dc</t>
        </is>
      </c>
      <c r="C1563" s="5" t="inlineStr">
        <is>
          <t>01a1212c-4b57-70cf-80fd-c2192cb3bf81</t>
        </is>
      </c>
      <c r="D1563" s="4" t="n">
        <v>46304.62405654078</v>
      </c>
      <c r="E1563" s="4" t="n">
        <v>46304.62405654092</v>
      </c>
      <c r="F1563" t="b">
        <v>1</v>
      </c>
      <c r="G1563" t="n">
        <v/>
      </c>
      <c r="H1563" t="inlineStr">
        <is>
          <t>SOC</t>
        </is>
      </c>
      <c r="I1563" t="inlineStr">
        <is>
          <t>Soco Corporation Ltd</t>
        </is>
      </c>
      <c r="J1563" t="inlineStr">
        <is>
          <t>AUD</t>
        </is>
      </c>
      <c r="K1563" s="5" t="inlineStr">
        <is>
          <t>01a1212c-4c04-75ce-bbb2-e3322e18816e</t>
        </is>
      </c>
      <c r="M1563" t="inlineStr">
        <is>
          <t>UNKNOWN</t>
        </is>
      </c>
      <c r="N1563" t="inlineStr">
        <is>
          <t>DEFAULT</t>
        </is>
      </c>
      <c r="Q1563" t="n">
        <v>0</v>
      </c>
      <c r="R1563" t="inlineStr">
        <is>
          <t>AUD</t>
        </is>
      </c>
      <c r="S1563" t="n">
        <v>0</v>
      </c>
      <c r="T1563" t="inlineStr">
        <is>
          <t>AUD</t>
        </is>
      </c>
      <c r="U1563" t="n">
        <v>0</v>
      </c>
    </row>
    <row r="1564">
      <c r="A1564" s="5" t="inlineStr">
        <is>
          <t>01a1212c-5f18-7057-9164-6acf3c9bede7</t>
        </is>
      </c>
      <c r="C1564" s="5" t="inlineStr">
        <is>
          <t>01a1212c-4b57-70cf-80fd-c2192cb3bf81</t>
        </is>
      </c>
      <c r="D1564" s="4" t="n">
        <v>46304.62405658028</v>
      </c>
      <c r="E1564" s="4" t="n">
        <v>46304.6240565804</v>
      </c>
      <c r="F1564" t="b">
        <v>1</v>
      </c>
      <c r="G1564" t="n">
        <v/>
      </c>
      <c r="H1564" t="inlineStr">
        <is>
          <t>LEX</t>
        </is>
      </c>
      <c r="I1564" t="inlineStr">
        <is>
          <t>Lefroy Exploration Ltd</t>
        </is>
      </c>
      <c r="J1564" t="inlineStr">
        <is>
          <t>AUD</t>
        </is>
      </c>
      <c r="K1564" s="5" t="inlineStr">
        <is>
          <t>01a1212c-4c04-75ce-bbb2-e3322e18816e</t>
        </is>
      </c>
      <c r="M1564" t="inlineStr">
        <is>
          <t>UNKNOWN</t>
        </is>
      </c>
      <c r="N1564" t="inlineStr">
        <is>
          <t>DEFAULT</t>
        </is>
      </c>
      <c r="Q1564" t="n">
        <v>0</v>
      </c>
      <c r="R1564" t="inlineStr">
        <is>
          <t>AUD</t>
        </is>
      </c>
      <c r="S1564" t="n">
        <v>0</v>
      </c>
      <c r="T1564" t="inlineStr">
        <is>
          <t>AUD</t>
        </is>
      </c>
      <c r="U1564" t="n">
        <v>0</v>
      </c>
    </row>
    <row r="1565">
      <c r="A1565" s="5" t="inlineStr">
        <is>
          <t>01a1212c-5f1c-7572-82f9-68ec4751a1f6</t>
        </is>
      </c>
      <c r="C1565" s="5" t="inlineStr">
        <is>
          <t>01a1212c-4b57-70cf-80fd-c2192cb3bf81</t>
        </is>
      </c>
      <c r="D1565" s="4" t="n">
        <v>46304.62405662244</v>
      </c>
      <c r="E1565" s="4" t="n">
        <v>46304.62405662258</v>
      </c>
      <c r="F1565" t="b">
        <v>1</v>
      </c>
      <c r="G1565" t="n">
        <v/>
      </c>
      <c r="H1565" t="inlineStr">
        <is>
          <t>RWD</t>
        </is>
      </c>
      <c r="I1565" t="inlineStr">
        <is>
          <t>Reward Minerals Ltd</t>
        </is>
      </c>
      <c r="J1565" t="inlineStr">
        <is>
          <t>AUD</t>
        </is>
      </c>
      <c r="K1565" s="5" t="inlineStr">
        <is>
          <t>01a1212c-4c04-75ce-bbb2-e3322e18816e</t>
        </is>
      </c>
      <c r="M1565" t="inlineStr">
        <is>
          <t>UNKNOWN</t>
        </is>
      </c>
      <c r="N1565" t="inlineStr">
        <is>
          <t>DEFAULT</t>
        </is>
      </c>
      <c r="Q1565" t="n">
        <v>0</v>
      </c>
      <c r="R1565" t="inlineStr">
        <is>
          <t>AUD</t>
        </is>
      </c>
      <c r="S1565" t="n">
        <v>0</v>
      </c>
      <c r="T1565" t="inlineStr">
        <is>
          <t>AUD</t>
        </is>
      </c>
      <c r="U1565" t="n">
        <v>0</v>
      </c>
    </row>
    <row r="1566">
      <c r="A1566" s="5" t="inlineStr">
        <is>
          <t>01a1212c-5f1f-7749-9362-f3ae0e02a7d5</t>
        </is>
      </c>
      <c r="C1566" s="5" t="inlineStr">
        <is>
          <t>01a1212c-4b57-70cf-80fd-c2192cb3bf81</t>
        </is>
      </c>
      <c r="D1566" s="4" t="n">
        <v>46304.62405666588</v>
      </c>
      <c r="E1566" s="4" t="n">
        <v>46304.62405666603</v>
      </c>
      <c r="F1566" t="b">
        <v>1</v>
      </c>
      <c r="G1566" t="n">
        <v/>
      </c>
      <c r="H1566" t="inlineStr">
        <is>
          <t>FBM</t>
        </is>
      </c>
      <c r="I1566" t="inlineStr">
        <is>
          <t>Future Battery Minerals Ltd</t>
        </is>
      </c>
      <c r="J1566" t="inlineStr">
        <is>
          <t>AUD</t>
        </is>
      </c>
      <c r="K1566" s="5" t="inlineStr">
        <is>
          <t>01a1212c-4c04-75ce-bbb2-e3322e18816e</t>
        </is>
      </c>
      <c r="M1566" t="inlineStr">
        <is>
          <t>UNKNOWN</t>
        </is>
      </c>
      <c r="N1566" t="inlineStr">
        <is>
          <t>DEFAULT</t>
        </is>
      </c>
      <c r="Q1566" t="n">
        <v>0</v>
      </c>
      <c r="R1566" t="inlineStr">
        <is>
          <t>AUD</t>
        </is>
      </c>
      <c r="S1566" t="n">
        <v>0</v>
      </c>
      <c r="T1566" t="inlineStr">
        <is>
          <t>AUD</t>
        </is>
      </c>
      <c r="U1566" t="n">
        <v>0</v>
      </c>
    </row>
    <row r="1567">
      <c r="A1567" s="5" t="inlineStr">
        <is>
          <t>01a1212c-5f23-7380-8bb6-7b4b4e0e61d1</t>
        </is>
      </c>
      <c r="C1567" s="5" t="inlineStr">
        <is>
          <t>01a1212c-4b57-70cf-80fd-c2192cb3bf81</t>
        </is>
      </c>
      <c r="D1567" s="4" t="n">
        <v>46304.62405671204</v>
      </c>
      <c r="E1567" s="4" t="n">
        <v>46304.62405671216</v>
      </c>
      <c r="F1567" t="b">
        <v>1</v>
      </c>
      <c r="G1567" t="n">
        <v/>
      </c>
      <c r="H1567" t="inlineStr">
        <is>
          <t>LPD</t>
        </is>
      </c>
      <c r="I1567" t="inlineStr">
        <is>
          <t>Lepidico Ltd</t>
        </is>
      </c>
      <c r="J1567" t="inlineStr">
        <is>
          <t>AUD</t>
        </is>
      </c>
      <c r="K1567" s="5" t="inlineStr">
        <is>
          <t>01a1212c-4c04-75ce-bbb2-e3322e18816e</t>
        </is>
      </c>
      <c r="M1567" t="inlineStr">
        <is>
          <t>UNKNOWN</t>
        </is>
      </c>
      <c r="N1567" t="inlineStr">
        <is>
          <t>DEFAULT</t>
        </is>
      </c>
      <c r="Q1567" t="n">
        <v>0</v>
      </c>
      <c r="R1567" t="inlineStr">
        <is>
          <t>AUD</t>
        </is>
      </c>
      <c r="S1567" t="n">
        <v>0</v>
      </c>
      <c r="T1567" t="inlineStr">
        <is>
          <t>AUD</t>
        </is>
      </c>
      <c r="U1567" t="n">
        <v>0</v>
      </c>
    </row>
    <row r="1568">
      <c r="A1568" s="5" t="inlineStr">
        <is>
          <t>01a1212c-5f26-7430-857b-615ac638db24</t>
        </is>
      </c>
      <c r="C1568" s="5" t="inlineStr">
        <is>
          <t>01a1212c-4b57-70cf-80fd-c2192cb3bf81</t>
        </is>
      </c>
      <c r="D1568" s="4" t="n">
        <v>46304.62405674653</v>
      </c>
      <c r="E1568" s="4" t="n">
        <v>46304.62405674662</v>
      </c>
      <c r="F1568" t="b">
        <v>1</v>
      </c>
      <c r="G1568" t="n">
        <v/>
      </c>
      <c r="H1568" t="inlineStr">
        <is>
          <t>BB1</t>
        </is>
      </c>
      <c r="I1568" t="inlineStr">
        <is>
          <t>Blinklab Ltd</t>
        </is>
      </c>
      <c r="J1568" t="inlineStr">
        <is>
          <t>AUD</t>
        </is>
      </c>
      <c r="K1568" s="5" t="inlineStr">
        <is>
          <t>01a1212c-4c04-75ce-bbb2-e3322e18816e</t>
        </is>
      </c>
      <c r="M1568" t="inlineStr">
        <is>
          <t>UNKNOWN</t>
        </is>
      </c>
      <c r="N1568" t="inlineStr">
        <is>
          <t>DEFAULT</t>
        </is>
      </c>
      <c r="Q1568" t="n">
        <v>0</v>
      </c>
      <c r="R1568" t="inlineStr">
        <is>
          <t>AUD</t>
        </is>
      </c>
      <c r="S1568" t="n">
        <v>0</v>
      </c>
      <c r="T1568" t="inlineStr">
        <is>
          <t>AUD</t>
        </is>
      </c>
      <c r="U1568" t="n">
        <v>0</v>
      </c>
    </row>
    <row r="1569">
      <c r="A1569" s="5" t="inlineStr">
        <is>
          <t>01a1212c-5f29-7613-89f4-cbc0e5bcdd53</t>
        </is>
      </c>
      <c r="C1569" s="5" t="inlineStr">
        <is>
          <t>01a1212c-4b57-70cf-80fd-c2192cb3bf81</t>
        </is>
      </c>
      <c r="D1569" s="4" t="n">
        <v>46304.62405677929</v>
      </c>
      <c r="E1569" s="4" t="n">
        <v>46304.62405677937</v>
      </c>
      <c r="F1569" t="b">
        <v>1</v>
      </c>
      <c r="G1569" t="n">
        <v/>
      </c>
      <c r="H1569" t="inlineStr">
        <is>
          <t>FFG</t>
        </is>
      </c>
      <c r="I1569" t="inlineStr">
        <is>
          <t>Fatfish Group Ltd</t>
        </is>
      </c>
      <c r="J1569" t="inlineStr">
        <is>
          <t>AUD</t>
        </is>
      </c>
      <c r="K1569" s="5" t="inlineStr">
        <is>
          <t>01a1212c-4c04-75ce-bbb2-e3322e18816e</t>
        </is>
      </c>
      <c r="M1569" t="inlineStr">
        <is>
          <t>UNKNOWN</t>
        </is>
      </c>
      <c r="N1569" t="inlineStr">
        <is>
          <t>DEFAULT</t>
        </is>
      </c>
      <c r="Q1569" t="n">
        <v>0</v>
      </c>
      <c r="R1569" t="inlineStr">
        <is>
          <t>AUD</t>
        </is>
      </c>
      <c r="S1569" t="n">
        <v>0</v>
      </c>
      <c r="T1569" t="inlineStr">
        <is>
          <t>AUD</t>
        </is>
      </c>
      <c r="U1569" t="n">
        <v>0</v>
      </c>
    </row>
    <row r="1570">
      <c r="A1570" s="5" t="inlineStr">
        <is>
          <t>01a1212c-5f2c-755f-a60b-5a0202eee766</t>
        </is>
      </c>
      <c r="C1570" s="5" t="inlineStr">
        <is>
          <t>01a1212c-4b57-70cf-80fd-c2192cb3bf81</t>
        </is>
      </c>
      <c r="D1570" s="4" t="n">
        <v>46304.62405681128</v>
      </c>
      <c r="E1570" s="4" t="n">
        <v>46304.62405681138</v>
      </c>
      <c r="F1570" t="b">
        <v>1</v>
      </c>
      <c r="G1570" t="n">
        <v/>
      </c>
      <c r="H1570" t="inlineStr">
        <is>
          <t>EMD</t>
        </is>
      </c>
      <c r="I1570" t="inlineStr">
        <is>
          <t>Emyria Ltd</t>
        </is>
      </c>
      <c r="J1570" t="inlineStr">
        <is>
          <t>AUD</t>
        </is>
      </c>
      <c r="K1570" s="5" t="inlineStr">
        <is>
          <t>01a1212c-4c04-75ce-bbb2-e3322e18816e</t>
        </is>
      </c>
      <c r="M1570" t="inlineStr">
        <is>
          <t>UNKNOWN</t>
        </is>
      </c>
      <c r="N1570" t="inlineStr">
        <is>
          <t>DEFAULT</t>
        </is>
      </c>
      <c r="Q1570" t="n">
        <v>0</v>
      </c>
      <c r="R1570" t="inlineStr">
        <is>
          <t>AUD</t>
        </is>
      </c>
      <c r="S1570" t="n">
        <v>0</v>
      </c>
      <c r="T1570" t="inlineStr">
        <is>
          <t>AUD</t>
        </is>
      </c>
      <c r="U1570" t="n">
        <v>0</v>
      </c>
    </row>
    <row r="1571">
      <c r="A1571" s="5" t="inlineStr">
        <is>
          <t>01a1212c-5f2f-7617-a07c-0b0ff5bd980e</t>
        </is>
      </c>
      <c r="C1571" s="5" t="inlineStr">
        <is>
          <t>01a1212c-4b57-70cf-80fd-c2192cb3bf81</t>
        </is>
      </c>
      <c r="D1571" s="4" t="n">
        <v>46304.62405684718</v>
      </c>
      <c r="E1571" s="4" t="n">
        <v>46304.62405684728</v>
      </c>
      <c r="F1571" t="b">
        <v>1</v>
      </c>
      <c r="G1571" t="n">
        <v/>
      </c>
      <c r="H1571" t="inlineStr">
        <is>
          <t>FSG</t>
        </is>
      </c>
      <c r="I1571" t="inlineStr">
        <is>
          <t>Field Solutions Holdings Ltd</t>
        </is>
      </c>
      <c r="J1571" t="inlineStr">
        <is>
          <t>AUD</t>
        </is>
      </c>
      <c r="K1571" s="5" t="inlineStr">
        <is>
          <t>01a1212c-4c04-75ce-bbb2-e3322e18816e</t>
        </is>
      </c>
      <c r="M1571" t="inlineStr">
        <is>
          <t>UNKNOWN</t>
        </is>
      </c>
      <c r="N1571" t="inlineStr">
        <is>
          <t>DEFAULT</t>
        </is>
      </c>
      <c r="Q1571" t="n">
        <v>0</v>
      </c>
      <c r="R1571" t="inlineStr">
        <is>
          <t>AUD</t>
        </is>
      </c>
      <c r="S1571" t="n">
        <v>0</v>
      </c>
      <c r="T1571" t="inlineStr">
        <is>
          <t>AUD</t>
        </is>
      </c>
      <c r="U1571" t="n">
        <v>0</v>
      </c>
    </row>
    <row r="1572">
      <c r="A1572" s="5" t="inlineStr">
        <is>
          <t>01a1212c-5f32-740f-9754-337f140d612e</t>
        </is>
      </c>
      <c r="C1572" s="5" t="inlineStr">
        <is>
          <t>01a1212c-4b57-70cf-80fd-c2192cb3bf81</t>
        </is>
      </c>
      <c r="D1572" s="4" t="n">
        <v>46304.62405688434</v>
      </c>
      <c r="E1572" s="4" t="n">
        <v>46304.62405688444</v>
      </c>
      <c r="F1572" t="b">
        <v>1</v>
      </c>
      <c r="G1572" t="n">
        <v/>
      </c>
      <c r="H1572" t="inlineStr">
        <is>
          <t>CND</t>
        </is>
      </c>
      <c r="I1572" t="inlineStr">
        <is>
          <t>Condor Energy Ltd</t>
        </is>
      </c>
      <c r="J1572" t="inlineStr">
        <is>
          <t>AUD</t>
        </is>
      </c>
      <c r="K1572" s="5" t="inlineStr">
        <is>
          <t>01a1212c-4c04-75ce-bbb2-e3322e18816e</t>
        </is>
      </c>
      <c r="M1572" t="inlineStr">
        <is>
          <t>UNKNOWN</t>
        </is>
      </c>
      <c r="N1572" t="inlineStr">
        <is>
          <t>DEFAULT</t>
        </is>
      </c>
      <c r="Q1572" t="n">
        <v>0</v>
      </c>
      <c r="R1572" t="inlineStr">
        <is>
          <t>AUD</t>
        </is>
      </c>
      <c r="S1572" t="n">
        <v>0</v>
      </c>
      <c r="T1572" t="inlineStr">
        <is>
          <t>AUD</t>
        </is>
      </c>
      <c r="U1572" t="n">
        <v>0</v>
      </c>
    </row>
    <row r="1573">
      <c r="A1573" s="5" t="inlineStr">
        <is>
          <t>01a1212c-5f35-72f5-baea-54a03a9c96f0</t>
        </is>
      </c>
      <c r="C1573" s="5" t="inlineStr">
        <is>
          <t>01a1212c-4b57-70cf-80fd-c2192cb3bf81</t>
        </is>
      </c>
      <c r="D1573" s="4" t="n">
        <v>46304.6240569173</v>
      </c>
      <c r="E1573" s="4" t="n">
        <v>46304.62405691738</v>
      </c>
      <c r="F1573" t="b">
        <v>1</v>
      </c>
      <c r="G1573" t="n">
        <v/>
      </c>
      <c r="H1573" t="inlineStr">
        <is>
          <t>HIQ</t>
        </is>
      </c>
      <c r="I1573" t="inlineStr">
        <is>
          <t>HITIQ Ltd</t>
        </is>
      </c>
      <c r="J1573" t="inlineStr">
        <is>
          <t>AUD</t>
        </is>
      </c>
      <c r="K1573" s="5" t="inlineStr">
        <is>
          <t>01a1212c-4c04-75ce-bbb2-e3322e18816e</t>
        </is>
      </c>
      <c r="M1573" t="inlineStr">
        <is>
          <t>UNKNOWN</t>
        </is>
      </c>
      <c r="N1573" t="inlineStr">
        <is>
          <t>DEFAULT</t>
        </is>
      </c>
      <c r="Q1573" t="n">
        <v>0</v>
      </c>
      <c r="R1573" t="inlineStr">
        <is>
          <t>AUD</t>
        </is>
      </c>
      <c r="S1573" t="n">
        <v>0</v>
      </c>
      <c r="T1573" t="inlineStr">
        <is>
          <t>AUD</t>
        </is>
      </c>
      <c r="U1573" t="n">
        <v>0</v>
      </c>
    </row>
    <row r="1574">
      <c r="A1574" s="5" t="inlineStr">
        <is>
          <t>01a1212c-5f38-714d-9dc2-4a122562a992</t>
        </is>
      </c>
      <c r="C1574" s="5" t="inlineStr">
        <is>
          <t>01a1212c-4b57-70cf-80fd-c2192cb3bf81</t>
        </is>
      </c>
      <c r="D1574" s="4" t="n">
        <v>46304.62405694992</v>
      </c>
      <c r="E1574" s="4" t="n">
        <v>46304.62405695002</v>
      </c>
      <c r="F1574" t="b">
        <v>1</v>
      </c>
      <c r="G1574" t="n">
        <v/>
      </c>
      <c r="H1574" t="inlineStr">
        <is>
          <t>AKA</t>
        </is>
      </c>
      <c r="I1574" t="inlineStr">
        <is>
          <t>Aureka Ltd</t>
        </is>
      </c>
      <c r="J1574" t="inlineStr">
        <is>
          <t>AUD</t>
        </is>
      </c>
      <c r="K1574" s="5" t="inlineStr">
        <is>
          <t>01a1212c-4c04-75ce-bbb2-e3322e18816e</t>
        </is>
      </c>
      <c r="M1574" t="inlineStr">
        <is>
          <t>UNKNOWN</t>
        </is>
      </c>
      <c r="N1574" t="inlineStr">
        <is>
          <t>DEFAULT</t>
        </is>
      </c>
      <c r="Q1574" t="n">
        <v>0</v>
      </c>
      <c r="R1574" t="inlineStr">
        <is>
          <t>AUD</t>
        </is>
      </c>
      <c r="S1574" t="n">
        <v>0</v>
      </c>
      <c r="T1574" t="inlineStr">
        <is>
          <t>AUD</t>
        </is>
      </c>
      <c r="U1574" t="n">
        <v>0</v>
      </c>
    </row>
    <row r="1575">
      <c r="A1575" s="5" t="inlineStr">
        <is>
          <t>01a1212c-5f3b-7168-bf92-4b7253dcea16</t>
        </is>
      </c>
      <c r="C1575" s="5" t="inlineStr">
        <is>
          <t>01a1212c-4b57-70cf-80fd-c2192cb3bf81</t>
        </is>
      </c>
      <c r="D1575" s="4" t="n">
        <v>46304.62405698249</v>
      </c>
      <c r="E1575" s="4" t="n">
        <v>46304.62405698257</v>
      </c>
      <c r="F1575" t="b">
        <v>1</v>
      </c>
      <c r="G1575" t="n">
        <v/>
      </c>
      <c r="H1575" t="inlineStr">
        <is>
          <t>NUC</t>
        </is>
      </c>
      <c r="I1575" t="inlineStr">
        <is>
          <t>Nuchev Ltd</t>
        </is>
      </c>
      <c r="J1575" t="inlineStr">
        <is>
          <t>AUD</t>
        </is>
      </c>
      <c r="K1575" s="5" t="inlineStr">
        <is>
          <t>01a1212c-4c04-75ce-bbb2-e3322e18816e</t>
        </is>
      </c>
      <c r="M1575" t="inlineStr">
        <is>
          <t>UNKNOWN</t>
        </is>
      </c>
      <c r="N1575" t="inlineStr">
        <is>
          <t>DEFAULT</t>
        </is>
      </c>
      <c r="Q1575" t="n">
        <v>0</v>
      </c>
      <c r="R1575" t="inlineStr">
        <is>
          <t>AUD</t>
        </is>
      </c>
      <c r="S1575" t="n">
        <v>0</v>
      </c>
      <c r="T1575" t="inlineStr">
        <is>
          <t>AUD</t>
        </is>
      </c>
      <c r="U1575" t="n">
        <v>0</v>
      </c>
    </row>
    <row r="1576">
      <c r="A1576" s="5" t="inlineStr">
        <is>
          <t>01a1212c-5f3e-7543-b3d4-471497f9a7a2</t>
        </is>
      </c>
      <c r="C1576" s="5" t="inlineStr">
        <is>
          <t>01a1212c-4b57-70cf-80fd-c2192cb3bf81</t>
        </is>
      </c>
      <c r="D1576" s="4" t="n">
        <v>46304.62405701687</v>
      </c>
      <c r="E1576" s="4" t="n">
        <v>46304.62405701695</v>
      </c>
      <c r="F1576" t="b">
        <v>1</v>
      </c>
      <c r="G1576" t="n">
        <v/>
      </c>
      <c r="H1576" t="inlineStr">
        <is>
          <t>AUZ</t>
        </is>
      </c>
      <c r="I1576" t="inlineStr">
        <is>
          <t>Australian Mines Ltd</t>
        </is>
      </c>
      <c r="J1576" t="inlineStr">
        <is>
          <t>AUD</t>
        </is>
      </c>
      <c r="K1576" s="5" t="inlineStr">
        <is>
          <t>01a1212c-4c04-75ce-bbb2-e3322e18816e</t>
        </is>
      </c>
      <c r="M1576" t="inlineStr">
        <is>
          <t>UNKNOWN</t>
        </is>
      </c>
      <c r="N1576" t="inlineStr">
        <is>
          <t>DEFAULT</t>
        </is>
      </c>
      <c r="Q1576" t="n">
        <v>0</v>
      </c>
      <c r="R1576" t="inlineStr">
        <is>
          <t>AUD</t>
        </is>
      </c>
      <c r="S1576" t="n">
        <v>0</v>
      </c>
      <c r="T1576" t="inlineStr">
        <is>
          <t>AUD</t>
        </is>
      </c>
      <c r="U1576" t="n">
        <v>0</v>
      </c>
    </row>
    <row r="1577">
      <c r="A1577" s="5" t="inlineStr">
        <is>
          <t>01a1212c-5f41-77c1-b575-a61f95e4da15</t>
        </is>
      </c>
      <c r="C1577" s="5" t="inlineStr">
        <is>
          <t>01a1212c-4b57-70cf-80fd-c2192cb3bf81</t>
        </is>
      </c>
      <c r="D1577" s="4" t="n">
        <v>46304.62405705394</v>
      </c>
      <c r="E1577" s="4" t="n">
        <v>46304.62405705402</v>
      </c>
      <c r="F1577" t="b">
        <v>1</v>
      </c>
      <c r="G1577" t="n">
        <v/>
      </c>
      <c r="H1577" t="inlineStr">
        <is>
          <t>WWG</t>
        </is>
      </c>
      <c r="I1577" t="inlineStr">
        <is>
          <t>Wiseway Group Ltd</t>
        </is>
      </c>
      <c r="J1577" t="inlineStr">
        <is>
          <t>AUD</t>
        </is>
      </c>
      <c r="K1577" s="5" t="inlineStr">
        <is>
          <t>01a1212c-4c04-75ce-bbb2-e3322e18816e</t>
        </is>
      </c>
      <c r="M1577" t="inlineStr">
        <is>
          <t>UNKNOWN</t>
        </is>
      </c>
      <c r="N1577" t="inlineStr">
        <is>
          <t>DEFAULT</t>
        </is>
      </c>
      <c r="Q1577" t="n">
        <v>0</v>
      </c>
      <c r="R1577" t="inlineStr">
        <is>
          <t>AUD</t>
        </is>
      </c>
      <c r="S1577" t="n">
        <v>0</v>
      </c>
      <c r="T1577" t="inlineStr">
        <is>
          <t>AUD</t>
        </is>
      </c>
      <c r="U1577" t="n">
        <v>0</v>
      </c>
    </row>
    <row r="1578">
      <c r="A1578" s="5" t="inlineStr">
        <is>
          <t>01a1212c-5f44-706c-8bc9-22bbe9c63ba5</t>
        </is>
      </c>
      <c r="C1578" s="5" t="inlineStr">
        <is>
          <t>01a1212c-4b57-70cf-80fd-c2192cb3bf81</t>
        </is>
      </c>
      <c r="D1578" s="4" t="n">
        <v>46304.62405708584</v>
      </c>
      <c r="E1578" s="4" t="n">
        <v>46304.62405708592</v>
      </c>
      <c r="F1578" t="b">
        <v>1</v>
      </c>
      <c r="G1578" t="n">
        <v/>
      </c>
      <c r="H1578" t="inlineStr">
        <is>
          <t>MGL</t>
        </is>
      </c>
      <c r="I1578" t="inlineStr">
        <is>
          <t>Magontec Ltd</t>
        </is>
      </c>
      <c r="J1578" t="inlineStr">
        <is>
          <t>AUD</t>
        </is>
      </c>
      <c r="K1578" s="5" t="inlineStr">
        <is>
          <t>01a1212c-4c04-75ce-bbb2-e3322e18816e</t>
        </is>
      </c>
      <c r="M1578" t="inlineStr">
        <is>
          <t>UNKNOWN</t>
        </is>
      </c>
      <c r="N1578" t="inlineStr">
        <is>
          <t>DEFAULT</t>
        </is>
      </c>
      <c r="Q1578" t="n">
        <v>0</v>
      </c>
      <c r="R1578" t="inlineStr">
        <is>
          <t>AUD</t>
        </is>
      </c>
      <c r="S1578" t="n">
        <v>0</v>
      </c>
      <c r="T1578" t="inlineStr">
        <is>
          <t>AUD</t>
        </is>
      </c>
      <c r="U1578" t="n">
        <v>0</v>
      </c>
    </row>
    <row r="1579">
      <c r="A1579" s="5" t="inlineStr">
        <is>
          <t>01a1212c-5f46-77d9-b80c-7d63f64b111a</t>
        </is>
      </c>
      <c r="C1579" s="5" t="inlineStr">
        <is>
          <t>01a1212c-4b57-70cf-80fd-c2192cb3bf81</t>
        </is>
      </c>
      <c r="D1579" s="4" t="n">
        <v>46304.6240571173</v>
      </c>
      <c r="E1579" s="4" t="n">
        <v>46304.62405711738</v>
      </c>
      <c r="F1579" t="b">
        <v>1</v>
      </c>
      <c r="G1579" t="n">
        <v/>
      </c>
      <c r="H1579" t="inlineStr">
        <is>
          <t>HMD</t>
        </is>
      </c>
      <c r="I1579" t="inlineStr">
        <is>
          <t>Heramed Ltd</t>
        </is>
      </c>
      <c r="J1579" t="inlineStr">
        <is>
          <t>AUD</t>
        </is>
      </c>
      <c r="K1579" s="5" t="inlineStr">
        <is>
          <t>01a1212c-4c04-75ce-bbb2-e3322e18816e</t>
        </is>
      </c>
      <c r="M1579" t="inlineStr">
        <is>
          <t>UNKNOWN</t>
        </is>
      </c>
      <c r="N1579" t="inlineStr">
        <is>
          <t>DEFAULT</t>
        </is>
      </c>
      <c r="Q1579" t="n">
        <v>0</v>
      </c>
      <c r="R1579" t="inlineStr">
        <is>
          <t>AUD</t>
        </is>
      </c>
      <c r="S1579" t="n">
        <v>0</v>
      </c>
      <c r="T1579" t="inlineStr">
        <is>
          <t>AUD</t>
        </is>
      </c>
      <c r="U1579" t="n">
        <v>0</v>
      </c>
    </row>
    <row r="1580">
      <c r="A1580" s="5" t="inlineStr">
        <is>
          <t>01a1212c-5f49-7737-9d48-8e548027f727</t>
        </is>
      </c>
      <c r="C1580" s="5" t="inlineStr">
        <is>
          <t>01a1212c-4b57-70cf-80fd-c2192cb3bf81</t>
        </is>
      </c>
      <c r="D1580" s="4" t="n">
        <v>46304.62405715114</v>
      </c>
      <c r="E1580" s="4" t="n">
        <v>46304.62405715122</v>
      </c>
      <c r="F1580" t="b">
        <v>1</v>
      </c>
      <c r="G1580" t="n">
        <v/>
      </c>
      <c r="H1580" t="inlineStr">
        <is>
          <t>ACP</t>
        </is>
      </c>
      <c r="I1580" t="inlineStr">
        <is>
          <t>Audalia Resources Ltd</t>
        </is>
      </c>
      <c r="J1580" t="inlineStr">
        <is>
          <t>AUD</t>
        </is>
      </c>
      <c r="K1580" s="5" t="inlineStr">
        <is>
          <t>01a1212c-4c04-75ce-bbb2-e3322e18816e</t>
        </is>
      </c>
      <c r="M1580" t="inlineStr">
        <is>
          <t>UNKNOWN</t>
        </is>
      </c>
      <c r="N1580" t="inlineStr">
        <is>
          <t>DEFAULT</t>
        </is>
      </c>
      <c r="Q1580" t="n">
        <v>0</v>
      </c>
      <c r="R1580" t="inlineStr">
        <is>
          <t>AUD</t>
        </is>
      </c>
      <c r="S1580" t="n">
        <v>0</v>
      </c>
      <c r="T1580" t="inlineStr">
        <is>
          <t>AUD</t>
        </is>
      </c>
      <c r="U1580" t="n">
        <v>0</v>
      </c>
    </row>
    <row r="1581">
      <c r="A1581" s="5" t="inlineStr">
        <is>
          <t>01a1212c-5f4c-74b5-85ed-c95625fb27ec</t>
        </is>
      </c>
      <c r="C1581" s="5" t="inlineStr">
        <is>
          <t>01a1212c-4b57-70cf-80fd-c2192cb3bf81</t>
        </is>
      </c>
      <c r="D1581" s="4" t="n">
        <v>46304.62405718311</v>
      </c>
      <c r="E1581" s="4" t="n">
        <v>46304.62405718319</v>
      </c>
      <c r="F1581" t="b">
        <v>1</v>
      </c>
      <c r="G1581" t="n">
        <v/>
      </c>
      <c r="H1581" t="inlineStr">
        <is>
          <t>TRP</t>
        </is>
      </c>
      <c r="I1581" t="inlineStr">
        <is>
          <t>Tissue Repair Ltd</t>
        </is>
      </c>
      <c r="J1581" t="inlineStr">
        <is>
          <t>AUD</t>
        </is>
      </c>
      <c r="K1581" s="5" t="inlineStr">
        <is>
          <t>01a1212c-4c04-75ce-bbb2-e3322e18816e</t>
        </is>
      </c>
      <c r="M1581" t="inlineStr">
        <is>
          <t>UNKNOWN</t>
        </is>
      </c>
      <c r="N1581" t="inlineStr">
        <is>
          <t>DEFAULT</t>
        </is>
      </c>
      <c r="Q1581" t="n">
        <v>0</v>
      </c>
      <c r="R1581" t="inlineStr">
        <is>
          <t>AUD</t>
        </is>
      </c>
      <c r="S1581" t="n">
        <v>0</v>
      </c>
      <c r="T1581" t="inlineStr">
        <is>
          <t>AUD</t>
        </is>
      </c>
      <c r="U1581" t="n">
        <v>0</v>
      </c>
    </row>
    <row r="1582">
      <c r="A1582" s="5" t="inlineStr">
        <is>
          <t>01a1212c-5f4f-72f4-b1c8-a9eaf6759c9f</t>
        </is>
      </c>
      <c r="C1582" s="5" t="inlineStr">
        <is>
          <t>01a1212c-4b57-70cf-80fd-c2192cb3bf81</t>
        </is>
      </c>
      <c r="D1582" s="4" t="n">
        <v>46304.62405721533</v>
      </c>
      <c r="E1582" s="4" t="n">
        <v>46304.62405721546</v>
      </c>
      <c r="F1582" t="b">
        <v>1</v>
      </c>
      <c r="G1582" t="n">
        <v/>
      </c>
      <c r="H1582" t="inlineStr">
        <is>
          <t>NVU</t>
        </is>
      </c>
      <c r="I1582" t="inlineStr">
        <is>
          <t>Nanoveu Ltd</t>
        </is>
      </c>
      <c r="J1582" t="inlineStr">
        <is>
          <t>AUD</t>
        </is>
      </c>
      <c r="K1582" s="5" t="inlineStr">
        <is>
          <t>01a1212c-4c04-75ce-bbb2-e3322e18816e</t>
        </is>
      </c>
      <c r="M1582" t="inlineStr">
        <is>
          <t>UNKNOWN</t>
        </is>
      </c>
      <c r="N1582" t="inlineStr">
        <is>
          <t>DEFAULT</t>
        </is>
      </c>
      <c r="Q1582" t="n">
        <v>0</v>
      </c>
      <c r="R1582" t="inlineStr">
        <is>
          <t>AUD</t>
        </is>
      </c>
      <c r="S1582" t="n">
        <v>0</v>
      </c>
      <c r="T1582" t="inlineStr">
        <is>
          <t>AUD</t>
        </is>
      </c>
      <c r="U1582" t="n">
        <v>0</v>
      </c>
    </row>
    <row r="1583">
      <c r="A1583" s="5" t="inlineStr">
        <is>
          <t>01a1212c-5f52-7024-a81e-151119dd528d</t>
        </is>
      </c>
      <c r="C1583" s="5" t="inlineStr">
        <is>
          <t>01a1212c-4b57-70cf-80fd-c2192cb3bf81</t>
        </is>
      </c>
      <c r="D1583" s="4" t="n">
        <v>46304.62405725643</v>
      </c>
      <c r="E1583" s="4" t="n">
        <v>46304.62405725651</v>
      </c>
      <c r="F1583" t="b">
        <v>1</v>
      </c>
      <c r="G1583" t="n">
        <v/>
      </c>
      <c r="H1583" t="inlineStr">
        <is>
          <t>FRE</t>
        </is>
      </c>
      <c r="I1583" t="inlineStr">
        <is>
          <t>Firebrick Pharma Ltd</t>
        </is>
      </c>
      <c r="J1583" t="inlineStr">
        <is>
          <t>AUD</t>
        </is>
      </c>
      <c r="K1583" s="5" t="inlineStr">
        <is>
          <t>01a1212c-4c04-75ce-bbb2-e3322e18816e</t>
        </is>
      </c>
      <c r="M1583" t="inlineStr">
        <is>
          <t>UNKNOWN</t>
        </is>
      </c>
      <c r="N1583" t="inlineStr">
        <is>
          <t>DEFAULT</t>
        </is>
      </c>
      <c r="Q1583" t="n">
        <v>0</v>
      </c>
      <c r="R1583" t="inlineStr">
        <is>
          <t>AUD</t>
        </is>
      </c>
      <c r="S1583" t="n">
        <v>0</v>
      </c>
      <c r="T1583" t="inlineStr">
        <is>
          <t>AUD</t>
        </is>
      </c>
      <c r="U1583" t="n">
        <v>0</v>
      </c>
    </row>
    <row r="1584">
      <c r="A1584" s="5" t="inlineStr">
        <is>
          <t>01a1212c-5f55-7006-94a9-54aac8caefa3</t>
        </is>
      </c>
      <c r="C1584" s="5" t="inlineStr">
        <is>
          <t>01a1212c-4b57-70cf-80fd-c2192cb3bf81</t>
        </is>
      </c>
      <c r="D1584" s="4" t="n">
        <v>46304.62405728921</v>
      </c>
      <c r="E1584" s="4" t="n">
        <v>46304.62405728931</v>
      </c>
      <c r="F1584" t="b">
        <v>1</v>
      </c>
      <c r="G1584" t="n">
        <v/>
      </c>
      <c r="H1584" t="inlineStr">
        <is>
          <t>EDU</t>
        </is>
      </c>
      <c r="I1584" t="inlineStr">
        <is>
          <t>EDU Holdings Ltd</t>
        </is>
      </c>
      <c r="J1584" t="inlineStr">
        <is>
          <t>AUD</t>
        </is>
      </c>
      <c r="K1584" s="5" t="inlineStr">
        <is>
          <t>01a1212c-4c04-75ce-bbb2-e3322e18816e</t>
        </is>
      </c>
      <c r="M1584" t="inlineStr">
        <is>
          <t>UNKNOWN</t>
        </is>
      </c>
      <c r="N1584" t="inlineStr">
        <is>
          <t>DEFAULT</t>
        </is>
      </c>
      <c r="Q1584" t="n">
        <v>0</v>
      </c>
      <c r="R1584" t="inlineStr">
        <is>
          <t>AUD</t>
        </is>
      </c>
      <c r="S1584" t="n">
        <v>0</v>
      </c>
      <c r="T1584" t="inlineStr">
        <is>
          <t>AUD</t>
        </is>
      </c>
      <c r="U1584" t="n">
        <v>0</v>
      </c>
    </row>
    <row r="1585">
      <c r="A1585" s="5" t="inlineStr">
        <is>
          <t>01a1212c-5f58-7481-b723-7d0ce43752d3</t>
        </is>
      </c>
      <c r="C1585" s="5" t="inlineStr">
        <is>
          <t>01a1212c-4b57-70cf-80fd-c2192cb3bf81</t>
        </is>
      </c>
      <c r="D1585" s="4" t="n">
        <v>46304.62405732308</v>
      </c>
      <c r="E1585" s="4" t="n">
        <v>46304.62405732315</v>
      </c>
      <c r="F1585" t="b">
        <v>1</v>
      </c>
      <c r="G1585" t="n">
        <v/>
      </c>
      <c r="H1585" t="inlineStr">
        <is>
          <t>VN8</t>
        </is>
      </c>
      <c r="I1585" t="inlineStr">
        <is>
          <t>VONEX Ltd</t>
        </is>
      </c>
      <c r="J1585" t="inlineStr">
        <is>
          <t>AUD</t>
        </is>
      </c>
      <c r="K1585" s="5" t="inlineStr">
        <is>
          <t>01a1212c-4c04-75ce-bbb2-e3322e18816e</t>
        </is>
      </c>
      <c r="M1585" t="inlineStr">
        <is>
          <t>UNKNOWN</t>
        </is>
      </c>
      <c r="N1585" t="inlineStr">
        <is>
          <t>DEFAULT</t>
        </is>
      </c>
      <c r="Q1585" t="n">
        <v>0</v>
      </c>
      <c r="R1585" t="inlineStr">
        <is>
          <t>AUD</t>
        </is>
      </c>
      <c r="S1585" t="n">
        <v>0</v>
      </c>
      <c r="T1585" t="inlineStr">
        <is>
          <t>AUD</t>
        </is>
      </c>
      <c r="U1585" t="n">
        <v>0</v>
      </c>
    </row>
    <row r="1586">
      <c r="A1586" s="5" t="inlineStr">
        <is>
          <t>01a1212c-5f5b-733b-8be4-de2423f2e9c7</t>
        </is>
      </c>
      <c r="C1586" s="5" t="inlineStr">
        <is>
          <t>01a1212c-4b57-70cf-80fd-c2192cb3bf81</t>
        </is>
      </c>
      <c r="D1586" s="4" t="n">
        <v>46304.62405735441</v>
      </c>
      <c r="E1586" s="4" t="n">
        <v>46304.62405735449</v>
      </c>
      <c r="F1586" t="b">
        <v>1</v>
      </c>
      <c r="G1586" t="n">
        <v/>
      </c>
      <c r="H1586" t="inlineStr">
        <is>
          <t>BTC</t>
        </is>
      </c>
      <c r="I1586" t="inlineStr">
        <is>
          <t>BTC Health Ltd</t>
        </is>
      </c>
      <c r="J1586" t="inlineStr">
        <is>
          <t>AUD</t>
        </is>
      </c>
      <c r="K1586" s="5" t="inlineStr">
        <is>
          <t>01a1212c-4c04-75ce-bbb2-e3322e18816e</t>
        </is>
      </c>
      <c r="M1586" t="inlineStr">
        <is>
          <t>UNKNOWN</t>
        </is>
      </c>
      <c r="N1586" t="inlineStr">
        <is>
          <t>DEFAULT</t>
        </is>
      </c>
      <c r="Q1586" t="n">
        <v>0</v>
      </c>
      <c r="R1586" t="inlineStr">
        <is>
          <t>AUD</t>
        </is>
      </c>
      <c r="S1586" t="n">
        <v>0</v>
      </c>
      <c r="T1586" t="inlineStr">
        <is>
          <t>AUD</t>
        </is>
      </c>
      <c r="U1586" t="n">
        <v>0</v>
      </c>
    </row>
    <row r="1587">
      <c r="A1587" s="5" t="inlineStr">
        <is>
          <t>01a1212c-5f5e-7645-8dbf-d7e00a42c7c1</t>
        </is>
      </c>
      <c r="C1587" s="5" t="inlineStr">
        <is>
          <t>01a1212c-4b57-70cf-80fd-c2192cb3bf81</t>
        </is>
      </c>
      <c r="D1587" s="4" t="n">
        <v>46304.62405738751</v>
      </c>
      <c r="E1587" s="4" t="n">
        <v>46304.62405738759</v>
      </c>
      <c r="F1587" t="b">
        <v>1</v>
      </c>
      <c r="G1587" t="n">
        <v/>
      </c>
      <c r="H1587" t="inlineStr">
        <is>
          <t>ALPH</t>
        </is>
      </c>
      <c r="I1587" t="inlineStr">
        <is>
          <t>Schroder Global Equity Alpha Fund - Active ETF</t>
        </is>
      </c>
      <c r="J1587" t="inlineStr">
        <is>
          <t>AUD</t>
        </is>
      </c>
      <c r="K1587" s="5" t="inlineStr">
        <is>
          <t>01a1212c-4c04-75ce-bbb2-e3322e18816e</t>
        </is>
      </c>
      <c r="M1587" t="inlineStr">
        <is>
          <t>UNKNOWN</t>
        </is>
      </c>
      <c r="N1587" t="inlineStr">
        <is>
          <t>DEFAULT</t>
        </is>
      </c>
      <c r="Q1587" t="n">
        <v>0</v>
      </c>
      <c r="R1587" t="inlineStr">
        <is>
          <t>AUD</t>
        </is>
      </c>
      <c r="S1587" t="n">
        <v>0</v>
      </c>
      <c r="T1587" t="inlineStr">
        <is>
          <t>AUD</t>
        </is>
      </c>
      <c r="U1587" t="n">
        <v>0</v>
      </c>
    </row>
    <row r="1588">
      <c r="A1588" s="5" t="inlineStr">
        <is>
          <t>01a1212c-5f61-70e4-ad49-f0a1ab1942c9</t>
        </is>
      </c>
      <c r="C1588" s="5" t="inlineStr">
        <is>
          <t>01a1212c-4b57-70cf-80fd-c2192cb3bf81</t>
        </is>
      </c>
      <c r="D1588" s="4" t="n">
        <v>46304.62405742307</v>
      </c>
      <c r="E1588" s="4" t="n">
        <v>46304.62405742315</v>
      </c>
      <c r="F1588" t="b">
        <v>1</v>
      </c>
      <c r="G1588" t="n">
        <v/>
      </c>
      <c r="H1588" t="inlineStr">
        <is>
          <t>USHY</t>
        </is>
      </c>
      <c r="I1588" t="inlineStr">
        <is>
          <t>Global X Usd High Yield Bond ETF(Currency Hedged)</t>
        </is>
      </c>
      <c r="J1588" t="inlineStr">
        <is>
          <t>AUD</t>
        </is>
      </c>
      <c r="K1588" s="5" t="inlineStr">
        <is>
          <t>01a1212c-4c04-75ce-bbb2-e3322e18816e</t>
        </is>
      </c>
      <c r="M1588" t="inlineStr">
        <is>
          <t>UNKNOWN</t>
        </is>
      </c>
      <c r="N1588" t="inlineStr">
        <is>
          <t>DEFAULT</t>
        </is>
      </c>
      <c r="Q1588" t="n">
        <v>0</v>
      </c>
      <c r="R1588" t="inlineStr">
        <is>
          <t>AUD</t>
        </is>
      </c>
      <c r="S1588" t="n">
        <v>0</v>
      </c>
      <c r="T1588" t="inlineStr">
        <is>
          <t>AUD</t>
        </is>
      </c>
      <c r="U1588" t="n">
        <v>0</v>
      </c>
    </row>
    <row r="1589">
      <c r="A1589" s="5" t="inlineStr">
        <is>
          <t>01a1212c-5f64-74df-9f5c-770d7bcfa05a</t>
        </is>
      </c>
      <c r="C1589" s="5" t="inlineStr">
        <is>
          <t>01a1212c-4b57-70cf-80fd-c2192cb3bf81</t>
        </is>
      </c>
      <c r="D1589" s="4" t="n">
        <v>46304.62405745689</v>
      </c>
      <c r="E1589" s="4" t="n">
        <v>46304.62405745698</v>
      </c>
      <c r="F1589" t="b">
        <v>1</v>
      </c>
      <c r="G1589" t="n">
        <v/>
      </c>
      <c r="H1589" t="inlineStr">
        <is>
          <t>TIA</t>
        </is>
      </c>
      <c r="I1589" t="inlineStr">
        <is>
          <t>Tian An Australia Ltd</t>
        </is>
      </c>
      <c r="J1589" t="inlineStr">
        <is>
          <t>AUD</t>
        </is>
      </c>
      <c r="K1589" s="5" t="inlineStr">
        <is>
          <t>01a1212c-4c04-75ce-bbb2-e3322e18816e</t>
        </is>
      </c>
      <c r="M1589" t="inlineStr">
        <is>
          <t>UNKNOWN</t>
        </is>
      </c>
      <c r="N1589" t="inlineStr">
        <is>
          <t>DEFAULT</t>
        </is>
      </c>
      <c r="Q1589" t="n">
        <v>0</v>
      </c>
      <c r="R1589" t="inlineStr">
        <is>
          <t>AUD</t>
        </is>
      </c>
      <c r="S1589" t="n">
        <v>0</v>
      </c>
      <c r="T1589" t="inlineStr">
        <is>
          <t>AUD</t>
        </is>
      </c>
      <c r="U1589" t="n">
        <v>0</v>
      </c>
    </row>
    <row r="1590">
      <c r="A1590" s="5" t="inlineStr">
        <is>
          <t>01a1212c-5f66-74fd-8cb2-e917e7a6c53a</t>
        </is>
      </c>
      <c r="C1590" s="5" t="inlineStr">
        <is>
          <t>01a1212c-4b57-70cf-80fd-c2192cb3bf81</t>
        </is>
      </c>
      <c r="D1590" s="4" t="n">
        <v>46304.62405748804</v>
      </c>
      <c r="E1590" s="4" t="n">
        <v>46304.62405748812</v>
      </c>
      <c r="F1590" t="b">
        <v>1</v>
      </c>
      <c r="G1590" t="n">
        <v/>
      </c>
      <c r="H1590" t="inlineStr">
        <is>
          <t>EQX</t>
        </is>
      </c>
      <c r="I1590" t="inlineStr">
        <is>
          <t>Equatorial Resources Ltd</t>
        </is>
      </c>
      <c r="J1590" t="inlineStr">
        <is>
          <t>AUD</t>
        </is>
      </c>
      <c r="K1590" s="5" t="inlineStr">
        <is>
          <t>01a1212c-4c04-75ce-bbb2-e3322e18816e</t>
        </is>
      </c>
      <c r="M1590" t="inlineStr">
        <is>
          <t>UNKNOWN</t>
        </is>
      </c>
      <c r="N1590" t="inlineStr">
        <is>
          <t>DEFAULT</t>
        </is>
      </c>
      <c r="Q1590" t="n">
        <v>0</v>
      </c>
      <c r="R1590" t="inlineStr">
        <is>
          <t>AUD</t>
        </is>
      </c>
      <c r="S1590" t="n">
        <v>0</v>
      </c>
      <c r="T1590" t="inlineStr">
        <is>
          <t>AUD</t>
        </is>
      </c>
      <c r="U1590" t="n">
        <v>0</v>
      </c>
    </row>
    <row r="1591">
      <c r="A1591" s="5" t="inlineStr">
        <is>
          <t>01a1212c-5f69-767b-bf30-e3634f590025</t>
        </is>
      </c>
      <c r="C1591" s="5" t="inlineStr">
        <is>
          <t>01a1212c-4b57-70cf-80fd-c2192cb3bf81</t>
        </is>
      </c>
      <c r="D1591" s="4" t="n">
        <v>46304.62405751863</v>
      </c>
      <c r="E1591" s="4" t="n">
        <v>46304.62405751872</v>
      </c>
      <c r="F1591" t="b">
        <v>1</v>
      </c>
      <c r="G1591" t="n">
        <v/>
      </c>
      <c r="H1591" t="inlineStr">
        <is>
          <t>HCL</t>
        </is>
      </c>
      <c r="I1591" t="inlineStr">
        <is>
          <t>Highcom Ltd</t>
        </is>
      </c>
      <c r="J1591" t="inlineStr">
        <is>
          <t>AUD</t>
        </is>
      </c>
      <c r="K1591" s="5" t="inlineStr">
        <is>
          <t>01a1212c-4c04-75ce-bbb2-e3322e18816e</t>
        </is>
      </c>
      <c r="M1591" t="inlineStr">
        <is>
          <t>UNKNOWN</t>
        </is>
      </c>
      <c r="N1591" t="inlineStr">
        <is>
          <t>DEFAULT</t>
        </is>
      </c>
      <c r="Q1591" t="n">
        <v>0</v>
      </c>
      <c r="R1591" t="inlineStr">
        <is>
          <t>AUD</t>
        </is>
      </c>
      <c r="S1591" t="n">
        <v>0</v>
      </c>
      <c r="T1591" t="inlineStr">
        <is>
          <t>AUD</t>
        </is>
      </c>
      <c r="U1591" t="n">
        <v>0</v>
      </c>
    </row>
    <row r="1592">
      <c r="A1592" s="5" t="inlineStr">
        <is>
          <t>01a1212c-5f6c-737d-a649-826ae1adbc46</t>
        </is>
      </c>
      <c r="C1592" s="5" t="inlineStr">
        <is>
          <t>01a1212c-4b57-70cf-80fd-c2192cb3bf81</t>
        </is>
      </c>
      <c r="D1592" s="4" t="n">
        <v>46304.62405754921</v>
      </c>
      <c r="E1592" s="4" t="n">
        <v>46304.62405754929</v>
      </c>
      <c r="F1592" t="b">
        <v>1</v>
      </c>
      <c r="G1592" t="n">
        <v/>
      </c>
      <c r="H1592" t="inlineStr">
        <is>
          <t>CAV</t>
        </is>
      </c>
      <c r="I1592" t="inlineStr">
        <is>
          <t>Carnavale Resources Ltd</t>
        </is>
      </c>
      <c r="J1592" t="inlineStr">
        <is>
          <t>AUD</t>
        </is>
      </c>
      <c r="K1592" s="5" t="inlineStr">
        <is>
          <t>01a1212c-4c04-75ce-bbb2-e3322e18816e</t>
        </is>
      </c>
      <c r="M1592" t="inlineStr">
        <is>
          <t>UNKNOWN</t>
        </is>
      </c>
      <c r="N1592" t="inlineStr">
        <is>
          <t>DEFAULT</t>
        </is>
      </c>
      <c r="Q1592" t="n">
        <v>0</v>
      </c>
      <c r="R1592" t="inlineStr">
        <is>
          <t>AUD</t>
        </is>
      </c>
      <c r="S1592" t="n">
        <v>0</v>
      </c>
      <c r="T1592" t="inlineStr">
        <is>
          <t>AUD</t>
        </is>
      </c>
      <c r="U1592" t="n">
        <v>0</v>
      </c>
    </row>
    <row r="1593">
      <c r="A1593" s="5" t="inlineStr">
        <is>
          <t>01a1212c-5f6e-730c-9407-0c53761334ad</t>
        </is>
      </c>
      <c r="C1593" s="5" t="inlineStr">
        <is>
          <t>01a1212c-4b57-70cf-80fd-c2192cb3bf81</t>
        </is>
      </c>
      <c r="D1593" s="4" t="n">
        <v>46304.62405757974</v>
      </c>
      <c r="E1593" s="4" t="n">
        <v>46304.62405757981</v>
      </c>
      <c r="F1593" t="b">
        <v>1</v>
      </c>
      <c r="G1593" t="n">
        <v/>
      </c>
      <c r="H1593" t="inlineStr">
        <is>
          <t>ASV</t>
        </is>
      </c>
      <c r="I1593" t="inlineStr">
        <is>
          <t>Asset Vision Co Ltd</t>
        </is>
      </c>
      <c r="J1593" t="inlineStr">
        <is>
          <t>AUD</t>
        </is>
      </c>
      <c r="K1593" s="5" t="inlineStr">
        <is>
          <t>01a1212c-4c04-75ce-bbb2-e3322e18816e</t>
        </is>
      </c>
      <c r="M1593" t="inlineStr">
        <is>
          <t>UNKNOWN</t>
        </is>
      </c>
      <c r="N1593" t="inlineStr">
        <is>
          <t>DEFAULT</t>
        </is>
      </c>
      <c r="Q1593" t="n">
        <v>0</v>
      </c>
      <c r="R1593" t="inlineStr">
        <is>
          <t>AUD</t>
        </is>
      </c>
      <c r="S1593" t="n">
        <v>0</v>
      </c>
      <c r="T1593" t="inlineStr">
        <is>
          <t>AUD</t>
        </is>
      </c>
      <c r="U1593" t="n">
        <v>0</v>
      </c>
    </row>
    <row r="1594">
      <c r="A1594" s="5" t="inlineStr">
        <is>
          <t>01a1212c-5f72-73bc-b570-a0d803f194dc</t>
        </is>
      </c>
      <c r="C1594" s="5" t="inlineStr">
        <is>
          <t>01a1212c-4b57-70cf-80fd-c2192cb3bf81</t>
        </is>
      </c>
      <c r="D1594" s="4" t="n">
        <v>46304.62405761706</v>
      </c>
      <c r="E1594" s="4" t="n">
        <v>46304.62405761714</v>
      </c>
      <c r="F1594" t="b">
        <v>1</v>
      </c>
      <c r="G1594" t="n">
        <v/>
      </c>
      <c r="H1594" t="inlineStr">
        <is>
          <t>HIO</t>
        </is>
      </c>
      <c r="I1594" t="inlineStr">
        <is>
          <t>Hawsons Iron Ltd</t>
        </is>
      </c>
      <c r="J1594" t="inlineStr">
        <is>
          <t>AUD</t>
        </is>
      </c>
      <c r="K1594" s="5" t="inlineStr">
        <is>
          <t>01a1212c-4c04-75ce-bbb2-e3322e18816e</t>
        </is>
      </c>
      <c r="M1594" t="inlineStr">
        <is>
          <t>UNKNOWN</t>
        </is>
      </c>
      <c r="N1594" t="inlineStr">
        <is>
          <t>DEFAULT</t>
        </is>
      </c>
      <c r="Q1594" t="n">
        <v>0</v>
      </c>
      <c r="R1594" t="inlineStr">
        <is>
          <t>AUD</t>
        </is>
      </c>
      <c r="S1594" t="n">
        <v>0</v>
      </c>
      <c r="T1594" t="inlineStr">
        <is>
          <t>AUD</t>
        </is>
      </c>
      <c r="U1594" t="n">
        <v>0</v>
      </c>
    </row>
    <row r="1595">
      <c r="A1595" s="5" t="inlineStr">
        <is>
          <t>01a1212c-5f74-703b-8c50-a0579c6705be</t>
        </is>
      </c>
      <c r="C1595" s="5" t="inlineStr">
        <is>
          <t>01a1212c-4b57-70cf-80fd-c2192cb3bf81</t>
        </is>
      </c>
      <c r="D1595" s="4" t="n">
        <v>46304.6240576487</v>
      </c>
      <c r="E1595" s="4" t="n">
        <v>46304.62405764878</v>
      </c>
      <c r="F1595" t="b">
        <v>1</v>
      </c>
      <c r="G1595" t="n">
        <v/>
      </c>
      <c r="H1595" t="inlineStr">
        <is>
          <t>ODY</t>
        </is>
      </c>
      <c r="I1595" t="inlineStr">
        <is>
          <t>Odyssey Gold Ltd</t>
        </is>
      </c>
      <c r="J1595" t="inlineStr">
        <is>
          <t>AUD</t>
        </is>
      </c>
      <c r="K1595" s="5" t="inlineStr">
        <is>
          <t>01a1212c-4c04-75ce-bbb2-e3322e18816e</t>
        </is>
      </c>
      <c r="M1595" t="inlineStr">
        <is>
          <t>UNKNOWN</t>
        </is>
      </c>
      <c r="N1595" t="inlineStr">
        <is>
          <t>DEFAULT</t>
        </is>
      </c>
      <c r="Q1595" t="n">
        <v>0</v>
      </c>
      <c r="R1595" t="inlineStr">
        <is>
          <t>AUD</t>
        </is>
      </c>
      <c r="S1595" t="n">
        <v>0</v>
      </c>
      <c r="T1595" t="inlineStr">
        <is>
          <t>AUD</t>
        </is>
      </c>
      <c r="U1595" t="n">
        <v>0</v>
      </c>
    </row>
    <row r="1596">
      <c r="A1596" s="5" t="inlineStr">
        <is>
          <t>01a1212c-5f77-7734-bd0e-ce089fa75df7</t>
        </is>
      </c>
      <c r="C1596" s="5" t="inlineStr">
        <is>
          <t>01a1212c-4b57-70cf-80fd-c2192cb3bf81</t>
        </is>
      </c>
      <c r="D1596" s="4" t="n">
        <v>46304.62405767979</v>
      </c>
      <c r="E1596" s="4" t="n">
        <v>46304.62405767987</v>
      </c>
      <c r="F1596" t="b">
        <v>1</v>
      </c>
      <c r="G1596" t="n">
        <v/>
      </c>
      <c r="H1596" t="inlineStr">
        <is>
          <t>VPR</t>
        </is>
      </c>
      <c r="I1596" t="inlineStr">
        <is>
          <t>Volt Group Ltd</t>
        </is>
      </c>
      <c r="J1596" t="inlineStr">
        <is>
          <t>AUD</t>
        </is>
      </c>
      <c r="K1596" s="5" t="inlineStr">
        <is>
          <t>01a1212c-4c04-75ce-bbb2-e3322e18816e</t>
        </is>
      </c>
      <c r="M1596" t="inlineStr">
        <is>
          <t>UNKNOWN</t>
        </is>
      </c>
      <c r="N1596" t="inlineStr">
        <is>
          <t>DEFAULT</t>
        </is>
      </c>
      <c r="Q1596" t="n">
        <v>0</v>
      </c>
      <c r="R1596" t="inlineStr">
        <is>
          <t>AUD</t>
        </is>
      </c>
      <c r="S1596" t="n">
        <v>0</v>
      </c>
      <c r="T1596" t="inlineStr">
        <is>
          <t>AUD</t>
        </is>
      </c>
      <c r="U1596" t="n">
        <v>0</v>
      </c>
    </row>
    <row r="1597">
      <c r="A1597" s="5" t="inlineStr">
        <is>
          <t>01a1212c-5f7a-749f-b701-7604b22127c6</t>
        </is>
      </c>
      <c r="C1597" s="5" t="inlineStr">
        <is>
          <t>01a1212c-4b57-70cf-80fd-c2192cb3bf81</t>
        </is>
      </c>
      <c r="D1597" s="4" t="n">
        <v>46304.62405771069</v>
      </c>
      <c r="E1597" s="4" t="n">
        <v>46304.62405771077</v>
      </c>
      <c r="F1597" t="b">
        <v>1</v>
      </c>
      <c r="G1597" t="n">
        <v/>
      </c>
      <c r="H1597" t="inlineStr">
        <is>
          <t>BSX</t>
        </is>
      </c>
      <c r="I1597" t="inlineStr">
        <is>
          <t>Blackstone Minerals Ltd</t>
        </is>
      </c>
      <c r="J1597" t="inlineStr">
        <is>
          <t>AUD</t>
        </is>
      </c>
      <c r="K1597" s="5" t="inlineStr">
        <is>
          <t>01a1212c-4c04-75ce-bbb2-e3322e18816e</t>
        </is>
      </c>
      <c r="M1597" t="inlineStr">
        <is>
          <t>UNKNOWN</t>
        </is>
      </c>
      <c r="N1597" t="inlineStr">
        <is>
          <t>DEFAULT</t>
        </is>
      </c>
      <c r="Q1597" t="n">
        <v>0</v>
      </c>
      <c r="R1597" t="inlineStr">
        <is>
          <t>AUD</t>
        </is>
      </c>
      <c r="S1597" t="n">
        <v>0</v>
      </c>
      <c r="T1597" t="inlineStr">
        <is>
          <t>AUD</t>
        </is>
      </c>
      <c r="U1597" t="n">
        <v>0</v>
      </c>
    </row>
    <row r="1598">
      <c r="A1598" s="5" t="inlineStr">
        <is>
          <t>01a1212c-5f7c-7512-912e-19c8ebb5421d</t>
        </is>
      </c>
      <c r="C1598" s="5" t="inlineStr">
        <is>
          <t>01a1212c-4b57-70cf-80fd-c2192cb3bf81</t>
        </is>
      </c>
      <c r="D1598" s="4" t="n">
        <v>46304.62405774139</v>
      </c>
      <c r="E1598" s="4" t="n">
        <v>46304.62405774147</v>
      </c>
      <c r="F1598" t="b">
        <v>1</v>
      </c>
      <c r="G1598" t="n">
        <v/>
      </c>
      <c r="H1598" t="inlineStr">
        <is>
          <t>IME</t>
        </is>
      </c>
      <c r="I1598" t="inlineStr">
        <is>
          <t>Imexhs Ltd</t>
        </is>
      </c>
      <c r="J1598" t="inlineStr">
        <is>
          <t>AUD</t>
        </is>
      </c>
      <c r="K1598" s="5" t="inlineStr">
        <is>
          <t>01a1212c-4c04-75ce-bbb2-e3322e18816e</t>
        </is>
      </c>
      <c r="M1598" t="inlineStr">
        <is>
          <t>UNKNOWN</t>
        </is>
      </c>
      <c r="N1598" t="inlineStr">
        <is>
          <t>DEFAULT</t>
        </is>
      </c>
      <c r="Q1598" t="n">
        <v>0</v>
      </c>
      <c r="R1598" t="inlineStr">
        <is>
          <t>AUD</t>
        </is>
      </c>
      <c r="S1598" t="n">
        <v>0</v>
      </c>
      <c r="T1598" t="inlineStr">
        <is>
          <t>AUD</t>
        </is>
      </c>
      <c r="U1598" t="n">
        <v>0</v>
      </c>
    </row>
    <row r="1599">
      <c r="A1599" s="5" t="inlineStr">
        <is>
          <t>01a1212c-5f7f-7324-9766-fb3d86b2800b</t>
        </is>
      </c>
      <c r="C1599" s="5" t="inlineStr">
        <is>
          <t>01a1212c-4b57-70cf-80fd-c2192cb3bf81</t>
        </is>
      </c>
      <c r="D1599" s="4" t="n">
        <v>46304.62405777643</v>
      </c>
      <c r="E1599" s="4" t="n">
        <v>46304.62405777651</v>
      </c>
      <c r="F1599" t="b">
        <v>1</v>
      </c>
      <c r="G1599" t="n">
        <v/>
      </c>
      <c r="H1599" t="inlineStr">
        <is>
          <t>KRR</t>
        </is>
      </c>
      <c r="I1599" t="inlineStr">
        <is>
          <t>King River Resources Ltd</t>
        </is>
      </c>
      <c r="J1599" t="inlineStr">
        <is>
          <t>AUD</t>
        </is>
      </c>
      <c r="K1599" s="5" t="inlineStr">
        <is>
          <t>01a1212c-4c04-75ce-bbb2-e3322e18816e</t>
        </is>
      </c>
      <c r="M1599" t="inlineStr">
        <is>
          <t>UNKNOWN</t>
        </is>
      </c>
      <c r="N1599" t="inlineStr">
        <is>
          <t>DEFAULT</t>
        </is>
      </c>
      <c r="Q1599" t="n">
        <v>0</v>
      </c>
      <c r="R1599" t="inlineStr">
        <is>
          <t>AUD</t>
        </is>
      </c>
      <c r="S1599" t="n">
        <v>0</v>
      </c>
      <c r="T1599" t="inlineStr">
        <is>
          <t>AUD</t>
        </is>
      </c>
      <c r="U1599" t="n">
        <v>0</v>
      </c>
    </row>
    <row r="1600">
      <c r="A1600" s="5" t="inlineStr">
        <is>
          <t>01a1212c-5f82-7569-9d20-288c346efe7e</t>
        </is>
      </c>
      <c r="C1600" s="5" t="inlineStr">
        <is>
          <t>01a1212c-4b57-70cf-80fd-c2192cb3bf81</t>
        </is>
      </c>
      <c r="D1600" s="4" t="n">
        <v>46304.62405781011</v>
      </c>
      <c r="E1600" s="4" t="n">
        <v>46304.62405781019</v>
      </c>
      <c r="F1600" t="b">
        <v>1</v>
      </c>
      <c r="G1600" t="n">
        <v/>
      </c>
      <c r="H1600" t="inlineStr">
        <is>
          <t>ETPMPM</t>
        </is>
      </c>
      <c r="I1600" t="inlineStr">
        <is>
          <t>Global X Metal Securities Australia Ltd</t>
        </is>
      </c>
      <c r="J1600" t="inlineStr">
        <is>
          <t>AUD</t>
        </is>
      </c>
      <c r="K1600" s="5" t="inlineStr">
        <is>
          <t>01a1212c-4c04-75ce-bbb2-e3322e18816e</t>
        </is>
      </c>
      <c r="M1600" t="inlineStr">
        <is>
          <t>UNKNOWN</t>
        </is>
      </c>
      <c r="N1600" t="inlineStr">
        <is>
          <t>DEFAULT</t>
        </is>
      </c>
      <c r="Q1600" t="n">
        <v>0</v>
      </c>
      <c r="R1600" t="inlineStr">
        <is>
          <t>AUD</t>
        </is>
      </c>
      <c r="S1600" t="n">
        <v>0</v>
      </c>
      <c r="T1600" t="inlineStr">
        <is>
          <t>AUD</t>
        </is>
      </c>
      <c r="U1600" t="n">
        <v>0</v>
      </c>
    </row>
    <row r="1601">
      <c r="A1601" s="5" t="inlineStr">
        <is>
          <t>01a1212c-5f85-748a-a433-9032f6728299</t>
        </is>
      </c>
      <c r="C1601" s="5" t="inlineStr">
        <is>
          <t>01a1212c-4b57-70cf-80fd-c2192cb3bf81</t>
        </is>
      </c>
      <c r="D1601" s="4" t="n">
        <v>46304.62405784154</v>
      </c>
      <c r="E1601" s="4" t="n">
        <v>46304.62405784162</v>
      </c>
      <c r="F1601" t="b">
        <v>1</v>
      </c>
      <c r="G1601" t="n">
        <v/>
      </c>
      <c r="H1601" t="inlineStr">
        <is>
          <t>MLS</t>
        </is>
      </c>
      <c r="I1601" t="inlineStr">
        <is>
          <t>Metals Australia Ltd</t>
        </is>
      </c>
      <c r="J1601" t="inlineStr">
        <is>
          <t>AUD</t>
        </is>
      </c>
      <c r="K1601" s="5" t="inlineStr">
        <is>
          <t>01a1212c-4c04-75ce-bbb2-e3322e18816e</t>
        </is>
      </c>
      <c r="M1601" t="inlineStr">
        <is>
          <t>UNKNOWN</t>
        </is>
      </c>
      <c r="N1601" t="inlineStr">
        <is>
          <t>DEFAULT</t>
        </is>
      </c>
      <c r="Q1601" t="n">
        <v>0</v>
      </c>
      <c r="R1601" t="inlineStr">
        <is>
          <t>AUD</t>
        </is>
      </c>
      <c r="S1601" t="n">
        <v>0</v>
      </c>
      <c r="T1601" t="inlineStr">
        <is>
          <t>AUD</t>
        </is>
      </c>
      <c r="U1601" t="n">
        <v>0</v>
      </c>
    </row>
    <row r="1602">
      <c r="A1602" s="5" t="inlineStr">
        <is>
          <t>01a1212c-5f88-7509-bcac-2cd827b57394</t>
        </is>
      </c>
      <c r="C1602" s="5" t="inlineStr">
        <is>
          <t>01a1212c-4b57-70cf-80fd-c2192cb3bf81</t>
        </is>
      </c>
      <c r="D1602" s="4" t="n">
        <v>46304.6240578723</v>
      </c>
      <c r="E1602" s="4" t="n">
        <v>46304.62405787237</v>
      </c>
      <c r="F1602" t="b">
        <v>1</v>
      </c>
      <c r="G1602" t="n">
        <v/>
      </c>
      <c r="H1602" t="inlineStr">
        <is>
          <t>HTG</t>
        </is>
      </c>
      <c r="I1602" t="inlineStr">
        <is>
          <t>Harvest Technology Group Ltd</t>
        </is>
      </c>
      <c r="J1602" t="inlineStr">
        <is>
          <t>AUD</t>
        </is>
      </c>
      <c r="K1602" s="5" t="inlineStr">
        <is>
          <t>01a1212c-4c04-75ce-bbb2-e3322e18816e</t>
        </is>
      </c>
      <c r="M1602" t="inlineStr">
        <is>
          <t>UNKNOWN</t>
        </is>
      </c>
      <c r="N1602" t="inlineStr">
        <is>
          <t>DEFAULT</t>
        </is>
      </c>
      <c r="Q1602" t="n">
        <v>0</v>
      </c>
      <c r="R1602" t="inlineStr">
        <is>
          <t>AUD</t>
        </is>
      </c>
      <c r="S1602" t="n">
        <v>0</v>
      </c>
      <c r="T1602" t="inlineStr">
        <is>
          <t>AUD</t>
        </is>
      </c>
      <c r="U1602" t="n">
        <v>0</v>
      </c>
    </row>
    <row r="1603">
      <c r="A1603" s="5" t="inlineStr">
        <is>
          <t>01a1212c-5f8b-770c-a2c6-8c2b92587ae2</t>
        </is>
      </c>
      <c r="C1603" s="5" t="inlineStr">
        <is>
          <t>01a1212c-4b57-70cf-80fd-c2192cb3bf81</t>
        </is>
      </c>
      <c r="D1603" s="4" t="n">
        <v>46304.62405790768</v>
      </c>
      <c r="E1603" s="4" t="n">
        <v>46304.62405790776</v>
      </c>
      <c r="F1603" t="b">
        <v>1</v>
      </c>
      <c r="G1603" t="n">
        <v/>
      </c>
      <c r="H1603" t="inlineStr">
        <is>
          <t>KAM</t>
        </is>
      </c>
      <c r="I1603" t="inlineStr">
        <is>
          <t>K2 Asset Management Holdings Ltd</t>
        </is>
      </c>
      <c r="J1603" t="inlineStr">
        <is>
          <t>AUD</t>
        </is>
      </c>
      <c r="K1603" s="5" t="inlineStr">
        <is>
          <t>01a1212c-4c04-75ce-bbb2-e3322e18816e</t>
        </is>
      </c>
      <c r="M1603" t="inlineStr">
        <is>
          <t>UNKNOWN</t>
        </is>
      </c>
      <c r="N1603" t="inlineStr">
        <is>
          <t>DEFAULT</t>
        </is>
      </c>
      <c r="Q1603" t="n">
        <v>0</v>
      </c>
      <c r="R1603" t="inlineStr">
        <is>
          <t>AUD</t>
        </is>
      </c>
      <c r="S1603" t="n">
        <v>0</v>
      </c>
      <c r="T1603" t="inlineStr">
        <is>
          <t>AUD</t>
        </is>
      </c>
      <c r="U1603" t="n">
        <v>0</v>
      </c>
    </row>
    <row r="1604">
      <c r="A1604" s="5" t="inlineStr">
        <is>
          <t>01a1212c-5f8d-75c3-a6b8-1c6bc043bca6</t>
        </is>
      </c>
      <c r="C1604" s="5" t="inlineStr">
        <is>
          <t>01a1212c-4b57-70cf-80fd-c2192cb3bf81</t>
        </is>
      </c>
      <c r="D1604" s="4" t="n">
        <v>46304.6240579387</v>
      </c>
      <c r="E1604" s="4" t="n">
        <v>46304.62405793878</v>
      </c>
      <c r="F1604" t="b">
        <v>1</v>
      </c>
      <c r="G1604" t="n">
        <v/>
      </c>
      <c r="H1604" t="inlineStr">
        <is>
          <t>AAP</t>
        </is>
      </c>
      <c r="I1604" t="inlineStr">
        <is>
          <t>Australian Agricultural Projects Ltd</t>
        </is>
      </c>
      <c r="J1604" t="inlineStr">
        <is>
          <t>AUD</t>
        </is>
      </c>
      <c r="K1604" s="5" t="inlineStr">
        <is>
          <t>01a1212c-4c04-75ce-bbb2-e3322e18816e</t>
        </is>
      </c>
      <c r="M1604" t="inlineStr">
        <is>
          <t>UNKNOWN</t>
        </is>
      </c>
      <c r="N1604" t="inlineStr">
        <is>
          <t>DEFAULT</t>
        </is>
      </c>
      <c r="Q1604" t="n">
        <v>0</v>
      </c>
      <c r="R1604" t="inlineStr">
        <is>
          <t>AUD</t>
        </is>
      </c>
      <c r="S1604" t="n">
        <v>0</v>
      </c>
      <c r="T1604" t="inlineStr">
        <is>
          <t>AUD</t>
        </is>
      </c>
      <c r="U1604" t="n">
        <v>0</v>
      </c>
    </row>
    <row r="1605">
      <c r="A1605" s="5" t="inlineStr">
        <is>
          <t>01a1212c-5f90-77a4-aff6-bf73cd40bd23</t>
        </is>
      </c>
      <c r="C1605" s="5" t="inlineStr">
        <is>
          <t>01a1212c-4b57-70cf-80fd-c2192cb3bf81</t>
        </is>
      </c>
      <c r="D1605" s="4" t="n">
        <v>46304.62405796951</v>
      </c>
      <c r="E1605" s="4" t="n">
        <v>46304.62405796958</v>
      </c>
      <c r="F1605" t="b">
        <v>1</v>
      </c>
      <c r="G1605" t="n">
        <v/>
      </c>
      <c r="H1605" t="inlineStr">
        <is>
          <t>ADY</t>
        </is>
      </c>
      <c r="I1605" t="inlineStr">
        <is>
          <t>Admiralty Resources NL</t>
        </is>
      </c>
      <c r="J1605" t="inlineStr">
        <is>
          <t>AUD</t>
        </is>
      </c>
      <c r="K1605" s="5" t="inlineStr">
        <is>
          <t>01a1212c-4c04-75ce-bbb2-e3322e18816e</t>
        </is>
      </c>
      <c r="M1605" t="inlineStr">
        <is>
          <t>UNKNOWN</t>
        </is>
      </c>
      <c r="N1605" t="inlineStr">
        <is>
          <t>DEFAULT</t>
        </is>
      </c>
      <c r="Q1605" t="n">
        <v>0</v>
      </c>
      <c r="R1605" t="inlineStr">
        <is>
          <t>AUD</t>
        </is>
      </c>
      <c r="S1605" t="n">
        <v>0</v>
      </c>
      <c r="T1605" t="inlineStr">
        <is>
          <t>AUD</t>
        </is>
      </c>
      <c r="U1605" t="n">
        <v>0</v>
      </c>
    </row>
    <row r="1606">
      <c r="A1606" s="5" t="inlineStr">
        <is>
          <t>01a1212c-5f93-73ce-9eb4-8e8ecc2c4e95</t>
        </is>
      </c>
      <c r="C1606" s="5" t="inlineStr">
        <is>
          <t>01a1212c-4b57-70cf-80fd-c2192cb3bf81</t>
        </is>
      </c>
      <c r="D1606" s="4" t="n">
        <v>46304.62405800007</v>
      </c>
      <c r="E1606" s="4" t="n">
        <v>46304.62405800015</v>
      </c>
      <c r="F1606" t="b">
        <v>1</v>
      </c>
      <c r="G1606" t="n">
        <v/>
      </c>
      <c r="H1606" t="inlineStr">
        <is>
          <t>NACGA</t>
        </is>
      </c>
      <c r="I1606" t="inlineStr">
        <is>
          <t>Naos Ex-50 Opportunities Company Ltd</t>
        </is>
      </c>
      <c r="J1606" t="inlineStr">
        <is>
          <t>AUD</t>
        </is>
      </c>
      <c r="K1606" s="5" t="inlineStr">
        <is>
          <t>01a1212c-4c04-75ce-bbb2-e3322e18816e</t>
        </is>
      </c>
      <c r="M1606" t="inlineStr">
        <is>
          <t>UNKNOWN</t>
        </is>
      </c>
      <c r="N1606" t="inlineStr">
        <is>
          <t>DEFAULT</t>
        </is>
      </c>
      <c r="Q1606" t="n">
        <v>0</v>
      </c>
      <c r="R1606" t="inlineStr">
        <is>
          <t>AUD</t>
        </is>
      </c>
      <c r="S1606" t="n">
        <v>0</v>
      </c>
      <c r="T1606" t="inlineStr">
        <is>
          <t>AUD</t>
        </is>
      </c>
      <c r="U1606" t="n">
        <v>0</v>
      </c>
    </row>
    <row r="1607">
      <c r="A1607" s="5" t="inlineStr">
        <is>
          <t>01a1212c-5f95-7370-9e64-d9b5026d821f</t>
        </is>
      </c>
      <c r="C1607" s="5" t="inlineStr">
        <is>
          <t>01a1212c-4b57-70cf-80fd-c2192cb3bf81</t>
        </is>
      </c>
      <c r="D1607" s="4" t="n">
        <v>46304.62405803135</v>
      </c>
      <c r="E1607" s="4" t="n">
        <v>46304.62405803143</v>
      </c>
      <c r="F1607" t="b">
        <v>1</v>
      </c>
      <c r="G1607" t="n">
        <v/>
      </c>
      <c r="H1607" t="inlineStr">
        <is>
          <t>GAS</t>
        </is>
      </c>
      <c r="I1607" t="inlineStr">
        <is>
          <t>State GAS Ltd</t>
        </is>
      </c>
      <c r="J1607" t="inlineStr">
        <is>
          <t>AUD</t>
        </is>
      </c>
      <c r="K1607" s="5" t="inlineStr">
        <is>
          <t>01a1212c-4c04-75ce-bbb2-e3322e18816e</t>
        </is>
      </c>
      <c r="M1607" t="inlineStr">
        <is>
          <t>UNKNOWN</t>
        </is>
      </c>
      <c r="N1607" t="inlineStr">
        <is>
          <t>DEFAULT</t>
        </is>
      </c>
      <c r="Q1607" t="n">
        <v>0</v>
      </c>
      <c r="R1607" t="inlineStr">
        <is>
          <t>AUD</t>
        </is>
      </c>
      <c r="S1607" t="n">
        <v>0</v>
      </c>
      <c r="T1607" t="inlineStr">
        <is>
          <t>AUD</t>
        </is>
      </c>
      <c r="U1607" t="n">
        <v>0</v>
      </c>
    </row>
    <row r="1608">
      <c r="A1608" s="5" t="inlineStr">
        <is>
          <t>01a1212c-5f98-72d2-8919-ddfc4b2982f2</t>
        </is>
      </c>
      <c r="C1608" s="5" t="inlineStr">
        <is>
          <t>01a1212c-4b57-70cf-80fd-c2192cb3bf81</t>
        </is>
      </c>
      <c r="D1608" s="4" t="n">
        <v>46304.62405806417</v>
      </c>
      <c r="E1608" s="4" t="n">
        <v>46304.62405806425</v>
      </c>
      <c r="F1608" t="b">
        <v>1</v>
      </c>
      <c r="G1608" t="n">
        <v/>
      </c>
      <c r="H1608" t="inlineStr">
        <is>
          <t>TRM</t>
        </is>
      </c>
      <c r="I1608" t="inlineStr">
        <is>
          <t>Truscott Mining Corporation Ltd</t>
        </is>
      </c>
      <c r="J1608" t="inlineStr">
        <is>
          <t>AUD</t>
        </is>
      </c>
      <c r="K1608" s="5" t="inlineStr">
        <is>
          <t>01a1212c-4c04-75ce-bbb2-e3322e18816e</t>
        </is>
      </c>
      <c r="M1608" t="inlineStr">
        <is>
          <t>UNKNOWN</t>
        </is>
      </c>
      <c r="N1608" t="inlineStr">
        <is>
          <t>DEFAULT</t>
        </is>
      </c>
      <c r="Q1608" t="n">
        <v>0</v>
      </c>
      <c r="R1608" t="inlineStr">
        <is>
          <t>AUD</t>
        </is>
      </c>
      <c r="S1608" t="n">
        <v>0</v>
      </c>
      <c r="T1608" t="inlineStr">
        <is>
          <t>AUD</t>
        </is>
      </c>
      <c r="U1608" t="n">
        <v>0</v>
      </c>
    </row>
    <row r="1609">
      <c r="A1609" s="5" t="inlineStr">
        <is>
          <t>01a1212c-5f9b-7483-9b8e-13b096fc5cc4</t>
        </is>
      </c>
      <c r="C1609" s="5" t="inlineStr">
        <is>
          <t>01a1212c-4b57-70cf-80fd-c2192cb3bf81</t>
        </is>
      </c>
      <c r="D1609" s="4" t="n">
        <v>46304.62405809489</v>
      </c>
      <c r="E1609" s="4" t="n">
        <v>46304.62405809497</v>
      </c>
      <c r="F1609" t="b">
        <v>1</v>
      </c>
      <c r="G1609" t="n">
        <v/>
      </c>
      <c r="H1609" t="inlineStr">
        <is>
          <t>BAS</t>
        </is>
      </c>
      <c r="I1609" t="inlineStr">
        <is>
          <t>Bass Oil Ltd</t>
        </is>
      </c>
      <c r="J1609" t="inlineStr">
        <is>
          <t>AUD</t>
        </is>
      </c>
      <c r="K1609" s="5" t="inlineStr">
        <is>
          <t>01a1212c-4c04-75ce-bbb2-e3322e18816e</t>
        </is>
      </c>
      <c r="M1609" t="inlineStr">
        <is>
          <t>UNKNOWN</t>
        </is>
      </c>
      <c r="N1609" t="inlineStr">
        <is>
          <t>DEFAULT</t>
        </is>
      </c>
      <c r="Q1609" t="n">
        <v>0</v>
      </c>
      <c r="R1609" t="inlineStr">
        <is>
          <t>AUD</t>
        </is>
      </c>
      <c r="S1609" t="n">
        <v>0</v>
      </c>
      <c r="T1609" t="inlineStr">
        <is>
          <t>AUD</t>
        </is>
      </c>
      <c r="U1609" t="n">
        <v>0</v>
      </c>
    </row>
    <row r="1610">
      <c r="A1610" s="5" t="inlineStr">
        <is>
          <t>01a1212c-5f9d-704f-918c-f7ef8a07d22f</t>
        </is>
      </c>
      <c r="C1610" s="5" t="inlineStr">
        <is>
          <t>01a1212c-4b57-70cf-80fd-c2192cb3bf81</t>
        </is>
      </c>
      <c r="D1610" s="4" t="n">
        <v>46304.62405812573</v>
      </c>
      <c r="E1610" s="4" t="n">
        <v>46304.6240581258</v>
      </c>
      <c r="F1610" t="b">
        <v>1</v>
      </c>
      <c r="G1610" t="n">
        <v/>
      </c>
      <c r="H1610" t="inlineStr">
        <is>
          <t>LAM</t>
        </is>
      </c>
      <c r="I1610" t="inlineStr">
        <is>
          <t>Laramide Resources Ltd</t>
        </is>
      </c>
      <c r="J1610" t="inlineStr">
        <is>
          <t>AUD</t>
        </is>
      </c>
      <c r="K1610" s="5" t="inlineStr">
        <is>
          <t>01a1212c-4c04-75ce-bbb2-e3322e18816e</t>
        </is>
      </c>
      <c r="M1610" t="inlineStr">
        <is>
          <t>UNKNOWN</t>
        </is>
      </c>
      <c r="N1610" t="inlineStr">
        <is>
          <t>DEFAULT</t>
        </is>
      </c>
      <c r="Q1610" t="n">
        <v>0</v>
      </c>
      <c r="R1610" t="inlineStr">
        <is>
          <t>AUD</t>
        </is>
      </c>
      <c r="S1610" t="n">
        <v>0</v>
      </c>
      <c r="T1610" t="inlineStr">
        <is>
          <t>AUD</t>
        </is>
      </c>
      <c r="U1610" t="n">
        <v>0</v>
      </c>
    </row>
    <row r="1611">
      <c r="A1611" s="5" t="inlineStr">
        <is>
          <t>01a1212c-5fa0-72e7-98b0-5f07eb8db666</t>
        </is>
      </c>
      <c r="C1611" s="5" t="inlineStr">
        <is>
          <t>01a1212c-4b57-70cf-80fd-c2192cb3bf81</t>
        </is>
      </c>
      <c r="D1611" s="4" t="n">
        <v>46304.62405815696</v>
      </c>
      <c r="E1611" s="4" t="n">
        <v>46304.62405815702</v>
      </c>
      <c r="F1611" t="b">
        <v>1</v>
      </c>
      <c r="G1611" t="n">
        <v/>
      </c>
      <c r="H1611" t="inlineStr">
        <is>
          <t>CBL</t>
        </is>
      </c>
      <c r="I1611" t="inlineStr">
        <is>
          <t>Control Bionics Ltd</t>
        </is>
      </c>
      <c r="J1611" t="inlineStr">
        <is>
          <t>AUD</t>
        </is>
      </c>
      <c r="K1611" s="5" t="inlineStr">
        <is>
          <t>01a1212c-4c04-75ce-bbb2-e3322e18816e</t>
        </is>
      </c>
      <c r="M1611" t="inlineStr">
        <is>
          <t>UNKNOWN</t>
        </is>
      </c>
      <c r="N1611" t="inlineStr">
        <is>
          <t>DEFAULT</t>
        </is>
      </c>
      <c r="Q1611" t="n">
        <v>0</v>
      </c>
      <c r="R1611" t="inlineStr">
        <is>
          <t>AUD</t>
        </is>
      </c>
      <c r="S1611" t="n">
        <v>0</v>
      </c>
      <c r="T1611" t="inlineStr">
        <is>
          <t>AUD</t>
        </is>
      </c>
      <c r="U1611" t="n">
        <v>0</v>
      </c>
    </row>
    <row r="1612">
      <c r="A1612" s="5" t="inlineStr">
        <is>
          <t>01a1212c-5fa3-734e-a106-a5c19103d181</t>
        </is>
      </c>
      <c r="C1612" s="5" t="inlineStr">
        <is>
          <t>01a1212c-4b57-70cf-80fd-c2192cb3bf81</t>
        </is>
      </c>
      <c r="D1612" s="4" t="n">
        <v>46304.62405818998</v>
      </c>
      <c r="E1612" s="4" t="n">
        <v>46304.62405819005</v>
      </c>
      <c r="F1612" t="b">
        <v>1</v>
      </c>
      <c r="G1612" t="n">
        <v/>
      </c>
      <c r="H1612" t="inlineStr">
        <is>
          <t>PET</t>
        </is>
      </c>
      <c r="I1612" t="inlineStr">
        <is>
          <t>Phoslock Environmental Technologies Ltd</t>
        </is>
      </c>
      <c r="J1612" t="inlineStr">
        <is>
          <t>AUD</t>
        </is>
      </c>
      <c r="K1612" s="5" t="inlineStr">
        <is>
          <t>01a1212c-4c04-75ce-bbb2-e3322e18816e</t>
        </is>
      </c>
      <c r="M1612" t="inlineStr">
        <is>
          <t>UNKNOWN</t>
        </is>
      </c>
      <c r="N1612" t="inlineStr">
        <is>
          <t>DEFAULT</t>
        </is>
      </c>
      <c r="Q1612" t="n">
        <v>0</v>
      </c>
      <c r="R1612" t="inlineStr">
        <is>
          <t>AUD</t>
        </is>
      </c>
      <c r="S1612" t="n">
        <v>0</v>
      </c>
      <c r="T1612" t="inlineStr">
        <is>
          <t>AUD</t>
        </is>
      </c>
      <c r="U1612" t="n">
        <v>0</v>
      </c>
    </row>
    <row r="1613">
      <c r="A1613" s="5" t="inlineStr">
        <is>
          <t>01a1212c-5fa6-739e-9c43-0d761ccda1e0</t>
        </is>
      </c>
      <c r="C1613" s="5" t="inlineStr">
        <is>
          <t>01a1212c-4b57-70cf-80fd-c2192cb3bf81</t>
        </is>
      </c>
      <c r="D1613" s="4" t="n">
        <v>46304.62405822201</v>
      </c>
      <c r="E1613" s="4" t="n">
        <v>46304.62405822209</v>
      </c>
      <c r="F1613" t="b">
        <v>1</v>
      </c>
      <c r="G1613" t="n">
        <v/>
      </c>
      <c r="H1613" t="inlineStr">
        <is>
          <t>HPR</t>
        </is>
      </c>
      <c r="I1613" t="inlineStr">
        <is>
          <t>High Peak Royalties Ltd</t>
        </is>
      </c>
      <c r="J1613" t="inlineStr">
        <is>
          <t>AUD</t>
        </is>
      </c>
      <c r="K1613" s="5" t="inlineStr">
        <is>
          <t>01a1212c-4c04-75ce-bbb2-e3322e18816e</t>
        </is>
      </c>
      <c r="M1613" t="inlineStr">
        <is>
          <t>UNKNOWN</t>
        </is>
      </c>
      <c r="N1613" t="inlineStr">
        <is>
          <t>DEFAULT</t>
        </is>
      </c>
      <c r="Q1613" t="n">
        <v>0</v>
      </c>
      <c r="R1613" t="inlineStr">
        <is>
          <t>AUD</t>
        </is>
      </c>
      <c r="S1613" t="n">
        <v>0</v>
      </c>
      <c r="T1613" t="inlineStr">
        <is>
          <t>AUD</t>
        </is>
      </c>
      <c r="U1613" t="n">
        <v>0</v>
      </c>
    </row>
    <row r="1614">
      <c r="A1614" s="5" t="inlineStr">
        <is>
          <t>01a1212c-5fa8-733c-9bd6-dedc7a99c532</t>
        </is>
      </c>
      <c r="C1614" s="5" t="inlineStr">
        <is>
          <t>01a1212c-4b57-70cf-80fd-c2192cb3bf81</t>
        </is>
      </c>
      <c r="D1614" s="4" t="n">
        <v>46304.62405825264</v>
      </c>
      <c r="E1614" s="4" t="n">
        <v>46304.62405825272</v>
      </c>
      <c r="F1614" t="b">
        <v>1</v>
      </c>
      <c r="G1614" t="n">
        <v/>
      </c>
      <c r="H1614" t="inlineStr">
        <is>
          <t>NYR</t>
        </is>
      </c>
      <c r="I1614" t="inlineStr">
        <is>
          <t>Nyrada Inc</t>
        </is>
      </c>
      <c r="J1614" t="inlineStr">
        <is>
          <t>AUD</t>
        </is>
      </c>
      <c r="K1614" s="5" t="inlineStr">
        <is>
          <t>01a1212c-4c04-75ce-bbb2-e3322e18816e</t>
        </is>
      </c>
      <c r="M1614" t="inlineStr">
        <is>
          <t>UNKNOWN</t>
        </is>
      </c>
      <c r="N1614" t="inlineStr">
        <is>
          <t>DEFAULT</t>
        </is>
      </c>
      <c r="Q1614" t="n">
        <v>0</v>
      </c>
      <c r="R1614" t="inlineStr">
        <is>
          <t>AUD</t>
        </is>
      </c>
      <c r="S1614" t="n">
        <v>0</v>
      </c>
      <c r="T1614" t="inlineStr">
        <is>
          <t>AUD</t>
        </is>
      </c>
      <c r="U1614" t="n">
        <v>0</v>
      </c>
    </row>
    <row r="1615">
      <c r="A1615" s="5" t="inlineStr">
        <is>
          <t>01a1212c-5fab-7411-9345-abb02586a4ca</t>
        </is>
      </c>
      <c r="C1615" s="5" t="inlineStr">
        <is>
          <t>01a1212c-4b57-70cf-80fd-c2192cb3bf81</t>
        </is>
      </c>
      <c r="D1615" s="4" t="n">
        <v>46304.6240582834</v>
      </c>
      <c r="E1615" s="4" t="n">
        <v>46304.62405828349</v>
      </c>
      <c r="F1615" t="b">
        <v>1</v>
      </c>
      <c r="G1615" t="n">
        <v/>
      </c>
      <c r="H1615" t="inlineStr">
        <is>
          <t>SLS</t>
        </is>
      </c>
      <c r="I1615" t="inlineStr">
        <is>
          <t>Solstice Minerals Ltd</t>
        </is>
      </c>
      <c r="J1615" t="inlineStr">
        <is>
          <t>AUD</t>
        </is>
      </c>
      <c r="K1615" s="5" t="inlineStr">
        <is>
          <t>01a1212c-4c04-75ce-bbb2-e3322e18816e</t>
        </is>
      </c>
      <c r="M1615" t="inlineStr">
        <is>
          <t>UNKNOWN</t>
        </is>
      </c>
      <c r="N1615" t="inlineStr">
        <is>
          <t>DEFAULT</t>
        </is>
      </c>
      <c r="Q1615" t="n">
        <v>0</v>
      </c>
      <c r="R1615" t="inlineStr">
        <is>
          <t>AUD</t>
        </is>
      </c>
      <c r="S1615" t="n">
        <v>0</v>
      </c>
      <c r="T1615" t="inlineStr">
        <is>
          <t>AUD</t>
        </is>
      </c>
      <c r="U1615" t="n">
        <v>0</v>
      </c>
    </row>
    <row r="1616">
      <c r="A1616" s="5" t="inlineStr">
        <is>
          <t>01a1212c-5fae-74e8-9dcb-e276848295fa</t>
        </is>
      </c>
      <c r="C1616" s="5" t="inlineStr">
        <is>
          <t>01a1212c-4b57-70cf-80fd-c2192cb3bf81</t>
        </is>
      </c>
      <c r="D1616" s="4" t="n">
        <v>46304.6240583138</v>
      </c>
      <c r="E1616" s="4" t="n">
        <v>46304.62405831386</v>
      </c>
      <c r="F1616" t="b">
        <v>1</v>
      </c>
      <c r="G1616" t="n">
        <v/>
      </c>
      <c r="H1616" t="inlineStr">
        <is>
          <t>DXN</t>
        </is>
      </c>
      <c r="I1616" t="inlineStr">
        <is>
          <t>DXN Ltd</t>
        </is>
      </c>
      <c r="J1616" t="inlineStr">
        <is>
          <t>AUD</t>
        </is>
      </c>
      <c r="K1616" s="5" t="inlineStr">
        <is>
          <t>01a1212c-4c04-75ce-bbb2-e3322e18816e</t>
        </is>
      </c>
      <c r="M1616" t="inlineStr">
        <is>
          <t>UNKNOWN</t>
        </is>
      </c>
      <c r="N1616" t="inlineStr">
        <is>
          <t>DEFAULT</t>
        </is>
      </c>
      <c r="Q1616" t="n">
        <v>0</v>
      </c>
      <c r="R1616" t="inlineStr">
        <is>
          <t>AUD</t>
        </is>
      </c>
      <c r="S1616" t="n">
        <v>0</v>
      </c>
      <c r="T1616" t="inlineStr">
        <is>
          <t>AUD</t>
        </is>
      </c>
      <c r="U1616" t="n">
        <v>0</v>
      </c>
    </row>
    <row r="1617">
      <c r="A1617" s="5" t="inlineStr">
        <is>
          <t>01a1212c-5fb1-768c-b361-7180ead1b02d</t>
        </is>
      </c>
      <c r="C1617" s="5" t="inlineStr">
        <is>
          <t>01a1212c-4b57-70cf-80fd-c2192cb3bf81</t>
        </is>
      </c>
      <c r="D1617" s="4" t="n">
        <v>46304.62405834965</v>
      </c>
      <c r="E1617" s="4" t="n">
        <v>46304.62405834973</v>
      </c>
      <c r="F1617" t="b">
        <v>1</v>
      </c>
      <c r="G1617" t="n">
        <v/>
      </c>
      <c r="H1617" t="inlineStr">
        <is>
          <t>G11</t>
        </is>
      </c>
      <c r="I1617" t="inlineStr">
        <is>
          <t>G11 Resources Ltd</t>
        </is>
      </c>
      <c r="J1617" t="inlineStr">
        <is>
          <t>AUD</t>
        </is>
      </c>
      <c r="K1617" s="5" t="inlineStr">
        <is>
          <t>01a1212c-4c04-75ce-bbb2-e3322e18816e</t>
        </is>
      </c>
      <c r="M1617" t="inlineStr">
        <is>
          <t>UNKNOWN</t>
        </is>
      </c>
      <c r="N1617" t="inlineStr">
        <is>
          <t>DEFAULT</t>
        </is>
      </c>
      <c r="Q1617" t="n">
        <v>0</v>
      </c>
      <c r="R1617" t="inlineStr">
        <is>
          <t>AUD</t>
        </is>
      </c>
      <c r="S1617" t="n">
        <v>0</v>
      </c>
      <c r="T1617" t="inlineStr">
        <is>
          <t>AUD</t>
        </is>
      </c>
      <c r="U1617" t="n">
        <v>0</v>
      </c>
    </row>
    <row r="1618">
      <c r="A1618" s="5" t="inlineStr">
        <is>
          <t>01a1212c-5fb3-71c8-90a5-a6091fbbb9c8</t>
        </is>
      </c>
      <c r="C1618" s="5" t="inlineStr">
        <is>
          <t>01a1212c-4b57-70cf-80fd-c2192cb3bf81</t>
        </is>
      </c>
      <c r="D1618" s="4" t="n">
        <v>46304.62405838072</v>
      </c>
      <c r="E1618" s="4" t="n">
        <v>46304.62405838079</v>
      </c>
      <c r="F1618" t="b">
        <v>1</v>
      </c>
      <c r="G1618" t="n">
        <v/>
      </c>
      <c r="H1618" t="inlineStr">
        <is>
          <t>VRC</t>
        </is>
      </c>
      <c r="I1618" t="inlineStr">
        <is>
          <t>Volt Resources Ltd</t>
        </is>
      </c>
      <c r="J1618" t="inlineStr">
        <is>
          <t>AUD</t>
        </is>
      </c>
      <c r="K1618" s="5" t="inlineStr">
        <is>
          <t>01a1212c-4c04-75ce-bbb2-e3322e18816e</t>
        </is>
      </c>
      <c r="M1618" t="inlineStr">
        <is>
          <t>UNKNOWN</t>
        </is>
      </c>
      <c r="N1618" t="inlineStr">
        <is>
          <t>DEFAULT</t>
        </is>
      </c>
      <c r="Q1618" t="n">
        <v>0</v>
      </c>
      <c r="R1618" t="inlineStr">
        <is>
          <t>AUD</t>
        </is>
      </c>
      <c r="S1618" t="n">
        <v>0</v>
      </c>
      <c r="T1618" t="inlineStr">
        <is>
          <t>AUD</t>
        </is>
      </c>
      <c r="U1618" t="n">
        <v>0</v>
      </c>
    </row>
    <row r="1619">
      <c r="A1619" s="5" t="inlineStr">
        <is>
          <t>01a1212c-5fb6-774a-b1bf-7ff6c35418c0</t>
        </is>
      </c>
      <c r="C1619" s="5" t="inlineStr">
        <is>
          <t>01a1212c-4b57-70cf-80fd-c2192cb3bf81</t>
        </is>
      </c>
      <c r="D1619" s="4" t="n">
        <v>46304.62405841151</v>
      </c>
      <c r="E1619" s="4" t="n">
        <v>46304.62405841157</v>
      </c>
      <c r="F1619" t="b">
        <v>1</v>
      </c>
      <c r="G1619" t="n">
        <v/>
      </c>
      <c r="H1619" t="inlineStr">
        <is>
          <t>KZR</t>
        </is>
      </c>
      <c r="I1619" t="inlineStr">
        <is>
          <t>Kalamazoo Resources Ltd</t>
        </is>
      </c>
      <c r="J1619" t="inlineStr">
        <is>
          <t>AUD</t>
        </is>
      </c>
      <c r="K1619" s="5" t="inlineStr">
        <is>
          <t>01a1212c-4c04-75ce-bbb2-e3322e18816e</t>
        </is>
      </c>
      <c r="M1619" t="inlineStr">
        <is>
          <t>UNKNOWN</t>
        </is>
      </c>
      <c r="N1619" t="inlineStr">
        <is>
          <t>DEFAULT</t>
        </is>
      </c>
      <c r="Q1619" t="n">
        <v>0</v>
      </c>
      <c r="R1619" t="inlineStr">
        <is>
          <t>AUD</t>
        </is>
      </c>
      <c r="S1619" t="n">
        <v>0</v>
      </c>
      <c r="T1619" t="inlineStr">
        <is>
          <t>AUD</t>
        </is>
      </c>
      <c r="U1619" t="n">
        <v>0</v>
      </c>
    </row>
    <row r="1620">
      <c r="A1620" s="5" t="inlineStr">
        <is>
          <t>01a1212c-5fb9-75bb-b044-411998e4876f</t>
        </is>
      </c>
      <c r="C1620" s="5" t="inlineStr">
        <is>
          <t>01a1212c-4b57-70cf-80fd-c2192cb3bf81</t>
        </is>
      </c>
      <c r="D1620" s="4" t="n">
        <v>46304.62405844213</v>
      </c>
      <c r="E1620" s="4" t="n">
        <v>46304.6240584422</v>
      </c>
      <c r="F1620" t="b">
        <v>1</v>
      </c>
      <c r="G1620" t="n">
        <v/>
      </c>
      <c r="H1620" t="inlineStr">
        <is>
          <t>PTL</t>
        </is>
      </c>
      <c r="I1620" t="inlineStr">
        <is>
          <t>Prestal Holdings Ltd</t>
        </is>
      </c>
      <c r="J1620" t="inlineStr">
        <is>
          <t>AUD</t>
        </is>
      </c>
      <c r="K1620" s="5" t="inlineStr">
        <is>
          <t>01a1212c-4c04-75ce-bbb2-e3322e18816e</t>
        </is>
      </c>
      <c r="M1620" t="inlineStr">
        <is>
          <t>UNKNOWN</t>
        </is>
      </c>
      <c r="N1620" t="inlineStr">
        <is>
          <t>DEFAULT</t>
        </is>
      </c>
      <c r="Q1620" t="n">
        <v>0</v>
      </c>
      <c r="R1620" t="inlineStr">
        <is>
          <t>AUD</t>
        </is>
      </c>
      <c r="S1620" t="n">
        <v>0</v>
      </c>
      <c r="T1620" t="inlineStr">
        <is>
          <t>AUD</t>
        </is>
      </c>
      <c r="U1620" t="n">
        <v>0</v>
      </c>
    </row>
    <row r="1621">
      <c r="A1621" s="5" t="inlineStr">
        <is>
          <t>01a1212c-5fbb-768c-b07a-8f75d493ddc2</t>
        </is>
      </c>
      <c r="C1621" s="5" t="inlineStr">
        <is>
          <t>01a1212c-4b57-70cf-80fd-c2192cb3bf81</t>
        </is>
      </c>
      <c r="D1621" s="4" t="n">
        <v>46304.62405847268</v>
      </c>
      <c r="E1621" s="4" t="n">
        <v>46304.62405847276</v>
      </c>
      <c r="F1621" t="b">
        <v>1</v>
      </c>
      <c r="G1621" t="n">
        <v/>
      </c>
      <c r="H1621" t="inlineStr">
        <is>
          <t>RXH</t>
        </is>
      </c>
      <c r="I1621" t="inlineStr">
        <is>
          <t>Rewardle Holdings Ltd</t>
        </is>
      </c>
      <c r="J1621" t="inlineStr">
        <is>
          <t>AUD</t>
        </is>
      </c>
      <c r="K1621" s="5" t="inlineStr">
        <is>
          <t>01a1212c-4c04-75ce-bbb2-e3322e18816e</t>
        </is>
      </c>
      <c r="M1621" t="inlineStr">
        <is>
          <t>UNKNOWN</t>
        </is>
      </c>
      <c r="N1621" t="inlineStr">
        <is>
          <t>DEFAULT</t>
        </is>
      </c>
      <c r="Q1621" t="n">
        <v>0</v>
      </c>
      <c r="R1621" t="inlineStr">
        <is>
          <t>AUD</t>
        </is>
      </c>
      <c r="S1621" t="n">
        <v>0</v>
      </c>
      <c r="T1621" t="inlineStr">
        <is>
          <t>AUD</t>
        </is>
      </c>
      <c r="U1621" t="n">
        <v>0</v>
      </c>
    </row>
    <row r="1622">
      <c r="A1622" s="5" t="inlineStr">
        <is>
          <t>01a1212c-5fbe-73d3-ac03-37d986d3e001</t>
        </is>
      </c>
      <c r="C1622" s="5" t="inlineStr">
        <is>
          <t>01a1212c-4b57-70cf-80fd-c2192cb3bf81</t>
        </is>
      </c>
      <c r="D1622" s="4" t="n">
        <v>46304.62405850571</v>
      </c>
      <c r="E1622" s="4" t="n">
        <v>46304.62405850577</v>
      </c>
      <c r="F1622" t="b">
        <v>1</v>
      </c>
      <c r="G1622" t="n">
        <v/>
      </c>
      <c r="H1622" t="inlineStr">
        <is>
          <t>CCO</t>
        </is>
      </c>
      <c r="I1622" t="inlineStr">
        <is>
          <t>The Calmer Co International Ltd</t>
        </is>
      </c>
      <c r="J1622" t="inlineStr">
        <is>
          <t>AUD</t>
        </is>
      </c>
      <c r="K1622" s="5" t="inlineStr">
        <is>
          <t>01a1212c-4c04-75ce-bbb2-e3322e18816e</t>
        </is>
      </c>
      <c r="M1622" t="inlineStr">
        <is>
          <t>UNKNOWN</t>
        </is>
      </c>
      <c r="N1622" t="inlineStr">
        <is>
          <t>DEFAULT</t>
        </is>
      </c>
      <c r="Q1622" t="n">
        <v>0</v>
      </c>
      <c r="R1622" t="inlineStr">
        <is>
          <t>AUD</t>
        </is>
      </c>
      <c r="S1622" t="n">
        <v>0</v>
      </c>
      <c r="T1622" t="inlineStr">
        <is>
          <t>AUD</t>
        </is>
      </c>
      <c r="U1622" t="n">
        <v>0</v>
      </c>
    </row>
    <row r="1623">
      <c r="A1623" s="5" t="inlineStr">
        <is>
          <t>01a1212c-5fc1-753a-9561-b1eaa9633a7d</t>
        </is>
      </c>
      <c r="C1623" s="5" t="inlineStr">
        <is>
          <t>01a1212c-4b57-70cf-80fd-c2192cb3bf81</t>
        </is>
      </c>
      <c r="D1623" s="4" t="n">
        <v>46304.62405853697</v>
      </c>
      <c r="E1623" s="4" t="n">
        <v>46304.62405853705</v>
      </c>
      <c r="F1623" t="b">
        <v>1</v>
      </c>
      <c r="G1623" t="n">
        <v/>
      </c>
      <c r="H1623" t="inlineStr">
        <is>
          <t>LDR</t>
        </is>
      </c>
      <c r="I1623" t="inlineStr">
        <is>
          <t>Lode Resources Ltd</t>
        </is>
      </c>
      <c r="J1623" t="inlineStr">
        <is>
          <t>AUD</t>
        </is>
      </c>
      <c r="K1623" s="5" t="inlineStr">
        <is>
          <t>01a1212c-4c04-75ce-bbb2-e3322e18816e</t>
        </is>
      </c>
      <c r="M1623" t="inlineStr">
        <is>
          <t>UNKNOWN</t>
        </is>
      </c>
      <c r="N1623" t="inlineStr">
        <is>
          <t>DEFAULT</t>
        </is>
      </c>
      <c r="Q1623" t="n">
        <v>0</v>
      </c>
      <c r="R1623" t="inlineStr">
        <is>
          <t>AUD</t>
        </is>
      </c>
      <c r="S1623" t="n">
        <v>0</v>
      </c>
      <c r="T1623" t="inlineStr">
        <is>
          <t>AUD</t>
        </is>
      </c>
      <c r="U1623" t="n">
        <v>0</v>
      </c>
    </row>
    <row r="1624">
      <c r="A1624" s="5" t="inlineStr">
        <is>
          <t>01a1212c-5fc4-72fa-a5d0-1443c648902a</t>
        </is>
      </c>
      <c r="C1624" s="5" t="inlineStr">
        <is>
          <t>01a1212c-4b57-70cf-80fd-c2192cb3bf81</t>
        </is>
      </c>
      <c r="D1624" s="4" t="n">
        <v>46304.62405856841</v>
      </c>
      <c r="E1624" s="4" t="n">
        <v>46304.62405856849</v>
      </c>
      <c r="F1624" t="b">
        <v>1</v>
      </c>
      <c r="G1624" t="n">
        <v/>
      </c>
      <c r="H1624" t="inlineStr">
        <is>
          <t>RNT</t>
        </is>
      </c>
      <c r="I1624" t="inlineStr">
        <is>
          <t>Rent.com.Au Ltd</t>
        </is>
      </c>
      <c r="J1624" t="inlineStr">
        <is>
          <t>AUD</t>
        </is>
      </c>
      <c r="K1624" s="5" t="inlineStr">
        <is>
          <t>01a1212c-4c04-75ce-bbb2-e3322e18816e</t>
        </is>
      </c>
      <c r="M1624" t="inlineStr">
        <is>
          <t>UNKNOWN</t>
        </is>
      </c>
      <c r="N1624" t="inlineStr">
        <is>
          <t>DEFAULT</t>
        </is>
      </c>
      <c r="Q1624" t="n">
        <v>0</v>
      </c>
      <c r="R1624" t="inlineStr">
        <is>
          <t>AUD</t>
        </is>
      </c>
      <c r="S1624" t="n">
        <v>0</v>
      </c>
      <c r="T1624" t="inlineStr">
        <is>
          <t>AUD</t>
        </is>
      </c>
      <c r="U1624" t="n">
        <v>0</v>
      </c>
    </row>
    <row r="1625">
      <c r="A1625" s="5" t="inlineStr">
        <is>
          <t>01a1212c-5fc6-74e4-a31c-1aa51d173768</t>
        </is>
      </c>
      <c r="C1625" s="5" t="inlineStr">
        <is>
          <t>01a1212c-4b57-70cf-80fd-c2192cb3bf81</t>
        </is>
      </c>
      <c r="D1625" s="4" t="n">
        <v>46304.62405860035</v>
      </c>
      <c r="E1625" s="4" t="n">
        <v>46304.62405860044</v>
      </c>
      <c r="F1625" t="b">
        <v>1</v>
      </c>
      <c r="G1625" t="n">
        <v/>
      </c>
      <c r="H1625" t="inlineStr">
        <is>
          <t>RLT</t>
        </is>
      </c>
      <c r="I1625" t="inlineStr">
        <is>
          <t>Renergen Ltd</t>
        </is>
      </c>
      <c r="J1625" t="inlineStr">
        <is>
          <t>AUD</t>
        </is>
      </c>
      <c r="K1625" s="5" t="inlineStr">
        <is>
          <t>01a1212c-4c04-75ce-bbb2-e3322e18816e</t>
        </is>
      </c>
      <c r="M1625" t="inlineStr">
        <is>
          <t>UNKNOWN</t>
        </is>
      </c>
      <c r="N1625" t="inlineStr">
        <is>
          <t>DEFAULT</t>
        </is>
      </c>
      <c r="Q1625" t="n">
        <v>0</v>
      </c>
      <c r="R1625" t="inlineStr">
        <is>
          <t>AUD</t>
        </is>
      </c>
      <c r="S1625" t="n">
        <v>0</v>
      </c>
      <c r="T1625" t="inlineStr">
        <is>
          <t>AUD</t>
        </is>
      </c>
      <c r="U1625" t="n">
        <v>0</v>
      </c>
    </row>
    <row r="1626">
      <c r="A1626" s="5" t="inlineStr">
        <is>
          <t>01a1212c-5fc9-7607-a7d0-2db3b2f3162d</t>
        </is>
      </c>
      <c r="C1626" s="5" t="inlineStr">
        <is>
          <t>01a1212c-4b57-70cf-80fd-c2192cb3bf81</t>
        </is>
      </c>
      <c r="D1626" s="4" t="n">
        <v>46304.62405863516</v>
      </c>
      <c r="E1626" s="4" t="n">
        <v>46304.62405863524</v>
      </c>
      <c r="F1626" t="b">
        <v>1</v>
      </c>
      <c r="G1626" t="n">
        <v/>
      </c>
      <c r="H1626" t="inlineStr">
        <is>
          <t>BTE</t>
        </is>
      </c>
      <c r="I1626" t="inlineStr">
        <is>
          <t>Botala Energy Ltd</t>
        </is>
      </c>
      <c r="J1626" t="inlineStr">
        <is>
          <t>AUD</t>
        </is>
      </c>
      <c r="K1626" s="5" t="inlineStr">
        <is>
          <t>01a1212c-4c04-75ce-bbb2-e3322e18816e</t>
        </is>
      </c>
      <c r="M1626" t="inlineStr">
        <is>
          <t>UNKNOWN</t>
        </is>
      </c>
      <c r="N1626" t="inlineStr">
        <is>
          <t>DEFAULT</t>
        </is>
      </c>
      <c r="Q1626" t="n">
        <v>0</v>
      </c>
      <c r="R1626" t="inlineStr">
        <is>
          <t>AUD</t>
        </is>
      </c>
      <c r="S1626" t="n">
        <v>0</v>
      </c>
      <c r="T1626" t="inlineStr">
        <is>
          <t>AUD</t>
        </is>
      </c>
      <c r="U1626" t="n">
        <v>0</v>
      </c>
    </row>
    <row r="1627">
      <c r="A1627" s="5" t="inlineStr">
        <is>
          <t>01a1212c-5fcc-75a3-9ce0-692d544be0d5</t>
        </is>
      </c>
      <c r="C1627" s="5" t="inlineStr">
        <is>
          <t>01a1212c-4b57-70cf-80fd-c2192cb3bf81</t>
        </is>
      </c>
      <c r="D1627" s="4" t="n">
        <v>46304.62405866716</v>
      </c>
      <c r="E1627" s="4" t="n">
        <v>46304.62405866724</v>
      </c>
      <c r="F1627" t="b">
        <v>1</v>
      </c>
      <c r="G1627" t="n">
        <v/>
      </c>
      <c r="H1627" t="inlineStr">
        <is>
          <t>GRV</t>
        </is>
      </c>
      <c r="I1627" t="inlineStr">
        <is>
          <t>Greenvale Energy Ltd</t>
        </is>
      </c>
      <c r="J1627" t="inlineStr">
        <is>
          <t>AUD</t>
        </is>
      </c>
      <c r="K1627" s="5" t="inlineStr">
        <is>
          <t>01a1212c-4c04-75ce-bbb2-e3322e18816e</t>
        </is>
      </c>
      <c r="M1627" t="inlineStr">
        <is>
          <t>UNKNOWN</t>
        </is>
      </c>
      <c r="N1627" t="inlineStr">
        <is>
          <t>DEFAULT</t>
        </is>
      </c>
      <c r="Q1627" t="n">
        <v>0</v>
      </c>
      <c r="R1627" t="inlineStr">
        <is>
          <t>AUD</t>
        </is>
      </c>
      <c r="S1627" t="n">
        <v>0</v>
      </c>
      <c r="T1627" t="inlineStr">
        <is>
          <t>AUD</t>
        </is>
      </c>
      <c r="U1627" t="n">
        <v>0</v>
      </c>
    </row>
    <row r="1628">
      <c r="A1628" s="5" t="inlineStr">
        <is>
          <t>01a1212c-5fcf-772d-b463-baee50bc2d85</t>
        </is>
      </c>
      <c r="C1628" s="5" t="inlineStr">
        <is>
          <t>01a1212c-4b57-70cf-80fd-c2192cb3bf81</t>
        </is>
      </c>
      <c r="D1628" s="4" t="n">
        <v>46304.62405870121</v>
      </c>
      <c r="E1628" s="4" t="n">
        <v>46304.62405870132</v>
      </c>
      <c r="F1628" t="b">
        <v>1</v>
      </c>
      <c r="G1628" t="n">
        <v/>
      </c>
      <c r="H1628" t="inlineStr">
        <is>
          <t>EPX</t>
        </is>
      </c>
      <c r="I1628" t="inlineStr">
        <is>
          <t>Ep&amp;T Global Ltd</t>
        </is>
      </c>
      <c r="J1628" t="inlineStr">
        <is>
          <t>AUD</t>
        </is>
      </c>
      <c r="K1628" s="5" t="inlineStr">
        <is>
          <t>01a1212c-4c04-75ce-bbb2-e3322e18816e</t>
        </is>
      </c>
      <c r="M1628" t="inlineStr">
        <is>
          <t>UNKNOWN</t>
        </is>
      </c>
      <c r="N1628" t="inlineStr">
        <is>
          <t>DEFAULT</t>
        </is>
      </c>
      <c r="Q1628" t="n">
        <v>0</v>
      </c>
      <c r="R1628" t="inlineStr">
        <is>
          <t>AUD</t>
        </is>
      </c>
      <c r="S1628" t="n">
        <v>0</v>
      </c>
      <c r="T1628" t="inlineStr">
        <is>
          <t>AUD</t>
        </is>
      </c>
      <c r="U1628" t="n">
        <v>0</v>
      </c>
    </row>
    <row r="1629">
      <c r="A1629" s="5" t="inlineStr">
        <is>
          <t>01a1212c-5fd2-7243-8aef-b550443be3a8</t>
        </is>
      </c>
      <c r="C1629" s="5" t="inlineStr">
        <is>
          <t>01a1212c-4b57-70cf-80fd-c2192cb3bf81</t>
        </is>
      </c>
      <c r="D1629" s="4" t="n">
        <v>46304.62405873421</v>
      </c>
      <c r="E1629" s="4" t="n">
        <v>46304.62405873431</v>
      </c>
      <c r="F1629" t="b">
        <v>1</v>
      </c>
      <c r="G1629" t="n">
        <v/>
      </c>
      <c r="H1629" t="inlineStr">
        <is>
          <t>JLL</t>
        </is>
      </c>
      <c r="I1629" t="inlineStr">
        <is>
          <t>Jindalee Lithium Ltd</t>
        </is>
      </c>
      <c r="J1629" t="inlineStr">
        <is>
          <t>AUD</t>
        </is>
      </c>
      <c r="K1629" s="5" t="inlineStr">
        <is>
          <t>01a1212c-4c04-75ce-bbb2-e3322e18816e</t>
        </is>
      </c>
      <c r="M1629" t="inlineStr">
        <is>
          <t>UNKNOWN</t>
        </is>
      </c>
      <c r="N1629" t="inlineStr">
        <is>
          <t>DEFAULT</t>
        </is>
      </c>
      <c r="Q1629" t="n">
        <v>0</v>
      </c>
      <c r="R1629" t="inlineStr">
        <is>
          <t>AUD</t>
        </is>
      </c>
      <c r="S1629" t="n">
        <v>0</v>
      </c>
      <c r="T1629" t="inlineStr">
        <is>
          <t>AUD</t>
        </is>
      </c>
      <c r="U1629" t="n">
        <v>0</v>
      </c>
    </row>
    <row r="1630">
      <c r="A1630" s="5" t="inlineStr">
        <is>
          <t>01a1212c-5fd5-74e8-8cf6-ca21989846cc</t>
        </is>
      </c>
      <c r="C1630" s="5" t="inlineStr">
        <is>
          <t>01a1212c-4b57-70cf-80fd-c2192cb3bf81</t>
        </is>
      </c>
      <c r="D1630" s="4" t="n">
        <v>46304.6240587669</v>
      </c>
      <c r="E1630" s="4" t="n">
        <v>46304.62405876699</v>
      </c>
      <c r="F1630" t="b">
        <v>1</v>
      </c>
      <c r="G1630" t="n">
        <v/>
      </c>
      <c r="H1630" t="inlineStr">
        <is>
          <t>MHI</t>
        </is>
      </c>
      <c r="I1630" t="inlineStr">
        <is>
          <t>Merchant House International Ltd</t>
        </is>
      </c>
      <c r="J1630" t="inlineStr">
        <is>
          <t>AUD</t>
        </is>
      </c>
      <c r="K1630" s="5" t="inlineStr">
        <is>
          <t>01a1212c-4c04-75ce-bbb2-e3322e18816e</t>
        </is>
      </c>
      <c r="M1630" t="inlineStr">
        <is>
          <t>UNKNOWN</t>
        </is>
      </c>
      <c r="N1630" t="inlineStr">
        <is>
          <t>DEFAULT</t>
        </is>
      </c>
      <c r="Q1630" t="n">
        <v>0</v>
      </c>
      <c r="R1630" t="inlineStr">
        <is>
          <t>AUD</t>
        </is>
      </c>
      <c r="S1630" t="n">
        <v>0</v>
      </c>
      <c r="T1630" t="inlineStr">
        <is>
          <t>AUD</t>
        </is>
      </c>
      <c r="U1630" t="n">
        <v>0</v>
      </c>
    </row>
    <row r="1631">
      <c r="A1631" s="5" t="inlineStr">
        <is>
          <t>01a1212c-5fd8-7317-9c10-004aa3c430e5</t>
        </is>
      </c>
      <c r="C1631" s="5" t="inlineStr">
        <is>
          <t>01a1212c-4b57-70cf-80fd-c2192cb3bf81</t>
        </is>
      </c>
      <c r="D1631" s="4" t="n">
        <v>46304.62405880163</v>
      </c>
      <c r="E1631" s="4" t="n">
        <v>46304.62405880171</v>
      </c>
      <c r="F1631" t="b">
        <v>1</v>
      </c>
      <c r="G1631" t="n">
        <v/>
      </c>
      <c r="H1631" t="inlineStr">
        <is>
          <t>MDC</t>
        </is>
      </c>
      <c r="I1631" t="inlineStr">
        <is>
          <t>Medlab Clinical Ltd</t>
        </is>
      </c>
      <c r="J1631" t="inlineStr">
        <is>
          <t>AUD</t>
        </is>
      </c>
      <c r="K1631" s="5" t="inlineStr">
        <is>
          <t>01a1212c-4c04-75ce-bbb2-e3322e18816e</t>
        </is>
      </c>
      <c r="M1631" t="inlineStr">
        <is>
          <t>UNKNOWN</t>
        </is>
      </c>
      <c r="N1631" t="inlineStr">
        <is>
          <t>DEFAULT</t>
        </is>
      </c>
      <c r="Q1631" t="n">
        <v>0</v>
      </c>
      <c r="R1631" t="inlineStr">
        <is>
          <t>AUD</t>
        </is>
      </c>
      <c r="S1631" t="n">
        <v>0</v>
      </c>
      <c r="T1631" t="inlineStr">
        <is>
          <t>AUD</t>
        </is>
      </c>
      <c r="U1631" t="n">
        <v>0</v>
      </c>
    </row>
    <row r="1632">
      <c r="A1632" s="5" t="inlineStr">
        <is>
          <t>01a1212c-5fdb-72d3-9b5d-a2d3890b9228</t>
        </is>
      </c>
      <c r="C1632" s="5" t="inlineStr">
        <is>
          <t>01a1212c-4b57-70cf-80fd-c2192cb3bf81</t>
        </is>
      </c>
      <c r="D1632" s="4" t="n">
        <v>46304.62405883284</v>
      </c>
      <c r="E1632" s="4" t="n">
        <v>46304.62405883293</v>
      </c>
      <c r="F1632" t="b">
        <v>1</v>
      </c>
      <c r="G1632" t="n">
        <v/>
      </c>
      <c r="H1632" t="inlineStr">
        <is>
          <t>AUK</t>
        </is>
      </c>
      <c r="I1632" t="inlineStr">
        <is>
          <t>Aumake Ltd</t>
        </is>
      </c>
      <c r="J1632" t="inlineStr">
        <is>
          <t>AUD</t>
        </is>
      </c>
      <c r="K1632" s="5" t="inlineStr">
        <is>
          <t>01a1212c-4c04-75ce-bbb2-e3322e18816e</t>
        </is>
      </c>
      <c r="M1632" t="inlineStr">
        <is>
          <t>UNKNOWN</t>
        </is>
      </c>
      <c r="N1632" t="inlineStr">
        <is>
          <t>DEFAULT</t>
        </is>
      </c>
      <c r="Q1632" t="n">
        <v>0</v>
      </c>
      <c r="R1632" t="inlineStr">
        <is>
          <t>AUD</t>
        </is>
      </c>
      <c r="S1632" t="n">
        <v>0</v>
      </c>
      <c r="T1632" t="inlineStr">
        <is>
          <t>AUD</t>
        </is>
      </c>
      <c r="U1632" t="n">
        <v>0</v>
      </c>
    </row>
    <row r="1633">
      <c r="A1633" s="5" t="inlineStr">
        <is>
          <t>01a1212c-5fdd-73f0-8e45-915f609839d8</t>
        </is>
      </c>
      <c r="C1633" s="5" t="inlineStr">
        <is>
          <t>01a1212c-4b57-70cf-80fd-c2192cb3bf81</t>
        </is>
      </c>
      <c r="D1633" s="4" t="n">
        <v>46304.62405886396</v>
      </c>
      <c r="E1633" s="4" t="n">
        <v>46304.62405886404</v>
      </c>
      <c r="F1633" t="b">
        <v>1</v>
      </c>
      <c r="G1633" t="n">
        <v/>
      </c>
      <c r="H1633" t="inlineStr">
        <is>
          <t>AMO</t>
        </is>
      </c>
      <c r="I1633" t="inlineStr">
        <is>
          <t>Ambertech Ltd</t>
        </is>
      </c>
      <c r="J1633" t="inlineStr">
        <is>
          <t>AUD</t>
        </is>
      </c>
      <c r="K1633" s="5" t="inlineStr">
        <is>
          <t>01a1212c-4c04-75ce-bbb2-e3322e18816e</t>
        </is>
      </c>
      <c r="M1633" t="inlineStr">
        <is>
          <t>UNKNOWN</t>
        </is>
      </c>
      <c r="N1633" t="inlineStr">
        <is>
          <t>DEFAULT</t>
        </is>
      </c>
      <c r="Q1633" t="n">
        <v>0</v>
      </c>
      <c r="R1633" t="inlineStr">
        <is>
          <t>AUD</t>
        </is>
      </c>
      <c r="S1633" t="n">
        <v>0</v>
      </c>
      <c r="T1633" t="inlineStr">
        <is>
          <t>AUD</t>
        </is>
      </c>
      <c r="U1633" t="n">
        <v>0</v>
      </c>
    </row>
    <row r="1634">
      <c r="A1634" s="5" t="inlineStr">
        <is>
          <t>01a1212c-5fe0-75a6-842a-40573382e2b8</t>
        </is>
      </c>
      <c r="C1634" s="5" t="inlineStr">
        <is>
          <t>01a1212c-4b57-70cf-80fd-c2192cb3bf81</t>
        </is>
      </c>
      <c r="D1634" s="4" t="n">
        <v>46304.62405889567</v>
      </c>
      <c r="E1634" s="4" t="n">
        <v>46304.62405889575</v>
      </c>
      <c r="F1634" t="b">
        <v>1</v>
      </c>
      <c r="G1634" t="n">
        <v/>
      </c>
      <c r="H1634" t="inlineStr">
        <is>
          <t>CXM</t>
        </is>
      </c>
      <c r="I1634" t="inlineStr">
        <is>
          <t>Centrex Ltd</t>
        </is>
      </c>
      <c r="J1634" t="inlineStr">
        <is>
          <t>AUD</t>
        </is>
      </c>
      <c r="K1634" s="5" t="inlineStr">
        <is>
          <t>01a1212c-4c04-75ce-bbb2-e3322e18816e</t>
        </is>
      </c>
      <c r="M1634" t="inlineStr">
        <is>
          <t>UNKNOWN</t>
        </is>
      </c>
      <c r="N1634" t="inlineStr">
        <is>
          <t>DEFAULT</t>
        </is>
      </c>
      <c r="Q1634" t="n">
        <v>0</v>
      </c>
      <c r="R1634" t="inlineStr">
        <is>
          <t>AUD</t>
        </is>
      </c>
      <c r="S1634" t="n">
        <v>0</v>
      </c>
      <c r="T1634" t="inlineStr">
        <is>
          <t>AUD</t>
        </is>
      </c>
      <c r="U1634" t="n">
        <v>0</v>
      </c>
    </row>
    <row r="1635">
      <c r="A1635" s="5" t="inlineStr">
        <is>
          <t>01a1212c-5fe3-7519-a0c8-80f4a5925667</t>
        </is>
      </c>
      <c r="C1635" s="5" t="inlineStr">
        <is>
          <t>01a1212c-4b57-70cf-80fd-c2192cb3bf81</t>
        </is>
      </c>
      <c r="D1635" s="4" t="n">
        <v>46304.62405892882</v>
      </c>
      <c r="E1635" s="4" t="n">
        <v>46304.6240589289</v>
      </c>
      <c r="F1635" t="b">
        <v>1</v>
      </c>
      <c r="G1635" t="n">
        <v/>
      </c>
      <c r="H1635" t="inlineStr">
        <is>
          <t>HAW</t>
        </is>
      </c>
      <c r="I1635" t="inlineStr">
        <is>
          <t>Hawthorn Resources Ltd</t>
        </is>
      </c>
      <c r="J1635" t="inlineStr">
        <is>
          <t>AUD</t>
        </is>
      </c>
      <c r="K1635" s="5" t="inlineStr">
        <is>
          <t>01a1212c-4c04-75ce-bbb2-e3322e18816e</t>
        </is>
      </c>
      <c r="M1635" t="inlineStr">
        <is>
          <t>UNKNOWN</t>
        </is>
      </c>
      <c r="N1635" t="inlineStr">
        <is>
          <t>DEFAULT</t>
        </is>
      </c>
      <c r="Q1635" t="n">
        <v>0</v>
      </c>
      <c r="R1635" t="inlineStr">
        <is>
          <t>AUD</t>
        </is>
      </c>
      <c r="S1635" t="n">
        <v>0</v>
      </c>
      <c r="T1635" t="inlineStr">
        <is>
          <t>AUD</t>
        </is>
      </c>
      <c r="U1635" t="n">
        <v>0</v>
      </c>
    </row>
    <row r="1636">
      <c r="A1636" s="5" t="inlineStr">
        <is>
          <t>01a1212c-5fe5-710b-aa39-cf23c11a8738</t>
        </is>
      </c>
      <c r="C1636" s="5" t="inlineStr">
        <is>
          <t>01a1212c-4b57-70cf-80fd-c2192cb3bf81</t>
        </is>
      </c>
      <c r="D1636" s="4" t="n">
        <v>46304.6240589595</v>
      </c>
      <c r="E1636" s="4" t="n">
        <v>46304.62405895958</v>
      </c>
      <c r="F1636" t="b">
        <v>1</v>
      </c>
      <c r="G1636" t="n">
        <v/>
      </c>
      <c r="H1636" t="inlineStr">
        <is>
          <t>ELT</t>
        </is>
      </c>
      <c r="I1636" t="inlineStr">
        <is>
          <t>Elementos Ltd</t>
        </is>
      </c>
      <c r="J1636" t="inlineStr">
        <is>
          <t>AUD</t>
        </is>
      </c>
      <c r="K1636" s="5" t="inlineStr">
        <is>
          <t>01a1212c-4c04-75ce-bbb2-e3322e18816e</t>
        </is>
      </c>
      <c r="M1636" t="inlineStr">
        <is>
          <t>UNKNOWN</t>
        </is>
      </c>
      <c r="N1636" t="inlineStr">
        <is>
          <t>DEFAULT</t>
        </is>
      </c>
      <c r="Q1636" t="n">
        <v>0</v>
      </c>
      <c r="R1636" t="inlineStr">
        <is>
          <t>AUD</t>
        </is>
      </c>
      <c r="S1636" t="n">
        <v>0</v>
      </c>
      <c r="T1636" t="inlineStr">
        <is>
          <t>AUD</t>
        </is>
      </c>
      <c r="U1636" t="n">
        <v>0</v>
      </c>
    </row>
    <row r="1637">
      <c r="A1637" s="5" t="inlineStr">
        <is>
          <t>01a1212c-5fe8-744f-8ae4-5218cd61c209</t>
        </is>
      </c>
      <c r="C1637" s="5" t="inlineStr">
        <is>
          <t>01a1212c-4b57-70cf-80fd-c2192cb3bf81</t>
        </is>
      </c>
      <c r="D1637" s="4" t="n">
        <v>46304.62405899017</v>
      </c>
      <c r="E1637" s="4" t="n">
        <v>46304.62405899024</v>
      </c>
      <c r="F1637" t="b">
        <v>1</v>
      </c>
      <c r="G1637" t="n">
        <v/>
      </c>
      <c r="H1637" t="inlineStr">
        <is>
          <t>TZL</t>
        </is>
      </c>
      <c r="I1637" t="inlineStr">
        <is>
          <t>TZ Ltd</t>
        </is>
      </c>
      <c r="J1637" t="inlineStr">
        <is>
          <t>AUD</t>
        </is>
      </c>
      <c r="K1637" s="5" t="inlineStr">
        <is>
          <t>01a1212c-4c04-75ce-bbb2-e3322e18816e</t>
        </is>
      </c>
      <c r="M1637" t="inlineStr">
        <is>
          <t>UNKNOWN</t>
        </is>
      </c>
      <c r="N1637" t="inlineStr">
        <is>
          <t>DEFAULT</t>
        </is>
      </c>
      <c r="Q1637" t="n">
        <v>0</v>
      </c>
      <c r="R1637" t="inlineStr">
        <is>
          <t>AUD</t>
        </is>
      </c>
      <c r="S1637" t="n">
        <v>0</v>
      </c>
      <c r="T1637" t="inlineStr">
        <is>
          <t>AUD</t>
        </is>
      </c>
      <c r="U1637" t="n">
        <v>0</v>
      </c>
    </row>
    <row r="1638">
      <c r="A1638" s="5" t="inlineStr">
        <is>
          <t>01a1212c-5feb-7056-b24b-a5b6f25e722c</t>
        </is>
      </c>
      <c r="C1638" s="5" t="inlineStr">
        <is>
          <t>01a1212c-4b57-70cf-80fd-c2192cb3bf81</t>
        </is>
      </c>
      <c r="D1638" s="4" t="n">
        <v>46304.62405902105</v>
      </c>
      <c r="E1638" s="4" t="n">
        <v>46304.62405902113</v>
      </c>
      <c r="F1638" t="b">
        <v>1</v>
      </c>
      <c r="G1638" t="n">
        <v/>
      </c>
      <c r="H1638" t="inlineStr">
        <is>
          <t>TOR</t>
        </is>
      </c>
      <c r="I1638" t="inlineStr">
        <is>
          <t>Torque Metals Ltd</t>
        </is>
      </c>
      <c r="J1638" t="inlineStr">
        <is>
          <t>AUD</t>
        </is>
      </c>
      <c r="K1638" s="5" t="inlineStr">
        <is>
          <t>01a1212c-4c04-75ce-bbb2-e3322e18816e</t>
        </is>
      </c>
      <c r="M1638" t="inlineStr">
        <is>
          <t>UNKNOWN</t>
        </is>
      </c>
      <c r="N1638" t="inlineStr">
        <is>
          <t>DEFAULT</t>
        </is>
      </c>
      <c r="Q1638" t="n">
        <v>0</v>
      </c>
      <c r="R1638" t="inlineStr">
        <is>
          <t>AUD</t>
        </is>
      </c>
      <c r="S1638" t="n">
        <v>0</v>
      </c>
      <c r="T1638" t="inlineStr">
        <is>
          <t>AUD</t>
        </is>
      </c>
      <c r="U1638" t="n">
        <v>0</v>
      </c>
    </row>
    <row r="1639">
      <c r="A1639" s="5" t="inlineStr">
        <is>
          <t>01a1212c-5fed-75aa-80e2-26dfc14e65cc</t>
        </is>
      </c>
      <c r="C1639" s="5" t="inlineStr">
        <is>
          <t>01a1212c-4b57-70cf-80fd-c2192cb3bf81</t>
        </is>
      </c>
      <c r="D1639" s="4" t="n">
        <v>46304.62405905208</v>
      </c>
      <c r="E1639" s="4" t="n">
        <v>46304.62405905216</v>
      </c>
      <c r="F1639" t="b">
        <v>1</v>
      </c>
      <c r="G1639" t="n">
        <v/>
      </c>
      <c r="H1639" t="inlineStr">
        <is>
          <t>AKO</t>
        </is>
      </c>
      <c r="I1639" t="inlineStr">
        <is>
          <t>Akora Resources Ltd</t>
        </is>
      </c>
      <c r="J1639" t="inlineStr">
        <is>
          <t>AUD</t>
        </is>
      </c>
      <c r="K1639" s="5" t="inlineStr">
        <is>
          <t>01a1212c-4c04-75ce-bbb2-e3322e18816e</t>
        </is>
      </c>
      <c r="M1639" t="inlineStr">
        <is>
          <t>UNKNOWN</t>
        </is>
      </c>
      <c r="N1639" t="inlineStr">
        <is>
          <t>DEFAULT</t>
        </is>
      </c>
      <c r="Q1639" t="n">
        <v>0</v>
      </c>
      <c r="R1639" t="inlineStr">
        <is>
          <t>AUD</t>
        </is>
      </c>
      <c r="S1639" t="n">
        <v>0</v>
      </c>
      <c r="T1639" t="inlineStr">
        <is>
          <t>AUD</t>
        </is>
      </c>
      <c r="U1639" t="n">
        <v>0</v>
      </c>
    </row>
    <row r="1640">
      <c r="A1640" s="5" t="inlineStr">
        <is>
          <t>01a1212c-5ff0-737e-a239-bdc452cee142</t>
        </is>
      </c>
      <c r="C1640" s="5" t="inlineStr">
        <is>
          <t>01a1212c-4b57-70cf-80fd-c2192cb3bf81</t>
        </is>
      </c>
      <c r="D1640" s="4" t="n">
        <v>46304.62405908649</v>
      </c>
      <c r="E1640" s="4" t="n">
        <v>46304.62405908657</v>
      </c>
      <c r="F1640" t="b">
        <v>1</v>
      </c>
      <c r="G1640" t="n">
        <v/>
      </c>
      <c r="H1640" t="inlineStr">
        <is>
          <t>ARMR</t>
        </is>
      </c>
      <c r="I1640" t="inlineStr">
        <is>
          <t>Betashares Global Defence ETF</t>
        </is>
      </c>
      <c r="J1640" t="inlineStr">
        <is>
          <t>AUD</t>
        </is>
      </c>
      <c r="K1640" s="5" t="inlineStr">
        <is>
          <t>01a1212c-4c04-75ce-bbb2-e3322e18816e</t>
        </is>
      </c>
      <c r="M1640" t="inlineStr">
        <is>
          <t>UNKNOWN</t>
        </is>
      </c>
      <c r="N1640" t="inlineStr">
        <is>
          <t>DEFAULT</t>
        </is>
      </c>
      <c r="Q1640" t="n">
        <v>0</v>
      </c>
      <c r="R1640" t="inlineStr">
        <is>
          <t>AUD</t>
        </is>
      </c>
      <c r="S1640" t="n">
        <v>0</v>
      </c>
      <c r="T1640" t="inlineStr">
        <is>
          <t>AUD</t>
        </is>
      </c>
      <c r="U1640" t="n">
        <v>0</v>
      </c>
    </row>
    <row r="1641">
      <c r="A1641" s="5" t="inlineStr">
        <is>
          <t>01a1212c-5ff3-711d-8b3e-87125dd6baf0</t>
        </is>
      </c>
      <c r="C1641" s="5" t="inlineStr">
        <is>
          <t>01a1212c-4b57-70cf-80fd-c2192cb3bf81</t>
        </is>
      </c>
      <c r="D1641" s="4" t="n">
        <v>46304.62405911738</v>
      </c>
      <c r="E1641" s="4" t="n">
        <v>46304.62405911746</v>
      </c>
      <c r="F1641" t="b">
        <v>1</v>
      </c>
      <c r="G1641" t="n">
        <v/>
      </c>
      <c r="H1641" t="inlineStr">
        <is>
          <t>CF1</t>
        </is>
      </c>
      <c r="I1641" t="inlineStr">
        <is>
          <t>Complii Fintech Solutions Ltd</t>
        </is>
      </c>
      <c r="J1641" t="inlineStr">
        <is>
          <t>AUD</t>
        </is>
      </c>
      <c r="K1641" s="5" t="inlineStr">
        <is>
          <t>01a1212c-4c04-75ce-bbb2-e3322e18816e</t>
        </is>
      </c>
      <c r="M1641" t="inlineStr">
        <is>
          <t>UNKNOWN</t>
        </is>
      </c>
      <c r="N1641" t="inlineStr">
        <is>
          <t>DEFAULT</t>
        </is>
      </c>
      <c r="Q1641" t="n">
        <v>0</v>
      </c>
      <c r="R1641" t="inlineStr">
        <is>
          <t>AUD</t>
        </is>
      </c>
      <c r="S1641" t="n">
        <v>0</v>
      </c>
      <c r="T1641" t="inlineStr">
        <is>
          <t>AUD</t>
        </is>
      </c>
      <c r="U1641" t="n">
        <v>0</v>
      </c>
    </row>
    <row r="1642">
      <c r="A1642" s="5" t="inlineStr">
        <is>
          <t>01a1212c-5ff6-7293-a719-5168f75288df</t>
        </is>
      </c>
      <c r="C1642" s="5" t="inlineStr">
        <is>
          <t>01a1212c-4b57-70cf-80fd-c2192cb3bf81</t>
        </is>
      </c>
      <c r="D1642" s="4" t="n">
        <v>46304.62405914808</v>
      </c>
      <c r="E1642" s="4" t="n">
        <v>46304.62405914816</v>
      </c>
      <c r="F1642" t="b">
        <v>1</v>
      </c>
      <c r="G1642" t="n">
        <v/>
      </c>
      <c r="H1642" t="inlineStr">
        <is>
          <t>TRU</t>
        </is>
      </c>
      <c r="I1642" t="inlineStr">
        <is>
          <t>Truscreen Group Ltd</t>
        </is>
      </c>
      <c r="J1642" t="inlineStr">
        <is>
          <t>AUD</t>
        </is>
      </c>
      <c r="K1642" s="5" t="inlineStr">
        <is>
          <t>01a1212c-4c04-75ce-bbb2-e3322e18816e</t>
        </is>
      </c>
      <c r="M1642" t="inlineStr">
        <is>
          <t>UNKNOWN</t>
        </is>
      </c>
      <c r="N1642" t="inlineStr">
        <is>
          <t>DEFAULT</t>
        </is>
      </c>
      <c r="Q1642" t="n">
        <v>0</v>
      </c>
      <c r="R1642" t="inlineStr">
        <is>
          <t>AUD</t>
        </is>
      </c>
      <c r="S1642" t="n">
        <v>0</v>
      </c>
      <c r="T1642" t="inlineStr">
        <is>
          <t>AUD</t>
        </is>
      </c>
      <c r="U1642" t="n">
        <v>0</v>
      </c>
    </row>
    <row r="1643">
      <c r="A1643" s="5" t="inlineStr">
        <is>
          <t>01a1212c-5ff8-718f-b8f6-ad48e8658f7e</t>
        </is>
      </c>
      <c r="C1643" s="5" t="inlineStr">
        <is>
          <t>01a1212c-4b57-70cf-80fd-c2192cb3bf81</t>
        </is>
      </c>
      <c r="D1643" s="4" t="n">
        <v>46304.62405917879</v>
      </c>
      <c r="E1643" s="4" t="n">
        <v>46304.62405917885</v>
      </c>
      <c r="F1643" t="b">
        <v>1</v>
      </c>
      <c r="G1643" t="n">
        <v/>
      </c>
      <c r="H1643" t="inlineStr">
        <is>
          <t>ADX</t>
        </is>
      </c>
      <c r="I1643" t="inlineStr">
        <is>
          <t>ADX Energy Ltd</t>
        </is>
      </c>
      <c r="J1643" t="inlineStr">
        <is>
          <t>AUD</t>
        </is>
      </c>
      <c r="K1643" s="5" t="inlineStr">
        <is>
          <t>01a1212c-4c04-75ce-bbb2-e3322e18816e</t>
        </is>
      </c>
      <c r="M1643" t="inlineStr">
        <is>
          <t>UNKNOWN</t>
        </is>
      </c>
      <c r="N1643" t="inlineStr">
        <is>
          <t>DEFAULT</t>
        </is>
      </c>
      <c r="Q1643" t="n">
        <v>0</v>
      </c>
      <c r="R1643" t="inlineStr">
        <is>
          <t>AUD</t>
        </is>
      </c>
      <c r="S1643" t="n">
        <v>0</v>
      </c>
      <c r="T1643" t="inlineStr">
        <is>
          <t>AUD</t>
        </is>
      </c>
      <c r="U1643" t="n">
        <v>0</v>
      </c>
    </row>
    <row r="1644">
      <c r="A1644" s="5" t="inlineStr">
        <is>
          <t>01a1212c-5ffb-7544-90af-c967aaafd542</t>
        </is>
      </c>
      <c r="C1644" s="5" t="inlineStr">
        <is>
          <t>01a1212c-4b57-70cf-80fd-c2192cb3bf81</t>
        </is>
      </c>
      <c r="D1644" s="4" t="n">
        <v>46304.6240592117</v>
      </c>
      <c r="E1644" s="4" t="n">
        <v>46304.62405921177</v>
      </c>
      <c r="F1644" t="b">
        <v>1</v>
      </c>
      <c r="G1644" t="n">
        <v/>
      </c>
      <c r="H1644" t="inlineStr">
        <is>
          <t>FUL</t>
        </is>
      </c>
      <c r="I1644" t="inlineStr">
        <is>
          <t>Fulcrum Lithium Ltd</t>
        </is>
      </c>
      <c r="J1644" t="inlineStr">
        <is>
          <t>AUD</t>
        </is>
      </c>
      <c r="K1644" s="5" t="inlineStr">
        <is>
          <t>01a1212c-4c04-75ce-bbb2-e3322e18816e</t>
        </is>
      </c>
      <c r="M1644" t="inlineStr">
        <is>
          <t>UNKNOWN</t>
        </is>
      </c>
      <c r="N1644" t="inlineStr">
        <is>
          <t>DEFAULT</t>
        </is>
      </c>
      <c r="Q1644" t="n">
        <v>0</v>
      </c>
      <c r="R1644" t="inlineStr">
        <is>
          <t>AUD</t>
        </is>
      </c>
      <c r="S1644" t="n">
        <v>0</v>
      </c>
      <c r="T1644" t="inlineStr">
        <is>
          <t>AUD</t>
        </is>
      </c>
      <c r="U1644" t="n">
        <v>0</v>
      </c>
    </row>
    <row r="1645">
      <c r="A1645" s="5" t="inlineStr">
        <is>
          <t>01a1212c-5ffe-7643-8152-ccbac3c100b6</t>
        </is>
      </c>
      <c r="C1645" s="5" t="inlineStr">
        <is>
          <t>01a1212c-4b57-70cf-80fd-c2192cb3bf81</t>
        </is>
      </c>
      <c r="D1645" s="4" t="n">
        <v>46304.6240592429</v>
      </c>
      <c r="E1645" s="4" t="n">
        <v>46304.62405924299</v>
      </c>
      <c r="F1645" t="b">
        <v>1</v>
      </c>
      <c r="G1645" t="n">
        <v/>
      </c>
      <c r="H1645" t="inlineStr">
        <is>
          <t>IVX</t>
        </is>
      </c>
      <c r="I1645" t="inlineStr">
        <is>
          <t>Invion Ltd</t>
        </is>
      </c>
      <c r="J1645" t="inlineStr">
        <is>
          <t>AUD</t>
        </is>
      </c>
      <c r="K1645" s="5" t="inlineStr">
        <is>
          <t>01a1212c-4c04-75ce-bbb2-e3322e18816e</t>
        </is>
      </c>
      <c r="M1645" t="inlineStr">
        <is>
          <t>UNKNOWN</t>
        </is>
      </c>
      <c r="N1645" t="inlineStr">
        <is>
          <t>DEFAULT</t>
        </is>
      </c>
      <c r="Q1645" t="n">
        <v>0</v>
      </c>
      <c r="R1645" t="inlineStr">
        <is>
          <t>AUD</t>
        </is>
      </c>
      <c r="S1645" t="n">
        <v>0</v>
      </c>
      <c r="T1645" t="inlineStr">
        <is>
          <t>AUD</t>
        </is>
      </c>
      <c r="U1645" t="n">
        <v>0</v>
      </c>
    </row>
    <row r="1646">
      <c r="A1646" s="5" t="inlineStr">
        <is>
          <t>01a1212c-6001-7269-9ddb-1bd1257e3021</t>
        </is>
      </c>
      <c r="C1646" s="5" t="inlineStr">
        <is>
          <t>01a1212c-4b57-70cf-80fd-c2192cb3bf81</t>
        </is>
      </c>
      <c r="D1646" s="4" t="n">
        <v>46304.62405927373</v>
      </c>
      <c r="E1646" s="4" t="n">
        <v>46304.62405927381</v>
      </c>
      <c r="F1646" t="b">
        <v>1</v>
      </c>
      <c r="G1646" t="n">
        <v/>
      </c>
      <c r="H1646" t="inlineStr">
        <is>
          <t>KNI</t>
        </is>
      </c>
      <c r="I1646" t="inlineStr">
        <is>
          <t>Kuniko Ltd</t>
        </is>
      </c>
      <c r="J1646" t="inlineStr">
        <is>
          <t>AUD</t>
        </is>
      </c>
      <c r="K1646" s="5" t="inlineStr">
        <is>
          <t>01a1212c-4c04-75ce-bbb2-e3322e18816e</t>
        </is>
      </c>
      <c r="M1646" t="inlineStr">
        <is>
          <t>UNKNOWN</t>
        </is>
      </c>
      <c r="N1646" t="inlineStr">
        <is>
          <t>DEFAULT</t>
        </is>
      </c>
      <c r="Q1646" t="n">
        <v>0</v>
      </c>
      <c r="R1646" t="inlineStr">
        <is>
          <t>AUD</t>
        </is>
      </c>
      <c r="S1646" t="n">
        <v>0</v>
      </c>
      <c r="T1646" t="inlineStr">
        <is>
          <t>AUD</t>
        </is>
      </c>
      <c r="U1646" t="n">
        <v>0</v>
      </c>
    </row>
    <row r="1647">
      <c r="A1647" s="5" t="inlineStr">
        <is>
          <t>01a1212c-6003-741e-9c30-eb64cc41f70c</t>
        </is>
      </c>
      <c r="C1647" s="5" t="inlineStr">
        <is>
          <t>01a1212c-4b57-70cf-80fd-c2192cb3bf81</t>
        </is>
      </c>
      <c r="D1647" s="4" t="n">
        <v>46304.62405930446</v>
      </c>
      <c r="E1647" s="4" t="n">
        <v>46304.62405930452</v>
      </c>
      <c r="F1647" t="b">
        <v>1</v>
      </c>
      <c r="G1647" t="n">
        <v/>
      </c>
      <c r="H1647" t="inlineStr">
        <is>
          <t>CCE</t>
        </is>
      </c>
      <c r="I1647" t="inlineStr">
        <is>
          <t>Carnegie Clean Energy Ltd</t>
        </is>
      </c>
      <c r="J1647" t="inlineStr">
        <is>
          <t>AUD</t>
        </is>
      </c>
      <c r="K1647" s="5" t="inlineStr">
        <is>
          <t>01a1212c-4c04-75ce-bbb2-e3322e18816e</t>
        </is>
      </c>
      <c r="M1647" t="inlineStr">
        <is>
          <t>UNKNOWN</t>
        </is>
      </c>
      <c r="N1647" t="inlineStr">
        <is>
          <t>DEFAULT</t>
        </is>
      </c>
      <c r="Q1647" t="n">
        <v>0</v>
      </c>
      <c r="R1647" t="inlineStr">
        <is>
          <t>AUD</t>
        </is>
      </c>
      <c r="S1647" t="n">
        <v>0</v>
      </c>
      <c r="T1647" t="inlineStr">
        <is>
          <t>AUD</t>
        </is>
      </c>
      <c r="U1647" t="n">
        <v>0</v>
      </c>
    </row>
    <row r="1648">
      <c r="A1648" s="5" t="inlineStr">
        <is>
          <t>01a1212c-6006-71d2-9b92-7ce64217f9e3</t>
        </is>
      </c>
      <c r="C1648" s="5" t="inlineStr">
        <is>
          <t>01a1212c-4b57-70cf-80fd-c2192cb3bf81</t>
        </is>
      </c>
      <c r="D1648" s="4" t="n">
        <v>46304.62405933498</v>
      </c>
      <c r="E1648" s="4" t="n">
        <v>46304.62405933506</v>
      </c>
      <c r="F1648" t="b">
        <v>1</v>
      </c>
      <c r="G1648" t="n">
        <v/>
      </c>
      <c r="H1648" t="inlineStr">
        <is>
          <t>EQN</t>
        </is>
      </c>
      <c r="I1648" t="inlineStr">
        <is>
          <t>Equinox Resources Ltd</t>
        </is>
      </c>
      <c r="J1648" t="inlineStr">
        <is>
          <t>AUD</t>
        </is>
      </c>
      <c r="K1648" s="5" t="inlineStr">
        <is>
          <t>01a1212c-4c04-75ce-bbb2-e3322e18816e</t>
        </is>
      </c>
      <c r="M1648" t="inlineStr">
        <is>
          <t>UNKNOWN</t>
        </is>
      </c>
      <c r="N1648" t="inlineStr">
        <is>
          <t>DEFAULT</t>
        </is>
      </c>
      <c r="Q1648" t="n">
        <v>0</v>
      </c>
      <c r="R1648" t="inlineStr">
        <is>
          <t>AUD</t>
        </is>
      </c>
      <c r="S1648" t="n">
        <v>0</v>
      </c>
      <c r="T1648" t="inlineStr">
        <is>
          <t>AUD</t>
        </is>
      </c>
      <c r="U1648" t="n">
        <v>0</v>
      </c>
    </row>
    <row r="1649">
      <c r="A1649" s="5" t="inlineStr">
        <is>
          <t>01a1212c-6009-7426-9068-edf330581473</t>
        </is>
      </c>
      <c r="C1649" s="5" t="inlineStr">
        <is>
          <t>01a1212c-4b57-70cf-80fd-c2192cb3bf81</t>
        </is>
      </c>
      <c r="D1649" s="4" t="n">
        <v>46304.62405936779</v>
      </c>
      <c r="E1649" s="4" t="n">
        <v>46304.62405936787</v>
      </c>
      <c r="F1649" t="b">
        <v>1</v>
      </c>
      <c r="G1649" t="n">
        <v/>
      </c>
      <c r="H1649" t="inlineStr">
        <is>
          <t>FRB</t>
        </is>
      </c>
      <c r="I1649" t="inlineStr">
        <is>
          <t>Firebird Metals Ltd</t>
        </is>
      </c>
      <c r="J1649" t="inlineStr">
        <is>
          <t>AUD</t>
        </is>
      </c>
      <c r="K1649" s="5" t="inlineStr">
        <is>
          <t>01a1212c-4c04-75ce-bbb2-e3322e18816e</t>
        </is>
      </c>
      <c r="M1649" t="inlineStr">
        <is>
          <t>UNKNOWN</t>
        </is>
      </c>
      <c r="N1649" t="inlineStr">
        <is>
          <t>DEFAULT</t>
        </is>
      </c>
      <c r="Q1649" t="n">
        <v>0</v>
      </c>
      <c r="R1649" t="inlineStr">
        <is>
          <t>AUD</t>
        </is>
      </c>
      <c r="S1649" t="n">
        <v>0</v>
      </c>
      <c r="T1649" t="inlineStr">
        <is>
          <t>AUD</t>
        </is>
      </c>
      <c r="U1649" t="n">
        <v>0</v>
      </c>
    </row>
    <row r="1650">
      <c r="A1650" s="5" t="inlineStr">
        <is>
          <t>01a1212c-600c-73b9-8440-6cac937bf921</t>
        </is>
      </c>
      <c r="C1650" s="5" t="inlineStr">
        <is>
          <t>01a1212c-4b57-70cf-80fd-c2192cb3bf81</t>
        </is>
      </c>
      <c r="D1650" s="4" t="n">
        <v>46304.62405939979</v>
      </c>
      <c r="E1650" s="4" t="n">
        <v>46304.62405939987</v>
      </c>
      <c r="F1650" t="b">
        <v>1</v>
      </c>
      <c r="G1650" t="n">
        <v/>
      </c>
      <c r="H1650" t="inlineStr">
        <is>
          <t>LSA</t>
        </is>
      </c>
      <c r="I1650" t="inlineStr">
        <is>
          <t>Lachlan Star Ltd</t>
        </is>
      </c>
      <c r="J1650" t="inlineStr">
        <is>
          <t>AUD</t>
        </is>
      </c>
      <c r="K1650" s="5" t="inlineStr">
        <is>
          <t>01a1212c-4c04-75ce-bbb2-e3322e18816e</t>
        </is>
      </c>
      <c r="M1650" t="inlineStr">
        <is>
          <t>UNKNOWN</t>
        </is>
      </c>
      <c r="N1650" t="inlineStr">
        <is>
          <t>DEFAULT</t>
        </is>
      </c>
      <c r="Q1650" t="n">
        <v>0</v>
      </c>
      <c r="R1650" t="inlineStr">
        <is>
          <t>AUD</t>
        </is>
      </c>
      <c r="S1650" t="n">
        <v>0</v>
      </c>
      <c r="T1650" t="inlineStr">
        <is>
          <t>AUD</t>
        </is>
      </c>
      <c r="U1650" t="n">
        <v>0</v>
      </c>
    </row>
    <row r="1651">
      <c r="A1651" s="5" t="inlineStr">
        <is>
          <t>01a1212c-600e-7787-9918-be598493db80</t>
        </is>
      </c>
      <c r="C1651" s="5" t="inlineStr">
        <is>
          <t>01a1212c-4b57-70cf-80fd-c2192cb3bf81</t>
        </is>
      </c>
      <c r="D1651" s="4" t="n">
        <v>46304.62405943123</v>
      </c>
      <c r="E1651" s="4" t="n">
        <v>46304.62405943131</v>
      </c>
      <c r="F1651" t="b">
        <v>1</v>
      </c>
      <c r="G1651" t="n">
        <v/>
      </c>
      <c r="H1651" t="inlineStr">
        <is>
          <t>RNV</t>
        </is>
      </c>
      <c r="I1651" t="inlineStr">
        <is>
          <t>Renerve Ltd</t>
        </is>
      </c>
      <c r="J1651" t="inlineStr">
        <is>
          <t>AUD</t>
        </is>
      </c>
      <c r="K1651" s="5" t="inlineStr">
        <is>
          <t>01a1212c-4c04-75ce-bbb2-e3322e18816e</t>
        </is>
      </c>
      <c r="M1651" t="inlineStr">
        <is>
          <t>UNKNOWN</t>
        </is>
      </c>
      <c r="N1651" t="inlineStr">
        <is>
          <t>DEFAULT</t>
        </is>
      </c>
      <c r="Q1651" t="n">
        <v>0</v>
      </c>
      <c r="R1651" t="inlineStr">
        <is>
          <t>AUD</t>
        </is>
      </c>
      <c r="S1651" t="n">
        <v>0</v>
      </c>
      <c r="T1651" t="inlineStr">
        <is>
          <t>AUD</t>
        </is>
      </c>
      <c r="U1651" t="n">
        <v>0</v>
      </c>
    </row>
    <row r="1652">
      <c r="A1652" s="5" t="inlineStr">
        <is>
          <t>01a1212c-6011-758e-a2b4-7c6df6f73359</t>
        </is>
      </c>
      <c r="C1652" s="5" t="inlineStr">
        <is>
          <t>01a1212c-4b57-70cf-80fd-c2192cb3bf81</t>
        </is>
      </c>
      <c r="D1652" s="4" t="n">
        <v>46304.62405946204</v>
      </c>
      <c r="E1652" s="4" t="n">
        <v>46304.6240594621</v>
      </c>
      <c r="F1652" t="b">
        <v>1</v>
      </c>
      <c r="G1652" t="n">
        <v/>
      </c>
      <c r="H1652" t="inlineStr">
        <is>
          <t>GMVW</t>
        </is>
      </c>
      <c r="I1652" t="inlineStr">
        <is>
          <t>Vaneck Geared Aust. EQUAL Weight Fund (Hedge Fund)</t>
        </is>
      </c>
      <c r="J1652" t="inlineStr">
        <is>
          <t>AUD</t>
        </is>
      </c>
      <c r="K1652" s="5" t="inlineStr">
        <is>
          <t>01a1212c-4c04-75ce-bbb2-e3322e18816e</t>
        </is>
      </c>
      <c r="M1652" t="inlineStr">
        <is>
          <t>UNKNOWN</t>
        </is>
      </c>
      <c r="N1652" t="inlineStr">
        <is>
          <t>DEFAULT</t>
        </is>
      </c>
      <c r="Q1652" t="n">
        <v>0</v>
      </c>
      <c r="R1652" t="inlineStr">
        <is>
          <t>AUD</t>
        </is>
      </c>
      <c r="S1652" t="n">
        <v>0</v>
      </c>
      <c r="T1652" t="inlineStr">
        <is>
          <t>AUD</t>
        </is>
      </c>
      <c r="U1652" t="n">
        <v>0</v>
      </c>
    </row>
    <row r="1653">
      <c r="A1653" s="5" t="inlineStr">
        <is>
          <t>01a1212c-6014-75db-ade1-0f67e58be1d9</t>
        </is>
      </c>
      <c r="C1653" s="5" t="inlineStr">
        <is>
          <t>01a1212c-4b57-70cf-80fd-c2192cb3bf81</t>
        </is>
      </c>
      <c r="D1653" s="4" t="n">
        <v>46304.62405949586</v>
      </c>
      <c r="E1653" s="4" t="n">
        <v>46304.62405949594</v>
      </c>
      <c r="F1653" t="b">
        <v>1</v>
      </c>
      <c r="G1653" t="n">
        <v/>
      </c>
      <c r="H1653" t="inlineStr">
        <is>
          <t>AR3</t>
        </is>
      </c>
      <c r="I1653" t="inlineStr">
        <is>
          <t>Australian Rare EARTHS Ltd</t>
        </is>
      </c>
      <c r="J1653" t="inlineStr">
        <is>
          <t>AUD</t>
        </is>
      </c>
      <c r="K1653" s="5" t="inlineStr">
        <is>
          <t>01a1212c-4c04-75ce-bbb2-e3322e18816e</t>
        </is>
      </c>
      <c r="M1653" t="inlineStr">
        <is>
          <t>UNKNOWN</t>
        </is>
      </c>
      <c r="N1653" t="inlineStr">
        <is>
          <t>DEFAULT</t>
        </is>
      </c>
      <c r="Q1653" t="n">
        <v>0</v>
      </c>
      <c r="R1653" t="inlineStr">
        <is>
          <t>AUD</t>
        </is>
      </c>
      <c r="S1653" t="n">
        <v>0</v>
      </c>
      <c r="T1653" t="inlineStr">
        <is>
          <t>AUD</t>
        </is>
      </c>
      <c r="U1653" t="n">
        <v>0</v>
      </c>
    </row>
    <row r="1654">
      <c r="A1654" s="5" t="inlineStr">
        <is>
          <t>01a1212c-6016-738a-b794-d3de60c3fd2d</t>
        </is>
      </c>
      <c r="C1654" s="5" t="inlineStr">
        <is>
          <t>01a1212c-4b57-70cf-80fd-c2192cb3bf81</t>
        </is>
      </c>
      <c r="D1654" s="4" t="n">
        <v>46304.62405952661</v>
      </c>
      <c r="E1654" s="4" t="n">
        <v>46304.62405952669</v>
      </c>
      <c r="F1654" t="b">
        <v>1</v>
      </c>
      <c r="G1654" t="n">
        <v/>
      </c>
      <c r="H1654" t="inlineStr">
        <is>
          <t>SHO</t>
        </is>
      </c>
      <c r="I1654" t="inlineStr">
        <is>
          <t>Sportshero Ltd</t>
        </is>
      </c>
      <c r="J1654" t="inlineStr">
        <is>
          <t>AUD</t>
        </is>
      </c>
      <c r="K1654" s="5" t="inlineStr">
        <is>
          <t>01a1212c-4c04-75ce-bbb2-e3322e18816e</t>
        </is>
      </c>
      <c r="M1654" t="inlineStr">
        <is>
          <t>UNKNOWN</t>
        </is>
      </c>
      <c r="N1654" t="inlineStr">
        <is>
          <t>DEFAULT</t>
        </is>
      </c>
      <c r="Q1654" t="n">
        <v>0</v>
      </c>
      <c r="R1654" t="inlineStr">
        <is>
          <t>AUD</t>
        </is>
      </c>
      <c r="S1654" t="n">
        <v>0</v>
      </c>
      <c r="T1654" t="inlineStr">
        <is>
          <t>AUD</t>
        </is>
      </c>
      <c r="U1654" t="n">
        <v>0</v>
      </c>
    </row>
    <row r="1655">
      <c r="A1655" s="5" t="inlineStr">
        <is>
          <t>01a1212c-6019-7375-a5b6-a7e5eb627211</t>
        </is>
      </c>
      <c r="C1655" s="5" t="inlineStr">
        <is>
          <t>01a1212c-4b57-70cf-80fd-c2192cb3bf81</t>
        </is>
      </c>
      <c r="D1655" s="4" t="n">
        <v>46304.62405955734</v>
      </c>
      <c r="E1655" s="4" t="n">
        <v>46304.62405955741</v>
      </c>
      <c r="F1655" t="b">
        <v>1</v>
      </c>
      <c r="G1655" t="n">
        <v/>
      </c>
      <c r="H1655" t="inlineStr">
        <is>
          <t>BLU</t>
        </is>
      </c>
      <c r="I1655" t="inlineStr">
        <is>
          <t>Blue Energy Ltd</t>
        </is>
      </c>
      <c r="J1655" t="inlineStr">
        <is>
          <t>AUD</t>
        </is>
      </c>
      <c r="K1655" s="5" t="inlineStr">
        <is>
          <t>01a1212c-4c04-75ce-bbb2-e3322e18816e</t>
        </is>
      </c>
      <c r="M1655" t="inlineStr">
        <is>
          <t>UNKNOWN</t>
        </is>
      </c>
      <c r="N1655" t="inlineStr">
        <is>
          <t>DEFAULT</t>
        </is>
      </c>
      <c r="Q1655" t="n">
        <v>0</v>
      </c>
      <c r="R1655" t="inlineStr">
        <is>
          <t>AUD</t>
        </is>
      </c>
      <c r="S1655" t="n">
        <v>0</v>
      </c>
      <c r="T1655" t="inlineStr">
        <is>
          <t>AUD</t>
        </is>
      </c>
      <c r="U1655" t="n">
        <v>0</v>
      </c>
    </row>
    <row r="1656">
      <c r="A1656" s="5" t="inlineStr">
        <is>
          <t>01a1212c-601c-70f3-90d0-037ee87f4531</t>
        </is>
      </c>
      <c r="C1656" s="5" t="inlineStr">
        <is>
          <t>01a1212c-4b57-70cf-80fd-c2192cb3bf81</t>
        </is>
      </c>
      <c r="D1656" s="4" t="n">
        <v>46304.62405958834</v>
      </c>
      <c r="E1656" s="4" t="n">
        <v>46304.62405958842</v>
      </c>
      <c r="F1656" t="b">
        <v>1</v>
      </c>
      <c r="G1656" t="n">
        <v/>
      </c>
      <c r="H1656" t="inlineStr">
        <is>
          <t>ETR</t>
        </is>
      </c>
      <c r="I1656" t="inlineStr">
        <is>
          <t>ENTYR Ltd</t>
        </is>
      </c>
      <c r="J1656" t="inlineStr">
        <is>
          <t>AUD</t>
        </is>
      </c>
      <c r="K1656" s="5" t="inlineStr">
        <is>
          <t>01a1212c-4c04-75ce-bbb2-e3322e18816e</t>
        </is>
      </c>
      <c r="M1656" t="inlineStr">
        <is>
          <t>UNKNOWN</t>
        </is>
      </c>
      <c r="N1656" t="inlineStr">
        <is>
          <t>DEFAULT</t>
        </is>
      </c>
      <c r="Q1656" t="n">
        <v>0</v>
      </c>
      <c r="R1656" t="inlineStr">
        <is>
          <t>AUD</t>
        </is>
      </c>
      <c r="S1656" t="n">
        <v>0</v>
      </c>
      <c r="T1656" t="inlineStr">
        <is>
          <t>AUD</t>
        </is>
      </c>
      <c r="U1656" t="n">
        <v>0</v>
      </c>
    </row>
    <row r="1657">
      <c r="A1657" s="5" t="inlineStr">
        <is>
          <t>01a1212c-601f-725a-846f-21c1c965088e</t>
        </is>
      </c>
      <c r="C1657" s="5" t="inlineStr">
        <is>
          <t>01a1212c-4b57-70cf-80fd-c2192cb3bf81</t>
        </is>
      </c>
      <c r="D1657" s="4" t="n">
        <v>46304.62405962247</v>
      </c>
      <c r="E1657" s="4" t="n">
        <v>46304.62405962255</v>
      </c>
      <c r="F1657" t="b">
        <v>1</v>
      </c>
      <c r="G1657" t="n">
        <v/>
      </c>
      <c r="H1657" t="inlineStr">
        <is>
          <t>IGN</t>
        </is>
      </c>
      <c r="I1657" t="inlineStr">
        <is>
          <t>Ignite Ltd</t>
        </is>
      </c>
      <c r="J1657" t="inlineStr">
        <is>
          <t>AUD</t>
        </is>
      </c>
      <c r="K1657" s="5" t="inlineStr">
        <is>
          <t>01a1212c-4c04-75ce-bbb2-e3322e18816e</t>
        </is>
      </c>
      <c r="M1657" t="inlineStr">
        <is>
          <t>UNKNOWN</t>
        </is>
      </c>
      <c r="N1657" t="inlineStr">
        <is>
          <t>DEFAULT</t>
        </is>
      </c>
      <c r="Q1657" t="n">
        <v>0</v>
      </c>
      <c r="R1657" t="inlineStr">
        <is>
          <t>AUD</t>
        </is>
      </c>
      <c r="S1657" t="n">
        <v>0</v>
      </c>
      <c r="T1657" t="inlineStr">
        <is>
          <t>AUD</t>
        </is>
      </c>
      <c r="U1657" t="n">
        <v>0</v>
      </c>
    </row>
    <row r="1658">
      <c r="A1658" s="5" t="inlineStr">
        <is>
          <t>01a1212c-6022-73b5-a111-94d977449874</t>
        </is>
      </c>
      <c r="C1658" s="5" t="inlineStr">
        <is>
          <t>01a1212c-4b57-70cf-80fd-c2192cb3bf81</t>
        </is>
      </c>
      <c r="D1658" s="4" t="n">
        <v>46304.62405965638</v>
      </c>
      <c r="E1658" s="4" t="n">
        <v>46304.62405965646</v>
      </c>
      <c r="F1658" t="b">
        <v>1</v>
      </c>
      <c r="G1658" t="n">
        <v/>
      </c>
      <c r="H1658" t="inlineStr">
        <is>
          <t>AXI</t>
        </is>
      </c>
      <c r="I1658" t="inlineStr">
        <is>
          <t>Axiom Properties Ltd</t>
        </is>
      </c>
      <c r="J1658" t="inlineStr">
        <is>
          <t>AUD</t>
        </is>
      </c>
      <c r="K1658" s="5" t="inlineStr">
        <is>
          <t>01a1212c-4c04-75ce-bbb2-e3322e18816e</t>
        </is>
      </c>
      <c r="M1658" t="inlineStr">
        <is>
          <t>UNKNOWN</t>
        </is>
      </c>
      <c r="N1658" t="inlineStr">
        <is>
          <t>DEFAULT</t>
        </is>
      </c>
      <c r="Q1658" t="n">
        <v>0</v>
      </c>
      <c r="R1658" t="inlineStr">
        <is>
          <t>AUD</t>
        </is>
      </c>
      <c r="S1658" t="n">
        <v>0</v>
      </c>
      <c r="T1658" t="inlineStr">
        <is>
          <t>AUD</t>
        </is>
      </c>
      <c r="U1658" t="n">
        <v>0</v>
      </c>
    </row>
    <row r="1659">
      <c r="A1659" s="5" t="inlineStr">
        <is>
          <t>01a1212c-6024-71e0-bd93-45630ed3f2da</t>
        </is>
      </c>
      <c r="C1659" s="5" t="inlineStr">
        <is>
          <t>01a1212c-4b57-70cf-80fd-c2192cb3bf81</t>
        </is>
      </c>
      <c r="D1659" s="4" t="n">
        <v>46304.62405968706</v>
      </c>
      <c r="E1659" s="4" t="n">
        <v>46304.62405968714</v>
      </c>
      <c r="F1659" t="b">
        <v>1</v>
      </c>
      <c r="G1659" t="n">
        <v/>
      </c>
      <c r="H1659" t="inlineStr">
        <is>
          <t>KSM</t>
        </is>
      </c>
      <c r="I1659" t="inlineStr">
        <is>
          <t>K2 Australian Small Cap Fund (Hedge Fund)</t>
        </is>
      </c>
      <c r="J1659" t="inlineStr">
        <is>
          <t>AUD</t>
        </is>
      </c>
      <c r="K1659" s="5" t="inlineStr">
        <is>
          <t>01a1212c-4c04-75ce-bbb2-e3322e18816e</t>
        </is>
      </c>
      <c r="M1659" t="inlineStr">
        <is>
          <t>UNKNOWN</t>
        </is>
      </c>
      <c r="N1659" t="inlineStr">
        <is>
          <t>DEFAULT</t>
        </is>
      </c>
      <c r="Q1659" t="n">
        <v>0</v>
      </c>
      <c r="R1659" t="inlineStr">
        <is>
          <t>AUD</t>
        </is>
      </c>
      <c r="S1659" t="n">
        <v>0</v>
      </c>
      <c r="T1659" t="inlineStr">
        <is>
          <t>AUD</t>
        </is>
      </c>
      <c r="U1659" t="n">
        <v>0</v>
      </c>
    </row>
    <row r="1660">
      <c r="A1660" s="5" t="inlineStr">
        <is>
          <t>01a1212c-6027-7383-aa11-22e15a958d21</t>
        </is>
      </c>
      <c r="C1660" s="5" t="inlineStr">
        <is>
          <t>01a1212c-4b57-70cf-80fd-c2192cb3bf81</t>
        </is>
      </c>
      <c r="D1660" s="4" t="n">
        <v>46304.62405971767</v>
      </c>
      <c r="E1660" s="4" t="n">
        <v>46304.62405971773</v>
      </c>
      <c r="F1660" t="b">
        <v>1</v>
      </c>
      <c r="G1660" t="n">
        <v/>
      </c>
      <c r="H1660" t="inlineStr">
        <is>
          <t>MKG</t>
        </is>
      </c>
      <c r="I1660" t="inlineStr">
        <is>
          <t>Mako Gold Ltd</t>
        </is>
      </c>
      <c r="J1660" t="inlineStr">
        <is>
          <t>AUD</t>
        </is>
      </c>
      <c r="K1660" s="5" t="inlineStr">
        <is>
          <t>01a1212c-4c04-75ce-bbb2-e3322e18816e</t>
        </is>
      </c>
      <c r="M1660" t="inlineStr">
        <is>
          <t>UNKNOWN</t>
        </is>
      </c>
      <c r="N1660" t="inlineStr">
        <is>
          <t>DEFAULT</t>
        </is>
      </c>
      <c r="Q1660" t="n">
        <v>0</v>
      </c>
      <c r="R1660" t="inlineStr">
        <is>
          <t>AUD</t>
        </is>
      </c>
      <c r="S1660" t="n">
        <v>0</v>
      </c>
      <c r="T1660" t="inlineStr">
        <is>
          <t>AUD</t>
        </is>
      </c>
      <c r="U1660" t="n">
        <v>0</v>
      </c>
    </row>
    <row r="1661">
      <c r="A1661" s="5" t="inlineStr">
        <is>
          <t>01a1212c-602a-7675-bfa8-60642921a08e</t>
        </is>
      </c>
      <c r="C1661" s="5" t="inlineStr">
        <is>
          <t>01a1212c-4b57-70cf-80fd-c2192cb3bf81</t>
        </is>
      </c>
      <c r="D1661" s="4" t="n">
        <v>46304.6240597488</v>
      </c>
      <c r="E1661" s="4" t="n">
        <v>46304.62405974886</v>
      </c>
      <c r="F1661" t="b">
        <v>1</v>
      </c>
      <c r="G1661" t="n">
        <v/>
      </c>
      <c r="H1661" t="inlineStr">
        <is>
          <t>MAN</t>
        </is>
      </c>
      <c r="I1661" t="inlineStr">
        <is>
          <t>Mandrake Resources Ltd</t>
        </is>
      </c>
      <c r="J1661" t="inlineStr">
        <is>
          <t>AUD</t>
        </is>
      </c>
      <c r="K1661" s="5" t="inlineStr">
        <is>
          <t>01a1212c-4c04-75ce-bbb2-e3322e18816e</t>
        </is>
      </c>
      <c r="M1661" t="inlineStr">
        <is>
          <t>UNKNOWN</t>
        </is>
      </c>
      <c r="N1661" t="inlineStr">
        <is>
          <t>DEFAULT</t>
        </is>
      </c>
      <c r="Q1661" t="n">
        <v>0</v>
      </c>
      <c r="R1661" t="inlineStr">
        <is>
          <t>AUD</t>
        </is>
      </c>
      <c r="S1661" t="n">
        <v>0</v>
      </c>
      <c r="T1661" t="inlineStr">
        <is>
          <t>AUD</t>
        </is>
      </c>
      <c r="U1661" t="n">
        <v>0</v>
      </c>
    </row>
    <row r="1662">
      <c r="A1662" s="5" t="inlineStr">
        <is>
          <t>01a1212c-602d-747b-a50b-a06ed716ec33</t>
        </is>
      </c>
      <c r="C1662" s="5" t="inlineStr">
        <is>
          <t>01a1212c-4b57-70cf-80fd-c2192cb3bf81</t>
        </is>
      </c>
      <c r="D1662" s="4" t="n">
        <v>46304.62405978166</v>
      </c>
      <c r="E1662" s="4" t="n">
        <v>46304.62405978174</v>
      </c>
      <c r="F1662" t="b">
        <v>1</v>
      </c>
      <c r="G1662" t="n">
        <v/>
      </c>
      <c r="H1662" t="inlineStr">
        <is>
          <t>AZI</t>
        </is>
      </c>
      <c r="I1662" t="inlineStr">
        <is>
          <t>Altamin Ltd</t>
        </is>
      </c>
      <c r="J1662" t="inlineStr">
        <is>
          <t>AUD</t>
        </is>
      </c>
      <c r="K1662" s="5" t="inlineStr">
        <is>
          <t>01a1212c-4c04-75ce-bbb2-e3322e18816e</t>
        </is>
      </c>
      <c r="M1662" t="inlineStr">
        <is>
          <t>UNKNOWN</t>
        </is>
      </c>
      <c r="N1662" t="inlineStr">
        <is>
          <t>DEFAULT</t>
        </is>
      </c>
      <c r="Q1662" t="n">
        <v>0</v>
      </c>
      <c r="R1662" t="inlineStr">
        <is>
          <t>AUD</t>
        </is>
      </c>
      <c r="S1662" t="n">
        <v>0</v>
      </c>
      <c r="T1662" t="inlineStr">
        <is>
          <t>AUD</t>
        </is>
      </c>
      <c r="U1662" t="n">
        <v>0</v>
      </c>
    </row>
    <row r="1663">
      <c r="A1663" s="5" t="inlineStr">
        <is>
          <t>01a1212c-602f-74c8-a87f-299e52497ccc</t>
        </is>
      </c>
      <c r="C1663" s="5" t="inlineStr">
        <is>
          <t>01a1212c-4b57-70cf-80fd-c2192cb3bf81</t>
        </is>
      </c>
      <c r="D1663" s="4" t="n">
        <v>46304.62405981346</v>
      </c>
      <c r="E1663" s="4" t="n">
        <v>46304.62405981356</v>
      </c>
      <c r="F1663" t="b">
        <v>1</v>
      </c>
      <c r="G1663" t="n">
        <v/>
      </c>
      <c r="H1663" t="inlineStr">
        <is>
          <t>AGH</t>
        </is>
      </c>
      <c r="I1663" t="inlineStr">
        <is>
          <t>Althea Group Holdings Ltd</t>
        </is>
      </c>
      <c r="J1663" t="inlineStr">
        <is>
          <t>AUD</t>
        </is>
      </c>
      <c r="K1663" s="5" t="inlineStr">
        <is>
          <t>01a1212c-4c04-75ce-bbb2-e3322e18816e</t>
        </is>
      </c>
      <c r="M1663" t="inlineStr">
        <is>
          <t>UNKNOWN</t>
        </is>
      </c>
      <c r="N1663" t="inlineStr">
        <is>
          <t>DEFAULT</t>
        </is>
      </c>
      <c r="Q1663" t="n">
        <v>0</v>
      </c>
      <c r="R1663" t="inlineStr">
        <is>
          <t>AUD</t>
        </is>
      </c>
      <c r="S1663" t="n">
        <v>0</v>
      </c>
      <c r="T1663" t="inlineStr">
        <is>
          <t>AUD</t>
        </is>
      </c>
      <c r="U1663" t="n">
        <v>0</v>
      </c>
    </row>
    <row r="1664">
      <c r="A1664" s="5" t="inlineStr">
        <is>
          <t>01a1212c-6032-7030-b7e7-8fc21950af31</t>
        </is>
      </c>
      <c r="C1664" s="5" t="inlineStr">
        <is>
          <t>01a1212c-4b57-70cf-80fd-c2192cb3bf81</t>
        </is>
      </c>
      <c r="D1664" s="4" t="n">
        <v>46304.62405984451</v>
      </c>
      <c r="E1664" s="4" t="n">
        <v>46304.62405984458</v>
      </c>
      <c r="F1664" t="b">
        <v>1</v>
      </c>
      <c r="G1664" t="n">
        <v/>
      </c>
      <c r="H1664" t="inlineStr">
        <is>
          <t>Z2U</t>
        </is>
      </c>
      <c r="I1664" t="inlineStr">
        <is>
          <t>ZOOM2U Technologies Ltd</t>
        </is>
      </c>
      <c r="J1664" t="inlineStr">
        <is>
          <t>AUD</t>
        </is>
      </c>
      <c r="K1664" s="5" t="inlineStr">
        <is>
          <t>01a1212c-4c04-75ce-bbb2-e3322e18816e</t>
        </is>
      </c>
      <c r="M1664" t="inlineStr">
        <is>
          <t>UNKNOWN</t>
        </is>
      </c>
      <c r="N1664" t="inlineStr">
        <is>
          <t>DEFAULT</t>
        </is>
      </c>
      <c r="Q1664" t="n">
        <v>0</v>
      </c>
      <c r="R1664" t="inlineStr">
        <is>
          <t>AUD</t>
        </is>
      </c>
      <c r="S1664" t="n">
        <v>0</v>
      </c>
      <c r="T1664" t="inlineStr">
        <is>
          <t>AUD</t>
        </is>
      </c>
      <c r="U1664" t="n">
        <v>0</v>
      </c>
    </row>
    <row r="1665">
      <c r="A1665" s="5" t="inlineStr">
        <is>
          <t>01a1212c-6035-7136-9b9d-34ac88b1d264</t>
        </is>
      </c>
      <c r="C1665" s="5" t="inlineStr">
        <is>
          <t>01a1212c-4b57-70cf-80fd-c2192cb3bf81</t>
        </is>
      </c>
      <c r="D1665" s="4" t="n">
        <v>46304.62405987541</v>
      </c>
      <c r="E1665" s="4" t="n">
        <v>46304.62405987547</v>
      </c>
      <c r="F1665" t="b">
        <v>1</v>
      </c>
      <c r="G1665" t="n">
        <v/>
      </c>
      <c r="H1665" t="inlineStr">
        <is>
          <t>PV1</t>
        </is>
      </c>
      <c r="I1665" t="inlineStr">
        <is>
          <t>Provaris Energy Ltd</t>
        </is>
      </c>
      <c r="J1665" t="inlineStr">
        <is>
          <t>AUD</t>
        </is>
      </c>
      <c r="K1665" s="5" t="inlineStr">
        <is>
          <t>01a1212c-4c04-75ce-bbb2-e3322e18816e</t>
        </is>
      </c>
      <c r="M1665" t="inlineStr">
        <is>
          <t>UNKNOWN</t>
        </is>
      </c>
      <c r="N1665" t="inlineStr">
        <is>
          <t>DEFAULT</t>
        </is>
      </c>
      <c r="Q1665" t="n">
        <v>0</v>
      </c>
      <c r="R1665" t="inlineStr">
        <is>
          <t>AUD</t>
        </is>
      </c>
      <c r="S1665" t="n">
        <v>0</v>
      </c>
      <c r="T1665" t="inlineStr">
        <is>
          <t>AUD</t>
        </is>
      </c>
      <c r="U1665" t="n">
        <v>0</v>
      </c>
    </row>
    <row r="1666">
      <c r="A1666" s="5" t="inlineStr">
        <is>
          <t>01a1212c-6037-7629-afab-e4be7089dda4</t>
        </is>
      </c>
      <c r="C1666" s="5" t="inlineStr">
        <is>
          <t>01a1212c-4b57-70cf-80fd-c2192cb3bf81</t>
        </is>
      </c>
      <c r="D1666" s="4" t="n">
        <v>46304.62405990843</v>
      </c>
      <c r="E1666" s="4" t="n">
        <v>46304.62405990852</v>
      </c>
      <c r="F1666" t="b">
        <v>1</v>
      </c>
      <c r="G1666" t="n">
        <v/>
      </c>
      <c r="H1666" t="inlineStr">
        <is>
          <t>PVL</t>
        </is>
      </c>
      <c r="I1666" t="inlineStr">
        <is>
          <t>Powerhouse Ventures Ltd</t>
        </is>
      </c>
      <c r="J1666" t="inlineStr">
        <is>
          <t>AUD</t>
        </is>
      </c>
      <c r="K1666" s="5" t="inlineStr">
        <is>
          <t>01a1212c-4c04-75ce-bbb2-e3322e18816e</t>
        </is>
      </c>
      <c r="M1666" t="inlineStr">
        <is>
          <t>UNKNOWN</t>
        </is>
      </c>
      <c r="N1666" t="inlineStr">
        <is>
          <t>DEFAULT</t>
        </is>
      </c>
      <c r="Q1666" t="n">
        <v>0</v>
      </c>
      <c r="R1666" t="inlineStr">
        <is>
          <t>AUD</t>
        </is>
      </c>
      <c r="S1666" t="n">
        <v>0</v>
      </c>
      <c r="T1666" t="inlineStr">
        <is>
          <t>AUD</t>
        </is>
      </c>
      <c r="U1666" t="n">
        <v>0</v>
      </c>
    </row>
    <row r="1667">
      <c r="A1667" s="5" t="inlineStr">
        <is>
          <t>01a1212c-603a-7017-8e3a-c9379f840576</t>
        </is>
      </c>
      <c r="C1667" s="5" t="inlineStr">
        <is>
          <t>01a1212c-4b57-70cf-80fd-c2192cb3bf81</t>
        </is>
      </c>
      <c r="D1667" s="4" t="n">
        <v>46304.62405994195</v>
      </c>
      <c r="E1667" s="4" t="n">
        <v>46304.62405994203</v>
      </c>
      <c r="F1667" t="b">
        <v>1</v>
      </c>
      <c r="G1667" t="n">
        <v/>
      </c>
      <c r="H1667" t="inlineStr">
        <is>
          <t>RIL</t>
        </is>
      </c>
      <c r="I1667" t="inlineStr">
        <is>
          <t>Redivium Ltd</t>
        </is>
      </c>
      <c r="J1667" t="inlineStr">
        <is>
          <t>AUD</t>
        </is>
      </c>
      <c r="K1667" s="5" t="inlineStr">
        <is>
          <t>01a1212c-4c04-75ce-bbb2-e3322e18816e</t>
        </is>
      </c>
      <c r="M1667" t="inlineStr">
        <is>
          <t>UNKNOWN</t>
        </is>
      </c>
      <c r="N1667" t="inlineStr">
        <is>
          <t>DEFAULT</t>
        </is>
      </c>
      <c r="Q1667" t="n">
        <v>0</v>
      </c>
      <c r="R1667" t="inlineStr">
        <is>
          <t>AUD</t>
        </is>
      </c>
      <c r="S1667" t="n">
        <v>0</v>
      </c>
      <c r="T1667" t="inlineStr">
        <is>
          <t>AUD</t>
        </is>
      </c>
      <c r="U1667" t="n">
        <v>0</v>
      </c>
    </row>
    <row r="1668">
      <c r="A1668" s="5" t="inlineStr">
        <is>
          <t>01a1212c-603d-775e-996c-16ab28769728</t>
        </is>
      </c>
      <c r="C1668" s="5" t="inlineStr">
        <is>
          <t>01a1212c-4b57-70cf-80fd-c2192cb3bf81</t>
        </is>
      </c>
      <c r="D1668" s="4" t="n">
        <v>46304.62405997308</v>
      </c>
      <c r="E1668" s="4" t="n">
        <v>46304.62405997316</v>
      </c>
      <c r="F1668" t="b">
        <v>1</v>
      </c>
      <c r="G1668" t="n">
        <v/>
      </c>
      <c r="H1668" t="inlineStr">
        <is>
          <t>NGX</t>
        </is>
      </c>
      <c r="I1668" t="inlineStr">
        <is>
          <t>NGX Ltd</t>
        </is>
      </c>
      <c r="J1668" t="inlineStr">
        <is>
          <t>AUD</t>
        </is>
      </c>
      <c r="K1668" s="5" t="inlineStr">
        <is>
          <t>01a1212c-4c04-75ce-bbb2-e3322e18816e</t>
        </is>
      </c>
      <c r="M1668" t="inlineStr">
        <is>
          <t>UNKNOWN</t>
        </is>
      </c>
      <c r="N1668" t="inlineStr">
        <is>
          <t>DEFAULT</t>
        </is>
      </c>
      <c r="Q1668" t="n">
        <v>0</v>
      </c>
      <c r="R1668" t="inlineStr">
        <is>
          <t>AUD</t>
        </is>
      </c>
      <c r="S1668" t="n">
        <v>0</v>
      </c>
      <c r="T1668" t="inlineStr">
        <is>
          <t>AUD</t>
        </is>
      </c>
      <c r="U1668" t="n">
        <v>0</v>
      </c>
    </row>
    <row r="1669">
      <c r="A1669" s="5" t="inlineStr">
        <is>
          <t>01a1212c-6040-7712-80d7-ea9b80bd33db</t>
        </is>
      </c>
      <c r="C1669" s="5" t="inlineStr">
        <is>
          <t>01a1212c-4b57-70cf-80fd-c2192cb3bf81</t>
        </is>
      </c>
      <c r="D1669" s="4" t="n">
        <v>46304.62406000398</v>
      </c>
      <c r="E1669" s="4" t="n">
        <v>46304.62406000406</v>
      </c>
      <c r="F1669" t="b">
        <v>1</v>
      </c>
      <c r="G1669" t="n">
        <v/>
      </c>
      <c r="H1669" t="inlineStr">
        <is>
          <t>CC9</t>
        </is>
      </c>
      <c r="I1669" t="inlineStr">
        <is>
          <t>Chariot Corporation Ltd</t>
        </is>
      </c>
      <c r="J1669" t="inlineStr">
        <is>
          <t>AUD</t>
        </is>
      </c>
      <c r="K1669" s="5" t="inlineStr">
        <is>
          <t>01a1212c-4c04-75ce-bbb2-e3322e18816e</t>
        </is>
      </c>
      <c r="M1669" t="inlineStr">
        <is>
          <t>UNKNOWN</t>
        </is>
      </c>
      <c r="N1669" t="inlineStr">
        <is>
          <t>DEFAULT</t>
        </is>
      </c>
      <c r="Q1669" t="n">
        <v>0</v>
      </c>
      <c r="R1669" t="inlineStr">
        <is>
          <t>AUD</t>
        </is>
      </c>
      <c r="S1669" t="n">
        <v>0</v>
      </c>
      <c r="T1669" t="inlineStr">
        <is>
          <t>AUD</t>
        </is>
      </c>
      <c r="U1669" t="n">
        <v>0</v>
      </c>
    </row>
    <row r="1670">
      <c r="A1670" s="5" t="inlineStr">
        <is>
          <t>01a1212c-6042-7165-9c73-7a5a752e2b7e</t>
        </is>
      </c>
      <c r="C1670" s="5" t="inlineStr">
        <is>
          <t>01a1212c-4b57-70cf-80fd-c2192cb3bf81</t>
        </is>
      </c>
      <c r="D1670" s="4" t="n">
        <v>46304.62406003461</v>
      </c>
      <c r="E1670" s="4" t="n">
        <v>46304.62406003469</v>
      </c>
      <c r="F1670" t="b">
        <v>1</v>
      </c>
      <c r="G1670" t="n">
        <v/>
      </c>
      <c r="H1670" t="inlineStr">
        <is>
          <t>BIT</t>
        </is>
      </c>
      <c r="I1670" t="inlineStr">
        <is>
          <t>Biotron Ltd</t>
        </is>
      </c>
      <c r="J1670" t="inlineStr">
        <is>
          <t>AUD</t>
        </is>
      </c>
      <c r="K1670" s="5" t="inlineStr">
        <is>
          <t>01a1212c-4c04-75ce-bbb2-e3322e18816e</t>
        </is>
      </c>
      <c r="M1670" t="inlineStr">
        <is>
          <t>UNKNOWN</t>
        </is>
      </c>
      <c r="N1670" t="inlineStr">
        <is>
          <t>DEFAULT</t>
        </is>
      </c>
      <c r="Q1670" t="n">
        <v>0</v>
      </c>
      <c r="R1670" t="inlineStr">
        <is>
          <t>AUD</t>
        </is>
      </c>
      <c r="S1670" t="n">
        <v>0</v>
      </c>
      <c r="T1670" t="inlineStr">
        <is>
          <t>AUD</t>
        </is>
      </c>
      <c r="U1670" t="n">
        <v>0</v>
      </c>
    </row>
    <row r="1671">
      <c r="A1671" s="5" t="inlineStr">
        <is>
          <t>01a1212c-6045-74f6-91a2-26059b829bee</t>
        </is>
      </c>
      <c r="C1671" s="5" t="inlineStr">
        <is>
          <t>01a1212c-4b57-70cf-80fd-c2192cb3bf81</t>
        </is>
      </c>
      <c r="D1671" s="4" t="n">
        <v>46304.62406006772</v>
      </c>
      <c r="E1671" s="4" t="n">
        <v>46304.6240600678</v>
      </c>
      <c r="F1671" t="b">
        <v>1</v>
      </c>
      <c r="G1671" t="n">
        <v/>
      </c>
      <c r="H1671" t="inlineStr">
        <is>
          <t>GTE</t>
        </is>
      </c>
      <c r="I1671" t="inlineStr">
        <is>
          <t>Great Western Exploration Ltd</t>
        </is>
      </c>
      <c r="J1671" t="inlineStr">
        <is>
          <t>AUD</t>
        </is>
      </c>
      <c r="K1671" s="5" t="inlineStr">
        <is>
          <t>01a1212c-4c04-75ce-bbb2-e3322e18816e</t>
        </is>
      </c>
      <c r="M1671" t="inlineStr">
        <is>
          <t>UNKNOWN</t>
        </is>
      </c>
      <c r="N1671" t="inlineStr">
        <is>
          <t>DEFAULT</t>
        </is>
      </c>
      <c r="Q1671" t="n">
        <v>0</v>
      </c>
      <c r="R1671" t="inlineStr">
        <is>
          <t>AUD</t>
        </is>
      </c>
      <c r="S1671" t="n">
        <v>0</v>
      </c>
      <c r="T1671" t="inlineStr">
        <is>
          <t>AUD</t>
        </is>
      </c>
      <c r="U1671" t="n">
        <v>0</v>
      </c>
    </row>
    <row r="1672">
      <c r="A1672" s="5" t="inlineStr">
        <is>
          <t>01a1212c-6048-7643-85f1-c6a7f6a5aff0</t>
        </is>
      </c>
      <c r="C1672" s="5" t="inlineStr">
        <is>
          <t>01a1212c-4b57-70cf-80fd-c2192cb3bf81</t>
        </is>
      </c>
      <c r="D1672" s="4" t="n">
        <v>46304.62406009875</v>
      </c>
      <c r="E1672" s="4" t="n">
        <v>46304.62406009882</v>
      </c>
      <c r="F1672" t="b">
        <v>1</v>
      </c>
      <c r="G1672" t="n">
        <v/>
      </c>
      <c r="H1672" t="inlineStr">
        <is>
          <t>FZR</t>
        </is>
      </c>
      <c r="I1672" t="inlineStr">
        <is>
          <t>Fitzroy River Corporation Ltd</t>
        </is>
      </c>
      <c r="J1672" t="inlineStr">
        <is>
          <t>AUD</t>
        </is>
      </c>
      <c r="K1672" s="5" t="inlineStr">
        <is>
          <t>01a1212c-4c04-75ce-bbb2-e3322e18816e</t>
        </is>
      </c>
      <c r="M1672" t="inlineStr">
        <is>
          <t>UNKNOWN</t>
        </is>
      </c>
      <c r="N1672" t="inlineStr">
        <is>
          <t>DEFAULT</t>
        </is>
      </c>
      <c r="Q1672" t="n">
        <v>0</v>
      </c>
      <c r="R1672" t="inlineStr">
        <is>
          <t>AUD</t>
        </is>
      </c>
      <c r="S1672" t="n">
        <v>0</v>
      </c>
      <c r="T1672" t="inlineStr">
        <is>
          <t>AUD</t>
        </is>
      </c>
      <c r="U1672" t="n">
        <v>0</v>
      </c>
    </row>
    <row r="1673">
      <c r="A1673" s="5" t="inlineStr">
        <is>
          <t>01a1212c-604b-7335-9792-3bc4058d5572</t>
        </is>
      </c>
      <c r="C1673" s="5" t="inlineStr">
        <is>
          <t>01a1212c-4b57-70cf-80fd-c2192cb3bf81</t>
        </is>
      </c>
      <c r="D1673" s="4" t="n">
        <v>46304.62406012932</v>
      </c>
      <c r="E1673" s="4" t="n">
        <v>46304.6240601294</v>
      </c>
      <c r="F1673" t="b">
        <v>1</v>
      </c>
      <c r="G1673" t="n">
        <v/>
      </c>
      <c r="H1673" t="inlineStr">
        <is>
          <t>DYM</t>
        </is>
      </c>
      <c r="I1673" t="inlineStr">
        <is>
          <t>Dynamic Metals Ltd</t>
        </is>
      </c>
      <c r="J1673" t="inlineStr">
        <is>
          <t>AUD</t>
        </is>
      </c>
      <c r="K1673" s="5" t="inlineStr">
        <is>
          <t>01a1212c-4c04-75ce-bbb2-e3322e18816e</t>
        </is>
      </c>
      <c r="M1673" t="inlineStr">
        <is>
          <t>UNKNOWN</t>
        </is>
      </c>
      <c r="N1673" t="inlineStr">
        <is>
          <t>DEFAULT</t>
        </is>
      </c>
      <c r="Q1673" t="n">
        <v>0</v>
      </c>
      <c r="R1673" t="inlineStr">
        <is>
          <t>AUD</t>
        </is>
      </c>
      <c r="S1673" t="n">
        <v>0</v>
      </c>
      <c r="T1673" t="inlineStr">
        <is>
          <t>AUD</t>
        </is>
      </c>
      <c r="U1673" t="n">
        <v>0</v>
      </c>
    </row>
    <row r="1674">
      <c r="A1674" s="5" t="inlineStr">
        <is>
          <t>01a1212c-604d-7105-b0a5-ca7082d48886</t>
        </is>
      </c>
      <c r="C1674" s="5" t="inlineStr">
        <is>
          <t>01a1212c-4b57-70cf-80fd-c2192cb3bf81</t>
        </is>
      </c>
      <c r="D1674" s="4" t="n">
        <v>46304.62406015998</v>
      </c>
      <c r="E1674" s="4" t="n">
        <v>46304.62406016004</v>
      </c>
      <c r="F1674" t="b">
        <v>1</v>
      </c>
      <c r="G1674" t="n">
        <v/>
      </c>
      <c r="H1674" t="inlineStr">
        <is>
          <t>EGY</t>
        </is>
      </c>
      <c r="I1674" t="inlineStr">
        <is>
          <t>Energy Technologies Ltd</t>
        </is>
      </c>
      <c r="J1674" t="inlineStr">
        <is>
          <t>AUD</t>
        </is>
      </c>
      <c r="K1674" s="5" t="inlineStr">
        <is>
          <t>01a1212c-4c04-75ce-bbb2-e3322e18816e</t>
        </is>
      </c>
      <c r="M1674" t="inlineStr">
        <is>
          <t>UNKNOWN</t>
        </is>
      </c>
      <c r="N1674" t="inlineStr">
        <is>
          <t>DEFAULT</t>
        </is>
      </c>
      <c r="Q1674" t="n">
        <v>0</v>
      </c>
      <c r="R1674" t="inlineStr">
        <is>
          <t>AUD</t>
        </is>
      </c>
      <c r="S1674" t="n">
        <v>0</v>
      </c>
      <c r="T1674" t="inlineStr">
        <is>
          <t>AUD</t>
        </is>
      </c>
      <c r="U1674" t="n">
        <v>0</v>
      </c>
    </row>
    <row r="1675">
      <c r="A1675" s="5" t="inlineStr">
        <is>
          <t>01a1212c-6050-7021-adda-1e143ed88068</t>
        </is>
      </c>
      <c r="C1675" s="5" t="inlineStr">
        <is>
          <t>01a1212c-4b57-70cf-80fd-c2192cb3bf81</t>
        </is>
      </c>
      <c r="D1675" s="4" t="n">
        <v>46304.62406019072</v>
      </c>
      <c r="E1675" s="4" t="n">
        <v>46304.6240601908</v>
      </c>
      <c r="F1675" t="b">
        <v>1</v>
      </c>
      <c r="G1675" t="n">
        <v/>
      </c>
      <c r="H1675" t="inlineStr">
        <is>
          <t>CUF</t>
        </is>
      </c>
      <c r="I1675" t="inlineStr">
        <is>
          <t>Cufe Ltd</t>
        </is>
      </c>
      <c r="J1675" t="inlineStr">
        <is>
          <t>AUD</t>
        </is>
      </c>
      <c r="K1675" s="5" t="inlineStr">
        <is>
          <t>01a1212c-4c04-75ce-bbb2-e3322e18816e</t>
        </is>
      </c>
      <c r="M1675" t="inlineStr">
        <is>
          <t>UNKNOWN</t>
        </is>
      </c>
      <c r="N1675" t="inlineStr">
        <is>
          <t>DEFAULT</t>
        </is>
      </c>
      <c r="Q1675" t="n">
        <v>0</v>
      </c>
      <c r="R1675" t="inlineStr">
        <is>
          <t>AUD</t>
        </is>
      </c>
      <c r="S1675" t="n">
        <v>0</v>
      </c>
      <c r="T1675" t="inlineStr">
        <is>
          <t>AUD</t>
        </is>
      </c>
      <c r="U1675" t="n">
        <v>0</v>
      </c>
    </row>
    <row r="1676">
      <c r="A1676" s="5" t="inlineStr">
        <is>
          <t>01a1212c-6053-73fc-88d7-e3102f532a59</t>
        </is>
      </c>
      <c r="C1676" s="5" t="inlineStr">
        <is>
          <t>01a1212c-4b57-70cf-80fd-c2192cb3bf81</t>
        </is>
      </c>
      <c r="D1676" s="4" t="n">
        <v>46304.62406022366</v>
      </c>
      <c r="E1676" s="4" t="n">
        <v>46304.62406022374</v>
      </c>
      <c r="F1676" t="b">
        <v>1</v>
      </c>
      <c r="G1676" t="n">
        <v/>
      </c>
      <c r="H1676" t="inlineStr">
        <is>
          <t>GLE</t>
        </is>
      </c>
      <c r="I1676" t="inlineStr">
        <is>
          <t>GLG Corp Ltd</t>
        </is>
      </c>
      <c r="J1676" t="inlineStr">
        <is>
          <t>AUD</t>
        </is>
      </c>
      <c r="K1676" s="5" t="inlineStr">
        <is>
          <t>01a1212c-4c04-75ce-bbb2-e3322e18816e</t>
        </is>
      </c>
      <c r="M1676" t="inlineStr">
        <is>
          <t>UNKNOWN</t>
        </is>
      </c>
      <c r="N1676" t="inlineStr">
        <is>
          <t>DEFAULT</t>
        </is>
      </c>
      <c r="Q1676" t="n">
        <v>0</v>
      </c>
      <c r="R1676" t="inlineStr">
        <is>
          <t>AUD</t>
        </is>
      </c>
      <c r="S1676" t="n">
        <v>0</v>
      </c>
      <c r="T1676" t="inlineStr">
        <is>
          <t>AUD</t>
        </is>
      </c>
      <c r="U1676" t="n">
        <v>0</v>
      </c>
    </row>
    <row r="1677">
      <c r="A1677" s="5" t="inlineStr">
        <is>
          <t>01a1212c-6056-764d-99d3-4245c4c1bfae</t>
        </is>
      </c>
      <c r="C1677" s="5" t="inlineStr">
        <is>
          <t>01a1212c-4b57-70cf-80fd-c2192cb3bf81</t>
        </is>
      </c>
      <c r="D1677" s="4" t="n">
        <v>46304.62406025765</v>
      </c>
      <c r="E1677" s="4" t="n">
        <v>46304.62406025775</v>
      </c>
      <c r="F1677" t="b">
        <v>1</v>
      </c>
      <c r="G1677" t="n">
        <v/>
      </c>
      <c r="H1677" t="inlineStr">
        <is>
          <t>1GOV</t>
        </is>
      </c>
      <c r="I1677" t="inlineStr">
        <is>
          <t>Vaneck 1-5 Year Australian Government Bond ETF</t>
        </is>
      </c>
      <c r="J1677" t="inlineStr">
        <is>
          <t>AUD</t>
        </is>
      </c>
      <c r="K1677" s="5" t="inlineStr">
        <is>
          <t>01a1212c-4c04-75ce-bbb2-e3322e18816e</t>
        </is>
      </c>
      <c r="M1677" t="inlineStr">
        <is>
          <t>UNKNOWN</t>
        </is>
      </c>
      <c r="N1677" t="inlineStr">
        <is>
          <t>DEFAULT</t>
        </is>
      </c>
      <c r="Q1677" t="n">
        <v>0</v>
      </c>
      <c r="R1677" t="inlineStr">
        <is>
          <t>AUD</t>
        </is>
      </c>
      <c r="S1677" t="n">
        <v>0</v>
      </c>
      <c r="T1677" t="inlineStr">
        <is>
          <t>AUD</t>
        </is>
      </c>
      <c r="U1677" t="n">
        <v>0</v>
      </c>
    </row>
    <row r="1678">
      <c r="A1678" s="5" t="inlineStr">
        <is>
          <t>01a1212c-6059-714b-a319-b8eb85825fb0</t>
        </is>
      </c>
      <c r="C1678" s="5" t="inlineStr">
        <is>
          <t>01a1212c-4b57-70cf-80fd-c2192cb3bf81</t>
        </is>
      </c>
      <c r="D1678" s="4" t="n">
        <v>46304.62406029876</v>
      </c>
      <c r="E1678" s="4" t="n">
        <v>46304.62406029885</v>
      </c>
      <c r="F1678" t="b">
        <v>1</v>
      </c>
      <c r="G1678" t="n">
        <v/>
      </c>
      <c r="H1678" t="inlineStr">
        <is>
          <t>AFL</t>
        </is>
      </c>
      <c r="I1678" t="inlineStr">
        <is>
          <t>Af Legal Group Ltd</t>
        </is>
      </c>
      <c r="J1678" t="inlineStr">
        <is>
          <t>AUD</t>
        </is>
      </c>
      <c r="K1678" s="5" t="inlineStr">
        <is>
          <t>01a1212c-4c04-75ce-bbb2-e3322e18816e</t>
        </is>
      </c>
      <c r="M1678" t="inlineStr">
        <is>
          <t>UNKNOWN</t>
        </is>
      </c>
      <c r="N1678" t="inlineStr">
        <is>
          <t>DEFAULT</t>
        </is>
      </c>
      <c r="Q1678" t="n">
        <v>0</v>
      </c>
      <c r="R1678" t="inlineStr">
        <is>
          <t>AUD</t>
        </is>
      </c>
      <c r="S1678" t="n">
        <v>0</v>
      </c>
      <c r="T1678" t="inlineStr">
        <is>
          <t>AUD</t>
        </is>
      </c>
      <c r="U1678" t="n">
        <v>0</v>
      </c>
    </row>
    <row r="1679">
      <c r="A1679" s="5" t="inlineStr">
        <is>
          <t>01a1212c-605c-7739-b564-208e0b8aa6b1</t>
        </is>
      </c>
      <c r="C1679" s="5" t="inlineStr">
        <is>
          <t>01a1212c-4b57-70cf-80fd-c2192cb3bf81</t>
        </is>
      </c>
      <c r="D1679" s="4" t="n">
        <v>46304.62406033454</v>
      </c>
      <c r="E1679" s="4" t="n">
        <v>46304.62406033463</v>
      </c>
      <c r="F1679" t="b">
        <v>1</v>
      </c>
      <c r="G1679" t="n">
        <v/>
      </c>
      <c r="H1679" t="inlineStr">
        <is>
          <t>QEM</t>
        </is>
      </c>
      <c r="I1679" t="inlineStr">
        <is>
          <t>QEM Ltd</t>
        </is>
      </c>
      <c r="J1679" t="inlineStr">
        <is>
          <t>AUD</t>
        </is>
      </c>
      <c r="K1679" s="5" t="inlineStr">
        <is>
          <t>01a1212c-4c04-75ce-bbb2-e3322e18816e</t>
        </is>
      </c>
      <c r="M1679" t="inlineStr">
        <is>
          <t>UNKNOWN</t>
        </is>
      </c>
      <c r="N1679" t="inlineStr">
        <is>
          <t>DEFAULT</t>
        </is>
      </c>
      <c r="Q1679" t="n">
        <v>0</v>
      </c>
      <c r="R1679" t="inlineStr">
        <is>
          <t>AUD</t>
        </is>
      </c>
      <c r="S1679" t="n">
        <v>0</v>
      </c>
      <c r="T1679" t="inlineStr">
        <is>
          <t>AUD</t>
        </is>
      </c>
      <c r="U1679" t="n">
        <v>0</v>
      </c>
    </row>
    <row r="1680">
      <c r="A1680" s="5" t="inlineStr">
        <is>
          <t>01a1212c-605f-72e1-a6ae-72f738fa9ca4</t>
        </is>
      </c>
      <c r="C1680" s="5" t="inlineStr">
        <is>
          <t>01a1212c-4b57-70cf-80fd-c2192cb3bf81</t>
        </is>
      </c>
      <c r="D1680" s="4" t="n">
        <v>46304.62406037113</v>
      </c>
      <c r="E1680" s="4" t="n">
        <v>46304.62406037124</v>
      </c>
      <c r="F1680" t="b">
        <v>1</v>
      </c>
      <c r="G1680" t="n">
        <v/>
      </c>
      <c r="H1680" t="inlineStr">
        <is>
          <t>TYX</t>
        </is>
      </c>
      <c r="I1680" t="inlineStr">
        <is>
          <t>Tyranna Resources Ltd</t>
        </is>
      </c>
      <c r="J1680" t="inlineStr">
        <is>
          <t>AUD</t>
        </is>
      </c>
      <c r="K1680" s="5" t="inlineStr">
        <is>
          <t>01a1212c-4c04-75ce-bbb2-e3322e18816e</t>
        </is>
      </c>
      <c r="M1680" t="inlineStr">
        <is>
          <t>UNKNOWN</t>
        </is>
      </c>
      <c r="N1680" t="inlineStr">
        <is>
          <t>DEFAULT</t>
        </is>
      </c>
      <c r="Q1680" t="n">
        <v>0</v>
      </c>
      <c r="R1680" t="inlineStr">
        <is>
          <t>AUD</t>
        </is>
      </c>
      <c r="S1680" t="n">
        <v>0</v>
      </c>
      <c r="T1680" t="inlineStr">
        <is>
          <t>AUD</t>
        </is>
      </c>
      <c r="U1680" t="n">
        <v>0</v>
      </c>
    </row>
    <row r="1681">
      <c r="A1681" s="5" t="inlineStr">
        <is>
          <t>01a1212c-6062-7496-b27d-c966c058c09c</t>
        </is>
      </c>
      <c r="C1681" s="5" t="inlineStr">
        <is>
          <t>01a1212c-4b57-70cf-80fd-c2192cb3bf81</t>
        </is>
      </c>
      <c r="D1681" s="4" t="n">
        <v>46304.62406040508</v>
      </c>
      <c r="E1681" s="4" t="n">
        <v>46304.6240604052</v>
      </c>
      <c r="F1681" t="b">
        <v>1</v>
      </c>
      <c r="G1681" t="n">
        <v/>
      </c>
      <c r="H1681" t="inlineStr">
        <is>
          <t>PGM</t>
        </is>
      </c>
      <c r="I1681" t="inlineStr">
        <is>
          <t>Platina Resources Ltd</t>
        </is>
      </c>
      <c r="J1681" t="inlineStr">
        <is>
          <t>AUD</t>
        </is>
      </c>
      <c r="K1681" s="5" t="inlineStr">
        <is>
          <t>01a1212c-4c04-75ce-bbb2-e3322e18816e</t>
        </is>
      </c>
      <c r="M1681" t="inlineStr">
        <is>
          <t>UNKNOWN</t>
        </is>
      </c>
      <c r="N1681" t="inlineStr">
        <is>
          <t>DEFAULT</t>
        </is>
      </c>
      <c r="Q1681" t="n">
        <v>0</v>
      </c>
      <c r="R1681" t="inlineStr">
        <is>
          <t>AUD</t>
        </is>
      </c>
      <c r="S1681" t="n">
        <v>0</v>
      </c>
      <c r="T1681" t="inlineStr">
        <is>
          <t>AUD</t>
        </is>
      </c>
      <c r="U1681" t="n">
        <v>0</v>
      </c>
    </row>
    <row r="1682">
      <c r="A1682" s="5" t="inlineStr">
        <is>
          <t>01a1212c-6065-763d-a9d9-68b96af85909</t>
        </is>
      </c>
      <c r="C1682" s="5" t="inlineStr">
        <is>
          <t>01a1212c-4b57-70cf-80fd-c2192cb3bf81</t>
        </is>
      </c>
      <c r="D1682" s="4" t="n">
        <v>46304.62406043908</v>
      </c>
      <c r="E1682" s="4" t="n">
        <v>46304.62406043922</v>
      </c>
      <c r="F1682" t="b">
        <v>1</v>
      </c>
      <c r="G1682" t="n">
        <v/>
      </c>
      <c r="H1682" t="inlineStr">
        <is>
          <t>IBAL</t>
        </is>
      </c>
      <c r="I1682" t="inlineStr">
        <is>
          <t>Ishares Balanced Esg ETF</t>
        </is>
      </c>
      <c r="J1682" t="inlineStr">
        <is>
          <t>AUD</t>
        </is>
      </c>
      <c r="K1682" s="5" t="inlineStr">
        <is>
          <t>01a1212c-4c04-75ce-bbb2-e3322e18816e</t>
        </is>
      </c>
      <c r="M1682" t="inlineStr">
        <is>
          <t>UNKNOWN</t>
        </is>
      </c>
      <c r="N1682" t="inlineStr">
        <is>
          <t>DEFAULT</t>
        </is>
      </c>
      <c r="Q1682" t="n">
        <v>0</v>
      </c>
      <c r="R1682" t="inlineStr">
        <is>
          <t>AUD</t>
        </is>
      </c>
      <c r="S1682" t="n">
        <v>0</v>
      </c>
      <c r="T1682" t="inlineStr">
        <is>
          <t>AUD</t>
        </is>
      </c>
      <c r="U1682" t="n">
        <v>0</v>
      </c>
    </row>
    <row r="1683">
      <c r="A1683" s="5" t="inlineStr">
        <is>
          <t>01a1212c-6068-770f-ae55-b0383c84389d</t>
        </is>
      </c>
      <c r="C1683" s="5" t="inlineStr">
        <is>
          <t>01a1212c-4b57-70cf-80fd-c2192cb3bf81</t>
        </is>
      </c>
      <c r="D1683" s="4" t="n">
        <v>46304.62406047583</v>
      </c>
      <c r="E1683" s="4" t="n">
        <v>46304.62406047594</v>
      </c>
      <c r="F1683" t="b">
        <v>1</v>
      </c>
      <c r="G1683" t="n">
        <v/>
      </c>
      <c r="H1683" t="inlineStr">
        <is>
          <t>SPQ</t>
        </is>
      </c>
      <c r="I1683" t="inlineStr">
        <is>
          <t>Superior Resources Ltd</t>
        </is>
      </c>
      <c r="J1683" t="inlineStr">
        <is>
          <t>AUD</t>
        </is>
      </c>
      <c r="K1683" s="5" t="inlineStr">
        <is>
          <t>01a1212c-4c04-75ce-bbb2-e3322e18816e</t>
        </is>
      </c>
      <c r="M1683" t="inlineStr">
        <is>
          <t>UNKNOWN</t>
        </is>
      </c>
      <c r="N1683" t="inlineStr">
        <is>
          <t>DEFAULT</t>
        </is>
      </c>
      <c r="Q1683" t="n">
        <v>0</v>
      </c>
      <c r="R1683" t="inlineStr">
        <is>
          <t>AUD</t>
        </is>
      </c>
      <c r="S1683" t="n">
        <v>0</v>
      </c>
      <c r="T1683" t="inlineStr">
        <is>
          <t>AUD</t>
        </is>
      </c>
      <c r="U1683" t="n">
        <v>0</v>
      </c>
    </row>
    <row r="1684">
      <c r="A1684" s="5" t="inlineStr">
        <is>
          <t>01a1212c-606b-73d1-9f32-d5d56c3dd9fb</t>
        </is>
      </c>
      <c r="C1684" s="5" t="inlineStr">
        <is>
          <t>01a1212c-4b57-70cf-80fd-c2192cb3bf81</t>
        </is>
      </c>
      <c r="D1684" s="4" t="n">
        <v>46304.62406050909</v>
      </c>
      <c r="E1684" s="4" t="n">
        <v>46304.62406050918</v>
      </c>
      <c r="F1684" t="b">
        <v>1</v>
      </c>
      <c r="G1684" t="n">
        <v/>
      </c>
      <c r="H1684" t="inlineStr">
        <is>
          <t>TSI</t>
        </is>
      </c>
      <c r="I1684" t="inlineStr">
        <is>
          <t>Top Shelf International Holdings Ltd</t>
        </is>
      </c>
      <c r="J1684" t="inlineStr">
        <is>
          <t>AUD</t>
        </is>
      </c>
      <c r="K1684" s="5" t="inlineStr">
        <is>
          <t>01a1212c-4c04-75ce-bbb2-e3322e18816e</t>
        </is>
      </c>
      <c r="M1684" t="inlineStr">
        <is>
          <t>UNKNOWN</t>
        </is>
      </c>
      <c r="N1684" t="inlineStr">
        <is>
          <t>DEFAULT</t>
        </is>
      </c>
      <c r="Q1684" t="n">
        <v>0</v>
      </c>
      <c r="R1684" t="inlineStr">
        <is>
          <t>AUD</t>
        </is>
      </c>
      <c r="S1684" t="n">
        <v>0</v>
      </c>
      <c r="T1684" t="inlineStr">
        <is>
          <t>AUD</t>
        </is>
      </c>
      <c r="U1684" t="n">
        <v>0</v>
      </c>
    </row>
    <row r="1685">
      <c r="A1685" s="5" t="inlineStr">
        <is>
          <t>01a1212c-606e-7788-9298-78e5e8dd1059</t>
        </is>
      </c>
      <c r="C1685" s="5" t="inlineStr">
        <is>
          <t>01a1212c-4b57-70cf-80fd-c2192cb3bf81</t>
        </is>
      </c>
      <c r="D1685" s="4" t="n">
        <v>46304.62406054512</v>
      </c>
      <c r="E1685" s="4" t="n">
        <v>46304.62406054522</v>
      </c>
      <c r="F1685" t="b">
        <v>1</v>
      </c>
      <c r="G1685" t="n">
        <v/>
      </c>
      <c r="H1685" t="inlineStr">
        <is>
          <t>LYN</t>
        </is>
      </c>
      <c r="I1685" t="inlineStr">
        <is>
          <t>Lycaon Resources Ltd</t>
        </is>
      </c>
      <c r="J1685" t="inlineStr">
        <is>
          <t>AUD</t>
        </is>
      </c>
      <c r="K1685" s="5" t="inlineStr">
        <is>
          <t>01a1212c-4c04-75ce-bbb2-e3322e18816e</t>
        </is>
      </c>
      <c r="M1685" t="inlineStr">
        <is>
          <t>UNKNOWN</t>
        </is>
      </c>
      <c r="N1685" t="inlineStr">
        <is>
          <t>DEFAULT</t>
        </is>
      </c>
      <c r="Q1685" t="n">
        <v>0</v>
      </c>
      <c r="R1685" t="inlineStr">
        <is>
          <t>AUD</t>
        </is>
      </c>
      <c r="S1685" t="n">
        <v>0</v>
      </c>
      <c r="T1685" t="inlineStr">
        <is>
          <t>AUD</t>
        </is>
      </c>
      <c r="U1685" t="n">
        <v>0</v>
      </c>
    </row>
    <row r="1686">
      <c r="A1686" s="5" t="inlineStr">
        <is>
          <t>01a1212c-6071-747b-94dd-40051312ed52</t>
        </is>
      </c>
      <c r="C1686" s="5" t="inlineStr">
        <is>
          <t>01a1212c-4b57-70cf-80fd-c2192cb3bf81</t>
        </is>
      </c>
      <c r="D1686" s="4" t="n">
        <v>46304.62406057952</v>
      </c>
      <c r="E1686" s="4" t="n">
        <v>46304.6240605796</v>
      </c>
      <c r="F1686" t="b">
        <v>1</v>
      </c>
      <c r="G1686" t="n">
        <v/>
      </c>
      <c r="H1686" t="inlineStr">
        <is>
          <t>MPP</t>
        </is>
      </c>
      <c r="I1686" t="inlineStr">
        <is>
          <t>Metro Performance Glass Ltd</t>
        </is>
      </c>
      <c r="J1686" t="inlineStr">
        <is>
          <t>AUD</t>
        </is>
      </c>
      <c r="K1686" s="5" t="inlineStr">
        <is>
          <t>01a1212c-4c04-75ce-bbb2-e3322e18816e</t>
        </is>
      </c>
      <c r="M1686" t="inlineStr">
        <is>
          <t>UNKNOWN</t>
        </is>
      </c>
      <c r="N1686" t="inlineStr">
        <is>
          <t>DEFAULT</t>
        </is>
      </c>
      <c r="Q1686" t="n">
        <v>0</v>
      </c>
      <c r="R1686" t="inlineStr">
        <is>
          <t>AUD</t>
        </is>
      </c>
      <c r="S1686" t="n">
        <v>0</v>
      </c>
      <c r="T1686" t="inlineStr">
        <is>
          <t>AUD</t>
        </is>
      </c>
      <c r="U1686" t="n">
        <v>0</v>
      </c>
    </row>
    <row r="1687">
      <c r="A1687" s="5" t="inlineStr">
        <is>
          <t>01a1212c-6074-7615-ba56-0f31e7986a69</t>
        </is>
      </c>
      <c r="C1687" s="5" t="inlineStr">
        <is>
          <t>01a1212c-4b57-70cf-80fd-c2192cb3bf81</t>
        </is>
      </c>
      <c r="D1687" s="4" t="n">
        <v>46304.62406061142</v>
      </c>
      <c r="E1687" s="4" t="n">
        <v>46304.6240606115</v>
      </c>
      <c r="F1687" t="b">
        <v>1</v>
      </c>
      <c r="G1687" t="n">
        <v/>
      </c>
      <c r="H1687" t="inlineStr">
        <is>
          <t>1CG</t>
        </is>
      </c>
      <c r="I1687" t="inlineStr">
        <is>
          <t>One Click Group Ltd</t>
        </is>
      </c>
      <c r="J1687" t="inlineStr">
        <is>
          <t>AUD</t>
        </is>
      </c>
      <c r="K1687" s="5" t="inlineStr">
        <is>
          <t>01a1212c-4c04-75ce-bbb2-e3322e18816e</t>
        </is>
      </c>
      <c r="M1687" t="inlineStr">
        <is>
          <t>UNKNOWN</t>
        </is>
      </c>
      <c r="N1687" t="inlineStr">
        <is>
          <t>DEFAULT</t>
        </is>
      </c>
      <c r="Q1687" t="n">
        <v>0</v>
      </c>
      <c r="R1687" t="inlineStr">
        <is>
          <t>AUD</t>
        </is>
      </c>
      <c r="S1687" t="n">
        <v>0</v>
      </c>
      <c r="T1687" t="inlineStr">
        <is>
          <t>AUD</t>
        </is>
      </c>
      <c r="U1687" t="n">
        <v>0</v>
      </c>
    </row>
    <row r="1688">
      <c r="A1688" s="5" t="inlineStr">
        <is>
          <t>01a1212c-6077-72ed-bd50-ad8a60fc20b9</t>
        </is>
      </c>
      <c r="C1688" s="5" t="inlineStr">
        <is>
          <t>01a1212c-4b57-70cf-80fd-c2192cb3bf81</t>
        </is>
      </c>
      <c r="D1688" s="4" t="n">
        <v>46304.62406064585</v>
      </c>
      <c r="E1688" s="4" t="n">
        <v>46304.62406064594</v>
      </c>
      <c r="F1688" t="b">
        <v>1</v>
      </c>
      <c r="G1688" t="n">
        <v/>
      </c>
      <c r="H1688" t="inlineStr">
        <is>
          <t>INF</t>
        </is>
      </c>
      <c r="I1688" t="inlineStr">
        <is>
          <t>Infinity Lithium Corporation Ltd</t>
        </is>
      </c>
      <c r="J1688" t="inlineStr">
        <is>
          <t>AUD</t>
        </is>
      </c>
      <c r="K1688" s="5" t="inlineStr">
        <is>
          <t>01a1212c-4c04-75ce-bbb2-e3322e18816e</t>
        </is>
      </c>
      <c r="M1688" t="inlineStr">
        <is>
          <t>UNKNOWN</t>
        </is>
      </c>
      <c r="N1688" t="inlineStr">
        <is>
          <t>DEFAULT</t>
        </is>
      </c>
      <c r="Q1688" t="n">
        <v>0</v>
      </c>
      <c r="R1688" t="inlineStr">
        <is>
          <t>AUD</t>
        </is>
      </c>
      <c r="S1688" t="n">
        <v>0</v>
      </c>
      <c r="T1688" t="inlineStr">
        <is>
          <t>AUD</t>
        </is>
      </c>
      <c r="U1688" t="n">
        <v>0</v>
      </c>
    </row>
    <row r="1689">
      <c r="A1689" s="5" t="inlineStr">
        <is>
          <t>01a1212c-607a-71fd-b8f4-f96bbddbe404</t>
        </is>
      </c>
      <c r="C1689" s="5" t="inlineStr">
        <is>
          <t>01a1212c-4b57-70cf-80fd-c2192cb3bf81</t>
        </is>
      </c>
      <c r="D1689" s="4" t="n">
        <v>46304.62406068021</v>
      </c>
      <c r="E1689" s="4" t="n">
        <v>46304.62406068029</v>
      </c>
      <c r="F1689" t="b">
        <v>1</v>
      </c>
      <c r="G1689" t="n">
        <v/>
      </c>
      <c r="H1689" t="inlineStr">
        <is>
          <t>ASO</t>
        </is>
      </c>
      <c r="I1689" t="inlineStr">
        <is>
          <t>Aston Minerals Ltd</t>
        </is>
      </c>
      <c r="J1689" t="inlineStr">
        <is>
          <t>AUD</t>
        </is>
      </c>
      <c r="K1689" s="5" t="inlineStr">
        <is>
          <t>01a1212c-4c04-75ce-bbb2-e3322e18816e</t>
        </is>
      </c>
      <c r="M1689" t="inlineStr">
        <is>
          <t>UNKNOWN</t>
        </is>
      </c>
      <c r="N1689" t="inlineStr">
        <is>
          <t>DEFAULT</t>
        </is>
      </c>
      <c r="Q1689" t="n">
        <v>0</v>
      </c>
      <c r="R1689" t="inlineStr">
        <is>
          <t>AUD</t>
        </is>
      </c>
      <c r="S1689" t="n">
        <v>0</v>
      </c>
      <c r="T1689" t="inlineStr">
        <is>
          <t>AUD</t>
        </is>
      </c>
      <c r="U1689" t="n">
        <v>0</v>
      </c>
    </row>
    <row r="1690">
      <c r="A1690" s="5" t="inlineStr">
        <is>
          <t>01a1212c-607d-706f-b7e1-6d1faa667037</t>
        </is>
      </c>
      <c r="C1690" s="5" t="inlineStr">
        <is>
          <t>01a1212c-4b57-70cf-80fd-c2192cb3bf81</t>
        </is>
      </c>
      <c r="D1690" s="4" t="n">
        <v>46304.62406071205</v>
      </c>
      <c r="E1690" s="4" t="n">
        <v>46304.62406071213</v>
      </c>
      <c r="F1690" t="b">
        <v>1</v>
      </c>
      <c r="G1690" t="n">
        <v/>
      </c>
      <c r="H1690" t="inlineStr">
        <is>
          <t>NOR</t>
        </is>
      </c>
      <c r="I1690" t="inlineStr">
        <is>
          <t>Norwood Systems Ltd</t>
        </is>
      </c>
      <c r="J1690" t="inlineStr">
        <is>
          <t>AUD</t>
        </is>
      </c>
      <c r="K1690" s="5" t="inlineStr">
        <is>
          <t>01a1212c-4c04-75ce-bbb2-e3322e18816e</t>
        </is>
      </c>
      <c r="M1690" t="inlineStr">
        <is>
          <t>UNKNOWN</t>
        </is>
      </c>
      <c r="N1690" t="inlineStr">
        <is>
          <t>DEFAULT</t>
        </is>
      </c>
      <c r="Q1690" t="n">
        <v>0</v>
      </c>
      <c r="R1690" t="inlineStr">
        <is>
          <t>AUD</t>
        </is>
      </c>
      <c r="S1690" t="n">
        <v>0</v>
      </c>
      <c r="T1690" t="inlineStr">
        <is>
          <t>AUD</t>
        </is>
      </c>
      <c r="U1690" t="n">
        <v>0</v>
      </c>
    </row>
    <row r="1691">
      <c r="A1691" s="5" t="inlineStr">
        <is>
          <t>01a1212c-6080-7316-bcd8-291f676e0eda</t>
        </is>
      </c>
      <c r="C1691" s="5" t="inlineStr">
        <is>
          <t>01a1212c-4b57-70cf-80fd-c2192cb3bf81</t>
        </is>
      </c>
      <c r="D1691" s="4" t="n">
        <v>46304.6240607436</v>
      </c>
      <c r="E1691" s="4" t="n">
        <v>46304.62406074368</v>
      </c>
      <c r="F1691" t="b">
        <v>1</v>
      </c>
      <c r="G1691" t="n">
        <v/>
      </c>
      <c r="H1691" t="inlineStr">
        <is>
          <t>WSI</t>
        </is>
      </c>
      <c r="I1691" t="inlineStr">
        <is>
          <t>Weststar Industrial Ltd</t>
        </is>
      </c>
      <c r="J1691" t="inlineStr">
        <is>
          <t>AUD</t>
        </is>
      </c>
      <c r="K1691" s="5" t="inlineStr">
        <is>
          <t>01a1212c-4c04-75ce-bbb2-e3322e18816e</t>
        </is>
      </c>
      <c r="M1691" t="inlineStr">
        <is>
          <t>UNKNOWN</t>
        </is>
      </c>
      <c r="N1691" t="inlineStr">
        <is>
          <t>DEFAULT</t>
        </is>
      </c>
      <c r="Q1691" t="n">
        <v>0</v>
      </c>
      <c r="R1691" t="inlineStr">
        <is>
          <t>AUD</t>
        </is>
      </c>
      <c r="S1691" t="n">
        <v>0</v>
      </c>
      <c r="T1691" t="inlineStr">
        <is>
          <t>AUD</t>
        </is>
      </c>
      <c r="U1691" t="n">
        <v>0</v>
      </c>
    </row>
    <row r="1692">
      <c r="A1692" s="5" t="inlineStr">
        <is>
          <t>01a1212c-6082-73c8-a220-ab3f5c498d9d</t>
        </is>
      </c>
      <c r="C1692" s="5" t="inlineStr">
        <is>
          <t>01a1212c-4b57-70cf-80fd-c2192cb3bf81</t>
        </is>
      </c>
      <c r="D1692" s="4" t="n">
        <v>46304.62406077499</v>
      </c>
      <c r="E1692" s="4" t="n">
        <v>46304.62406077507</v>
      </c>
      <c r="F1692" t="b">
        <v>1</v>
      </c>
      <c r="G1692" t="n">
        <v/>
      </c>
      <c r="H1692" t="inlineStr">
        <is>
          <t>ZGL</t>
        </is>
      </c>
      <c r="I1692" t="inlineStr">
        <is>
          <t>ZICOM Group Ltd</t>
        </is>
      </c>
      <c r="J1692" t="inlineStr">
        <is>
          <t>AUD</t>
        </is>
      </c>
      <c r="K1692" s="5" t="inlineStr">
        <is>
          <t>01a1212c-4c04-75ce-bbb2-e3322e18816e</t>
        </is>
      </c>
      <c r="M1692" t="inlineStr">
        <is>
          <t>UNKNOWN</t>
        </is>
      </c>
      <c r="N1692" t="inlineStr">
        <is>
          <t>DEFAULT</t>
        </is>
      </c>
      <c r="Q1692" t="n">
        <v>0</v>
      </c>
      <c r="R1692" t="inlineStr">
        <is>
          <t>AUD</t>
        </is>
      </c>
      <c r="S1692" t="n">
        <v>0</v>
      </c>
      <c r="T1692" t="inlineStr">
        <is>
          <t>AUD</t>
        </is>
      </c>
      <c r="U1692" t="n">
        <v>0</v>
      </c>
    </row>
    <row r="1693">
      <c r="A1693" s="5" t="inlineStr">
        <is>
          <t>01a1212c-6085-77cf-a66c-5e1d09727d52</t>
        </is>
      </c>
      <c r="C1693" s="5" t="inlineStr">
        <is>
          <t>01a1212c-4b57-70cf-80fd-c2192cb3bf81</t>
        </is>
      </c>
      <c r="D1693" s="4" t="n">
        <v>46304.62406080827</v>
      </c>
      <c r="E1693" s="4" t="n">
        <v>46304.62406080835</v>
      </c>
      <c r="F1693" t="b">
        <v>1</v>
      </c>
      <c r="G1693" t="n">
        <v/>
      </c>
      <c r="H1693" t="inlineStr">
        <is>
          <t>ACR</t>
        </is>
      </c>
      <c r="I1693" t="inlineStr">
        <is>
          <t>ACRUX Ltd</t>
        </is>
      </c>
      <c r="J1693" t="inlineStr">
        <is>
          <t>AUD</t>
        </is>
      </c>
      <c r="K1693" s="5" t="inlineStr">
        <is>
          <t>01a1212c-4c04-75ce-bbb2-e3322e18816e</t>
        </is>
      </c>
      <c r="M1693" t="inlineStr">
        <is>
          <t>UNKNOWN</t>
        </is>
      </c>
      <c r="N1693" t="inlineStr">
        <is>
          <t>DEFAULT</t>
        </is>
      </c>
      <c r="Q1693" t="n">
        <v>0</v>
      </c>
      <c r="R1693" t="inlineStr">
        <is>
          <t>AUD</t>
        </is>
      </c>
      <c r="S1693" t="n">
        <v>0</v>
      </c>
      <c r="T1693" t="inlineStr">
        <is>
          <t>AUD</t>
        </is>
      </c>
      <c r="U1693" t="n">
        <v>0</v>
      </c>
    </row>
    <row r="1694">
      <c r="A1694" s="5" t="inlineStr">
        <is>
          <t>01a1212c-6088-761e-9a44-4894884cae69</t>
        </is>
      </c>
      <c r="C1694" s="5" t="inlineStr">
        <is>
          <t>01a1212c-4b57-70cf-80fd-c2192cb3bf81</t>
        </is>
      </c>
      <c r="D1694" s="4" t="n">
        <v>46304.62406084274</v>
      </c>
      <c r="E1694" s="4" t="n">
        <v>46304.62406084283</v>
      </c>
      <c r="F1694" t="b">
        <v>1</v>
      </c>
      <c r="G1694" t="n">
        <v/>
      </c>
      <c r="H1694" t="inlineStr">
        <is>
          <t>DKM</t>
        </is>
      </c>
      <c r="I1694" t="inlineStr">
        <is>
          <t>Duketon Mining Ltd</t>
        </is>
      </c>
      <c r="J1694" t="inlineStr">
        <is>
          <t>AUD</t>
        </is>
      </c>
      <c r="K1694" s="5" t="inlineStr">
        <is>
          <t>01a1212c-4c04-75ce-bbb2-e3322e18816e</t>
        </is>
      </c>
      <c r="M1694" t="inlineStr">
        <is>
          <t>UNKNOWN</t>
        </is>
      </c>
      <c r="N1694" t="inlineStr">
        <is>
          <t>DEFAULT</t>
        </is>
      </c>
      <c r="Q1694" t="n">
        <v>0</v>
      </c>
      <c r="R1694" t="inlineStr">
        <is>
          <t>AUD</t>
        </is>
      </c>
      <c r="S1694" t="n">
        <v>0</v>
      </c>
      <c r="T1694" t="inlineStr">
        <is>
          <t>AUD</t>
        </is>
      </c>
      <c r="U1694" t="n">
        <v>0</v>
      </c>
    </row>
    <row r="1695">
      <c r="A1695" s="5" t="inlineStr">
        <is>
          <t>01a1212c-608b-75c2-9644-8fa7214ea12f</t>
        </is>
      </c>
      <c r="C1695" s="5" t="inlineStr">
        <is>
          <t>01a1212c-4b57-70cf-80fd-c2192cb3bf81</t>
        </is>
      </c>
      <c r="D1695" s="4" t="n">
        <v>46304.62406087422</v>
      </c>
      <c r="E1695" s="4" t="n">
        <v>46304.6240608743</v>
      </c>
      <c r="F1695" t="b">
        <v>1</v>
      </c>
      <c r="G1695" t="n">
        <v/>
      </c>
      <c r="H1695" t="inlineStr">
        <is>
          <t>NAG</t>
        </is>
      </c>
      <c r="I1695" t="inlineStr">
        <is>
          <t>Nagambie Resources Ltd</t>
        </is>
      </c>
      <c r="J1695" t="inlineStr">
        <is>
          <t>AUD</t>
        </is>
      </c>
      <c r="K1695" s="5" t="inlineStr">
        <is>
          <t>01a1212c-4c04-75ce-bbb2-e3322e18816e</t>
        </is>
      </c>
      <c r="M1695" t="inlineStr">
        <is>
          <t>UNKNOWN</t>
        </is>
      </c>
      <c r="N1695" t="inlineStr">
        <is>
          <t>DEFAULT</t>
        </is>
      </c>
      <c r="Q1695" t="n">
        <v>0</v>
      </c>
      <c r="R1695" t="inlineStr">
        <is>
          <t>AUD</t>
        </is>
      </c>
      <c r="S1695" t="n">
        <v>0</v>
      </c>
      <c r="T1695" t="inlineStr">
        <is>
          <t>AUD</t>
        </is>
      </c>
      <c r="U1695" t="n">
        <v>0</v>
      </c>
    </row>
    <row r="1696">
      <c r="A1696" s="5" t="inlineStr">
        <is>
          <t>01a1212c-608e-7706-819e-7481398aaf82</t>
        </is>
      </c>
      <c r="C1696" s="5" t="inlineStr">
        <is>
          <t>01a1212c-4b57-70cf-80fd-c2192cb3bf81</t>
        </is>
      </c>
      <c r="D1696" s="4" t="n">
        <v>46304.62406090518</v>
      </c>
      <c r="E1696" s="4" t="n">
        <v>46304.62406090525</v>
      </c>
      <c r="F1696" t="b">
        <v>1</v>
      </c>
      <c r="G1696" t="n">
        <v/>
      </c>
      <c r="H1696" t="inlineStr">
        <is>
          <t>SHN</t>
        </is>
      </c>
      <c r="I1696" t="inlineStr">
        <is>
          <t>Sunshine Metals Ltd</t>
        </is>
      </c>
      <c r="J1696" t="inlineStr">
        <is>
          <t>AUD</t>
        </is>
      </c>
      <c r="K1696" s="5" t="inlineStr">
        <is>
          <t>01a1212c-4c04-75ce-bbb2-e3322e18816e</t>
        </is>
      </c>
      <c r="M1696" t="inlineStr">
        <is>
          <t>UNKNOWN</t>
        </is>
      </c>
      <c r="N1696" t="inlineStr">
        <is>
          <t>DEFAULT</t>
        </is>
      </c>
      <c r="Q1696" t="n">
        <v>0</v>
      </c>
      <c r="R1696" t="inlineStr">
        <is>
          <t>AUD</t>
        </is>
      </c>
      <c r="S1696" t="n">
        <v>0</v>
      </c>
      <c r="T1696" t="inlineStr">
        <is>
          <t>AUD</t>
        </is>
      </c>
      <c r="U1696" t="n">
        <v>0</v>
      </c>
    </row>
    <row r="1697">
      <c r="A1697" s="5" t="inlineStr">
        <is>
          <t>01a1212c-6090-7025-8c81-4357e42ef275</t>
        </is>
      </c>
      <c r="C1697" s="5" t="inlineStr">
        <is>
          <t>01a1212c-4b57-70cf-80fd-c2192cb3bf81</t>
        </is>
      </c>
      <c r="D1697" s="4" t="n">
        <v>46304.62406093642</v>
      </c>
      <c r="E1697" s="4" t="n">
        <v>46304.6240609365</v>
      </c>
      <c r="F1697" t="b">
        <v>1</v>
      </c>
      <c r="G1697" t="n">
        <v/>
      </c>
      <c r="H1697" t="inlineStr">
        <is>
          <t>TEE</t>
        </is>
      </c>
      <c r="I1697" t="inlineStr">
        <is>
          <t>Top End Energy Ltd</t>
        </is>
      </c>
      <c r="J1697" t="inlineStr">
        <is>
          <t>AUD</t>
        </is>
      </c>
      <c r="K1697" s="5" t="inlineStr">
        <is>
          <t>01a1212c-4c04-75ce-bbb2-e3322e18816e</t>
        </is>
      </c>
      <c r="M1697" t="inlineStr">
        <is>
          <t>UNKNOWN</t>
        </is>
      </c>
      <c r="N1697" t="inlineStr">
        <is>
          <t>DEFAULT</t>
        </is>
      </c>
      <c r="Q1697" t="n">
        <v>0</v>
      </c>
      <c r="R1697" t="inlineStr">
        <is>
          <t>AUD</t>
        </is>
      </c>
      <c r="S1697" t="n">
        <v>0</v>
      </c>
      <c r="T1697" t="inlineStr">
        <is>
          <t>AUD</t>
        </is>
      </c>
      <c r="U1697" t="n">
        <v>0</v>
      </c>
    </row>
    <row r="1698">
      <c r="A1698" s="5" t="inlineStr">
        <is>
          <t>01a1212c-6093-727f-a17f-199c00225240</t>
        </is>
      </c>
      <c r="C1698" s="5" t="inlineStr">
        <is>
          <t>01a1212c-4b57-70cf-80fd-c2192cb3bf81</t>
        </is>
      </c>
      <c r="D1698" s="4" t="n">
        <v>46304.62406096839</v>
      </c>
      <c r="E1698" s="4" t="n">
        <v>46304.62406096848</v>
      </c>
      <c r="F1698" t="b">
        <v>1</v>
      </c>
      <c r="G1698" t="n">
        <v/>
      </c>
      <c r="H1698" t="inlineStr">
        <is>
          <t>MGT</t>
        </is>
      </c>
      <c r="I1698" t="inlineStr">
        <is>
          <t>Magnetite Mines Ltd</t>
        </is>
      </c>
      <c r="J1698" t="inlineStr">
        <is>
          <t>AUD</t>
        </is>
      </c>
      <c r="K1698" s="5" t="inlineStr">
        <is>
          <t>01a1212c-4c04-75ce-bbb2-e3322e18816e</t>
        </is>
      </c>
      <c r="M1698" t="inlineStr">
        <is>
          <t>UNKNOWN</t>
        </is>
      </c>
      <c r="N1698" t="inlineStr">
        <is>
          <t>DEFAULT</t>
        </is>
      </c>
      <c r="Q1698" t="n">
        <v>0</v>
      </c>
      <c r="R1698" t="inlineStr">
        <is>
          <t>AUD</t>
        </is>
      </c>
      <c r="S1698" t="n">
        <v>0</v>
      </c>
      <c r="T1698" t="inlineStr">
        <is>
          <t>AUD</t>
        </is>
      </c>
      <c r="U1698" t="n">
        <v>0</v>
      </c>
    </row>
    <row r="1699">
      <c r="A1699" s="5" t="inlineStr">
        <is>
          <t>01a1212c-6096-709a-befe-7afa986e157b</t>
        </is>
      </c>
      <c r="C1699" s="5" t="inlineStr">
        <is>
          <t>01a1212c-4b57-70cf-80fd-c2192cb3bf81</t>
        </is>
      </c>
      <c r="D1699" s="4" t="n">
        <v>46304.62406100708</v>
      </c>
      <c r="E1699" s="4" t="n">
        <v>46304.62406100718</v>
      </c>
      <c r="F1699" t="b">
        <v>1</v>
      </c>
      <c r="G1699" t="n">
        <v/>
      </c>
      <c r="H1699" t="inlineStr">
        <is>
          <t>HJZP</t>
        </is>
      </c>
      <c r="I1699" t="inlineStr">
        <is>
          <t>HEJAZ Property Fund (Managed Fund)</t>
        </is>
      </c>
      <c r="J1699" t="inlineStr">
        <is>
          <t>AUD</t>
        </is>
      </c>
      <c r="K1699" s="5" t="inlineStr">
        <is>
          <t>01a1212c-4c04-75ce-bbb2-e3322e18816e</t>
        </is>
      </c>
      <c r="M1699" t="inlineStr">
        <is>
          <t>UNKNOWN</t>
        </is>
      </c>
      <c r="N1699" t="inlineStr">
        <is>
          <t>DEFAULT</t>
        </is>
      </c>
      <c r="Q1699" t="n">
        <v>0</v>
      </c>
      <c r="R1699" t="inlineStr">
        <is>
          <t>AUD</t>
        </is>
      </c>
      <c r="S1699" t="n">
        <v>0</v>
      </c>
      <c r="T1699" t="inlineStr">
        <is>
          <t>AUD</t>
        </is>
      </c>
      <c r="U1699" t="n">
        <v>0</v>
      </c>
    </row>
    <row r="1700">
      <c r="A1700" s="5" t="inlineStr">
        <is>
          <t>01a1212c-6099-76fd-b638-e23c2305ac05</t>
        </is>
      </c>
      <c r="C1700" s="5" t="inlineStr">
        <is>
          <t>01a1212c-4b57-70cf-80fd-c2192cb3bf81</t>
        </is>
      </c>
      <c r="D1700" s="4" t="n">
        <v>46304.62406104051</v>
      </c>
      <c r="E1700" s="4" t="n">
        <v>46304.62406104059</v>
      </c>
      <c r="F1700" t="b">
        <v>1</v>
      </c>
      <c r="G1700" t="n">
        <v/>
      </c>
      <c r="H1700" t="inlineStr">
        <is>
          <t>EQE</t>
        </is>
      </c>
      <c r="I1700" t="inlineStr">
        <is>
          <t>EQUUS Mining Ltd</t>
        </is>
      </c>
      <c r="J1700" t="inlineStr">
        <is>
          <t>AUD</t>
        </is>
      </c>
      <c r="K1700" s="5" t="inlineStr">
        <is>
          <t>01a1212c-4c04-75ce-bbb2-e3322e18816e</t>
        </is>
      </c>
      <c r="M1700" t="inlineStr">
        <is>
          <t>UNKNOWN</t>
        </is>
      </c>
      <c r="N1700" t="inlineStr">
        <is>
          <t>DEFAULT</t>
        </is>
      </c>
      <c r="Q1700" t="n">
        <v>0</v>
      </c>
      <c r="R1700" t="inlineStr">
        <is>
          <t>AUD</t>
        </is>
      </c>
      <c r="S1700" t="n">
        <v>0</v>
      </c>
      <c r="T1700" t="inlineStr">
        <is>
          <t>AUD</t>
        </is>
      </c>
      <c r="U1700" t="n">
        <v>0</v>
      </c>
    </row>
    <row r="1701">
      <c r="A1701" s="5" t="inlineStr">
        <is>
          <t>01a1212c-609c-7682-b6f0-08541f9f0eeb</t>
        </is>
      </c>
      <c r="C1701" s="5" t="inlineStr">
        <is>
          <t>01a1212c-4b57-70cf-80fd-c2192cb3bf81</t>
        </is>
      </c>
      <c r="D1701" s="4" t="n">
        <v>46304.62406107193</v>
      </c>
      <c r="E1701" s="4" t="n">
        <v>46304.62406107201</v>
      </c>
      <c r="F1701" t="b">
        <v>1</v>
      </c>
      <c r="G1701" t="n">
        <v/>
      </c>
      <c r="H1701" t="inlineStr">
        <is>
          <t>WMG</t>
        </is>
      </c>
      <c r="I1701" t="inlineStr">
        <is>
          <t>Western Mines Group Ltd</t>
        </is>
      </c>
      <c r="J1701" t="inlineStr">
        <is>
          <t>AUD</t>
        </is>
      </c>
      <c r="K1701" s="5" t="inlineStr">
        <is>
          <t>01a1212c-4c04-75ce-bbb2-e3322e18816e</t>
        </is>
      </c>
      <c r="M1701" t="inlineStr">
        <is>
          <t>UNKNOWN</t>
        </is>
      </c>
      <c r="N1701" t="inlineStr">
        <is>
          <t>DEFAULT</t>
        </is>
      </c>
      <c r="Q1701" t="n">
        <v>0</v>
      </c>
      <c r="R1701" t="inlineStr">
        <is>
          <t>AUD</t>
        </is>
      </c>
      <c r="S1701" t="n">
        <v>0</v>
      </c>
      <c r="T1701" t="inlineStr">
        <is>
          <t>AUD</t>
        </is>
      </c>
      <c r="U1701" t="n">
        <v>0</v>
      </c>
    </row>
    <row r="1702">
      <c r="A1702" s="5" t="inlineStr">
        <is>
          <t>01a1212c-609f-73a8-be66-2ba15aa00eb4</t>
        </is>
      </c>
      <c r="C1702" s="5" t="inlineStr">
        <is>
          <t>01a1212c-4b57-70cf-80fd-c2192cb3bf81</t>
        </is>
      </c>
      <c r="D1702" s="4" t="n">
        <v>46304.6240611031</v>
      </c>
      <c r="E1702" s="4" t="n">
        <v>46304.62406110318</v>
      </c>
      <c r="F1702" t="b">
        <v>1</v>
      </c>
      <c r="G1702" t="n">
        <v/>
      </c>
      <c r="H1702" t="inlineStr">
        <is>
          <t>CR1</t>
        </is>
      </c>
      <c r="I1702" t="inlineStr">
        <is>
          <t>Constellation Resources Ltd</t>
        </is>
      </c>
      <c r="J1702" t="inlineStr">
        <is>
          <t>AUD</t>
        </is>
      </c>
      <c r="K1702" s="5" t="inlineStr">
        <is>
          <t>01a1212c-4c04-75ce-bbb2-e3322e18816e</t>
        </is>
      </c>
      <c r="M1702" t="inlineStr">
        <is>
          <t>UNKNOWN</t>
        </is>
      </c>
      <c r="N1702" t="inlineStr">
        <is>
          <t>DEFAULT</t>
        </is>
      </c>
      <c r="Q1702" t="n">
        <v>0</v>
      </c>
      <c r="R1702" t="inlineStr">
        <is>
          <t>AUD</t>
        </is>
      </c>
      <c r="S1702" t="n">
        <v>0</v>
      </c>
      <c r="T1702" t="inlineStr">
        <is>
          <t>AUD</t>
        </is>
      </c>
      <c r="U1702" t="n">
        <v>0</v>
      </c>
    </row>
    <row r="1703">
      <c r="A1703" s="5" t="inlineStr">
        <is>
          <t>01a1212c-60a2-75f3-b9d3-3e471892b53a</t>
        </is>
      </c>
      <c r="C1703" s="5" t="inlineStr">
        <is>
          <t>01a1212c-4b57-70cf-80fd-c2192cb3bf81</t>
        </is>
      </c>
      <c r="D1703" s="4" t="n">
        <v>46304.62406113657</v>
      </c>
      <c r="E1703" s="4" t="n">
        <v>46304.62406113665</v>
      </c>
      <c r="F1703" t="b">
        <v>1</v>
      </c>
      <c r="G1703" t="n">
        <v/>
      </c>
      <c r="H1703" t="inlineStr">
        <is>
          <t>IG6</t>
        </is>
      </c>
      <c r="I1703" t="inlineStr">
        <is>
          <t>International Graphite Ltd</t>
        </is>
      </c>
      <c r="J1703" t="inlineStr">
        <is>
          <t>AUD</t>
        </is>
      </c>
      <c r="K1703" s="5" t="inlineStr">
        <is>
          <t>01a1212c-4c04-75ce-bbb2-e3322e18816e</t>
        </is>
      </c>
      <c r="M1703" t="inlineStr">
        <is>
          <t>UNKNOWN</t>
        </is>
      </c>
      <c r="N1703" t="inlineStr">
        <is>
          <t>DEFAULT</t>
        </is>
      </c>
      <c r="Q1703" t="n">
        <v>0</v>
      </c>
      <c r="R1703" t="inlineStr">
        <is>
          <t>AUD</t>
        </is>
      </c>
      <c r="S1703" t="n">
        <v>0</v>
      </c>
      <c r="T1703" t="inlineStr">
        <is>
          <t>AUD</t>
        </is>
      </c>
      <c r="U1703" t="n">
        <v>0</v>
      </c>
    </row>
    <row r="1704">
      <c r="A1704" s="5" t="inlineStr">
        <is>
          <t>01a1212c-60a4-7470-82c1-fe654263c2b6</t>
        </is>
      </c>
      <c r="C1704" s="5" t="inlineStr">
        <is>
          <t>01a1212c-4b57-70cf-80fd-c2192cb3bf81</t>
        </is>
      </c>
      <c r="D1704" s="4" t="n">
        <v>46304.62406116861</v>
      </c>
      <c r="E1704" s="4" t="n">
        <v>46304.6240611687</v>
      </c>
      <c r="F1704" t="b">
        <v>1</v>
      </c>
      <c r="G1704" t="n">
        <v/>
      </c>
      <c r="H1704" t="inlineStr">
        <is>
          <t>TON</t>
        </is>
      </c>
      <c r="I1704" t="inlineStr">
        <is>
          <t>Triton Minerals Ltd</t>
        </is>
      </c>
      <c r="J1704" t="inlineStr">
        <is>
          <t>AUD</t>
        </is>
      </c>
      <c r="K1704" s="5" t="inlineStr">
        <is>
          <t>01a1212c-4c04-75ce-bbb2-e3322e18816e</t>
        </is>
      </c>
      <c r="M1704" t="inlineStr">
        <is>
          <t>UNKNOWN</t>
        </is>
      </c>
      <c r="N1704" t="inlineStr">
        <is>
          <t>DEFAULT</t>
        </is>
      </c>
      <c r="Q1704" t="n">
        <v>0</v>
      </c>
      <c r="R1704" t="inlineStr">
        <is>
          <t>AUD</t>
        </is>
      </c>
      <c r="S1704" t="n">
        <v>0</v>
      </c>
      <c r="T1704" t="inlineStr">
        <is>
          <t>AUD</t>
        </is>
      </c>
      <c r="U1704" t="n">
        <v>0</v>
      </c>
    </row>
    <row r="1705">
      <c r="A1705" s="5" t="inlineStr">
        <is>
          <t>01a1212c-60a7-7188-a2f0-50f56a7b90f3</t>
        </is>
      </c>
      <c r="C1705" s="5" t="inlineStr">
        <is>
          <t>01a1212c-4b57-70cf-80fd-c2192cb3bf81</t>
        </is>
      </c>
      <c r="D1705" s="4" t="n">
        <v>46304.62406119981</v>
      </c>
      <c r="E1705" s="4" t="n">
        <v>46304.62406119989</v>
      </c>
      <c r="F1705" t="b">
        <v>1</v>
      </c>
      <c r="G1705" t="n">
        <v/>
      </c>
      <c r="H1705" t="inlineStr">
        <is>
          <t>BPP</t>
        </is>
      </c>
      <c r="I1705" t="inlineStr">
        <is>
          <t>Babylon Pump &amp; Power Ltd</t>
        </is>
      </c>
      <c r="J1705" t="inlineStr">
        <is>
          <t>AUD</t>
        </is>
      </c>
      <c r="K1705" s="5" t="inlineStr">
        <is>
          <t>01a1212c-4c04-75ce-bbb2-e3322e18816e</t>
        </is>
      </c>
      <c r="M1705" t="inlineStr">
        <is>
          <t>UNKNOWN</t>
        </is>
      </c>
      <c r="N1705" t="inlineStr">
        <is>
          <t>DEFAULT</t>
        </is>
      </c>
      <c r="Q1705" t="n">
        <v>0</v>
      </c>
      <c r="R1705" t="inlineStr">
        <is>
          <t>AUD</t>
        </is>
      </c>
      <c r="S1705" t="n">
        <v>0</v>
      </c>
      <c r="T1705" t="inlineStr">
        <is>
          <t>AUD</t>
        </is>
      </c>
      <c r="U1705" t="n">
        <v>0</v>
      </c>
    </row>
    <row r="1706">
      <c r="A1706" s="5" t="inlineStr">
        <is>
          <t>01a1212c-60aa-7181-b0d3-ee25da8c419d</t>
        </is>
      </c>
      <c r="C1706" s="5" t="inlineStr">
        <is>
          <t>01a1212c-4b57-70cf-80fd-c2192cb3bf81</t>
        </is>
      </c>
      <c r="D1706" s="4" t="n">
        <v>46304.62406123057</v>
      </c>
      <c r="E1706" s="4" t="n">
        <v>46304.62406123065</v>
      </c>
      <c r="F1706" t="b">
        <v>1</v>
      </c>
      <c r="G1706" t="n">
        <v/>
      </c>
      <c r="H1706" t="inlineStr">
        <is>
          <t>SKK</t>
        </is>
      </c>
      <c r="I1706" t="inlineStr">
        <is>
          <t>Stakk Ltd</t>
        </is>
      </c>
      <c r="J1706" t="inlineStr">
        <is>
          <t>AUD</t>
        </is>
      </c>
      <c r="K1706" s="5" t="inlineStr">
        <is>
          <t>01a1212c-4c04-75ce-bbb2-e3322e18816e</t>
        </is>
      </c>
      <c r="M1706" t="inlineStr">
        <is>
          <t>UNKNOWN</t>
        </is>
      </c>
      <c r="N1706" t="inlineStr">
        <is>
          <t>DEFAULT</t>
        </is>
      </c>
      <c r="Q1706" t="n">
        <v>0</v>
      </c>
      <c r="R1706" t="inlineStr">
        <is>
          <t>AUD</t>
        </is>
      </c>
      <c r="S1706" t="n">
        <v>0</v>
      </c>
      <c r="T1706" t="inlineStr">
        <is>
          <t>AUD</t>
        </is>
      </c>
      <c r="U1706" t="n">
        <v>0</v>
      </c>
    </row>
    <row r="1707">
      <c r="A1707" s="5" t="inlineStr">
        <is>
          <t>01a1212c-60ac-7548-83c1-edb1a7e0c64a</t>
        </is>
      </c>
      <c r="C1707" s="5" t="inlineStr">
        <is>
          <t>01a1212c-4b57-70cf-80fd-c2192cb3bf81</t>
        </is>
      </c>
      <c r="D1707" s="4" t="n">
        <v>46304.62406126159</v>
      </c>
      <c r="E1707" s="4" t="n">
        <v>46304.62406126167</v>
      </c>
      <c r="F1707" t="b">
        <v>1</v>
      </c>
      <c r="G1707" t="n">
        <v/>
      </c>
      <c r="H1707" t="inlineStr">
        <is>
          <t>RFT</t>
        </is>
      </c>
      <c r="I1707" t="inlineStr">
        <is>
          <t>Rectifier Technologies Ltd</t>
        </is>
      </c>
      <c r="J1707" t="inlineStr">
        <is>
          <t>AUD</t>
        </is>
      </c>
      <c r="K1707" s="5" t="inlineStr">
        <is>
          <t>01a1212c-4c04-75ce-bbb2-e3322e18816e</t>
        </is>
      </c>
      <c r="M1707" t="inlineStr">
        <is>
          <t>UNKNOWN</t>
        </is>
      </c>
      <c r="N1707" t="inlineStr">
        <is>
          <t>DEFAULT</t>
        </is>
      </c>
      <c r="Q1707" t="n">
        <v>0</v>
      </c>
      <c r="R1707" t="inlineStr">
        <is>
          <t>AUD</t>
        </is>
      </c>
      <c r="S1707" t="n">
        <v>0</v>
      </c>
      <c r="T1707" t="inlineStr">
        <is>
          <t>AUD</t>
        </is>
      </c>
      <c r="U1707" t="n">
        <v>0</v>
      </c>
    </row>
    <row r="1708">
      <c r="A1708" s="5" t="inlineStr">
        <is>
          <t>01a1212c-60af-7682-ba9f-e0283f26f676</t>
        </is>
      </c>
      <c r="C1708" s="5" t="inlineStr">
        <is>
          <t>01a1212c-4b57-70cf-80fd-c2192cb3bf81</t>
        </is>
      </c>
      <c r="D1708" s="4" t="n">
        <v>46304.62406129629</v>
      </c>
      <c r="E1708" s="4" t="n">
        <v>46304.62406129637</v>
      </c>
      <c r="F1708" t="b">
        <v>1</v>
      </c>
      <c r="G1708" t="n">
        <v/>
      </c>
      <c r="H1708" t="inlineStr">
        <is>
          <t>PEC</t>
        </is>
      </c>
      <c r="I1708" t="inlineStr">
        <is>
          <t>Perpetual Resources Ltd</t>
        </is>
      </c>
      <c r="J1708" t="inlineStr">
        <is>
          <t>AUD</t>
        </is>
      </c>
      <c r="K1708" s="5" t="inlineStr">
        <is>
          <t>01a1212c-4c04-75ce-bbb2-e3322e18816e</t>
        </is>
      </c>
      <c r="M1708" t="inlineStr">
        <is>
          <t>UNKNOWN</t>
        </is>
      </c>
      <c r="N1708" t="inlineStr">
        <is>
          <t>DEFAULT</t>
        </is>
      </c>
      <c r="Q1708" t="n">
        <v>0</v>
      </c>
      <c r="R1708" t="inlineStr">
        <is>
          <t>AUD</t>
        </is>
      </c>
      <c r="S1708" t="n">
        <v>0</v>
      </c>
      <c r="T1708" t="inlineStr">
        <is>
          <t>AUD</t>
        </is>
      </c>
      <c r="U1708" t="n">
        <v>0</v>
      </c>
    </row>
    <row r="1709">
      <c r="A1709" s="5" t="inlineStr">
        <is>
          <t>01a1212c-60b2-754a-9b69-340454d504c8</t>
        </is>
      </c>
      <c r="C1709" s="5" t="inlineStr">
        <is>
          <t>01a1212c-4b57-70cf-80fd-c2192cb3bf81</t>
        </is>
      </c>
      <c r="D1709" s="4" t="n">
        <v>46304.62406132733</v>
      </c>
      <c r="E1709" s="4" t="n">
        <v>46304.62406132741</v>
      </c>
      <c r="F1709" t="b">
        <v>1</v>
      </c>
      <c r="G1709" t="n">
        <v/>
      </c>
      <c r="H1709" t="inlineStr">
        <is>
          <t>AJL</t>
        </is>
      </c>
      <c r="I1709" t="inlineStr">
        <is>
          <t>AJ Lucas Group Ltd</t>
        </is>
      </c>
      <c r="J1709" t="inlineStr">
        <is>
          <t>AUD</t>
        </is>
      </c>
      <c r="K1709" s="5" t="inlineStr">
        <is>
          <t>01a1212c-4c04-75ce-bbb2-e3322e18816e</t>
        </is>
      </c>
      <c r="M1709" t="inlineStr">
        <is>
          <t>UNKNOWN</t>
        </is>
      </c>
      <c r="N1709" t="inlineStr">
        <is>
          <t>DEFAULT</t>
        </is>
      </c>
      <c r="Q1709" t="n">
        <v>0</v>
      </c>
      <c r="R1709" t="inlineStr">
        <is>
          <t>AUD</t>
        </is>
      </c>
      <c r="S1709" t="n">
        <v>0</v>
      </c>
      <c r="T1709" t="inlineStr">
        <is>
          <t>AUD</t>
        </is>
      </c>
      <c r="U1709" t="n">
        <v>0</v>
      </c>
    </row>
    <row r="1710">
      <c r="A1710" s="5" t="inlineStr">
        <is>
          <t>01a1212c-60b5-70bf-b415-7bd62a17d1fb</t>
        </is>
      </c>
      <c r="C1710" s="5" t="inlineStr">
        <is>
          <t>01a1212c-4b57-70cf-80fd-c2192cb3bf81</t>
        </is>
      </c>
      <c r="D1710" s="4" t="n">
        <v>46304.62406136138</v>
      </c>
      <c r="E1710" s="4" t="n">
        <v>46304.62406136146</v>
      </c>
      <c r="F1710" t="b">
        <v>1</v>
      </c>
      <c r="G1710" t="n">
        <v/>
      </c>
      <c r="H1710" t="inlineStr">
        <is>
          <t>DRIV</t>
        </is>
      </c>
      <c r="I1710" t="inlineStr">
        <is>
          <t>Betashares Electric Vehicles and FTR Mobility ETF</t>
        </is>
      </c>
      <c r="J1710" t="inlineStr">
        <is>
          <t>AUD</t>
        </is>
      </c>
      <c r="K1710" s="5" t="inlineStr">
        <is>
          <t>01a1212c-4c04-75ce-bbb2-e3322e18816e</t>
        </is>
      </c>
      <c r="M1710" t="inlineStr">
        <is>
          <t>UNKNOWN</t>
        </is>
      </c>
      <c r="N1710" t="inlineStr">
        <is>
          <t>DEFAULT</t>
        </is>
      </c>
      <c r="Q1710" t="n">
        <v>0</v>
      </c>
      <c r="R1710" t="inlineStr">
        <is>
          <t>AUD</t>
        </is>
      </c>
      <c r="S1710" t="n">
        <v>0</v>
      </c>
      <c r="T1710" t="inlineStr">
        <is>
          <t>AUD</t>
        </is>
      </c>
      <c r="U1710" t="n">
        <v>0</v>
      </c>
    </row>
    <row r="1711">
      <c r="A1711" s="5" t="inlineStr">
        <is>
          <t>01a1212c-60b8-7065-8213-2233841f2e48</t>
        </is>
      </c>
      <c r="C1711" s="5" t="inlineStr">
        <is>
          <t>01a1212c-4b57-70cf-80fd-c2192cb3bf81</t>
        </is>
      </c>
      <c r="D1711" s="4" t="n">
        <v>46304.62406139293</v>
      </c>
      <c r="E1711" s="4" t="n">
        <v>46304.62406139301</v>
      </c>
      <c r="F1711" t="b">
        <v>1</v>
      </c>
      <c r="G1711" t="n">
        <v/>
      </c>
      <c r="H1711" t="inlineStr">
        <is>
          <t>VMC</t>
        </is>
      </c>
      <c r="I1711" t="inlineStr">
        <is>
          <t>Venus Metals Corporation Ltd</t>
        </is>
      </c>
      <c r="J1711" t="inlineStr">
        <is>
          <t>AUD</t>
        </is>
      </c>
      <c r="K1711" s="5" t="inlineStr">
        <is>
          <t>01a1212c-4c04-75ce-bbb2-e3322e18816e</t>
        </is>
      </c>
      <c r="M1711" t="inlineStr">
        <is>
          <t>UNKNOWN</t>
        </is>
      </c>
      <c r="N1711" t="inlineStr">
        <is>
          <t>DEFAULT</t>
        </is>
      </c>
      <c r="Q1711" t="n">
        <v>0</v>
      </c>
      <c r="R1711" t="inlineStr">
        <is>
          <t>AUD</t>
        </is>
      </c>
      <c r="S1711" t="n">
        <v>0</v>
      </c>
      <c r="T1711" t="inlineStr">
        <is>
          <t>AUD</t>
        </is>
      </c>
      <c r="U1711" t="n">
        <v>0</v>
      </c>
    </row>
    <row r="1712">
      <c r="A1712" s="5" t="inlineStr">
        <is>
          <t>01a1212c-60bb-7160-8eef-3dca77cdc880</t>
        </is>
      </c>
      <c r="C1712" s="5" t="inlineStr">
        <is>
          <t>01a1212c-4b57-70cf-80fd-c2192cb3bf81</t>
        </is>
      </c>
      <c r="D1712" s="4" t="n">
        <v>46304.62406143014</v>
      </c>
      <c r="E1712" s="4" t="n">
        <v>46304.62406143023</v>
      </c>
      <c r="F1712" t="b">
        <v>1</v>
      </c>
      <c r="G1712" t="n">
        <v/>
      </c>
      <c r="H1712" t="inlineStr">
        <is>
          <t>ASP</t>
        </is>
      </c>
      <c r="I1712" t="inlineStr">
        <is>
          <t>Aspermont Ltd</t>
        </is>
      </c>
      <c r="J1712" t="inlineStr">
        <is>
          <t>AUD</t>
        </is>
      </c>
      <c r="K1712" s="5" t="inlineStr">
        <is>
          <t>01a1212c-4c04-75ce-bbb2-e3322e18816e</t>
        </is>
      </c>
      <c r="M1712" t="inlineStr">
        <is>
          <t>UNKNOWN</t>
        </is>
      </c>
      <c r="N1712" t="inlineStr">
        <is>
          <t>DEFAULT</t>
        </is>
      </c>
      <c r="Q1712" t="n">
        <v>0</v>
      </c>
      <c r="R1712" t="inlineStr">
        <is>
          <t>AUD</t>
        </is>
      </c>
      <c r="S1712" t="n">
        <v>0</v>
      </c>
      <c r="T1712" t="inlineStr">
        <is>
          <t>AUD</t>
        </is>
      </c>
      <c r="U1712" t="n">
        <v>0</v>
      </c>
    </row>
    <row r="1713">
      <c r="A1713" s="5" t="inlineStr">
        <is>
          <t>01a1212c-60be-72a9-bc80-3b7907673109</t>
        </is>
      </c>
      <c r="C1713" s="5" t="inlineStr">
        <is>
          <t>01a1212c-4b57-70cf-80fd-c2192cb3bf81</t>
        </is>
      </c>
      <c r="D1713" s="4" t="n">
        <v>46304.62406146336</v>
      </c>
      <c r="E1713" s="4" t="n">
        <v>46304.62406146345</v>
      </c>
      <c r="F1713" t="b">
        <v>1</v>
      </c>
      <c r="G1713" t="n">
        <v/>
      </c>
      <c r="H1713" t="inlineStr">
        <is>
          <t>IGRO</t>
        </is>
      </c>
      <c r="I1713" t="inlineStr">
        <is>
          <t>Ishares High Growth Esg ETF</t>
        </is>
      </c>
      <c r="J1713" t="inlineStr">
        <is>
          <t>AUD</t>
        </is>
      </c>
      <c r="K1713" s="5" t="inlineStr">
        <is>
          <t>01a1212c-4c04-75ce-bbb2-e3322e18816e</t>
        </is>
      </c>
      <c r="M1713" t="inlineStr">
        <is>
          <t>UNKNOWN</t>
        </is>
      </c>
      <c r="N1713" t="inlineStr">
        <is>
          <t>DEFAULT</t>
        </is>
      </c>
      <c r="Q1713" t="n">
        <v>0</v>
      </c>
      <c r="R1713" t="inlineStr">
        <is>
          <t>AUD</t>
        </is>
      </c>
      <c r="S1713" t="n">
        <v>0</v>
      </c>
      <c r="T1713" t="inlineStr">
        <is>
          <t>AUD</t>
        </is>
      </c>
      <c r="U1713" t="n">
        <v>0</v>
      </c>
    </row>
    <row r="1714">
      <c r="A1714" s="5" t="inlineStr">
        <is>
          <t>01a1212c-60c1-76d0-9d64-99fab1e82f61</t>
        </is>
      </c>
      <c r="C1714" s="5" t="inlineStr">
        <is>
          <t>01a1212c-4b57-70cf-80fd-c2192cb3bf81</t>
        </is>
      </c>
      <c r="D1714" s="4" t="n">
        <v>46304.62406149592</v>
      </c>
      <c r="E1714" s="4" t="n">
        <v>46304.62406149602</v>
      </c>
      <c r="F1714" t="b">
        <v>1</v>
      </c>
      <c r="G1714" t="n">
        <v/>
      </c>
      <c r="H1714" t="inlineStr">
        <is>
          <t>JNDQ</t>
        </is>
      </c>
      <c r="I1714" t="inlineStr">
        <is>
          <t>Betashares Nasdaq Next Gen 100 ETF</t>
        </is>
      </c>
      <c r="J1714" t="inlineStr">
        <is>
          <t>AUD</t>
        </is>
      </c>
      <c r="K1714" s="5" t="inlineStr">
        <is>
          <t>01a1212c-4c04-75ce-bbb2-e3322e18816e</t>
        </is>
      </c>
      <c r="M1714" t="inlineStr">
        <is>
          <t>UNKNOWN</t>
        </is>
      </c>
      <c r="N1714" t="inlineStr">
        <is>
          <t>DEFAULT</t>
        </is>
      </c>
      <c r="Q1714" t="n">
        <v>0</v>
      </c>
      <c r="R1714" t="inlineStr">
        <is>
          <t>AUD</t>
        </is>
      </c>
      <c r="S1714" t="n">
        <v>0</v>
      </c>
      <c r="T1714" t="inlineStr">
        <is>
          <t>AUD</t>
        </is>
      </c>
      <c r="U1714" t="n">
        <v>0</v>
      </c>
    </row>
    <row r="1715">
      <c r="A1715" s="5" t="inlineStr">
        <is>
          <t>01a1212c-60c3-71a9-b406-8c91afd49d8d</t>
        </is>
      </c>
      <c r="C1715" s="5" t="inlineStr">
        <is>
          <t>01a1212c-4b57-70cf-80fd-c2192cb3bf81</t>
        </is>
      </c>
      <c r="D1715" s="4" t="n">
        <v>46304.62406152749</v>
      </c>
      <c r="E1715" s="4" t="n">
        <v>46304.62406152757</v>
      </c>
      <c r="F1715" t="b">
        <v>1</v>
      </c>
      <c r="G1715" t="n">
        <v/>
      </c>
      <c r="H1715" t="inlineStr">
        <is>
          <t>GUL</t>
        </is>
      </c>
      <c r="I1715" t="inlineStr">
        <is>
          <t>Gullewa Ltd</t>
        </is>
      </c>
      <c r="J1715" t="inlineStr">
        <is>
          <t>AUD</t>
        </is>
      </c>
      <c r="K1715" s="5" t="inlineStr">
        <is>
          <t>01a1212c-4c04-75ce-bbb2-e3322e18816e</t>
        </is>
      </c>
      <c r="M1715" t="inlineStr">
        <is>
          <t>UNKNOWN</t>
        </is>
      </c>
      <c r="N1715" t="inlineStr">
        <is>
          <t>DEFAULT</t>
        </is>
      </c>
      <c r="Q1715" t="n">
        <v>0</v>
      </c>
      <c r="R1715" t="inlineStr">
        <is>
          <t>AUD</t>
        </is>
      </c>
      <c r="S1715" t="n">
        <v>0</v>
      </c>
      <c r="T1715" t="inlineStr">
        <is>
          <t>AUD</t>
        </is>
      </c>
      <c r="U1715" t="n">
        <v>0</v>
      </c>
    </row>
    <row r="1716">
      <c r="A1716" s="5" t="inlineStr">
        <is>
          <t>01a1212c-60c6-708c-9e93-7d43560bd526</t>
        </is>
      </c>
      <c r="C1716" s="5" t="inlineStr">
        <is>
          <t>01a1212c-4b57-70cf-80fd-c2192cb3bf81</t>
        </is>
      </c>
      <c r="D1716" s="4" t="n">
        <v>46304.62406155869</v>
      </c>
      <c r="E1716" s="4" t="n">
        <v>46304.62406155877</v>
      </c>
      <c r="F1716" t="b">
        <v>1</v>
      </c>
      <c r="G1716" t="n">
        <v/>
      </c>
      <c r="H1716" t="inlineStr">
        <is>
          <t>CMD</t>
        </is>
      </c>
      <c r="I1716" t="inlineStr">
        <is>
          <t>Cassius Mining Ltd</t>
        </is>
      </c>
      <c r="J1716" t="inlineStr">
        <is>
          <t>AUD</t>
        </is>
      </c>
      <c r="K1716" s="5" t="inlineStr">
        <is>
          <t>01a1212c-4c04-75ce-bbb2-e3322e18816e</t>
        </is>
      </c>
      <c r="M1716" t="inlineStr">
        <is>
          <t>UNKNOWN</t>
        </is>
      </c>
      <c r="N1716" t="inlineStr">
        <is>
          <t>DEFAULT</t>
        </is>
      </c>
      <c r="Q1716" t="n">
        <v>0</v>
      </c>
      <c r="R1716" t="inlineStr">
        <is>
          <t>AUD</t>
        </is>
      </c>
      <c r="S1716" t="n">
        <v>0</v>
      </c>
      <c r="T1716" t="inlineStr">
        <is>
          <t>AUD</t>
        </is>
      </c>
      <c r="U1716" t="n">
        <v>0</v>
      </c>
    </row>
    <row r="1717">
      <c r="A1717" s="5" t="inlineStr">
        <is>
          <t>01a1212c-60c9-704a-88fb-e691a8fbbb50</t>
        </is>
      </c>
      <c r="C1717" s="5" t="inlineStr">
        <is>
          <t>01a1212c-4b57-70cf-80fd-c2192cb3bf81</t>
        </is>
      </c>
      <c r="D1717" s="4" t="n">
        <v>46304.62406159395</v>
      </c>
      <c r="E1717" s="4" t="n">
        <v>46304.62406159403</v>
      </c>
      <c r="F1717" t="b">
        <v>1</v>
      </c>
      <c r="G1717" t="n">
        <v/>
      </c>
      <c r="H1717" t="inlineStr">
        <is>
          <t>BPH</t>
        </is>
      </c>
      <c r="I1717" t="inlineStr">
        <is>
          <t>BPH Energy Ltd</t>
        </is>
      </c>
      <c r="J1717" t="inlineStr">
        <is>
          <t>AUD</t>
        </is>
      </c>
      <c r="K1717" s="5" t="inlineStr">
        <is>
          <t>01a1212c-4c04-75ce-bbb2-e3322e18816e</t>
        </is>
      </c>
      <c r="M1717" t="inlineStr">
        <is>
          <t>UNKNOWN</t>
        </is>
      </c>
      <c r="N1717" t="inlineStr">
        <is>
          <t>DEFAULT</t>
        </is>
      </c>
      <c r="Q1717" t="n">
        <v>0</v>
      </c>
      <c r="R1717" t="inlineStr">
        <is>
          <t>AUD</t>
        </is>
      </c>
      <c r="S1717" t="n">
        <v>0</v>
      </c>
      <c r="T1717" t="inlineStr">
        <is>
          <t>AUD</t>
        </is>
      </c>
      <c r="U1717" t="n">
        <v>0</v>
      </c>
    </row>
    <row r="1718">
      <c r="A1718" s="5" t="inlineStr">
        <is>
          <t>01a1212c-60cc-7486-b072-bf279f5f9fca</t>
        </is>
      </c>
      <c r="C1718" s="5" t="inlineStr">
        <is>
          <t>01a1212c-4b57-70cf-80fd-c2192cb3bf81</t>
        </is>
      </c>
      <c r="D1718" s="4" t="n">
        <v>46304.62406162897</v>
      </c>
      <c r="E1718" s="4" t="n">
        <v>46304.62406162907</v>
      </c>
      <c r="F1718" t="b">
        <v>1</v>
      </c>
      <c r="G1718" t="n">
        <v/>
      </c>
      <c r="H1718" t="inlineStr">
        <is>
          <t>CRR</t>
        </is>
      </c>
      <c r="I1718" t="inlineStr">
        <is>
          <t>Critical Resources Ltd</t>
        </is>
      </c>
      <c r="J1718" t="inlineStr">
        <is>
          <t>AUD</t>
        </is>
      </c>
      <c r="K1718" s="5" t="inlineStr">
        <is>
          <t>01a1212c-4c04-75ce-bbb2-e3322e18816e</t>
        </is>
      </c>
      <c r="M1718" t="inlineStr">
        <is>
          <t>UNKNOWN</t>
        </is>
      </c>
      <c r="N1718" t="inlineStr">
        <is>
          <t>DEFAULT</t>
        </is>
      </c>
      <c r="Q1718" t="n">
        <v>0</v>
      </c>
      <c r="R1718" t="inlineStr">
        <is>
          <t>AUD</t>
        </is>
      </c>
      <c r="S1718" t="n">
        <v>0</v>
      </c>
      <c r="T1718" t="inlineStr">
        <is>
          <t>AUD</t>
        </is>
      </c>
      <c r="U1718" t="n">
        <v>0</v>
      </c>
    </row>
    <row r="1719">
      <c r="A1719" s="5" t="inlineStr">
        <is>
          <t>01a1212c-60cf-73f5-a745-17be62a26e6d</t>
        </is>
      </c>
      <c r="C1719" s="5" t="inlineStr">
        <is>
          <t>01a1212c-4b57-70cf-80fd-c2192cb3bf81</t>
        </is>
      </c>
      <c r="D1719" s="4" t="n">
        <v>46304.62406166195</v>
      </c>
      <c r="E1719" s="4" t="n">
        <v>46304.62406166205</v>
      </c>
      <c r="F1719" t="b">
        <v>1</v>
      </c>
      <c r="G1719" t="n">
        <v/>
      </c>
      <c r="H1719" t="inlineStr">
        <is>
          <t>AT1</t>
        </is>
      </c>
      <c r="I1719" t="inlineStr">
        <is>
          <t>Atomo Diagnostics Ltd</t>
        </is>
      </c>
      <c r="J1719" t="inlineStr">
        <is>
          <t>AUD</t>
        </is>
      </c>
      <c r="K1719" s="5" t="inlineStr">
        <is>
          <t>01a1212c-4c04-75ce-bbb2-e3322e18816e</t>
        </is>
      </c>
      <c r="M1719" t="inlineStr">
        <is>
          <t>UNKNOWN</t>
        </is>
      </c>
      <c r="N1719" t="inlineStr">
        <is>
          <t>DEFAULT</t>
        </is>
      </c>
      <c r="Q1719" t="n">
        <v>0</v>
      </c>
      <c r="R1719" t="inlineStr">
        <is>
          <t>AUD</t>
        </is>
      </c>
      <c r="S1719" t="n">
        <v>0</v>
      </c>
      <c r="T1719" t="inlineStr">
        <is>
          <t>AUD</t>
        </is>
      </c>
      <c r="U1719" t="n">
        <v>0</v>
      </c>
    </row>
    <row r="1720">
      <c r="A1720" s="5" t="inlineStr">
        <is>
          <t>01a1212c-60d2-77bd-bb97-cb4afa237cea</t>
        </is>
      </c>
      <c r="C1720" s="5" t="inlineStr">
        <is>
          <t>01a1212c-4b57-70cf-80fd-c2192cb3bf81</t>
        </is>
      </c>
      <c r="D1720" s="4" t="n">
        <v>46304.62406169479</v>
      </c>
      <c r="E1720" s="4" t="n">
        <v>46304.62406169487</v>
      </c>
      <c r="F1720" t="b">
        <v>1</v>
      </c>
      <c r="G1720" t="n">
        <v/>
      </c>
      <c r="H1720" t="inlineStr">
        <is>
          <t>BNL</t>
        </is>
      </c>
      <c r="I1720" t="inlineStr">
        <is>
          <t>Blue Star Helium Ltd</t>
        </is>
      </c>
      <c r="J1720" t="inlineStr">
        <is>
          <t>AUD</t>
        </is>
      </c>
      <c r="K1720" s="5" t="inlineStr">
        <is>
          <t>01a1212c-4c04-75ce-bbb2-e3322e18816e</t>
        </is>
      </c>
      <c r="M1720" t="inlineStr">
        <is>
          <t>UNKNOWN</t>
        </is>
      </c>
      <c r="N1720" t="inlineStr">
        <is>
          <t>DEFAULT</t>
        </is>
      </c>
      <c r="Q1720" t="n">
        <v>0</v>
      </c>
      <c r="R1720" t="inlineStr">
        <is>
          <t>AUD</t>
        </is>
      </c>
      <c r="S1720" t="n">
        <v>0</v>
      </c>
      <c r="T1720" t="inlineStr">
        <is>
          <t>AUD</t>
        </is>
      </c>
      <c r="U1720" t="n">
        <v>0</v>
      </c>
    </row>
    <row r="1721">
      <c r="A1721" s="5" t="inlineStr">
        <is>
          <t>01a1212c-60d5-7429-b9ad-3b25ba7d68d9</t>
        </is>
      </c>
      <c r="C1721" s="5" t="inlineStr">
        <is>
          <t>01a1212c-4b57-70cf-80fd-c2192cb3bf81</t>
        </is>
      </c>
      <c r="D1721" s="4" t="n">
        <v>46304.62406172589</v>
      </c>
      <c r="E1721" s="4" t="n">
        <v>46304.62406172596</v>
      </c>
      <c r="F1721" t="b">
        <v>1</v>
      </c>
      <c r="G1721" t="n">
        <v/>
      </c>
      <c r="H1721" t="inlineStr">
        <is>
          <t>WIN</t>
        </is>
      </c>
      <c r="I1721" t="inlineStr">
        <is>
          <t>WIN Metals Ltd</t>
        </is>
      </c>
      <c r="J1721" t="inlineStr">
        <is>
          <t>AUD</t>
        </is>
      </c>
      <c r="K1721" s="5" t="inlineStr">
        <is>
          <t>01a1212c-4c04-75ce-bbb2-e3322e18816e</t>
        </is>
      </c>
      <c r="M1721" t="inlineStr">
        <is>
          <t>UNKNOWN</t>
        </is>
      </c>
      <c r="N1721" t="inlineStr">
        <is>
          <t>DEFAULT</t>
        </is>
      </c>
      <c r="Q1721" t="n">
        <v>0</v>
      </c>
      <c r="R1721" t="inlineStr">
        <is>
          <t>AUD</t>
        </is>
      </c>
      <c r="S1721" t="n">
        <v>0</v>
      </c>
      <c r="T1721" t="inlineStr">
        <is>
          <t>AUD</t>
        </is>
      </c>
      <c r="U1721" t="n">
        <v>0</v>
      </c>
    </row>
    <row r="1722">
      <c r="A1722" s="5" t="inlineStr">
        <is>
          <t>01a1212c-60d7-7332-b326-bae16322d881</t>
        </is>
      </c>
      <c r="C1722" s="5" t="inlineStr">
        <is>
          <t>01a1212c-4b57-70cf-80fd-c2192cb3bf81</t>
        </is>
      </c>
      <c r="D1722" s="4" t="n">
        <v>46304.62406175991</v>
      </c>
      <c r="E1722" s="4" t="n">
        <v>46304.62406175999</v>
      </c>
      <c r="F1722" t="b">
        <v>1</v>
      </c>
      <c r="G1722" t="n">
        <v/>
      </c>
      <c r="H1722" t="inlineStr">
        <is>
          <t>AZ9</t>
        </is>
      </c>
      <c r="I1722" t="inlineStr">
        <is>
          <t>Asian Battery Metals Plc</t>
        </is>
      </c>
      <c r="J1722" t="inlineStr">
        <is>
          <t>AUD</t>
        </is>
      </c>
      <c r="K1722" s="5" t="inlineStr">
        <is>
          <t>01a1212c-4c04-75ce-bbb2-e3322e18816e</t>
        </is>
      </c>
      <c r="M1722" t="inlineStr">
        <is>
          <t>UNKNOWN</t>
        </is>
      </c>
      <c r="N1722" t="inlineStr">
        <is>
          <t>DEFAULT</t>
        </is>
      </c>
      <c r="Q1722" t="n">
        <v>0</v>
      </c>
      <c r="R1722" t="inlineStr">
        <is>
          <t>AUD</t>
        </is>
      </c>
      <c r="S1722" t="n">
        <v>0</v>
      </c>
      <c r="T1722" t="inlineStr">
        <is>
          <t>AUD</t>
        </is>
      </c>
      <c r="U1722" t="n">
        <v>0</v>
      </c>
    </row>
    <row r="1723">
      <c r="A1723" s="5" t="inlineStr">
        <is>
          <t>01a1212c-60da-70d4-abe6-1de28e490da3</t>
        </is>
      </c>
      <c r="C1723" s="5" t="inlineStr">
        <is>
          <t>01a1212c-4b57-70cf-80fd-c2192cb3bf81</t>
        </is>
      </c>
      <c r="D1723" s="4" t="n">
        <v>46304.62406179074</v>
      </c>
      <c r="E1723" s="4" t="n">
        <v>46304.62406179082</v>
      </c>
      <c r="F1723" t="b">
        <v>1</v>
      </c>
      <c r="G1723" t="n">
        <v/>
      </c>
      <c r="H1723" t="inlineStr">
        <is>
          <t>RLF</t>
        </is>
      </c>
      <c r="I1723" t="inlineStr">
        <is>
          <t>RLF Agtech Ltd</t>
        </is>
      </c>
      <c r="J1723" t="inlineStr">
        <is>
          <t>AUD</t>
        </is>
      </c>
      <c r="K1723" s="5" t="inlineStr">
        <is>
          <t>01a1212c-4c04-75ce-bbb2-e3322e18816e</t>
        </is>
      </c>
      <c r="M1723" t="inlineStr">
        <is>
          <t>UNKNOWN</t>
        </is>
      </c>
      <c r="N1723" t="inlineStr">
        <is>
          <t>DEFAULT</t>
        </is>
      </c>
      <c r="Q1723" t="n">
        <v>0</v>
      </c>
      <c r="R1723" t="inlineStr">
        <is>
          <t>AUD</t>
        </is>
      </c>
      <c r="S1723" t="n">
        <v>0</v>
      </c>
      <c r="T1723" t="inlineStr">
        <is>
          <t>AUD</t>
        </is>
      </c>
      <c r="U1723" t="n">
        <v>0</v>
      </c>
    </row>
    <row r="1724">
      <c r="A1724" s="5" t="inlineStr">
        <is>
          <t>01a1212c-60dd-7337-b65c-367d1d281e62</t>
        </is>
      </c>
      <c r="C1724" s="5" t="inlineStr">
        <is>
          <t>01a1212c-4b57-70cf-80fd-c2192cb3bf81</t>
        </is>
      </c>
      <c r="D1724" s="4" t="n">
        <v>46304.6240618216</v>
      </c>
      <c r="E1724" s="4" t="n">
        <v>46304.62406182168</v>
      </c>
      <c r="F1724" t="b">
        <v>1</v>
      </c>
      <c r="G1724" t="n">
        <v/>
      </c>
      <c r="H1724" t="inlineStr">
        <is>
          <t>HVY</t>
        </is>
      </c>
      <c r="I1724" t="inlineStr">
        <is>
          <t>Heavy Minerals Ltd</t>
        </is>
      </c>
      <c r="J1724" t="inlineStr">
        <is>
          <t>AUD</t>
        </is>
      </c>
      <c r="K1724" s="5" t="inlineStr">
        <is>
          <t>01a1212c-4c04-75ce-bbb2-e3322e18816e</t>
        </is>
      </c>
      <c r="M1724" t="inlineStr">
        <is>
          <t>UNKNOWN</t>
        </is>
      </c>
      <c r="N1724" t="inlineStr">
        <is>
          <t>DEFAULT</t>
        </is>
      </c>
      <c r="Q1724" t="n">
        <v>0</v>
      </c>
      <c r="R1724" t="inlineStr">
        <is>
          <t>AUD</t>
        </is>
      </c>
      <c r="S1724" t="n">
        <v>0</v>
      </c>
      <c r="T1724" t="inlineStr">
        <is>
          <t>AUD</t>
        </is>
      </c>
      <c r="U1724" t="n">
        <v>0</v>
      </c>
    </row>
    <row r="1725">
      <c r="A1725" s="5" t="inlineStr">
        <is>
          <t>01a1212c-60e0-73c5-a96c-ece900a0b264</t>
        </is>
      </c>
      <c r="C1725" s="5" t="inlineStr">
        <is>
          <t>01a1212c-4b57-70cf-80fd-c2192cb3bf81</t>
        </is>
      </c>
      <c r="D1725" s="4" t="n">
        <v>46304.62406185541</v>
      </c>
      <c r="E1725" s="4" t="n">
        <v>46304.62406185551</v>
      </c>
      <c r="F1725" t="b">
        <v>1</v>
      </c>
      <c r="G1725" t="n">
        <v/>
      </c>
      <c r="H1725" t="inlineStr">
        <is>
          <t>SNG</t>
        </is>
      </c>
      <c r="I1725" t="inlineStr">
        <is>
          <t>Siren Gold Ltd</t>
        </is>
      </c>
      <c r="J1725" t="inlineStr">
        <is>
          <t>AUD</t>
        </is>
      </c>
      <c r="K1725" s="5" t="inlineStr">
        <is>
          <t>01a1212c-4c04-75ce-bbb2-e3322e18816e</t>
        </is>
      </c>
      <c r="M1725" t="inlineStr">
        <is>
          <t>UNKNOWN</t>
        </is>
      </c>
      <c r="N1725" t="inlineStr">
        <is>
          <t>DEFAULT</t>
        </is>
      </c>
      <c r="Q1725" t="n">
        <v>0</v>
      </c>
      <c r="R1725" t="inlineStr">
        <is>
          <t>AUD</t>
        </is>
      </c>
      <c r="S1725" t="n">
        <v>0</v>
      </c>
      <c r="T1725" t="inlineStr">
        <is>
          <t>AUD</t>
        </is>
      </c>
      <c r="U1725" t="n">
        <v>0</v>
      </c>
    </row>
    <row r="1726">
      <c r="A1726" s="5" t="inlineStr">
        <is>
          <t>01a1212c-60e3-76a2-b678-6bfe18d2d704</t>
        </is>
      </c>
      <c r="C1726" s="5" t="inlineStr">
        <is>
          <t>01a1212c-4b57-70cf-80fd-c2192cb3bf81</t>
        </is>
      </c>
      <c r="D1726" s="4" t="n">
        <v>46304.62406189028</v>
      </c>
      <c r="E1726" s="4" t="n">
        <v>46304.62406189036</v>
      </c>
      <c r="F1726" t="b">
        <v>1</v>
      </c>
      <c r="G1726" t="n">
        <v/>
      </c>
      <c r="H1726" t="inlineStr">
        <is>
          <t>ABX</t>
        </is>
      </c>
      <c r="I1726" t="inlineStr">
        <is>
          <t>ABX Group Ltd</t>
        </is>
      </c>
      <c r="J1726" t="inlineStr">
        <is>
          <t>AUD</t>
        </is>
      </c>
      <c r="K1726" s="5" t="inlineStr">
        <is>
          <t>01a1212c-4c04-75ce-bbb2-e3322e18816e</t>
        </is>
      </c>
      <c r="M1726" t="inlineStr">
        <is>
          <t>UNKNOWN</t>
        </is>
      </c>
      <c r="N1726" t="inlineStr">
        <is>
          <t>DEFAULT</t>
        </is>
      </c>
      <c r="Q1726" t="n">
        <v>0</v>
      </c>
      <c r="R1726" t="inlineStr">
        <is>
          <t>AUD</t>
        </is>
      </c>
      <c r="S1726" t="n">
        <v>0</v>
      </c>
      <c r="T1726" t="inlineStr">
        <is>
          <t>AUD</t>
        </is>
      </c>
      <c r="U1726" t="n">
        <v>0</v>
      </c>
    </row>
    <row r="1727">
      <c r="A1727" s="5" t="inlineStr">
        <is>
          <t>01a1212c-60e5-7302-a08c-a0c61d69b934</t>
        </is>
      </c>
      <c r="C1727" s="5" t="inlineStr">
        <is>
          <t>01a1212c-4b57-70cf-80fd-c2192cb3bf81</t>
        </is>
      </c>
      <c r="D1727" s="4" t="n">
        <v>46304.62406192162</v>
      </c>
      <c r="E1727" s="4" t="n">
        <v>46304.6240619217</v>
      </c>
      <c r="F1727" t="b">
        <v>1</v>
      </c>
      <c r="G1727" t="n">
        <v/>
      </c>
      <c r="H1727" t="inlineStr">
        <is>
          <t>NME</t>
        </is>
      </c>
      <c r="I1727" t="inlineStr">
        <is>
          <t>NEX Metals Exploration Ltd</t>
        </is>
      </c>
      <c r="J1727" t="inlineStr">
        <is>
          <t>AUD</t>
        </is>
      </c>
      <c r="K1727" s="5" t="inlineStr">
        <is>
          <t>01a1212c-4c04-75ce-bbb2-e3322e18816e</t>
        </is>
      </c>
      <c r="M1727" t="inlineStr">
        <is>
          <t>UNKNOWN</t>
        </is>
      </c>
      <c r="N1727" t="inlineStr">
        <is>
          <t>DEFAULT</t>
        </is>
      </c>
      <c r="Q1727" t="n">
        <v>0</v>
      </c>
      <c r="R1727" t="inlineStr">
        <is>
          <t>AUD</t>
        </is>
      </c>
      <c r="S1727" t="n">
        <v>0</v>
      </c>
      <c r="T1727" t="inlineStr">
        <is>
          <t>AUD</t>
        </is>
      </c>
      <c r="U1727" t="n">
        <v>0</v>
      </c>
    </row>
    <row r="1728">
      <c r="A1728" s="5" t="inlineStr">
        <is>
          <t>01a1212c-60e8-7239-9e45-ea1385d113cf</t>
        </is>
      </c>
      <c r="C1728" s="5" t="inlineStr">
        <is>
          <t>01a1212c-4b57-70cf-80fd-c2192cb3bf81</t>
        </is>
      </c>
      <c r="D1728" s="4" t="n">
        <v>46304.62406195264</v>
      </c>
      <c r="E1728" s="4" t="n">
        <v>46304.62406195272</v>
      </c>
      <c r="F1728" t="b">
        <v>1</v>
      </c>
      <c r="G1728" t="n">
        <v/>
      </c>
      <c r="H1728" t="inlineStr">
        <is>
          <t>TKM</t>
        </is>
      </c>
      <c r="I1728" t="inlineStr">
        <is>
          <t>Trek Metals Ltd</t>
        </is>
      </c>
      <c r="J1728" t="inlineStr">
        <is>
          <t>AUD</t>
        </is>
      </c>
      <c r="K1728" s="5" t="inlineStr">
        <is>
          <t>01a1212c-4c04-75ce-bbb2-e3322e18816e</t>
        </is>
      </c>
      <c r="M1728" t="inlineStr">
        <is>
          <t>UNKNOWN</t>
        </is>
      </c>
      <c r="N1728" t="inlineStr">
        <is>
          <t>DEFAULT</t>
        </is>
      </c>
      <c r="Q1728" t="n">
        <v>0</v>
      </c>
      <c r="R1728" t="inlineStr">
        <is>
          <t>AUD</t>
        </is>
      </c>
      <c r="S1728" t="n">
        <v>0</v>
      </c>
      <c r="T1728" t="inlineStr">
        <is>
          <t>AUD</t>
        </is>
      </c>
      <c r="U1728" t="n">
        <v>0</v>
      </c>
    </row>
    <row r="1729">
      <c r="A1729" s="5" t="inlineStr">
        <is>
          <t>01a1212c-60eb-756c-9239-ce65edb5df2c</t>
        </is>
      </c>
      <c r="C1729" s="5" t="inlineStr">
        <is>
          <t>01a1212c-4b57-70cf-80fd-c2192cb3bf81</t>
        </is>
      </c>
      <c r="D1729" s="4" t="n">
        <v>46304.62406198382</v>
      </c>
      <c r="E1729" s="4" t="n">
        <v>46304.62406198392</v>
      </c>
      <c r="F1729" t="b">
        <v>1</v>
      </c>
      <c r="G1729" t="n">
        <v/>
      </c>
      <c r="H1729" t="inlineStr">
        <is>
          <t>VKA</t>
        </is>
      </c>
      <c r="I1729" t="inlineStr">
        <is>
          <t>Viking Mines Ltd</t>
        </is>
      </c>
      <c r="J1729" t="inlineStr">
        <is>
          <t>AUD</t>
        </is>
      </c>
      <c r="K1729" s="5" t="inlineStr">
        <is>
          <t>01a1212c-4c04-75ce-bbb2-e3322e18816e</t>
        </is>
      </c>
      <c r="M1729" t="inlineStr">
        <is>
          <t>UNKNOWN</t>
        </is>
      </c>
      <c r="N1729" t="inlineStr">
        <is>
          <t>DEFAULT</t>
        </is>
      </c>
      <c r="Q1729" t="n">
        <v>0</v>
      </c>
      <c r="R1729" t="inlineStr">
        <is>
          <t>AUD</t>
        </is>
      </c>
      <c r="S1729" t="n">
        <v>0</v>
      </c>
      <c r="T1729" t="inlineStr">
        <is>
          <t>AUD</t>
        </is>
      </c>
      <c r="U1729" t="n">
        <v>0</v>
      </c>
    </row>
    <row r="1730">
      <c r="A1730" s="5" t="inlineStr">
        <is>
          <t>01a1212c-60ee-7646-8f38-35ced2ccc5d6</t>
        </is>
      </c>
      <c r="C1730" s="5" t="inlineStr">
        <is>
          <t>01a1212c-4b57-70cf-80fd-c2192cb3bf81</t>
        </is>
      </c>
      <c r="D1730" s="4" t="n">
        <v>46304.62406201674</v>
      </c>
      <c r="E1730" s="4" t="n">
        <v>46304.62406201682</v>
      </c>
      <c r="F1730" t="b">
        <v>1</v>
      </c>
      <c r="G1730" t="n">
        <v/>
      </c>
      <c r="H1730" t="inlineStr">
        <is>
          <t>AKG</t>
        </is>
      </c>
      <c r="I1730" t="inlineStr">
        <is>
          <t>Academies Australasia Group Ltd</t>
        </is>
      </c>
      <c r="J1730" t="inlineStr">
        <is>
          <t>AUD</t>
        </is>
      </c>
      <c r="K1730" s="5" t="inlineStr">
        <is>
          <t>01a1212c-4c04-75ce-bbb2-e3322e18816e</t>
        </is>
      </c>
      <c r="M1730" t="inlineStr">
        <is>
          <t>UNKNOWN</t>
        </is>
      </c>
      <c r="N1730" t="inlineStr">
        <is>
          <t>DEFAULT</t>
        </is>
      </c>
      <c r="Q1730" t="n">
        <v>0</v>
      </c>
      <c r="R1730" t="inlineStr">
        <is>
          <t>AUD</t>
        </is>
      </c>
      <c r="S1730" t="n">
        <v>0</v>
      </c>
      <c r="T1730" t="inlineStr">
        <is>
          <t>AUD</t>
        </is>
      </c>
      <c r="U1730" t="n">
        <v>0</v>
      </c>
    </row>
    <row r="1731">
      <c r="A1731" s="5" t="inlineStr">
        <is>
          <t>01a1212c-60f1-777d-bb14-ff7247823661</t>
        </is>
      </c>
      <c r="C1731" s="5" t="inlineStr">
        <is>
          <t>01a1212c-4b57-70cf-80fd-c2192cb3bf81</t>
        </is>
      </c>
      <c r="D1731" s="4" t="n">
        <v>46304.62406205073</v>
      </c>
      <c r="E1731" s="4" t="n">
        <v>46304.62406205083</v>
      </c>
      <c r="F1731" t="b">
        <v>1</v>
      </c>
      <c r="G1731" t="n">
        <v/>
      </c>
      <c r="H1731" t="inlineStr">
        <is>
          <t>CMG</t>
        </is>
      </c>
      <c r="I1731" t="inlineStr">
        <is>
          <t>Critical Minerals Group Ltd</t>
        </is>
      </c>
      <c r="J1731" t="inlineStr">
        <is>
          <t>AUD</t>
        </is>
      </c>
      <c r="K1731" s="5" t="inlineStr">
        <is>
          <t>01a1212c-4c04-75ce-bbb2-e3322e18816e</t>
        </is>
      </c>
      <c r="M1731" t="inlineStr">
        <is>
          <t>UNKNOWN</t>
        </is>
      </c>
      <c r="N1731" t="inlineStr">
        <is>
          <t>DEFAULT</t>
        </is>
      </c>
      <c r="Q1731" t="n">
        <v>0</v>
      </c>
      <c r="R1731" t="inlineStr">
        <is>
          <t>AUD</t>
        </is>
      </c>
      <c r="S1731" t="n">
        <v>0</v>
      </c>
      <c r="T1731" t="inlineStr">
        <is>
          <t>AUD</t>
        </is>
      </c>
      <c r="U1731" t="n">
        <v>0</v>
      </c>
    </row>
    <row r="1732">
      <c r="A1732" s="5" t="inlineStr">
        <is>
          <t>01a1212c-60f4-7370-8a93-b5ab0822b450</t>
        </is>
      </c>
      <c r="C1732" s="5" t="inlineStr">
        <is>
          <t>01a1212c-4b57-70cf-80fd-c2192cb3bf81</t>
        </is>
      </c>
      <c r="D1732" s="4" t="n">
        <v>46304.62406208504</v>
      </c>
      <c r="E1732" s="4" t="n">
        <v>46304.62406208512</v>
      </c>
      <c r="F1732" t="b">
        <v>1</v>
      </c>
      <c r="G1732" t="n">
        <v/>
      </c>
      <c r="H1732" t="inlineStr">
        <is>
          <t>1AI</t>
        </is>
      </c>
      <c r="I1732" t="inlineStr">
        <is>
          <t>Algorae Pharmaceuticals Ltd</t>
        </is>
      </c>
      <c r="J1732" t="inlineStr">
        <is>
          <t>AUD</t>
        </is>
      </c>
      <c r="K1732" s="5" t="inlineStr">
        <is>
          <t>01a1212c-4c04-75ce-bbb2-e3322e18816e</t>
        </is>
      </c>
      <c r="M1732" t="inlineStr">
        <is>
          <t>UNKNOWN</t>
        </is>
      </c>
      <c r="N1732" t="inlineStr">
        <is>
          <t>DEFAULT</t>
        </is>
      </c>
      <c r="Q1732" t="n">
        <v>0</v>
      </c>
      <c r="R1732" t="inlineStr">
        <is>
          <t>AUD</t>
        </is>
      </c>
      <c r="S1732" t="n">
        <v>0</v>
      </c>
      <c r="T1732" t="inlineStr">
        <is>
          <t>AUD</t>
        </is>
      </c>
      <c r="U1732" t="n">
        <v>0</v>
      </c>
    </row>
    <row r="1733">
      <c r="A1733" s="5" t="inlineStr">
        <is>
          <t>01a1212c-60f6-7099-b8e9-6a70d8260b49</t>
        </is>
      </c>
      <c r="C1733" s="5" t="inlineStr">
        <is>
          <t>01a1212c-4b57-70cf-80fd-c2192cb3bf81</t>
        </is>
      </c>
      <c r="D1733" s="4" t="n">
        <v>46304.62406211774</v>
      </c>
      <c r="E1733" s="4" t="n">
        <v>46304.62406211782</v>
      </c>
      <c r="F1733" t="b">
        <v>1</v>
      </c>
      <c r="G1733" t="n">
        <v/>
      </c>
      <c r="H1733" t="inlineStr">
        <is>
          <t>KOB</t>
        </is>
      </c>
      <c r="I1733" t="inlineStr">
        <is>
          <t>Koba Resources Ltd</t>
        </is>
      </c>
      <c r="J1733" t="inlineStr">
        <is>
          <t>AUD</t>
        </is>
      </c>
      <c r="K1733" s="5" t="inlineStr">
        <is>
          <t>01a1212c-4c04-75ce-bbb2-e3322e18816e</t>
        </is>
      </c>
      <c r="M1733" t="inlineStr">
        <is>
          <t>UNKNOWN</t>
        </is>
      </c>
      <c r="N1733" t="inlineStr">
        <is>
          <t>DEFAULT</t>
        </is>
      </c>
      <c r="Q1733" t="n">
        <v>0</v>
      </c>
      <c r="R1733" t="inlineStr">
        <is>
          <t>AUD</t>
        </is>
      </c>
      <c r="S1733" t="n">
        <v>0</v>
      </c>
      <c r="T1733" t="inlineStr">
        <is>
          <t>AUD</t>
        </is>
      </c>
      <c r="U1733" t="n">
        <v>0</v>
      </c>
    </row>
    <row r="1734">
      <c r="A1734" s="5" t="inlineStr">
        <is>
          <t>01a1212c-60f9-731c-8607-1d3c9c2f60f2</t>
        </is>
      </c>
      <c r="C1734" s="5" t="inlineStr">
        <is>
          <t>01a1212c-4b57-70cf-80fd-c2192cb3bf81</t>
        </is>
      </c>
      <c r="D1734" s="4" t="n">
        <v>46304.62406215027</v>
      </c>
      <c r="E1734" s="4" t="n">
        <v>46304.62406215035</v>
      </c>
      <c r="F1734" t="b">
        <v>1</v>
      </c>
      <c r="G1734" t="n">
        <v/>
      </c>
      <c r="H1734" t="inlineStr">
        <is>
          <t>OLH</t>
        </is>
      </c>
      <c r="I1734" t="inlineStr">
        <is>
          <t>Oldfields Holdings Ltd</t>
        </is>
      </c>
      <c r="J1734" t="inlineStr">
        <is>
          <t>AUD</t>
        </is>
      </c>
      <c r="K1734" s="5" t="inlineStr">
        <is>
          <t>01a1212c-4c04-75ce-bbb2-e3322e18816e</t>
        </is>
      </c>
      <c r="M1734" t="inlineStr">
        <is>
          <t>UNKNOWN</t>
        </is>
      </c>
      <c r="N1734" t="inlineStr">
        <is>
          <t>DEFAULT</t>
        </is>
      </c>
      <c r="Q1734" t="n">
        <v>0</v>
      </c>
      <c r="R1734" t="inlineStr">
        <is>
          <t>AUD</t>
        </is>
      </c>
      <c r="S1734" t="n">
        <v>0</v>
      </c>
      <c r="T1734" t="inlineStr">
        <is>
          <t>AUD</t>
        </is>
      </c>
      <c r="U1734" t="n">
        <v>0</v>
      </c>
    </row>
    <row r="1735">
      <c r="A1735" s="5" t="inlineStr">
        <is>
          <t>01a1212c-60fc-7510-bc85-dd11edac42fd</t>
        </is>
      </c>
      <c r="C1735" s="5" t="inlineStr">
        <is>
          <t>01a1212c-4b57-70cf-80fd-c2192cb3bf81</t>
        </is>
      </c>
      <c r="D1735" s="4" t="n">
        <v>46304.62406218682</v>
      </c>
      <c r="E1735" s="4" t="n">
        <v>46304.62406218692</v>
      </c>
      <c r="F1735" t="b">
        <v>1</v>
      </c>
      <c r="G1735" t="n">
        <v/>
      </c>
      <c r="H1735" t="inlineStr">
        <is>
          <t>AXP</t>
        </is>
      </c>
      <c r="I1735" t="inlineStr">
        <is>
          <t>AXP Energy Ltd</t>
        </is>
      </c>
      <c r="J1735" t="inlineStr">
        <is>
          <t>AUD</t>
        </is>
      </c>
      <c r="K1735" s="5" t="inlineStr">
        <is>
          <t>01a1212c-4c04-75ce-bbb2-e3322e18816e</t>
        </is>
      </c>
      <c r="M1735" t="inlineStr">
        <is>
          <t>UNKNOWN</t>
        </is>
      </c>
      <c r="N1735" t="inlineStr">
        <is>
          <t>DEFAULT</t>
        </is>
      </c>
      <c r="Q1735" t="n">
        <v>0</v>
      </c>
      <c r="R1735" t="inlineStr">
        <is>
          <t>AUD</t>
        </is>
      </c>
      <c r="S1735" t="n">
        <v>0</v>
      </c>
      <c r="T1735" t="inlineStr">
        <is>
          <t>AUD</t>
        </is>
      </c>
      <c r="U1735" t="n">
        <v>0</v>
      </c>
    </row>
    <row r="1736">
      <c r="A1736" s="5" t="inlineStr">
        <is>
          <t>01a1212c-60ff-70bd-a2bb-51c453a8be8d</t>
        </is>
      </c>
      <c r="C1736" s="5" t="inlineStr">
        <is>
          <t>01a1212c-4b57-70cf-80fd-c2192cb3bf81</t>
        </is>
      </c>
      <c r="D1736" s="4" t="n">
        <v>46304.62406222191</v>
      </c>
      <c r="E1736" s="4" t="n">
        <v>46304.62406222201</v>
      </c>
      <c r="F1736" t="b">
        <v>1</v>
      </c>
      <c r="G1736" t="n">
        <v/>
      </c>
      <c r="H1736" t="inlineStr">
        <is>
          <t>NET</t>
        </is>
      </c>
      <c r="I1736" t="inlineStr">
        <is>
          <t>Netlinkz Ltd</t>
        </is>
      </c>
      <c r="J1736" t="inlineStr">
        <is>
          <t>AUD</t>
        </is>
      </c>
      <c r="K1736" s="5" t="inlineStr">
        <is>
          <t>01a1212c-4c04-75ce-bbb2-e3322e18816e</t>
        </is>
      </c>
      <c r="M1736" t="inlineStr">
        <is>
          <t>UNKNOWN</t>
        </is>
      </c>
      <c r="N1736" t="inlineStr">
        <is>
          <t>DEFAULT</t>
        </is>
      </c>
      <c r="Q1736" t="n">
        <v>0</v>
      </c>
      <c r="R1736" t="inlineStr">
        <is>
          <t>AUD</t>
        </is>
      </c>
      <c r="S1736" t="n">
        <v>0</v>
      </c>
      <c r="T1736" t="inlineStr">
        <is>
          <t>AUD</t>
        </is>
      </c>
      <c r="U1736" t="n">
        <v>0</v>
      </c>
    </row>
    <row r="1737">
      <c r="A1737" s="5" t="inlineStr">
        <is>
          <t>01a1212c-6102-7322-a057-dd1631261e9e</t>
        </is>
      </c>
      <c r="C1737" s="5" t="inlineStr">
        <is>
          <t>01a1212c-4b57-70cf-80fd-c2192cb3bf81</t>
        </is>
      </c>
      <c r="D1737" s="4" t="n">
        <v>46304.62406225564</v>
      </c>
      <c r="E1737" s="4" t="n">
        <v>46304.62406225574</v>
      </c>
      <c r="F1737" t="b">
        <v>1</v>
      </c>
      <c r="G1737" t="n">
        <v/>
      </c>
      <c r="H1737" t="inlineStr">
        <is>
          <t>ATS</t>
        </is>
      </c>
      <c r="I1737" t="inlineStr">
        <is>
          <t>Australis Oil &amp; Gas Ltd</t>
        </is>
      </c>
      <c r="J1737" t="inlineStr">
        <is>
          <t>AUD</t>
        </is>
      </c>
      <c r="K1737" s="5" t="inlineStr">
        <is>
          <t>01a1212c-4c04-75ce-bbb2-e3322e18816e</t>
        </is>
      </c>
      <c r="M1737" t="inlineStr">
        <is>
          <t>UNKNOWN</t>
        </is>
      </c>
      <c r="N1737" t="inlineStr">
        <is>
          <t>DEFAULT</t>
        </is>
      </c>
      <c r="Q1737" t="n">
        <v>0</v>
      </c>
      <c r="R1737" t="inlineStr">
        <is>
          <t>AUD</t>
        </is>
      </c>
      <c r="S1737" t="n">
        <v>0</v>
      </c>
      <c r="T1737" t="inlineStr">
        <is>
          <t>AUD</t>
        </is>
      </c>
      <c r="U1737" t="n">
        <v>0</v>
      </c>
    </row>
    <row r="1738">
      <c r="A1738" s="5" t="inlineStr">
        <is>
          <t>01a1212c-6105-752f-9d2c-9a45932ec62f</t>
        </is>
      </c>
      <c r="C1738" s="5" t="inlineStr">
        <is>
          <t>01a1212c-4b57-70cf-80fd-c2192cb3bf81</t>
        </is>
      </c>
      <c r="D1738" s="4" t="n">
        <v>46304.62406229122</v>
      </c>
      <c r="E1738" s="4" t="n">
        <v>46304.62406229132</v>
      </c>
      <c r="F1738" t="b">
        <v>1</v>
      </c>
      <c r="G1738" t="n">
        <v/>
      </c>
      <c r="H1738" t="inlineStr">
        <is>
          <t>SHP</t>
        </is>
      </c>
      <c r="I1738" t="inlineStr">
        <is>
          <t>South HARZ Potash Ltd</t>
        </is>
      </c>
      <c r="J1738" t="inlineStr">
        <is>
          <t>AUD</t>
        </is>
      </c>
      <c r="K1738" s="5" t="inlineStr">
        <is>
          <t>01a1212c-4c04-75ce-bbb2-e3322e18816e</t>
        </is>
      </c>
      <c r="M1738" t="inlineStr">
        <is>
          <t>UNKNOWN</t>
        </is>
      </c>
      <c r="N1738" t="inlineStr">
        <is>
          <t>DEFAULT</t>
        </is>
      </c>
      <c r="Q1738" t="n">
        <v>0</v>
      </c>
      <c r="R1738" t="inlineStr">
        <is>
          <t>AUD</t>
        </is>
      </c>
      <c r="S1738" t="n">
        <v>0</v>
      </c>
      <c r="T1738" t="inlineStr">
        <is>
          <t>AUD</t>
        </is>
      </c>
      <c r="U1738" t="n">
        <v>0</v>
      </c>
    </row>
    <row r="1739">
      <c r="A1739" s="5" t="inlineStr">
        <is>
          <t>01a1212c-6108-7161-838a-eac2522e4f6d</t>
        </is>
      </c>
      <c r="C1739" s="5" t="inlineStr">
        <is>
          <t>01a1212c-4b57-70cf-80fd-c2192cb3bf81</t>
        </is>
      </c>
      <c r="D1739" s="4" t="n">
        <v>46304.62406232554</v>
      </c>
      <c r="E1739" s="4" t="n">
        <v>46304.62406232564</v>
      </c>
      <c r="F1739" t="b">
        <v>1</v>
      </c>
      <c r="G1739" t="n">
        <v/>
      </c>
      <c r="H1739" t="inlineStr">
        <is>
          <t>GFLGA</t>
        </is>
      </c>
      <c r="I1739" t="inlineStr">
        <is>
          <t>Global Masters Fund Ltd</t>
        </is>
      </c>
      <c r="J1739" t="inlineStr">
        <is>
          <t>AUD</t>
        </is>
      </c>
      <c r="K1739" s="5" t="inlineStr">
        <is>
          <t>01a1212c-4c04-75ce-bbb2-e3322e18816e</t>
        </is>
      </c>
      <c r="M1739" t="inlineStr">
        <is>
          <t>UNKNOWN</t>
        </is>
      </c>
      <c r="N1739" t="inlineStr">
        <is>
          <t>DEFAULT</t>
        </is>
      </c>
      <c r="Q1739" t="n">
        <v>0</v>
      </c>
      <c r="R1739" t="inlineStr">
        <is>
          <t>AUD</t>
        </is>
      </c>
      <c r="S1739" t="n">
        <v>0</v>
      </c>
      <c r="T1739" t="inlineStr">
        <is>
          <t>AUD</t>
        </is>
      </c>
      <c r="U1739" t="n">
        <v>0</v>
      </c>
    </row>
    <row r="1740">
      <c r="A1740" s="5" t="inlineStr">
        <is>
          <t>01a1212c-610b-7210-9d4d-2c8db28ffc13</t>
        </is>
      </c>
      <c r="C1740" s="5" t="inlineStr">
        <is>
          <t>01a1212c-4b57-70cf-80fd-c2192cb3bf81</t>
        </is>
      </c>
      <c r="D1740" s="4" t="n">
        <v>46304.62406236165</v>
      </c>
      <c r="E1740" s="4" t="n">
        <v>46304.62406236175</v>
      </c>
      <c r="F1740" t="b">
        <v>1</v>
      </c>
      <c r="G1740" t="n">
        <v/>
      </c>
      <c r="H1740" t="inlineStr">
        <is>
          <t>ROYL</t>
        </is>
      </c>
      <c r="I1740" t="inlineStr">
        <is>
          <t>Betashares Global Royalties ETF</t>
        </is>
      </c>
      <c r="J1740" t="inlineStr">
        <is>
          <t>AUD</t>
        </is>
      </c>
      <c r="K1740" s="5" t="inlineStr">
        <is>
          <t>01a1212c-4c04-75ce-bbb2-e3322e18816e</t>
        </is>
      </c>
      <c r="M1740" t="inlineStr">
        <is>
          <t>UNKNOWN</t>
        </is>
      </c>
      <c r="N1740" t="inlineStr">
        <is>
          <t>DEFAULT</t>
        </is>
      </c>
      <c r="Q1740" t="n">
        <v>0</v>
      </c>
      <c r="R1740" t="inlineStr">
        <is>
          <t>AUD</t>
        </is>
      </c>
      <c r="S1740" t="n">
        <v>0</v>
      </c>
      <c r="T1740" t="inlineStr">
        <is>
          <t>AUD</t>
        </is>
      </c>
      <c r="U1740" t="n">
        <v>0</v>
      </c>
    </row>
    <row r="1741">
      <c r="A1741" s="5" t="inlineStr">
        <is>
          <t>01a1212c-610e-7579-ba8f-2cf79baeb2cb</t>
        </is>
      </c>
      <c r="C1741" s="5" t="inlineStr">
        <is>
          <t>01a1212c-4b57-70cf-80fd-c2192cb3bf81</t>
        </is>
      </c>
      <c r="D1741" s="4" t="n">
        <v>46304.6240623937</v>
      </c>
      <c r="E1741" s="4" t="n">
        <v>46304.6240623938</v>
      </c>
      <c r="F1741" t="b">
        <v>1</v>
      </c>
      <c r="G1741" t="n">
        <v/>
      </c>
      <c r="H1741" t="inlineStr">
        <is>
          <t>ORD</t>
        </is>
      </c>
      <c r="I1741" t="inlineStr">
        <is>
          <t>Ordell Minerals Ltd</t>
        </is>
      </c>
      <c r="J1741" t="inlineStr">
        <is>
          <t>AUD</t>
        </is>
      </c>
      <c r="K1741" s="5" t="inlineStr">
        <is>
          <t>01a1212c-4c04-75ce-bbb2-e3322e18816e</t>
        </is>
      </c>
      <c r="M1741" t="inlineStr">
        <is>
          <t>UNKNOWN</t>
        </is>
      </c>
      <c r="N1741" t="inlineStr">
        <is>
          <t>DEFAULT</t>
        </is>
      </c>
      <c r="Q1741" t="n">
        <v>0</v>
      </c>
      <c r="R1741" t="inlineStr">
        <is>
          <t>AUD</t>
        </is>
      </c>
      <c r="S1741" t="n">
        <v>0</v>
      </c>
      <c r="T1741" t="inlineStr">
        <is>
          <t>AUD</t>
        </is>
      </c>
      <c r="U1741" t="n">
        <v>0</v>
      </c>
    </row>
    <row r="1742">
      <c r="A1742" s="5" t="inlineStr">
        <is>
          <t>01a1212c-6111-703c-b199-35a89e2cbc38</t>
        </is>
      </c>
      <c r="C1742" s="5" t="inlineStr">
        <is>
          <t>01a1212c-4b57-70cf-80fd-c2192cb3bf81</t>
        </is>
      </c>
      <c r="D1742" s="4" t="n">
        <v>46304.62406242685</v>
      </c>
      <c r="E1742" s="4" t="n">
        <v>46304.62406242694</v>
      </c>
      <c r="F1742" t="b">
        <v>1</v>
      </c>
      <c r="G1742" t="n">
        <v/>
      </c>
      <c r="H1742" t="inlineStr">
        <is>
          <t>QYLD</t>
        </is>
      </c>
      <c r="I1742" t="inlineStr">
        <is>
          <t>Global X Nasdaq 100 Covered Call ETF</t>
        </is>
      </c>
      <c r="J1742" t="inlineStr">
        <is>
          <t>AUD</t>
        </is>
      </c>
      <c r="K1742" s="5" t="inlineStr">
        <is>
          <t>01a1212c-4c04-75ce-bbb2-e3322e18816e</t>
        </is>
      </c>
      <c r="M1742" t="inlineStr">
        <is>
          <t>UNKNOWN</t>
        </is>
      </c>
      <c r="N1742" t="inlineStr">
        <is>
          <t>DEFAULT</t>
        </is>
      </c>
      <c r="Q1742" t="n">
        <v>0</v>
      </c>
      <c r="R1742" t="inlineStr">
        <is>
          <t>AUD</t>
        </is>
      </c>
      <c r="S1742" t="n">
        <v>0</v>
      </c>
      <c r="T1742" t="inlineStr">
        <is>
          <t>AUD</t>
        </is>
      </c>
      <c r="U1742" t="n">
        <v>0</v>
      </c>
    </row>
    <row r="1743">
      <c r="A1743" s="5" t="inlineStr">
        <is>
          <t>01a1212c-6114-7358-adbf-7a3a9fafd1d4</t>
        </is>
      </c>
      <c r="C1743" s="5" t="inlineStr">
        <is>
          <t>01a1212c-4b57-70cf-80fd-c2192cb3bf81</t>
        </is>
      </c>
      <c r="D1743" s="4" t="n">
        <v>46304.62406245917</v>
      </c>
      <c r="E1743" s="4" t="n">
        <v>46304.62406245925</v>
      </c>
      <c r="F1743" t="b">
        <v>1</v>
      </c>
      <c r="G1743" t="n">
        <v/>
      </c>
      <c r="H1743" t="inlineStr">
        <is>
          <t>MXO</t>
        </is>
      </c>
      <c r="I1743" t="inlineStr">
        <is>
          <t>Motio Ltd</t>
        </is>
      </c>
      <c r="J1743" t="inlineStr">
        <is>
          <t>AUD</t>
        </is>
      </c>
      <c r="K1743" s="5" t="inlineStr">
        <is>
          <t>01a1212c-4c04-75ce-bbb2-e3322e18816e</t>
        </is>
      </c>
      <c r="M1743" t="inlineStr">
        <is>
          <t>UNKNOWN</t>
        </is>
      </c>
      <c r="N1743" t="inlineStr">
        <is>
          <t>DEFAULT</t>
        </is>
      </c>
      <c r="Q1743" t="n">
        <v>0</v>
      </c>
      <c r="R1743" t="inlineStr">
        <is>
          <t>AUD</t>
        </is>
      </c>
      <c r="S1743" t="n">
        <v>0</v>
      </c>
      <c r="T1743" t="inlineStr">
        <is>
          <t>AUD</t>
        </is>
      </c>
      <c r="U1743" t="n">
        <v>0</v>
      </c>
    </row>
    <row r="1744">
      <c r="A1744" s="5" t="inlineStr">
        <is>
          <t>01a1212c-6117-75eb-98f8-b6860db08d1f</t>
        </is>
      </c>
      <c r="C1744" s="5" t="inlineStr">
        <is>
          <t>01a1212c-4b57-70cf-80fd-c2192cb3bf81</t>
        </is>
      </c>
      <c r="D1744" s="4" t="n">
        <v>46304.62406249071</v>
      </c>
      <c r="E1744" s="4" t="n">
        <v>46304.62406249079</v>
      </c>
      <c r="F1744" t="b">
        <v>1</v>
      </c>
      <c r="G1744" t="n">
        <v/>
      </c>
      <c r="H1744" t="inlineStr">
        <is>
          <t>MNC</t>
        </is>
      </c>
      <c r="I1744" t="inlineStr">
        <is>
          <t>Merino &amp; Co. Ltd</t>
        </is>
      </c>
      <c r="J1744" t="inlineStr">
        <is>
          <t>AUD</t>
        </is>
      </c>
      <c r="K1744" s="5" t="inlineStr">
        <is>
          <t>01a1212c-4c04-75ce-bbb2-e3322e18816e</t>
        </is>
      </c>
      <c r="M1744" t="inlineStr">
        <is>
          <t>UNKNOWN</t>
        </is>
      </c>
      <c r="N1744" t="inlineStr">
        <is>
          <t>DEFAULT</t>
        </is>
      </c>
      <c r="Q1744" t="n">
        <v>0</v>
      </c>
      <c r="R1744" t="inlineStr">
        <is>
          <t>AUD</t>
        </is>
      </c>
      <c r="S1744" t="n">
        <v>0</v>
      </c>
      <c r="T1744" t="inlineStr">
        <is>
          <t>AUD</t>
        </is>
      </c>
      <c r="U1744" t="n">
        <v>0</v>
      </c>
    </row>
    <row r="1745">
      <c r="A1745" s="5" t="inlineStr">
        <is>
          <t>01a1212c-611a-75b3-a87b-2d8ea20b9b4a</t>
        </is>
      </c>
      <c r="C1745" s="5" t="inlineStr">
        <is>
          <t>01a1212c-4b57-70cf-80fd-c2192cb3bf81</t>
        </is>
      </c>
      <c r="D1745" s="4" t="n">
        <v>46304.62406252453</v>
      </c>
      <c r="E1745" s="4" t="n">
        <v>46304.62406252462</v>
      </c>
      <c r="F1745" t="b">
        <v>1</v>
      </c>
      <c r="G1745" t="n">
        <v/>
      </c>
      <c r="H1745" t="inlineStr">
        <is>
          <t>ADR</t>
        </is>
      </c>
      <c r="I1745" t="inlineStr">
        <is>
          <t>Adherium Ltd</t>
        </is>
      </c>
      <c r="J1745" t="inlineStr">
        <is>
          <t>AUD</t>
        </is>
      </c>
      <c r="K1745" s="5" t="inlineStr">
        <is>
          <t>01a1212c-4c04-75ce-bbb2-e3322e18816e</t>
        </is>
      </c>
      <c r="M1745" t="inlineStr">
        <is>
          <t>UNKNOWN</t>
        </is>
      </c>
      <c r="N1745" t="inlineStr">
        <is>
          <t>DEFAULT</t>
        </is>
      </c>
      <c r="Q1745" t="n">
        <v>0</v>
      </c>
      <c r="R1745" t="inlineStr">
        <is>
          <t>AUD</t>
        </is>
      </c>
      <c r="S1745" t="n">
        <v>0</v>
      </c>
      <c r="T1745" t="inlineStr">
        <is>
          <t>AUD</t>
        </is>
      </c>
      <c r="U1745" t="n">
        <v>0</v>
      </c>
    </row>
    <row r="1746">
      <c r="A1746" s="5" t="inlineStr">
        <is>
          <t>01a1212c-611c-73db-8109-85e97ce0fbd6</t>
        </is>
      </c>
      <c r="C1746" s="5" t="inlineStr">
        <is>
          <t>01a1212c-4b57-70cf-80fd-c2192cb3bf81</t>
        </is>
      </c>
      <c r="D1746" s="4" t="n">
        <v>46304.62406255578</v>
      </c>
      <c r="E1746" s="4" t="n">
        <v>46304.62406255587</v>
      </c>
      <c r="F1746" t="b">
        <v>1</v>
      </c>
      <c r="G1746" t="n">
        <v/>
      </c>
      <c r="H1746" t="inlineStr">
        <is>
          <t>EOF</t>
        </is>
      </c>
      <c r="I1746" t="inlineStr">
        <is>
          <t>Ecofibre Ltd</t>
        </is>
      </c>
      <c r="J1746" t="inlineStr">
        <is>
          <t>AUD</t>
        </is>
      </c>
      <c r="K1746" s="5" t="inlineStr">
        <is>
          <t>01a1212c-4c04-75ce-bbb2-e3322e18816e</t>
        </is>
      </c>
      <c r="M1746" t="inlineStr">
        <is>
          <t>UNKNOWN</t>
        </is>
      </c>
      <c r="N1746" t="inlineStr">
        <is>
          <t>DEFAULT</t>
        </is>
      </c>
      <c r="Q1746" t="n">
        <v>0</v>
      </c>
      <c r="R1746" t="inlineStr">
        <is>
          <t>AUD</t>
        </is>
      </c>
      <c r="S1746" t="n">
        <v>0</v>
      </c>
      <c r="T1746" t="inlineStr">
        <is>
          <t>AUD</t>
        </is>
      </c>
      <c r="U1746" t="n">
        <v>0</v>
      </c>
    </row>
    <row r="1747">
      <c r="A1747" s="5" t="inlineStr">
        <is>
          <t>01a1212c-611f-754f-9616-36f20b8a97f0</t>
        </is>
      </c>
      <c r="C1747" s="5" t="inlineStr">
        <is>
          <t>01a1212c-4b57-70cf-80fd-c2192cb3bf81</t>
        </is>
      </c>
      <c r="D1747" s="4" t="n">
        <v>46304.62406258664</v>
      </c>
      <c r="E1747" s="4" t="n">
        <v>46304.62406258672</v>
      </c>
      <c r="F1747" t="b">
        <v>1</v>
      </c>
      <c r="G1747" t="n">
        <v/>
      </c>
      <c r="H1747" t="inlineStr">
        <is>
          <t>MCO</t>
        </is>
      </c>
      <c r="I1747" t="inlineStr">
        <is>
          <t>Myeco Group Ltd</t>
        </is>
      </c>
      <c r="J1747" t="inlineStr">
        <is>
          <t>AUD</t>
        </is>
      </c>
      <c r="K1747" s="5" t="inlineStr">
        <is>
          <t>01a1212c-4c04-75ce-bbb2-e3322e18816e</t>
        </is>
      </c>
      <c r="M1747" t="inlineStr">
        <is>
          <t>UNKNOWN</t>
        </is>
      </c>
      <c r="N1747" t="inlineStr">
        <is>
          <t>DEFAULT</t>
        </is>
      </c>
      <c r="Q1747" t="n">
        <v>0</v>
      </c>
      <c r="R1747" t="inlineStr">
        <is>
          <t>AUD</t>
        </is>
      </c>
      <c r="S1747" t="n">
        <v>0</v>
      </c>
      <c r="T1747" t="inlineStr">
        <is>
          <t>AUD</t>
        </is>
      </c>
      <c r="U1747" t="n">
        <v>0</v>
      </c>
    </row>
    <row r="1748">
      <c r="A1748" s="5" t="inlineStr">
        <is>
          <t>01a1212c-6122-70e4-bc1a-8c7aca4202bc</t>
        </is>
      </c>
      <c r="C1748" s="5" t="inlineStr">
        <is>
          <t>01a1212c-4b57-70cf-80fd-c2192cb3bf81</t>
        </is>
      </c>
      <c r="D1748" s="4" t="n">
        <v>46304.62406261817</v>
      </c>
      <c r="E1748" s="4" t="n">
        <v>46304.62406261826</v>
      </c>
      <c r="F1748" t="b">
        <v>1</v>
      </c>
      <c r="G1748" t="n">
        <v/>
      </c>
      <c r="H1748" t="inlineStr">
        <is>
          <t>VMIN</t>
        </is>
      </c>
      <c r="I1748" t="inlineStr">
        <is>
          <t>Vanguard Global Minimum Volatility Active ETF</t>
        </is>
      </c>
      <c r="J1748" t="inlineStr">
        <is>
          <t>AUD</t>
        </is>
      </c>
      <c r="K1748" s="5" t="inlineStr">
        <is>
          <t>01a1212c-4c04-75ce-bbb2-e3322e18816e</t>
        </is>
      </c>
      <c r="M1748" t="inlineStr">
        <is>
          <t>UNIT_TRUST</t>
        </is>
      </c>
      <c r="N1748" t="inlineStr">
        <is>
          <t>SUGGESTED</t>
        </is>
      </c>
      <c r="Q1748" t="n">
        <v>0</v>
      </c>
      <c r="R1748" t="inlineStr">
        <is>
          <t>AUD</t>
        </is>
      </c>
      <c r="S1748" t="n">
        <v>0</v>
      </c>
      <c r="T1748" t="inlineStr">
        <is>
          <t>AUD</t>
        </is>
      </c>
      <c r="U1748" t="n">
        <v>0</v>
      </c>
    </row>
    <row r="1749">
      <c r="A1749" s="5" t="inlineStr">
        <is>
          <t>01a1212c-6125-76e6-a550-6799255854d7</t>
        </is>
      </c>
      <c r="C1749" s="5" t="inlineStr">
        <is>
          <t>01a1212c-4b57-70cf-80fd-c2192cb3bf81</t>
        </is>
      </c>
      <c r="D1749" s="4" t="n">
        <v>46304.62406265568</v>
      </c>
      <c r="E1749" s="4" t="n">
        <v>46304.62406265576</v>
      </c>
      <c r="F1749" t="b">
        <v>1</v>
      </c>
      <c r="G1749" t="n">
        <v/>
      </c>
      <c r="H1749" t="inlineStr">
        <is>
          <t>FTZ</t>
        </is>
      </c>
      <c r="I1749" t="inlineStr">
        <is>
          <t>Fertoz Ltd</t>
        </is>
      </c>
      <c r="J1749" t="inlineStr">
        <is>
          <t>AUD</t>
        </is>
      </c>
      <c r="K1749" s="5" t="inlineStr">
        <is>
          <t>01a1212c-4c04-75ce-bbb2-e3322e18816e</t>
        </is>
      </c>
      <c r="M1749" t="inlineStr">
        <is>
          <t>UNKNOWN</t>
        </is>
      </c>
      <c r="N1749" t="inlineStr">
        <is>
          <t>DEFAULT</t>
        </is>
      </c>
      <c r="Q1749" t="n">
        <v>0</v>
      </c>
      <c r="R1749" t="inlineStr">
        <is>
          <t>AUD</t>
        </is>
      </c>
      <c r="S1749" t="n">
        <v>0</v>
      </c>
      <c r="T1749" t="inlineStr">
        <is>
          <t>AUD</t>
        </is>
      </c>
      <c r="U1749" t="n">
        <v>0</v>
      </c>
    </row>
    <row r="1750">
      <c r="A1750" s="5" t="inlineStr">
        <is>
          <t>01a1212c-6127-7385-9d90-7d7a278b3074</t>
        </is>
      </c>
      <c r="C1750" s="5" t="inlineStr">
        <is>
          <t>01a1212c-4b57-70cf-80fd-c2192cb3bf81</t>
        </is>
      </c>
      <c r="D1750" s="4" t="n">
        <v>46304.62406268631</v>
      </c>
      <c r="E1750" s="4" t="n">
        <v>46304.62406268639</v>
      </c>
      <c r="F1750" t="b">
        <v>1</v>
      </c>
      <c r="G1750" t="n">
        <v/>
      </c>
      <c r="H1750" t="inlineStr">
        <is>
          <t>RGT</t>
        </is>
      </c>
      <c r="I1750" t="inlineStr">
        <is>
          <t>Argent Biopharma Ltd</t>
        </is>
      </c>
      <c r="J1750" t="inlineStr">
        <is>
          <t>AUD</t>
        </is>
      </c>
      <c r="K1750" s="5" t="inlineStr">
        <is>
          <t>01a1212c-4c04-75ce-bbb2-e3322e18816e</t>
        </is>
      </c>
      <c r="M1750" t="inlineStr">
        <is>
          <t>UNKNOWN</t>
        </is>
      </c>
      <c r="N1750" t="inlineStr">
        <is>
          <t>DEFAULT</t>
        </is>
      </c>
      <c r="Q1750" t="n">
        <v>0</v>
      </c>
      <c r="R1750" t="inlineStr">
        <is>
          <t>AUD</t>
        </is>
      </c>
      <c r="S1750" t="n">
        <v>0</v>
      </c>
      <c r="T1750" t="inlineStr">
        <is>
          <t>AUD</t>
        </is>
      </c>
      <c r="U1750" t="n">
        <v>0</v>
      </c>
    </row>
    <row r="1751">
      <c r="A1751" s="5" t="inlineStr">
        <is>
          <t>01a1212c-612a-7551-b6e6-d5afa64a3856</t>
        </is>
      </c>
      <c r="C1751" s="5" t="inlineStr">
        <is>
          <t>01a1212c-4b57-70cf-80fd-c2192cb3bf81</t>
        </is>
      </c>
      <c r="D1751" s="4" t="n">
        <v>46304.62406271795</v>
      </c>
      <c r="E1751" s="4" t="n">
        <v>46304.62406271803</v>
      </c>
      <c r="F1751" t="b">
        <v>1</v>
      </c>
      <c r="G1751" t="n">
        <v/>
      </c>
      <c r="H1751" t="inlineStr">
        <is>
          <t>TM1</t>
        </is>
      </c>
      <c r="I1751" t="inlineStr">
        <is>
          <t>Terra Metals Ltd</t>
        </is>
      </c>
      <c r="J1751" t="inlineStr">
        <is>
          <t>AUD</t>
        </is>
      </c>
      <c r="K1751" s="5" t="inlineStr">
        <is>
          <t>01a1212c-4c04-75ce-bbb2-e3322e18816e</t>
        </is>
      </c>
      <c r="M1751" t="inlineStr">
        <is>
          <t>UNKNOWN</t>
        </is>
      </c>
      <c r="N1751" t="inlineStr">
        <is>
          <t>DEFAULT</t>
        </is>
      </c>
      <c r="Q1751" t="n">
        <v>0</v>
      </c>
      <c r="R1751" t="inlineStr">
        <is>
          <t>AUD</t>
        </is>
      </c>
      <c r="S1751" t="n">
        <v>0</v>
      </c>
      <c r="T1751" t="inlineStr">
        <is>
          <t>AUD</t>
        </is>
      </c>
      <c r="U1751" t="n">
        <v>0</v>
      </c>
    </row>
    <row r="1752">
      <c r="A1752" s="5" t="inlineStr">
        <is>
          <t>01a1212c-612d-71de-a73f-c9a942e75114</t>
        </is>
      </c>
      <c r="C1752" s="5" t="inlineStr">
        <is>
          <t>01a1212c-4b57-70cf-80fd-c2192cb3bf81</t>
        </is>
      </c>
      <c r="D1752" s="4" t="n">
        <v>46304.62406274924</v>
      </c>
      <c r="E1752" s="4" t="n">
        <v>46304.62406274932</v>
      </c>
      <c r="F1752" t="b">
        <v>1</v>
      </c>
      <c r="G1752" t="n">
        <v/>
      </c>
      <c r="H1752" t="inlineStr">
        <is>
          <t>EAX</t>
        </is>
      </c>
      <c r="I1752" t="inlineStr">
        <is>
          <t>Energy Action Ltd</t>
        </is>
      </c>
      <c r="J1752" t="inlineStr">
        <is>
          <t>AUD</t>
        </is>
      </c>
      <c r="K1752" s="5" t="inlineStr">
        <is>
          <t>01a1212c-4c04-75ce-bbb2-e3322e18816e</t>
        </is>
      </c>
      <c r="M1752" t="inlineStr">
        <is>
          <t>UNKNOWN</t>
        </is>
      </c>
      <c r="N1752" t="inlineStr">
        <is>
          <t>DEFAULT</t>
        </is>
      </c>
      <c r="Q1752" t="n">
        <v>0</v>
      </c>
      <c r="R1752" t="inlineStr">
        <is>
          <t>AUD</t>
        </is>
      </c>
      <c r="S1752" t="n">
        <v>0</v>
      </c>
      <c r="T1752" t="inlineStr">
        <is>
          <t>AUD</t>
        </is>
      </c>
      <c r="U1752" t="n">
        <v>0</v>
      </c>
    </row>
    <row r="1753">
      <c r="A1753" s="5" t="inlineStr">
        <is>
          <t>01a1212c-6130-761c-bd3d-a44839a37011</t>
        </is>
      </c>
      <c r="C1753" s="5" t="inlineStr">
        <is>
          <t>01a1212c-4b57-70cf-80fd-c2192cb3bf81</t>
        </is>
      </c>
      <c r="D1753" s="4" t="n">
        <v>46304.62406278036</v>
      </c>
      <c r="E1753" s="4" t="n">
        <v>46304.62406278044</v>
      </c>
      <c r="F1753" t="b">
        <v>1</v>
      </c>
      <c r="G1753" t="n">
        <v/>
      </c>
      <c r="H1753" t="inlineStr">
        <is>
          <t>ANR</t>
        </is>
      </c>
      <c r="I1753" t="inlineStr">
        <is>
          <t>Anatara Lifesciences Ltd</t>
        </is>
      </c>
      <c r="J1753" t="inlineStr">
        <is>
          <t>AUD</t>
        </is>
      </c>
      <c r="K1753" s="5" t="inlineStr">
        <is>
          <t>01a1212c-4c04-75ce-bbb2-e3322e18816e</t>
        </is>
      </c>
      <c r="M1753" t="inlineStr">
        <is>
          <t>UNKNOWN</t>
        </is>
      </c>
      <c r="N1753" t="inlineStr">
        <is>
          <t>DEFAULT</t>
        </is>
      </c>
      <c r="Q1753" t="n">
        <v>0</v>
      </c>
      <c r="R1753" t="inlineStr">
        <is>
          <t>AUD</t>
        </is>
      </c>
      <c r="S1753" t="n">
        <v>0</v>
      </c>
      <c r="T1753" t="inlineStr">
        <is>
          <t>AUD</t>
        </is>
      </c>
      <c r="U1753" t="n">
        <v>0</v>
      </c>
    </row>
    <row r="1754">
      <c r="A1754" s="5" t="inlineStr">
        <is>
          <t>01a1212c-6133-7409-b0dc-c5eab96fa810</t>
        </is>
      </c>
      <c r="C1754" s="5" t="inlineStr">
        <is>
          <t>01a1212c-4b57-70cf-80fd-c2192cb3bf81</t>
        </is>
      </c>
      <c r="D1754" s="4" t="n">
        <v>46304.62406281385</v>
      </c>
      <c r="E1754" s="4" t="n">
        <v>46304.62406281395</v>
      </c>
      <c r="F1754" t="b">
        <v>1</v>
      </c>
      <c r="G1754" t="n">
        <v/>
      </c>
      <c r="H1754" t="inlineStr">
        <is>
          <t>RCL</t>
        </is>
      </c>
      <c r="I1754" t="inlineStr">
        <is>
          <t>Readcloud Ltd</t>
        </is>
      </c>
      <c r="J1754" t="inlineStr">
        <is>
          <t>AUD</t>
        </is>
      </c>
      <c r="K1754" s="5" t="inlineStr">
        <is>
          <t>01a1212c-4c04-75ce-bbb2-e3322e18816e</t>
        </is>
      </c>
      <c r="M1754" t="inlineStr">
        <is>
          <t>UNKNOWN</t>
        </is>
      </c>
      <c r="N1754" t="inlineStr">
        <is>
          <t>DEFAULT</t>
        </is>
      </c>
      <c r="Q1754" t="n">
        <v>0</v>
      </c>
      <c r="R1754" t="inlineStr">
        <is>
          <t>AUD</t>
        </is>
      </c>
      <c r="S1754" t="n">
        <v>0</v>
      </c>
      <c r="T1754" t="inlineStr">
        <is>
          <t>AUD</t>
        </is>
      </c>
      <c r="U1754" t="n">
        <v>0</v>
      </c>
    </row>
    <row r="1755">
      <c r="A1755" s="5" t="inlineStr">
        <is>
          <t>01a1212c-6135-72e6-b0a2-ec89eb27fb06</t>
        </is>
      </c>
      <c r="C1755" s="5" t="inlineStr">
        <is>
          <t>01a1212c-4b57-70cf-80fd-c2192cb3bf81</t>
        </is>
      </c>
      <c r="D1755" s="4" t="n">
        <v>46304.62406284452</v>
      </c>
      <c r="E1755" s="4" t="n">
        <v>46304.6240628446</v>
      </c>
      <c r="F1755" t="b">
        <v>1</v>
      </c>
      <c r="G1755" t="n">
        <v/>
      </c>
      <c r="H1755" t="inlineStr">
        <is>
          <t>TSL</t>
        </is>
      </c>
      <c r="I1755" t="inlineStr">
        <is>
          <t>Titanium Sands Ltd</t>
        </is>
      </c>
      <c r="J1755" t="inlineStr">
        <is>
          <t>AUD</t>
        </is>
      </c>
      <c r="K1755" s="5" t="inlineStr">
        <is>
          <t>01a1212c-4c04-75ce-bbb2-e3322e18816e</t>
        </is>
      </c>
      <c r="M1755" t="inlineStr">
        <is>
          <t>UNKNOWN</t>
        </is>
      </c>
      <c r="N1755" t="inlineStr">
        <is>
          <t>DEFAULT</t>
        </is>
      </c>
      <c r="Q1755" t="n">
        <v>0</v>
      </c>
      <c r="R1755" t="inlineStr">
        <is>
          <t>AUD</t>
        </is>
      </c>
      <c r="S1755" t="n">
        <v>0</v>
      </c>
      <c r="T1755" t="inlineStr">
        <is>
          <t>AUD</t>
        </is>
      </c>
      <c r="U1755" t="n">
        <v>0</v>
      </c>
    </row>
    <row r="1756">
      <c r="A1756" s="5" t="inlineStr">
        <is>
          <t>01a1212c-6138-77f8-a08a-5cf63a179597</t>
        </is>
      </c>
      <c r="C1756" s="5" t="inlineStr">
        <is>
          <t>01a1212c-4b57-70cf-80fd-c2192cb3bf81</t>
        </is>
      </c>
      <c r="D1756" s="4" t="n">
        <v>46304.62406287861</v>
      </c>
      <c r="E1756" s="4" t="n">
        <v>46304.62406287869</v>
      </c>
      <c r="F1756" t="b">
        <v>1</v>
      </c>
      <c r="G1756" t="n">
        <v/>
      </c>
      <c r="H1756" t="inlineStr">
        <is>
          <t>TMS</t>
        </is>
      </c>
      <c r="I1756" t="inlineStr">
        <is>
          <t>Tennant Minerals Ltd</t>
        </is>
      </c>
      <c r="J1756" t="inlineStr">
        <is>
          <t>AUD</t>
        </is>
      </c>
      <c r="K1756" s="5" t="inlineStr">
        <is>
          <t>01a1212c-4c04-75ce-bbb2-e3322e18816e</t>
        </is>
      </c>
      <c r="M1756" t="inlineStr">
        <is>
          <t>UNKNOWN</t>
        </is>
      </c>
      <c r="N1756" t="inlineStr">
        <is>
          <t>DEFAULT</t>
        </is>
      </c>
      <c r="Q1756" t="n">
        <v>0</v>
      </c>
      <c r="R1756" t="inlineStr">
        <is>
          <t>AUD</t>
        </is>
      </c>
      <c r="S1756" t="n">
        <v>0</v>
      </c>
      <c r="T1756" t="inlineStr">
        <is>
          <t>AUD</t>
        </is>
      </c>
      <c r="U1756" t="n">
        <v>0</v>
      </c>
    </row>
    <row r="1757">
      <c r="A1757" s="5" t="inlineStr">
        <is>
          <t>01a1212c-613b-7133-afa5-889b5975fb41</t>
        </is>
      </c>
      <c r="C1757" s="5" t="inlineStr">
        <is>
          <t>01a1212c-4b57-70cf-80fd-c2192cb3bf81</t>
        </is>
      </c>
      <c r="D1757" s="4" t="n">
        <v>46304.62406290951</v>
      </c>
      <c r="E1757" s="4" t="n">
        <v>46304.62406290958</v>
      </c>
      <c r="F1757" t="b">
        <v>1</v>
      </c>
      <c r="G1757" t="n">
        <v/>
      </c>
      <c r="H1757" t="inlineStr">
        <is>
          <t>TNY</t>
        </is>
      </c>
      <c r="I1757" t="inlineStr">
        <is>
          <t>Tinybeans Group Ltd</t>
        </is>
      </c>
      <c r="J1757" t="inlineStr">
        <is>
          <t>AUD</t>
        </is>
      </c>
      <c r="K1757" s="5" t="inlineStr">
        <is>
          <t>01a1212c-4c04-75ce-bbb2-e3322e18816e</t>
        </is>
      </c>
      <c r="M1757" t="inlineStr">
        <is>
          <t>UNKNOWN</t>
        </is>
      </c>
      <c r="N1757" t="inlineStr">
        <is>
          <t>DEFAULT</t>
        </is>
      </c>
      <c r="Q1757" t="n">
        <v>0</v>
      </c>
      <c r="R1757" t="inlineStr">
        <is>
          <t>AUD</t>
        </is>
      </c>
      <c r="S1757" t="n">
        <v>0</v>
      </c>
      <c r="T1757" t="inlineStr">
        <is>
          <t>AUD</t>
        </is>
      </c>
      <c r="U1757" t="n">
        <v>0</v>
      </c>
    </row>
    <row r="1758">
      <c r="A1758" s="5" t="inlineStr">
        <is>
          <t>01a1212c-613e-7405-988c-5cd09ff4e117</t>
        </is>
      </c>
      <c r="C1758" s="5" t="inlineStr">
        <is>
          <t>01a1212c-4b57-70cf-80fd-c2192cb3bf81</t>
        </is>
      </c>
      <c r="D1758" s="4" t="n">
        <v>46304.62406294124</v>
      </c>
      <c r="E1758" s="4" t="n">
        <v>46304.62406294131</v>
      </c>
      <c r="F1758" t="b">
        <v>1</v>
      </c>
      <c r="G1758" t="n">
        <v/>
      </c>
      <c r="H1758" t="inlineStr">
        <is>
          <t>1AE</t>
        </is>
      </c>
      <c r="I1758" t="inlineStr">
        <is>
          <t>Aurora Energy Metals Ltd</t>
        </is>
      </c>
      <c r="J1758" t="inlineStr">
        <is>
          <t>AUD</t>
        </is>
      </c>
      <c r="K1758" s="5" t="inlineStr">
        <is>
          <t>01a1212c-4c04-75ce-bbb2-e3322e18816e</t>
        </is>
      </c>
      <c r="M1758" t="inlineStr">
        <is>
          <t>UNKNOWN</t>
        </is>
      </c>
      <c r="N1758" t="inlineStr">
        <is>
          <t>DEFAULT</t>
        </is>
      </c>
      <c r="Q1758" t="n">
        <v>0</v>
      </c>
      <c r="R1758" t="inlineStr">
        <is>
          <t>AUD</t>
        </is>
      </c>
      <c r="S1758" t="n">
        <v>0</v>
      </c>
      <c r="T1758" t="inlineStr">
        <is>
          <t>AUD</t>
        </is>
      </c>
      <c r="U1758" t="n">
        <v>0</v>
      </c>
    </row>
    <row r="1759">
      <c r="A1759" s="5" t="inlineStr">
        <is>
          <t>01a1212c-6140-7675-a556-6e72ef3e893c</t>
        </is>
      </c>
      <c r="C1759" s="5" t="inlineStr">
        <is>
          <t>01a1212c-4b57-70cf-80fd-c2192cb3bf81</t>
        </is>
      </c>
      <c r="D1759" s="4" t="n">
        <v>46304.62406297369</v>
      </c>
      <c r="E1759" s="4" t="n">
        <v>46304.62406297379</v>
      </c>
      <c r="F1759" t="b">
        <v>1</v>
      </c>
      <c r="G1759" t="n">
        <v/>
      </c>
      <c r="H1759" t="inlineStr">
        <is>
          <t>NYM</t>
        </is>
      </c>
      <c r="I1759" t="inlineStr">
        <is>
          <t>Narryer Metals Ltd</t>
        </is>
      </c>
      <c r="J1759" t="inlineStr">
        <is>
          <t>AUD</t>
        </is>
      </c>
      <c r="K1759" s="5" t="inlineStr">
        <is>
          <t>01a1212c-4c04-75ce-bbb2-e3322e18816e</t>
        </is>
      </c>
      <c r="M1759" t="inlineStr">
        <is>
          <t>UNKNOWN</t>
        </is>
      </c>
      <c r="N1759" t="inlineStr">
        <is>
          <t>DEFAULT</t>
        </is>
      </c>
      <c r="Q1759" t="n">
        <v>0</v>
      </c>
      <c r="R1759" t="inlineStr">
        <is>
          <t>AUD</t>
        </is>
      </c>
      <c r="S1759" t="n">
        <v>0</v>
      </c>
      <c r="T1759" t="inlineStr">
        <is>
          <t>AUD</t>
        </is>
      </c>
      <c r="U1759" t="n">
        <v>0</v>
      </c>
    </row>
    <row r="1760">
      <c r="A1760" s="5" t="inlineStr">
        <is>
          <t>01a1212c-6143-70d2-98d1-a959a0cb2433</t>
        </is>
      </c>
      <c r="C1760" s="5" t="inlineStr">
        <is>
          <t>01a1212c-4b57-70cf-80fd-c2192cb3bf81</t>
        </is>
      </c>
      <c r="D1760" s="4" t="n">
        <v>46304.62406300836</v>
      </c>
      <c r="E1760" s="4" t="n">
        <v>46304.62406300844</v>
      </c>
      <c r="F1760" t="b">
        <v>1</v>
      </c>
      <c r="G1760" t="n">
        <v/>
      </c>
      <c r="H1760" t="inlineStr">
        <is>
          <t>MRQ</t>
        </is>
      </c>
      <c r="I1760" t="inlineStr">
        <is>
          <t>MRG Metals Ltd</t>
        </is>
      </c>
      <c r="J1760" t="inlineStr">
        <is>
          <t>AUD</t>
        </is>
      </c>
      <c r="K1760" s="5" t="inlineStr">
        <is>
          <t>01a1212c-4c04-75ce-bbb2-e3322e18816e</t>
        </is>
      </c>
      <c r="M1760" t="inlineStr">
        <is>
          <t>UNKNOWN</t>
        </is>
      </c>
      <c r="N1760" t="inlineStr">
        <is>
          <t>DEFAULT</t>
        </is>
      </c>
      <c r="Q1760" t="n">
        <v>0</v>
      </c>
      <c r="R1760" t="inlineStr">
        <is>
          <t>AUD</t>
        </is>
      </c>
      <c r="S1760" t="n">
        <v>0</v>
      </c>
      <c r="T1760" t="inlineStr">
        <is>
          <t>AUD</t>
        </is>
      </c>
      <c r="U1760" t="n">
        <v>0</v>
      </c>
    </row>
    <row r="1761">
      <c r="A1761" s="5" t="inlineStr">
        <is>
          <t>01a1212c-6146-7635-936d-4fe310abae1e</t>
        </is>
      </c>
      <c r="C1761" s="5" t="inlineStr">
        <is>
          <t>01a1212c-4b57-70cf-80fd-c2192cb3bf81</t>
        </is>
      </c>
      <c r="D1761" s="4" t="n">
        <v>46304.62406303978</v>
      </c>
      <c r="E1761" s="4" t="n">
        <v>46304.62406303985</v>
      </c>
      <c r="F1761" t="b">
        <v>1</v>
      </c>
      <c r="G1761" t="n">
        <v/>
      </c>
      <c r="H1761" t="inlineStr">
        <is>
          <t>SUM</t>
        </is>
      </c>
      <c r="I1761" t="inlineStr">
        <is>
          <t>Summit Minerals Ltd</t>
        </is>
      </c>
      <c r="J1761" t="inlineStr">
        <is>
          <t>AUD</t>
        </is>
      </c>
      <c r="K1761" s="5" t="inlineStr">
        <is>
          <t>01a1212c-4c04-75ce-bbb2-e3322e18816e</t>
        </is>
      </c>
      <c r="M1761" t="inlineStr">
        <is>
          <t>UNKNOWN</t>
        </is>
      </c>
      <c r="N1761" t="inlineStr">
        <is>
          <t>DEFAULT</t>
        </is>
      </c>
      <c r="Q1761" t="n">
        <v>0</v>
      </c>
      <c r="R1761" t="inlineStr">
        <is>
          <t>AUD</t>
        </is>
      </c>
      <c r="S1761" t="n">
        <v>0</v>
      </c>
      <c r="T1761" t="inlineStr">
        <is>
          <t>AUD</t>
        </is>
      </c>
      <c r="U1761" t="n">
        <v>0</v>
      </c>
    </row>
    <row r="1762">
      <c r="A1762" s="5" t="inlineStr">
        <is>
          <t>01a1212c-6149-7312-a59d-6447bea36a82</t>
        </is>
      </c>
      <c r="C1762" s="5" t="inlineStr">
        <is>
          <t>01a1212c-4b57-70cf-80fd-c2192cb3bf81</t>
        </is>
      </c>
      <c r="D1762" s="4" t="n">
        <v>46304.62406307083</v>
      </c>
      <c r="E1762" s="4" t="n">
        <v>46304.6240630709</v>
      </c>
      <c r="F1762" t="b">
        <v>1</v>
      </c>
      <c r="G1762" t="n">
        <v/>
      </c>
      <c r="H1762" t="inlineStr">
        <is>
          <t>UWC</t>
        </is>
      </c>
      <c r="I1762" t="inlineStr">
        <is>
          <t>Underwood Capital Ltd</t>
        </is>
      </c>
      <c r="J1762" t="inlineStr">
        <is>
          <t>AUD</t>
        </is>
      </c>
      <c r="K1762" s="5" t="inlineStr">
        <is>
          <t>01a1212c-4c04-75ce-bbb2-e3322e18816e</t>
        </is>
      </c>
      <c r="M1762" t="inlineStr">
        <is>
          <t>UNKNOWN</t>
        </is>
      </c>
      <c r="N1762" t="inlineStr">
        <is>
          <t>DEFAULT</t>
        </is>
      </c>
      <c r="Q1762" t="n">
        <v>0</v>
      </c>
      <c r="R1762" t="inlineStr">
        <is>
          <t>AUD</t>
        </is>
      </c>
      <c r="S1762" t="n">
        <v>0</v>
      </c>
      <c r="T1762" t="inlineStr">
        <is>
          <t>AUD</t>
        </is>
      </c>
      <c r="U1762" t="n">
        <v>0</v>
      </c>
    </row>
    <row r="1763">
      <c r="A1763" s="5" t="inlineStr">
        <is>
          <t>01a1212c-614b-77ee-afa6-179c4e900a5b</t>
        </is>
      </c>
      <c r="C1763" s="5" t="inlineStr">
        <is>
          <t>01a1212c-4b57-70cf-80fd-c2192cb3bf81</t>
        </is>
      </c>
      <c r="D1763" s="4" t="n">
        <v>46304.6240631013</v>
      </c>
      <c r="E1763" s="4" t="n">
        <v>46304.62406310138</v>
      </c>
      <c r="F1763" t="b">
        <v>1</v>
      </c>
      <c r="G1763" t="n">
        <v/>
      </c>
      <c r="H1763" t="inlineStr">
        <is>
          <t>ID8</t>
        </is>
      </c>
      <c r="I1763" t="inlineStr">
        <is>
          <t>Identitii Ltd</t>
        </is>
      </c>
      <c r="J1763" t="inlineStr">
        <is>
          <t>AUD</t>
        </is>
      </c>
      <c r="K1763" s="5" t="inlineStr">
        <is>
          <t>01a1212c-4c04-75ce-bbb2-e3322e18816e</t>
        </is>
      </c>
      <c r="M1763" t="inlineStr">
        <is>
          <t>UNKNOWN</t>
        </is>
      </c>
      <c r="N1763" t="inlineStr">
        <is>
          <t>DEFAULT</t>
        </is>
      </c>
      <c r="Q1763" t="n">
        <v>0</v>
      </c>
      <c r="R1763" t="inlineStr">
        <is>
          <t>AUD</t>
        </is>
      </c>
      <c r="S1763" t="n">
        <v>0</v>
      </c>
      <c r="T1763" t="inlineStr">
        <is>
          <t>AUD</t>
        </is>
      </c>
      <c r="U1763" t="n">
        <v>0</v>
      </c>
    </row>
    <row r="1764">
      <c r="A1764" s="5" t="inlineStr">
        <is>
          <t>01a1212c-614e-718e-94c5-b25838f6b44c</t>
        </is>
      </c>
      <c r="C1764" s="5" t="inlineStr">
        <is>
          <t>01a1212c-4b57-70cf-80fd-c2192cb3bf81</t>
        </is>
      </c>
      <c r="D1764" s="4" t="n">
        <v>46304.62406313229</v>
      </c>
      <c r="E1764" s="4" t="n">
        <v>46304.62406313236</v>
      </c>
      <c r="F1764" t="b">
        <v>1</v>
      </c>
      <c r="G1764" t="n">
        <v/>
      </c>
      <c r="H1764" t="inlineStr">
        <is>
          <t>GARP</t>
        </is>
      </c>
      <c r="I1764" t="inlineStr">
        <is>
          <t>Global X S&amp;P World Ex Australia Garp ETF</t>
        </is>
      </c>
      <c r="J1764" t="inlineStr">
        <is>
          <t>AUD</t>
        </is>
      </c>
      <c r="K1764" s="5" t="inlineStr">
        <is>
          <t>01a1212c-4c04-75ce-bbb2-e3322e18816e</t>
        </is>
      </c>
      <c r="M1764" t="inlineStr">
        <is>
          <t>UNKNOWN</t>
        </is>
      </c>
      <c r="N1764" t="inlineStr">
        <is>
          <t>DEFAULT</t>
        </is>
      </c>
      <c r="Q1764" t="n">
        <v>0</v>
      </c>
      <c r="R1764" t="inlineStr">
        <is>
          <t>AUD</t>
        </is>
      </c>
      <c r="S1764" t="n">
        <v>0</v>
      </c>
      <c r="T1764" t="inlineStr">
        <is>
          <t>AUD</t>
        </is>
      </c>
      <c r="U1764" t="n">
        <v>0</v>
      </c>
    </row>
    <row r="1765">
      <c r="A1765" s="5" t="inlineStr">
        <is>
          <t>01a1212c-6151-77d5-99f0-68937960ab14</t>
        </is>
      </c>
      <c r="C1765" s="5" t="inlineStr">
        <is>
          <t>01a1212c-4b57-70cf-80fd-c2192cb3bf81</t>
        </is>
      </c>
      <c r="D1765" s="4" t="n">
        <v>46304.6240631675</v>
      </c>
      <c r="E1765" s="4" t="n">
        <v>46304.62406316759</v>
      </c>
      <c r="F1765" t="b">
        <v>1</v>
      </c>
      <c r="G1765" t="n">
        <v/>
      </c>
      <c r="H1765" t="inlineStr">
        <is>
          <t>PIL</t>
        </is>
      </c>
      <c r="I1765" t="inlineStr">
        <is>
          <t>Peppermint Innovation Ltd</t>
        </is>
      </c>
      <c r="J1765" t="inlineStr">
        <is>
          <t>AUD</t>
        </is>
      </c>
      <c r="K1765" s="5" t="inlineStr">
        <is>
          <t>01a1212c-4c04-75ce-bbb2-e3322e18816e</t>
        </is>
      </c>
      <c r="M1765" t="inlineStr">
        <is>
          <t>UNKNOWN</t>
        </is>
      </c>
      <c r="N1765" t="inlineStr">
        <is>
          <t>DEFAULT</t>
        </is>
      </c>
      <c r="Q1765" t="n">
        <v>0</v>
      </c>
      <c r="R1765" t="inlineStr">
        <is>
          <t>AUD</t>
        </is>
      </c>
      <c r="S1765" t="n">
        <v>0</v>
      </c>
      <c r="T1765" t="inlineStr">
        <is>
          <t>AUD</t>
        </is>
      </c>
      <c r="U1765" t="n">
        <v>0</v>
      </c>
    </row>
    <row r="1766">
      <c r="A1766" s="5" t="inlineStr">
        <is>
          <t>01a1212c-6154-7456-93b4-55b980a727d4</t>
        </is>
      </c>
      <c r="C1766" s="5" t="inlineStr">
        <is>
          <t>01a1212c-4b57-70cf-80fd-c2192cb3bf81</t>
        </is>
      </c>
      <c r="D1766" s="4" t="n">
        <v>46304.62406319972</v>
      </c>
      <c r="E1766" s="4" t="n">
        <v>46304.6240631998</v>
      </c>
      <c r="F1766" t="b">
        <v>1</v>
      </c>
      <c r="G1766" t="n">
        <v/>
      </c>
      <c r="H1766" t="inlineStr">
        <is>
          <t>FHS</t>
        </is>
      </c>
      <c r="I1766" t="inlineStr">
        <is>
          <t>Freehill Mining Ltd</t>
        </is>
      </c>
      <c r="J1766" t="inlineStr">
        <is>
          <t>AUD</t>
        </is>
      </c>
      <c r="K1766" s="5" t="inlineStr">
        <is>
          <t>01a1212c-4c04-75ce-bbb2-e3322e18816e</t>
        </is>
      </c>
      <c r="M1766" t="inlineStr">
        <is>
          <t>UNKNOWN</t>
        </is>
      </c>
      <c r="N1766" t="inlineStr">
        <is>
          <t>DEFAULT</t>
        </is>
      </c>
      <c r="Q1766" t="n">
        <v>0</v>
      </c>
      <c r="R1766" t="inlineStr">
        <is>
          <t>AUD</t>
        </is>
      </c>
      <c r="S1766" t="n">
        <v>0</v>
      </c>
      <c r="T1766" t="inlineStr">
        <is>
          <t>AUD</t>
        </is>
      </c>
      <c r="U1766" t="n">
        <v>0</v>
      </c>
    </row>
    <row r="1767">
      <c r="A1767" s="5" t="inlineStr">
        <is>
          <t>01a1212c-6157-75ac-b01b-60ee8daea7f7</t>
        </is>
      </c>
      <c r="C1767" s="5" t="inlineStr">
        <is>
          <t>01a1212c-4b57-70cf-80fd-c2192cb3bf81</t>
        </is>
      </c>
      <c r="D1767" s="4" t="n">
        <v>46304.62406323064</v>
      </c>
      <c r="E1767" s="4" t="n">
        <v>46304.62406323071</v>
      </c>
      <c r="F1767" t="b">
        <v>1</v>
      </c>
      <c r="G1767" t="n">
        <v/>
      </c>
      <c r="H1767" t="inlineStr">
        <is>
          <t>LCL</t>
        </is>
      </c>
      <c r="I1767" t="inlineStr">
        <is>
          <t>LCL Resources Ltd</t>
        </is>
      </c>
      <c r="J1767" t="inlineStr">
        <is>
          <t>AUD</t>
        </is>
      </c>
      <c r="K1767" s="5" t="inlineStr">
        <is>
          <t>01a1212c-4c04-75ce-bbb2-e3322e18816e</t>
        </is>
      </c>
      <c r="M1767" t="inlineStr">
        <is>
          <t>UNKNOWN</t>
        </is>
      </c>
      <c r="N1767" t="inlineStr">
        <is>
          <t>DEFAULT</t>
        </is>
      </c>
      <c r="Q1767" t="n">
        <v>0</v>
      </c>
      <c r="R1767" t="inlineStr">
        <is>
          <t>AUD</t>
        </is>
      </c>
      <c r="S1767" t="n">
        <v>0</v>
      </c>
      <c r="T1767" t="inlineStr">
        <is>
          <t>AUD</t>
        </is>
      </c>
      <c r="U1767" t="n">
        <v>0</v>
      </c>
    </row>
    <row r="1768">
      <c r="A1768" s="5" t="inlineStr">
        <is>
          <t>01a1212c-6159-7563-a486-b17cbb2a322a</t>
        </is>
      </c>
      <c r="C1768" s="5" t="inlineStr">
        <is>
          <t>01a1212c-4b57-70cf-80fd-c2192cb3bf81</t>
        </is>
      </c>
      <c r="D1768" s="4" t="n">
        <v>46304.6240632613</v>
      </c>
      <c r="E1768" s="4" t="n">
        <v>46304.62406326138</v>
      </c>
      <c r="F1768" t="b">
        <v>1</v>
      </c>
      <c r="G1768" t="n">
        <v/>
      </c>
      <c r="H1768" t="inlineStr">
        <is>
          <t>ALR</t>
        </is>
      </c>
      <c r="I1768" t="inlineStr">
        <is>
          <t>Altair Minerals Ltd</t>
        </is>
      </c>
      <c r="J1768" t="inlineStr">
        <is>
          <t>AUD</t>
        </is>
      </c>
      <c r="K1768" s="5" t="inlineStr">
        <is>
          <t>01a1212c-4c04-75ce-bbb2-e3322e18816e</t>
        </is>
      </c>
      <c r="M1768" t="inlineStr">
        <is>
          <t>UNKNOWN</t>
        </is>
      </c>
      <c r="N1768" t="inlineStr">
        <is>
          <t>DEFAULT</t>
        </is>
      </c>
      <c r="Q1768" t="n">
        <v>0</v>
      </c>
      <c r="R1768" t="inlineStr">
        <is>
          <t>AUD</t>
        </is>
      </c>
      <c r="S1768" t="n">
        <v>0</v>
      </c>
      <c r="T1768" t="inlineStr">
        <is>
          <t>AUD</t>
        </is>
      </c>
      <c r="U1768" t="n">
        <v>0</v>
      </c>
    </row>
    <row r="1769">
      <c r="A1769" s="5" t="inlineStr">
        <is>
          <t>01a1212c-615c-7071-8a9a-3b9bd37b5728</t>
        </is>
      </c>
      <c r="C1769" s="5" t="inlineStr">
        <is>
          <t>01a1212c-4b57-70cf-80fd-c2192cb3bf81</t>
        </is>
      </c>
      <c r="D1769" s="4" t="n">
        <v>46304.62406329423</v>
      </c>
      <c r="E1769" s="4" t="n">
        <v>46304.62406329431</v>
      </c>
      <c r="F1769" t="b">
        <v>1</v>
      </c>
      <c r="G1769" t="n">
        <v/>
      </c>
      <c r="H1769" t="inlineStr">
        <is>
          <t>1AD</t>
        </is>
      </c>
      <c r="I1769" t="inlineStr">
        <is>
          <t>Adalta Ltd</t>
        </is>
      </c>
      <c r="J1769" t="inlineStr">
        <is>
          <t>AUD</t>
        </is>
      </c>
      <c r="K1769" s="5" t="inlineStr">
        <is>
          <t>01a1212c-4c04-75ce-bbb2-e3322e18816e</t>
        </is>
      </c>
      <c r="M1769" t="inlineStr">
        <is>
          <t>UNKNOWN</t>
        </is>
      </c>
      <c r="N1769" t="inlineStr">
        <is>
          <t>DEFAULT</t>
        </is>
      </c>
      <c r="Q1769" t="n">
        <v>0</v>
      </c>
      <c r="R1769" t="inlineStr">
        <is>
          <t>AUD</t>
        </is>
      </c>
      <c r="S1769" t="n">
        <v>0</v>
      </c>
      <c r="T1769" t="inlineStr">
        <is>
          <t>AUD</t>
        </is>
      </c>
      <c r="U1769" t="n">
        <v>0</v>
      </c>
    </row>
    <row r="1770">
      <c r="A1770" s="5" t="inlineStr">
        <is>
          <t>01a1212c-615f-7193-9ed4-8f196a232bb9</t>
        </is>
      </c>
      <c r="C1770" s="5" t="inlineStr">
        <is>
          <t>01a1212c-4b57-70cf-80fd-c2192cb3bf81</t>
        </is>
      </c>
      <c r="D1770" s="4" t="n">
        <v>46304.62406332582</v>
      </c>
      <c r="E1770" s="4" t="n">
        <v>46304.62406332589</v>
      </c>
      <c r="F1770" t="b">
        <v>1</v>
      </c>
      <c r="G1770" t="n">
        <v/>
      </c>
      <c r="H1770" t="inlineStr">
        <is>
          <t>NVO</t>
        </is>
      </c>
      <c r="I1770" t="inlineStr">
        <is>
          <t>Novo Resources Corp</t>
        </is>
      </c>
      <c r="J1770" t="inlineStr">
        <is>
          <t>AUD</t>
        </is>
      </c>
      <c r="K1770" s="5" t="inlineStr">
        <is>
          <t>01a1212c-4c04-75ce-bbb2-e3322e18816e</t>
        </is>
      </c>
      <c r="M1770" t="inlineStr">
        <is>
          <t>UNKNOWN</t>
        </is>
      </c>
      <c r="N1770" t="inlineStr">
        <is>
          <t>DEFAULT</t>
        </is>
      </c>
      <c r="Q1770" t="n">
        <v>0</v>
      </c>
      <c r="R1770" t="inlineStr">
        <is>
          <t>AUD</t>
        </is>
      </c>
      <c r="S1770" t="n">
        <v>0</v>
      </c>
      <c r="T1770" t="inlineStr">
        <is>
          <t>AUD</t>
        </is>
      </c>
      <c r="U1770" t="n">
        <v>0</v>
      </c>
    </row>
    <row r="1771">
      <c r="A1771" s="5" t="inlineStr">
        <is>
          <t>01a1212c-6162-740a-b0cd-9ad6c972f483</t>
        </is>
      </c>
      <c r="C1771" s="5" t="inlineStr">
        <is>
          <t>01a1212c-4b57-70cf-80fd-c2192cb3bf81</t>
        </is>
      </c>
      <c r="D1771" s="4" t="n">
        <v>46304.62406335871</v>
      </c>
      <c r="E1771" s="4" t="n">
        <v>46304.62406335879</v>
      </c>
      <c r="F1771" t="b">
        <v>1</v>
      </c>
      <c r="G1771" t="n">
        <v/>
      </c>
      <c r="H1771" t="inlineStr">
        <is>
          <t>GNDQ</t>
        </is>
      </c>
      <c r="I1771" t="inlineStr">
        <is>
          <t>Betashares Wealthbuilder Nasdaq Geared Complex ETF</t>
        </is>
      </c>
      <c r="J1771" t="inlineStr">
        <is>
          <t>AUD</t>
        </is>
      </c>
      <c r="K1771" s="5" t="inlineStr">
        <is>
          <t>01a1212c-4c04-75ce-bbb2-e3322e18816e</t>
        </is>
      </c>
      <c r="M1771" t="inlineStr">
        <is>
          <t>UNKNOWN</t>
        </is>
      </c>
      <c r="N1771" t="inlineStr">
        <is>
          <t>DEFAULT</t>
        </is>
      </c>
      <c r="Q1771" t="n">
        <v>0</v>
      </c>
      <c r="R1771" t="inlineStr">
        <is>
          <t>AUD</t>
        </is>
      </c>
      <c r="S1771" t="n">
        <v>0</v>
      </c>
      <c r="T1771" t="inlineStr">
        <is>
          <t>AUD</t>
        </is>
      </c>
      <c r="U1771" t="n">
        <v>0</v>
      </c>
    </row>
    <row r="1772">
      <c r="A1772" s="5" t="inlineStr">
        <is>
          <t>01a1212c-6164-7394-8663-1b661b2585b8</t>
        </is>
      </c>
      <c r="C1772" s="5" t="inlineStr">
        <is>
          <t>01a1212c-4b57-70cf-80fd-c2192cb3bf81</t>
        </is>
      </c>
      <c r="D1772" s="4" t="n">
        <v>46304.62406339086</v>
      </c>
      <c r="E1772" s="4" t="n">
        <v>46304.62406339093</v>
      </c>
      <c r="F1772" t="b">
        <v>1</v>
      </c>
      <c r="G1772" t="n">
        <v/>
      </c>
      <c r="H1772" t="inlineStr">
        <is>
          <t>LPM</t>
        </is>
      </c>
      <c r="I1772" t="inlineStr">
        <is>
          <t>Lithium Plus Minerals Ltd</t>
        </is>
      </c>
      <c r="J1772" t="inlineStr">
        <is>
          <t>AUD</t>
        </is>
      </c>
      <c r="K1772" s="5" t="inlineStr">
        <is>
          <t>01a1212c-4c04-75ce-bbb2-e3322e18816e</t>
        </is>
      </c>
      <c r="M1772" t="inlineStr">
        <is>
          <t>UNKNOWN</t>
        </is>
      </c>
      <c r="N1772" t="inlineStr">
        <is>
          <t>DEFAULT</t>
        </is>
      </c>
      <c r="Q1772" t="n">
        <v>0</v>
      </c>
      <c r="R1772" t="inlineStr">
        <is>
          <t>AUD</t>
        </is>
      </c>
      <c r="S1772" t="n">
        <v>0</v>
      </c>
      <c r="T1772" t="inlineStr">
        <is>
          <t>AUD</t>
        </is>
      </c>
      <c r="U1772" t="n">
        <v>0</v>
      </c>
    </row>
    <row r="1773">
      <c r="A1773" s="5" t="inlineStr">
        <is>
          <t>01a1212c-6167-75f0-a881-91ccda3dd44c</t>
        </is>
      </c>
      <c r="C1773" s="5" t="inlineStr">
        <is>
          <t>01a1212c-4b57-70cf-80fd-c2192cb3bf81</t>
        </is>
      </c>
      <c r="D1773" s="4" t="n">
        <v>46304.62406342172</v>
      </c>
      <c r="E1773" s="4" t="n">
        <v>46304.6240634218</v>
      </c>
      <c r="F1773" t="b">
        <v>1</v>
      </c>
      <c r="G1773" t="n">
        <v/>
      </c>
      <c r="H1773" t="inlineStr">
        <is>
          <t>MEM</t>
        </is>
      </c>
      <c r="I1773" t="inlineStr">
        <is>
          <t>Memphasys Ltd</t>
        </is>
      </c>
      <c r="J1773" t="inlineStr">
        <is>
          <t>AUD</t>
        </is>
      </c>
      <c r="K1773" s="5" t="inlineStr">
        <is>
          <t>01a1212c-4c04-75ce-bbb2-e3322e18816e</t>
        </is>
      </c>
      <c r="M1773" t="inlineStr">
        <is>
          <t>UNKNOWN</t>
        </is>
      </c>
      <c r="N1773" t="inlineStr">
        <is>
          <t>DEFAULT</t>
        </is>
      </c>
      <c r="Q1773" t="n">
        <v>0</v>
      </c>
      <c r="R1773" t="inlineStr">
        <is>
          <t>AUD</t>
        </is>
      </c>
      <c r="S1773" t="n">
        <v>0</v>
      </c>
      <c r="T1773" t="inlineStr">
        <is>
          <t>AUD</t>
        </is>
      </c>
      <c r="U1773" t="n">
        <v>0</v>
      </c>
    </row>
    <row r="1774">
      <c r="A1774" s="5" t="inlineStr">
        <is>
          <t>01a1212c-616a-7108-8e36-0fa713db3c4a</t>
        </is>
      </c>
      <c r="C1774" s="5" t="inlineStr">
        <is>
          <t>01a1212c-4b57-70cf-80fd-c2192cb3bf81</t>
        </is>
      </c>
      <c r="D1774" s="4" t="n">
        <v>46304.62406345479</v>
      </c>
      <c r="E1774" s="4" t="n">
        <v>46304.62406345486</v>
      </c>
      <c r="F1774" t="b">
        <v>1</v>
      </c>
      <c r="G1774" t="n">
        <v/>
      </c>
      <c r="H1774" t="inlineStr">
        <is>
          <t>RKT</t>
        </is>
      </c>
      <c r="I1774" t="inlineStr">
        <is>
          <t>Rocketdna Ltd</t>
        </is>
      </c>
      <c r="J1774" t="inlineStr">
        <is>
          <t>AUD</t>
        </is>
      </c>
      <c r="K1774" s="5" t="inlineStr">
        <is>
          <t>01a1212c-4c04-75ce-bbb2-e3322e18816e</t>
        </is>
      </c>
      <c r="M1774" t="inlineStr">
        <is>
          <t>UNKNOWN</t>
        </is>
      </c>
      <c r="N1774" t="inlineStr">
        <is>
          <t>DEFAULT</t>
        </is>
      </c>
      <c r="Q1774" t="n">
        <v>0</v>
      </c>
      <c r="R1774" t="inlineStr">
        <is>
          <t>AUD</t>
        </is>
      </c>
      <c r="S1774" t="n">
        <v>0</v>
      </c>
      <c r="T1774" t="inlineStr">
        <is>
          <t>AUD</t>
        </is>
      </c>
      <c r="U1774" t="n">
        <v>0</v>
      </c>
    </row>
    <row r="1775">
      <c r="A1775" s="5" t="inlineStr">
        <is>
          <t>01a1212c-616d-71a3-8355-137161b992cc</t>
        </is>
      </c>
      <c r="C1775" s="5" t="inlineStr">
        <is>
          <t>01a1212c-4b57-70cf-80fd-c2192cb3bf81</t>
        </is>
      </c>
      <c r="D1775" s="4" t="n">
        <v>46304.62406348543</v>
      </c>
      <c r="E1775" s="4" t="n">
        <v>46304.6240634855</v>
      </c>
      <c r="F1775" t="b">
        <v>1</v>
      </c>
      <c r="G1775" t="n">
        <v/>
      </c>
      <c r="H1775" t="inlineStr">
        <is>
          <t>HOR</t>
        </is>
      </c>
      <c r="I1775" t="inlineStr">
        <is>
          <t>Horseshoe Metals Ltd</t>
        </is>
      </c>
      <c r="J1775" t="inlineStr">
        <is>
          <t>AUD</t>
        </is>
      </c>
      <c r="K1775" s="5" t="inlineStr">
        <is>
          <t>01a1212c-4c04-75ce-bbb2-e3322e18816e</t>
        </is>
      </c>
      <c r="M1775" t="inlineStr">
        <is>
          <t>UNKNOWN</t>
        </is>
      </c>
      <c r="N1775" t="inlineStr">
        <is>
          <t>DEFAULT</t>
        </is>
      </c>
      <c r="Q1775" t="n">
        <v>0</v>
      </c>
      <c r="R1775" t="inlineStr">
        <is>
          <t>AUD</t>
        </is>
      </c>
      <c r="S1775" t="n">
        <v>0</v>
      </c>
      <c r="T1775" t="inlineStr">
        <is>
          <t>AUD</t>
        </is>
      </c>
      <c r="U1775" t="n">
        <v>0</v>
      </c>
    </row>
    <row r="1776">
      <c r="A1776" s="5" t="inlineStr">
        <is>
          <t>01a1212c-616f-74ae-9894-4e9ea87f33b2</t>
        </is>
      </c>
      <c r="C1776" s="5" t="inlineStr">
        <is>
          <t>01a1212c-4b57-70cf-80fd-c2192cb3bf81</t>
        </is>
      </c>
      <c r="D1776" s="4" t="n">
        <v>46304.62406351701</v>
      </c>
      <c r="E1776" s="4" t="n">
        <v>46304.6240635171</v>
      </c>
      <c r="F1776" t="b">
        <v>1</v>
      </c>
      <c r="G1776" t="n">
        <v/>
      </c>
      <c r="H1776" t="inlineStr">
        <is>
          <t>ECPGA</t>
        </is>
      </c>
      <c r="I1776" t="inlineStr">
        <is>
          <t>ECP Emerging Growth Ltd</t>
        </is>
      </c>
      <c r="J1776" t="inlineStr">
        <is>
          <t>AUD</t>
        </is>
      </c>
      <c r="K1776" s="5" t="inlineStr">
        <is>
          <t>01a1212c-4c04-75ce-bbb2-e3322e18816e</t>
        </is>
      </c>
      <c r="M1776" t="inlineStr">
        <is>
          <t>UNKNOWN</t>
        </is>
      </c>
      <c r="N1776" t="inlineStr">
        <is>
          <t>DEFAULT</t>
        </is>
      </c>
      <c r="Q1776" t="n">
        <v>0</v>
      </c>
      <c r="R1776" t="inlineStr">
        <is>
          <t>AUD</t>
        </is>
      </c>
      <c r="S1776" t="n">
        <v>0</v>
      </c>
      <c r="T1776" t="inlineStr">
        <is>
          <t>AUD</t>
        </is>
      </c>
      <c r="U1776" t="n">
        <v>0</v>
      </c>
    </row>
    <row r="1777">
      <c r="A1777" s="5" t="inlineStr">
        <is>
          <t>01a1212c-6172-718a-a707-b8e9566f8c5a</t>
        </is>
      </c>
      <c r="C1777" s="5" t="inlineStr">
        <is>
          <t>01a1212c-4b57-70cf-80fd-c2192cb3bf81</t>
        </is>
      </c>
      <c r="D1777" s="4" t="n">
        <v>46304.62406354802</v>
      </c>
      <c r="E1777" s="4" t="n">
        <v>46304.6240635481</v>
      </c>
      <c r="F1777" t="b">
        <v>1</v>
      </c>
      <c r="G1777" t="n">
        <v/>
      </c>
      <c r="H1777" t="inlineStr">
        <is>
          <t>N1H</t>
        </is>
      </c>
      <c r="I1777" t="inlineStr">
        <is>
          <t>N1 Holdings Ltd</t>
        </is>
      </c>
      <c r="J1777" t="inlineStr">
        <is>
          <t>AUD</t>
        </is>
      </c>
      <c r="K1777" s="5" t="inlineStr">
        <is>
          <t>01a1212c-4c04-75ce-bbb2-e3322e18816e</t>
        </is>
      </c>
      <c r="M1777" t="inlineStr">
        <is>
          <t>UNKNOWN</t>
        </is>
      </c>
      <c r="N1777" t="inlineStr">
        <is>
          <t>DEFAULT</t>
        </is>
      </c>
      <c r="Q1777" t="n">
        <v>0</v>
      </c>
      <c r="R1777" t="inlineStr">
        <is>
          <t>AUD</t>
        </is>
      </c>
      <c r="S1777" t="n">
        <v>0</v>
      </c>
      <c r="T1777" t="inlineStr">
        <is>
          <t>AUD</t>
        </is>
      </c>
      <c r="U1777" t="n">
        <v>0</v>
      </c>
    </row>
    <row r="1778">
      <c r="A1778" s="5" t="inlineStr">
        <is>
          <t>01a1212c-6175-7357-a402-0c58b82be66f</t>
        </is>
      </c>
      <c r="C1778" s="5" t="inlineStr">
        <is>
          <t>01a1212c-4b57-70cf-80fd-c2192cb3bf81</t>
        </is>
      </c>
      <c r="D1778" s="4" t="n">
        <v>46304.62406358129</v>
      </c>
      <c r="E1778" s="4" t="n">
        <v>46304.62406358137</v>
      </c>
      <c r="F1778" t="b">
        <v>1</v>
      </c>
      <c r="G1778" t="n">
        <v/>
      </c>
      <c r="H1778" t="inlineStr">
        <is>
          <t>BMH</t>
        </is>
      </c>
      <c r="I1778" t="inlineStr">
        <is>
          <t>Baumart Holdings Ltd</t>
        </is>
      </c>
      <c r="J1778" t="inlineStr">
        <is>
          <t>AUD</t>
        </is>
      </c>
      <c r="K1778" s="5" t="inlineStr">
        <is>
          <t>01a1212c-4c04-75ce-bbb2-e3322e18816e</t>
        </is>
      </c>
      <c r="M1778" t="inlineStr">
        <is>
          <t>UNKNOWN</t>
        </is>
      </c>
      <c r="N1778" t="inlineStr">
        <is>
          <t>DEFAULT</t>
        </is>
      </c>
      <c r="Q1778" t="n">
        <v>0</v>
      </c>
      <c r="R1778" t="inlineStr">
        <is>
          <t>AUD</t>
        </is>
      </c>
      <c r="S1778" t="n">
        <v>0</v>
      </c>
      <c r="T1778" t="inlineStr">
        <is>
          <t>AUD</t>
        </is>
      </c>
      <c r="U1778" t="n">
        <v>0</v>
      </c>
    </row>
    <row r="1779">
      <c r="A1779" s="5" t="inlineStr">
        <is>
          <t>01a1212c-6178-7057-b070-eb5855e87af3</t>
        </is>
      </c>
      <c r="C1779" s="5" t="inlineStr">
        <is>
          <t>01a1212c-4b57-70cf-80fd-c2192cb3bf81</t>
        </is>
      </c>
      <c r="D1779" s="4" t="n">
        <v>46304.62406361262</v>
      </c>
      <c r="E1779" s="4" t="n">
        <v>46304.6240636127</v>
      </c>
      <c r="F1779" t="b">
        <v>1</v>
      </c>
      <c r="G1779" t="n">
        <v/>
      </c>
      <c r="H1779" t="inlineStr">
        <is>
          <t>MM1</t>
        </is>
      </c>
      <c r="I1779" t="inlineStr">
        <is>
          <t>Midas Minerals Ltd</t>
        </is>
      </c>
      <c r="J1779" t="inlineStr">
        <is>
          <t>AUD</t>
        </is>
      </c>
      <c r="K1779" s="5" t="inlineStr">
        <is>
          <t>01a1212c-4c04-75ce-bbb2-e3322e18816e</t>
        </is>
      </c>
      <c r="M1779" t="inlineStr">
        <is>
          <t>UNKNOWN</t>
        </is>
      </c>
      <c r="N1779" t="inlineStr">
        <is>
          <t>DEFAULT</t>
        </is>
      </c>
      <c r="Q1779" t="n">
        <v>0</v>
      </c>
      <c r="R1779" t="inlineStr">
        <is>
          <t>AUD</t>
        </is>
      </c>
      <c r="S1779" t="n">
        <v>0</v>
      </c>
      <c r="T1779" t="inlineStr">
        <is>
          <t>AUD</t>
        </is>
      </c>
      <c r="U1779" t="n">
        <v>0</v>
      </c>
    </row>
    <row r="1780">
      <c r="A1780" s="5" t="inlineStr">
        <is>
          <t>01a1212c-617a-7079-b441-cb25b53884ea</t>
        </is>
      </c>
      <c r="C1780" s="5" t="inlineStr">
        <is>
          <t>01a1212c-4b57-70cf-80fd-c2192cb3bf81</t>
        </is>
      </c>
      <c r="D1780" s="4" t="n">
        <v>46304.62406364389</v>
      </c>
      <c r="E1780" s="4" t="n">
        <v>46304.62406364396</v>
      </c>
      <c r="F1780" t="b">
        <v>1</v>
      </c>
      <c r="G1780" t="n">
        <v/>
      </c>
      <c r="H1780" t="inlineStr">
        <is>
          <t>MGU</t>
        </is>
      </c>
      <c r="I1780" t="inlineStr">
        <is>
          <t>Magnum Mining and Exploration Ltd</t>
        </is>
      </c>
      <c r="J1780" t="inlineStr">
        <is>
          <t>AUD</t>
        </is>
      </c>
      <c r="K1780" s="5" t="inlineStr">
        <is>
          <t>01a1212c-4c04-75ce-bbb2-e3322e18816e</t>
        </is>
      </c>
      <c r="M1780" t="inlineStr">
        <is>
          <t>UNKNOWN</t>
        </is>
      </c>
      <c r="N1780" t="inlineStr">
        <is>
          <t>DEFAULT</t>
        </is>
      </c>
      <c r="Q1780" t="n">
        <v>0</v>
      </c>
      <c r="R1780" t="inlineStr">
        <is>
          <t>AUD</t>
        </is>
      </c>
      <c r="S1780" t="n">
        <v>0</v>
      </c>
      <c r="T1780" t="inlineStr">
        <is>
          <t>AUD</t>
        </is>
      </c>
      <c r="U1780" t="n">
        <v>0</v>
      </c>
    </row>
    <row r="1781">
      <c r="A1781" s="5" t="inlineStr">
        <is>
          <t>01a1212c-617d-7782-98e3-f355499ab9a5</t>
        </is>
      </c>
      <c r="C1781" s="5" t="inlineStr">
        <is>
          <t>01a1212c-4b57-70cf-80fd-c2192cb3bf81</t>
        </is>
      </c>
      <c r="D1781" s="4" t="n">
        <v>46304.62406367499</v>
      </c>
      <c r="E1781" s="4" t="n">
        <v>46304.62406367507</v>
      </c>
      <c r="F1781" t="b">
        <v>1</v>
      </c>
      <c r="G1781" t="n">
        <v/>
      </c>
      <c r="H1781" t="inlineStr">
        <is>
          <t>RGOS</t>
        </is>
      </c>
      <c r="I1781" t="inlineStr">
        <is>
          <t>Russell Sust Global Opportunities Complex ETF</t>
        </is>
      </c>
      <c r="J1781" t="inlineStr">
        <is>
          <t>AUD</t>
        </is>
      </c>
      <c r="K1781" s="5" t="inlineStr">
        <is>
          <t>01a1212c-4c04-75ce-bbb2-e3322e18816e</t>
        </is>
      </c>
      <c r="M1781" t="inlineStr">
        <is>
          <t>UNKNOWN</t>
        </is>
      </c>
      <c r="N1781" t="inlineStr">
        <is>
          <t>DEFAULT</t>
        </is>
      </c>
      <c r="Q1781" t="n">
        <v>0</v>
      </c>
      <c r="R1781" t="inlineStr">
        <is>
          <t>AUD</t>
        </is>
      </c>
      <c r="S1781" t="n">
        <v>0</v>
      </c>
      <c r="T1781" t="inlineStr">
        <is>
          <t>AUD</t>
        </is>
      </c>
      <c r="U1781" t="n">
        <v>0</v>
      </c>
    </row>
    <row r="1782">
      <c r="A1782" s="5" t="inlineStr">
        <is>
          <t>01a1212c-6180-721e-905d-6f0b14420cbf</t>
        </is>
      </c>
      <c r="C1782" s="5" t="inlineStr">
        <is>
          <t>01a1212c-4b57-70cf-80fd-c2192cb3bf81</t>
        </is>
      </c>
      <c r="D1782" s="4" t="n">
        <v>46304.62406370629</v>
      </c>
      <c r="E1782" s="4" t="n">
        <v>46304.62406370637</v>
      </c>
      <c r="F1782" t="b">
        <v>1</v>
      </c>
      <c r="G1782" t="n">
        <v/>
      </c>
      <c r="H1782" t="inlineStr">
        <is>
          <t>TEG</t>
        </is>
      </c>
      <c r="I1782" t="inlineStr">
        <is>
          <t>Triangle Energy (Global) Ltd</t>
        </is>
      </c>
      <c r="J1782" t="inlineStr">
        <is>
          <t>AUD</t>
        </is>
      </c>
      <c r="K1782" s="5" t="inlineStr">
        <is>
          <t>01a1212c-4c04-75ce-bbb2-e3322e18816e</t>
        </is>
      </c>
      <c r="M1782" t="inlineStr">
        <is>
          <t>UNKNOWN</t>
        </is>
      </c>
      <c r="N1782" t="inlineStr">
        <is>
          <t>DEFAULT</t>
        </is>
      </c>
      <c r="Q1782" t="n">
        <v>0</v>
      </c>
      <c r="R1782" t="inlineStr">
        <is>
          <t>AUD</t>
        </is>
      </c>
      <c r="S1782" t="n">
        <v>0</v>
      </c>
      <c r="T1782" t="inlineStr">
        <is>
          <t>AUD</t>
        </is>
      </c>
      <c r="U1782" t="n">
        <v>0</v>
      </c>
    </row>
    <row r="1783">
      <c r="A1783" s="5" t="inlineStr">
        <is>
          <t>01a1212c-6183-7677-8500-9c712dbadc36</t>
        </is>
      </c>
      <c r="C1783" s="5" t="inlineStr">
        <is>
          <t>01a1212c-4b57-70cf-80fd-c2192cb3bf81</t>
        </is>
      </c>
      <c r="D1783" s="4" t="n">
        <v>46304.6240637397</v>
      </c>
      <c r="E1783" s="4" t="n">
        <v>46304.62406373978</v>
      </c>
      <c r="F1783" t="b">
        <v>1</v>
      </c>
      <c r="G1783" t="n">
        <v/>
      </c>
      <c r="H1783" t="inlineStr">
        <is>
          <t>GIVE</t>
        </is>
      </c>
      <c r="I1783" t="inlineStr">
        <is>
          <t>Perpetual Esg Australian Share Fund (Managed Fund)</t>
        </is>
      </c>
      <c r="J1783" t="inlineStr">
        <is>
          <t>AUD</t>
        </is>
      </c>
      <c r="K1783" s="5" t="inlineStr">
        <is>
          <t>01a1212c-4c04-75ce-bbb2-e3322e18816e</t>
        </is>
      </c>
      <c r="M1783" t="inlineStr">
        <is>
          <t>UNKNOWN</t>
        </is>
      </c>
      <c r="N1783" t="inlineStr">
        <is>
          <t>DEFAULT</t>
        </is>
      </c>
      <c r="Q1783" t="n">
        <v>0</v>
      </c>
      <c r="R1783" t="inlineStr">
        <is>
          <t>AUD</t>
        </is>
      </c>
      <c r="S1783" t="n">
        <v>0</v>
      </c>
      <c r="T1783" t="inlineStr">
        <is>
          <t>AUD</t>
        </is>
      </c>
      <c r="U1783" t="n">
        <v>0</v>
      </c>
    </row>
    <row r="1784">
      <c r="A1784" s="5" t="inlineStr">
        <is>
          <t>01a1212c-6185-70bf-ada2-6b93eebca490</t>
        </is>
      </c>
      <c r="C1784" s="5" t="inlineStr">
        <is>
          <t>01a1212c-4b57-70cf-80fd-c2192cb3bf81</t>
        </is>
      </c>
      <c r="D1784" s="4" t="n">
        <v>46304.62406377331</v>
      </c>
      <c r="E1784" s="4" t="n">
        <v>46304.62406377339</v>
      </c>
      <c r="F1784" t="b">
        <v>1</v>
      </c>
      <c r="G1784" t="n">
        <v/>
      </c>
      <c r="H1784" t="inlineStr">
        <is>
          <t>HGL</t>
        </is>
      </c>
      <c r="I1784" t="inlineStr">
        <is>
          <t>Hudson Investment Group Ltd</t>
        </is>
      </c>
      <c r="J1784" t="inlineStr">
        <is>
          <t>AUD</t>
        </is>
      </c>
      <c r="K1784" s="5" t="inlineStr">
        <is>
          <t>01a1212c-4c04-75ce-bbb2-e3322e18816e</t>
        </is>
      </c>
      <c r="M1784" t="inlineStr">
        <is>
          <t>UNKNOWN</t>
        </is>
      </c>
      <c r="N1784" t="inlineStr">
        <is>
          <t>DEFAULT</t>
        </is>
      </c>
      <c r="Q1784" t="n">
        <v>0</v>
      </c>
      <c r="R1784" t="inlineStr">
        <is>
          <t>AUD</t>
        </is>
      </c>
      <c r="S1784" t="n">
        <v>0</v>
      </c>
      <c r="T1784" t="inlineStr">
        <is>
          <t>AUD</t>
        </is>
      </c>
      <c r="U1784" t="n">
        <v>0</v>
      </c>
    </row>
    <row r="1785">
      <c r="A1785" s="5" t="inlineStr">
        <is>
          <t>01a1212c-6188-7598-9383-712353f6567a</t>
        </is>
      </c>
      <c r="C1785" s="5" t="inlineStr">
        <is>
          <t>01a1212c-4b57-70cf-80fd-c2192cb3bf81</t>
        </is>
      </c>
      <c r="D1785" s="4" t="n">
        <v>46304.62406380494</v>
      </c>
      <c r="E1785" s="4" t="n">
        <v>46304.62406380501</v>
      </c>
      <c r="F1785" t="b">
        <v>1</v>
      </c>
      <c r="G1785" t="n">
        <v/>
      </c>
      <c r="H1785" t="inlineStr">
        <is>
          <t>GTR</t>
        </is>
      </c>
      <c r="I1785" t="inlineStr">
        <is>
          <t>Gti Energy Ltd</t>
        </is>
      </c>
      <c r="J1785" t="inlineStr">
        <is>
          <t>AUD</t>
        </is>
      </c>
      <c r="K1785" s="5" t="inlineStr">
        <is>
          <t>01a1212c-4c04-75ce-bbb2-e3322e18816e</t>
        </is>
      </c>
      <c r="M1785" t="inlineStr">
        <is>
          <t>UNKNOWN</t>
        </is>
      </c>
      <c r="N1785" t="inlineStr">
        <is>
          <t>DEFAULT</t>
        </is>
      </c>
      <c r="Q1785" t="n">
        <v>0</v>
      </c>
      <c r="R1785" t="inlineStr">
        <is>
          <t>AUD</t>
        </is>
      </c>
      <c r="S1785" t="n">
        <v>0</v>
      </c>
      <c r="T1785" t="inlineStr">
        <is>
          <t>AUD</t>
        </is>
      </c>
      <c r="U1785" t="n">
        <v>0</v>
      </c>
    </row>
    <row r="1786">
      <c r="A1786" s="5" t="inlineStr">
        <is>
          <t>01a1212c-618b-7150-8d46-1cde0e3aa0e6</t>
        </is>
      </c>
      <c r="C1786" s="5" t="inlineStr">
        <is>
          <t>01a1212c-4b57-70cf-80fd-c2192cb3bf81</t>
        </is>
      </c>
      <c r="D1786" s="4" t="n">
        <v>46304.62406383656</v>
      </c>
      <c r="E1786" s="4" t="n">
        <v>46304.62406383663</v>
      </c>
      <c r="F1786" t="b">
        <v>1</v>
      </c>
      <c r="G1786" t="n">
        <v/>
      </c>
      <c r="H1786" t="inlineStr">
        <is>
          <t>SP8</t>
        </is>
      </c>
      <c r="I1786" t="inlineStr">
        <is>
          <t>Streamplay Studio Ltd</t>
        </is>
      </c>
      <c r="J1786" t="inlineStr">
        <is>
          <t>AUD</t>
        </is>
      </c>
      <c r="K1786" s="5" t="inlineStr">
        <is>
          <t>01a1212c-4c04-75ce-bbb2-e3322e18816e</t>
        </is>
      </c>
      <c r="M1786" t="inlineStr">
        <is>
          <t>UNKNOWN</t>
        </is>
      </c>
      <c r="N1786" t="inlineStr">
        <is>
          <t>DEFAULT</t>
        </is>
      </c>
      <c r="Q1786" t="n">
        <v>0</v>
      </c>
      <c r="R1786" t="inlineStr">
        <is>
          <t>AUD</t>
        </is>
      </c>
      <c r="S1786" t="n">
        <v>0</v>
      </c>
      <c r="T1786" t="inlineStr">
        <is>
          <t>AUD</t>
        </is>
      </c>
      <c r="U1786" t="n">
        <v>0</v>
      </c>
    </row>
    <row r="1787">
      <c r="A1787" s="5" t="inlineStr">
        <is>
          <t>01a1212c-618e-7030-b316-f6e828ba4ca6</t>
        </is>
      </c>
      <c r="C1787" s="5" t="inlineStr">
        <is>
          <t>01a1212c-4b57-70cf-80fd-c2192cb3bf81</t>
        </is>
      </c>
      <c r="D1787" s="4" t="n">
        <v>46304.62406386738</v>
      </c>
      <c r="E1787" s="4" t="n">
        <v>46304.62406386746</v>
      </c>
      <c r="F1787" t="b">
        <v>1</v>
      </c>
      <c r="G1787" t="n">
        <v/>
      </c>
      <c r="H1787" t="inlineStr">
        <is>
          <t>SGA</t>
        </is>
      </c>
      <c r="I1787" t="inlineStr">
        <is>
          <t>Sarytogan Graphite Ltd</t>
        </is>
      </c>
      <c r="J1787" t="inlineStr">
        <is>
          <t>AUD</t>
        </is>
      </c>
      <c r="K1787" s="5" t="inlineStr">
        <is>
          <t>01a1212c-4c04-75ce-bbb2-e3322e18816e</t>
        </is>
      </c>
      <c r="M1787" t="inlineStr">
        <is>
          <t>UNKNOWN</t>
        </is>
      </c>
      <c r="N1787" t="inlineStr">
        <is>
          <t>DEFAULT</t>
        </is>
      </c>
      <c r="Q1787" t="n">
        <v>0</v>
      </c>
      <c r="R1787" t="inlineStr">
        <is>
          <t>AUD</t>
        </is>
      </c>
      <c r="S1787" t="n">
        <v>0</v>
      </c>
      <c r="T1787" t="inlineStr">
        <is>
          <t>AUD</t>
        </is>
      </c>
      <c r="U1787" t="n">
        <v>0</v>
      </c>
    </row>
    <row r="1788">
      <c r="A1788" s="5" t="inlineStr">
        <is>
          <t>01a1212c-6190-702b-a2a7-c5022a9f2bb1</t>
        </is>
      </c>
      <c r="C1788" s="5" t="inlineStr">
        <is>
          <t>01a1212c-4b57-70cf-80fd-c2192cb3bf81</t>
        </is>
      </c>
      <c r="D1788" s="4" t="n">
        <v>46304.62406390081</v>
      </c>
      <c r="E1788" s="4" t="n">
        <v>46304.62406390088</v>
      </c>
      <c r="F1788" t="b">
        <v>1</v>
      </c>
      <c r="G1788" t="n">
        <v/>
      </c>
      <c r="H1788" t="inlineStr">
        <is>
          <t>LML</t>
        </is>
      </c>
      <c r="I1788" t="inlineStr">
        <is>
          <t>Lincoln Minerals Ltd</t>
        </is>
      </c>
      <c r="J1788" t="inlineStr">
        <is>
          <t>AUD</t>
        </is>
      </c>
      <c r="K1788" s="5" t="inlineStr">
        <is>
          <t>01a1212c-4c04-75ce-bbb2-e3322e18816e</t>
        </is>
      </c>
      <c r="M1788" t="inlineStr">
        <is>
          <t>UNKNOWN</t>
        </is>
      </c>
      <c r="N1788" t="inlineStr">
        <is>
          <t>DEFAULT</t>
        </is>
      </c>
      <c r="Q1788" t="n">
        <v>0</v>
      </c>
      <c r="R1788" t="inlineStr">
        <is>
          <t>AUD</t>
        </is>
      </c>
      <c r="S1788" t="n">
        <v>0</v>
      </c>
      <c r="T1788" t="inlineStr">
        <is>
          <t>AUD</t>
        </is>
      </c>
      <c r="U1788" t="n">
        <v>0</v>
      </c>
    </row>
    <row r="1789">
      <c r="A1789" s="5" t="inlineStr">
        <is>
          <t>01a1212c-6193-72a2-8861-ba80c215f731</t>
        </is>
      </c>
      <c r="C1789" s="5" t="inlineStr">
        <is>
          <t>01a1212c-4b57-70cf-80fd-c2192cb3bf81</t>
        </is>
      </c>
      <c r="D1789" s="4" t="n">
        <v>46304.62406393325</v>
      </c>
      <c r="E1789" s="4" t="n">
        <v>46304.62406393333</v>
      </c>
      <c r="F1789" t="b">
        <v>1</v>
      </c>
      <c r="G1789" t="n">
        <v/>
      </c>
      <c r="H1789" t="inlineStr">
        <is>
          <t>BNR</t>
        </is>
      </c>
      <c r="I1789" t="inlineStr">
        <is>
          <t>Bulletin Resources Ltd</t>
        </is>
      </c>
      <c r="J1789" t="inlineStr">
        <is>
          <t>AUD</t>
        </is>
      </c>
      <c r="K1789" s="5" t="inlineStr">
        <is>
          <t>01a1212c-4c04-75ce-bbb2-e3322e18816e</t>
        </is>
      </c>
      <c r="M1789" t="inlineStr">
        <is>
          <t>UNKNOWN</t>
        </is>
      </c>
      <c r="N1789" t="inlineStr">
        <is>
          <t>DEFAULT</t>
        </is>
      </c>
      <c r="Q1789" t="n">
        <v>0</v>
      </c>
      <c r="R1789" t="inlineStr">
        <is>
          <t>AUD</t>
        </is>
      </c>
      <c r="S1789" t="n">
        <v>0</v>
      </c>
      <c r="T1789" t="inlineStr">
        <is>
          <t>AUD</t>
        </is>
      </c>
      <c r="U1789" t="n">
        <v>0</v>
      </c>
    </row>
    <row r="1790">
      <c r="A1790" s="5" t="inlineStr">
        <is>
          <t>01a1212c-6196-76b0-9d9f-683a26f6be0c</t>
        </is>
      </c>
      <c r="C1790" s="5" t="inlineStr">
        <is>
          <t>01a1212c-4b57-70cf-80fd-c2192cb3bf81</t>
        </is>
      </c>
      <c r="D1790" s="4" t="n">
        <v>46304.6240639665</v>
      </c>
      <c r="E1790" s="4" t="n">
        <v>46304.6240639666</v>
      </c>
      <c r="F1790" t="b">
        <v>1</v>
      </c>
      <c r="G1790" t="n">
        <v/>
      </c>
      <c r="H1790" t="inlineStr">
        <is>
          <t>PNN</t>
        </is>
      </c>
      <c r="I1790" t="inlineStr">
        <is>
          <t>Power Minerals Ltd</t>
        </is>
      </c>
      <c r="J1790" t="inlineStr">
        <is>
          <t>AUD</t>
        </is>
      </c>
      <c r="K1790" s="5" t="inlineStr">
        <is>
          <t>01a1212c-4c04-75ce-bbb2-e3322e18816e</t>
        </is>
      </c>
      <c r="M1790" t="inlineStr">
        <is>
          <t>UNKNOWN</t>
        </is>
      </c>
      <c r="N1790" t="inlineStr">
        <is>
          <t>DEFAULT</t>
        </is>
      </c>
      <c r="Q1790" t="n">
        <v>0</v>
      </c>
      <c r="R1790" t="inlineStr">
        <is>
          <t>AUD</t>
        </is>
      </c>
      <c r="S1790" t="n">
        <v>0</v>
      </c>
      <c r="T1790" t="inlineStr">
        <is>
          <t>AUD</t>
        </is>
      </c>
      <c r="U1790" t="n">
        <v>0</v>
      </c>
    </row>
    <row r="1791">
      <c r="A1791" s="5" t="inlineStr">
        <is>
          <t>01a1212c-6199-7532-88ee-7fbc70887b5e</t>
        </is>
      </c>
      <c r="C1791" s="5" t="inlineStr">
        <is>
          <t>01a1212c-4b57-70cf-80fd-c2192cb3bf81</t>
        </is>
      </c>
      <c r="D1791" s="4" t="n">
        <v>46304.62406399869</v>
      </c>
      <c r="E1791" s="4" t="n">
        <v>46304.62406399877</v>
      </c>
      <c r="F1791" t="b">
        <v>1</v>
      </c>
      <c r="G1791" t="n">
        <v/>
      </c>
      <c r="H1791" t="inlineStr">
        <is>
          <t>AON</t>
        </is>
      </c>
      <c r="I1791" t="inlineStr">
        <is>
          <t>Apollo Minerals Ltd</t>
        </is>
      </c>
      <c r="J1791" t="inlineStr">
        <is>
          <t>AUD</t>
        </is>
      </c>
      <c r="K1791" s="5" t="inlineStr">
        <is>
          <t>01a1212c-4c04-75ce-bbb2-e3322e18816e</t>
        </is>
      </c>
      <c r="M1791" t="inlineStr">
        <is>
          <t>UNKNOWN</t>
        </is>
      </c>
      <c r="N1791" t="inlineStr">
        <is>
          <t>DEFAULT</t>
        </is>
      </c>
      <c r="Q1791" t="n">
        <v>0</v>
      </c>
      <c r="R1791" t="inlineStr">
        <is>
          <t>AUD</t>
        </is>
      </c>
      <c r="S1791" t="n">
        <v>0</v>
      </c>
      <c r="T1791" t="inlineStr">
        <is>
          <t>AUD</t>
        </is>
      </c>
      <c r="U1791" t="n">
        <v>0</v>
      </c>
    </row>
    <row r="1792">
      <c r="A1792" s="5" t="inlineStr">
        <is>
          <t>01a1212c-619c-7408-8d9e-e60421ddaeb9</t>
        </is>
      </c>
      <c r="C1792" s="5" t="inlineStr">
        <is>
          <t>01a1212c-4b57-70cf-80fd-c2192cb3bf81</t>
        </is>
      </c>
      <c r="D1792" s="4" t="n">
        <v>46304.62406403275</v>
      </c>
      <c r="E1792" s="4" t="n">
        <v>46304.62406403283</v>
      </c>
      <c r="F1792" t="b">
        <v>1</v>
      </c>
      <c r="G1792" t="n">
        <v/>
      </c>
      <c r="H1792" t="inlineStr">
        <is>
          <t>PGD</t>
        </is>
      </c>
      <c r="I1792" t="inlineStr">
        <is>
          <t>Peregrine Gold Ltd</t>
        </is>
      </c>
      <c r="J1792" t="inlineStr">
        <is>
          <t>AUD</t>
        </is>
      </c>
      <c r="K1792" s="5" t="inlineStr">
        <is>
          <t>01a1212c-4c04-75ce-bbb2-e3322e18816e</t>
        </is>
      </c>
      <c r="M1792" t="inlineStr">
        <is>
          <t>UNKNOWN</t>
        </is>
      </c>
      <c r="N1792" t="inlineStr">
        <is>
          <t>DEFAULT</t>
        </is>
      </c>
      <c r="Q1792" t="n">
        <v>0</v>
      </c>
      <c r="R1792" t="inlineStr">
        <is>
          <t>AUD</t>
        </is>
      </c>
      <c r="S1792" t="n">
        <v>0</v>
      </c>
      <c r="T1792" t="inlineStr">
        <is>
          <t>AUD</t>
        </is>
      </c>
      <c r="U1792" t="n">
        <v>0</v>
      </c>
    </row>
    <row r="1793">
      <c r="A1793" s="5" t="inlineStr">
        <is>
          <t>01a1212c-619f-762a-a850-0ec64250c52c</t>
        </is>
      </c>
      <c r="C1793" s="5" t="inlineStr">
        <is>
          <t>01a1212c-4b57-70cf-80fd-c2192cb3bf81</t>
        </is>
      </c>
      <c r="D1793" s="4" t="n">
        <v>46304.62406406478</v>
      </c>
      <c r="E1793" s="4" t="n">
        <v>46304.62406406486</v>
      </c>
      <c r="F1793" t="b">
        <v>1</v>
      </c>
      <c r="G1793" t="n">
        <v/>
      </c>
      <c r="H1793" t="inlineStr">
        <is>
          <t>WGR</t>
        </is>
      </c>
      <c r="I1793" t="inlineStr">
        <is>
          <t>Western Gold Resources Ltd</t>
        </is>
      </c>
      <c r="J1793" t="inlineStr">
        <is>
          <t>AUD</t>
        </is>
      </c>
      <c r="K1793" s="5" t="inlineStr">
        <is>
          <t>01a1212c-4c04-75ce-bbb2-e3322e18816e</t>
        </is>
      </c>
      <c r="M1793" t="inlineStr">
        <is>
          <t>UNKNOWN</t>
        </is>
      </c>
      <c r="N1793" t="inlineStr">
        <is>
          <t>DEFAULT</t>
        </is>
      </c>
      <c r="Q1793" t="n">
        <v>0</v>
      </c>
      <c r="R1793" t="inlineStr">
        <is>
          <t>AUD</t>
        </is>
      </c>
      <c r="S1793" t="n">
        <v>0</v>
      </c>
      <c r="T1793" t="inlineStr">
        <is>
          <t>AUD</t>
        </is>
      </c>
      <c r="U1793" t="n">
        <v>0</v>
      </c>
    </row>
    <row r="1794">
      <c r="A1794" s="5" t="inlineStr">
        <is>
          <t>01a1212c-61a1-76a3-aa3b-dbd9871815c1</t>
        </is>
      </c>
      <c r="C1794" s="5" t="inlineStr">
        <is>
          <t>01a1212c-4b57-70cf-80fd-c2192cb3bf81</t>
        </is>
      </c>
      <c r="D1794" s="4" t="n">
        <v>46304.62406409696</v>
      </c>
      <c r="E1794" s="4" t="n">
        <v>46304.62406409705</v>
      </c>
      <c r="F1794" t="b">
        <v>1</v>
      </c>
      <c r="G1794" t="n">
        <v/>
      </c>
      <c r="H1794" t="inlineStr">
        <is>
          <t>PAVE</t>
        </is>
      </c>
      <c r="I1794" t="inlineStr">
        <is>
          <t>Global X US Infrastructure Development ETF</t>
        </is>
      </c>
      <c r="J1794" t="inlineStr">
        <is>
          <t>AUD</t>
        </is>
      </c>
      <c r="K1794" s="5" t="inlineStr">
        <is>
          <t>01a1212c-4c04-75ce-bbb2-e3322e18816e</t>
        </is>
      </c>
      <c r="M1794" t="inlineStr">
        <is>
          <t>UNKNOWN</t>
        </is>
      </c>
      <c r="N1794" t="inlineStr">
        <is>
          <t>DEFAULT</t>
        </is>
      </c>
      <c r="Q1794" t="n">
        <v>0</v>
      </c>
      <c r="R1794" t="inlineStr">
        <is>
          <t>AUD</t>
        </is>
      </c>
      <c r="S1794" t="n">
        <v>0</v>
      </c>
      <c r="T1794" t="inlineStr">
        <is>
          <t>AUD</t>
        </is>
      </c>
      <c r="U1794" t="n">
        <v>0</v>
      </c>
    </row>
    <row r="1795">
      <c r="A1795" s="5" t="inlineStr">
        <is>
          <t>01a1212c-61a4-715c-b0d2-2db639d5b966</t>
        </is>
      </c>
      <c r="C1795" s="5" t="inlineStr">
        <is>
          <t>01a1212c-4b57-70cf-80fd-c2192cb3bf81</t>
        </is>
      </c>
      <c r="D1795" s="4" t="n">
        <v>46304.62406413126</v>
      </c>
      <c r="E1795" s="4" t="n">
        <v>46304.62406413136</v>
      </c>
      <c r="F1795" t="b">
        <v>1</v>
      </c>
      <c r="G1795" t="n">
        <v/>
      </c>
      <c r="H1795" t="inlineStr">
        <is>
          <t>BM8</t>
        </is>
      </c>
      <c r="I1795" t="inlineStr">
        <is>
          <t>Battery Age Minerals Ltd</t>
        </is>
      </c>
      <c r="J1795" t="inlineStr">
        <is>
          <t>AUD</t>
        </is>
      </c>
      <c r="K1795" s="5" t="inlineStr">
        <is>
          <t>01a1212c-4c04-75ce-bbb2-e3322e18816e</t>
        </is>
      </c>
      <c r="M1795" t="inlineStr">
        <is>
          <t>UNKNOWN</t>
        </is>
      </c>
      <c r="N1795" t="inlineStr">
        <is>
          <t>DEFAULT</t>
        </is>
      </c>
      <c r="Q1795" t="n">
        <v>0</v>
      </c>
      <c r="R1795" t="inlineStr">
        <is>
          <t>AUD</t>
        </is>
      </c>
      <c r="S1795" t="n">
        <v>0</v>
      </c>
      <c r="T1795" t="inlineStr">
        <is>
          <t>AUD</t>
        </is>
      </c>
      <c r="U1795" t="n">
        <v>0</v>
      </c>
    </row>
    <row r="1796">
      <c r="A1796" s="5" t="inlineStr">
        <is>
          <t>01a1212c-61a7-7477-b165-a06b65370417</t>
        </is>
      </c>
      <c r="C1796" s="5" t="inlineStr">
        <is>
          <t>01a1212c-4b57-70cf-80fd-c2192cb3bf81</t>
        </is>
      </c>
      <c r="D1796" s="4" t="n">
        <v>46304.62406416416</v>
      </c>
      <c r="E1796" s="4" t="n">
        <v>46304.62406416425</v>
      </c>
      <c r="F1796" t="b">
        <v>1</v>
      </c>
      <c r="G1796" t="n">
        <v/>
      </c>
      <c r="H1796" t="inlineStr">
        <is>
          <t>PNM</t>
        </is>
      </c>
      <c r="I1796" t="inlineStr">
        <is>
          <t>Pacific Nickel Mines Ltd</t>
        </is>
      </c>
      <c r="J1796" t="inlineStr">
        <is>
          <t>AUD</t>
        </is>
      </c>
      <c r="K1796" s="5" t="inlineStr">
        <is>
          <t>01a1212c-4c04-75ce-bbb2-e3322e18816e</t>
        </is>
      </c>
      <c r="M1796" t="inlineStr">
        <is>
          <t>UNKNOWN</t>
        </is>
      </c>
      <c r="N1796" t="inlineStr">
        <is>
          <t>DEFAULT</t>
        </is>
      </c>
      <c r="Q1796" t="n">
        <v>0</v>
      </c>
      <c r="R1796" t="inlineStr">
        <is>
          <t>AUD</t>
        </is>
      </c>
      <c r="S1796" t="n">
        <v>0</v>
      </c>
      <c r="T1796" t="inlineStr">
        <is>
          <t>AUD</t>
        </is>
      </c>
      <c r="U1796" t="n">
        <v>0</v>
      </c>
    </row>
    <row r="1797">
      <c r="A1797" s="5" t="inlineStr">
        <is>
          <t>01a1212c-61aa-7140-bdce-f409b223e348</t>
        </is>
      </c>
      <c r="C1797" s="5" t="inlineStr">
        <is>
          <t>01a1212c-4b57-70cf-80fd-c2192cb3bf81</t>
        </is>
      </c>
      <c r="D1797" s="4" t="n">
        <v>46304.6240641996</v>
      </c>
      <c r="E1797" s="4" t="n">
        <v>46304.62406419968</v>
      </c>
      <c r="F1797" t="b">
        <v>1</v>
      </c>
      <c r="G1797" t="n">
        <v/>
      </c>
      <c r="H1797" t="inlineStr">
        <is>
          <t>VFX</t>
        </is>
      </c>
      <c r="I1797" t="inlineStr">
        <is>
          <t>Visionflex Group Ltd</t>
        </is>
      </c>
      <c r="J1797" t="inlineStr">
        <is>
          <t>AUD</t>
        </is>
      </c>
      <c r="K1797" s="5" t="inlineStr">
        <is>
          <t>01a1212c-4c04-75ce-bbb2-e3322e18816e</t>
        </is>
      </c>
      <c r="M1797" t="inlineStr">
        <is>
          <t>UNKNOWN</t>
        </is>
      </c>
      <c r="N1797" t="inlineStr">
        <is>
          <t>DEFAULT</t>
        </is>
      </c>
      <c r="Q1797" t="n">
        <v>0</v>
      </c>
      <c r="R1797" t="inlineStr">
        <is>
          <t>AUD</t>
        </is>
      </c>
      <c r="S1797" t="n">
        <v>0</v>
      </c>
      <c r="T1797" t="inlineStr">
        <is>
          <t>AUD</t>
        </is>
      </c>
      <c r="U1797" t="n">
        <v>0</v>
      </c>
    </row>
    <row r="1798">
      <c r="A1798" s="5" t="inlineStr">
        <is>
          <t>01a1212c-61ad-7483-a23d-068eb88ad542</t>
        </is>
      </c>
      <c r="C1798" s="5" t="inlineStr">
        <is>
          <t>01a1212c-4b57-70cf-80fd-c2192cb3bf81</t>
        </is>
      </c>
      <c r="D1798" s="4" t="n">
        <v>46304.62406423296</v>
      </c>
      <c r="E1798" s="4" t="n">
        <v>46304.62406423305</v>
      </c>
      <c r="F1798" t="b">
        <v>1</v>
      </c>
      <c r="G1798" t="n">
        <v/>
      </c>
      <c r="H1798" t="inlineStr">
        <is>
          <t>H100</t>
        </is>
      </c>
      <c r="I1798" t="inlineStr">
        <is>
          <t>Betashares Ftse 100 Currency Hedged ETF</t>
        </is>
      </c>
      <c r="J1798" t="inlineStr">
        <is>
          <t>AUD</t>
        </is>
      </c>
      <c r="K1798" s="5" t="inlineStr">
        <is>
          <t>01a1212c-4c04-75ce-bbb2-e3322e18816e</t>
        </is>
      </c>
      <c r="M1798" t="inlineStr">
        <is>
          <t>UNKNOWN</t>
        </is>
      </c>
      <c r="N1798" t="inlineStr">
        <is>
          <t>DEFAULT</t>
        </is>
      </c>
      <c r="Q1798" t="n">
        <v>0</v>
      </c>
      <c r="R1798" t="inlineStr">
        <is>
          <t>AUD</t>
        </is>
      </c>
      <c r="S1798" t="n">
        <v>0</v>
      </c>
      <c r="T1798" t="inlineStr">
        <is>
          <t>AUD</t>
        </is>
      </c>
      <c r="U1798" t="n">
        <v>0</v>
      </c>
    </row>
    <row r="1799">
      <c r="A1799" s="5" t="inlineStr">
        <is>
          <t>01a1212c-61b0-70dc-a555-1514c064a93e</t>
        </is>
      </c>
      <c r="C1799" s="5" t="inlineStr">
        <is>
          <t>01a1212c-4b57-70cf-80fd-c2192cb3bf81</t>
        </is>
      </c>
      <c r="D1799" s="4" t="n">
        <v>46304.62406426654</v>
      </c>
      <c r="E1799" s="4" t="n">
        <v>46304.62406426662</v>
      </c>
      <c r="F1799" t="b">
        <v>1</v>
      </c>
      <c r="G1799" t="n">
        <v/>
      </c>
      <c r="H1799" t="inlineStr">
        <is>
          <t>HLX</t>
        </is>
      </c>
      <c r="I1799" t="inlineStr">
        <is>
          <t>HELIX Resources Ltd</t>
        </is>
      </c>
      <c r="J1799" t="inlineStr">
        <is>
          <t>AUD</t>
        </is>
      </c>
      <c r="K1799" s="5" t="inlineStr">
        <is>
          <t>01a1212c-4c04-75ce-bbb2-e3322e18816e</t>
        </is>
      </c>
      <c r="M1799" t="inlineStr">
        <is>
          <t>UNKNOWN</t>
        </is>
      </c>
      <c r="N1799" t="inlineStr">
        <is>
          <t>DEFAULT</t>
        </is>
      </c>
      <c r="Q1799" t="n">
        <v>0</v>
      </c>
      <c r="R1799" t="inlineStr">
        <is>
          <t>AUD</t>
        </is>
      </c>
      <c r="S1799" t="n">
        <v>0</v>
      </c>
      <c r="T1799" t="inlineStr">
        <is>
          <t>AUD</t>
        </is>
      </c>
      <c r="U1799" t="n">
        <v>0</v>
      </c>
    </row>
    <row r="1800">
      <c r="A1800" s="5" t="inlineStr">
        <is>
          <t>01a1212c-61b3-76d9-a581-258c392e56f7</t>
        </is>
      </c>
      <c r="C1800" s="5" t="inlineStr">
        <is>
          <t>01a1212c-4b57-70cf-80fd-c2192cb3bf81</t>
        </is>
      </c>
      <c r="D1800" s="4" t="n">
        <v>46304.62406429937</v>
      </c>
      <c r="E1800" s="4" t="n">
        <v>46304.62406429945</v>
      </c>
      <c r="F1800" t="b">
        <v>1</v>
      </c>
      <c r="G1800" t="n">
        <v/>
      </c>
      <c r="H1800" t="inlineStr">
        <is>
          <t>QNDQ</t>
        </is>
      </c>
      <c r="I1800" t="inlineStr">
        <is>
          <t>Betashares Nasdaq 100 EQUAL Weight ETF</t>
        </is>
      </c>
      <c r="J1800" t="inlineStr">
        <is>
          <t>AUD</t>
        </is>
      </c>
      <c r="K1800" s="5" t="inlineStr">
        <is>
          <t>01a1212c-4c04-75ce-bbb2-e3322e18816e</t>
        </is>
      </c>
      <c r="M1800" t="inlineStr">
        <is>
          <t>UNKNOWN</t>
        </is>
      </c>
      <c r="N1800" t="inlineStr">
        <is>
          <t>DEFAULT</t>
        </is>
      </c>
      <c r="Q1800" t="n">
        <v>0</v>
      </c>
      <c r="R1800" t="inlineStr">
        <is>
          <t>AUD</t>
        </is>
      </c>
      <c r="S1800" t="n">
        <v>0</v>
      </c>
      <c r="T1800" t="inlineStr">
        <is>
          <t>AUD</t>
        </is>
      </c>
      <c r="U1800" t="n">
        <v>0</v>
      </c>
    </row>
    <row r="1801">
      <c r="A1801" s="5" t="inlineStr">
        <is>
          <t>01a1212c-61b6-7687-b62c-2d106279c622</t>
        </is>
      </c>
      <c r="C1801" s="5" t="inlineStr">
        <is>
          <t>01a1212c-4b57-70cf-80fd-c2192cb3bf81</t>
        </is>
      </c>
      <c r="D1801" s="4" t="n">
        <v>46304.62406433449</v>
      </c>
      <c r="E1801" s="4" t="n">
        <v>46304.62406433457</v>
      </c>
      <c r="F1801" t="b">
        <v>1</v>
      </c>
      <c r="G1801" t="n">
        <v/>
      </c>
      <c r="H1801" t="inlineStr">
        <is>
          <t>PGO</t>
        </is>
      </c>
      <c r="I1801" t="inlineStr">
        <is>
          <t>Pacgold Ltd</t>
        </is>
      </c>
      <c r="J1801" t="inlineStr">
        <is>
          <t>AUD</t>
        </is>
      </c>
      <c r="K1801" s="5" t="inlineStr">
        <is>
          <t>01a1212c-4c04-75ce-bbb2-e3322e18816e</t>
        </is>
      </c>
      <c r="M1801" t="inlineStr">
        <is>
          <t>UNKNOWN</t>
        </is>
      </c>
      <c r="N1801" t="inlineStr">
        <is>
          <t>DEFAULT</t>
        </is>
      </c>
      <c r="Q1801" t="n">
        <v>0</v>
      </c>
      <c r="R1801" t="inlineStr">
        <is>
          <t>AUD</t>
        </is>
      </c>
      <c r="S1801" t="n">
        <v>0</v>
      </c>
      <c r="T1801" t="inlineStr">
        <is>
          <t>AUD</t>
        </is>
      </c>
      <c r="U1801" t="n">
        <v>0</v>
      </c>
    </row>
    <row r="1802">
      <c r="A1802" s="5" t="inlineStr">
        <is>
          <t>01a1212c-61b9-7314-9cac-32a7a134bab4</t>
        </is>
      </c>
      <c r="C1802" s="5" t="inlineStr">
        <is>
          <t>01a1212c-4b57-70cf-80fd-c2192cb3bf81</t>
        </is>
      </c>
      <c r="D1802" s="4" t="n">
        <v>46304.62406436628</v>
      </c>
      <c r="E1802" s="4" t="n">
        <v>46304.62406436636</v>
      </c>
      <c r="F1802" t="b">
        <v>1</v>
      </c>
      <c r="G1802" t="n">
        <v/>
      </c>
      <c r="H1802" t="inlineStr">
        <is>
          <t>ORP</t>
        </is>
      </c>
      <c r="I1802" t="inlineStr">
        <is>
          <t>Orpheus Uranium Ltd</t>
        </is>
      </c>
      <c r="J1802" t="inlineStr">
        <is>
          <t>AUD</t>
        </is>
      </c>
      <c r="K1802" s="5" t="inlineStr">
        <is>
          <t>01a1212c-4c04-75ce-bbb2-e3322e18816e</t>
        </is>
      </c>
      <c r="M1802" t="inlineStr">
        <is>
          <t>UNKNOWN</t>
        </is>
      </c>
      <c r="N1802" t="inlineStr">
        <is>
          <t>DEFAULT</t>
        </is>
      </c>
      <c r="Q1802" t="n">
        <v>0</v>
      </c>
      <c r="R1802" t="inlineStr">
        <is>
          <t>AUD</t>
        </is>
      </c>
      <c r="S1802" t="n">
        <v>0</v>
      </c>
      <c r="T1802" t="inlineStr">
        <is>
          <t>AUD</t>
        </is>
      </c>
      <c r="U1802" t="n">
        <v>0</v>
      </c>
    </row>
    <row r="1803">
      <c r="A1803" s="5" t="inlineStr">
        <is>
          <t>01a1212c-61bb-7402-a4ca-df479ea1e1c8</t>
        </is>
      </c>
      <c r="C1803" s="5" t="inlineStr">
        <is>
          <t>01a1212c-4b57-70cf-80fd-c2192cb3bf81</t>
        </is>
      </c>
      <c r="D1803" s="4" t="n">
        <v>46304.62406439772</v>
      </c>
      <c r="E1803" s="4" t="n">
        <v>46304.62406439779</v>
      </c>
      <c r="F1803" t="b">
        <v>1</v>
      </c>
      <c r="G1803" t="n">
        <v/>
      </c>
      <c r="H1803" t="inlineStr">
        <is>
          <t>HMG</t>
        </is>
      </c>
      <c r="I1803" t="inlineStr">
        <is>
          <t>Hamelin Gold Ltd</t>
        </is>
      </c>
      <c r="J1803" t="inlineStr">
        <is>
          <t>AUD</t>
        </is>
      </c>
      <c r="K1803" s="5" t="inlineStr">
        <is>
          <t>01a1212c-4c04-75ce-bbb2-e3322e18816e</t>
        </is>
      </c>
      <c r="M1803" t="inlineStr">
        <is>
          <t>UNKNOWN</t>
        </is>
      </c>
      <c r="N1803" t="inlineStr">
        <is>
          <t>DEFAULT</t>
        </is>
      </c>
      <c r="Q1803" t="n">
        <v>0</v>
      </c>
      <c r="R1803" t="inlineStr">
        <is>
          <t>AUD</t>
        </is>
      </c>
      <c r="S1803" t="n">
        <v>0</v>
      </c>
      <c r="T1803" t="inlineStr">
        <is>
          <t>AUD</t>
        </is>
      </c>
      <c r="U1803" t="n">
        <v>0</v>
      </c>
    </row>
    <row r="1804">
      <c r="A1804" s="5" t="inlineStr">
        <is>
          <t>01a1212c-61be-7634-a663-cda4dccbcd94</t>
        </is>
      </c>
      <c r="C1804" s="5" t="inlineStr">
        <is>
          <t>01a1212c-4b57-70cf-80fd-c2192cb3bf81</t>
        </is>
      </c>
      <c r="D1804" s="4" t="n">
        <v>46304.62406442884</v>
      </c>
      <c r="E1804" s="4" t="n">
        <v>46304.62406442892</v>
      </c>
      <c r="F1804" t="b">
        <v>1</v>
      </c>
      <c r="G1804" t="n">
        <v/>
      </c>
      <c r="H1804" t="inlineStr">
        <is>
          <t>FDR</t>
        </is>
      </c>
      <c r="I1804" t="inlineStr">
        <is>
          <t>Finder Energy Holdings Ltd</t>
        </is>
      </c>
      <c r="J1804" t="inlineStr">
        <is>
          <t>AUD</t>
        </is>
      </c>
      <c r="K1804" s="5" t="inlineStr">
        <is>
          <t>01a1212c-4c04-75ce-bbb2-e3322e18816e</t>
        </is>
      </c>
      <c r="M1804" t="inlineStr">
        <is>
          <t>UNKNOWN</t>
        </is>
      </c>
      <c r="N1804" t="inlineStr">
        <is>
          <t>DEFAULT</t>
        </is>
      </c>
      <c r="Q1804" t="n">
        <v>0</v>
      </c>
      <c r="R1804" t="inlineStr">
        <is>
          <t>AUD</t>
        </is>
      </c>
      <c r="S1804" t="n">
        <v>0</v>
      </c>
      <c r="T1804" t="inlineStr">
        <is>
          <t>AUD</t>
        </is>
      </c>
      <c r="U1804" t="n">
        <v>0</v>
      </c>
    </row>
    <row r="1805">
      <c r="A1805" s="5" t="inlineStr">
        <is>
          <t>01a1212c-61c1-741d-bd32-ab75f9449ae1</t>
        </is>
      </c>
      <c r="C1805" s="5" t="inlineStr">
        <is>
          <t>01a1212c-4b57-70cf-80fd-c2192cb3bf81</t>
        </is>
      </c>
      <c r="D1805" s="4" t="n">
        <v>46304.62406446062</v>
      </c>
      <c r="E1805" s="4" t="n">
        <v>46304.6240644607</v>
      </c>
      <c r="F1805" t="b">
        <v>1</v>
      </c>
      <c r="G1805" t="n">
        <v/>
      </c>
      <c r="H1805" t="inlineStr">
        <is>
          <t>NH3</t>
        </is>
      </c>
      <c r="I1805" t="inlineStr">
        <is>
          <t>NH3 Clean Energy Ltd</t>
        </is>
      </c>
      <c r="J1805" t="inlineStr">
        <is>
          <t>AUD</t>
        </is>
      </c>
      <c r="K1805" s="5" t="inlineStr">
        <is>
          <t>01a1212c-4c04-75ce-bbb2-e3322e18816e</t>
        </is>
      </c>
      <c r="M1805" t="inlineStr">
        <is>
          <t>UNKNOWN</t>
        </is>
      </c>
      <c r="N1805" t="inlineStr">
        <is>
          <t>DEFAULT</t>
        </is>
      </c>
      <c r="Q1805" t="n">
        <v>0</v>
      </c>
      <c r="R1805" t="inlineStr">
        <is>
          <t>AUD</t>
        </is>
      </c>
      <c r="S1805" t="n">
        <v>0</v>
      </c>
      <c r="T1805" t="inlineStr">
        <is>
          <t>AUD</t>
        </is>
      </c>
      <c r="U1805" t="n">
        <v>0</v>
      </c>
    </row>
    <row r="1806">
      <c r="A1806" s="5" t="inlineStr">
        <is>
          <t>01a1212c-61c4-723c-ab73-ebc4504ae089</t>
        </is>
      </c>
      <c r="C1806" s="5" t="inlineStr">
        <is>
          <t>01a1212c-4b57-70cf-80fd-c2192cb3bf81</t>
        </is>
      </c>
      <c r="D1806" s="4" t="n">
        <v>46304.62406449411</v>
      </c>
      <c r="E1806" s="4" t="n">
        <v>46304.62406449427</v>
      </c>
      <c r="F1806" t="b">
        <v>1</v>
      </c>
      <c r="G1806" t="n">
        <v/>
      </c>
      <c r="H1806" t="inlineStr">
        <is>
          <t>NNL</t>
        </is>
      </c>
      <c r="I1806" t="inlineStr">
        <is>
          <t>Nordic Resources Ltd</t>
        </is>
      </c>
      <c r="J1806" t="inlineStr">
        <is>
          <t>AUD</t>
        </is>
      </c>
      <c r="K1806" s="5" t="inlineStr">
        <is>
          <t>01a1212c-4c04-75ce-bbb2-e3322e18816e</t>
        </is>
      </c>
      <c r="M1806" t="inlineStr">
        <is>
          <t>UNKNOWN</t>
        </is>
      </c>
      <c r="N1806" t="inlineStr">
        <is>
          <t>DEFAULT</t>
        </is>
      </c>
      <c r="Q1806" t="n">
        <v>0</v>
      </c>
      <c r="R1806" t="inlineStr">
        <is>
          <t>AUD</t>
        </is>
      </c>
      <c r="S1806" t="n">
        <v>0</v>
      </c>
      <c r="T1806" t="inlineStr">
        <is>
          <t>AUD</t>
        </is>
      </c>
      <c r="U1806" t="n">
        <v>0</v>
      </c>
    </row>
    <row r="1807">
      <c r="A1807" s="5" t="inlineStr">
        <is>
          <t>01a1212c-61c7-72c2-b8e2-495b49d9e73f</t>
        </is>
      </c>
      <c r="C1807" s="5" t="inlineStr">
        <is>
          <t>01a1212c-4b57-70cf-80fd-c2192cb3bf81</t>
        </is>
      </c>
      <c r="D1807" s="4" t="n">
        <v>46304.62406452774</v>
      </c>
      <c r="E1807" s="4" t="n">
        <v>46304.62406452782</v>
      </c>
      <c r="F1807" t="b">
        <v>1</v>
      </c>
      <c r="G1807" t="n">
        <v/>
      </c>
      <c r="H1807" t="inlineStr">
        <is>
          <t>TAT</t>
        </is>
      </c>
      <c r="I1807" t="inlineStr">
        <is>
          <t>Tartana Minerals Ltd</t>
        </is>
      </c>
      <c r="J1807" t="inlineStr">
        <is>
          <t>AUD</t>
        </is>
      </c>
      <c r="K1807" s="5" t="inlineStr">
        <is>
          <t>01a1212c-4c04-75ce-bbb2-e3322e18816e</t>
        </is>
      </c>
      <c r="M1807" t="inlineStr">
        <is>
          <t>UNKNOWN</t>
        </is>
      </c>
      <c r="N1807" t="inlineStr">
        <is>
          <t>DEFAULT</t>
        </is>
      </c>
      <c r="Q1807" t="n">
        <v>0</v>
      </c>
      <c r="R1807" t="inlineStr">
        <is>
          <t>AUD</t>
        </is>
      </c>
      <c r="S1807" t="n">
        <v>0</v>
      </c>
      <c r="T1807" t="inlineStr">
        <is>
          <t>AUD</t>
        </is>
      </c>
      <c r="U1807" t="n">
        <v>0</v>
      </c>
    </row>
    <row r="1808">
      <c r="A1808" s="5" t="inlineStr">
        <is>
          <t>01a1212c-61c9-7157-9d7d-c7b2457b0af4</t>
        </is>
      </c>
      <c r="C1808" s="5" t="inlineStr">
        <is>
          <t>01a1212c-4b57-70cf-80fd-c2192cb3bf81</t>
        </is>
      </c>
      <c r="D1808" s="4" t="n">
        <v>46304.62406455894</v>
      </c>
      <c r="E1808" s="4" t="n">
        <v>46304.62406455901</v>
      </c>
      <c r="F1808" t="b">
        <v>1</v>
      </c>
      <c r="G1808" t="n">
        <v/>
      </c>
      <c r="H1808" t="inlineStr">
        <is>
          <t>NC1</t>
        </is>
      </c>
      <c r="I1808" t="inlineStr">
        <is>
          <t>Nico Resources Ltd</t>
        </is>
      </c>
      <c r="J1808" t="inlineStr">
        <is>
          <t>AUD</t>
        </is>
      </c>
      <c r="K1808" s="5" t="inlineStr">
        <is>
          <t>01a1212c-4c04-75ce-bbb2-e3322e18816e</t>
        </is>
      </c>
      <c r="M1808" t="inlineStr">
        <is>
          <t>UNKNOWN</t>
        </is>
      </c>
      <c r="N1808" t="inlineStr">
        <is>
          <t>DEFAULT</t>
        </is>
      </c>
      <c r="Q1808" t="n">
        <v>0</v>
      </c>
      <c r="R1808" t="inlineStr">
        <is>
          <t>AUD</t>
        </is>
      </c>
      <c r="S1808" t="n">
        <v>0</v>
      </c>
      <c r="T1808" t="inlineStr">
        <is>
          <t>AUD</t>
        </is>
      </c>
      <c r="U1808" t="n">
        <v>0</v>
      </c>
    </row>
    <row r="1809">
      <c r="A1809" s="5" t="inlineStr">
        <is>
          <t>01a1212c-61cc-772e-be28-50d99cf91d2b</t>
        </is>
      </c>
      <c r="C1809" s="5" t="inlineStr">
        <is>
          <t>01a1212c-4b57-70cf-80fd-c2192cb3bf81</t>
        </is>
      </c>
      <c r="D1809" s="4" t="n">
        <v>46304.62406459014</v>
      </c>
      <c r="E1809" s="4" t="n">
        <v>46304.62406459022</v>
      </c>
      <c r="F1809" t="b">
        <v>1</v>
      </c>
      <c r="G1809" t="n">
        <v/>
      </c>
      <c r="H1809" t="inlineStr">
        <is>
          <t>SVY</t>
        </is>
      </c>
      <c r="I1809" t="inlineStr">
        <is>
          <t>Stavely Minerals Ltd</t>
        </is>
      </c>
      <c r="J1809" t="inlineStr">
        <is>
          <t>AUD</t>
        </is>
      </c>
      <c r="K1809" s="5" t="inlineStr">
        <is>
          <t>01a1212c-4c04-75ce-bbb2-e3322e18816e</t>
        </is>
      </c>
      <c r="M1809" t="inlineStr">
        <is>
          <t>UNKNOWN</t>
        </is>
      </c>
      <c r="N1809" t="inlineStr">
        <is>
          <t>DEFAULT</t>
        </is>
      </c>
      <c r="Q1809" t="n">
        <v>0</v>
      </c>
      <c r="R1809" t="inlineStr">
        <is>
          <t>AUD</t>
        </is>
      </c>
      <c r="S1809" t="n">
        <v>0</v>
      </c>
      <c r="T1809" t="inlineStr">
        <is>
          <t>AUD</t>
        </is>
      </c>
      <c r="U1809" t="n">
        <v>0</v>
      </c>
    </row>
    <row r="1810">
      <c r="A1810" s="5" t="inlineStr">
        <is>
          <t>01a1212c-61cf-7246-8194-69d89080dbeb</t>
        </is>
      </c>
      <c r="C1810" s="5" t="inlineStr">
        <is>
          <t>01a1212c-4b57-70cf-80fd-c2192cb3bf81</t>
        </is>
      </c>
      <c r="D1810" s="4" t="n">
        <v>46304.62406462082</v>
      </c>
      <c r="E1810" s="4" t="n">
        <v>46304.62406462089</v>
      </c>
      <c r="F1810" t="b">
        <v>1</v>
      </c>
      <c r="G1810" t="n">
        <v/>
      </c>
      <c r="H1810" t="inlineStr">
        <is>
          <t>PER</t>
        </is>
      </c>
      <c r="I1810" t="inlineStr">
        <is>
          <t>Percheron Therapeutics Ltd</t>
        </is>
      </c>
      <c r="J1810" t="inlineStr">
        <is>
          <t>AUD</t>
        </is>
      </c>
      <c r="K1810" s="5" t="inlineStr">
        <is>
          <t>01a1212c-4c04-75ce-bbb2-e3322e18816e</t>
        </is>
      </c>
      <c r="M1810" t="inlineStr">
        <is>
          <t>UNKNOWN</t>
        </is>
      </c>
      <c r="N1810" t="inlineStr">
        <is>
          <t>DEFAULT</t>
        </is>
      </c>
      <c r="Q1810" t="n">
        <v>0</v>
      </c>
      <c r="R1810" t="inlineStr">
        <is>
          <t>AUD</t>
        </is>
      </c>
      <c r="S1810" t="n">
        <v>0</v>
      </c>
      <c r="T1810" t="inlineStr">
        <is>
          <t>AUD</t>
        </is>
      </c>
      <c r="U1810" t="n">
        <v>0</v>
      </c>
    </row>
    <row r="1811">
      <c r="A1811" s="5" t="inlineStr">
        <is>
          <t>01a1212c-61d2-70cb-846f-1e26f2ca338e</t>
        </is>
      </c>
      <c r="C1811" s="5" t="inlineStr">
        <is>
          <t>01a1212c-4b57-70cf-80fd-c2192cb3bf81</t>
        </is>
      </c>
      <c r="D1811" s="4" t="n">
        <v>46304.62406465432</v>
      </c>
      <c r="E1811" s="4" t="n">
        <v>46304.62406465441</v>
      </c>
      <c r="F1811" t="b">
        <v>1</v>
      </c>
      <c r="G1811" t="n">
        <v/>
      </c>
      <c r="H1811" t="inlineStr">
        <is>
          <t>MIO</t>
        </is>
      </c>
      <c r="I1811" t="inlineStr">
        <is>
          <t>Macarthur Minerals Ltd</t>
        </is>
      </c>
      <c r="J1811" t="inlineStr">
        <is>
          <t>AUD</t>
        </is>
      </c>
      <c r="K1811" s="5" t="inlineStr">
        <is>
          <t>01a1212c-4c04-75ce-bbb2-e3322e18816e</t>
        </is>
      </c>
      <c r="M1811" t="inlineStr">
        <is>
          <t>UNKNOWN</t>
        </is>
      </c>
      <c r="N1811" t="inlineStr">
        <is>
          <t>DEFAULT</t>
        </is>
      </c>
      <c r="Q1811" t="n">
        <v>0</v>
      </c>
      <c r="R1811" t="inlineStr">
        <is>
          <t>AUD</t>
        </is>
      </c>
      <c r="S1811" t="n">
        <v>0</v>
      </c>
      <c r="T1811" t="inlineStr">
        <is>
          <t>AUD</t>
        </is>
      </c>
      <c r="U1811" t="n">
        <v>0</v>
      </c>
    </row>
    <row r="1812">
      <c r="A1812" s="5" t="inlineStr">
        <is>
          <t>01a1212c-61d4-75f2-9082-aa65fff1ea1f</t>
        </is>
      </c>
      <c r="C1812" s="5" t="inlineStr">
        <is>
          <t>01a1212c-4b57-70cf-80fd-c2192cb3bf81</t>
        </is>
      </c>
      <c r="D1812" s="4" t="n">
        <v>46304.6240646865</v>
      </c>
      <c r="E1812" s="4" t="n">
        <v>46304.62406468658</v>
      </c>
      <c r="F1812" t="b">
        <v>1</v>
      </c>
      <c r="G1812" t="n">
        <v/>
      </c>
      <c r="H1812" t="inlineStr">
        <is>
          <t>BUGG</t>
        </is>
      </c>
      <c r="I1812" t="inlineStr">
        <is>
          <t>Global X Cybersecurity ETF</t>
        </is>
      </c>
      <c r="J1812" t="inlineStr">
        <is>
          <t>AUD</t>
        </is>
      </c>
      <c r="K1812" s="5" t="inlineStr">
        <is>
          <t>01a1212c-4c04-75ce-bbb2-e3322e18816e</t>
        </is>
      </c>
      <c r="M1812" t="inlineStr">
        <is>
          <t>UNKNOWN</t>
        </is>
      </c>
      <c r="N1812" t="inlineStr">
        <is>
          <t>DEFAULT</t>
        </is>
      </c>
      <c r="Q1812" t="n">
        <v>0</v>
      </c>
      <c r="R1812" t="inlineStr">
        <is>
          <t>AUD</t>
        </is>
      </c>
      <c r="S1812" t="n">
        <v>0</v>
      </c>
      <c r="T1812" t="inlineStr">
        <is>
          <t>AUD</t>
        </is>
      </c>
      <c r="U1812" t="n">
        <v>0</v>
      </c>
    </row>
    <row r="1813">
      <c r="A1813" s="5" t="inlineStr">
        <is>
          <t>01a1212c-61d7-73e4-adfe-9503de2b1507</t>
        </is>
      </c>
      <c r="C1813" s="5" t="inlineStr">
        <is>
          <t>01a1212c-4b57-70cf-80fd-c2192cb3bf81</t>
        </is>
      </c>
      <c r="D1813" s="4" t="n">
        <v>46304.62406471846</v>
      </c>
      <c r="E1813" s="4" t="n">
        <v>46304.62406471854</v>
      </c>
      <c r="F1813" t="b">
        <v>1</v>
      </c>
      <c r="G1813" t="n">
        <v/>
      </c>
      <c r="H1813" t="inlineStr">
        <is>
          <t>ILT</t>
        </is>
      </c>
      <c r="I1813" t="inlineStr">
        <is>
          <t>Iltani Resources Ltd</t>
        </is>
      </c>
      <c r="J1813" t="inlineStr">
        <is>
          <t>AUD</t>
        </is>
      </c>
      <c r="K1813" s="5" t="inlineStr">
        <is>
          <t>01a1212c-4c04-75ce-bbb2-e3322e18816e</t>
        </is>
      </c>
      <c r="M1813" t="inlineStr">
        <is>
          <t>UNKNOWN</t>
        </is>
      </c>
      <c r="N1813" t="inlineStr">
        <is>
          <t>DEFAULT</t>
        </is>
      </c>
      <c r="Q1813" t="n">
        <v>0</v>
      </c>
      <c r="R1813" t="inlineStr">
        <is>
          <t>AUD</t>
        </is>
      </c>
      <c r="S1813" t="n">
        <v>0</v>
      </c>
      <c r="T1813" t="inlineStr">
        <is>
          <t>AUD</t>
        </is>
      </c>
      <c r="U1813" t="n">
        <v>0</v>
      </c>
    </row>
    <row r="1814">
      <c r="A1814" s="5" t="inlineStr">
        <is>
          <t>01a1212c-61da-73d2-b0b8-d1a9c53b14ff</t>
        </is>
      </c>
      <c r="C1814" s="5" t="inlineStr">
        <is>
          <t>01a1212c-4b57-70cf-80fd-c2192cb3bf81</t>
        </is>
      </c>
      <c r="D1814" s="4" t="n">
        <v>46304.62406474944</v>
      </c>
      <c r="E1814" s="4" t="n">
        <v>46304.62406474953</v>
      </c>
      <c r="F1814" t="b">
        <v>1</v>
      </c>
      <c r="G1814" t="n">
        <v/>
      </c>
      <c r="H1814" t="inlineStr">
        <is>
          <t>RAU</t>
        </is>
      </c>
      <c r="I1814" t="inlineStr">
        <is>
          <t>Resouro Strategic Metals Inc</t>
        </is>
      </c>
      <c r="J1814" t="inlineStr">
        <is>
          <t>AUD</t>
        </is>
      </c>
      <c r="K1814" s="5" t="inlineStr">
        <is>
          <t>01a1212c-4c04-75ce-bbb2-e3322e18816e</t>
        </is>
      </c>
      <c r="M1814" t="inlineStr">
        <is>
          <t>UNKNOWN</t>
        </is>
      </c>
      <c r="N1814" t="inlineStr">
        <is>
          <t>DEFAULT</t>
        </is>
      </c>
      <c r="Q1814" t="n">
        <v>0</v>
      </c>
      <c r="R1814" t="inlineStr">
        <is>
          <t>AUD</t>
        </is>
      </c>
      <c r="S1814" t="n">
        <v>0</v>
      </c>
      <c r="T1814" t="inlineStr">
        <is>
          <t>AUD</t>
        </is>
      </c>
      <c r="U1814" t="n">
        <v>0</v>
      </c>
    </row>
    <row r="1815">
      <c r="A1815" s="5" t="inlineStr">
        <is>
          <t>01a1212c-61dd-702d-a6b0-66fc4a64a55f</t>
        </is>
      </c>
      <c r="C1815" s="5" t="inlineStr">
        <is>
          <t>01a1212c-4b57-70cf-80fd-c2192cb3bf81</t>
        </is>
      </c>
      <c r="D1815" s="4" t="n">
        <v>46304.62406478237</v>
      </c>
      <c r="E1815" s="4" t="n">
        <v>46304.62406478245</v>
      </c>
      <c r="F1815" t="b">
        <v>1</v>
      </c>
      <c r="G1815" t="n">
        <v/>
      </c>
      <c r="H1815" t="inlineStr">
        <is>
          <t>KBC</t>
        </is>
      </c>
      <c r="I1815" t="inlineStr">
        <is>
          <t>Keybridge Capital Ltd</t>
        </is>
      </c>
      <c r="J1815" t="inlineStr">
        <is>
          <t>AUD</t>
        </is>
      </c>
      <c r="K1815" s="5" t="inlineStr">
        <is>
          <t>01a1212c-4c04-75ce-bbb2-e3322e18816e</t>
        </is>
      </c>
      <c r="M1815" t="inlineStr">
        <is>
          <t>UNKNOWN</t>
        </is>
      </c>
      <c r="N1815" t="inlineStr">
        <is>
          <t>DEFAULT</t>
        </is>
      </c>
      <c r="Q1815" t="n">
        <v>0</v>
      </c>
      <c r="R1815" t="inlineStr">
        <is>
          <t>AUD</t>
        </is>
      </c>
      <c r="S1815" t="n">
        <v>0</v>
      </c>
      <c r="T1815" t="inlineStr">
        <is>
          <t>AUD</t>
        </is>
      </c>
      <c r="U1815" t="n">
        <v>0</v>
      </c>
    </row>
    <row r="1816">
      <c r="A1816" s="5" t="inlineStr">
        <is>
          <t>01a1212c-61df-75c4-98cd-4d957e8de90c</t>
        </is>
      </c>
      <c r="C1816" s="5" t="inlineStr">
        <is>
          <t>01a1212c-4b57-70cf-80fd-c2192cb3bf81</t>
        </is>
      </c>
      <c r="D1816" s="4" t="n">
        <v>46304.62406481333</v>
      </c>
      <c r="E1816" s="4" t="n">
        <v>46304.62406481341</v>
      </c>
      <c r="F1816" t="b">
        <v>1</v>
      </c>
      <c r="G1816" t="n">
        <v/>
      </c>
      <c r="H1816" t="inlineStr">
        <is>
          <t>CI1</t>
        </is>
      </c>
      <c r="I1816" t="inlineStr">
        <is>
          <t>Credit Intelligence Ltd</t>
        </is>
      </c>
      <c r="J1816" t="inlineStr">
        <is>
          <t>AUD</t>
        </is>
      </c>
      <c r="K1816" s="5" t="inlineStr">
        <is>
          <t>01a1212c-4c04-75ce-bbb2-e3322e18816e</t>
        </is>
      </c>
      <c r="M1816" t="inlineStr">
        <is>
          <t>UNKNOWN</t>
        </is>
      </c>
      <c r="N1816" t="inlineStr">
        <is>
          <t>DEFAULT</t>
        </is>
      </c>
      <c r="Q1816" t="n">
        <v>0</v>
      </c>
      <c r="R1816" t="inlineStr">
        <is>
          <t>AUD</t>
        </is>
      </c>
      <c r="S1816" t="n">
        <v>0</v>
      </c>
      <c r="T1816" t="inlineStr">
        <is>
          <t>AUD</t>
        </is>
      </c>
      <c r="U1816" t="n">
        <v>0</v>
      </c>
    </row>
    <row r="1817">
      <c r="A1817" s="5" t="inlineStr">
        <is>
          <t>01a1212c-61e2-725d-9c73-3e79bad40b05</t>
        </is>
      </c>
      <c r="C1817" s="5" t="inlineStr">
        <is>
          <t>01a1212c-4b57-70cf-80fd-c2192cb3bf81</t>
        </is>
      </c>
      <c r="D1817" s="4" t="n">
        <v>46304.62406484415</v>
      </c>
      <c r="E1817" s="4" t="n">
        <v>46304.62406484423</v>
      </c>
      <c r="F1817" t="b">
        <v>1</v>
      </c>
      <c r="G1817" t="n">
        <v/>
      </c>
      <c r="H1817" t="inlineStr">
        <is>
          <t>ODE</t>
        </is>
      </c>
      <c r="I1817" t="inlineStr">
        <is>
          <t>Odessa Minerals Ltd</t>
        </is>
      </c>
      <c r="J1817" t="inlineStr">
        <is>
          <t>AUD</t>
        </is>
      </c>
      <c r="K1817" s="5" t="inlineStr">
        <is>
          <t>01a1212c-4c04-75ce-bbb2-e3322e18816e</t>
        </is>
      </c>
      <c r="M1817" t="inlineStr">
        <is>
          <t>UNKNOWN</t>
        </is>
      </c>
      <c r="N1817" t="inlineStr">
        <is>
          <t>DEFAULT</t>
        </is>
      </c>
      <c r="Q1817" t="n">
        <v>0</v>
      </c>
      <c r="R1817" t="inlineStr">
        <is>
          <t>AUD</t>
        </is>
      </c>
      <c r="S1817" t="n">
        <v>0</v>
      </c>
      <c r="T1817" t="inlineStr">
        <is>
          <t>AUD</t>
        </is>
      </c>
      <c r="U1817" t="n">
        <v>0</v>
      </c>
    </row>
    <row r="1818">
      <c r="A1818" s="5" t="inlineStr">
        <is>
          <t>01a1212c-61e5-752c-8a40-5449d4e8b358</t>
        </is>
      </c>
      <c r="C1818" s="5" t="inlineStr">
        <is>
          <t>01a1212c-4b57-70cf-80fd-c2192cb3bf81</t>
        </is>
      </c>
      <c r="D1818" s="4" t="n">
        <v>46304.62406487687</v>
      </c>
      <c r="E1818" s="4" t="n">
        <v>46304.62406487695</v>
      </c>
      <c r="F1818" t="b">
        <v>1</v>
      </c>
      <c r="G1818" t="n">
        <v/>
      </c>
      <c r="H1818" t="inlineStr">
        <is>
          <t>LLI</t>
        </is>
      </c>
      <c r="I1818" t="inlineStr">
        <is>
          <t>Loyal Lithium Ltd</t>
        </is>
      </c>
      <c r="J1818" t="inlineStr">
        <is>
          <t>AUD</t>
        </is>
      </c>
      <c r="K1818" s="5" t="inlineStr">
        <is>
          <t>01a1212c-4c04-75ce-bbb2-e3322e18816e</t>
        </is>
      </c>
      <c r="M1818" t="inlineStr">
        <is>
          <t>UNKNOWN</t>
        </is>
      </c>
      <c r="N1818" t="inlineStr">
        <is>
          <t>DEFAULT</t>
        </is>
      </c>
      <c r="Q1818" t="n">
        <v>0</v>
      </c>
      <c r="R1818" t="inlineStr">
        <is>
          <t>AUD</t>
        </is>
      </c>
      <c r="S1818" t="n">
        <v>0</v>
      </c>
      <c r="T1818" t="inlineStr">
        <is>
          <t>AUD</t>
        </is>
      </c>
      <c r="U1818" t="n">
        <v>0</v>
      </c>
    </row>
    <row r="1819">
      <c r="A1819" s="5" t="inlineStr">
        <is>
          <t>01a1212c-61e8-750b-8b46-5ba68171a706</t>
        </is>
      </c>
      <c r="C1819" s="5" t="inlineStr">
        <is>
          <t>01a1212c-4b57-70cf-80fd-c2192cb3bf81</t>
        </is>
      </c>
      <c r="D1819" s="4" t="n">
        <v>46304.62406490894</v>
      </c>
      <c r="E1819" s="4" t="n">
        <v>46304.62406490902</v>
      </c>
      <c r="F1819" t="b">
        <v>1</v>
      </c>
      <c r="G1819" t="n">
        <v/>
      </c>
      <c r="H1819" t="inlineStr">
        <is>
          <t>AVE</t>
        </is>
      </c>
      <c r="I1819" t="inlineStr">
        <is>
          <t>Avecho Biotechnology Ltd</t>
        </is>
      </c>
      <c r="J1819" t="inlineStr">
        <is>
          <t>AUD</t>
        </is>
      </c>
      <c r="K1819" s="5" t="inlineStr">
        <is>
          <t>01a1212c-4c04-75ce-bbb2-e3322e18816e</t>
        </is>
      </c>
      <c r="M1819" t="inlineStr">
        <is>
          <t>UNKNOWN</t>
        </is>
      </c>
      <c r="N1819" t="inlineStr">
        <is>
          <t>DEFAULT</t>
        </is>
      </c>
      <c r="Q1819" t="n">
        <v>0</v>
      </c>
      <c r="R1819" t="inlineStr">
        <is>
          <t>AUD</t>
        </is>
      </c>
      <c r="S1819" t="n">
        <v>0</v>
      </c>
      <c r="T1819" t="inlineStr">
        <is>
          <t>AUD</t>
        </is>
      </c>
      <c r="U1819" t="n">
        <v>0</v>
      </c>
    </row>
    <row r="1820">
      <c r="A1820" s="5" t="inlineStr">
        <is>
          <t>01a1212c-61eb-73e2-a51d-afc90c7d73e1</t>
        </is>
      </c>
      <c r="C1820" s="5" t="inlineStr">
        <is>
          <t>01a1212c-4b57-70cf-80fd-c2192cb3bf81</t>
        </is>
      </c>
      <c r="D1820" s="4" t="n">
        <v>46304.62406494341</v>
      </c>
      <c r="E1820" s="4" t="n">
        <v>46304.62406494348</v>
      </c>
      <c r="F1820" t="b">
        <v>1</v>
      </c>
      <c r="G1820" t="n">
        <v/>
      </c>
      <c r="H1820" t="inlineStr">
        <is>
          <t>BCM</t>
        </is>
      </c>
      <c r="I1820" t="inlineStr">
        <is>
          <t>Brazilian Critical Minerals Ltd</t>
        </is>
      </c>
      <c r="J1820" t="inlineStr">
        <is>
          <t>AUD</t>
        </is>
      </c>
      <c r="K1820" s="5" t="inlineStr">
        <is>
          <t>01a1212c-4c04-75ce-bbb2-e3322e18816e</t>
        </is>
      </c>
      <c r="M1820" t="inlineStr">
        <is>
          <t>UNKNOWN</t>
        </is>
      </c>
      <c r="N1820" t="inlineStr">
        <is>
          <t>DEFAULT</t>
        </is>
      </c>
      <c r="Q1820" t="n">
        <v>0</v>
      </c>
      <c r="R1820" t="inlineStr">
        <is>
          <t>AUD</t>
        </is>
      </c>
      <c r="S1820" t="n">
        <v>0</v>
      </c>
      <c r="T1820" t="inlineStr">
        <is>
          <t>AUD</t>
        </is>
      </c>
      <c r="U1820" t="n">
        <v>0</v>
      </c>
    </row>
    <row r="1821">
      <c r="A1821" s="5" t="inlineStr">
        <is>
          <t>01a1212c-61ed-76d7-a9bf-b442078c6ca4</t>
        </is>
      </c>
      <c r="C1821" s="5" t="inlineStr">
        <is>
          <t>01a1212c-4b57-70cf-80fd-c2192cb3bf81</t>
        </is>
      </c>
      <c r="D1821" s="4" t="n">
        <v>46304.6240649746</v>
      </c>
      <c r="E1821" s="4" t="n">
        <v>46304.62406497469</v>
      </c>
      <c r="F1821" t="b">
        <v>1</v>
      </c>
      <c r="G1821" t="n">
        <v/>
      </c>
      <c r="H1821" t="inlineStr">
        <is>
          <t>CHM</t>
        </is>
      </c>
      <c r="I1821" t="inlineStr">
        <is>
          <t>Chimeric Therapeutics Ltd</t>
        </is>
      </c>
      <c r="J1821" t="inlineStr">
        <is>
          <t>AUD</t>
        </is>
      </c>
      <c r="K1821" s="5" t="inlineStr">
        <is>
          <t>01a1212c-4c04-75ce-bbb2-e3322e18816e</t>
        </is>
      </c>
      <c r="M1821" t="inlineStr">
        <is>
          <t>UNKNOWN</t>
        </is>
      </c>
      <c r="N1821" t="inlineStr">
        <is>
          <t>DEFAULT</t>
        </is>
      </c>
      <c r="Q1821" t="n">
        <v>0</v>
      </c>
      <c r="R1821" t="inlineStr">
        <is>
          <t>AUD</t>
        </is>
      </c>
      <c r="S1821" t="n">
        <v>0</v>
      </c>
      <c r="T1821" t="inlineStr">
        <is>
          <t>AUD</t>
        </is>
      </c>
      <c r="U1821" t="n">
        <v>0</v>
      </c>
    </row>
    <row r="1822">
      <c r="A1822" s="5" t="inlineStr">
        <is>
          <t>01a1212c-61f0-73bb-8eb5-5079bea09bdb</t>
        </is>
      </c>
      <c r="C1822" s="5" t="inlineStr">
        <is>
          <t>01a1212c-4b57-70cf-80fd-c2192cb3bf81</t>
        </is>
      </c>
      <c r="D1822" s="4" t="n">
        <v>46304.62406500557</v>
      </c>
      <c r="E1822" s="4" t="n">
        <v>46304.62406500565</v>
      </c>
      <c r="F1822" t="b">
        <v>1</v>
      </c>
      <c r="G1822" t="n">
        <v/>
      </c>
      <c r="H1822" t="inlineStr">
        <is>
          <t>ITM</t>
        </is>
      </c>
      <c r="I1822" t="inlineStr">
        <is>
          <t>Itech Minerals Ltd</t>
        </is>
      </c>
      <c r="J1822" t="inlineStr">
        <is>
          <t>AUD</t>
        </is>
      </c>
      <c r="K1822" s="5" t="inlineStr">
        <is>
          <t>01a1212c-4c04-75ce-bbb2-e3322e18816e</t>
        </is>
      </c>
      <c r="M1822" t="inlineStr">
        <is>
          <t>UNKNOWN</t>
        </is>
      </c>
      <c r="N1822" t="inlineStr">
        <is>
          <t>DEFAULT</t>
        </is>
      </c>
      <c r="Q1822" t="n">
        <v>0</v>
      </c>
      <c r="R1822" t="inlineStr">
        <is>
          <t>AUD</t>
        </is>
      </c>
      <c r="S1822" t="n">
        <v>0</v>
      </c>
      <c r="T1822" t="inlineStr">
        <is>
          <t>AUD</t>
        </is>
      </c>
      <c r="U1822" t="n">
        <v>0</v>
      </c>
    </row>
    <row r="1823">
      <c r="A1823" s="5" t="inlineStr">
        <is>
          <t>01a1212c-61f3-715d-8e00-4b8e75369c04</t>
        </is>
      </c>
      <c r="C1823" s="5" t="inlineStr">
        <is>
          <t>01a1212c-4b57-70cf-80fd-c2192cb3bf81</t>
        </is>
      </c>
      <c r="D1823" s="4" t="n">
        <v>46304.62406503662</v>
      </c>
      <c r="E1823" s="4" t="n">
        <v>46304.6240650367</v>
      </c>
      <c r="F1823" t="b">
        <v>1</v>
      </c>
      <c r="G1823" t="n">
        <v/>
      </c>
      <c r="H1823" t="inlineStr">
        <is>
          <t>DGR</t>
        </is>
      </c>
      <c r="I1823" t="inlineStr">
        <is>
          <t>DGR Global Ltd</t>
        </is>
      </c>
      <c r="J1823" t="inlineStr">
        <is>
          <t>AUD</t>
        </is>
      </c>
      <c r="K1823" s="5" t="inlineStr">
        <is>
          <t>01a1212c-4c04-75ce-bbb2-e3322e18816e</t>
        </is>
      </c>
      <c r="M1823" t="inlineStr">
        <is>
          <t>UNKNOWN</t>
        </is>
      </c>
      <c r="N1823" t="inlineStr">
        <is>
          <t>DEFAULT</t>
        </is>
      </c>
      <c r="Q1823" t="n">
        <v>0</v>
      </c>
      <c r="R1823" t="inlineStr">
        <is>
          <t>AUD</t>
        </is>
      </c>
      <c r="S1823" t="n">
        <v>0</v>
      </c>
      <c r="T1823" t="inlineStr">
        <is>
          <t>AUD</t>
        </is>
      </c>
      <c r="U1823" t="n">
        <v>0</v>
      </c>
    </row>
    <row r="1824">
      <c r="A1824" s="5" t="inlineStr">
        <is>
          <t>01a1212c-61f6-70b2-b633-11f751d67b19</t>
        </is>
      </c>
      <c r="C1824" s="5" t="inlineStr">
        <is>
          <t>01a1212c-4b57-70cf-80fd-c2192cb3bf81</t>
        </is>
      </c>
      <c r="D1824" s="4" t="n">
        <v>46304.62406507207</v>
      </c>
      <c r="E1824" s="4" t="n">
        <v>46304.62406507217</v>
      </c>
      <c r="F1824" t="b">
        <v>1</v>
      </c>
      <c r="G1824" t="n">
        <v/>
      </c>
      <c r="H1824" t="inlineStr">
        <is>
          <t>GBZ</t>
        </is>
      </c>
      <c r="I1824" t="inlineStr">
        <is>
          <t>GBM Resources Ltd</t>
        </is>
      </c>
      <c r="J1824" t="inlineStr">
        <is>
          <t>AUD</t>
        </is>
      </c>
      <c r="K1824" s="5" t="inlineStr">
        <is>
          <t>01a1212c-4c04-75ce-bbb2-e3322e18816e</t>
        </is>
      </c>
      <c r="M1824" t="inlineStr">
        <is>
          <t>UNKNOWN</t>
        </is>
      </c>
      <c r="N1824" t="inlineStr">
        <is>
          <t>DEFAULT</t>
        </is>
      </c>
      <c r="Q1824" t="n">
        <v>0</v>
      </c>
      <c r="R1824" t="inlineStr">
        <is>
          <t>AUD</t>
        </is>
      </c>
      <c r="S1824" t="n">
        <v>0</v>
      </c>
      <c r="T1824" t="inlineStr">
        <is>
          <t>AUD</t>
        </is>
      </c>
      <c r="U1824" t="n">
        <v>0</v>
      </c>
    </row>
    <row r="1825">
      <c r="A1825" s="5" t="inlineStr">
        <is>
          <t>01a1212c-61f8-71a1-be1c-a225db37aebb</t>
        </is>
      </c>
      <c r="C1825" s="5" t="inlineStr">
        <is>
          <t>01a1212c-4b57-70cf-80fd-c2192cb3bf81</t>
        </is>
      </c>
      <c r="D1825" s="4" t="n">
        <v>46304.6240651037</v>
      </c>
      <c r="E1825" s="4" t="n">
        <v>46304.62406510379</v>
      </c>
      <c r="F1825" t="b">
        <v>1</v>
      </c>
      <c r="G1825" t="n">
        <v/>
      </c>
      <c r="H1825" t="inlineStr">
        <is>
          <t>SPA</t>
        </is>
      </c>
      <c r="I1825" t="inlineStr">
        <is>
          <t>Spacetalk Ltd</t>
        </is>
      </c>
      <c r="J1825" t="inlineStr">
        <is>
          <t>AUD</t>
        </is>
      </c>
      <c r="K1825" s="5" t="inlineStr">
        <is>
          <t>01a1212c-4c04-75ce-bbb2-e3322e18816e</t>
        </is>
      </c>
      <c r="M1825" t="inlineStr">
        <is>
          <t>UNKNOWN</t>
        </is>
      </c>
      <c r="N1825" t="inlineStr">
        <is>
          <t>DEFAULT</t>
        </is>
      </c>
      <c r="Q1825" t="n">
        <v>0</v>
      </c>
      <c r="R1825" t="inlineStr">
        <is>
          <t>AUD</t>
        </is>
      </c>
      <c r="S1825" t="n">
        <v>0</v>
      </c>
      <c r="T1825" t="inlineStr">
        <is>
          <t>AUD</t>
        </is>
      </c>
      <c r="U1825" t="n">
        <v>0</v>
      </c>
    </row>
    <row r="1826">
      <c r="A1826" s="5" t="inlineStr">
        <is>
          <t>01a1212c-61fb-7597-a659-378083e55b12</t>
        </is>
      </c>
      <c r="C1826" s="5" t="inlineStr">
        <is>
          <t>01a1212c-4b57-70cf-80fd-c2192cb3bf81</t>
        </is>
      </c>
      <c r="D1826" s="4" t="n">
        <v>46304.6240651347</v>
      </c>
      <c r="E1826" s="4" t="n">
        <v>46304.62406513477</v>
      </c>
      <c r="F1826" t="b">
        <v>1</v>
      </c>
      <c r="G1826" t="n">
        <v/>
      </c>
      <c r="H1826" t="inlineStr">
        <is>
          <t>RAG</t>
        </is>
      </c>
      <c r="I1826" t="inlineStr">
        <is>
          <t>Ragnar Metals Ltd</t>
        </is>
      </c>
      <c r="J1826" t="inlineStr">
        <is>
          <t>AUD</t>
        </is>
      </c>
      <c r="K1826" s="5" t="inlineStr">
        <is>
          <t>01a1212c-4c04-75ce-bbb2-e3322e18816e</t>
        </is>
      </c>
      <c r="M1826" t="inlineStr">
        <is>
          <t>UNKNOWN</t>
        </is>
      </c>
      <c r="N1826" t="inlineStr">
        <is>
          <t>DEFAULT</t>
        </is>
      </c>
      <c r="Q1826" t="n">
        <v>0</v>
      </c>
      <c r="R1826" t="inlineStr">
        <is>
          <t>AUD</t>
        </is>
      </c>
      <c r="S1826" t="n">
        <v>0</v>
      </c>
      <c r="T1826" t="inlineStr">
        <is>
          <t>AUD</t>
        </is>
      </c>
      <c r="U1826" t="n">
        <v>0</v>
      </c>
    </row>
    <row r="1827">
      <c r="A1827" s="5" t="inlineStr">
        <is>
          <t>01a1212c-61fe-70de-a163-fa2e56bd10c6</t>
        </is>
      </c>
      <c r="C1827" s="5" t="inlineStr">
        <is>
          <t>01a1212c-4b57-70cf-80fd-c2192cb3bf81</t>
        </is>
      </c>
      <c r="D1827" s="4" t="n">
        <v>46304.6240651656</v>
      </c>
      <c r="E1827" s="4" t="n">
        <v>46304.62406516567</v>
      </c>
      <c r="F1827" t="b">
        <v>1</v>
      </c>
      <c r="G1827" t="n">
        <v/>
      </c>
      <c r="H1827" t="inlineStr">
        <is>
          <t>AU1</t>
        </is>
      </c>
      <c r="I1827" t="inlineStr">
        <is>
          <t>The Agency Group Australia Ltd</t>
        </is>
      </c>
      <c r="J1827" t="inlineStr">
        <is>
          <t>AUD</t>
        </is>
      </c>
      <c r="K1827" s="5" t="inlineStr">
        <is>
          <t>01a1212c-4c04-75ce-bbb2-e3322e18816e</t>
        </is>
      </c>
      <c r="M1827" t="inlineStr">
        <is>
          <t>UNKNOWN</t>
        </is>
      </c>
      <c r="N1827" t="inlineStr">
        <is>
          <t>DEFAULT</t>
        </is>
      </c>
      <c r="Q1827" t="n">
        <v>0</v>
      </c>
      <c r="R1827" t="inlineStr">
        <is>
          <t>AUD</t>
        </is>
      </c>
      <c r="S1827" t="n">
        <v>0</v>
      </c>
      <c r="T1827" t="inlineStr">
        <is>
          <t>AUD</t>
        </is>
      </c>
      <c r="U1827" t="n">
        <v>0</v>
      </c>
    </row>
    <row r="1828">
      <c r="A1828" s="5" t="inlineStr">
        <is>
          <t>01a1212c-6200-738b-9faa-533f52e74784</t>
        </is>
      </c>
      <c r="C1828" s="5" t="inlineStr">
        <is>
          <t>01a1212c-4b57-70cf-80fd-c2192cb3bf81</t>
        </is>
      </c>
      <c r="D1828" s="4" t="n">
        <v>46304.62406519647</v>
      </c>
      <c r="E1828" s="4" t="n">
        <v>46304.62406519655</v>
      </c>
      <c r="F1828" t="b">
        <v>1</v>
      </c>
      <c r="G1828" t="n">
        <v/>
      </c>
      <c r="H1828" t="inlineStr">
        <is>
          <t>BMG</t>
        </is>
      </c>
      <c r="I1828" t="inlineStr">
        <is>
          <t>BMG Resources Ltd</t>
        </is>
      </c>
      <c r="J1828" t="inlineStr">
        <is>
          <t>AUD</t>
        </is>
      </c>
      <c r="K1828" s="5" t="inlineStr">
        <is>
          <t>01a1212c-4c04-75ce-bbb2-e3322e18816e</t>
        </is>
      </c>
      <c r="M1828" t="inlineStr">
        <is>
          <t>UNKNOWN</t>
        </is>
      </c>
      <c r="N1828" t="inlineStr">
        <is>
          <t>DEFAULT</t>
        </is>
      </c>
      <c r="Q1828" t="n">
        <v>0</v>
      </c>
      <c r="R1828" t="inlineStr">
        <is>
          <t>AUD</t>
        </is>
      </c>
      <c r="S1828" t="n">
        <v>0</v>
      </c>
      <c r="T1828" t="inlineStr">
        <is>
          <t>AUD</t>
        </is>
      </c>
      <c r="U1828" t="n">
        <v>0</v>
      </c>
    </row>
    <row r="1829">
      <c r="A1829" s="5" t="inlineStr">
        <is>
          <t>01a1212c-6203-70ec-8f75-ad6ec98e3f7c</t>
        </is>
      </c>
      <c r="C1829" s="5" t="inlineStr">
        <is>
          <t>01a1212c-4b57-70cf-80fd-c2192cb3bf81</t>
        </is>
      </c>
      <c r="D1829" s="4" t="n">
        <v>46304.62406522948</v>
      </c>
      <c r="E1829" s="4" t="n">
        <v>46304.62406522956</v>
      </c>
      <c r="F1829" t="b">
        <v>1</v>
      </c>
      <c r="G1829" t="n">
        <v/>
      </c>
      <c r="H1829" t="inlineStr">
        <is>
          <t>KM1</t>
        </is>
      </c>
      <c r="I1829" t="inlineStr">
        <is>
          <t>Kali Metals Ltd</t>
        </is>
      </c>
      <c r="J1829" t="inlineStr">
        <is>
          <t>AUD</t>
        </is>
      </c>
      <c r="K1829" s="5" t="inlineStr">
        <is>
          <t>01a1212c-4c04-75ce-bbb2-e3322e18816e</t>
        </is>
      </c>
      <c r="M1829" t="inlineStr">
        <is>
          <t>UNKNOWN</t>
        </is>
      </c>
      <c r="N1829" t="inlineStr">
        <is>
          <t>DEFAULT</t>
        </is>
      </c>
      <c r="Q1829" t="n">
        <v>0</v>
      </c>
      <c r="R1829" t="inlineStr">
        <is>
          <t>AUD</t>
        </is>
      </c>
      <c r="S1829" t="n">
        <v>0</v>
      </c>
      <c r="T1829" t="inlineStr">
        <is>
          <t>AUD</t>
        </is>
      </c>
      <c r="U1829" t="n">
        <v>0</v>
      </c>
    </row>
    <row r="1830">
      <c r="A1830" s="5" t="inlineStr">
        <is>
          <t>01a1212c-6206-706c-9ac4-5e47c51272b5</t>
        </is>
      </c>
      <c r="C1830" s="5" t="inlineStr">
        <is>
          <t>01a1212c-4b57-70cf-80fd-c2192cb3bf81</t>
        </is>
      </c>
      <c r="D1830" s="4" t="n">
        <v>46304.62406526169</v>
      </c>
      <c r="E1830" s="4" t="n">
        <v>46304.62406526177</v>
      </c>
      <c r="F1830" t="b">
        <v>1</v>
      </c>
      <c r="G1830" t="n">
        <v/>
      </c>
      <c r="H1830" t="inlineStr">
        <is>
          <t>COY</t>
        </is>
      </c>
      <c r="I1830" t="inlineStr">
        <is>
          <t>Coppermoly Ltd</t>
        </is>
      </c>
      <c r="J1830" t="inlineStr">
        <is>
          <t>AUD</t>
        </is>
      </c>
      <c r="K1830" s="5" t="inlineStr">
        <is>
          <t>01a1212c-4c04-75ce-bbb2-e3322e18816e</t>
        </is>
      </c>
      <c r="M1830" t="inlineStr">
        <is>
          <t>UNKNOWN</t>
        </is>
      </c>
      <c r="N1830" t="inlineStr">
        <is>
          <t>DEFAULT</t>
        </is>
      </c>
      <c r="Q1830" t="n">
        <v>0</v>
      </c>
      <c r="R1830" t="inlineStr">
        <is>
          <t>AUD</t>
        </is>
      </c>
      <c r="S1830" t="n">
        <v>0</v>
      </c>
      <c r="T1830" t="inlineStr">
        <is>
          <t>AUD</t>
        </is>
      </c>
      <c r="U1830" t="n">
        <v>0</v>
      </c>
    </row>
    <row r="1831">
      <c r="A1831" s="5" t="inlineStr">
        <is>
          <t>01a1212c-6209-7582-ae4c-09345e407bee</t>
        </is>
      </c>
      <c r="C1831" s="5" t="inlineStr">
        <is>
          <t>01a1212c-4b57-70cf-80fd-c2192cb3bf81</t>
        </is>
      </c>
      <c r="D1831" s="4" t="n">
        <v>46304.62406529369</v>
      </c>
      <c r="E1831" s="4" t="n">
        <v>46304.62406529376</v>
      </c>
      <c r="F1831" t="b">
        <v>1</v>
      </c>
      <c r="G1831" t="n">
        <v/>
      </c>
      <c r="H1831" t="inlineStr">
        <is>
          <t>AQX</t>
        </is>
      </c>
      <c r="I1831" t="inlineStr">
        <is>
          <t>Alice QUEEN Ltd</t>
        </is>
      </c>
      <c r="J1831" t="inlineStr">
        <is>
          <t>AUD</t>
        </is>
      </c>
      <c r="K1831" s="5" t="inlineStr">
        <is>
          <t>01a1212c-4c04-75ce-bbb2-e3322e18816e</t>
        </is>
      </c>
      <c r="M1831" t="inlineStr">
        <is>
          <t>UNKNOWN</t>
        </is>
      </c>
      <c r="N1831" t="inlineStr">
        <is>
          <t>DEFAULT</t>
        </is>
      </c>
      <c r="Q1831" t="n">
        <v>0</v>
      </c>
      <c r="R1831" t="inlineStr">
        <is>
          <t>AUD</t>
        </is>
      </c>
      <c r="S1831" t="n">
        <v>0</v>
      </c>
      <c r="T1831" t="inlineStr">
        <is>
          <t>AUD</t>
        </is>
      </c>
      <c r="U1831" t="n">
        <v>0</v>
      </c>
    </row>
    <row r="1832">
      <c r="A1832" s="5" t="inlineStr">
        <is>
          <t>01a1212c-620b-720d-99ba-4170c72d5ef6</t>
        </is>
      </c>
      <c r="C1832" s="5" t="inlineStr">
        <is>
          <t>01a1212c-4b57-70cf-80fd-c2192cb3bf81</t>
        </is>
      </c>
      <c r="D1832" s="4" t="n">
        <v>46304.62406532488</v>
      </c>
      <c r="E1832" s="4" t="n">
        <v>46304.62406532494</v>
      </c>
      <c r="F1832" t="b">
        <v>1</v>
      </c>
      <c r="G1832" t="n">
        <v/>
      </c>
      <c r="H1832" t="inlineStr">
        <is>
          <t>OLL</t>
        </is>
      </c>
      <c r="I1832" t="inlineStr">
        <is>
          <t>Openlearning Ltd</t>
        </is>
      </c>
      <c r="J1832" t="inlineStr">
        <is>
          <t>AUD</t>
        </is>
      </c>
      <c r="K1832" s="5" t="inlineStr">
        <is>
          <t>01a1212c-4c04-75ce-bbb2-e3322e18816e</t>
        </is>
      </c>
      <c r="M1832" t="inlineStr">
        <is>
          <t>UNKNOWN</t>
        </is>
      </c>
      <c r="N1832" t="inlineStr">
        <is>
          <t>DEFAULT</t>
        </is>
      </c>
      <c r="Q1832" t="n">
        <v>0</v>
      </c>
      <c r="R1832" t="inlineStr">
        <is>
          <t>AUD</t>
        </is>
      </c>
      <c r="S1832" t="n">
        <v>0</v>
      </c>
      <c r="T1832" t="inlineStr">
        <is>
          <t>AUD</t>
        </is>
      </c>
      <c r="U1832" t="n">
        <v>0</v>
      </c>
    </row>
    <row r="1833">
      <c r="A1833" s="5" t="inlineStr">
        <is>
          <t>01a1212c-620e-71d2-83a5-7a0b6b093d60</t>
        </is>
      </c>
      <c r="C1833" s="5" t="inlineStr">
        <is>
          <t>01a1212c-4b57-70cf-80fd-c2192cb3bf81</t>
        </is>
      </c>
      <c r="D1833" s="4" t="n">
        <v>46304.62406535564</v>
      </c>
      <c r="E1833" s="4" t="n">
        <v>46304.6240653557</v>
      </c>
      <c r="F1833" t="b">
        <v>1</v>
      </c>
      <c r="G1833" t="n">
        <v/>
      </c>
      <c r="H1833" t="inlineStr">
        <is>
          <t>MMR</t>
        </is>
      </c>
      <c r="I1833" t="inlineStr">
        <is>
          <t>Mec Resources Ltd</t>
        </is>
      </c>
      <c r="J1833" t="inlineStr">
        <is>
          <t>AUD</t>
        </is>
      </c>
      <c r="K1833" s="5" t="inlineStr">
        <is>
          <t>01a1212c-4c04-75ce-bbb2-e3322e18816e</t>
        </is>
      </c>
      <c r="M1833" t="inlineStr">
        <is>
          <t>UNKNOWN</t>
        </is>
      </c>
      <c r="N1833" t="inlineStr">
        <is>
          <t>DEFAULT</t>
        </is>
      </c>
      <c r="Q1833" t="n">
        <v>0</v>
      </c>
      <c r="R1833" t="inlineStr">
        <is>
          <t>AUD</t>
        </is>
      </c>
      <c r="S1833" t="n">
        <v>0</v>
      </c>
      <c r="T1833" t="inlineStr">
        <is>
          <t>AUD</t>
        </is>
      </c>
      <c r="U1833" t="n">
        <v>0</v>
      </c>
    </row>
    <row r="1834">
      <c r="A1834" s="5" t="inlineStr">
        <is>
          <t>01a1212c-6211-7154-bd1e-467d2bee4cbf</t>
        </is>
      </c>
      <c r="C1834" s="5" t="inlineStr">
        <is>
          <t>01a1212c-4b57-70cf-80fd-c2192cb3bf81</t>
        </is>
      </c>
      <c r="D1834" s="4" t="n">
        <v>46304.62406538875</v>
      </c>
      <c r="E1834" s="4" t="n">
        <v>46304.62406538883</v>
      </c>
      <c r="F1834" t="b">
        <v>1</v>
      </c>
      <c r="G1834" t="n">
        <v/>
      </c>
      <c r="H1834" t="inlineStr">
        <is>
          <t>GMN</t>
        </is>
      </c>
      <c r="I1834" t="inlineStr">
        <is>
          <t>Gold Mountain Ltd</t>
        </is>
      </c>
      <c r="J1834" t="inlineStr">
        <is>
          <t>AUD</t>
        </is>
      </c>
      <c r="K1834" s="5" t="inlineStr">
        <is>
          <t>01a1212c-4c04-75ce-bbb2-e3322e18816e</t>
        </is>
      </c>
      <c r="M1834" t="inlineStr">
        <is>
          <t>UNKNOWN</t>
        </is>
      </c>
      <c r="N1834" t="inlineStr">
        <is>
          <t>DEFAULT</t>
        </is>
      </c>
      <c r="Q1834" t="n">
        <v>0</v>
      </c>
      <c r="R1834" t="inlineStr">
        <is>
          <t>AUD</t>
        </is>
      </c>
      <c r="S1834" t="n">
        <v>0</v>
      </c>
      <c r="T1834" t="inlineStr">
        <is>
          <t>AUD</t>
        </is>
      </c>
      <c r="U1834" t="n">
        <v>0</v>
      </c>
    </row>
    <row r="1835">
      <c r="A1835" s="5" t="inlineStr">
        <is>
          <t>01a1212c-6214-75b1-aadf-7b5996dd6187</t>
        </is>
      </c>
      <c r="C1835" s="5" t="inlineStr">
        <is>
          <t>01a1212c-4b57-70cf-80fd-c2192cb3bf81</t>
        </is>
      </c>
      <c r="D1835" s="4" t="n">
        <v>46304.62406542051</v>
      </c>
      <c r="E1835" s="4" t="n">
        <v>46304.62406542059</v>
      </c>
      <c r="F1835" t="b">
        <v>1</v>
      </c>
      <c r="G1835" t="n">
        <v/>
      </c>
      <c r="H1835" t="inlineStr">
        <is>
          <t>NSX</t>
        </is>
      </c>
      <c r="I1835" t="inlineStr">
        <is>
          <t>NSX Ltd</t>
        </is>
      </c>
      <c r="J1835" t="inlineStr">
        <is>
          <t>AUD</t>
        </is>
      </c>
      <c r="K1835" s="5" t="inlineStr">
        <is>
          <t>01a1212c-4c04-75ce-bbb2-e3322e18816e</t>
        </is>
      </c>
      <c r="M1835" t="inlineStr">
        <is>
          <t>UNKNOWN</t>
        </is>
      </c>
      <c r="N1835" t="inlineStr">
        <is>
          <t>DEFAULT</t>
        </is>
      </c>
      <c r="Q1835" t="n">
        <v>0</v>
      </c>
      <c r="R1835" t="inlineStr">
        <is>
          <t>AUD</t>
        </is>
      </c>
      <c r="S1835" t="n">
        <v>0</v>
      </c>
      <c r="T1835" t="inlineStr">
        <is>
          <t>AUD</t>
        </is>
      </c>
      <c r="U1835" t="n">
        <v>0</v>
      </c>
    </row>
    <row r="1836">
      <c r="A1836" s="5" t="inlineStr">
        <is>
          <t>01a1212c-6217-774a-89e7-7b3264875473</t>
        </is>
      </c>
      <c r="C1836" s="5" t="inlineStr">
        <is>
          <t>01a1212c-4b57-70cf-80fd-c2192cb3bf81</t>
        </is>
      </c>
      <c r="D1836" s="4" t="n">
        <v>46304.62406545296</v>
      </c>
      <c r="E1836" s="4" t="n">
        <v>46304.62406545303</v>
      </c>
      <c r="F1836" t="b">
        <v>1</v>
      </c>
      <c r="G1836" t="n">
        <v/>
      </c>
      <c r="H1836" t="inlineStr">
        <is>
          <t>GW1</t>
        </is>
      </c>
      <c r="I1836" t="inlineStr">
        <is>
          <t>Greenwing Resources Ltd</t>
        </is>
      </c>
      <c r="J1836" t="inlineStr">
        <is>
          <t>AUD</t>
        </is>
      </c>
      <c r="K1836" s="5" t="inlineStr">
        <is>
          <t>01a1212c-4c04-75ce-bbb2-e3322e18816e</t>
        </is>
      </c>
      <c r="M1836" t="inlineStr">
        <is>
          <t>UNKNOWN</t>
        </is>
      </c>
      <c r="N1836" t="inlineStr">
        <is>
          <t>DEFAULT</t>
        </is>
      </c>
      <c r="Q1836" t="n">
        <v>0</v>
      </c>
      <c r="R1836" t="inlineStr">
        <is>
          <t>AUD</t>
        </is>
      </c>
      <c r="S1836" t="n">
        <v>0</v>
      </c>
      <c r="T1836" t="inlineStr">
        <is>
          <t>AUD</t>
        </is>
      </c>
      <c r="U1836" t="n">
        <v>0</v>
      </c>
    </row>
    <row r="1837">
      <c r="A1837" s="5" t="inlineStr">
        <is>
          <t>01a1212c-6219-7142-bd40-8c13d5b46300</t>
        </is>
      </c>
      <c r="C1837" s="5" t="inlineStr">
        <is>
          <t>01a1212c-4b57-70cf-80fd-c2192cb3bf81</t>
        </is>
      </c>
      <c r="D1837" s="4" t="n">
        <v>46304.62406548427</v>
      </c>
      <c r="E1837" s="4" t="n">
        <v>46304.62406548434</v>
      </c>
      <c r="F1837" t="b">
        <v>1</v>
      </c>
      <c r="G1837" t="n">
        <v/>
      </c>
      <c r="H1837" t="inlineStr">
        <is>
          <t>KLI</t>
        </is>
      </c>
      <c r="I1837" t="inlineStr">
        <is>
          <t>Killi Resources Ltd</t>
        </is>
      </c>
      <c r="J1837" t="inlineStr">
        <is>
          <t>AUD</t>
        </is>
      </c>
      <c r="K1837" s="5" t="inlineStr">
        <is>
          <t>01a1212c-4c04-75ce-bbb2-e3322e18816e</t>
        </is>
      </c>
      <c r="M1837" t="inlineStr">
        <is>
          <t>UNKNOWN</t>
        </is>
      </c>
      <c r="N1837" t="inlineStr">
        <is>
          <t>DEFAULT</t>
        </is>
      </c>
      <c r="Q1837" t="n">
        <v>0</v>
      </c>
      <c r="R1837" t="inlineStr">
        <is>
          <t>AUD</t>
        </is>
      </c>
      <c r="S1837" t="n">
        <v>0</v>
      </c>
      <c r="T1837" t="inlineStr">
        <is>
          <t>AUD</t>
        </is>
      </c>
      <c r="U1837" t="n">
        <v>0</v>
      </c>
    </row>
    <row r="1838">
      <c r="A1838" s="5" t="inlineStr">
        <is>
          <t>01a1212c-621c-7674-9078-727cae06f081</t>
        </is>
      </c>
      <c r="C1838" s="5" t="inlineStr">
        <is>
          <t>01a1212c-4b57-70cf-80fd-c2192cb3bf81</t>
        </is>
      </c>
      <c r="D1838" s="4" t="n">
        <v>46304.62406551716</v>
      </c>
      <c r="E1838" s="4" t="n">
        <v>46304.62406551724</v>
      </c>
      <c r="F1838" t="b">
        <v>1</v>
      </c>
      <c r="G1838" t="n">
        <v/>
      </c>
      <c r="H1838" t="inlineStr">
        <is>
          <t>CAG</t>
        </is>
      </c>
      <c r="I1838" t="inlineStr">
        <is>
          <t>Cape Range Ltd</t>
        </is>
      </c>
      <c r="J1838" t="inlineStr">
        <is>
          <t>AUD</t>
        </is>
      </c>
      <c r="K1838" s="5" t="inlineStr">
        <is>
          <t>01a1212c-4c04-75ce-bbb2-e3322e18816e</t>
        </is>
      </c>
      <c r="M1838" t="inlineStr">
        <is>
          <t>UNKNOWN</t>
        </is>
      </c>
      <c r="N1838" t="inlineStr">
        <is>
          <t>DEFAULT</t>
        </is>
      </c>
      <c r="Q1838" t="n">
        <v>0</v>
      </c>
      <c r="R1838" t="inlineStr">
        <is>
          <t>AUD</t>
        </is>
      </c>
      <c r="S1838" t="n">
        <v>0</v>
      </c>
      <c r="T1838" t="inlineStr">
        <is>
          <t>AUD</t>
        </is>
      </c>
      <c r="U1838" t="n">
        <v>0</v>
      </c>
    </row>
    <row r="1839">
      <c r="A1839" s="5" t="inlineStr">
        <is>
          <t>01a1212c-621f-739c-bdb6-7a54676dec55</t>
        </is>
      </c>
      <c r="C1839" s="5" t="inlineStr">
        <is>
          <t>01a1212c-4b57-70cf-80fd-c2192cb3bf81</t>
        </is>
      </c>
      <c r="D1839" s="4" t="n">
        <v>46304.62406554804</v>
      </c>
      <c r="E1839" s="4" t="n">
        <v>46304.6240655481</v>
      </c>
      <c r="F1839" t="b">
        <v>1</v>
      </c>
      <c r="G1839" t="n">
        <v/>
      </c>
      <c r="H1839" t="inlineStr">
        <is>
          <t>KNG</t>
        </is>
      </c>
      <c r="I1839" t="inlineStr">
        <is>
          <t>Kingsland Minerals Ltd</t>
        </is>
      </c>
      <c r="J1839" t="inlineStr">
        <is>
          <t>AUD</t>
        </is>
      </c>
      <c r="K1839" s="5" t="inlineStr">
        <is>
          <t>01a1212c-4c04-75ce-bbb2-e3322e18816e</t>
        </is>
      </c>
      <c r="M1839" t="inlineStr">
        <is>
          <t>UNKNOWN</t>
        </is>
      </c>
      <c r="N1839" t="inlineStr">
        <is>
          <t>DEFAULT</t>
        </is>
      </c>
      <c r="Q1839" t="n">
        <v>0</v>
      </c>
      <c r="R1839" t="inlineStr">
        <is>
          <t>AUD</t>
        </is>
      </c>
      <c r="S1839" t="n">
        <v>0</v>
      </c>
      <c r="T1839" t="inlineStr">
        <is>
          <t>AUD</t>
        </is>
      </c>
      <c r="U1839" t="n">
        <v>0</v>
      </c>
    </row>
    <row r="1840">
      <c r="A1840" s="5" t="inlineStr">
        <is>
          <t>01a1212c-6221-7346-8b72-1e9eb2ec074a</t>
        </is>
      </c>
      <c r="C1840" s="5" t="inlineStr">
        <is>
          <t>01a1212c-4b57-70cf-80fd-c2192cb3bf81</t>
        </is>
      </c>
      <c r="D1840" s="4" t="n">
        <v>46304.62406557881</v>
      </c>
      <c r="E1840" s="4" t="n">
        <v>46304.62406557888</v>
      </c>
      <c r="F1840" t="b">
        <v>1</v>
      </c>
      <c r="G1840" t="n">
        <v/>
      </c>
      <c r="H1840" t="inlineStr">
        <is>
          <t>ADV</t>
        </is>
      </c>
      <c r="I1840" t="inlineStr">
        <is>
          <t>Ardiden Ltd</t>
        </is>
      </c>
      <c r="J1840" t="inlineStr">
        <is>
          <t>AUD</t>
        </is>
      </c>
      <c r="K1840" s="5" t="inlineStr">
        <is>
          <t>01a1212c-4c04-75ce-bbb2-e3322e18816e</t>
        </is>
      </c>
      <c r="M1840" t="inlineStr">
        <is>
          <t>UNKNOWN</t>
        </is>
      </c>
      <c r="N1840" t="inlineStr">
        <is>
          <t>DEFAULT</t>
        </is>
      </c>
      <c r="Q1840" t="n">
        <v>0</v>
      </c>
      <c r="R1840" t="inlineStr">
        <is>
          <t>AUD</t>
        </is>
      </c>
      <c r="S1840" t="n">
        <v>0</v>
      </c>
      <c r="T1840" t="inlineStr">
        <is>
          <t>AUD</t>
        </is>
      </c>
      <c r="U1840" t="n">
        <v>0</v>
      </c>
    </row>
    <row r="1841">
      <c r="A1841" s="5" t="inlineStr">
        <is>
          <t>01a1212c-6224-76c3-875f-9145f960e6c7</t>
        </is>
      </c>
      <c r="C1841" s="5" t="inlineStr">
        <is>
          <t>01a1212c-4b57-70cf-80fd-c2192cb3bf81</t>
        </is>
      </c>
      <c r="D1841" s="4" t="n">
        <v>46304.62406561152</v>
      </c>
      <c r="E1841" s="4" t="n">
        <v>46304.62406561161</v>
      </c>
      <c r="F1841" t="b">
        <v>1</v>
      </c>
      <c r="G1841" t="n">
        <v/>
      </c>
      <c r="H1841" t="inlineStr">
        <is>
          <t>BDT</t>
        </is>
      </c>
      <c r="I1841" t="inlineStr">
        <is>
          <t>Birddog Technology Ltd</t>
        </is>
      </c>
      <c r="J1841" t="inlineStr">
        <is>
          <t>AUD</t>
        </is>
      </c>
      <c r="K1841" s="5" t="inlineStr">
        <is>
          <t>01a1212c-4c04-75ce-bbb2-e3322e18816e</t>
        </is>
      </c>
      <c r="M1841" t="inlineStr">
        <is>
          <t>UNKNOWN</t>
        </is>
      </c>
      <c r="N1841" t="inlineStr">
        <is>
          <t>DEFAULT</t>
        </is>
      </c>
      <c r="Q1841" t="n">
        <v>0</v>
      </c>
      <c r="R1841" t="inlineStr">
        <is>
          <t>AUD</t>
        </is>
      </c>
      <c r="S1841" t="n">
        <v>0</v>
      </c>
      <c r="T1841" t="inlineStr">
        <is>
          <t>AUD</t>
        </is>
      </c>
      <c r="U1841" t="n">
        <v>0</v>
      </c>
    </row>
    <row r="1842">
      <c r="A1842" s="5" t="inlineStr">
        <is>
          <t>01a1212c-6227-72f8-a8f5-ad450df7608a</t>
        </is>
      </c>
      <c r="C1842" s="5" t="inlineStr">
        <is>
          <t>01a1212c-4b57-70cf-80fd-c2192cb3bf81</t>
        </is>
      </c>
      <c r="D1842" s="4" t="n">
        <v>46304.62406564326</v>
      </c>
      <c r="E1842" s="4" t="n">
        <v>46304.62406564334</v>
      </c>
      <c r="F1842" t="b">
        <v>1</v>
      </c>
      <c r="G1842" t="n">
        <v/>
      </c>
      <c r="H1842" t="inlineStr">
        <is>
          <t>RRR</t>
        </is>
      </c>
      <c r="I1842" t="inlineStr">
        <is>
          <t>Revolver Resources Holdings Ltd</t>
        </is>
      </c>
      <c r="J1842" t="inlineStr">
        <is>
          <t>AUD</t>
        </is>
      </c>
      <c r="K1842" s="5" t="inlineStr">
        <is>
          <t>01a1212c-4c04-75ce-bbb2-e3322e18816e</t>
        </is>
      </c>
      <c r="M1842" t="inlineStr">
        <is>
          <t>UNKNOWN</t>
        </is>
      </c>
      <c r="N1842" t="inlineStr">
        <is>
          <t>DEFAULT</t>
        </is>
      </c>
      <c r="Q1842" t="n">
        <v>0</v>
      </c>
      <c r="R1842" t="inlineStr">
        <is>
          <t>AUD</t>
        </is>
      </c>
      <c r="S1842" t="n">
        <v>0</v>
      </c>
      <c r="T1842" t="inlineStr">
        <is>
          <t>AUD</t>
        </is>
      </c>
      <c r="U1842" t="n">
        <v>0</v>
      </c>
    </row>
    <row r="1843">
      <c r="A1843" s="5" t="inlineStr">
        <is>
          <t>01a1212c-622a-7753-9a03-f4ca5c04f485</t>
        </is>
      </c>
      <c r="C1843" s="5" t="inlineStr">
        <is>
          <t>01a1212c-4b57-70cf-80fd-c2192cb3bf81</t>
        </is>
      </c>
      <c r="D1843" s="4" t="n">
        <v>46304.62406567622</v>
      </c>
      <c r="E1843" s="4" t="n">
        <v>46304.6240656763</v>
      </c>
      <c r="F1843" t="b">
        <v>1</v>
      </c>
      <c r="G1843" t="n">
        <v/>
      </c>
      <c r="H1843" t="inlineStr">
        <is>
          <t>CTO</t>
        </is>
      </c>
      <c r="I1843" t="inlineStr">
        <is>
          <t>Citigold Corporation Ltd</t>
        </is>
      </c>
      <c r="J1843" t="inlineStr">
        <is>
          <t>AUD</t>
        </is>
      </c>
      <c r="K1843" s="5" t="inlineStr">
        <is>
          <t>01a1212c-4c04-75ce-bbb2-e3322e18816e</t>
        </is>
      </c>
      <c r="M1843" t="inlineStr">
        <is>
          <t>UNKNOWN</t>
        </is>
      </c>
      <c r="N1843" t="inlineStr">
        <is>
          <t>DEFAULT</t>
        </is>
      </c>
      <c r="Q1843" t="n">
        <v>0</v>
      </c>
      <c r="R1843" t="inlineStr">
        <is>
          <t>AUD</t>
        </is>
      </c>
      <c r="S1843" t="n">
        <v>0</v>
      </c>
      <c r="T1843" t="inlineStr">
        <is>
          <t>AUD</t>
        </is>
      </c>
      <c r="U1843" t="n">
        <v>0</v>
      </c>
    </row>
    <row r="1844">
      <c r="A1844" s="5" t="inlineStr">
        <is>
          <t>01a1212c-622c-746c-9171-1bdc292f7689</t>
        </is>
      </c>
      <c r="C1844" s="5" t="inlineStr">
        <is>
          <t>01a1212c-4b57-70cf-80fd-c2192cb3bf81</t>
        </is>
      </c>
      <c r="D1844" s="4" t="n">
        <v>46304.62406570712</v>
      </c>
      <c r="E1844" s="4" t="n">
        <v>46304.6240657072</v>
      </c>
      <c r="F1844" t="b">
        <v>1</v>
      </c>
      <c r="G1844" t="n">
        <v/>
      </c>
      <c r="H1844" t="inlineStr">
        <is>
          <t>GDM</t>
        </is>
      </c>
      <c r="I1844" t="inlineStr">
        <is>
          <t>Great Divide Mining Ltd</t>
        </is>
      </c>
      <c r="J1844" t="inlineStr">
        <is>
          <t>AUD</t>
        </is>
      </c>
      <c r="K1844" s="5" t="inlineStr">
        <is>
          <t>01a1212c-4c04-75ce-bbb2-e3322e18816e</t>
        </is>
      </c>
      <c r="M1844" t="inlineStr">
        <is>
          <t>UNKNOWN</t>
        </is>
      </c>
      <c r="N1844" t="inlineStr">
        <is>
          <t>DEFAULT</t>
        </is>
      </c>
      <c r="Q1844" t="n">
        <v>0</v>
      </c>
      <c r="R1844" t="inlineStr">
        <is>
          <t>AUD</t>
        </is>
      </c>
      <c r="S1844" t="n">
        <v>0</v>
      </c>
      <c r="T1844" t="inlineStr">
        <is>
          <t>AUD</t>
        </is>
      </c>
      <c r="U1844" t="n">
        <v>0</v>
      </c>
    </row>
    <row r="1845">
      <c r="A1845" s="5" t="inlineStr">
        <is>
          <t>01a1212c-622f-738f-99c6-4f4e604d6553</t>
        </is>
      </c>
      <c r="C1845" s="5" t="inlineStr">
        <is>
          <t>01a1212c-4b57-70cf-80fd-c2192cb3bf81</t>
        </is>
      </c>
      <c r="D1845" s="4" t="n">
        <v>46304.62406573799</v>
      </c>
      <c r="E1845" s="4" t="n">
        <v>46304.62406573805</v>
      </c>
      <c r="F1845" t="b">
        <v>1</v>
      </c>
      <c r="G1845" t="n">
        <v/>
      </c>
      <c r="H1845" t="inlineStr">
        <is>
          <t>GML</t>
        </is>
      </c>
      <c r="I1845" t="inlineStr">
        <is>
          <t>Gateway Mining Ltd</t>
        </is>
      </c>
      <c r="J1845" t="inlineStr">
        <is>
          <t>AUD</t>
        </is>
      </c>
      <c r="K1845" s="5" t="inlineStr">
        <is>
          <t>01a1212c-4c04-75ce-bbb2-e3322e18816e</t>
        </is>
      </c>
      <c r="M1845" t="inlineStr">
        <is>
          <t>UNKNOWN</t>
        </is>
      </c>
      <c r="N1845" t="inlineStr">
        <is>
          <t>DEFAULT</t>
        </is>
      </c>
      <c r="Q1845" t="n">
        <v>0</v>
      </c>
      <c r="R1845" t="inlineStr">
        <is>
          <t>AUD</t>
        </is>
      </c>
      <c r="S1845" t="n">
        <v>0</v>
      </c>
      <c r="T1845" t="inlineStr">
        <is>
          <t>AUD</t>
        </is>
      </c>
      <c r="U1845" t="n">
        <v>0</v>
      </c>
    </row>
    <row r="1846">
      <c r="A1846" s="5" t="inlineStr">
        <is>
          <t>01a1212c-6232-746d-a264-a7668d4db3d0</t>
        </is>
      </c>
      <c r="C1846" s="5" t="inlineStr">
        <is>
          <t>01a1212c-4b57-70cf-80fd-c2192cb3bf81</t>
        </is>
      </c>
      <c r="D1846" s="4" t="n">
        <v>46304.62406576893</v>
      </c>
      <c r="E1846" s="4" t="n">
        <v>46304.62406576899</v>
      </c>
      <c r="F1846" t="b">
        <v>1</v>
      </c>
      <c r="G1846" t="n">
        <v/>
      </c>
      <c r="H1846" t="inlineStr">
        <is>
          <t>L1M</t>
        </is>
      </c>
      <c r="I1846" t="inlineStr">
        <is>
          <t>Lightning Minerals Ltd</t>
        </is>
      </c>
      <c r="J1846" t="inlineStr">
        <is>
          <t>AUD</t>
        </is>
      </c>
      <c r="K1846" s="5" t="inlineStr">
        <is>
          <t>01a1212c-4c04-75ce-bbb2-e3322e18816e</t>
        </is>
      </c>
      <c r="M1846" t="inlineStr">
        <is>
          <t>UNKNOWN</t>
        </is>
      </c>
      <c r="N1846" t="inlineStr">
        <is>
          <t>DEFAULT</t>
        </is>
      </c>
      <c r="Q1846" t="n">
        <v>0</v>
      </c>
      <c r="R1846" t="inlineStr">
        <is>
          <t>AUD</t>
        </is>
      </c>
      <c r="S1846" t="n">
        <v>0</v>
      </c>
      <c r="T1846" t="inlineStr">
        <is>
          <t>AUD</t>
        </is>
      </c>
      <c r="U1846" t="n">
        <v>0</v>
      </c>
    </row>
    <row r="1847">
      <c r="A1847" s="5" t="inlineStr">
        <is>
          <t>01a1212c-6235-7372-9175-69600199298f</t>
        </is>
      </c>
      <c r="C1847" s="5" t="inlineStr">
        <is>
          <t>01a1212c-4b57-70cf-80fd-c2192cb3bf81</t>
        </is>
      </c>
      <c r="D1847" s="4" t="n">
        <v>46304.624065803</v>
      </c>
      <c r="E1847" s="4" t="n">
        <v>46304.62406580309</v>
      </c>
      <c r="F1847" t="b">
        <v>1</v>
      </c>
      <c r="G1847" t="n">
        <v/>
      </c>
      <c r="H1847" t="inlineStr">
        <is>
          <t>ATV</t>
        </is>
      </c>
      <c r="I1847" t="inlineStr">
        <is>
          <t>Activeport Group Ltd</t>
        </is>
      </c>
      <c r="J1847" t="inlineStr">
        <is>
          <t>AUD</t>
        </is>
      </c>
      <c r="K1847" s="5" t="inlineStr">
        <is>
          <t>01a1212c-4c04-75ce-bbb2-e3322e18816e</t>
        </is>
      </c>
      <c r="M1847" t="inlineStr">
        <is>
          <t>UNKNOWN</t>
        </is>
      </c>
      <c r="N1847" t="inlineStr">
        <is>
          <t>DEFAULT</t>
        </is>
      </c>
      <c r="Q1847" t="n">
        <v>0</v>
      </c>
      <c r="R1847" t="inlineStr">
        <is>
          <t>AUD</t>
        </is>
      </c>
      <c r="S1847" t="n">
        <v>0</v>
      </c>
      <c r="T1847" t="inlineStr">
        <is>
          <t>AUD</t>
        </is>
      </c>
      <c r="U1847" t="n">
        <v>0</v>
      </c>
    </row>
    <row r="1848">
      <c r="A1848" s="5" t="inlineStr">
        <is>
          <t>01a1212c-6238-711f-8d48-e3ef172fdcb6</t>
        </is>
      </c>
      <c r="C1848" s="5" t="inlineStr">
        <is>
          <t>01a1212c-4b57-70cf-80fd-c2192cb3bf81</t>
        </is>
      </c>
      <c r="D1848" s="4" t="n">
        <v>46304.62406583524</v>
      </c>
      <c r="E1848" s="4" t="n">
        <v>46304.62406583533</v>
      </c>
      <c r="F1848" t="b">
        <v>1</v>
      </c>
      <c r="G1848" t="n">
        <v/>
      </c>
      <c r="H1848" t="inlineStr">
        <is>
          <t>T88</t>
        </is>
      </c>
      <c r="I1848" t="inlineStr">
        <is>
          <t>Taiton Resources Ltd</t>
        </is>
      </c>
      <c r="J1848" t="inlineStr">
        <is>
          <t>AUD</t>
        </is>
      </c>
      <c r="K1848" s="5" t="inlineStr">
        <is>
          <t>01a1212c-4c04-75ce-bbb2-e3322e18816e</t>
        </is>
      </c>
      <c r="M1848" t="inlineStr">
        <is>
          <t>UNKNOWN</t>
        </is>
      </c>
      <c r="N1848" t="inlineStr">
        <is>
          <t>DEFAULT</t>
        </is>
      </c>
      <c r="Q1848" t="n">
        <v>0</v>
      </c>
      <c r="R1848" t="inlineStr">
        <is>
          <t>AUD</t>
        </is>
      </c>
      <c r="S1848" t="n">
        <v>0</v>
      </c>
      <c r="T1848" t="inlineStr">
        <is>
          <t>AUD</t>
        </is>
      </c>
      <c r="U1848" t="n">
        <v>0</v>
      </c>
    </row>
    <row r="1849">
      <c r="A1849" s="5" t="inlineStr">
        <is>
          <t>01a1212c-623a-7553-9dfa-f30f0084adb6</t>
        </is>
      </c>
      <c r="C1849" s="5" t="inlineStr">
        <is>
          <t>01a1212c-4b57-70cf-80fd-c2192cb3bf81</t>
        </is>
      </c>
      <c r="D1849" s="4" t="n">
        <v>46304.6240658676</v>
      </c>
      <c r="E1849" s="4" t="n">
        <v>46304.62406586768</v>
      </c>
      <c r="F1849" t="b">
        <v>1</v>
      </c>
      <c r="G1849" t="n">
        <v/>
      </c>
      <c r="H1849" t="inlineStr">
        <is>
          <t>ZAG</t>
        </is>
      </c>
      <c r="I1849" t="inlineStr">
        <is>
          <t>Zuleika Gold Ltd</t>
        </is>
      </c>
      <c r="J1849" t="inlineStr">
        <is>
          <t>AUD</t>
        </is>
      </c>
      <c r="K1849" s="5" t="inlineStr">
        <is>
          <t>01a1212c-4c04-75ce-bbb2-e3322e18816e</t>
        </is>
      </c>
      <c r="M1849" t="inlineStr">
        <is>
          <t>UNKNOWN</t>
        </is>
      </c>
      <c r="N1849" t="inlineStr">
        <is>
          <t>DEFAULT</t>
        </is>
      </c>
      <c r="Q1849" t="n">
        <v>0</v>
      </c>
      <c r="R1849" t="inlineStr">
        <is>
          <t>AUD</t>
        </is>
      </c>
      <c r="S1849" t="n">
        <v>0</v>
      </c>
      <c r="T1849" t="inlineStr">
        <is>
          <t>AUD</t>
        </is>
      </c>
      <c r="U1849" t="n">
        <v>0</v>
      </c>
    </row>
    <row r="1850">
      <c r="A1850" s="5" t="inlineStr">
        <is>
          <t>01a1212c-623d-738b-be00-87275f461f90</t>
        </is>
      </c>
      <c r="C1850" s="5" t="inlineStr">
        <is>
          <t>01a1212c-4b57-70cf-80fd-c2192cb3bf81</t>
        </is>
      </c>
      <c r="D1850" s="4" t="n">
        <v>46304.62406589964</v>
      </c>
      <c r="E1850" s="4" t="n">
        <v>46304.62406589973</v>
      </c>
      <c r="F1850" t="b">
        <v>1</v>
      </c>
      <c r="G1850" t="n">
        <v/>
      </c>
      <c r="H1850" t="inlineStr">
        <is>
          <t>TG6</t>
        </is>
      </c>
      <c r="I1850" t="inlineStr">
        <is>
          <t>TG Metals Ltd</t>
        </is>
      </c>
      <c r="J1850" t="inlineStr">
        <is>
          <t>AUD</t>
        </is>
      </c>
      <c r="K1850" s="5" t="inlineStr">
        <is>
          <t>01a1212c-4c04-75ce-bbb2-e3322e18816e</t>
        </is>
      </c>
      <c r="M1850" t="inlineStr">
        <is>
          <t>UNKNOWN</t>
        </is>
      </c>
      <c r="N1850" t="inlineStr">
        <is>
          <t>DEFAULT</t>
        </is>
      </c>
      <c r="Q1850" t="n">
        <v>0</v>
      </c>
      <c r="R1850" t="inlineStr">
        <is>
          <t>AUD</t>
        </is>
      </c>
      <c r="S1850" t="n">
        <v>0</v>
      </c>
      <c r="T1850" t="inlineStr">
        <is>
          <t>AUD</t>
        </is>
      </c>
      <c r="U1850" t="n">
        <v>0</v>
      </c>
    </row>
    <row r="1851">
      <c r="A1851" s="5" t="inlineStr">
        <is>
          <t>01a1212c-6240-70a7-88d3-01b70fc189f2</t>
        </is>
      </c>
      <c r="C1851" s="5" t="inlineStr">
        <is>
          <t>01a1212c-4b57-70cf-80fd-c2192cb3bf81</t>
        </is>
      </c>
      <c r="D1851" s="4" t="n">
        <v>46304.62406593336</v>
      </c>
      <c r="E1851" s="4" t="n">
        <v>46304.62406593353</v>
      </c>
      <c r="F1851" t="b">
        <v>1</v>
      </c>
      <c r="G1851" t="n">
        <v/>
      </c>
      <c r="H1851" t="inlineStr">
        <is>
          <t>ZNO</t>
        </is>
      </c>
      <c r="I1851" t="inlineStr">
        <is>
          <t>ZOONO Group Ltd</t>
        </is>
      </c>
      <c r="J1851" t="inlineStr">
        <is>
          <t>AUD</t>
        </is>
      </c>
      <c r="K1851" s="5" t="inlineStr">
        <is>
          <t>01a1212c-4c04-75ce-bbb2-e3322e18816e</t>
        </is>
      </c>
      <c r="M1851" t="inlineStr">
        <is>
          <t>UNKNOWN</t>
        </is>
      </c>
      <c r="N1851" t="inlineStr">
        <is>
          <t>DEFAULT</t>
        </is>
      </c>
      <c r="Q1851" t="n">
        <v>0</v>
      </c>
      <c r="R1851" t="inlineStr">
        <is>
          <t>AUD</t>
        </is>
      </c>
      <c r="S1851" t="n">
        <v>0</v>
      </c>
      <c r="T1851" t="inlineStr">
        <is>
          <t>AUD</t>
        </is>
      </c>
      <c r="U1851" t="n">
        <v>0</v>
      </c>
    </row>
    <row r="1852">
      <c r="A1852" s="5" t="inlineStr">
        <is>
          <t>01a1212c-6243-727c-963a-8cafa3201c97</t>
        </is>
      </c>
      <c r="C1852" s="5" t="inlineStr">
        <is>
          <t>01a1212c-4b57-70cf-80fd-c2192cb3bf81</t>
        </is>
      </c>
      <c r="D1852" s="4" t="n">
        <v>46304.62406597262</v>
      </c>
      <c r="E1852" s="4" t="n">
        <v>46304.62406597276</v>
      </c>
      <c r="F1852" t="b">
        <v>1</v>
      </c>
      <c r="G1852" t="n">
        <v/>
      </c>
      <c r="H1852" t="inlineStr">
        <is>
          <t>BUR</t>
        </is>
      </c>
      <c r="I1852" t="inlineStr">
        <is>
          <t>Burley Minerals Ltd</t>
        </is>
      </c>
      <c r="J1852" t="inlineStr">
        <is>
          <t>AUD</t>
        </is>
      </c>
      <c r="K1852" s="5" t="inlineStr">
        <is>
          <t>01a1212c-4c04-75ce-bbb2-e3322e18816e</t>
        </is>
      </c>
      <c r="M1852" t="inlineStr">
        <is>
          <t>UNKNOWN</t>
        </is>
      </c>
      <c r="N1852" t="inlineStr">
        <is>
          <t>DEFAULT</t>
        </is>
      </c>
      <c r="Q1852" t="n">
        <v>0</v>
      </c>
      <c r="R1852" t="inlineStr">
        <is>
          <t>AUD</t>
        </is>
      </c>
      <c r="S1852" t="n">
        <v>0</v>
      </c>
      <c r="T1852" t="inlineStr">
        <is>
          <t>AUD</t>
        </is>
      </c>
      <c r="U1852" t="n">
        <v>0</v>
      </c>
    </row>
    <row r="1853">
      <c r="A1853" s="5" t="inlineStr">
        <is>
          <t>01a1212c-6246-77f0-af2d-55fb099580a4</t>
        </is>
      </c>
      <c r="C1853" s="5" t="inlineStr">
        <is>
          <t>01a1212c-4b57-70cf-80fd-c2192cb3bf81</t>
        </is>
      </c>
      <c r="D1853" s="4" t="n">
        <v>46304.62406600734</v>
      </c>
      <c r="E1853" s="4" t="n">
        <v>46304.62406600744</v>
      </c>
      <c r="F1853" t="b">
        <v>1</v>
      </c>
      <c r="G1853" t="n">
        <v/>
      </c>
      <c r="H1853" t="inlineStr">
        <is>
          <t>CRS</t>
        </is>
      </c>
      <c r="I1853" t="inlineStr">
        <is>
          <t>Caprice Resources Ltd</t>
        </is>
      </c>
      <c r="J1853" t="inlineStr">
        <is>
          <t>AUD</t>
        </is>
      </c>
      <c r="K1853" s="5" t="inlineStr">
        <is>
          <t>01a1212c-4c04-75ce-bbb2-e3322e18816e</t>
        </is>
      </c>
      <c r="M1853" t="inlineStr">
        <is>
          <t>UNKNOWN</t>
        </is>
      </c>
      <c r="N1853" t="inlineStr">
        <is>
          <t>DEFAULT</t>
        </is>
      </c>
      <c r="Q1853" t="n">
        <v>0</v>
      </c>
      <c r="R1853" t="inlineStr">
        <is>
          <t>AUD</t>
        </is>
      </c>
      <c r="S1853" t="n">
        <v>0</v>
      </c>
      <c r="T1853" t="inlineStr">
        <is>
          <t>AUD</t>
        </is>
      </c>
      <c r="U1853" t="n">
        <v>0</v>
      </c>
    </row>
    <row r="1854">
      <c r="A1854" s="5" t="inlineStr">
        <is>
          <t>01a1212c-6249-72bf-8568-cce0706754ed</t>
        </is>
      </c>
      <c r="C1854" s="5" t="inlineStr">
        <is>
          <t>01a1212c-4b57-70cf-80fd-c2192cb3bf81</t>
        </is>
      </c>
      <c r="D1854" s="4" t="n">
        <v>46304.62406604047</v>
      </c>
      <c r="E1854" s="4" t="n">
        <v>46304.62406604055</v>
      </c>
      <c r="F1854" t="b">
        <v>1</v>
      </c>
      <c r="G1854" t="n">
        <v/>
      </c>
      <c r="H1854" t="inlineStr">
        <is>
          <t>IND</t>
        </is>
      </c>
      <c r="I1854" t="inlineStr">
        <is>
          <t>Industrial Minerals Ltd</t>
        </is>
      </c>
      <c r="J1854" t="inlineStr">
        <is>
          <t>AUD</t>
        </is>
      </c>
      <c r="K1854" s="5" t="inlineStr">
        <is>
          <t>01a1212c-4c04-75ce-bbb2-e3322e18816e</t>
        </is>
      </c>
      <c r="M1854" t="inlineStr">
        <is>
          <t>UNKNOWN</t>
        </is>
      </c>
      <c r="N1854" t="inlineStr">
        <is>
          <t>DEFAULT</t>
        </is>
      </c>
      <c r="Q1854" t="n">
        <v>0</v>
      </c>
      <c r="R1854" t="inlineStr">
        <is>
          <t>AUD</t>
        </is>
      </c>
      <c r="S1854" t="n">
        <v>0</v>
      </c>
      <c r="T1854" t="inlineStr">
        <is>
          <t>AUD</t>
        </is>
      </c>
      <c r="U1854" t="n">
        <v>0</v>
      </c>
    </row>
    <row r="1855">
      <c r="A1855" s="5" t="inlineStr">
        <is>
          <t>01a1212c-624c-7552-822e-91ea6c0f38b5</t>
        </is>
      </c>
      <c r="C1855" s="5" t="inlineStr">
        <is>
          <t>01a1212c-4b57-70cf-80fd-c2192cb3bf81</t>
        </is>
      </c>
      <c r="D1855" s="4" t="n">
        <v>46304.62406607293</v>
      </c>
      <c r="E1855" s="4" t="n">
        <v>46304.62406607302</v>
      </c>
      <c r="F1855" t="b">
        <v>1</v>
      </c>
      <c r="G1855" t="n">
        <v/>
      </c>
      <c r="H1855" t="inlineStr">
        <is>
          <t>ANX</t>
        </is>
      </c>
      <c r="I1855" t="inlineStr">
        <is>
          <t>ANAX Metals Ltd</t>
        </is>
      </c>
      <c r="J1855" t="inlineStr">
        <is>
          <t>AUD</t>
        </is>
      </c>
      <c r="K1855" s="5" t="inlineStr">
        <is>
          <t>01a1212c-4c04-75ce-bbb2-e3322e18816e</t>
        </is>
      </c>
      <c r="M1855" t="inlineStr">
        <is>
          <t>UNKNOWN</t>
        </is>
      </c>
      <c r="N1855" t="inlineStr">
        <is>
          <t>DEFAULT</t>
        </is>
      </c>
      <c r="Q1855" t="n">
        <v>0</v>
      </c>
      <c r="R1855" t="inlineStr">
        <is>
          <t>AUD</t>
        </is>
      </c>
      <c r="S1855" t="n">
        <v>0</v>
      </c>
      <c r="T1855" t="inlineStr">
        <is>
          <t>AUD</t>
        </is>
      </c>
      <c r="U1855" t="n">
        <v>0</v>
      </c>
    </row>
    <row r="1856">
      <c r="A1856" s="5" t="inlineStr">
        <is>
          <t>01a1212c-624f-76b2-bcca-348e8c6a341b</t>
        </is>
      </c>
      <c r="C1856" s="5" t="inlineStr">
        <is>
          <t>01a1212c-4b57-70cf-80fd-c2192cb3bf81</t>
        </is>
      </c>
      <c r="D1856" s="4" t="n">
        <v>46304.62406611055</v>
      </c>
      <c r="E1856" s="4" t="n">
        <v>46304.62406611065</v>
      </c>
      <c r="F1856" t="b">
        <v>1</v>
      </c>
      <c r="G1856" t="n">
        <v/>
      </c>
      <c r="H1856" t="inlineStr">
        <is>
          <t>OD6</t>
        </is>
      </c>
      <c r="I1856" t="inlineStr">
        <is>
          <t>OD6 Metals Ltd</t>
        </is>
      </c>
      <c r="J1856" t="inlineStr">
        <is>
          <t>AUD</t>
        </is>
      </c>
      <c r="K1856" s="5" t="inlineStr">
        <is>
          <t>01a1212c-4c04-75ce-bbb2-e3322e18816e</t>
        </is>
      </c>
      <c r="M1856" t="inlineStr">
        <is>
          <t>UNKNOWN</t>
        </is>
      </c>
      <c r="N1856" t="inlineStr">
        <is>
          <t>DEFAULT</t>
        </is>
      </c>
      <c r="Q1856" t="n">
        <v>0</v>
      </c>
      <c r="R1856" t="inlineStr">
        <is>
          <t>AUD</t>
        </is>
      </c>
      <c r="S1856" t="n">
        <v>0</v>
      </c>
      <c r="T1856" t="inlineStr">
        <is>
          <t>AUD</t>
        </is>
      </c>
      <c r="U1856" t="n">
        <v>0</v>
      </c>
    </row>
    <row r="1857">
      <c r="A1857" s="5" t="inlineStr">
        <is>
          <t>01a1212c-6252-71f3-beb6-aff71ce3623d</t>
        </is>
      </c>
      <c r="C1857" s="5" t="inlineStr">
        <is>
          <t>01a1212c-4b57-70cf-80fd-c2192cb3bf81</t>
        </is>
      </c>
      <c r="D1857" s="4" t="n">
        <v>46304.62406614277</v>
      </c>
      <c r="E1857" s="4" t="n">
        <v>46304.62406614285</v>
      </c>
      <c r="F1857" t="b">
        <v>1</v>
      </c>
      <c r="G1857" t="n">
        <v/>
      </c>
      <c r="H1857" t="inlineStr">
        <is>
          <t>FLG</t>
        </is>
      </c>
      <c r="I1857" t="inlineStr">
        <is>
          <t>Flagship Minerals Ltd</t>
        </is>
      </c>
      <c r="J1857" t="inlineStr">
        <is>
          <t>AUD</t>
        </is>
      </c>
      <c r="K1857" s="5" t="inlineStr">
        <is>
          <t>01a1212c-4c04-75ce-bbb2-e3322e18816e</t>
        </is>
      </c>
      <c r="M1857" t="inlineStr">
        <is>
          <t>UNKNOWN</t>
        </is>
      </c>
      <c r="N1857" t="inlineStr">
        <is>
          <t>DEFAULT</t>
        </is>
      </c>
      <c r="Q1857" t="n">
        <v>0</v>
      </c>
      <c r="R1857" t="inlineStr">
        <is>
          <t>AUD</t>
        </is>
      </c>
      <c r="S1857" t="n">
        <v>0</v>
      </c>
      <c r="T1857" t="inlineStr">
        <is>
          <t>AUD</t>
        </is>
      </c>
      <c r="U1857" t="n">
        <v>0</v>
      </c>
    </row>
    <row r="1858">
      <c r="A1858" s="5" t="inlineStr">
        <is>
          <t>01a1212c-6255-73be-855e-d1de901132a5</t>
        </is>
      </c>
      <c r="C1858" s="5" t="inlineStr">
        <is>
          <t>01a1212c-4b57-70cf-80fd-c2192cb3bf81</t>
        </is>
      </c>
      <c r="D1858" s="4" t="n">
        <v>46304.62406617442</v>
      </c>
      <c r="E1858" s="4" t="n">
        <v>46304.62406617449</v>
      </c>
      <c r="F1858" t="b">
        <v>1</v>
      </c>
      <c r="G1858" t="n">
        <v/>
      </c>
      <c r="H1858" t="inlineStr">
        <is>
          <t>MRR</t>
        </is>
      </c>
      <c r="I1858" t="inlineStr">
        <is>
          <t>Minrex Resources Ltd</t>
        </is>
      </c>
      <c r="J1858" t="inlineStr">
        <is>
          <t>AUD</t>
        </is>
      </c>
      <c r="K1858" s="5" t="inlineStr">
        <is>
          <t>01a1212c-4c04-75ce-bbb2-e3322e18816e</t>
        </is>
      </c>
      <c r="M1858" t="inlineStr">
        <is>
          <t>UNKNOWN</t>
        </is>
      </c>
      <c r="N1858" t="inlineStr">
        <is>
          <t>DEFAULT</t>
        </is>
      </c>
      <c r="Q1858" t="n">
        <v>0</v>
      </c>
      <c r="R1858" t="inlineStr">
        <is>
          <t>AUD</t>
        </is>
      </c>
      <c r="S1858" t="n">
        <v>0</v>
      </c>
      <c r="T1858" t="inlineStr">
        <is>
          <t>AUD</t>
        </is>
      </c>
      <c r="U1858" t="n">
        <v>0</v>
      </c>
    </row>
    <row r="1859">
      <c r="A1859" s="5" t="inlineStr">
        <is>
          <t>01a1212c-6258-7026-a5ae-f583fa8999e1</t>
        </is>
      </c>
      <c r="C1859" s="5" t="inlineStr">
        <is>
          <t>01a1212c-4b57-70cf-80fd-c2192cb3bf81</t>
        </is>
      </c>
      <c r="D1859" s="4" t="n">
        <v>46304.6240662058</v>
      </c>
      <c r="E1859" s="4" t="n">
        <v>46304.62406620588</v>
      </c>
      <c r="F1859" t="b">
        <v>1</v>
      </c>
      <c r="G1859" t="n">
        <v/>
      </c>
      <c r="H1859" t="inlineStr">
        <is>
          <t>EVG</t>
        </is>
      </c>
      <c r="I1859" t="inlineStr">
        <is>
          <t>Evion Group NL</t>
        </is>
      </c>
      <c r="J1859" t="inlineStr">
        <is>
          <t>AUD</t>
        </is>
      </c>
      <c r="K1859" s="5" t="inlineStr">
        <is>
          <t>01a1212c-4c04-75ce-bbb2-e3322e18816e</t>
        </is>
      </c>
      <c r="M1859" t="inlineStr">
        <is>
          <t>UNKNOWN</t>
        </is>
      </c>
      <c r="N1859" t="inlineStr">
        <is>
          <t>DEFAULT</t>
        </is>
      </c>
      <c r="Q1859" t="n">
        <v>0</v>
      </c>
      <c r="R1859" t="inlineStr">
        <is>
          <t>AUD</t>
        </is>
      </c>
      <c r="S1859" t="n">
        <v>0</v>
      </c>
      <c r="T1859" t="inlineStr">
        <is>
          <t>AUD</t>
        </is>
      </c>
      <c r="U1859" t="n">
        <v>0</v>
      </c>
    </row>
    <row r="1860">
      <c r="A1860" s="5" t="inlineStr">
        <is>
          <t>01a1212c-625a-7026-8dfc-2b3588d316b0</t>
        </is>
      </c>
      <c r="C1860" s="5" t="inlineStr">
        <is>
          <t>01a1212c-4b57-70cf-80fd-c2192cb3bf81</t>
        </is>
      </c>
      <c r="D1860" s="4" t="n">
        <v>46304.62406623773</v>
      </c>
      <c r="E1860" s="4" t="n">
        <v>46304.62406623781</v>
      </c>
      <c r="F1860" t="b">
        <v>1</v>
      </c>
      <c r="G1860" t="n">
        <v/>
      </c>
      <c r="H1860" t="inlineStr">
        <is>
          <t>EXL</t>
        </is>
      </c>
      <c r="I1860" t="inlineStr">
        <is>
          <t>Elixinol Wellness Ltd</t>
        </is>
      </c>
      <c r="J1860" t="inlineStr">
        <is>
          <t>AUD</t>
        </is>
      </c>
      <c r="K1860" s="5" t="inlineStr">
        <is>
          <t>01a1212c-4c04-75ce-bbb2-e3322e18816e</t>
        </is>
      </c>
      <c r="M1860" t="inlineStr">
        <is>
          <t>UNKNOWN</t>
        </is>
      </c>
      <c r="N1860" t="inlineStr">
        <is>
          <t>DEFAULT</t>
        </is>
      </c>
      <c r="Q1860" t="n">
        <v>0</v>
      </c>
      <c r="R1860" t="inlineStr">
        <is>
          <t>AUD</t>
        </is>
      </c>
      <c r="S1860" t="n">
        <v>0</v>
      </c>
      <c r="T1860" t="inlineStr">
        <is>
          <t>AUD</t>
        </is>
      </c>
      <c r="U1860" t="n">
        <v>0</v>
      </c>
    </row>
    <row r="1861">
      <c r="A1861" s="5" t="inlineStr">
        <is>
          <t>01a1212c-625d-76bc-bd9e-e95d88e3c3a0</t>
        </is>
      </c>
      <c r="C1861" s="5" t="inlineStr">
        <is>
          <t>01a1212c-4b57-70cf-80fd-c2192cb3bf81</t>
        </is>
      </c>
      <c r="D1861" s="4" t="n">
        <v>46304.62406627174</v>
      </c>
      <c r="E1861" s="4" t="n">
        <v>46304.6240662718</v>
      </c>
      <c r="F1861" t="b">
        <v>1</v>
      </c>
      <c r="G1861" t="n">
        <v/>
      </c>
      <c r="H1861" t="inlineStr">
        <is>
          <t>SCN</t>
        </is>
      </c>
      <c r="I1861" t="inlineStr">
        <is>
          <t>Scorpion Minerals Ltd</t>
        </is>
      </c>
      <c r="J1861" t="inlineStr">
        <is>
          <t>AUD</t>
        </is>
      </c>
      <c r="K1861" s="5" t="inlineStr">
        <is>
          <t>01a1212c-4c04-75ce-bbb2-e3322e18816e</t>
        </is>
      </c>
      <c r="M1861" t="inlineStr">
        <is>
          <t>UNKNOWN</t>
        </is>
      </c>
      <c r="N1861" t="inlineStr">
        <is>
          <t>DEFAULT</t>
        </is>
      </c>
      <c r="Q1861" t="n">
        <v>0</v>
      </c>
      <c r="R1861" t="inlineStr">
        <is>
          <t>AUD</t>
        </is>
      </c>
      <c r="S1861" t="n">
        <v>0</v>
      </c>
      <c r="T1861" t="inlineStr">
        <is>
          <t>AUD</t>
        </is>
      </c>
      <c r="U1861" t="n">
        <v>0</v>
      </c>
    </row>
    <row r="1862">
      <c r="A1862" s="5" t="inlineStr">
        <is>
          <t>01a1212c-6260-779b-9822-9741db5d28df</t>
        </is>
      </c>
      <c r="C1862" s="5" t="inlineStr">
        <is>
          <t>01a1212c-4b57-70cf-80fd-c2192cb3bf81</t>
        </is>
      </c>
      <c r="D1862" s="4" t="n">
        <v>46304.6240663028</v>
      </c>
      <c r="E1862" s="4" t="n">
        <v>46304.62406630287</v>
      </c>
      <c r="F1862" t="b">
        <v>1</v>
      </c>
      <c r="G1862" t="n">
        <v/>
      </c>
      <c r="H1862" t="inlineStr">
        <is>
          <t>G200</t>
        </is>
      </c>
      <c r="I1862" t="inlineStr">
        <is>
          <t>Betashares Wealthbuilder AUS200 Geared Complex ETF</t>
        </is>
      </c>
      <c r="J1862" t="inlineStr">
        <is>
          <t>AUD</t>
        </is>
      </c>
      <c r="K1862" s="5" t="inlineStr">
        <is>
          <t>01a1212c-4c04-75ce-bbb2-e3322e18816e</t>
        </is>
      </c>
      <c r="M1862" t="inlineStr">
        <is>
          <t>UNKNOWN</t>
        </is>
      </c>
      <c r="N1862" t="inlineStr">
        <is>
          <t>DEFAULT</t>
        </is>
      </c>
      <c r="Q1862" t="n">
        <v>0</v>
      </c>
      <c r="R1862" t="inlineStr">
        <is>
          <t>AUD</t>
        </is>
      </c>
      <c r="S1862" t="n">
        <v>0</v>
      </c>
      <c r="T1862" t="inlineStr">
        <is>
          <t>AUD</t>
        </is>
      </c>
      <c r="U1862" t="n">
        <v>0</v>
      </c>
    </row>
    <row r="1863">
      <c r="A1863" s="5" t="inlineStr">
        <is>
          <t>01a1212c-6263-75c4-acfe-4d19e27bd262</t>
        </is>
      </c>
      <c r="C1863" s="5" t="inlineStr">
        <is>
          <t>01a1212c-4b57-70cf-80fd-c2192cb3bf81</t>
        </is>
      </c>
      <c r="D1863" s="4" t="n">
        <v>46304.62406633398</v>
      </c>
      <c r="E1863" s="4" t="n">
        <v>46304.62406633405</v>
      </c>
      <c r="F1863" t="b">
        <v>1</v>
      </c>
      <c r="G1863" t="n">
        <v/>
      </c>
      <c r="H1863" t="inlineStr">
        <is>
          <t>IPC</t>
        </is>
      </c>
      <c r="I1863" t="inlineStr">
        <is>
          <t>Imperial Pacific Ltd</t>
        </is>
      </c>
      <c r="J1863" t="inlineStr">
        <is>
          <t>AUD</t>
        </is>
      </c>
      <c r="K1863" s="5" t="inlineStr">
        <is>
          <t>01a1212c-4c04-75ce-bbb2-e3322e18816e</t>
        </is>
      </c>
      <c r="M1863" t="inlineStr">
        <is>
          <t>UNKNOWN</t>
        </is>
      </c>
      <c r="N1863" t="inlineStr">
        <is>
          <t>DEFAULT</t>
        </is>
      </c>
      <c r="Q1863" t="n">
        <v>0</v>
      </c>
      <c r="R1863" t="inlineStr">
        <is>
          <t>AUD</t>
        </is>
      </c>
      <c r="S1863" t="n">
        <v>0</v>
      </c>
      <c r="T1863" t="inlineStr">
        <is>
          <t>AUD</t>
        </is>
      </c>
      <c r="U1863" t="n">
        <v>0</v>
      </c>
    </row>
    <row r="1864">
      <c r="A1864" s="5" t="inlineStr">
        <is>
          <t>01a1212c-6265-703c-8e4c-00b23cd4dab5</t>
        </is>
      </c>
      <c r="C1864" s="5" t="inlineStr">
        <is>
          <t>01a1212c-4b57-70cf-80fd-c2192cb3bf81</t>
        </is>
      </c>
      <c r="D1864" s="4" t="n">
        <v>46304.62406636486</v>
      </c>
      <c r="E1864" s="4" t="n">
        <v>46304.62406636493</v>
      </c>
      <c r="F1864" t="b">
        <v>1</v>
      </c>
      <c r="G1864" t="n">
        <v/>
      </c>
      <c r="H1864" t="inlineStr">
        <is>
          <t>PFE</t>
        </is>
      </c>
      <c r="I1864" t="inlineStr">
        <is>
          <t>Pantera Lithium Ltd</t>
        </is>
      </c>
      <c r="J1864" t="inlineStr">
        <is>
          <t>AUD</t>
        </is>
      </c>
      <c r="K1864" s="5" t="inlineStr">
        <is>
          <t>01a1212c-4c04-75ce-bbb2-e3322e18816e</t>
        </is>
      </c>
      <c r="M1864" t="inlineStr">
        <is>
          <t>UNKNOWN</t>
        </is>
      </c>
      <c r="N1864" t="inlineStr">
        <is>
          <t>DEFAULT</t>
        </is>
      </c>
      <c r="Q1864" t="n">
        <v>0</v>
      </c>
      <c r="R1864" t="inlineStr">
        <is>
          <t>AUD</t>
        </is>
      </c>
      <c r="S1864" t="n">
        <v>0</v>
      </c>
      <c r="T1864" t="inlineStr">
        <is>
          <t>AUD</t>
        </is>
      </c>
      <c r="U1864" t="n">
        <v>0</v>
      </c>
    </row>
    <row r="1865">
      <c r="A1865" s="5" t="inlineStr">
        <is>
          <t>01a1212c-6268-71c3-ab24-82e8f56cac5a</t>
        </is>
      </c>
      <c r="C1865" s="5" t="inlineStr">
        <is>
          <t>01a1212c-4b57-70cf-80fd-c2192cb3bf81</t>
        </is>
      </c>
      <c r="D1865" s="4" t="n">
        <v>46304.6240663979</v>
      </c>
      <c r="E1865" s="4" t="n">
        <v>46304.62406639798</v>
      </c>
      <c r="F1865" t="b">
        <v>1</v>
      </c>
      <c r="G1865" t="n">
        <v/>
      </c>
      <c r="H1865" t="inlineStr">
        <is>
          <t>SRK</t>
        </is>
      </c>
      <c r="I1865" t="inlineStr">
        <is>
          <t>Strike Resources Ltd</t>
        </is>
      </c>
      <c r="J1865" t="inlineStr">
        <is>
          <t>AUD</t>
        </is>
      </c>
      <c r="K1865" s="5" t="inlineStr">
        <is>
          <t>01a1212c-4c04-75ce-bbb2-e3322e18816e</t>
        </is>
      </c>
      <c r="M1865" t="inlineStr">
        <is>
          <t>UNKNOWN</t>
        </is>
      </c>
      <c r="N1865" t="inlineStr">
        <is>
          <t>DEFAULT</t>
        </is>
      </c>
      <c r="Q1865" t="n">
        <v>0</v>
      </c>
      <c r="R1865" t="inlineStr">
        <is>
          <t>AUD</t>
        </is>
      </c>
      <c r="S1865" t="n">
        <v>0</v>
      </c>
      <c r="T1865" t="inlineStr">
        <is>
          <t>AUD</t>
        </is>
      </c>
      <c r="U1865" t="n">
        <v>0</v>
      </c>
    </row>
    <row r="1866">
      <c r="A1866" s="5" t="inlineStr">
        <is>
          <t>01a1212c-626b-7180-9c6e-973ee09629e9</t>
        </is>
      </c>
      <c r="C1866" s="5" t="inlineStr">
        <is>
          <t>01a1212c-4b57-70cf-80fd-c2192cb3bf81</t>
        </is>
      </c>
      <c r="D1866" s="4" t="n">
        <v>46304.62406642929</v>
      </c>
      <c r="E1866" s="4" t="n">
        <v>46304.62406642935</v>
      </c>
      <c r="F1866" t="b">
        <v>1</v>
      </c>
      <c r="G1866" t="n">
        <v/>
      </c>
      <c r="H1866" t="inlineStr">
        <is>
          <t>AMS</t>
        </is>
      </c>
      <c r="I1866" t="inlineStr">
        <is>
          <t>Atomos Ltd</t>
        </is>
      </c>
      <c r="J1866" t="inlineStr">
        <is>
          <t>AUD</t>
        </is>
      </c>
      <c r="K1866" s="5" t="inlineStr">
        <is>
          <t>01a1212c-4c04-75ce-bbb2-e3322e18816e</t>
        </is>
      </c>
      <c r="M1866" t="inlineStr">
        <is>
          <t>UNKNOWN</t>
        </is>
      </c>
      <c r="N1866" t="inlineStr">
        <is>
          <t>DEFAULT</t>
        </is>
      </c>
      <c r="Q1866" t="n">
        <v>0</v>
      </c>
      <c r="R1866" t="inlineStr">
        <is>
          <t>AUD</t>
        </is>
      </c>
      <c r="S1866" t="n">
        <v>0</v>
      </c>
      <c r="T1866" t="inlineStr">
        <is>
          <t>AUD</t>
        </is>
      </c>
      <c r="U1866" t="n">
        <v>0</v>
      </c>
    </row>
    <row r="1867">
      <c r="A1867" s="5" t="inlineStr">
        <is>
          <t>01a1212c-626e-7670-aca3-429dbe114175</t>
        </is>
      </c>
      <c r="C1867" s="5" t="inlineStr">
        <is>
          <t>01a1212c-4b57-70cf-80fd-c2192cb3bf81</t>
        </is>
      </c>
      <c r="D1867" s="4" t="n">
        <v>46304.62406646182</v>
      </c>
      <c r="E1867" s="4" t="n">
        <v>46304.6240664619</v>
      </c>
      <c r="F1867" t="b">
        <v>1</v>
      </c>
      <c r="G1867" t="n">
        <v/>
      </c>
      <c r="H1867" t="inlineStr">
        <is>
          <t>CML</t>
        </is>
      </c>
      <c r="I1867" t="inlineStr">
        <is>
          <t>Connected Minerals Ltd</t>
        </is>
      </c>
      <c r="J1867" t="inlineStr">
        <is>
          <t>AUD</t>
        </is>
      </c>
      <c r="K1867" s="5" t="inlineStr">
        <is>
          <t>01a1212c-4c04-75ce-bbb2-e3322e18816e</t>
        </is>
      </c>
      <c r="M1867" t="inlineStr">
        <is>
          <t>UNKNOWN</t>
        </is>
      </c>
      <c r="N1867" t="inlineStr">
        <is>
          <t>DEFAULT</t>
        </is>
      </c>
      <c r="Q1867" t="n">
        <v>0</v>
      </c>
      <c r="R1867" t="inlineStr">
        <is>
          <t>AUD</t>
        </is>
      </c>
      <c r="S1867" t="n">
        <v>0</v>
      </c>
      <c r="T1867" t="inlineStr">
        <is>
          <t>AUD</t>
        </is>
      </c>
      <c r="U1867" t="n">
        <v>0</v>
      </c>
    </row>
    <row r="1868">
      <c r="A1868" s="5" t="inlineStr">
        <is>
          <t>01a1212c-6270-7296-aea9-4c8c52b7e115</t>
        </is>
      </c>
      <c r="C1868" s="5" t="inlineStr">
        <is>
          <t>01a1212c-4b57-70cf-80fd-c2192cb3bf81</t>
        </is>
      </c>
      <c r="D1868" s="4" t="n">
        <v>46304.62406649296</v>
      </c>
      <c r="E1868" s="4" t="n">
        <v>46304.62406649304</v>
      </c>
      <c r="F1868" t="b">
        <v>1</v>
      </c>
      <c r="G1868" t="n">
        <v/>
      </c>
      <c r="H1868" t="inlineStr">
        <is>
          <t>APL</t>
        </is>
      </c>
      <c r="I1868" t="inlineStr">
        <is>
          <t>Associate Global Partners Ltd</t>
        </is>
      </c>
      <c r="J1868" t="inlineStr">
        <is>
          <t>AUD</t>
        </is>
      </c>
      <c r="K1868" s="5" t="inlineStr">
        <is>
          <t>01a1212c-4c04-75ce-bbb2-e3322e18816e</t>
        </is>
      </c>
      <c r="M1868" t="inlineStr">
        <is>
          <t>UNKNOWN</t>
        </is>
      </c>
      <c r="N1868" t="inlineStr">
        <is>
          <t>DEFAULT</t>
        </is>
      </c>
      <c r="Q1868" t="n">
        <v>0</v>
      </c>
      <c r="R1868" t="inlineStr">
        <is>
          <t>AUD</t>
        </is>
      </c>
      <c r="S1868" t="n">
        <v>0</v>
      </c>
      <c r="T1868" t="inlineStr">
        <is>
          <t>AUD</t>
        </is>
      </c>
      <c r="U1868" t="n">
        <v>0</v>
      </c>
    </row>
    <row r="1869">
      <c r="A1869" s="5" t="inlineStr">
        <is>
          <t>01a1212c-6273-77d8-817b-12e6593547f6</t>
        </is>
      </c>
      <c r="C1869" s="5" t="inlineStr">
        <is>
          <t>01a1212c-4b57-70cf-80fd-c2192cb3bf81</t>
        </is>
      </c>
      <c r="D1869" s="4" t="n">
        <v>46304.62406652381</v>
      </c>
      <c r="E1869" s="4" t="n">
        <v>46304.62406652389</v>
      </c>
      <c r="F1869" t="b">
        <v>1</v>
      </c>
      <c r="G1869" t="n">
        <v/>
      </c>
      <c r="H1869" t="inlineStr">
        <is>
          <t>SRN</t>
        </is>
      </c>
      <c r="I1869" t="inlineStr">
        <is>
          <t>Surefire Resources NL</t>
        </is>
      </c>
      <c r="J1869" t="inlineStr">
        <is>
          <t>AUD</t>
        </is>
      </c>
      <c r="K1869" s="5" t="inlineStr">
        <is>
          <t>01a1212c-4c04-75ce-bbb2-e3322e18816e</t>
        </is>
      </c>
      <c r="M1869" t="inlineStr">
        <is>
          <t>UNKNOWN</t>
        </is>
      </c>
      <c r="N1869" t="inlineStr">
        <is>
          <t>DEFAULT</t>
        </is>
      </c>
      <c r="Q1869" t="n">
        <v>0</v>
      </c>
      <c r="R1869" t="inlineStr">
        <is>
          <t>AUD</t>
        </is>
      </c>
      <c r="S1869" t="n">
        <v>0</v>
      </c>
      <c r="T1869" t="inlineStr">
        <is>
          <t>AUD</t>
        </is>
      </c>
      <c r="U1869" t="n">
        <v>0</v>
      </c>
    </row>
    <row r="1870">
      <c r="A1870" s="5" t="inlineStr">
        <is>
          <t>01a1212c-6276-7640-87d9-88e3cca2d5d2</t>
        </is>
      </c>
      <c r="C1870" s="5" t="inlineStr">
        <is>
          <t>01a1212c-4b57-70cf-80fd-c2192cb3bf81</t>
        </is>
      </c>
      <c r="D1870" s="4" t="n">
        <v>46304.62406655688</v>
      </c>
      <c r="E1870" s="4" t="n">
        <v>46304.62406655694</v>
      </c>
      <c r="F1870" t="b">
        <v>1</v>
      </c>
      <c r="G1870" t="n">
        <v/>
      </c>
      <c r="H1870" t="inlineStr">
        <is>
          <t>VEN</t>
        </is>
      </c>
      <c r="I1870" t="inlineStr">
        <is>
          <t>Vintage Energy Ltd</t>
        </is>
      </c>
      <c r="J1870" t="inlineStr">
        <is>
          <t>AUD</t>
        </is>
      </c>
      <c r="K1870" s="5" t="inlineStr">
        <is>
          <t>01a1212c-4c04-75ce-bbb2-e3322e18816e</t>
        </is>
      </c>
      <c r="M1870" t="inlineStr">
        <is>
          <t>UNKNOWN</t>
        </is>
      </c>
      <c r="N1870" t="inlineStr">
        <is>
          <t>DEFAULT</t>
        </is>
      </c>
      <c r="Q1870" t="n">
        <v>0</v>
      </c>
      <c r="R1870" t="inlineStr">
        <is>
          <t>AUD</t>
        </is>
      </c>
      <c r="S1870" t="n">
        <v>0</v>
      </c>
      <c r="T1870" t="inlineStr">
        <is>
          <t>AUD</t>
        </is>
      </c>
      <c r="U1870" t="n">
        <v>0</v>
      </c>
    </row>
    <row r="1871">
      <c r="A1871" s="5" t="inlineStr">
        <is>
          <t>01a1212c-6279-752f-bdc2-7d68176d420c</t>
        </is>
      </c>
      <c r="C1871" s="5" t="inlineStr">
        <is>
          <t>01a1212c-4b57-70cf-80fd-c2192cb3bf81</t>
        </is>
      </c>
      <c r="D1871" s="4" t="n">
        <v>46304.62406658784</v>
      </c>
      <c r="E1871" s="4" t="n">
        <v>46304.62406658791</v>
      </c>
      <c r="F1871" t="b">
        <v>1</v>
      </c>
      <c r="G1871" t="n">
        <v/>
      </c>
      <c r="H1871" t="inlineStr">
        <is>
          <t>MTUM</t>
        </is>
      </c>
      <c r="I1871" t="inlineStr">
        <is>
          <t>Betashares Australian Momentum ETF</t>
        </is>
      </c>
      <c r="J1871" t="inlineStr">
        <is>
          <t>AUD</t>
        </is>
      </c>
      <c r="K1871" s="5" t="inlineStr">
        <is>
          <t>01a1212c-4c04-75ce-bbb2-e3322e18816e</t>
        </is>
      </c>
      <c r="M1871" t="inlineStr">
        <is>
          <t>UNKNOWN</t>
        </is>
      </c>
      <c r="N1871" t="inlineStr">
        <is>
          <t>DEFAULT</t>
        </is>
      </c>
      <c r="Q1871" t="n">
        <v>0</v>
      </c>
      <c r="R1871" t="inlineStr">
        <is>
          <t>AUD</t>
        </is>
      </c>
      <c r="S1871" t="n">
        <v>0</v>
      </c>
      <c r="T1871" t="inlineStr">
        <is>
          <t>AUD</t>
        </is>
      </c>
      <c r="U1871" t="n">
        <v>0</v>
      </c>
    </row>
    <row r="1872">
      <c r="A1872" s="5" t="inlineStr">
        <is>
          <t>01a1212c-627b-7044-90b1-4c42f4b5f61f</t>
        </is>
      </c>
      <c r="C1872" s="5" t="inlineStr">
        <is>
          <t>01a1212c-4b57-70cf-80fd-c2192cb3bf81</t>
        </is>
      </c>
      <c r="D1872" s="4" t="n">
        <v>46304.62406661949</v>
      </c>
      <c r="E1872" s="4" t="n">
        <v>46304.62406661957</v>
      </c>
      <c r="F1872" t="b">
        <v>1</v>
      </c>
      <c r="G1872" t="n">
        <v/>
      </c>
      <c r="H1872" t="inlineStr">
        <is>
          <t>AHK</t>
        </is>
      </c>
      <c r="I1872" t="inlineStr">
        <is>
          <t>Ark Mines Ltd</t>
        </is>
      </c>
      <c r="J1872" t="inlineStr">
        <is>
          <t>AUD</t>
        </is>
      </c>
      <c r="K1872" s="5" t="inlineStr">
        <is>
          <t>01a1212c-4c04-75ce-bbb2-e3322e18816e</t>
        </is>
      </c>
      <c r="M1872" t="inlineStr">
        <is>
          <t>UNKNOWN</t>
        </is>
      </c>
      <c r="N1872" t="inlineStr">
        <is>
          <t>DEFAULT</t>
        </is>
      </c>
      <c r="Q1872" t="n">
        <v>0</v>
      </c>
      <c r="R1872" t="inlineStr">
        <is>
          <t>AUD</t>
        </is>
      </c>
      <c r="S1872" t="n">
        <v>0</v>
      </c>
      <c r="T1872" t="inlineStr">
        <is>
          <t>AUD</t>
        </is>
      </c>
      <c r="U1872" t="n">
        <v>0</v>
      </c>
    </row>
    <row r="1873">
      <c r="A1873" s="5" t="inlineStr">
        <is>
          <t>01a1212c-627e-72ed-8681-f9616f659927</t>
        </is>
      </c>
      <c r="C1873" s="5" t="inlineStr">
        <is>
          <t>01a1212c-4b57-70cf-80fd-c2192cb3bf81</t>
        </is>
      </c>
      <c r="D1873" s="4" t="n">
        <v>46304.62406665081</v>
      </c>
      <c r="E1873" s="4" t="n">
        <v>46304.62406665088</v>
      </c>
      <c r="F1873" t="b">
        <v>1</v>
      </c>
      <c r="G1873" t="n">
        <v/>
      </c>
      <c r="H1873" t="inlineStr">
        <is>
          <t>EPN</t>
        </is>
      </c>
      <c r="I1873" t="inlineStr">
        <is>
          <t>Epsilon Healthcare Ltd</t>
        </is>
      </c>
      <c r="J1873" t="inlineStr">
        <is>
          <t>AUD</t>
        </is>
      </c>
      <c r="K1873" s="5" t="inlineStr">
        <is>
          <t>01a1212c-4c04-75ce-bbb2-e3322e18816e</t>
        </is>
      </c>
      <c r="M1873" t="inlineStr">
        <is>
          <t>UNKNOWN</t>
        </is>
      </c>
      <c r="N1873" t="inlineStr">
        <is>
          <t>DEFAULT</t>
        </is>
      </c>
      <c r="Q1873" t="n">
        <v>0</v>
      </c>
      <c r="R1873" t="inlineStr">
        <is>
          <t>AUD</t>
        </is>
      </c>
      <c r="S1873" t="n">
        <v>0</v>
      </c>
      <c r="T1873" t="inlineStr">
        <is>
          <t>AUD</t>
        </is>
      </c>
      <c r="U1873" t="n">
        <v>0</v>
      </c>
    </row>
    <row r="1874">
      <c r="A1874" s="5" t="inlineStr">
        <is>
          <t>01a1212c-6281-70fe-a7c1-a88e6fa3f3ec</t>
        </is>
      </c>
      <c r="C1874" s="5" t="inlineStr">
        <is>
          <t>01a1212c-4b57-70cf-80fd-c2192cb3bf81</t>
        </is>
      </c>
      <c r="D1874" s="4" t="n">
        <v>46304.62406668507</v>
      </c>
      <c r="E1874" s="4" t="n">
        <v>46304.62406668514</v>
      </c>
      <c r="F1874" t="b">
        <v>1</v>
      </c>
      <c r="G1874" t="n">
        <v/>
      </c>
      <c r="H1874" t="inlineStr">
        <is>
          <t>SRR</t>
        </is>
      </c>
      <c r="I1874" t="inlineStr">
        <is>
          <t>Sarama Resources Ltd</t>
        </is>
      </c>
      <c r="J1874" t="inlineStr">
        <is>
          <t>AUD</t>
        </is>
      </c>
      <c r="K1874" s="5" t="inlineStr">
        <is>
          <t>01a1212c-4c04-75ce-bbb2-e3322e18816e</t>
        </is>
      </c>
      <c r="M1874" t="inlineStr">
        <is>
          <t>UNKNOWN</t>
        </is>
      </c>
      <c r="N1874" t="inlineStr">
        <is>
          <t>DEFAULT</t>
        </is>
      </c>
      <c r="Q1874" t="n">
        <v>0</v>
      </c>
      <c r="R1874" t="inlineStr">
        <is>
          <t>AUD</t>
        </is>
      </c>
      <c r="S1874" t="n">
        <v>0</v>
      </c>
      <c r="T1874" t="inlineStr">
        <is>
          <t>AUD</t>
        </is>
      </c>
      <c r="U1874" t="n">
        <v>0</v>
      </c>
    </row>
    <row r="1875">
      <c r="A1875" s="5" t="inlineStr">
        <is>
          <t>01a1212c-6284-7094-ac22-699e8dffbe63</t>
        </is>
      </c>
      <c r="C1875" s="5" t="inlineStr">
        <is>
          <t>01a1212c-4b57-70cf-80fd-c2192cb3bf81</t>
        </is>
      </c>
      <c r="D1875" s="4" t="n">
        <v>46304.62406671602</v>
      </c>
      <c r="E1875" s="4" t="n">
        <v>46304.6240667161</v>
      </c>
      <c r="F1875" t="b">
        <v>1</v>
      </c>
      <c r="G1875" t="n">
        <v/>
      </c>
      <c r="H1875" t="inlineStr">
        <is>
          <t>PGY</t>
        </is>
      </c>
      <c r="I1875" t="inlineStr">
        <is>
          <t>Pilot Energy Ltd</t>
        </is>
      </c>
      <c r="J1875" t="inlineStr">
        <is>
          <t>AUD</t>
        </is>
      </c>
      <c r="K1875" s="5" t="inlineStr">
        <is>
          <t>01a1212c-4c04-75ce-bbb2-e3322e18816e</t>
        </is>
      </c>
      <c r="M1875" t="inlineStr">
        <is>
          <t>UNKNOWN</t>
        </is>
      </c>
      <c r="N1875" t="inlineStr">
        <is>
          <t>DEFAULT</t>
        </is>
      </c>
      <c r="Q1875" t="n">
        <v>0</v>
      </c>
      <c r="R1875" t="inlineStr">
        <is>
          <t>AUD</t>
        </is>
      </c>
      <c r="S1875" t="n">
        <v>0</v>
      </c>
      <c r="T1875" t="inlineStr">
        <is>
          <t>AUD</t>
        </is>
      </c>
      <c r="U1875" t="n">
        <v>0</v>
      </c>
    </row>
    <row r="1876">
      <c r="A1876" s="5" t="inlineStr">
        <is>
          <t>01a1212c-6286-771b-ab1e-91503cf7f580</t>
        </is>
      </c>
      <c r="C1876" s="5" t="inlineStr">
        <is>
          <t>01a1212c-4b57-70cf-80fd-c2192cb3bf81</t>
        </is>
      </c>
      <c r="D1876" s="4" t="n">
        <v>46304.62406674684</v>
      </c>
      <c r="E1876" s="4" t="n">
        <v>46304.62406674691</v>
      </c>
      <c r="F1876" t="b">
        <v>1</v>
      </c>
      <c r="G1876" t="n">
        <v/>
      </c>
      <c r="H1876" t="inlineStr">
        <is>
          <t>JCS</t>
        </is>
      </c>
      <c r="I1876" t="inlineStr">
        <is>
          <t>Jcurve Solutions Ltd</t>
        </is>
      </c>
      <c r="J1876" t="inlineStr">
        <is>
          <t>AUD</t>
        </is>
      </c>
      <c r="K1876" s="5" t="inlineStr">
        <is>
          <t>01a1212c-4c04-75ce-bbb2-e3322e18816e</t>
        </is>
      </c>
      <c r="M1876" t="inlineStr">
        <is>
          <t>UNKNOWN</t>
        </is>
      </c>
      <c r="N1876" t="inlineStr">
        <is>
          <t>DEFAULT</t>
        </is>
      </c>
      <c r="Q1876" t="n">
        <v>0</v>
      </c>
      <c r="R1876" t="inlineStr">
        <is>
          <t>AUD</t>
        </is>
      </c>
      <c r="S1876" t="n">
        <v>0</v>
      </c>
      <c r="T1876" t="inlineStr">
        <is>
          <t>AUD</t>
        </is>
      </c>
      <c r="U1876" t="n">
        <v>0</v>
      </c>
    </row>
    <row r="1877">
      <c r="A1877" s="5" t="inlineStr">
        <is>
          <t>01a1212c-6289-7291-9cc8-b0aa3073e3e7</t>
        </is>
      </c>
      <c r="C1877" s="5" t="inlineStr">
        <is>
          <t>01a1212c-4b57-70cf-80fd-c2192cb3bf81</t>
        </is>
      </c>
      <c r="D1877" s="4" t="n">
        <v>46304.62406677765</v>
      </c>
      <c r="E1877" s="4" t="n">
        <v>46304.62406677773</v>
      </c>
      <c r="F1877" t="b">
        <v>1</v>
      </c>
      <c r="G1877" t="n">
        <v/>
      </c>
      <c r="H1877" t="inlineStr">
        <is>
          <t>ALY</t>
        </is>
      </c>
      <c r="I1877" t="inlineStr">
        <is>
          <t>Alchemy Resources Ltd</t>
        </is>
      </c>
      <c r="J1877" t="inlineStr">
        <is>
          <t>AUD</t>
        </is>
      </c>
      <c r="K1877" s="5" t="inlineStr">
        <is>
          <t>01a1212c-4c04-75ce-bbb2-e3322e18816e</t>
        </is>
      </c>
      <c r="M1877" t="inlineStr">
        <is>
          <t>UNKNOWN</t>
        </is>
      </c>
      <c r="N1877" t="inlineStr">
        <is>
          <t>DEFAULT</t>
        </is>
      </c>
      <c r="Q1877" t="n">
        <v>0</v>
      </c>
      <c r="R1877" t="inlineStr">
        <is>
          <t>AUD</t>
        </is>
      </c>
      <c r="S1877" t="n">
        <v>0</v>
      </c>
      <c r="T1877" t="inlineStr">
        <is>
          <t>AUD</t>
        </is>
      </c>
      <c r="U1877" t="n">
        <v>0</v>
      </c>
    </row>
    <row r="1878">
      <c r="A1878" s="5" t="inlineStr">
        <is>
          <t>01a1212c-628c-74fb-bc77-80be65c11e50</t>
        </is>
      </c>
      <c r="C1878" s="5" t="inlineStr">
        <is>
          <t>01a1212c-4b57-70cf-80fd-c2192cb3bf81</t>
        </is>
      </c>
      <c r="D1878" s="4" t="n">
        <v>46304.62406680941</v>
      </c>
      <c r="E1878" s="4" t="n">
        <v>46304.62406680949</v>
      </c>
      <c r="F1878" t="b">
        <v>1</v>
      </c>
      <c r="G1878" t="n">
        <v/>
      </c>
      <c r="H1878" t="inlineStr">
        <is>
          <t>BUX</t>
        </is>
      </c>
      <c r="I1878" t="inlineStr">
        <is>
          <t>Buxton Resources Ltd</t>
        </is>
      </c>
      <c r="J1878" t="inlineStr">
        <is>
          <t>AUD</t>
        </is>
      </c>
      <c r="K1878" s="5" t="inlineStr">
        <is>
          <t>01a1212c-4c04-75ce-bbb2-e3322e18816e</t>
        </is>
      </c>
      <c r="M1878" t="inlineStr">
        <is>
          <t>UNKNOWN</t>
        </is>
      </c>
      <c r="N1878" t="inlineStr">
        <is>
          <t>DEFAULT</t>
        </is>
      </c>
      <c r="Q1878" t="n">
        <v>0</v>
      </c>
      <c r="R1878" t="inlineStr">
        <is>
          <t>AUD</t>
        </is>
      </c>
      <c r="S1878" t="n">
        <v>0</v>
      </c>
      <c r="T1878" t="inlineStr">
        <is>
          <t>AUD</t>
        </is>
      </c>
      <c r="U1878" t="n">
        <v>0</v>
      </c>
    </row>
    <row r="1879">
      <c r="A1879" s="5" t="inlineStr">
        <is>
          <t>01a1212c-628f-7334-8fb8-dcc4ac21c27c</t>
        </is>
      </c>
      <c r="C1879" s="5" t="inlineStr">
        <is>
          <t>01a1212c-4b57-70cf-80fd-c2192cb3bf81</t>
        </is>
      </c>
      <c r="D1879" s="4" t="n">
        <v>46304.62406684294</v>
      </c>
      <c r="E1879" s="4" t="n">
        <v>46304.62406684301</v>
      </c>
      <c r="F1879" t="b">
        <v>1</v>
      </c>
      <c r="G1879" t="n">
        <v/>
      </c>
      <c r="H1879" t="inlineStr">
        <is>
          <t>EDE</t>
        </is>
      </c>
      <c r="I1879" t="inlineStr">
        <is>
          <t>Eden Innovations Ltd</t>
        </is>
      </c>
      <c r="J1879" t="inlineStr">
        <is>
          <t>AUD</t>
        </is>
      </c>
      <c r="K1879" s="5" t="inlineStr">
        <is>
          <t>01a1212c-4c04-75ce-bbb2-e3322e18816e</t>
        </is>
      </c>
      <c r="M1879" t="inlineStr">
        <is>
          <t>UNKNOWN</t>
        </is>
      </c>
      <c r="N1879" t="inlineStr">
        <is>
          <t>DEFAULT</t>
        </is>
      </c>
      <c r="Q1879" t="n">
        <v>0</v>
      </c>
      <c r="R1879" t="inlineStr">
        <is>
          <t>AUD</t>
        </is>
      </c>
      <c r="S1879" t="n">
        <v>0</v>
      </c>
      <c r="T1879" t="inlineStr">
        <is>
          <t>AUD</t>
        </is>
      </c>
      <c r="U1879" t="n">
        <v>0</v>
      </c>
    </row>
    <row r="1880">
      <c r="A1880" s="5" t="inlineStr">
        <is>
          <t>01a1212c-6291-760b-8f35-28648ab4de10</t>
        </is>
      </c>
      <c r="C1880" s="5" t="inlineStr">
        <is>
          <t>01a1212c-4b57-70cf-80fd-c2192cb3bf81</t>
        </is>
      </c>
      <c r="D1880" s="4" t="n">
        <v>46304.62406687385</v>
      </c>
      <c r="E1880" s="4" t="n">
        <v>46304.62406687393</v>
      </c>
      <c r="F1880" t="b">
        <v>1</v>
      </c>
      <c r="G1880" t="n">
        <v/>
      </c>
      <c r="H1880" t="inlineStr">
        <is>
          <t>KNO</t>
        </is>
      </c>
      <c r="I1880" t="inlineStr">
        <is>
          <t>Knosys Ltd</t>
        </is>
      </c>
      <c r="J1880" t="inlineStr">
        <is>
          <t>AUD</t>
        </is>
      </c>
      <c r="K1880" s="5" t="inlineStr">
        <is>
          <t>01a1212c-4c04-75ce-bbb2-e3322e18816e</t>
        </is>
      </c>
      <c r="M1880" t="inlineStr">
        <is>
          <t>UNKNOWN</t>
        </is>
      </c>
      <c r="N1880" t="inlineStr">
        <is>
          <t>DEFAULT</t>
        </is>
      </c>
      <c r="Q1880" t="n">
        <v>0</v>
      </c>
      <c r="R1880" t="inlineStr">
        <is>
          <t>AUD</t>
        </is>
      </c>
      <c r="S1880" t="n">
        <v>0</v>
      </c>
      <c r="T1880" t="inlineStr">
        <is>
          <t>AUD</t>
        </is>
      </c>
      <c r="U1880" t="n">
        <v>0</v>
      </c>
    </row>
    <row r="1881">
      <c r="A1881" s="5" t="inlineStr">
        <is>
          <t>01a1212c-6294-7569-b0e0-57ad4820f476</t>
        </is>
      </c>
      <c r="C1881" s="5" t="inlineStr">
        <is>
          <t>01a1212c-4b57-70cf-80fd-c2192cb3bf81</t>
        </is>
      </c>
      <c r="D1881" s="4" t="n">
        <v>46304.62406690494</v>
      </c>
      <c r="E1881" s="4" t="n">
        <v>46304.62406690502</v>
      </c>
      <c r="F1881" t="b">
        <v>1</v>
      </c>
      <c r="G1881" t="n">
        <v/>
      </c>
      <c r="H1881" t="inlineStr">
        <is>
          <t>GIB</t>
        </is>
      </c>
      <c r="I1881" t="inlineStr">
        <is>
          <t>Gibb River Diamonds Ltd</t>
        </is>
      </c>
      <c r="J1881" t="inlineStr">
        <is>
          <t>AUD</t>
        </is>
      </c>
      <c r="K1881" s="5" t="inlineStr">
        <is>
          <t>01a1212c-4c04-75ce-bbb2-e3322e18816e</t>
        </is>
      </c>
      <c r="M1881" t="inlineStr">
        <is>
          <t>UNKNOWN</t>
        </is>
      </c>
      <c r="N1881" t="inlineStr">
        <is>
          <t>DEFAULT</t>
        </is>
      </c>
      <c r="Q1881" t="n">
        <v>0</v>
      </c>
      <c r="R1881" t="inlineStr">
        <is>
          <t>AUD</t>
        </is>
      </c>
      <c r="S1881" t="n">
        <v>0</v>
      </c>
      <c r="T1881" t="inlineStr">
        <is>
          <t>AUD</t>
        </is>
      </c>
      <c r="U1881" t="n">
        <v>0</v>
      </c>
    </row>
    <row r="1882">
      <c r="A1882" s="5" t="inlineStr">
        <is>
          <t>01a1212c-6297-7218-ade9-52eead44fac5</t>
        </is>
      </c>
      <c r="C1882" s="5" t="inlineStr">
        <is>
          <t>01a1212c-4b57-70cf-80fd-c2192cb3bf81</t>
        </is>
      </c>
      <c r="D1882" s="4" t="n">
        <v>46304.62406693609</v>
      </c>
      <c r="E1882" s="4" t="n">
        <v>46304.62406693616</v>
      </c>
      <c r="F1882" t="b">
        <v>1</v>
      </c>
      <c r="G1882" t="n">
        <v/>
      </c>
      <c r="H1882" t="inlineStr">
        <is>
          <t>GLH</t>
        </is>
      </c>
      <c r="I1882" t="inlineStr">
        <is>
          <t>Global Health Ltd</t>
        </is>
      </c>
      <c r="J1882" t="inlineStr">
        <is>
          <t>AUD</t>
        </is>
      </c>
      <c r="K1882" s="5" t="inlineStr">
        <is>
          <t>01a1212c-4c04-75ce-bbb2-e3322e18816e</t>
        </is>
      </c>
      <c r="M1882" t="inlineStr">
        <is>
          <t>UNKNOWN</t>
        </is>
      </c>
      <c r="N1882" t="inlineStr">
        <is>
          <t>DEFAULT</t>
        </is>
      </c>
      <c r="Q1882" t="n">
        <v>0</v>
      </c>
      <c r="R1882" t="inlineStr">
        <is>
          <t>AUD</t>
        </is>
      </c>
      <c r="S1882" t="n">
        <v>0</v>
      </c>
      <c r="T1882" t="inlineStr">
        <is>
          <t>AUD</t>
        </is>
      </c>
      <c r="U1882" t="n">
        <v>0</v>
      </c>
    </row>
    <row r="1883">
      <c r="A1883" s="5" t="inlineStr">
        <is>
          <t>01a1212c-629a-73cf-bb70-a6a8a5948d22</t>
        </is>
      </c>
      <c r="C1883" s="5" t="inlineStr">
        <is>
          <t>01a1212c-4b57-70cf-80fd-c2192cb3bf81</t>
        </is>
      </c>
      <c r="D1883" s="4" t="n">
        <v>46304.62406696943</v>
      </c>
      <c r="E1883" s="4" t="n">
        <v>46304.62406696951</v>
      </c>
      <c r="F1883" t="b">
        <v>1</v>
      </c>
      <c r="G1883" t="n">
        <v/>
      </c>
      <c r="H1883" t="inlineStr">
        <is>
          <t>CPN</t>
        </is>
      </c>
      <c r="I1883" t="inlineStr">
        <is>
          <t>Caspin Resources Ltd</t>
        </is>
      </c>
      <c r="J1883" t="inlineStr">
        <is>
          <t>AUD</t>
        </is>
      </c>
      <c r="K1883" s="5" t="inlineStr">
        <is>
          <t>01a1212c-4c04-75ce-bbb2-e3322e18816e</t>
        </is>
      </c>
      <c r="M1883" t="inlineStr">
        <is>
          <t>UNKNOWN</t>
        </is>
      </c>
      <c r="N1883" t="inlineStr">
        <is>
          <t>DEFAULT</t>
        </is>
      </c>
      <c r="Q1883" t="n">
        <v>0</v>
      </c>
      <c r="R1883" t="inlineStr">
        <is>
          <t>AUD</t>
        </is>
      </c>
      <c r="S1883" t="n">
        <v>0</v>
      </c>
      <c r="T1883" t="inlineStr">
        <is>
          <t>AUD</t>
        </is>
      </c>
      <c r="U1883" t="n">
        <v>0</v>
      </c>
    </row>
    <row r="1884">
      <c r="A1884" s="5" t="inlineStr">
        <is>
          <t>01a1212c-629c-7028-b8d1-3e7c40f4797c</t>
        </is>
      </c>
      <c r="C1884" s="5" t="inlineStr">
        <is>
          <t>01a1212c-4b57-70cf-80fd-c2192cb3bf81</t>
        </is>
      </c>
      <c r="D1884" s="4" t="n">
        <v>46304.62406700328</v>
      </c>
      <c r="E1884" s="4" t="n">
        <v>46304.62406700336</v>
      </c>
      <c r="F1884" t="b">
        <v>1</v>
      </c>
      <c r="G1884" t="n">
        <v/>
      </c>
      <c r="H1884" t="inlineStr">
        <is>
          <t>DCL</t>
        </is>
      </c>
      <c r="I1884" t="inlineStr">
        <is>
          <t>Domacom Ltd</t>
        </is>
      </c>
      <c r="J1884" t="inlineStr">
        <is>
          <t>AUD</t>
        </is>
      </c>
      <c r="K1884" s="5" t="inlineStr">
        <is>
          <t>01a1212c-4c04-75ce-bbb2-e3322e18816e</t>
        </is>
      </c>
      <c r="M1884" t="inlineStr">
        <is>
          <t>UNKNOWN</t>
        </is>
      </c>
      <c r="N1884" t="inlineStr">
        <is>
          <t>DEFAULT</t>
        </is>
      </c>
      <c r="Q1884" t="n">
        <v>0</v>
      </c>
      <c r="R1884" t="inlineStr">
        <is>
          <t>AUD</t>
        </is>
      </c>
      <c r="S1884" t="n">
        <v>0</v>
      </c>
      <c r="T1884" t="inlineStr">
        <is>
          <t>AUD</t>
        </is>
      </c>
      <c r="U1884" t="n">
        <v>0</v>
      </c>
    </row>
    <row r="1885">
      <c r="A1885" s="5" t="inlineStr">
        <is>
          <t>01a1212c-629f-715a-b99b-27bdfee5fa34</t>
        </is>
      </c>
      <c r="C1885" s="5" t="inlineStr">
        <is>
          <t>01a1212c-4b57-70cf-80fd-c2192cb3bf81</t>
        </is>
      </c>
      <c r="D1885" s="4" t="n">
        <v>46304.62406703502</v>
      </c>
      <c r="E1885" s="4" t="n">
        <v>46304.6240670351</v>
      </c>
      <c r="F1885" t="b">
        <v>1</v>
      </c>
      <c r="G1885" t="n">
        <v/>
      </c>
      <c r="H1885" t="inlineStr">
        <is>
          <t>FME</t>
        </is>
      </c>
      <c r="I1885" t="inlineStr">
        <is>
          <t>Future Metals NL</t>
        </is>
      </c>
      <c r="J1885" t="inlineStr">
        <is>
          <t>AUD</t>
        </is>
      </c>
      <c r="K1885" s="5" t="inlineStr">
        <is>
          <t>01a1212c-4c04-75ce-bbb2-e3322e18816e</t>
        </is>
      </c>
      <c r="M1885" t="inlineStr">
        <is>
          <t>UNKNOWN</t>
        </is>
      </c>
      <c r="N1885" t="inlineStr">
        <is>
          <t>DEFAULT</t>
        </is>
      </c>
      <c r="Q1885" t="n">
        <v>0</v>
      </c>
      <c r="R1885" t="inlineStr">
        <is>
          <t>AUD</t>
        </is>
      </c>
      <c r="S1885" t="n">
        <v>0</v>
      </c>
      <c r="T1885" t="inlineStr">
        <is>
          <t>AUD</t>
        </is>
      </c>
      <c r="U1885" t="n">
        <v>0</v>
      </c>
    </row>
    <row r="1886">
      <c r="A1886" s="5" t="inlineStr">
        <is>
          <t>01a1212c-62a2-7782-8d7e-fef77997753c</t>
        </is>
      </c>
      <c r="C1886" s="5" t="inlineStr">
        <is>
          <t>01a1212c-4b57-70cf-80fd-c2192cb3bf81</t>
        </is>
      </c>
      <c r="D1886" s="4" t="n">
        <v>46304.62406706594</v>
      </c>
      <c r="E1886" s="4" t="n">
        <v>46304.62406706602</v>
      </c>
      <c r="F1886" t="b">
        <v>1</v>
      </c>
      <c r="G1886" t="n">
        <v/>
      </c>
      <c r="H1886" t="inlineStr">
        <is>
          <t>AHN</t>
        </is>
      </c>
      <c r="I1886" t="inlineStr">
        <is>
          <t>Athena Resources Ltd</t>
        </is>
      </c>
      <c r="J1886" t="inlineStr">
        <is>
          <t>AUD</t>
        </is>
      </c>
      <c r="K1886" s="5" t="inlineStr">
        <is>
          <t>01a1212c-4c04-75ce-bbb2-e3322e18816e</t>
        </is>
      </c>
      <c r="M1886" t="inlineStr">
        <is>
          <t>UNKNOWN</t>
        </is>
      </c>
      <c r="N1886" t="inlineStr">
        <is>
          <t>DEFAULT</t>
        </is>
      </c>
      <c r="Q1886" t="n">
        <v>0</v>
      </c>
      <c r="R1886" t="inlineStr">
        <is>
          <t>AUD</t>
        </is>
      </c>
      <c r="S1886" t="n">
        <v>0</v>
      </c>
      <c r="T1886" t="inlineStr">
        <is>
          <t>AUD</t>
        </is>
      </c>
      <c r="U1886" t="n">
        <v>0</v>
      </c>
    </row>
    <row r="1887">
      <c r="A1887" s="5" t="inlineStr">
        <is>
          <t>01a1212c-62a5-7375-aa86-b67db2f0e661</t>
        </is>
      </c>
      <c r="C1887" s="5" t="inlineStr">
        <is>
          <t>01a1212c-4b57-70cf-80fd-c2192cb3bf81</t>
        </is>
      </c>
      <c r="D1887" s="4" t="n">
        <v>46304.62406709723</v>
      </c>
      <c r="E1887" s="4" t="n">
        <v>46304.62406709731</v>
      </c>
      <c r="F1887" t="b">
        <v>1</v>
      </c>
      <c r="G1887" t="n">
        <v/>
      </c>
      <c r="H1887" t="inlineStr">
        <is>
          <t>MBK</t>
        </is>
      </c>
      <c r="I1887" t="inlineStr">
        <is>
          <t>Metal Bank Ltd</t>
        </is>
      </c>
      <c r="J1887" t="inlineStr">
        <is>
          <t>AUD</t>
        </is>
      </c>
      <c r="K1887" s="5" t="inlineStr">
        <is>
          <t>01a1212c-4c04-75ce-bbb2-e3322e18816e</t>
        </is>
      </c>
      <c r="M1887" t="inlineStr">
        <is>
          <t>UNKNOWN</t>
        </is>
      </c>
      <c r="N1887" t="inlineStr">
        <is>
          <t>DEFAULT</t>
        </is>
      </c>
      <c r="Q1887" t="n">
        <v>0</v>
      </c>
      <c r="R1887" t="inlineStr">
        <is>
          <t>AUD</t>
        </is>
      </c>
      <c r="S1887" t="n">
        <v>0</v>
      </c>
      <c r="T1887" t="inlineStr">
        <is>
          <t>AUD</t>
        </is>
      </c>
      <c r="U1887" t="n">
        <v>0</v>
      </c>
    </row>
    <row r="1888">
      <c r="A1888" s="5" t="inlineStr">
        <is>
          <t>01a1212c-62a7-76b2-9ba4-45603dd98638</t>
        </is>
      </c>
      <c r="C1888" s="5" t="inlineStr">
        <is>
          <t>01a1212c-4b57-70cf-80fd-c2192cb3bf81</t>
        </is>
      </c>
      <c r="D1888" s="4" t="n">
        <v>46304.62406713071</v>
      </c>
      <c r="E1888" s="4" t="n">
        <v>46304.62406713078</v>
      </c>
      <c r="F1888" t="b">
        <v>1</v>
      </c>
      <c r="G1888" t="n">
        <v/>
      </c>
      <c r="H1888" t="inlineStr">
        <is>
          <t>ALM</t>
        </is>
      </c>
      <c r="I1888" t="inlineStr">
        <is>
          <t>Alma Metals Ltd</t>
        </is>
      </c>
      <c r="J1888" t="inlineStr">
        <is>
          <t>AUD</t>
        </is>
      </c>
      <c r="K1888" s="5" t="inlineStr">
        <is>
          <t>01a1212c-4c04-75ce-bbb2-e3322e18816e</t>
        </is>
      </c>
      <c r="M1888" t="inlineStr">
        <is>
          <t>UNKNOWN</t>
        </is>
      </c>
      <c r="N1888" t="inlineStr">
        <is>
          <t>DEFAULT</t>
        </is>
      </c>
      <c r="Q1888" t="n">
        <v>0</v>
      </c>
      <c r="R1888" t="inlineStr">
        <is>
          <t>AUD</t>
        </is>
      </c>
      <c r="S1888" t="n">
        <v>0</v>
      </c>
      <c r="T1888" t="inlineStr">
        <is>
          <t>AUD</t>
        </is>
      </c>
      <c r="U1888" t="n">
        <v>0</v>
      </c>
    </row>
    <row r="1889">
      <c r="A1889" s="5" t="inlineStr">
        <is>
          <t>01a1212c-62aa-7290-8c0c-afd78e799fa1</t>
        </is>
      </c>
      <c r="C1889" s="5" t="inlineStr">
        <is>
          <t>01a1212c-4b57-70cf-80fd-c2192cb3bf81</t>
        </is>
      </c>
      <c r="D1889" s="4" t="n">
        <v>46304.62406716453</v>
      </c>
      <c r="E1889" s="4" t="n">
        <v>46304.62406716462</v>
      </c>
      <c r="F1889" t="b">
        <v>1</v>
      </c>
      <c r="G1889" t="n">
        <v/>
      </c>
      <c r="H1889" t="inlineStr">
        <is>
          <t>TRI</t>
        </is>
      </c>
      <c r="I1889" t="inlineStr">
        <is>
          <t>Trivarx Ltd</t>
        </is>
      </c>
      <c r="J1889" t="inlineStr">
        <is>
          <t>AUD</t>
        </is>
      </c>
      <c r="K1889" s="5" t="inlineStr">
        <is>
          <t>01a1212c-4c04-75ce-bbb2-e3322e18816e</t>
        </is>
      </c>
      <c r="M1889" t="inlineStr">
        <is>
          <t>UNKNOWN</t>
        </is>
      </c>
      <c r="N1889" t="inlineStr">
        <is>
          <t>DEFAULT</t>
        </is>
      </c>
      <c r="Q1889" t="n">
        <v>0</v>
      </c>
      <c r="R1889" t="inlineStr">
        <is>
          <t>AUD</t>
        </is>
      </c>
      <c r="S1889" t="n">
        <v>0</v>
      </c>
      <c r="T1889" t="inlineStr">
        <is>
          <t>AUD</t>
        </is>
      </c>
      <c r="U1889" t="n">
        <v>0</v>
      </c>
    </row>
    <row r="1890">
      <c r="A1890" s="5" t="inlineStr">
        <is>
          <t>01a1212c-62ad-7431-9a67-4a6ccf610823</t>
        </is>
      </c>
      <c r="C1890" s="5" t="inlineStr">
        <is>
          <t>01a1212c-4b57-70cf-80fd-c2192cb3bf81</t>
        </is>
      </c>
      <c r="D1890" s="4" t="n">
        <v>46304.62406720019</v>
      </c>
      <c r="E1890" s="4" t="n">
        <v>46304.62406720028</v>
      </c>
      <c r="F1890" t="b">
        <v>1</v>
      </c>
      <c r="G1890" t="n">
        <v/>
      </c>
      <c r="H1890" t="inlineStr">
        <is>
          <t>1MC</t>
        </is>
      </c>
      <c r="I1890" t="inlineStr">
        <is>
          <t>Morella Corporation Ltd</t>
        </is>
      </c>
      <c r="J1890" t="inlineStr">
        <is>
          <t>AUD</t>
        </is>
      </c>
      <c r="K1890" s="5" t="inlineStr">
        <is>
          <t>01a1212c-4c04-75ce-bbb2-e3322e18816e</t>
        </is>
      </c>
      <c r="M1890" t="inlineStr">
        <is>
          <t>UNKNOWN</t>
        </is>
      </c>
      <c r="N1890" t="inlineStr">
        <is>
          <t>DEFAULT</t>
        </is>
      </c>
      <c r="Q1890" t="n">
        <v>0</v>
      </c>
      <c r="R1890" t="inlineStr">
        <is>
          <t>AUD</t>
        </is>
      </c>
      <c r="S1890" t="n">
        <v>0</v>
      </c>
      <c r="T1890" t="inlineStr">
        <is>
          <t>AUD</t>
        </is>
      </c>
      <c r="U1890" t="n">
        <v>0</v>
      </c>
    </row>
    <row r="1891">
      <c r="A1891" s="5" t="inlineStr">
        <is>
          <t>01a1212c-62b0-7131-8a0f-c975e9b09811</t>
        </is>
      </c>
      <c r="C1891" s="5" t="inlineStr">
        <is>
          <t>01a1212c-4b57-70cf-80fd-c2192cb3bf81</t>
        </is>
      </c>
      <c r="D1891" s="4" t="n">
        <v>46304.62406723311</v>
      </c>
      <c r="E1891" s="4" t="n">
        <v>46304.62406723318</v>
      </c>
      <c r="F1891" t="b">
        <v>1</v>
      </c>
      <c r="G1891" t="n">
        <v/>
      </c>
      <c r="H1891" t="inlineStr">
        <is>
          <t>X2M</t>
        </is>
      </c>
      <c r="I1891" t="inlineStr">
        <is>
          <t>X2M Connect Ltd</t>
        </is>
      </c>
      <c r="J1891" t="inlineStr">
        <is>
          <t>AUD</t>
        </is>
      </c>
      <c r="K1891" s="5" t="inlineStr">
        <is>
          <t>01a1212c-4c04-75ce-bbb2-e3322e18816e</t>
        </is>
      </c>
      <c r="M1891" t="inlineStr">
        <is>
          <t>UNKNOWN</t>
        </is>
      </c>
      <c r="N1891" t="inlineStr">
        <is>
          <t>DEFAULT</t>
        </is>
      </c>
      <c r="Q1891" t="n">
        <v>0</v>
      </c>
      <c r="R1891" t="inlineStr">
        <is>
          <t>AUD</t>
        </is>
      </c>
      <c r="S1891" t="n">
        <v>0</v>
      </c>
      <c r="T1891" t="inlineStr">
        <is>
          <t>AUD</t>
        </is>
      </c>
      <c r="U1891" t="n">
        <v>0</v>
      </c>
    </row>
    <row r="1892">
      <c r="A1892" s="5" t="inlineStr">
        <is>
          <t>01a1212c-62b3-7621-b9ef-469f5f35aa4c</t>
        </is>
      </c>
      <c r="C1892" s="5" t="inlineStr">
        <is>
          <t>01a1212c-4b57-70cf-80fd-c2192cb3bf81</t>
        </is>
      </c>
      <c r="D1892" s="4" t="n">
        <v>46304.62406726667</v>
      </c>
      <c r="E1892" s="4" t="n">
        <v>46304.62406726675</v>
      </c>
      <c r="F1892" t="b">
        <v>1</v>
      </c>
      <c r="G1892" t="n">
        <v/>
      </c>
      <c r="H1892" t="inlineStr">
        <is>
          <t>PRS</t>
        </is>
      </c>
      <c r="I1892" t="inlineStr">
        <is>
          <t>Prospech Ltd</t>
        </is>
      </c>
      <c r="J1892" t="inlineStr">
        <is>
          <t>AUD</t>
        </is>
      </c>
      <c r="K1892" s="5" t="inlineStr">
        <is>
          <t>01a1212c-4c04-75ce-bbb2-e3322e18816e</t>
        </is>
      </c>
      <c r="M1892" t="inlineStr">
        <is>
          <t>UNKNOWN</t>
        </is>
      </c>
      <c r="N1892" t="inlineStr">
        <is>
          <t>DEFAULT</t>
        </is>
      </c>
      <c r="Q1892" t="n">
        <v>0</v>
      </c>
      <c r="R1892" t="inlineStr">
        <is>
          <t>AUD</t>
        </is>
      </c>
      <c r="S1892" t="n">
        <v>0</v>
      </c>
      <c r="T1892" t="inlineStr">
        <is>
          <t>AUD</t>
        </is>
      </c>
      <c r="U1892" t="n">
        <v>0</v>
      </c>
    </row>
    <row r="1893">
      <c r="A1893" s="5" t="inlineStr">
        <is>
          <t>01a1212c-62b6-7748-9e93-68441469f2af</t>
        </is>
      </c>
      <c r="C1893" s="5" t="inlineStr">
        <is>
          <t>01a1212c-4b57-70cf-80fd-c2192cb3bf81</t>
        </is>
      </c>
      <c r="D1893" s="4" t="n">
        <v>46304.62406730072</v>
      </c>
      <c r="E1893" s="4" t="n">
        <v>46304.62406730081</v>
      </c>
      <c r="F1893" t="b">
        <v>1</v>
      </c>
      <c r="G1893" t="n">
        <v/>
      </c>
      <c r="H1893" t="inlineStr">
        <is>
          <t>VAR</t>
        </is>
      </c>
      <c r="I1893" t="inlineStr">
        <is>
          <t>Variscan Mines Ltd</t>
        </is>
      </c>
      <c r="J1893" t="inlineStr">
        <is>
          <t>AUD</t>
        </is>
      </c>
      <c r="K1893" s="5" t="inlineStr">
        <is>
          <t>01a1212c-4c04-75ce-bbb2-e3322e18816e</t>
        </is>
      </c>
      <c r="M1893" t="inlineStr">
        <is>
          <t>UNKNOWN</t>
        </is>
      </c>
      <c r="N1893" t="inlineStr">
        <is>
          <t>DEFAULT</t>
        </is>
      </c>
      <c r="Q1893" t="n">
        <v>0</v>
      </c>
      <c r="R1893" t="inlineStr">
        <is>
          <t>AUD</t>
        </is>
      </c>
      <c r="S1893" t="n">
        <v>0</v>
      </c>
      <c r="T1893" t="inlineStr">
        <is>
          <t>AUD</t>
        </is>
      </c>
      <c r="U1893" t="n">
        <v>0</v>
      </c>
    </row>
    <row r="1894">
      <c r="A1894" s="5" t="inlineStr">
        <is>
          <t>01a1212c-62b9-771d-98be-f5f01ba569c7</t>
        </is>
      </c>
      <c r="C1894" s="5" t="inlineStr">
        <is>
          <t>01a1212c-4b57-70cf-80fd-c2192cb3bf81</t>
        </is>
      </c>
      <c r="D1894" s="4" t="n">
        <v>46304.62406733492</v>
      </c>
      <c r="E1894" s="4" t="n">
        <v>46304.624067335</v>
      </c>
      <c r="F1894" t="b">
        <v>1</v>
      </c>
      <c r="G1894" t="n">
        <v/>
      </c>
      <c r="H1894" t="inlineStr">
        <is>
          <t>LIO</t>
        </is>
      </c>
      <c r="I1894" t="inlineStr">
        <is>
          <t>Lion Energy Ltd</t>
        </is>
      </c>
      <c r="J1894" t="inlineStr">
        <is>
          <t>AUD</t>
        </is>
      </c>
      <c r="K1894" s="5" t="inlineStr">
        <is>
          <t>01a1212c-4c04-75ce-bbb2-e3322e18816e</t>
        </is>
      </c>
      <c r="M1894" t="inlineStr">
        <is>
          <t>UNKNOWN</t>
        </is>
      </c>
      <c r="N1894" t="inlineStr">
        <is>
          <t>DEFAULT</t>
        </is>
      </c>
      <c r="Q1894" t="n">
        <v>0</v>
      </c>
      <c r="R1894" t="inlineStr">
        <is>
          <t>AUD</t>
        </is>
      </c>
      <c r="S1894" t="n">
        <v>0</v>
      </c>
      <c r="T1894" t="inlineStr">
        <is>
          <t>AUD</t>
        </is>
      </c>
      <c r="U1894" t="n">
        <v>0</v>
      </c>
    </row>
    <row r="1895">
      <c r="A1895" s="5" t="inlineStr">
        <is>
          <t>01a1212c-62bc-7046-89c5-2ac6f306a47b</t>
        </is>
      </c>
      <c r="C1895" s="5" t="inlineStr">
        <is>
          <t>01a1212c-4b57-70cf-80fd-c2192cb3bf81</t>
        </is>
      </c>
      <c r="D1895" s="4" t="n">
        <v>46304.62406736644</v>
      </c>
      <c r="E1895" s="4" t="n">
        <v>46304.6240673665</v>
      </c>
      <c r="F1895" t="b">
        <v>1</v>
      </c>
      <c r="G1895" t="n">
        <v/>
      </c>
      <c r="H1895" t="inlineStr">
        <is>
          <t>HMI</t>
        </is>
      </c>
      <c r="I1895" t="inlineStr">
        <is>
          <t>Hiremii Ltd</t>
        </is>
      </c>
      <c r="J1895" t="inlineStr">
        <is>
          <t>AUD</t>
        </is>
      </c>
      <c r="K1895" s="5" t="inlineStr">
        <is>
          <t>01a1212c-4c04-75ce-bbb2-e3322e18816e</t>
        </is>
      </c>
      <c r="M1895" t="inlineStr">
        <is>
          <t>UNKNOWN</t>
        </is>
      </c>
      <c r="N1895" t="inlineStr">
        <is>
          <t>DEFAULT</t>
        </is>
      </c>
      <c r="Q1895" t="n">
        <v>0</v>
      </c>
      <c r="R1895" t="inlineStr">
        <is>
          <t>AUD</t>
        </is>
      </c>
      <c r="S1895" t="n">
        <v>0</v>
      </c>
      <c r="T1895" t="inlineStr">
        <is>
          <t>AUD</t>
        </is>
      </c>
      <c r="U1895" t="n">
        <v>0</v>
      </c>
    </row>
    <row r="1896">
      <c r="A1896" s="5" t="inlineStr">
        <is>
          <t>01a1212c-62bf-76cb-8032-eda6ee1ac7cf</t>
        </is>
      </c>
      <c r="C1896" s="5" t="inlineStr">
        <is>
          <t>01a1212c-4b57-70cf-80fd-c2192cb3bf81</t>
        </is>
      </c>
      <c r="D1896" s="4" t="n">
        <v>46304.62406739766</v>
      </c>
      <c r="E1896" s="4" t="n">
        <v>46304.62406739774</v>
      </c>
      <c r="F1896" t="b">
        <v>1</v>
      </c>
      <c r="G1896" t="n">
        <v/>
      </c>
      <c r="H1896" t="inlineStr">
        <is>
          <t>8CO</t>
        </is>
      </c>
      <c r="I1896" t="inlineStr">
        <is>
          <t>8COMMON Ltd</t>
        </is>
      </c>
      <c r="J1896" t="inlineStr">
        <is>
          <t>AUD</t>
        </is>
      </c>
      <c r="K1896" s="5" t="inlineStr">
        <is>
          <t>01a1212c-4c04-75ce-bbb2-e3322e18816e</t>
        </is>
      </c>
      <c r="M1896" t="inlineStr">
        <is>
          <t>UNKNOWN</t>
        </is>
      </c>
      <c r="N1896" t="inlineStr">
        <is>
          <t>DEFAULT</t>
        </is>
      </c>
      <c r="Q1896" t="n">
        <v>0</v>
      </c>
      <c r="R1896" t="inlineStr">
        <is>
          <t>AUD</t>
        </is>
      </c>
      <c r="S1896" t="n">
        <v>0</v>
      </c>
      <c r="T1896" t="inlineStr">
        <is>
          <t>AUD</t>
        </is>
      </c>
      <c r="U1896" t="n">
        <v>0</v>
      </c>
    </row>
    <row r="1897">
      <c r="A1897" s="5" t="inlineStr">
        <is>
          <t>01a1212c-62c1-7126-aeb3-8bb073521d80</t>
        </is>
      </c>
      <c r="C1897" s="5" t="inlineStr">
        <is>
          <t>01a1212c-4b57-70cf-80fd-c2192cb3bf81</t>
        </is>
      </c>
      <c r="D1897" s="4" t="n">
        <v>46304.62406743061</v>
      </c>
      <c r="E1897" s="4" t="n">
        <v>46304.6240674307</v>
      </c>
      <c r="F1897" t="b">
        <v>1</v>
      </c>
      <c r="G1897" t="n">
        <v/>
      </c>
      <c r="H1897" t="inlineStr">
        <is>
          <t>REY</t>
        </is>
      </c>
      <c r="I1897" t="inlineStr">
        <is>
          <t>REY Resources Ltd</t>
        </is>
      </c>
      <c r="J1897" t="inlineStr">
        <is>
          <t>AUD</t>
        </is>
      </c>
      <c r="K1897" s="5" t="inlineStr">
        <is>
          <t>01a1212c-4c04-75ce-bbb2-e3322e18816e</t>
        </is>
      </c>
      <c r="M1897" t="inlineStr">
        <is>
          <t>UNKNOWN</t>
        </is>
      </c>
      <c r="N1897" t="inlineStr">
        <is>
          <t>DEFAULT</t>
        </is>
      </c>
      <c r="Q1897" t="n">
        <v>0</v>
      </c>
      <c r="R1897" t="inlineStr">
        <is>
          <t>AUD</t>
        </is>
      </c>
      <c r="S1897" t="n">
        <v>0</v>
      </c>
      <c r="T1897" t="inlineStr">
        <is>
          <t>AUD</t>
        </is>
      </c>
      <c r="U1897" t="n">
        <v>0</v>
      </c>
    </row>
    <row r="1898">
      <c r="A1898" s="5" t="inlineStr">
        <is>
          <t>01a1212c-62c4-77cc-9197-36733909ebbd</t>
        </is>
      </c>
      <c r="C1898" s="5" t="inlineStr">
        <is>
          <t>01a1212c-4b57-70cf-80fd-c2192cb3bf81</t>
        </is>
      </c>
      <c r="D1898" s="4" t="n">
        <v>46304.62406746113</v>
      </c>
      <c r="E1898" s="4" t="n">
        <v>46304.62406746121</v>
      </c>
      <c r="F1898" t="b">
        <v>1</v>
      </c>
      <c r="G1898" t="n">
        <v/>
      </c>
      <c r="H1898" t="inlineStr">
        <is>
          <t>ASQ</t>
        </is>
      </c>
      <c r="I1898" t="inlineStr">
        <is>
          <t>Australian Silica Quartz Group Ltd</t>
        </is>
      </c>
      <c r="J1898" t="inlineStr">
        <is>
          <t>AUD</t>
        </is>
      </c>
      <c r="K1898" s="5" t="inlineStr">
        <is>
          <t>01a1212c-4c04-75ce-bbb2-e3322e18816e</t>
        </is>
      </c>
      <c r="M1898" t="inlineStr">
        <is>
          <t>UNKNOWN</t>
        </is>
      </c>
      <c r="N1898" t="inlineStr">
        <is>
          <t>DEFAULT</t>
        </is>
      </c>
      <c r="Q1898" t="n">
        <v>0</v>
      </c>
      <c r="R1898" t="inlineStr">
        <is>
          <t>AUD</t>
        </is>
      </c>
      <c r="S1898" t="n">
        <v>0</v>
      </c>
      <c r="T1898" t="inlineStr">
        <is>
          <t>AUD</t>
        </is>
      </c>
      <c r="U1898" t="n">
        <v>0</v>
      </c>
    </row>
    <row r="1899">
      <c r="A1899" s="5" t="inlineStr">
        <is>
          <t>01a1212c-62c8-712b-bc1c-50ae5033a3e6</t>
        </is>
      </c>
      <c r="C1899" s="5" t="inlineStr">
        <is>
          <t>01a1212c-4b57-70cf-80fd-c2192cb3bf81</t>
        </is>
      </c>
      <c r="D1899" s="4" t="n">
        <v>46304.62406750167</v>
      </c>
      <c r="E1899" s="4" t="n">
        <v>46304.62406750175</v>
      </c>
      <c r="F1899" t="b">
        <v>1</v>
      </c>
      <c r="G1899" t="n">
        <v/>
      </c>
      <c r="H1899" t="inlineStr">
        <is>
          <t>EMN</t>
        </is>
      </c>
      <c r="I1899" t="inlineStr">
        <is>
          <t>Euro Manganese Inc</t>
        </is>
      </c>
      <c r="J1899" t="inlineStr">
        <is>
          <t>AUD</t>
        </is>
      </c>
      <c r="K1899" s="5" t="inlineStr">
        <is>
          <t>01a1212c-4c04-75ce-bbb2-e3322e18816e</t>
        </is>
      </c>
      <c r="M1899" t="inlineStr">
        <is>
          <t>UNKNOWN</t>
        </is>
      </c>
      <c r="N1899" t="inlineStr">
        <is>
          <t>DEFAULT</t>
        </is>
      </c>
      <c r="Q1899" t="n">
        <v>0</v>
      </c>
      <c r="R1899" t="inlineStr">
        <is>
          <t>AUD</t>
        </is>
      </c>
      <c r="S1899" t="n">
        <v>0</v>
      </c>
      <c r="T1899" t="inlineStr">
        <is>
          <t>AUD</t>
        </is>
      </c>
      <c r="U1899" t="n">
        <v>0</v>
      </c>
    </row>
    <row r="1900">
      <c r="A1900" s="5" t="inlineStr">
        <is>
          <t>01a1212c-62ca-706c-a6f9-de483300a7dc</t>
        </is>
      </c>
      <c r="C1900" s="5" t="inlineStr">
        <is>
          <t>01a1212c-4b57-70cf-80fd-c2192cb3bf81</t>
        </is>
      </c>
      <c r="D1900" s="4" t="n">
        <v>46304.6240675338</v>
      </c>
      <c r="E1900" s="4" t="n">
        <v>46304.62406753389</v>
      </c>
      <c r="F1900" t="b">
        <v>1</v>
      </c>
      <c r="G1900" t="n">
        <v/>
      </c>
      <c r="H1900" t="inlineStr">
        <is>
          <t>DTR</t>
        </is>
      </c>
      <c r="I1900" t="inlineStr">
        <is>
          <t>Dateline Resources Ltd</t>
        </is>
      </c>
      <c r="J1900" t="inlineStr">
        <is>
          <t>AUD</t>
        </is>
      </c>
      <c r="K1900" s="5" t="inlineStr">
        <is>
          <t>01a1212c-4c04-75ce-bbb2-e3322e18816e</t>
        </is>
      </c>
      <c r="M1900" t="inlineStr">
        <is>
          <t>UNKNOWN</t>
        </is>
      </c>
      <c r="N1900" t="inlineStr">
        <is>
          <t>DEFAULT</t>
        </is>
      </c>
      <c r="Q1900" t="n">
        <v>0</v>
      </c>
      <c r="R1900" t="inlineStr">
        <is>
          <t>AUD</t>
        </is>
      </c>
      <c r="S1900" t="n">
        <v>0</v>
      </c>
      <c r="T1900" t="inlineStr">
        <is>
          <t>AUD</t>
        </is>
      </c>
      <c r="U1900" t="n">
        <v>0</v>
      </c>
    </row>
    <row r="1901">
      <c r="A1901" s="5" t="inlineStr">
        <is>
          <t>01a1212c-62cd-7666-8356-60b85d4b9a63</t>
        </is>
      </c>
      <c r="C1901" s="5" t="inlineStr">
        <is>
          <t>01a1212c-4b57-70cf-80fd-c2192cb3bf81</t>
        </is>
      </c>
      <c r="D1901" s="4" t="n">
        <v>46304.62406756802</v>
      </c>
      <c r="E1901" s="4" t="n">
        <v>46304.6240675681</v>
      </c>
      <c r="F1901" t="b">
        <v>1</v>
      </c>
      <c r="G1901" t="n">
        <v/>
      </c>
      <c r="H1901" t="inlineStr">
        <is>
          <t>UCM</t>
        </is>
      </c>
      <c r="I1901" t="inlineStr">
        <is>
          <t>Uscom Ltd</t>
        </is>
      </c>
      <c r="J1901" t="inlineStr">
        <is>
          <t>AUD</t>
        </is>
      </c>
      <c r="K1901" s="5" t="inlineStr">
        <is>
          <t>01a1212c-4c04-75ce-bbb2-e3322e18816e</t>
        </is>
      </c>
      <c r="M1901" t="inlineStr">
        <is>
          <t>UNKNOWN</t>
        </is>
      </c>
      <c r="N1901" t="inlineStr">
        <is>
          <t>DEFAULT</t>
        </is>
      </c>
      <c r="Q1901" t="n">
        <v>0</v>
      </c>
      <c r="R1901" t="inlineStr">
        <is>
          <t>AUD</t>
        </is>
      </c>
      <c r="S1901" t="n">
        <v>0</v>
      </c>
      <c r="T1901" t="inlineStr">
        <is>
          <t>AUD</t>
        </is>
      </c>
      <c r="U1901" t="n">
        <v>0</v>
      </c>
    </row>
    <row r="1902">
      <c r="A1902" s="5" t="inlineStr">
        <is>
          <t>01a1212c-62d0-765f-9f59-fe9e9dc1d4a7</t>
        </is>
      </c>
      <c r="C1902" s="5" t="inlineStr">
        <is>
          <t>01a1212c-4b57-70cf-80fd-c2192cb3bf81</t>
        </is>
      </c>
      <c r="D1902" s="4" t="n">
        <v>46304.62406760026</v>
      </c>
      <c r="E1902" s="4" t="n">
        <v>46304.62406760035</v>
      </c>
      <c r="F1902" t="b">
        <v>1</v>
      </c>
      <c r="G1902" t="n">
        <v/>
      </c>
      <c r="H1902" t="inlineStr">
        <is>
          <t>GRE</t>
        </is>
      </c>
      <c r="I1902" t="inlineStr">
        <is>
          <t>Greentech Metals Ltd</t>
        </is>
      </c>
      <c r="J1902" t="inlineStr">
        <is>
          <t>AUD</t>
        </is>
      </c>
      <c r="K1902" s="5" t="inlineStr">
        <is>
          <t>01a1212c-4c04-75ce-bbb2-e3322e18816e</t>
        </is>
      </c>
      <c r="M1902" t="inlineStr">
        <is>
          <t>UNKNOWN</t>
        </is>
      </c>
      <c r="N1902" t="inlineStr">
        <is>
          <t>DEFAULT</t>
        </is>
      </c>
      <c r="Q1902" t="n">
        <v>0</v>
      </c>
      <c r="R1902" t="inlineStr">
        <is>
          <t>AUD</t>
        </is>
      </c>
      <c r="S1902" t="n">
        <v>0</v>
      </c>
      <c r="T1902" t="inlineStr">
        <is>
          <t>AUD</t>
        </is>
      </c>
      <c r="U1902" t="n">
        <v>0</v>
      </c>
    </row>
    <row r="1903">
      <c r="A1903" s="5" t="inlineStr">
        <is>
          <t>01a1212c-62d3-7281-af26-f233a16fb2bc</t>
        </is>
      </c>
      <c r="C1903" s="5" t="inlineStr">
        <is>
          <t>01a1212c-4b57-70cf-80fd-c2192cb3bf81</t>
        </is>
      </c>
      <c r="D1903" s="4" t="n">
        <v>46304.62406763321</v>
      </c>
      <c r="E1903" s="4" t="n">
        <v>46304.62406763329</v>
      </c>
      <c r="F1903" t="b">
        <v>1</v>
      </c>
      <c r="G1903" t="n">
        <v/>
      </c>
      <c r="H1903" t="inlineStr">
        <is>
          <t>YANK</t>
        </is>
      </c>
      <c r="I1903" t="inlineStr">
        <is>
          <t>Betashares Strong U.S. Dollar Fund (Hedge Fund)</t>
        </is>
      </c>
      <c r="J1903" t="inlineStr">
        <is>
          <t>AUD</t>
        </is>
      </c>
      <c r="K1903" s="5" t="inlineStr">
        <is>
          <t>01a1212c-4c04-75ce-bbb2-e3322e18816e</t>
        </is>
      </c>
      <c r="M1903" t="inlineStr">
        <is>
          <t>UNKNOWN</t>
        </is>
      </c>
      <c r="N1903" t="inlineStr">
        <is>
          <t>DEFAULT</t>
        </is>
      </c>
      <c r="Q1903" t="n">
        <v>0</v>
      </c>
      <c r="R1903" t="inlineStr">
        <is>
          <t>AUD</t>
        </is>
      </c>
      <c r="S1903" t="n">
        <v>0</v>
      </c>
      <c r="T1903" t="inlineStr">
        <is>
          <t>AUD</t>
        </is>
      </c>
      <c r="U1903" t="n">
        <v>0</v>
      </c>
    </row>
    <row r="1904">
      <c r="A1904" s="5" t="inlineStr">
        <is>
          <t>01a1212c-62d6-76fb-9dc7-d0c564e0f4fe</t>
        </is>
      </c>
      <c r="C1904" s="5" t="inlineStr">
        <is>
          <t>01a1212c-4b57-70cf-80fd-c2192cb3bf81</t>
        </is>
      </c>
      <c r="D1904" s="4" t="n">
        <v>46304.62406766699</v>
      </c>
      <c r="E1904" s="4" t="n">
        <v>46304.62406766709</v>
      </c>
      <c r="F1904" t="b">
        <v>1</v>
      </c>
      <c r="G1904" t="n">
        <v/>
      </c>
      <c r="H1904" t="inlineStr">
        <is>
          <t>AX8</t>
        </is>
      </c>
      <c r="I1904" t="inlineStr">
        <is>
          <t>Accelerate Resources Ltd</t>
        </is>
      </c>
      <c r="J1904" t="inlineStr">
        <is>
          <t>AUD</t>
        </is>
      </c>
      <c r="K1904" s="5" t="inlineStr">
        <is>
          <t>01a1212c-4c04-75ce-bbb2-e3322e18816e</t>
        </is>
      </c>
      <c r="M1904" t="inlineStr">
        <is>
          <t>UNKNOWN</t>
        </is>
      </c>
      <c r="N1904" t="inlineStr">
        <is>
          <t>DEFAULT</t>
        </is>
      </c>
      <c r="Q1904" t="n">
        <v>0</v>
      </c>
      <c r="R1904" t="inlineStr">
        <is>
          <t>AUD</t>
        </is>
      </c>
      <c r="S1904" t="n">
        <v>0</v>
      </c>
      <c r="T1904" t="inlineStr">
        <is>
          <t>AUD</t>
        </is>
      </c>
      <c r="U1904" t="n">
        <v>0</v>
      </c>
    </row>
    <row r="1905">
      <c r="A1905" s="5" t="inlineStr">
        <is>
          <t>01a1212c-62d9-76fe-8df1-945c7d41af3e</t>
        </is>
      </c>
      <c r="C1905" s="5" t="inlineStr">
        <is>
          <t>01a1212c-4b57-70cf-80fd-c2192cb3bf81</t>
        </is>
      </c>
      <c r="D1905" s="4" t="n">
        <v>46304.62406770046</v>
      </c>
      <c r="E1905" s="4" t="n">
        <v>46304.62406770056</v>
      </c>
      <c r="F1905" t="b">
        <v>1</v>
      </c>
      <c r="G1905" t="n">
        <v/>
      </c>
      <c r="H1905" t="inlineStr">
        <is>
          <t>XGL</t>
        </is>
      </c>
      <c r="I1905" t="inlineStr">
        <is>
          <t>Xamble Group Ltd</t>
        </is>
      </c>
      <c r="J1905" t="inlineStr">
        <is>
          <t>AUD</t>
        </is>
      </c>
      <c r="K1905" s="5" t="inlineStr">
        <is>
          <t>01a1212c-4c04-75ce-bbb2-e3322e18816e</t>
        </is>
      </c>
      <c r="M1905" t="inlineStr">
        <is>
          <t>UNKNOWN</t>
        </is>
      </c>
      <c r="N1905" t="inlineStr">
        <is>
          <t>DEFAULT</t>
        </is>
      </c>
      <c r="Q1905" t="n">
        <v>0</v>
      </c>
      <c r="R1905" t="inlineStr">
        <is>
          <t>AUD</t>
        </is>
      </c>
      <c r="S1905" t="n">
        <v>0</v>
      </c>
      <c r="T1905" t="inlineStr">
        <is>
          <t>AUD</t>
        </is>
      </c>
      <c r="U1905" t="n">
        <v>0</v>
      </c>
    </row>
    <row r="1906">
      <c r="A1906" s="5" t="inlineStr">
        <is>
          <t>01a1212c-62dc-7277-b9b2-9b193197c19b</t>
        </is>
      </c>
      <c r="C1906" s="5" t="inlineStr">
        <is>
          <t>01a1212c-4b57-70cf-80fd-c2192cb3bf81</t>
        </is>
      </c>
      <c r="D1906" s="4" t="n">
        <v>46304.62406773612</v>
      </c>
      <c r="E1906" s="4" t="n">
        <v>46304.62406773621</v>
      </c>
      <c r="F1906" t="b">
        <v>1</v>
      </c>
      <c r="G1906" t="n">
        <v/>
      </c>
      <c r="H1906" t="inlineStr">
        <is>
          <t>AAU</t>
        </is>
      </c>
      <c r="I1906" t="inlineStr">
        <is>
          <t>Antilles Gold Ltd</t>
        </is>
      </c>
      <c r="J1906" t="inlineStr">
        <is>
          <t>AUD</t>
        </is>
      </c>
      <c r="K1906" s="5" t="inlineStr">
        <is>
          <t>01a1212c-4c04-75ce-bbb2-e3322e18816e</t>
        </is>
      </c>
      <c r="M1906" t="inlineStr">
        <is>
          <t>UNKNOWN</t>
        </is>
      </c>
      <c r="N1906" t="inlineStr">
        <is>
          <t>DEFAULT</t>
        </is>
      </c>
      <c r="Q1906" t="n">
        <v>0</v>
      </c>
      <c r="R1906" t="inlineStr">
        <is>
          <t>AUD</t>
        </is>
      </c>
      <c r="S1906" t="n">
        <v>0</v>
      </c>
      <c r="T1906" t="inlineStr">
        <is>
          <t>AUD</t>
        </is>
      </c>
      <c r="U1906" t="n">
        <v>0</v>
      </c>
    </row>
    <row r="1907">
      <c r="A1907" s="5" t="inlineStr">
        <is>
          <t>01a1212c-62df-71f6-bbad-b42edc98db40</t>
        </is>
      </c>
      <c r="C1907" s="5" t="inlineStr">
        <is>
          <t>01a1212c-4b57-70cf-80fd-c2192cb3bf81</t>
        </is>
      </c>
      <c r="D1907" s="4" t="n">
        <v>46304.62406776825</v>
      </c>
      <c r="E1907" s="4" t="n">
        <v>46304.62406776835</v>
      </c>
      <c r="F1907" t="b">
        <v>1</v>
      </c>
      <c r="G1907" t="n">
        <v/>
      </c>
      <c r="H1907" t="inlineStr">
        <is>
          <t>TFL</t>
        </is>
      </c>
      <c r="I1907" t="inlineStr">
        <is>
          <t>Tasfoods Ltd</t>
        </is>
      </c>
      <c r="J1907" t="inlineStr">
        <is>
          <t>AUD</t>
        </is>
      </c>
      <c r="K1907" s="5" t="inlineStr">
        <is>
          <t>01a1212c-4c04-75ce-bbb2-e3322e18816e</t>
        </is>
      </c>
      <c r="M1907" t="inlineStr">
        <is>
          <t>UNKNOWN</t>
        </is>
      </c>
      <c r="N1907" t="inlineStr">
        <is>
          <t>DEFAULT</t>
        </is>
      </c>
      <c r="Q1907" t="n">
        <v>0</v>
      </c>
      <c r="R1907" t="inlineStr">
        <is>
          <t>AUD</t>
        </is>
      </c>
      <c r="S1907" t="n">
        <v>0</v>
      </c>
      <c r="T1907" t="inlineStr">
        <is>
          <t>AUD</t>
        </is>
      </c>
      <c r="U1907" t="n">
        <v>0</v>
      </c>
    </row>
    <row r="1908">
      <c r="A1908" s="5" t="inlineStr">
        <is>
          <t>01a1212c-62e1-76ef-a0e4-78183b1191ba</t>
        </is>
      </c>
      <c r="C1908" s="5" t="inlineStr">
        <is>
          <t>01a1212c-4b57-70cf-80fd-c2192cb3bf81</t>
        </is>
      </c>
      <c r="D1908" s="4" t="n">
        <v>46304.62406779983</v>
      </c>
      <c r="E1908" s="4" t="n">
        <v>46304.62406779991</v>
      </c>
      <c r="F1908" t="b">
        <v>1</v>
      </c>
      <c r="G1908" t="n">
        <v/>
      </c>
      <c r="H1908" t="inlineStr">
        <is>
          <t>MRI</t>
        </is>
      </c>
      <c r="I1908" t="inlineStr">
        <is>
          <t>My Rewards International Ltd</t>
        </is>
      </c>
      <c r="J1908" t="inlineStr">
        <is>
          <t>AUD</t>
        </is>
      </c>
      <c r="K1908" s="5" t="inlineStr">
        <is>
          <t>01a1212c-4c04-75ce-bbb2-e3322e18816e</t>
        </is>
      </c>
      <c r="M1908" t="inlineStr">
        <is>
          <t>UNKNOWN</t>
        </is>
      </c>
      <c r="N1908" t="inlineStr">
        <is>
          <t>DEFAULT</t>
        </is>
      </c>
      <c r="Q1908" t="n">
        <v>0</v>
      </c>
      <c r="R1908" t="inlineStr">
        <is>
          <t>AUD</t>
        </is>
      </c>
      <c r="S1908" t="n">
        <v>0</v>
      </c>
      <c r="T1908" t="inlineStr">
        <is>
          <t>AUD</t>
        </is>
      </c>
      <c r="U1908" t="n">
        <v>0</v>
      </c>
    </row>
    <row r="1909">
      <c r="A1909" s="5" t="inlineStr">
        <is>
          <t>01a1212c-62e4-714e-8259-be921bba41bb</t>
        </is>
      </c>
      <c r="C1909" s="5" t="inlineStr">
        <is>
          <t>01a1212c-4b57-70cf-80fd-c2192cb3bf81</t>
        </is>
      </c>
      <c r="D1909" s="4" t="n">
        <v>46304.62406783139</v>
      </c>
      <c r="E1909" s="4" t="n">
        <v>46304.62406783147</v>
      </c>
      <c r="F1909" t="b">
        <v>1</v>
      </c>
      <c r="G1909" t="n">
        <v/>
      </c>
      <c r="H1909" t="inlineStr">
        <is>
          <t>VSR</t>
        </is>
      </c>
      <c r="I1909" t="inlineStr">
        <is>
          <t>Voltaic Strategic Resources Ltd</t>
        </is>
      </c>
      <c r="J1909" t="inlineStr">
        <is>
          <t>AUD</t>
        </is>
      </c>
      <c r="K1909" s="5" t="inlineStr">
        <is>
          <t>01a1212c-4c04-75ce-bbb2-e3322e18816e</t>
        </is>
      </c>
      <c r="M1909" t="inlineStr">
        <is>
          <t>UNKNOWN</t>
        </is>
      </c>
      <c r="N1909" t="inlineStr">
        <is>
          <t>DEFAULT</t>
        </is>
      </c>
      <c r="Q1909" t="n">
        <v>0</v>
      </c>
      <c r="R1909" t="inlineStr">
        <is>
          <t>AUD</t>
        </is>
      </c>
      <c r="S1909" t="n">
        <v>0</v>
      </c>
      <c r="T1909" t="inlineStr">
        <is>
          <t>AUD</t>
        </is>
      </c>
      <c r="U1909" t="n">
        <v>0</v>
      </c>
    </row>
    <row r="1910">
      <c r="A1910" s="5" t="inlineStr">
        <is>
          <t>01a1212c-62e7-749a-91c3-63af72bf4675</t>
        </is>
      </c>
      <c r="C1910" s="5" t="inlineStr">
        <is>
          <t>01a1212c-4b57-70cf-80fd-c2192cb3bf81</t>
        </is>
      </c>
      <c r="D1910" s="4" t="n">
        <v>46304.62406786598</v>
      </c>
      <c r="E1910" s="4" t="n">
        <v>46304.62406786608</v>
      </c>
      <c r="F1910" t="b">
        <v>1</v>
      </c>
      <c r="G1910" t="n">
        <v/>
      </c>
      <c r="H1910" t="inlineStr">
        <is>
          <t>LHM</t>
        </is>
      </c>
      <c r="I1910" t="inlineStr">
        <is>
          <t>Land &amp; Homes Group Ltd</t>
        </is>
      </c>
      <c r="J1910" t="inlineStr">
        <is>
          <t>AUD</t>
        </is>
      </c>
      <c r="K1910" s="5" t="inlineStr">
        <is>
          <t>01a1212c-4c04-75ce-bbb2-e3322e18816e</t>
        </is>
      </c>
      <c r="M1910" t="inlineStr">
        <is>
          <t>UNKNOWN</t>
        </is>
      </c>
      <c r="N1910" t="inlineStr">
        <is>
          <t>DEFAULT</t>
        </is>
      </c>
      <c r="Q1910" t="n">
        <v>0</v>
      </c>
      <c r="R1910" t="inlineStr">
        <is>
          <t>AUD</t>
        </is>
      </c>
      <c r="S1910" t="n">
        <v>0</v>
      </c>
      <c r="T1910" t="inlineStr">
        <is>
          <t>AUD</t>
        </is>
      </c>
      <c r="U1910" t="n">
        <v>0</v>
      </c>
    </row>
    <row r="1911">
      <c r="A1911" s="5" t="inlineStr">
        <is>
          <t>01a1212c-62ea-767f-b2d8-83c4ea27ea51</t>
        </is>
      </c>
      <c r="C1911" s="5" t="inlineStr">
        <is>
          <t>01a1212c-4b57-70cf-80fd-c2192cb3bf81</t>
        </is>
      </c>
      <c r="D1911" s="4" t="n">
        <v>46304.62406790074</v>
      </c>
      <c r="E1911" s="4" t="n">
        <v>46304.62406790082</v>
      </c>
      <c r="F1911" t="b">
        <v>1</v>
      </c>
      <c r="G1911" t="n">
        <v/>
      </c>
      <c r="H1911" t="inlineStr">
        <is>
          <t>UYLD</t>
        </is>
      </c>
      <c r="I1911" t="inlineStr">
        <is>
          <t>Global X S&amp;P 500 Covered Call ETF</t>
        </is>
      </c>
      <c r="J1911" t="inlineStr">
        <is>
          <t>AUD</t>
        </is>
      </c>
      <c r="K1911" s="5" t="inlineStr">
        <is>
          <t>01a1212c-4c04-75ce-bbb2-e3322e18816e</t>
        </is>
      </c>
      <c r="M1911" t="inlineStr">
        <is>
          <t>UNKNOWN</t>
        </is>
      </c>
      <c r="N1911" t="inlineStr">
        <is>
          <t>DEFAULT</t>
        </is>
      </c>
      <c r="Q1911" t="n">
        <v>0</v>
      </c>
      <c r="R1911" t="inlineStr">
        <is>
          <t>AUD</t>
        </is>
      </c>
      <c r="S1911" t="n">
        <v>0</v>
      </c>
      <c r="T1911" t="inlineStr">
        <is>
          <t>AUD</t>
        </is>
      </c>
      <c r="U1911" t="n">
        <v>0</v>
      </c>
    </row>
    <row r="1912">
      <c r="A1912" s="5" t="inlineStr">
        <is>
          <t>01a1212c-62ed-71fb-b672-af41f4e7cb2a</t>
        </is>
      </c>
      <c r="C1912" s="5" t="inlineStr">
        <is>
          <t>01a1212c-4b57-70cf-80fd-c2192cb3bf81</t>
        </is>
      </c>
      <c r="D1912" s="4" t="n">
        <v>46304.62406793197</v>
      </c>
      <c r="E1912" s="4" t="n">
        <v>46304.62406793205</v>
      </c>
      <c r="F1912" t="b">
        <v>1</v>
      </c>
      <c r="G1912" t="n">
        <v/>
      </c>
      <c r="H1912" t="inlineStr">
        <is>
          <t>DVL</t>
        </is>
      </c>
      <c r="I1912" t="inlineStr">
        <is>
          <t>Dorsavi Ltd</t>
        </is>
      </c>
      <c r="J1912" t="inlineStr">
        <is>
          <t>AUD</t>
        </is>
      </c>
      <c r="K1912" s="5" t="inlineStr">
        <is>
          <t>01a1212c-4c04-75ce-bbb2-e3322e18816e</t>
        </is>
      </c>
      <c r="M1912" t="inlineStr">
        <is>
          <t>UNKNOWN</t>
        </is>
      </c>
      <c r="N1912" t="inlineStr">
        <is>
          <t>DEFAULT</t>
        </is>
      </c>
      <c r="Q1912" t="n">
        <v>0</v>
      </c>
      <c r="R1912" t="inlineStr">
        <is>
          <t>AUD</t>
        </is>
      </c>
      <c r="S1912" t="n">
        <v>0</v>
      </c>
      <c r="T1912" t="inlineStr">
        <is>
          <t>AUD</t>
        </is>
      </c>
      <c r="U1912" t="n">
        <v>0</v>
      </c>
    </row>
    <row r="1913">
      <c r="A1913" s="5" t="inlineStr">
        <is>
          <t>01a1212c-62ef-777d-af83-7cf098caa996</t>
        </is>
      </c>
      <c r="C1913" s="5" t="inlineStr">
        <is>
          <t>01a1212c-4b57-70cf-80fd-c2192cb3bf81</t>
        </is>
      </c>
      <c r="D1913" s="4" t="n">
        <v>46304.62406796316</v>
      </c>
      <c r="E1913" s="4" t="n">
        <v>46304.62406796323</v>
      </c>
      <c r="F1913" t="b">
        <v>1</v>
      </c>
      <c r="G1913" t="n">
        <v/>
      </c>
      <c r="H1913" t="inlineStr">
        <is>
          <t>THB</t>
        </is>
      </c>
      <c r="I1913" t="inlineStr">
        <is>
          <t>Thunderbird Resources Ltd</t>
        </is>
      </c>
      <c r="J1913" t="inlineStr">
        <is>
          <t>AUD</t>
        </is>
      </c>
      <c r="K1913" s="5" t="inlineStr">
        <is>
          <t>01a1212c-4c04-75ce-bbb2-e3322e18816e</t>
        </is>
      </c>
      <c r="M1913" t="inlineStr">
        <is>
          <t>UNKNOWN</t>
        </is>
      </c>
      <c r="N1913" t="inlineStr">
        <is>
          <t>DEFAULT</t>
        </is>
      </c>
      <c r="Q1913" t="n">
        <v>0</v>
      </c>
      <c r="R1913" t="inlineStr">
        <is>
          <t>AUD</t>
        </is>
      </c>
      <c r="S1913" t="n">
        <v>0</v>
      </c>
      <c r="T1913" t="inlineStr">
        <is>
          <t>AUD</t>
        </is>
      </c>
      <c r="U1913" t="n">
        <v>0</v>
      </c>
    </row>
    <row r="1914">
      <c r="A1914" s="5" t="inlineStr">
        <is>
          <t>01a1212c-62f2-76ed-932f-060089e94786</t>
        </is>
      </c>
      <c r="C1914" s="5" t="inlineStr">
        <is>
          <t>01a1212c-4b57-70cf-80fd-c2192cb3bf81</t>
        </is>
      </c>
      <c r="D1914" s="4" t="n">
        <v>46304.6240679942</v>
      </c>
      <c r="E1914" s="4" t="n">
        <v>46304.62406799429</v>
      </c>
      <c r="F1914" t="b">
        <v>1</v>
      </c>
      <c r="G1914" t="n">
        <v/>
      </c>
      <c r="H1914" t="inlineStr">
        <is>
          <t>RON</t>
        </is>
      </c>
      <c r="I1914" t="inlineStr">
        <is>
          <t>Ronin Resources Ltd</t>
        </is>
      </c>
      <c r="J1914" t="inlineStr">
        <is>
          <t>AUD</t>
        </is>
      </c>
      <c r="K1914" s="5" t="inlineStr">
        <is>
          <t>01a1212c-4c04-75ce-bbb2-e3322e18816e</t>
        </is>
      </c>
      <c r="M1914" t="inlineStr">
        <is>
          <t>UNKNOWN</t>
        </is>
      </c>
      <c r="N1914" t="inlineStr">
        <is>
          <t>DEFAULT</t>
        </is>
      </c>
      <c r="Q1914" t="n">
        <v>0</v>
      </c>
      <c r="R1914" t="inlineStr">
        <is>
          <t>AUD</t>
        </is>
      </c>
      <c r="S1914" t="n">
        <v>0</v>
      </c>
      <c r="T1914" t="inlineStr">
        <is>
          <t>AUD</t>
        </is>
      </c>
      <c r="U1914" t="n">
        <v>0</v>
      </c>
    </row>
    <row r="1915">
      <c r="A1915" s="5" t="inlineStr">
        <is>
          <t>01a1212c-62f5-73e7-a3c9-d667559bb556</t>
        </is>
      </c>
      <c r="C1915" s="5" t="inlineStr">
        <is>
          <t>01a1212c-4b57-70cf-80fd-c2192cb3bf81</t>
        </is>
      </c>
      <c r="D1915" s="4" t="n">
        <v>46304.62406803026</v>
      </c>
      <c r="E1915" s="4" t="n">
        <v>46304.62406803034</v>
      </c>
      <c r="F1915" t="b">
        <v>1</v>
      </c>
      <c r="G1915" t="n">
        <v/>
      </c>
      <c r="H1915" t="inlineStr">
        <is>
          <t>PVT</t>
        </is>
      </c>
      <c r="I1915" t="inlineStr">
        <is>
          <t>Pivotal Metals Ltd</t>
        </is>
      </c>
      <c r="J1915" t="inlineStr">
        <is>
          <t>AUD</t>
        </is>
      </c>
      <c r="K1915" s="5" t="inlineStr">
        <is>
          <t>01a1212c-4c04-75ce-bbb2-e3322e18816e</t>
        </is>
      </c>
      <c r="M1915" t="inlineStr">
        <is>
          <t>UNKNOWN</t>
        </is>
      </c>
      <c r="N1915" t="inlineStr">
        <is>
          <t>DEFAULT</t>
        </is>
      </c>
      <c r="Q1915" t="n">
        <v>0</v>
      </c>
      <c r="R1915" t="inlineStr">
        <is>
          <t>AUD</t>
        </is>
      </c>
      <c r="S1915" t="n">
        <v>0</v>
      </c>
      <c r="T1915" t="inlineStr">
        <is>
          <t>AUD</t>
        </is>
      </c>
      <c r="U1915" t="n">
        <v>0</v>
      </c>
    </row>
    <row r="1916">
      <c r="A1916" s="5" t="inlineStr">
        <is>
          <t>01a1212c-62f8-77fc-b255-b5261e391a64</t>
        </is>
      </c>
      <c r="C1916" s="5" t="inlineStr">
        <is>
          <t>01a1212c-4b57-70cf-80fd-c2192cb3bf81</t>
        </is>
      </c>
      <c r="D1916" s="4" t="n">
        <v>46304.62406806238</v>
      </c>
      <c r="E1916" s="4" t="n">
        <v>46304.62406806247</v>
      </c>
      <c r="F1916" t="b">
        <v>1</v>
      </c>
      <c r="G1916" t="n">
        <v/>
      </c>
      <c r="H1916" t="inlineStr">
        <is>
          <t>GLL</t>
        </is>
      </c>
      <c r="I1916" t="inlineStr">
        <is>
          <t>Galilee Energy Ltd</t>
        </is>
      </c>
      <c r="J1916" t="inlineStr">
        <is>
          <t>AUD</t>
        </is>
      </c>
      <c r="K1916" s="5" t="inlineStr">
        <is>
          <t>01a1212c-4c04-75ce-bbb2-e3322e18816e</t>
        </is>
      </c>
      <c r="M1916" t="inlineStr">
        <is>
          <t>UNKNOWN</t>
        </is>
      </c>
      <c r="N1916" t="inlineStr">
        <is>
          <t>DEFAULT</t>
        </is>
      </c>
      <c r="Q1916" t="n">
        <v>0</v>
      </c>
      <c r="R1916" t="inlineStr">
        <is>
          <t>AUD</t>
        </is>
      </c>
      <c r="S1916" t="n">
        <v>0</v>
      </c>
      <c r="T1916" t="inlineStr">
        <is>
          <t>AUD</t>
        </is>
      </c>
      <c r="U1916" t="n">
        <v>0</v>
      </c>
    </row>
    <row r="1917">
      <c r="A1917" s="5" t="inlineStr">
        <is>
          <t>01a1212c-62fb-76f7-9149-511de7a0b774</t>
        </is>
      </c>
      <c r="C1917" s="5" t="inlineStr">
        <is>
          <t>01a1212c-4b57-70cf-80fd-c2192cb3bf81</t>
        </is>
      </c>
      <c r="D1917" s="4" t="n">
        <v>46304.62406809341</v>
      </c>
      <c r="E1917" s="4" t="n">
        <v>46304.62406809349</v>
      </c>
      <c r="F1917" t="b">
        <v>1</v>
      </c>
      <c r="G1917" t="n">
        <v/>
      </c>
      <c r="H1917" t="inlineStr">
        <is>
          <t>TMX</t>
        </is>
      </c>
      <c r="I1917" t="inlineStr">
        <is>
          <t>Terrain Minerals Ltd</t>
        </is>
      </c>
      <c r="J1917" t="inlineStr">
        <is>
          <t>AUD</t>
        </is>
      </c>
      <c r="K1917" s="5" t="inlineStr">
        <is>
          <t>01a1212c-4c04-75ce-bbb2-e3322e18816e</t>
        </is>
      </c>
      <c r="M1917" t="inlineStr">
        <is>
          <t>UNKNOWN</t>
        </is>
      </c>
      <c r="N1917" t="inlineStr">
        <is>
          <t>DEFAULT</t>
        </is>
      </c>
      <c r="Q1917" t="n">
        <v>0</v>
      </c>
      <c r="R1917" t="inlineStr">
        <is>
          <t>AUD</t>
        </is>
      </c>
      <c r="S1917" t="n">
        <v>0</v>
      </c>
      <c r="T1917" t="inlineStr">
        <is>
          <t>AUD</t>
        </is>
      </c>
      <c r="U1917" t="n">
        <v>0</v>
      </c>
    </row>
    <row r="1918">
      <c r="A1918" s="5" t="inlineStr">
        <is>
          <t>01a1212c-62fd-72f3-a05b-a34c0e53c5d8</t>
        </is>
      </c>
      <c r="C1918" s="5" t="inlineStr">
        <is>
          <t>01a1212c-4b57-70cf-80fd-c2192cb3bf81</t>
        </is>
      </c>
      <c r="D1918" s="4" t="n">
        <v>46304.6240681245</v>
      </c>
      <c r="E1918" s="4" t="n">
        <v>46304.62406812457</v>
      </c>
      <c r="F1918" t="b">
        <v>1</v>
      </c>
      <c r="G1918" t="n">
        <v/>
      </c>
      <c r="H1918" t="inlineStr">
        <is>
          <t>IVG</t>
        </is>
      </c>
      <c r="I1918" t="inlineStr">
        <is>
          <t>Invert Graphite Ltd</t>
        </is>
      </c>
      <c r="J1918" t="inlineStr">
        <is>
          <t>AUD</t>
        </is>
      </c>
      <c r="K1918" s="5" t="inlineStr">
        <is>
          <t>01a1212c-4c04-75ce-bbb2-e3322e18816e</t>
        </is>
      </c>
      <c r="M1918" t="inlineStr">
        <is>
          <t>UNKNOWN</t>
        </is>
      </c>
      <c r="N1918" t="inlineStr">
        <is>
          <t>DEFAULT</t>
        </is>
      </c>
      <c r="Q1918" t="n">
        <v>0</v>
      </c>
      <c r="R1918" t="inlineStr">
        <is>
          <t>AUD</t>
        </is>
      </c>
      <c r="S1918" t="n">
        <v>0</v>
      </c>
      <c r="T1918" t="inlineStr">
        <is>
          <t>AUD</t>
        </is>
      </c>
      <c r="U1918" t="n">
        <v>0</v>
      </c>
    </row>
    <row r="1919">
      <c r="A1919" s="5" t="inlineStr">
        <is>
          <t>01a1212c-6300-7106-8443-c9cb7aa9fc06</t>
        </is>
      </c>
      <c r="C1919" s="5" t="inlineStr">
        <is>
          <t>01a1212c-4b57-70cf-80fd-c2192cb3bf81</t>
        </is>
      </c>
      <c r="D1919" s="4" t="n">
        <v>46304.62406815514</v>
      </c>
      <c r="E1919" s="4" t="n">
        <v>46304.62406815521</v>
      </c>
      <c r="F1919" t="b">
        <v>1</v>
      </c>
      <c r="G1919" t="n">
        <v/>
      </c>
      <c r="H1919" t="inlineStr">
        <is>
          <t>ROC</t>
        </is>
      </c>
      <c r="I1919" t="inlineStr">
        <is>
          <t>Rocketboots Ltd</t>
        </is>
      </c>
      <c r="J1919" t="inlineStr">
        <is>
          <t>AUD</t>
        </is>
      </c>
      <c r="K1919" s="5" t="inlineStr">
        <is>
          <t>01a1212c-4c04-75ce-bbb2-e3322e18816e</t>
        </is>
      </c>
      <c r="M1919" t="inlineStr">
        <is>
          <t>UNKNOWN</t>
        </is>
      </c>
      <c r="N1919" t="inlineStr">
        <is>
          <t>DEFAULT</t>
        </is>
      </c>
      <c r="Q1919" t="n">
        <v>0</v>
      </c>
      <c r="R1919" t="inlineStr">
        <is>
          <t>AUD</t>
        </is>
      </c>
      <c r="S1919" t="n">
        <v>0</v>
      </c>
      <c r="T1919" t="inlineStr">
        <is>
          <t>AUD</t>
        </is>
      </c>
      <c r="U1919" t="n">
        <v>0</v>
      </c>
    </row>
    <row r="1920">
      <c r="A1920" s="5" t="inlineStr">
        <is>
          <t>01a1212c-6303-70ba-9341-269780a2d4cd</t>
        </is>
      </c>
      <c r="C1920" s="5" t="inlineStr">
        <is>
          <t>01a1212c-4b57-70cf-80fd-c2192cb3bf81</t>
        </is>
      </c>
      <c r="D1920" s="4" t="n">
        <v>46304.62406818828</v>
      </c>
      <c r="E1920" s="4" t="n">
        <v>46304.62406818836</v>
      </c>
      <c r="F1920" t="b">
        <v>1</v>
      </c>
      <c r="G1920" t="n">
        <v/>
      </c>
      <c r="H1920" t="inlineStr">
        <is>
          <t>WEC</t>
        </is>
      </c>
      <c r="I1920" t="inlineStr">
        <is>
          <t>White Energy Company Ltd</t>
        </is>
      </c>
      <c r="J1920" t="inlineStr">
        <is>
          <t>AUD</t>
        </is>
      </c>
      <c r="K1920" s="5" t="inlineStr">
        <is>
          <t>01a1212c-4c04-75ce-bbb2-e3322e18816e</t>
        </is>
      </c>
      <c r="M1920" t="inlineStr">
        <is>
          <t>UNKNOWN</t>
        </is>
      </c>
      <c r="N1920" t="inlineStr">
        <is>
          <t>DEFAULT</t>
        </is>
      </c>
      <c r="Q1920" t="n">
        <v>0</v>
      </c>
      <c r="R1920" t="inlineStr">
        <is>
          <t>AUD</t>
        </is>
      </c>
      <c r="S1920" t="n">
        <v>0</v>
      </c>
      <c r="T1920" t="inlineStr">
        <is>
          <t>AUD</t>
        </is>
      </c>
      <c r="U1920" t="n">
        <v>0</v>
      </c>
    </row>
    <row r="1921">
      <c r="A1921" s="5" t="inlineStr">
        <is>
          <t>01a1212c-6306-7402-ac6c-85e04de569b3</t>
        </is>
      </c>
      <c r="C1921" s="5" t="inlineStr">
        <is>
          <t>01a1212c-4b57-70cf-80fd-c2192cb3bf81</t>
        </is>
      </c>
      <c r="D1921" s="4" t="n">
        <v>46304.62406821922</v>
      </c>
      <c r="E1921" s="4" t="n">
        <v>46304.62406821929</v>
      </c>
      <c r="F1921" t="b">
        <v>1</v>
      </c>
      <c r="G1921" t="n">
        <v/>
      </c>
      <c r="H1921" t="inlineStr">
        <is>
          <t>BCA</t>
        </is>
      </c>
      <c r="I1921" t="inlineStr">
        <is>
          <t>Black Canyon Ltd</t>
        </is>
      </c>
      <c r="J1921" t="inlineStr">
        <is>
          <t>AUD</t>
        </is>
      </c>
      <c r="K1921" s="5" t="inlineStr">
        <is>
          <t>01a1212c-4c04-75ce-bbb2-e3322e18816e</t>
        </is>
      </c>
      <c r="M1921" t="inlineStr">
        <is>
          <t>UNKNOWN</t>
        </is>
      </c>
      <c r="N1921" t="inlineStr">
        <is>
          <t>DEFAULT</t>
        </is>
      </c>
      <c r="Q1921" t="n">
        <v>0</v>
      </c>
      <c r="R1921" t="inlineStr">
        <is>
          <t>AUD</t>
        </is>
      </c>
      <c r="S1921" t="n">
        <v>0</v>
      </c>
      <c r="T1921" t="inlineStr">
        <is>
          <t>AUD</t>
        </is>
      </c>
      <c r="U1921" t="n">
        <v>0</v>
      </c>
    </row>
    <row r="1922">
      <c r="A1922" s="5" t="inlineStr">
        <is>
          <t>01a1212c-6308-7058-862c-b1c3bfcfa2be</t>
        </is>
      </c>
      <c r="C1922" s="5" t="inlineStr">
        <is>
          <t>01a1212c-4b57-70cf-80fd-c2192cb3bf81</t>
        </is>
      </c>
      <c r="D1922" s="4" t="n">
        <v>46304.62406825192</v>
      </c>
      <c r="E1922" s="4" t="n">
        <v>46304.624068252</v>
      </c>
      <c r="F1922" t="b">
        <v>1</v>
      </c>
      <c r="G1922" t="n">
        <v/>
      </c>
      <c r="H1922" t="inlineStr">
        <is>
          <t>SIV</t>
        </is>
      </c>
      <c r="I1922" t="inlineStr">
        <is>
          <t>SIV Capital Ltd</t>
        </is>
      </c>
      <c r="J1922" t="inlineStr">
        <is>
          <t>AUD</t>
        </is>
      </c>
      <c r="K1922" s="5" t="inlineStr">
        <is>
          <t>01a1212c-4c04-75ce-bbb2-e3322e18816e</t>
        </is>
      </c>
      <c r="M1922" t="inlineStr">
        <is>
          <t>UNKNOWN</t>
        </is>
      </c>
      <c r="N1922" t="inlineStr">
        <is>
          <t>DEFAULT</t>
        </is>
      </c>
      <c r="Q1922" t="n">
        <v>0</v>
      </c>
      <c r="R1922" t="inlineStr">
        <is>
          <t>AUD</t>
        </is>
      </c>
      <c r="S1922" t="n">
        <v>0</v>
      </c>
      <c r="T1922" t="inlineStr">
        <is>
          <t>AUD</t>
        </is>
      </c>
      <c r="U1922" t="n">
        <v>0</v>
      </c>
    </row>
    <row r="1923">
      <c r="A1923" s="5" t="inlineStr">
        <is>
          <t>01a1212c-630b-7731-99a7-3464cd105878</t>
        </is>
      </c>
      <c r="C1923" s="5" t="inlineStr">
        <is>
          <t>01a1212c-4b57-70cf-80fd-c2192cb3bf81</t>
        </is>
      </c>
      <c r="D1923" s="4" t="n">
        <v>46304.62406828321</v>
      </c>
      <c r="E1923" s="4" t="n">
        <v>46304.62406828329</v>
      </c>
      <c r="F1923" t="b">
        <v>1</v>
      </c>
      <c r="G1923" t="n">
        <v/>
      </c>
      <c r="H1923" t="inlineStr">
        <is>
          <t>PO3</t>
        </is>
      </c>
      <c r="I1923" t="inlineStr">
        <is>
          <t>Purifloh Ltd</t>
        </is>
      </c>
      <c r="J1923" t="inlineStr">
        <is>
          <t>AUD</t>
        </is>
      </c>
      <c r="K1923" s="5" t="inlineStr">
        <is>
          <t>01a1212c-4c04-75ce-bbb2-e3322e18816e</t>
        </is>
      </c>
      <c r="M1923" t="inlineStr">
        <is>
          <t>UNKNOWN</t>
        </is>
      </c>
      <c r="N1923" t="inlineStr">
        <is>
          <t>DEFAULT</t>
        </is>
      </c>
      <c r="Q1923" t="n">
        <v>0</v>
      </c>
      <c r="R1923" t="inlineStr">
        <is>
          <t>AUD</t>
        </is>
      </c>
      <c r="S1923" t="n">
        <v>0</v>
      </c>
      <c r="T1923" t="inlineStr">
        <is>
          <t>AUD</t>
        </is>
      </c>
      <c r="U1923" t="n">
        <v>0</v>
      </c>
    </row>
    <row r="1924">
      <c r="A1924" s="5" t="inlineStr">
        <is>
          <t>01a1212c-630e-77ad-9286-270f0042293d</t>
        </is>
      </c>
      <c r="C1924" s="5" t="inlineStr">
        <is>
          <t>01a1212c-4b57-70cf-80fd-c2192cb3bf81</t>
        </is>
      </c>
      <c r="D1924" s="4" t="n">
        <v>46304.62406831608</v>
      </c>
      <c r="E1924" s="4" t="n">
        <v>46304.62406831614</v>
      </c>
      <c r="F1924" t="b">
        <v>1</v>
      </c>
      <c r="G1924" t="n">
        <v/>
      </c>
      <c r="H1924" t="inlineStr">
        <is>
          <t>LU7</t>
        </is>
      </c>
      <c r="I1924" t="inlineStr">
        <is>
          <t>Lithium Universe Ltd</t>
        </is>
      </c>
      <c r="J1924" t="inlineStr">
        <is>
          <t>AUD</t>
        </is>
      </c>
      <c r="K1924" s="5" t="inlineStr">
        <is>
          <t>01a1212c-4c04-75ce-bbb2-e3322e18816e</t>
        </is>
      </c>
      <c r="M1924" t="inlineStr">
        <is>
          <t>UNKNOWN</t>
        </is>
      </c>
      <c r="N1924" t="inlineStr">
        <is>
          <t>DEFAULT</t>
        </is>
      </c>
      <c r="Q1924" t="n">
        <v>0</v>
      </c>
      <c r="R1924" t="inlineStr">
        <is>
          <t>AUD</t>
        </is>
      </c>
      <c r="S1924" t="n">
        <v>0</v>
      </c>
      <c r="T1924" t="inlineStr">
        <is>
          <t>AUD</t>
        </is>
      </c>
      <c r="U1924" t="n">
        <v>0</v>
      </c>
    </row>
    <row r="1925">
      <c r="A1925" s="5" t="inlineStr">
        <is>
          <t>01a1212c-6311-7521-b9dc-589a6d860515</t>
        </is>
      </c>
      <c r="C1925" s="5" t="inlineStr">
        <is>
          <t>01a1212c-4b57-70cf-80fd-c2192cb3bf81</t>
        </is>
      </c>
      <c r="D1925" s="4" t="n">
        <v>46304.62406834718</v>
      </c>
      <c r="E1925" s="4" t="n">
        <v>46304.62406834724</v>
      </c>
      <c r="F1925" t="b">
        <v>1</v>
      </c>
      <c r="G1925" t="n">
        <v/>
      </c>
      <c r="H1925" t="inlineStr">
        <is>
          <t>D3E</t>
        </is>
      </c>
      <c r="I1925" t="inlineStr">
        <is>
          <t>D3 Energy Ltd</t>
        </is>
      </c>
      <c r="J1925" t="inlineStr">
        <is>
          <t>AUD</t>
        </is>
      </c>
      <c r="K1925" s="5" t="inlineStr">
        <is>
          <t>01a1212c-4c04-75ce-bbb2-e3322e18816e</t>
        </is>
      </c>
      <c r="M1925" t="inlineStr">
        <is>
          <t>UNKNOWN</t>
        </is>
      </c>
      <c r="N1925" t="inlineStr">
        <is>
          <t>DEFAULT</t>
        </is>
      </c>
      <c r="Q1925" t="n">
        <v>0</v>
      </c>
      <c r="R1925" t="inlineStr">
        <is>
          <t>AUD</t>
        </is>
      </c>
      <c r="S1925" t="n">
        <v>0</v>
      </c>
      <c r="T1925" t="inlineStr">
        <is>
          <t>AUD</t>
        </is>
      </c>
      <c r="U1925" t="n">
        <v>0</v>
      </c>
    </row>
    <row r="1926">
      <c r="A1926" s="5" t="inlineStr">
        <is>
          <t>01a1212c-6313-70a6-9348-ee24fcd2ca39</t>
        </is>
      </c>
      <c r="C1926" s="5" t="inlineStr">
        <is>
          <t>01a1212c-4b57-70cf-80fd-c2192cb3bf81</t>
        </is>
      </c>
      <c r="D1926" s="4" t="n">
        <v>46304.62406838058</v>
      </c>
      <c r="E1926" s="4" t="n">
        <v>46304.62406838066</v>
      </c>
      <c r="F1926" t="b">
        <v>1</v>
      </c>
      <c r="G1926" t="n">
        <v/>
      </c>
      <c r="H1926" t="inlineStr">
        <is>
          <t>TAR</t>
        </is>
      </c>
      <c r="I1926" t="inlineStr">
        <is>
          <t>Taruga Minerals Ltd</t>
        </is>
      </c>
      <c r="J1926" t="inlineStr">
        <is>
          <t>AUD</t>
        </is>
      </c>
      <c r="K1926" s="5" t="inlineStr">
        <is>
          <t>01a1212c-4c04-75ce-bbb2-e3322e18816e</t>
        </is>
      </c>
      <c r="M1926" t="inlineStr">
        <is>
          <t>UNKNOWN</t>
        </is>
      </c>
      <c r="N1926" t="inlineStr">
        <is>
          <t>DEFAULT</t>
        </is>
      </c>
      <c r="Q1926" t="n">
        <v>0</v>
      </c>
      <c r="R1926" t="inlineStr">
        <is>
          <t>AUD</t>
        </is>
      </c>
      <c r="S1926" t="n">
        <v>0</v>
      </c>
      <c r="T1926" t="inlineStr">
        <is>
          <t>AUD</t>
        </is>
      </c>
      <c r="U1926" t="n">
        <v>0</v>
      </c>
    </row>
    <row r="1927">
      <c r="A1927" s="5" t="inlineStr">
        <is>
          <t>01a1212c-6316-7442-8913-8f2d7c816e9d</t>
        </is>
      </c>
      <c r="C1927" s="5" t="inlineStr">
        <is>
          <t>01a1212c-4b57-70cf-80fd-c2192cb3bf81</t>
        </is>
      </c>
      <c r="D1927" s="4" t="n">
        <v>46304.62406841166</v>
      </c>
      <c r="E1927" s="4" t="n">
        <v>46304.62406841174</v>
      </c>
      <c r="F1927" t="b">
        <v>1</v>
      </c>
      <c r="G1927" t="n">
        <v/>
      </c>
      <c r="H1927" t="inlineStr">
        <is>
          <t>BUS</t>
        </is>
      </c>
      <c r="I1927" t="inlineStr">
        <is>
          <t>Bubalus Resources Ltd</t>
        </is>
      </c>
      <c r="J1927" t="inlineStr">
        <is>
          <t>AUD</t>
        </is>
      </c>
      <c r="K1927" s="5" t="inlineStr">
        <is>
          <t>01a1212c-4c04-75ce-bbb2-e3322e18816e</t>
        </is>
      </c>
      <c r="M1927" t="inlineStr">
        <is>
          <t>UNKNOWN</t>
        </is>
      </c>
      <c r="N1927" t="inlineStr">
        <is>
          <t>DEFAULT</t>
        </is>
      </c>
      <c r="Q1927" t="n">
        <v>0</v>
      </c>
      <c r="R1927" t="inlineStr">
        <is>
          <t>AUD</t>
        </is>
      </c>
      <c r="S1927" t="n">
        <v>0</v>
      </c>
      <c r="T1927" t="inlineStr">
        <is>
          <t>AUD</t>
        </is>
      </c>
      <c r="U1927" t="n">
        <v>0</v>
      </c>
    </row>
    <row r="1928">
      <c r="A1928" s="5" t="inlineStr">
        <is>
          <t>01a1212c-6319-7605-9cbf-5c86f86f729c</t>
        </is>
      </c>
      <c r="C1928" s="5" t="inlineStr">
        <is>
          <t>01a1212c-4b57-70cf-80fd-c2192cb3bf81</t>
        </is>
      </c>
      <c r="D1928" s="4" t="n">
        <v>46304.62406844221</v>
      </c>
      <c r="E1928" s="4" t="n">
        <v>46304.62406844228</v>
      </c>
      <c r="F1928" t="b">
        <v>1</v>
      </c>
      <c r="G1928" t="n">
        <v/>
      </c>
      <c r="H1928" t="inlineStr">
        <is>
          <t>AD1</t>
        </is>
      </c>
      <c r="I1928" t="inlineStr">
        <is>
          <t>Adneo Ltd</t>
        </is>
      </c>
      <c r="J1928" t="inlineStr">
        <is>
          <t>AUD</t>
        </is>
      </c>
      <c r="K1928" s="5" t="inlineStr">
        <is>
          <t>01a1212c-4c04-75ce-bbb2-e3322e18816e</t>
        </is>
      </c>
      <c r="M1928" t="inlineStr">
        <is>
          <t>UNKNOWN</t>
        </is>
      </c>
      <c r="N1928" t="inlineStr">
        <is>
          <t>DEFAULT</t>
        </is>
      </c>
      <c r="Q1928" t="n">
        <v>0</v>
      </c>
      <c r="R1928" t="inlineStr">
        <is>
          <t>AUD</t>
        </is>
      </c>
      <c r="S1928" t="n">
        <v>0</v>
      </c>
      <c r="T1928" t="inlineStr">
        <is>
          <t>AUD</t>
        </is>
      </c>
      <c r="U1928" t="n">
        <v>0</v>
      </c>
    </row>
    <row r="1929">
      <c r="A1929" s="5" t="inlineStr">
        <is>
          <t>01a1212c-631c-7223-8d8c-037fe8b7229c</t>
        </is>
      </c>
      <c r="C1929" s="5" t="inlineStr">
        <is>
          <t>01a1212c-4b57-70cf-80fd-c2192cb3bf81</t>
        </is>
      </c>
      <c r="D1929" s="4" t="n">
        <v>46304.62406847584</v>
      </c>
      <c r="E1929" s="4" t="n">
        <v>46304.62406847593</v>
      </c>
      <c r="F1929" t="b">
        <v>1</v>
      </c>
      <c r="G1929" t="n">
        <v/>
      </c>
      <c r="H1929" t="inlineStr">
        <is>
          <t>KNM</t>
        </is>
      </c>
      <c r="I1929" t="inlineStr">
        <is>
          <t>Kneomedia Ltd</t>
        </is>
      </c>
      <c r="J1929" t="inlineStr">
        <is>
          <t>AUD</t>
        </is>
      </c>
      <c r="K1929" s="5" t="inlineStr">
        <is>
          <t>01a1212c-4c04-75ce-bbb2-e3322e18816e</t>
        </is>
      </c>
      <c r="M1929" t="inlineStr">
        <is>
          <t>UNKNOWN</t>
        </is>
      </c>
      <c r="N1929" t="inlineStr">
        <is>
          <t>DEFAULT</t>
        </is>
      </c>
      <c r="Q1929" t="n">
        <v>0</v>
      </c>
      <c r="R1929" t="inlineStr">
        <is>
          <t>AUD</t>
        </is>
      </c>
      <c r="S1929" t="n">
        <v>0</v>
      </c>
      <c r="T1929" t="inlineStr">
        <is>
          <t>AUD</t>
        </is>
      </c>
      <c r="U1929" t="n">
        <v>0</v>
      </c>
    </row>
    <row r="1930">
      <c r="A1930" s="5" t="inlineStr">
        <is>
          <t>01a1212c-631e-7227-9b52-695f668011e6</t>
        </is>
      </c>
      <c r="C1930" s="5" t="inlineStr">
        <is>
          <t>01a1212c-4b57-70cf-80fd-c2192cb3bf81</t>
        </is>
      </c>
      <c r="D1930" s="4" t="n">
        <v>46304.6240685067</v>
      </c>
      <c r="E1930" s="4" t="n">
        <v>46304.62406850677</v>
      </c>
      <c r="F1930" t="b">
        <v>1</v>
      </c>
      <c r="G1930" t="n">
        <v/>
      </c>
      <c r="H1930" t="inlineStr">
        <is>
          <t>NRX</t>
        </is>
      </c>
      <c r="I1930" t="inlineStr">
        <is>
          <t>Noronex Ltd</t>
        </is>
      </c>
      <c r="J1930" t="inlineStr">
        <is>
          <t>AUD</t>
        </is>
      </c>
      <c r="K1930" s="5" t="inlineStr">
        <is>
          <t>01a1212c-4c04-75ce-bbb2-e3322e18816e</t>
        </is>
      </c>
      <c r="M1930" t="inlineStr">
        <is>
          <t>UNKNOWN</t>
        </is>
      </c>
      <c r="N1930" t="inlineStr">
        <is>
          <t>DEFAULT</t>
        </is>
      </c>
      <c r="Q1930" t="n">
        <v>0</v>
      </c>
      <c r="R1930" t="inlineStr">
        <is>
          <t>AUD</t>
        </is>
      </c>
      <c r="S1930" t="n">
        <v>0</v>
      </c>
      <c r="T1930" t="inlineStr">
        <is>
          <t>AUD</t>
        </is>
      </c>
      <c r="U1930" t="n">
        <v>0</v>
      </c>
    </row>
    <row r="1931">
      <c r="A1931" s="5" t="inlineStr">
        <is>
          <t>01a1212c-6321-704d-884e-e266e6c9ff30</t>
        </is>
      </c>
      <c r="C1931" s="5" t="inlineStr">
        <is>
          <t>01a1212c-4b57-70cf-80fd-c2192cb3bf81</t>
        </is>
      </c>
      <c r="D1931" s="4" t="n">
        <v>46304.62406853742</v>
      </c>
      <c r="E1931" s="4" t="n">
        <v>46304.6240685375</v>
      </c>
      <c r="F1931" t="b">
        <v>1</v>
      </c>
      <c r="G1931" t="n">
        <v/>
      </c>
      <c r="H1931" t="inlineStr">
        <is>
          <t>C29</t>
        </is>
      </c>
      <c r="I1931" t="inlineStr">
        <is>
          <t>C29 Metals Ltd</t>
        </is>
      </c>
      <c r="J1931" t="inlineStr">
        <is>
          <t>AUD</t>
        </is>
      </c>
      <c r="K1931" s="5" t="inlineStr">
        <is>
          <t>01a1212c-4c04-75ce-bbb2-e3322e18816e</t>
        </is>
      </c>
      <c r="M1931" t="inlineStr">
        <is>
          <t>UNKNOWN</t>
        </is>
      </c>
      <c r="N1931" t="inlineStr">
        <is>
          <t>DEFAULT</t>
        </is>
      </c>
      <c r="Q1931" t="n">
        <v>0</v>
      </c>
      <c r="R1931" t="inlineStr">
        <is>
          <t>AUD</t>
        </is>
      </c>
      <c r="S1931" t="n">
        <v>0</v>
      </c>
      <c r="T1931" t="inlineStr">
        <is>
          <t>AUD</t>
        </is>
      </c>
      <c r="U1931" t="n">
        <v>0</v>
      </c>
    </row>
    <row r="1932">
      <c r="A1932" s="5" t="inlineStr">
        <is>
          <t>01a1212c-6324-7177-8143-39beb7910119</t>
        </is>
      </c>
      <c r="C1932" s="5" t="inlineStr">
        <is>
          <t>01a1212c-4b57-70cf-80fd-c2192cb3bf81</t>
        </is>
      </c>
      <c r="D1932" s="4" t="n">
        <v>46304.62406856884</v>
      </c>
      <c r="E1932" s="4" t="n">
        <v>46304.62406856893</v>
      </c>
      <c r="F1932" t="b">
        <v>1</v>
      </c>
      <c r="G1932" t="n">
        <v/>
      </c>
      <c r="H1932" t="inlineStr">
        <is>
          <t>TOY</t>
        </is>
      </c>
      <c r="I1932" t="inlineStr">
        <is>
          <t>Toys'R'US ANZ Ltd</t>
        </is>
      </c>
      <c r="J1932" t="inlineStr">
        <is>
          <t>AUD</t>
        </is>
      </c>
      <c r="K1932" s="5" t="inlineStr">
        <is>
          <t>01a1212c-4c04-75ce-bbb2-e3322e18816e</t>
        </is>
      </c>
      <c r="M1932" t="inlineStr">
        <is>
          <t>UNKNOWN</t>
        </is>
      </c>
      <c r="N1932" t="inlineStr">
        <is>
          <t>DEFAULT</t>
        </is>
      </c>
      <c r="Q1932" t="n">
        <v>0</v>
      </c>
      <c r="R1932" t="inlineStr">
        <is>
          <t>AUD</t>
        </is>
      </c>
      <c r="S1932" t="n">
        <v>0</v>
      </c>
      <c r="T1932" t="inlineStr">
        <is>
          <t>AUD</t>
        </is>
      </c>
      <c r="U1932" t="n">
        <v>0</v>
      </c>
    </row>
    <row r="1933">
      <c r="A1933" s="5" t="inlineStr">
        <is>
          <t>01a1212c-6326-762e-a8a3-f143362e8a4b</t>
        </is>
      </c>
      <c r="C1933" s="5" t="inlineStr">
        <is>
          <t>01a1212c-4b57-70cf-80fd-c2192cb3bf81</t>
        </is>
      </c>
      <c r="D1933" s="4" t="n">
        <v>46304.62406859958</v>
      </c>
      <c r="E1933" s="4" t="n">
        <v>46304.62406859965</v>
      </c>
      <c r="F1933" t="b">
        <v>1</v>
      </c>
      <c r="G1933" t="n">
        <v/>
      </c>
      <c r="H1933" t="inlineStr">
        <is>
          <t>ASR</t>
        </is>
      </c>
      <c r="I1933" t="inlineStr">
        <is>
          <t>Asra Minerals Ltd</t>
        </is>
      </c>
      <c r="J1933" t="inlineStr">
        <is>
          <t>AUD</t>
        </is>
      </c>
      <c r="K1933" s="5" t="inlineStr">
        <is>
          <t>01a1212c-4c04-75ce-bbb2-e3322e18816e</t>
        </is>
      </c>
      <c r="M1933" t="inlineStr">
        <is>
          <t>UNKNOWN</t>
        </is>
      </c>
      <c r="N1933" t="inlineStr">
        <is>
          <t>DEFAULT</t>
        </is>
      </c>
      <c r="Q1933" t="n">
        <v>0</v>
      </c>
      <c r="R1933" t="inlineStr">
        <is>
          <t>AUD</t>
        </is>
      </c>
      <c r="S1933" t="n">
        <v>0</v>
      </c>
      <c r="T1933" t="inlineStr">
        <is>
          <t>AUD</t>
        </is>
      </c>
      <c r="U1933" t="n">
        <v>0</v>
      </c>
    </row>
    <row r="1934">
      <c r="A1934" s="5" t="inlineStr">
        <is>
          <t>01a1212c-6349-72b2-8781-97fd0b58c375</t>
        </is>
      </c>
      <c r="C1934" s="5" t="inlineStr">
        <is>
          <t>01a1212c-4b57-70cf-80fd-c2192cb3bf81</t>
        </is>
      </c>
      <c r="D1934" s="4" t="n">
        <v>46304.62406899764</v>
      </c>
      <c r="E1934" s="4" t="n">
        <v>46304.62406899776</v>
      </c>
      <c r="F1934" t="b">
        <v>1</v>
      </c>
      <c r="G1934" t="n">
        <v/>
      </c>
      <c r="H1934" t="inlineStr">
        <is>
          <t>VMG</t>
        </is>
      </c>
      <c r="I1934" t="inlineStr">
        <is>
          <t>VDM Group Ltd</t>
        </is>
      </c>
      <c r="J1934" t="inlineStr">
        <is>
          <t>AUD</t>
        </is>
      </c>
      <c r="K1934" s="5" t="inlineStr">
        <is>
          <t>01a1212c-4c04-75ce-bbb2-e3322e18816e</t>
        </is>
      </c>
      <c r="M1934" t="inlineStr">
        <is>
          <t>UNKNOWN</t>
        </is>
      </c>
      <c r="N1934" t="inlineStr">
        <is>
          <t>DEFAULT</t>
        </is>
      </c>
      <c r="Q1934" t="n">
        <v>0</v>
      </c>
      <c r="R1934" t="inlineStr">
        <is>
          <t>AUD</t>
        </is>
      </c>
      <c r="S1934" t="n">
        <v>0</v>
      </c>
      <c r="T1934" t="inlineStr">
        <is>
          <t>AUD</t>
        </is>
      </c>
      <c r="U1934" t="n">
        <v>0</v>
      </c>
    </row>
    <row r="1935">
      <c r="A1935" s="5" t="inlineStr">
        <is>
          <t>01a1212c-634c-7315-a259-a941558d2119</t>
        </is>
      </c>
      <c r="C1935" s="5" t="inlineStr">
        <is>
          <t>01a1212c-4b57-70cf-80fd-c2192cb3bf81</t>
        </is>
      </c>
      <c r="D1935" s="4" t="n">
        <v>46304.62406903017</v>
      </c>
      <c r="E1935" s="4" t="n">
        <v>46304.62406903027</v>
      </c>
      <c r="F1935" t="b">
        <v>1</v>
      </c>
      <c r="G1935" t="n">
        <v/>
      </c>
      <c r="H1935" t="inlineStr">
        <is>
          <t>MVL</t>
        </is>
      </c>
      <c r="I1935" t="inlineStr">
        <is>
          <t>Marvel Gold Ltd</t>
        </is>
      </c>
      <c r="J1935" t="inlineStr">
        <is>
          <t>AUD</t>
        </is>
      </c>
      <c r="K1935" s="5" t="inlineStr">
        <is>
          <t>01a1212c-4c04-75ce-bbb2-e3322e18816e</t>
        </is>
      </c>
      <c r="M1935" t="inlineStr">
        <is>
          <t>UNKNOWN</t>
        </is>
      </c>
      <c r="N1935" t="inlineStr">
        <is>
          <t>DEFAULT</t>
        </is>
      </c>
      <c r="Q1935" t="n">
        <v>0</v>
      </c>
      <c r="R1935" t="inlineStr">
        <is>
          <t>AUD</t>
        </is>
      </c>
      <c r="S1935" t="n">
        <v>0</v>
      </c>
      <c r="T1935" t="inlineStr">
        <is>
          <t>AUD</t>
        </is>
      </c>
      <c r="U1935" t="n">
        <v>0</v>
      </c>
    </row>
    <row r="1936">
      <c r="A1936" s="5" t="inlineStr">
        <is>
          <t>01a1212c-634e-711a-9e5e-1b7f96abb187</t>
        </is>
      </c>
      <c r="C1936" s="5" t="inlineStr">
        <is>
          <t>01a1212c-4b57-70cf-80fd-c2192cb3bf81</t>
        </is>
      </c>
      <c r="D1936" s="4" t="n">
        <v>46304.62406906111</v>
      </c>
      <c r="E1936" s="4" t="n">
        <v>46304.62406906119</v>
      </c>
      <c r="F1936" t="b">
        <v>1</v>
      </c>
      <c r="G1936" t="n">
        <v/>
      </c>
      <c r="H1936" t="inlineStr">
        <is>
          <t>KCC</t>
        </is>
      </c>
      <c r="I1936" t="inlineStr">
        <is>
          <t>Kincora Copper Ltd</t>
        </is>
      </c>
      <c r="J1936" t="inlineStr">
        <is>
          <t>AUD</t>
        </is>
      </c>
      <c r="K1936" s="5" t="inlineStr">
        <is>
          <t>01a1212c-4c04-75ce-bbb2-e3322e18816e</t>
        </is>
      </c>
      <c r="M1936" t="inlineStr">
        <is>
          <t>UNKNOWN</t>
        </is>
      </c>
      <c r="N1936" t="inlineStr">
        <is>
          <t>DEFAULT</t>
        </is>
      </c>
      <c r="Q1936" t="n">
        <v>0</v>
      </c>
      <c r="R1936" t="inlineStr">
        <is>
          <t>AUD</t>
        </is>
      </c>
      <c r="S1936" t="n">
        <v>0</v>
      </c>
      <c r="T1936" t="inlineStr">
        <is>
          <t>AUD</t>
        </is>
      </c>
      <c r="U1936" t="n">
        <v>0</v>
      </c>
    </row>
    <row r="1937">
      <c r="A1937" s="5" t="inlineStr">
        <is>
          <t>01a1212c-6351-7387-bbc4-8ac2cd86805d</t>
        </is>
      </c>
      <c r="C1937" s="5" t="inlineStr">
        <is>
          <t>01a1212c-4b57-70cf-80fd-c2192cb3bf81</t>
        </is>
      </c>
      <c r="D1937" s="4" t="n">
        <v>46304.62406909359</v>
      </c>
      <c r="E1937" s="4" t="n">
        <v>46304.62406909369</v>
      </c>
      <c r="F1937" t="b">
        <v>1</v>
      </c>
      <c r="G1937" t="n">
        <v/>
      </c>
      <c r="H1937" t="inlineStr">
        <is>
          <t>HCT</t>
        </is>
      </c>
      <c r="I1937" t="inlineStr">
        <is>
          <t>Holista Colltech Ltd</t>
        </is>
      </c>
      <c r="J1937" t="inlineStr">
        <is>
          <t>AUD</t>
        </is>
      </c>
      <c r="K1937" s="5" t="inlineStr">
        <is>
          <t>01a1212c-4c04-75ce-bbb2-e3322e18816e</t>
        </is>
      </c>
      <c r="M1937" t="inlineStr">
        <is>
          <t>UNKNOWN</t>
        </is>
      </c>
      <c r="N1937" t="inlineStr">
        <is>
          <t>DEFAULT</t>
        </is>
      </c>
      <c r="Q1937" t="n">
        <v>0</v>
      </c>
      <c r="R1937" t="inlineStr">
        <is>
          <t>AUD</t>
        </is>
      </c>
      <c r="S1937" t="n">
        <v>0</v>
      </c>
      <c r="T1937" t="inlineStr">
        <is>
          <t>AUD</t>
        </is>
      </c>
      <c r="U1937" t="n">
        <v>0</v>
      </c>
    </row>
    <row r="1938">
      <c r="A1938" s="5" t="inlineStr">
        <is>
          <t>01a1212c-6354-73b1-a45e-ffc09cfb4bbf</t>
        </is>
      </c>
      <c r="C1938" s="5" t="inlineStr">
        <is>
          <t>01a1212c-4b57-70cf-80fd-c2192cb3bf81</t>
        </is>
      </c>
      <c r="D1938" s="4" t="n">
        <v>46304.6240691267</v>
      </c>
      <c r="E1938" s="4" t="n">
        <v>46304.62406912678</v>
      </c>
      <c r="F1938" t="b">
        <v>1</v>
      </c>
      <c r="G1938" t="n">
        <v/>
      </c>
      <c r="H1938" t="inlineStr">
        <is>
          <t>PLN</t>
        </is>
      </c>
      <c r="I1938" t="inlineStr">
        <is>
          <t>Pioneer Lithium Ltd</t>
        </is>
      </c>
      <c r="J1938" t="inlineStr">
        <is>
          <t>AUD</t>
        </is>
      </c>
      <c r="K1938" s="5" t="inlineStr">
        <is>
          <t>01a1212c-4c04-75ce-bbb2-e3322e18816e</t>
        </is>
      </c>
      <c r="M1938" t="inlineStr">
        <is>
          <t>UNKNOWN</t>
        </is>
      </c>
      <c r="N1938" t="inlineStr">
        <is>
          <t>DEFAULT</t>
        </is>
      </c>
      <c r="Q1938" t="n">
        <v>0</v>
      </c>
      <c r="R1938" t="inlineStr">
        <is>
          <t>AUD</t>
        </is>
      </c>
      <c r="S1938" t="n">
        <v>0</v>
      </c>
      <c r="T1938" t="inlineStr">
        <is>
          <t>AUD</t>
        </is>
      </c>
      <c r="U1938" t="n">
        <v>0</v>
      </c>
    </row>
    <row r="1939">
      <c r="A1939" s="5" t="inlineStr">
        <is>
          <t>01a1212c-6357-77d7-a004-d5e0ce38555a</t>
        </is>
      </c>
      <c r="C1939" s="5" t="inlineStr">
        <is>
          <t>01a1212c-4b57-70cf-80fd-c2192cb3bf81</t>
        </is>
      </c>
      <c r="D1939" s="4" t="n">
        <v>46304.62406915881</v>
      </c>
      <c r="E1939" s="4" t="n">
        <v>46304.62406915889</v>
      </c>
      <c r="F1939" t="b">
        <v>1</v>
      </c>
      <c r="G1939" t="n">
        <v/>
      </c>
      <c r="H1939" t="inlineStr">
        <is>
          <t>GLA</t>
        </is>
      </c>
      <c r="I1939" t="inlineStr">
        <is>
          <t>Gladiator Resources Ltd</t>
        </is>
      </c>
      <c r="J1939" t="inlineStr">
        <is>
          <t>AUD</t>
        </is>
      </c>
      <c r="K1939" s="5" t="inlineStr">
        <is>
          <t>01a1212c-4c04-75ce-bbb2-e3322e18816e</t>
        </is>
      </c>
      <c r="M1939" t="inlineStr">
        <is>
          <t>UNKNOWN</t>
        </is>
      </c>
      <c r="N1939" t="inlineStr">
        <is>
          <t>DEFAULT</t>
        </is>
      </c>
      <c r="Q1939" t="n">
        <v>0</v>
      </c>
      <c r="R1939" t="inlineStr">
        <is>
          <t>AUD</t>
        </is>
      </c>
      <c r="S1939" t="n">
        <v>0</v>
      </c>
      <c r="T1939" t="inlineStr">
        <is>
          <t>AUD</t>
        </is>
      </c>
      <c r="U1939" t="n">
        <v>0</v>
      </c>
    </row>
    <row r="1940">
      <c r="A1940" s="5" t="inlineStr">
        <is>
          <t>01a1212c-6359-7066-9168-4a9dfa38f589</t>
        </is>
      </c>
      <c r="C1940" s="5" t="inlineStr">
        <is>
          <t>01a1212c-4b57-70cf-80fd-c2192cb3bf81</t>
        </is>
      </c>
      <c r="D1940" s="4" t="n">
        <v>46304.6240691893</v>
      </c>
      <c r="E1940" s="4" t="n">
        <v>46304.62406918938</v>
      </c>
      <c r="F1940" t="b">
        <v>1</v>
      </c>
      <c r="G1940" t="n">
        <v/>
      </c>
      <c r="H1940" t="inlineStr">
        <is>
          <t>REE</t>
        </is>
      </c>
      <c r="I1940" t="inlineStr">
        <is>
          <t>RAREX Ltd</t>
        </is>
      </c>
      <c r="J1940" t="inlineStr">
        <is>
          <t>AUD</t>
        </is>
      </c>
      <c r="K1940" s="5" t="inlineStr">
        <is>
          <t>01a1212c-4c04-75ce-bbb2-e3322e18816e</t>
        </is>
      </c>
      <c r="M1940" t="inlineStr">
        <is>
          <t>UNKNOWN</t>
        </is>
      </c>
      <c r="N1940" t="inlineStr">
        <is>
          <t>DEFAULT</t>
        </is>
      </c>
      <c r="Q1940" t="n">
        <v>0</v>
      </c>
      <c r="R1940" t="inlineStr">
        <is>
          <t>AUD</t>
        </is>
      </c>
      <c r="S1940" t="n">
        <v>0</v>
      </c>
      <c r="T1940" t="inlineStr">
        <is>
          <t>AUD</t>
        </is>
      </c>
      <c r="U1940" t="n">
        <v>0</v>
      </c>
    </row>
    <row r="1941">
      <c r="A1941" s="5" t="inlineStr">
        <is>
          <t>01a1212c-635c-71c5-8e26-35815d431974</t>
        </is>
      </c>
      <c r="C1941" s="5" t="inlineStr">
        <is>
          <t>01a1212c-4b57-70cf-80fd-c2192cb3bf81</t>
        </is>
      </c>
      <c r="D1941" s="4" t="n">
        <v>46304.62406921996</v>
      </c>
      <c r="E1941" s="4" t="n">
        <v>46304.62406922004</v>
      </c>
      <c r="F1941" t="b">
        <v>1</v>
      </c>
      <c r="G1941" t="n">
        <v/>
      </c>
      <c r="H1941" t="inlineStr">
        <is>
          <t>NWM</t>
        </is>
      </c>
      <c r="I1941" t="inlineStr">
        <is>
          <t>Norwest Minerals Ltd</t>
        </is>
      </c>
      <c r="J1941" t="inlineStr">
        <is>
          <t>AUD</t>
        </is>
      </c>
      <c r="K1941" s="5" t="inlineStr">
        <is>
          <t>01a1212c-4c04-75ce-bbb2-e3322e18816e</t>
        </is>
      </c>
      <c r="M1941" t="inlineStr">
        <is>
          <t>UNKNOWN</t>
        </is>
      </c>
      <c r="N1941" t="inlineStr">
        <is>
          <t>DEFAULT</t>
        </is>
      </c>
      <c r="Q1941" t="n">
        <v>0</v>
      </c>
      <c r="R1941" t="inlineStr">
        <is>
          <t>AUD</t>
        </is>
      </c>
      <c r="S1941" t="n">
        <v>0</v>
      </c>
      <c r="T1941" t="inlineStr">
        <is>
          <t>AUD</t>
        </is>
      </c>
      <c r="U1941" t="n">
        <v>0</v>
      </c>
    </row>
    <row r="1942">
      <c r="A1942" s="5" t="inlineStr">
        <is>
          <t>01a1212c-635f-74c0-aaa8-1c9907ba0d98</t>
        </is>
      </c>
      <c r="C1942" s="5" t="inlineStr">
        <is>
          <t>01a1212c-4b57-70cf-80fd-c2192cb3bf81</t>
        </is>
      </c>
      <c r="D1942" s="4" t="n">
        <v>46304.6240692525</v>
      </c>
      <c r="E1942" s="4" t="n">
        <v>46304.62406925258</v>
      </c>
      <c r="F1942" t="b">
        <v>1</v>
      </c>
      <c r="G1942" t="n">
        <v/>
      </c>
      <c r="H1942" t="inlineStr">
        <is>
          <t>PUR</t>
        </is>
      </c>
      <c r="I1942" t="inlineStr">
        <is>
          <t>Pursuit Minerals Ltd</t>
        </is>
      </c>
      <c r="J1942" t="inlineStr">
        <is>
          <t>AUD</t>
        </is>
      </c>
      <c r="K1942" s="5" t="inlineStr">
        <is>
          <t>01a1212c-4c04-75ce-bbb2-e3322e18816e</t>
        </is>
      </c>
      <c r="M1942" t="inlineStr">
        <is>
          <t>UNKNOWN</t>
        </is>
      </c>
      <c r="N1942" t="inlineStr">
        <is>
          <t>DEFAULT</t>
        </is>
      </c>
      <c r="Q1942" t="n">
        <v>0</v>
      </c>
      <c r="R1942" t="inlineStr">
        <is>
          <t>AUD</t>
        </is>
      </c>
      <c r="S1942" t="n">
        <v>0</v>
      </c>
      <c r="T1942" t="inlineStr">
        <is>
          <t>AUD</t>
        </is>
      </c>
      <c r="U1942" t="n">
        <v>0</v>
      </c>
    </row>
    <row r="1943">
      <c r="A1943" s="5" t="inlineStr">
        <is>
          <t>01a1212c-6362-768f-b319-9084a0dc0a5a</t>
        </is>
      </c>
      <c r="C1943" s="5" t="inlineStr">
        <is>
          <t>01a1212c-4b57-70cf-80fd-c2192cb3bf81</t>
        </is>
      </c>
      <c r="D1943" s="4" t="n">
        <v>46304.62406928583</v>
      </c>
      <c r="E1943" s="4" t="n">
        <v>46304.62406928593</v>
      </c>
      <c r="F1943" t="b">
        <v>1</v>
      </c>
      <c r="G1943" t="n">
        <v/>
      </c>
      <c r="H1943" t="inlineStr">
        <is>
          <t>AVM</t>
        </is>
      </c>
      <c r="I1943" t="inlineStr">
        <is>
          <t>Advance Metals Ltd</t>
        </is>
      </c>
      <c r="J1943" t="inlineStr">
        <is>
          <t>AUD</t>
        </is>
      </c>
      <c r="K1943" s="5" t="inlineStr">
        <is>
          <t>01a1212c-4c04-75ce-bbb2-e3322e18816e</t>
        </is>
      </c>
      <c r="M1943" t="inlineStr">
        <is>
          <t>UNKNOWN</t>
        </is>
      </c>
      <c r="N1943" t="inlineStr">
        <is>
          <t>DEFAULT</t>
        </is>
      </c>
      <c r="Q1943" t="n">
        <v>0</v>
      </c>
      <c r="R1943" t="inlineStr">
        <is>
          <t>AUD</t>
        </is>
      </c>
      <c r="S1943" t="n">
        <v>0</v>
      </c>
      <c r="T1943" t="inlineStr">
        <is>
          <t>AUD</t>
        </is>
      </c>
      <c r="U1943" t="n">
        <v>0</v>
      </c>
    </row>
    <row r="1944">
      <c r="A1944" s="5" t="inlineStr">
        <is>
          <t>01a1212c-6364-7276-9ce0-8a8a2c2b80b0</t>
        </is>
      </c>
      <c r="C1944" s="5" t="inlineStr">
        <is>
          <t>01a1212c-4b57-70cf-80fd-c2192cb3bf81</t>
        </is>
      </c>
      <c r="D1944" s="4" t="n">
        <v>46304.62406931786</v>
      </c>
      <c r="E1944" s="4" t="n">
        <v>46304.62406931794</v>
      </c>
      <c r="F1944" t="b">
        <v>1</v>
      </c>
      <c r="G1944" t="n">
        <v/>
      </c>
      <c r="H1944" t="inlineStr">
        <is>
          <t>WHK</t>
        </is>
      </c>
      <c r="I1944" t="inlineStr">
        <is>
          <t>Whitehawk Ltd</t>
        </is>
      </c>
      <c r="J1944" t="inlineStr">
        <is>
          <t>AUD</t>
        </is>
      </c>
      <c r="K1944" s="5" t="inlineStr">
        <is>
          <t>01a1212c-4c04-75ce-bbb2-e3322e18816e</t>
        </is>
      </c>
      <c r="M1944" t="inlineStr">
        <is>
          <t>UNKNOWN</t>
        </is>
      </c>
      <c r="N1944" t="inlineStr">
        <is>
          <t>DEFAULT</t>
        </is>
      </c>
      <c r="Q1944" t="n">
        <v>0</v>
      </c>
      <c r="R1944" t="inlineStr">
        <is>
          <t>AUD</t>
        </is>
      </c>
      <c r="S1944" t="n">
        <v>0</v>
      </c>
      <c r="T1944" t="inlineStr">
        <is>
          <t>AUD</t>
        </is>
      </c>
      <c r="U1944" t="n">
        <v>0</v>
      </c>
    </row>
    <row r="1945">
      <c r="A1945" s="5" t="inlineStr">
        <is>
          <t>01a1212c-6367-7266-a1fa-169359508f56</t>
        </is>
      </c>
      <c r="C1945" s="5" t="inlineStr">
        <is>
          <t>01a1212c-4b57-70cf-80fd-c2192cb3bf81</t>
        </is>
      </c>
      <c r="D1945" s="4" t="n">
        <v>46304.62406934961</v>
      </c>
      <c r="E1945" s="4" t="n">
        <v>46304.62406934969</v>
      </c>
      <c r="F1945" t="b">
        <v>1</v>
      </c>
      <c r="G1945" t="n">
        <v/>
      </c>
      <c r="H1945" t="inlineStr">
        <is>
          <t>ADG</t>
        </is>
      </c>
      <c r="I1945" t="inlineStr">
        <is>
          <t>Adelong Gold Ltd</t>
        </is>
      </c>
      <c r="J1945" t="inlineStr">
        <is>
          <t>AUD</t>
        </is>
      </c>
      <c r="K1945" s="5" t="inlineStr">
        <is>
          <t>01a1212c-4c04-75ce-bbb2-e3322e18816e</t>
        </is>
      </c>
      <c r="M1945" t="inlineStr">
        <is>
          <t>UNKNOWN</t>
        </is>
      </c>
      <c r="N1945" t="inlineStr">
        <is>
          <t>DEFAULT</t>
        </is>
      </c>
      <c r="Q1945" t="n">
        <v>0</v>
      </c>
      <c r="R1945" t="inlineStr">
        <is>
          <t>AUD</t>
        </is>
      </c>
      <c r="S1945" t="n">
        <v>0</v>
      </c>
      <c r="T1945" t="inlineStr">
        <is>
          <t>AUD</t>
        </is>
      </c>
      <c r="U1945" t="n">
        <v>0</v>
      </c>
    </row>
    <row r="1946">
      <c r="A1946" s="5" t="inlineStr">
        <is>
          <t>01a1212c-636a-717f-b90c-9c56fe35141f</t>
        </is>
      </c>
      <c r="C1946" s="5" t="inlineStr">
        <is>
          <t>01a1212c-4b57-70cf-80fd-c2192cb3bf81</t>
        </is>
      </c>
      <c r="D1946" s="4" t="n">
        <v>46304.62406938082</v>
      </c>
      <c r="E1946" s="4" t="n">
        <v>46304.62406938092</v>
      </c>
      <c r="F1946" t="b">
        <v>1</v>
      </c>
      <c r="G1946" t="n">
        <v/>
      </c>
      <c r="H1946" t="inlineStr">
        <is>
          <t>MTAV</t>
        </is>
      </c>
      <c r="I1946" t="inlineStr">
        <is>
          <t>Betashares Metaverse ETF</t>
        </is>
      </c>
      <c r="J1946" t="inlineStr">
        <is>
          <t>AUD</t>
        </is>
      </c>
      <c r="K1946" s="5" t="inlineStr">
        <is>
          <t>01a1212c-4c04-75ce-bbb2-e3322e18816e</t>
        </is>
      </c>
      <c r="M1946" t="inlineStr">
        <is>
          <t>UNKNOWN</t>
        </is>
      </c>
      <c r="N1946" t="inlineStr">
        <is>
          <t>DEFAULT</t>
        </is>
      </c>
      <c r="Q1946" t="n">
        <v>0</v>
      </c>
      <c r="R1946" t="inlineStr">
        <is>
          <t>AUD</t>
        </is>
      </c>
      <c r="S1946" t="n">
        <v>0</v>
      </c>
      <c r="T1946" t="inlineStr">
        <is>
          <t>AUD</t>
        </is>
      </c>
      <c r="U1946" t="n">
        <v>0</v>
      </c>
    </row>
    <row r="1947">
      <c r="A1947" s="5" t="inlineStr">
        <is>
          <t>01a1212c-636d-7660-8ab9-f943ceb9effa</t>
        </is>
      </c>
      <c r="C1947" s="5" t="inlineStr">
        <is>
          <t>01a1212c-4b57-70cf-80fd-c2192cb3bf81</t>
        </is>
      </c>
      <c r="D1947" s="4" t="n">
        <v>46304.62406941463</v>
      </c>
      <c r="E1947" s="4" t="n">
        <v>46304.62406941471</v>
      </c>
      <c r="F1947" t="b">
        <v>1</v>
      </c>
      <c r="G1947" t="n">
        <v/>
      </c>
      <c r="H1947" t="inlineStr">
        <is>
          <t>ICG</t>
        </is>
      </c>
      <c r="I1947" t="inlineStr">
        <is>
          <t>Inca Minerals Ltd</t>
        </is>
      </c>
      <c r="J1947" t="inlineStr">
        <is>
          <t>AUD</t>
        </is>
      </c>
      <c r="K1947" s="5" t="inlineStr">
        <is>
          <t>01a1212c-4c04-75ce-bbb2-e3322e18816e</t>
        </is>
      </c>
      <c r="M1947" t="inlineStr">
        <is>
          <t>UNKNOWN</t>
        </is>
      </c>
      <c r="N1947" t="inlineStr">
        <is>
          <t>DEFAULT</t>
        </is>
      </c>
      <c r="Q1947" t="n">
        <v>0</v>
      </c>
      <c r="R1947" t="inlineStr">
        <is>
          <t>AUD</t>
        </is>
      </c>
      <c r="S1947" t="n">
        <v>0</v>
      </c>
      <c r="T1947" t="inlineStr">
        <is>
          <t>AUD</t>
        </is>
      </c>
      <c r="U1947" t="n">
        <v>0</v>
      </c>
    </row>
    <row r="1948">
      <c r="A1948" s="5" t="inlineStr">
        <is>
          <t>01a1212c-6370-7785-aa43-4a22b35911f5</t>
        </is>
      </c>
      <c r="C1948" s="5" t="inlineStr">
        <is>
          <t>01a1212c-4b57-70cf-80fd-c2192cb3bf81</t>
        </is>
      </c>
      <c r="D1948" s="4" t="n">
        <v>46304.62406944655</v>
      </c>
      <c r="E1948" s="4" t="n">
        <v>46304.62406944663</v>
      </c>
      <c r="F1948" t="b">
        <v>1</v>
      </c>
      <c r="G1948" t="n">
        <v/>
      </c>
      <c r="H1948" t="inlineStr">
        <is>
          <t>CVR</t>
        </is>
      </c>
      <c r="I1948" t="inlineStr">
        <is>
          <t>Cavalier Resources Ltd</t>
        </is>
      </c>
      <c r="J1948" t="inlineStr">
        <is>
          <t>AUD</t>
        </is>
      </c>
      <c r="K1948" s="5" t="inlineStr">
        <is>
          <t>01a1212c-4c04-75ce-bbb2-e3322e18816e</t>
        </is>
      </c>
      <c r="M1948" t="inlineStr">
        <is>
          <t>UNKNOWN</t>
        </is>
      </c>
      <c r="N1948" t="inlineStr">
        <is>
          <t>DEFAULT</t>
        </is>
      </c>
      <c r="Q1948" t="n">
        <v>0</v>
      </c>
      <c r="R1948" t="inlineStr">
        <is>
          <t>AUD</t>
        </is>
      </c>
      <c r="S1948" t="n">
        <v>0</v>
      </c>
      <c r="T1948" t="inlineStr">
        <is>
          <t>AUD</t>
        </is>
      </c>
      <c r="U1948" t="n">
        <v>0</v>
      </c>
    </row>
    <row r="1949">
      <c r="A1949" s="5" t="inlineStr">
        <is>
          <t>01a1212c-6373-7048-90ca-523993a8d512</t>
        </is>
      </c>
      <c r="C1949" s="5" t="inlineStr">
        <is>
          <t>01a1212c-4b57-70cf-80fd-c2192cb3bf81</t>
        </is>
      </c>
      <c r="D1949" s="4" t="n">
        <v>46304.62406948204</v>
      </c>
      <c r="E1949" s="4" t="n">
        <v>46304.62406948215</v>
      </c>
      <c r="F1949" t="b">
        <v>1</v>
      </c>
      <c r="G1949" t="n">
        <v/>
      </c>
      <c r="H1949" t="inlineStr">
        <is>
          <t>AYT</t>
        </is>
      </c>
      <c r="I1949" t="inlineStr">
        <is>
          <t>Austin Metals Ltd</t>
        </is>
      </c>
      <c r="J1949" t="inlineStr">
        <is>
          <t>AUD</t>
        </is>
      </c>
      <c r="K1949" s="5" t="inlineStr">
        <is>
          <t>01a1212c-4c04-75ce-bbb2-e3322e18816e</t>
        </is>
      </c>
      <c r="M1949" t="inlineStr">
        <is>
          <t>UNKNOWN</t>
        </is>
      </c>
      <c r="N1949" t="inlineStr">
        <is>
          <t>DEFAULT</t>
        </is>
      </c>
      <c r="Q1949" t="n">
        <v>0</v>
      </c>
      <c r="R1949" t="inlineStr">
        <is>
          <t>AUD</t>
        </is>
      </c>
      <c r="S1949" t="n">
        <v>0</v>
      </c>
      <c r="T1949" t="inlineStr">
        <is>
          <t>AUD</t>
        </is>
      </c>
      <c r="U1949" t="n">
        <v>0</v>
      </c>
    </row>
    <row r="1950">
      <c r="A1950" s="5" t="inlineStr">
        <is>
          <t>01a1212c-6375-7268-84fb-a7c6f994f2f2</t>
        </is>
      </c>
      <c r="C1950" s="5" t="inlineStr">
        <is>
          <t>01a1212c-4b57-70cf-80fd-c2192cb3bf81</t>
        </is>
      </c>
      <c r="D1950" s="4" t="n">
        <v>46304.62406951517</v>
      </c>
      <c r="E1950" s="4" t="n">
        <v>46304.62406951527</v>
      </c>
      <c r="F1950" t="b">
        <v>1</v>
      </c>
      <c r="G1950" t="n">
        <v/>
      </c>
      <c r="H1950" t="inlineStr">
        <is>
          <t>DES</t>
        </is>
      </c>
      <c r="I1950" t="inlineStr">
        <is>
          <t>Desoto Resources Ltd</t>
        </is>
      </c>
      <c r="J1950" t="inlineStr">
        <is>
          <t>AUD</t>
        </is>
      </c>
      <c r="K1950" s="5" t="inlineStr">
        <is>
          <t>01a1212c-4c04-75ce-bbb2-e3322e18816e</t>
        </is>
      </c>
      <c r="M1950" t="inlineStr">
        <is>
          <t>UNKNOWN</t>
        </is>
      </c>
      <c r="N1950" t="inlineStr">
        <is>
          <t>DEFAULT</t>
        </is>
      </c>
      <c r="Q1950" t="n">
        <v>0</v>
      </c>
      <c r="R1950" t="inlineStr">
        <is>
          <t>AUD</t>
        </is>
      </c>
      <c r="S1950" t="n">
        <v>0</v>
      </c>
      <c r="T1950" t="inlineStr">
        <is>
          <t>AUD</t>
        </is>
      </c>
      <c r="U1950" t="n">
        <v>0</v>
      </c>
    </row>
    <row r="1951">
      <c r="A1951" s="5" t="inlineStr">
        <is>
          <t>01a1212c-6379-743e-bede-9e6963bb1f2f</t>
        </is>
      </c>
      <c r="C1951" s="5" t="inlineStr">
        <is>
          <t>01a1212c-4b57-70cf-80fd-c2192cb3bf81</t>
        </is>
      </c>
      <c r="D1951" s="4" t="n">
        <v>46304.62406955095</v>
      </c>
      <c r="E1951" s="4" t="n">
        <v>46304.62406955105</v>
      </c>
      <c r="F1951" t="b">
        <v>1</v>
      </c>
      <c r="G1951" t="n">
        <v/>
      </c>
      <c r="H1951" t="inlineStr">
        <is>
          <t>SW1</t>
        </is>
      </c>
      <c r="I1951" t="inlineStr">
        <is>
          <t>Swift Networks Group Ltd</t>
        </is>
      </c>
      <c r="J1951" t="inlineStr">
        <is>
          <t>AUD</t>
        </is>
      </c>
      <c r="K1951" s="5" t="inlineStr">
        <is>
          <t>01a1212c-4c04-75ce-bbb2-e3322e18816e</t>
        </is>
      </c>
      <c r="M1951" t="inlineStr">
        <is>
          <t>UNKNOWN</t>
        </is>
      </c>
      <c r="N1951" t="inlineStr">
        <is>
          <t>DEFAULT</t>
        </is>
      </c>
      <c r="Q1951" t="n">
        <v>0</v>
      </c>
      <c r="R1951" t="inlineStr">
        <is>
          <t>AUD</t>
        </is>
      </c>
      <c r="S1951" t="n">
        <v>0</v>
      </c>
      <c r="T1951" t="inlineStr">
        <is>
          <t>AUD</t>
        </is>
      </c>
      <c r="U1951" t="n">
        <v>0</v>
      </c>
    </row>
    <row r="1952">
      <c r="A1952" s="5" t="inlineStr">
        <is>
          <t>01a1212c-637b-75be-9e94-bc552432196c</t>
        </is>
      </c>
      <c r="C1952" s="5" t="inlineStr">
        <is>
          <t>01a1212c-4b57-70cf-80fd-c2192cb3bf81</t>
        </is>
      </c>
      <c r="D1952" s="4" t="n">
        <v>46304.62406958333</v>
      </c>
      <c r="E1952" s="4" t="n">
        <v>46304.62406958341</v>
      </c>
      <c r="F1952" t="b">
        <v>1</v>
      </c>
      <c r="G1952" t="n">
        <v/>
      </c>
      <c r="H1952" t="inlineStr">
        <is>
          <t>ETPMPT</t>
        </is>
      </c>
      <c r="I1952" t="inlineStr">
        <is>
          <t>Global X Metal Securities Australia Ltd</t>
        </is>
      </c>
      <c r="J1952" t="inlineStr">
        <is>
          <t>AUD</t>
        </is>
      </c>
      <c r="K1952" s="5" t="inlineStr">
        <is>
          <t>01a1212c-4c04-75ce-bbb2-e3322e18816e</t>
        </is>
      </c>
      <c r="M1952" t="inlineStr">
        <is>
          <t>UNKNOWN</t>
        </is>
      </c>
      <c r="N1952" t="inlineStr">
        <is>
          <t>DEFAULT</t>
        </is>
      </c>
      <c r="Q1952" t="n">
        <v>0</v>
      </c>
      <c r="R1952" t="inlineStr">
        <is>
          <t>AUD</t>
        </is>
      </c>
      <c r="S1952" t="n">
        <v>0</v>
      </c>
      <c r="T1952" t="inlineStr">
        <is>
          <t>AUD</t>
        </is>
      </c>
      <c r="U1952" t="n">
        <v>0</v>
      </c>
    </row>
    <row r="1953">
      <c r="A1953" s="5" t="inlineStr">
        <is>
          <t>01a1212c-637e-7380-8355-0edf8b27dddc</t>
        </is>
      </c>
      <c r="C1953" s="5" t="inlineStr">
        <is>
          <t>01a1212c-4b57-70cf-80fd-c2192cb3bf81</t>
        </is>
      </c>
      <c r="D1953" s="4" t="n">
        <v>46304.62406961488</v>
      </c>
      <c r="E1953" s="4" t="n">
        <v>46304.62406961497</v>
      </c>
      <c r="F1953" t="b">
        <v>1</v>
      </c>
      <c r="G1953" t="n">
        <v/>
      </c>
      <c r="H1953" t="inlineStr">
        <is>
          <t>HYD</t>
        </is>
      </c>
      <c r="I1953" t="inlineStr">
        <is>
          <t>HYDRIX Ltd</t>
        </is>
      </c>
      <c r="J1953" t="inlineStr">
        <is>
          <t>AUD</t>
        </is>
      </c>
      <c r="K1953" s="5" t="inlineStr">
        <is>
          <t>01a1212c-4c04-75ce-bbb2-e3322e18816e</t>
        </is>
      </c>
      <c r="M1953" t="inlineStr">
        <is>
          <t>UNKNOWN</t>
        </is>
      </c>
      <c r="N1953" t="inlineStr">
        <is>
          <t>DEFAULT</t>
        </is>
      </c>
      <c r="Q1953" t="n">
        <v>0</v>
      </c>
      <c r="R1953" t="inlineStr">
        <is>
          <t>AUD</t>
        </is>
      </c>
      <c r="S1953" t="n">
        <v>0</v>
      </c>
      <c r="T1953" t="inlineStr">
        <is>
          <t>AUD</t>
        </is>
      </c>
      <c r="U1953" t="n">
        <v>0</v>
      </c>
    </row>
    <row r="1954">
      <c r="A1954" s="5" t="inlineStr">
        <is>
          <t>01a1212c-6381-77f0-a0ce-af13266c362c</t>
        </is>
      </c>
      <c r="C1954" s="5" t="inlineStr">
        <is>
          <t>01a1212c-4b57-70cf-80fd-c2192cb3bf81</t>
        </is>
      </c>
      <c r="D1954" s="4" t="n">
        <v>46304.62406964799</v>
      </c>
      <c r="E1954" s="4" t="n">
        <v>46304.62406964809</v>
      </c>
      <c r="F1954" t="b">
        <v>1</v>
      </c>
      <c r="G1954" t="n">
        <v/>
      </c>
      <c r="H1954" t="inlineStr">
        <is>
          <t>AXL</t>
        </is>
      </c>
      <c r="I1954" t="inlineStr">
        <is>
          <t>Axel Ree Ltd</t>
        </is>
      </c>
      <c r="J1954" t="inlineStr">
        <is>
          <t>AUD</t>
        </is>
      </c>
      <c r="K1954" s="5" t="inlineStr">
        <is>
          <t>01a1212c-4c04-75ce-bbb2-e3322e18816e</t>
        </is>
      </c>
      <c r="M1954" t="inlineStr">
        <is>
          <t>UNKNOWN</t>
        </is>
      </c>
      <c r="N1954" t="inlineStr">
        <is>
          <t>DEFAULT</t>
        </is>
      </c>
      <c r="Q1954" t="n">
        <v>0</v>
      </c>
      <c r="R1954" t="inlineStr">
        <is>
          <t>AUD</t>
        </is>
      </c>
      <c r="S1954" t="n">
        <v>0</v>
      </c>
      <c r="T1954" t="inlineStr">
        <is>
          <t>AUD</t>
        </is>
      </c>
      <c r="U1954" t="n">
        <v>0</v>
      </c>
    </row>
    <row r="1955">
      <c r="A1955" s="5" t="inlineStr">
        <is>
          <t>01a1212c-6384-7474-a656-e7d93ebd8c11</t>
        </is>
      </c>
      <c r="C1955" s="5" t="inlineStr">
        <is>
          <t>01a1212c-4b57-70cf-80fd-c2192cb3bf81</t>
        </is>
      </c>
      <c r="D1955" s="4" t="n">
        <v>46304.62406968088</v>
      </c>
      <c r="E1955" s="4" t="n">
        <v>46304.62406968097</v>
      </c>
      <c r="F1955" t="b">
        <v>1</v>
      </c>
      <c r="G1955" t="n">
        <v/>
      </c>
      <c r="H1955" t="inlineStr">
        <is>
          <t>FG1</t>
        </is>
      </c>
      <c r="I1955" t="inlineStr">
        <is>
          <t>FLYNN Gold Ltd</t>
        </is>
      </c>
      <c r="J1955" t="inlineStr">
        <is>
          <t>AUD</t>
        </is>
      </c>
      <c r="K1955" s="5" t="inlineStr">
        <is>
          <t>01a1212c-4c04-75ce-bbb2-e3322e18816e</t>
        </is>
      </c>
      <c r="M1955" t="inlineStr">
        <is>
          <t>UNKNOWN</t>
        </is>
      </c>
      <c r="N1955" t="inlineStr">
        <is>
          <t>DEFAULT</t>
        </is>
      </c>
      <c r="Q1955" t="n">
        <v>0</v>
      </c>
      <c r="R1955" t="inlineStr">
        <is>
          <t>AUD</t>
        </is>
      </c>
      <c r="S1955" t="n">
        <v>0</v>
      </c>
      <c r="T1955" t="inlineStr">
        <is>
          <t>AUD</t>
        </is>
      </c>
      <c r="U1955" t="n">
        <v>0</v>
      </c>
    </row>
    <row r="1956">
      <c r="A1956" s="5" t="inlineStr">
        <is>
          <t>01a1212c-6387-702d-b228-f3f8627417dd</t>
        </is>
      </c>
      <c r="C1956" s="5" t="inlineStr">
        <is>
          <t>01a1212c-4b57-70cf-80fd-c2192cb3bf81</t>
        </is>
      </c>
      <c r="D1956" s="4" t="n">
        <v>46304.62406971466</v>
      </c>
      <c r="E1956" s="4" t="n">
        <v>46304.62406971474</v>
      </c>
      <c r="F1956" t="b">
        <v>1</v>
      </c>
      <c r="G1956" t="n">
        <v/>
      </c>
      <c r="H1956" t="inlineStr">
        <is>
          <t>W2V</t>
        </is>
      </c>
      <c r="I1956" t="inlineStr">
        <is>
          <t>Way 2 Vat Ltd</t>
        </is>
      </c>
      <c r="J1956" t="inlineStr">
        <is>
          <t>AUD</t>
        </is>
      </c>
      <c r="K1956" s="5" t="inlineStr">
        <is>
          <t>01a1212c-4c04-75ce-bbb2-e3322e18816e</t>
        </is>
      </c>
      <c r="M1956" t="inlineStr">
        <is>
          <t>UNKNOWN</t>
        </is>
      </c>
      <c r="N1956" t="inlineStr">
        <is>
          <t>DEFAULT</t>
        </is>
      </c>
      <c r="Q1956" t="n">
        <v>0</v>
      </c>
      <c r="R1956" t="inlineStr">
        <is>
          <t>AUD</t>
        </is>
      </c>
      <c r="S1956" t="n">
        <v>0</v>
      </c>
      <c r="T1956" t="inlineStr">
        <is>
          <t>AUD</t>
        </is>
      </c>
      <c r="U1956" t="n">
        <v>0</v>
      </c>
    </row>
    <row r="1957">
      <c r="A1957" s="5" t="inlineStr">
        <is>
          <t>01a1212c-6389-72cf-b119-884bf8bbb783</t>
        </is>
      </c>
      <c r="C1957" s="5" t="inlineStr">
        <is>
          <t>01a1212c-4b57-70cf-80fd-c2192cb3bf81</t>
        </is>
      </c>
      <c r="D1957" s="4" t="n">
        <v>46304.62406974575</v>
      </c>
      <c r="E1957" s="4" t="n">
        <v>46304.62406974583</v>
      </c>
      <c r="F1957" t="b">
        <v>1</v>
      </c>
      <c r="G1957" t="n">
        <v/>
      </c>
      <c r="H1957" t="inlineStr">
        <is>
          <t>EV1</t>
        </is>
      </c>
      <c r="I1957" t="inlineStr">
        <is>
          <t>Evolution Energy Minerals Ltd</t>
        </is>
      </c>
      <c r="J1957" t="inlineStr">
        <is>
          <t>AUD</t>
        </is>
      </c>
      <c r="K1957" s="5" t="inlineStr">
        <is>
          <t>01a1212c-4c04-75ce-bbb2-e3322e18816e</t>
        </is>
      </c>
      <c r="M1957" t="inlineStr">
        <is>
          <t>UNKNOWN</t>
        </is>
      </c>
      <c r="N1957" t="inlineStr">
        <is>
          <t>DEFAULT</t>
        </is>
      </c>
      <c r="Q1957" t="n">
        <v>0</v>
      </c>
      <c r="R1957" t="inlineStr">
        <is>
          <t>AUD</t>
        </is>
      </c>
      <c r="S1957" t="n">
        <v>0</v>
      </c>
      <c r="T1957" t="inlineStr">
        <is>
          <t>AUD</t>
        </is>
      </c>
      <c r="U1957" t="n">
        <v>0</v>
      </c>
    </row>
    <row r="1958">
      <c r="A1958" s="5" t="inlineStr">
        <is>
          <t>01a1212c-638c-7112-99cd-5c018dce893f</t>
        </is>
      </c>
      <c r="C1958" s="5" t="inlineStr">
        <is>
          <t>01a1212c-4b57-70cf-80fd-c2192cb3bf81</t>
        </is>
      </c>
      <c r="D1958" s="4" t="n">
        <v>46304.62406977691</v>
      </c>
      <c r="E1958" s="4" t="n">
        <v>46304.62406977699</v>
      </c>
      <c r="F1958" t="b">
        <v>1</v>
      </c>
      <c r="G1958" t="n">
        <v/>
      </c>
      <c r="H1958" t="inlineStr">
        <is>
          <t>ZLD</t>
        </is>
      </c>
      <c r="I1958" t="inlineStr">
        <is>
          <t>Zelira Therapeutics Ltd</t>
        </is>
      </c>
      <c r="J1958" t="inlineStr">
        <is>
          <t>AUD</t>
        </is>
      </c>
      <c r="K1958" s="5" t="inlineStr">
        <is>
          <t>01a1212c-4c04-75ce-bbb2-e3322e18816e</t>
        </is>
      </c>
      <c r="M1958" t="inlineStr">
        <is>
          <t>UNKNOWN</t>
        </is>
      </c>
      <c r="N1958" t="inlineStr">
        <is>
          <t>DEFAULT</t>
        </is>
      </c>
      <c r="Q1958" t="n">
        <v>0</v>
      </c>
      <c r="R1958" t="inlineStr">
        <is>
          <t>AUD</t>
        </is>
      </c>
      <c r="S1958" t="n">
        <v>0</v>
      </c>
      <c r="T1958" t="inlineStr">
        <is>
          <t>AUD</t>
        </is>
      </c>
      <c r="U1958" t="n">
        <v>0</v>
      </c>
    </row>
    <row r="1959">
      <c r="A1959" s="5" t="inlineStr">
        <is>
          <t>01a1212c-638f-7351-8efc-4ca0b8aaa235</t>
        </is>
      </c>
      <c r="C1959" s="5" t="inlineStr">
        <is>
          <t>01a1212c-4b57-70cf-80fd-c2192cb3bf81</t>
        </is>
      </c>
      <c r="D1959" s="4" t="n">
        <v>46304.62406980769</v>
      </c>
      <c r="E1959" s="4" t="n">
        <v>46304.62406980777</v>
      </c>
      <c r="F1959" t="b">
        <v>1</v>
      </c>
      <c r="G1959" t="n">
        <v/>
      </c>
      <c r="H1959" t="inlineStr">
        <is>
          <t>NES</t>
        </is>
      </c>
      <c r="I1959" t="inlineStr">
        <is>
          <t>Nelson Resources Ltd</t>
        </is>
      </c>
      <c r="J1959" t="inlineStr">
        <is>
          <t>AUD</t>
        </is>
      </c>
      <c r="K1959" s="5" t="inlineStr">
        <is>
          <t>01a1212c-4c04-75ce-bbb2-e3322e18816e</t>
        </is>
      </c>
      <c r="M1959" t="inlineStr">
        <is>
          <t>UNKNOWN</t>
        </is>
      </c>
      <c r="N1959" t="inlineStr">
        <is>
          <t>DEFAULT</t>
        </is>
      </c>
      <c r="Q1959" t="n">
        <v>0</v>
      </c>
      <c r="R1959" t="inlineStr">
        <is>
          <t>AUD</t>
        </is>
      </c>
      <c r="S1959" t="n">
        <v>0</v>
      </c>
      <c r="T1959" t="inlineStr">
        <is>
          <t>AUD</t>
        </is>
      </c>
      <c r="U1959" t="n">
        <v>0</v>
      </c>
    </row>
    <row r="1960">
      <c r="A1960" s="5" t="inlineStr">
        <is>
          <t>01a1212c-6392-7539-b6a4-4237fcdab6d2</t>
        </is>
      </c>
      <c r="C1960" s="5" t="inlineStr">
        <is>
          <t>01a1212c-4b57-70cf-80fd-c2192cb3bf81</t>
        </is>
      </c>
      <c r="D1960" s="4" t="n">
        <v>46304.62406984058</v>
      </c>
      <c r="E1960" s="4" t="n">
        <v>46304.62406984066</v>
      </c>
      <c r="F1960" t="b">
        <v>1</v>
      </c>
      <c r="G1960" t="n">
        <v/>
      </c>
      <c r="H1960" t="inlineStr">
        <is>
          <t>SIT</t>
        </is>
      </c>
      <c r="I1960" t="inlineStr">
        <is>
          <t>Site Group International Ltd</t>
        </is>
      </c>
      <c r="J1960" t="inlineStr">
        <is>
          <t>AUD</t>
        </is>
      </c>
      <c r="K1960" s="5" t="inlineStr">
        <is>
          <t>01a1212c-4c04-75ce-bbb2-e3322e18816e</t>
        </is>
      </c>
      <c r="M1960" t="inlineStr">
        <is>
          <t>UNKNOWN</t>
        </is>
      </c>
      <c r="N1960" t="inlineStr">
        <is>
          <t>DEFAULT</t>
        </is>
      </c>
      <c r="Q1960" t="n">
        <v>0</v>
      </c>
      <c r="R1960" t="inlineStr">
        <is>
          <t>AUD</t>
        </is>
      </c>
      <c r="S1960" t="n">
        <v>0</v>
      </c>
      <c r="T1960" t="inlineStr">
        <is>
          <t>AUD</t>
        </is>
      </c>
      <c r="U1960" t="n">
        <v>0</v>
      </c>
    </row>
    <row r="1961">
      <c r="A1961" s="5" t="inlineStr">
        <is>
          <t>01a1212c-6394-7464-8f2a-5ad94364aee7</t>
        </is>
      </c>
      <c r="C1961" s="5" t="inlineStr">
        <is>
          <t>01a1212c-4b57-70cf-80fd-c2192cb3bf81</t>
        </is>
      </c>
      <c r="D1961" s="4" t="n">
        <v>46304.62406987146</v>
      </c>
      <c r="E1961" s="4" t="n">
        <v>46304.62406987154</v>
      </c>
      <c r="F1961" t="b">
        <v>1</v>
      </c>
      <c r="G1961" t="n">
        <v/>
      </c>
      <c r="H1961" t="inlineStr">
        <is>
          <t>IUSG</t>
        </is>
      </c>
      <c r="I1961" t="inlineStr">
        <is>
          <t>Ishares U.S. Treasury Bond (Aud Hedged) ETF</t>
        </is>
      </c>
      <c r="J1961" t="inlineStr">
        <is>
          <t>AUD</t>
        </is>
      </c>
      <c r="K1961" s="5" t="inlineStr">
        <is>
          <t>01a1212c-4c04-75ce-bbb2-e3322e18816e</t>
        </is>
      </c>
      <c r="M1961" t="inlineStr">
        <is>
          <t>UNKNOWN</t>
        </is>
      </c>
      <c r="N1961" t="inlineStr">
        <is>
          <t>DEFAULT</t>
        </is>
      </c>
      <c r="Q1961" t="n">
        <v>0</v>
      </c>
      <c r="R1961" t="inlineStr">
        <is>
          <t>AUD</t>
        </is>
      </c>
      <c r="S1961" t="n">
        <v>0</v>
      </c>
      <c r="T1961" t="inlineStr">
        <is>
          <t>AUD</t>
        </is>
      </c>
      <c r="U1961" t="n">
        <v>0</v>
      </c>
    </row>
    <row r="1962">
      <c r="A1962" s="5" t="inlineStr">
        <is>
          <t>01a1212c-6397-76c3-9cad-1b9b509657f9</t>
        </is>
      </c>
      <c r="C1962" s="5" t="inlineStr">
        <is>
          <t>01a1212c-4b57-70cf-80fd-c2192cb3bf81</t>
        </is>
      </c>
      <c r="D1962" s="4" t="n">
        <v>46304.62406990471</v>
      </c>
      <c r="E1962" s="4" t="n">
        <v>46304.62406990479</v>
      </c>
      <c r="F1962" t="b">
        <v>1</v>
      </c>
      <c r="G1962" t="n">
        <v/>
      </c>
      <c r="H1962" t="inlineStr">
        <is>
          <t>14D</t>
        </is>
      </c>
      <c r="I1962" t="inlineStr">
        <is>
          <t>1414 Degrees Ltd</t>
        </is>
      </c>
      <c r="J1962" t="inlineStr">
        <is>
          <t>AUD</t>
        </is>
      </c>
      <c r="K1962" s="5" t="inlineStr">
        <is>
          <t>01a1212c-4c04-75ce-bbb2-e3322e18816e</t>
        </is>
      </c>
      <c r="M1962" t="inlineStr">
        <is>
          <t>UNKNOWN</t>
        </is>
      </c>
      <c r="N1962" t="inlineStr">
        <is>
          <t>DEFAULT</t>
        </is>
      </c>
      <c r="Q1962" t="n">
        <v>0</v>
      </c>
      <c r="R1962" t="inlineStr">
        <is>
          <t>AUD</t>
        </is>
      </c>
      <c r="S1962" t="n">
        <v>0</v>
      </c>
      <c r="T1962" t="inlineStr">
        <is>
          <t>AUD</t>
        </is>
      </c>
      <c r="U1962" t="n">
        <v>0</v>
      </c>
    </row>
    <row r="1963">
      <c r="A1963" s="5" t="inlineStr">
        <is>
          <t>01a1212c-639a-74f1-bddd-760ef7b59013</t>
        </is>
      </c>
      <c r="C1963" s="5" t="inlineStr">
        <is>
          <t>01a1212c-4b57-70cf-80fd-c2192cb3bf81</t>
        </is>
      </c>
      <c r="D1963" s="4" t="n">
        <v>46304.62406993577</v>
      </c>
      <c r="E1963" s="4" t="n">
        <v>46304.62406993585</v>
      </c>
      <c r="F1963" t="b">
        <v>1</v>
      </c>
      <c r="G1963" t="n">
        <v/>
      </c>
      <c r="H1963" t="inlineStr">
        <is>
          <t>AUA</t>
        </is>
      </c>
      <c r="I1963" t="inlineStr">
        <is>
          <t>Audeara Ltd</t>
        </is>
      </c>
      <c r="J1963" t="inlineStr">
        <is>
          <t>AUD</t>
        </is>
      </c>
      <c r="K1963" s="5" t="inlineStr">
        <is>
          <t>01a1212c-4c04-75ce-bbb2-e3322e18816e</t>
        </is>
      </c>
      <c r="M1963" t="inlineStr">
        <is>
          <t>UNKNOWN</t>
        </is>
      </c>
      <c r="N1963" t="inlineStr">
        <is>
          <t>DEFAULT</t>
        </is>
      </c>
      <c r="Q1963" t="n">
        <v>0</v>
      </c>
      <c r="R1963" t="inlineStr">
        <is>
          <t>AUD</t>
        </is>
      </c>
      <c r="S1963" t="n">
        <v>0</v>
      </c>
      <c r="T1963" t="inlineStr">
        <is>
          <t>AUD</t>
        </is>
      </c>
      <c r="U1963" t="n">
        <v>0</v>
      </c>
    </row>
    <row r="1964">
      <c r="A1964" s="5" t="inlineStr">
        <is>
          <t>01a1212c-639c-7706-b570-8144479d91a7</t>
        </is>
      </c>
      <c r="C1964" s="5" t="inlineStr">
        <is>
          <t>01a1212c-4b57-70cf-80fd-c2192cb3bf81</t>
        </is>
      </c>
      <c r="D1964" s="4" t="n">
        <v>46304.62406996623</v>
      </c>
      <c r="E1964" s="4" t="n">
        <v>46304.62406996631</v>
      </c>
      <c r="F1964" t="b">
        <v>1</v>
      </c>
      <c r="G1964" t="n">
        <v/>
      </c>
      <c r="H1964" t="inlineStr">
        <is>
          <t>LAT</t>
        </is>
      </c>
      <c r="I1964" t="inlineStr">
        <is>
          <t>Latitude 66 Ltd</t>
        </is>
      </c>
      <c r="J1964" t="inlineStr">
        <is>
          <t>AUD</t>
        </is>
      </c>
      <c r="K1964" s="5" t="inlineStr">
        <is>
          <t>01a1212c-4c04-75ce-bbb2-e3322e18816e</t>
        </is>
      </c>
      <c r="M1964" t="inlineStr">
        <is>
          <t>UNKNOWN</t>
        </is>
      </c>
      <c r="N1964" t="inlineStr">
        <is>
          <t>DEFAULT</t>
        </is>
      </c>
      <c r="Q1964" t="n">
        <v>0</v>
      </c>
      <c r="R1964" t="inlineStr">
        <is>
          <t>AUD</t>
        </is>
      </c>
      <c r="S1964" t="n">
        <v>0</v>
      </c>
      <c r="T1964" t="inlineStr">
        <is>
          <t>AUD</t>
        </is>
      </c>
      <c r="U1964" t="n">
        <v>0</v>
      </c>
    </row>
    <row r="1965">
      <c r="A1965" s="5" t="inlineStr">
        <is>
          <t>01a1212c-639f-723f-83c7-37e1fe1d7cb0</t>
        </is>
      </c>
      <c r="C1965" s="5" t="inlineStr">
        <is>
          <t>01a1212c-4b57-70cf-80fd-c2192cb3bf81</t>
        </is>
      </c>
      <c r="D1965" s="4" t="n">
        <v>46304.62406999872</v>
      </c>
      <c r="E1965" s="4" t="n">
        <v>46304.6240699988</v>
      </c>
      <c r="F1965" t="b">
        <v>1</v>
      </c>
      <c r="G1965" t="n">
        <v/>
      </c>
      <c r="H1965" t="inlineStr">
        <is>
          <t>FL1</t>
        </is>
      </c>
      <c r="I1965" t="inlineStr">
        <is>
          <t>First Lithium Ltd</t>
        </is>
      </c>
      <c r="J1965" t="inlineStr">
        <is>
          <t>AUD</t>
        </is>
      </c>
      <c r="K1965" s="5" t="inlineStr">
        <is>
          <t>01a1212c-4c04-75ce-bbb2-e3322e18816e</t>
        </is>
      </c>
      <c r="M1965" t="inlineStr">
        <is>
          <t>UNKNOWN</t>
        </is>
      </c>
      <c r="N1965" t="inlineStr">
        <is>
          <t>DEFAULT</t>
        </is>
      </c>
      <c r="Q1965" t="n">
        <v>0</v>
      </c>
      <c r="R1965" t="inlineStr">
        <is>
          <t>AUD</t>
        </is>
      </c>
      <c r="S1965" t="n">
        <v>0</v>
      </c>
      <c r="T1965" t="inlineStr">
        <is>
          <t>AUD</t>
        </is>
      </c>
      <c r="U1965" t="n">
        <v>0</v>
      </c>
    </row>
    <row r="1966">
      <c r="A1966" s="5" t="inlineStr">
        <is>
          <t>01a1212c-63a2-72c5-87a5-32a1d9b10665</t>
        </is>
      </c>
      <c r="C1966" s="5" t="inlineStr">
        <is>
          <t>01a1212c-4b57-70cf-80fd-c2192cb3bf81</t>
        </is>
      </c>
      <c r="D1966" s="4" t="n">
        <v>46304.62407002989</v>
      </c>
      <c r="E1966" s="4" t="n">
        <v>46304.62407002997</v>
      </c>
      <c r="F1966" t="b">
        <v>1</v>
      </c>
      <c r="G1966" t="n">
        <v/>
      </c>
      <c r="H1966" t="inlineStr">
        <is>
          <t>NAE</t>
        </is>
      </c>
      <c r="I1966" t="inlineStr">
        <is>
          <t>New Age Exploration Ltd</t>
        </is>
      </c>
      <c r="J1966" t="inlineStr">
        <is>
          <t>AUD</t>
        </is>
      </c>
      <c r="K1966" s="5" t="inlineStr">
        <is>
          <t>01a1212c-4c04-75ce-bbb2-e3322e18816e</t>
        </is>
      </c>
      <c r="M1966" t="inlineStr">
        <is>
          <t>UNKNOWN</t>
        </is>
      </c>
      <c r="N1966" t="inlineStr">
        <is>
          <t>DEFAULT</t>
        </is>
      </c>
      <c r="Q1966" t="n">
        <v>0</v>
      </c>
      <c r="R1966" t="inlineStr">
        <is>
          <t>AUD</t>
        </is>
      </c>
      <c r="S1966" t="n">
        <v>0</v>
      </c>
      <c r="T1966" t="inlineStr">
        <is>
          <t>AUD</t>
        </is>
      </c>
      <c r="U1966" t="n">
        <v>0</v>
      </c>
    </row>
    <row r="1967">
      <c r="A1967" s="5" t="inlineStr">
        <is>
          <t>01a1212c-63a5-7501-bb6a-1a5dba872097</t>
        </is>
      </c>
      <c r="C1967" s="5" t="inlineStr">
        <is>
          <t>01a1212c-4b57-70cf-80fd-c2192cb3bf81</t>
        </is>
      </c>
      <c r="D1967" s="4" t="n">
        <v>46304.62407006102</v>
      </c>
      <c r="E1967" s="4" t="n">
        <v>46304.6240700611</v>
      </c>
      <c r="F1967" t="b">
        <v>1</v>
      </c>
      <c r="G1967" t="n">
        <v/>
      </c>
      <c r="H1967" t="inlineStr">
        <is>
          <t>MOZ</t>
        </is>
      </c>
      <c r="I1967" t="inlineStr">
        <is>
          <t>Mosaic Brands Ltd</t>
        </is>
      </c>
      <c r="J1967" t="inlineStr">
        <is>
          <t>AUD</t>
        </is>
      </c>
      <c r="K1967" s="5" t="inlineStr">
        <is>
          <t>01a1212c-4c04-75ce-bbb2-e3322e18816e</t>
        </is>
      </c>
      <c r="M1967" t="inlineStr">
        <is>
          <t>UNKNOWN</t>
        </is>
      </c>
      <c r="N1967" t="inlineStr">
        <is>
          <t>DEFAULT</t>
        </is>
      </c>
      <c r="Q1967" t="n">
        <v>0</v>
      </c>
      <c r="R1967" t="inlineStr">
        <is>
          <t>AUD</t>
        </is>
      </c>
      <c r="S1967" t="n">
        <v>0</v>
      </c>
      <c r="T1967" t="inlineStr">
        <is>
          <t>AUD</t>
        </is>
      </c>
      <c r="U1967" t="n">
        <v>0</v>
      </c>
    </row>
    <row r="1968">
      <c r="A1968" s="5" t="inlineStr">
        <is>
          <t>01a1212c-63a7-7509-90c0-72ffe8930337</t>
        </is>
      </c>
      <c r="C1968" s="5" t="inlineStr">
        <is>
          <t>01a1212c-4b57-70cf-80fd-c2192cb3bf81</t>
        </is>
      </c>
      <c r="D1968" s="4" t="n">
        <v>46304.62407009197</v>
      </c>
      <c r="E1968" s="4" t="n">
        <v>46304.62407009205</v>
      </c>
      <c r="F1968" t="b">
        <v>1</v>
      </c>
      <c r="G1968" t="n">
        <v/>
      </c>
      <c r="H1968" t="inlineStr">
        <is>
          <t>RNX</t>
        </is>
      </c>
      <c r="I1968" t="inlineStr">
        <is>
          <t>Renegade Exploration Ltd</t>
        </is>
      </c>
      <c r="J1968" t="inlineStr">
        <is>
          <t>AUD</t>
        </is>
      </c>
      <c r="K1968" s="5" t="inlineStr">
        <is>
          <t>01a1212c-4c04-75ce-bbb2-e3322e18816e</t>
        </is>
      </c>
      <c r="M1968" t="inlineStr">
        <is>
          <t>UNKNOWN</t>
        </is>
      </c>
      <c r="N1968" t="inlineStr">
        <is>
          <t>DEFAULT</t>
        </is>
      </c>
      <c r="Q1968" t="n">
        <v>0</v>
      </c>
      <c r="R1968" t="inlineStr">
        <is>
          <t>AUD</t>
        </is>
      </c>
      <c r="S1968" t="n">
        <v>0</v>
      </c>
      <c r="T1968" t="inlineStr">
        <is>
          <t>AUD</t>
        </is>
      </c>
      <c r="U1968" t="n">
        <v>0</v>
      </c>
    </row>
    <row r="1969">
      <c r="A1969" s="5" t="inlineStr">
        <is>
          <t>01a1212c-63aa-717c-beb4-bcbefe58030a</t>
        </is>
      </c>
      <c r="C1969" s="5" t="inlineStr">
        <is>
          <t>01a1212c-4b57-70cf-80fd-c2192cb3bf81</t>
        </is>
      </c>
      <c r="D1969" s="4" t="n">
        <v>46304.62407012465</v>
      </c>
      <c r="E1969" s="4" t="n">
        <v>46304.62407012472</v>
      </c>
      <c r="F1969" t="b">
        <v>1</v>
      </c>
      <c r="G1969" t="n">
        <v/>
      </c>
      <c r="H1969" t="inlineStr">
        <is>
          <t>DM1</t>
        </is>
      </c>
      <c r="I1969" t="inlineStr">
        <is>
          <t>Desert Metals Ltd</t>
        </is>
      </c>
      <c r="J1969" t="inlineStr">
        <is>
          <t>AUD</t>
        </is>
      </c>
      <c r="K1969" s="5" t="inlineStr">
        <is>
          <t>01a1212c-4c04-75ce-bbb2-e3322e18816e</t>
        </is>
      </c>
      <c r="M1969" t="inlineStr">
        <is>
          <t>UNKNOWN</t>
        </is>
      </c>
      <c r="N1969" t="inlineStr">
        <is>
          <t>DEFAULT</t>
        </is>
      </c>
      <c r="Q1969" t="n">
        <v>0</v>
      </c>
      <c r="R1969" t="inlineStr">
        <is>
          <t>AUD</t>
        </is>
      </c>
      <c r="S1969" t="n">
        <v>0</v>
      </c>
      <c r="T1969" t="inlineStr">
        <is>
          <t>AUD</t>
        </is>
      </c>
      <c r="U1969" t="n">
        <v>0</v>
      </c>
    </row>
    <row r="1970">
      <c r="A1970" s="5" t="inlineStr">
        <is>
          <t>01a1212c-63ad-778c-8006-b9b7d600397e</t>
        </is>
      </c>
      <c r="C1970" s="5" t="inlineStr">
        <is>
          <t>01a1212c-4b57-70cf-80fd-c2192cb3bf81</t>
        </is>
      </c>
      <c r="D1970" s="4" t="n">
        <v>46304.62407015558</v>
      </c>
      <c r="E1970" s="4" t="n">
        <v>46304.62407015565</v>
      </c>
      <c r="F1970" t="b">
        <v>1</v>
      </c>
      <c r="G1970" t="n">
        <v/>
      </c>
      <c r="H1970" t="inlineStr">
        <is>
          <t>OCT</t>
        </is>
      </c>
      <c r="I1970" t="inlineStr">
        <is>
          <t>Octava Minerals Ltd</t>
        </is>
      </c>
      <c r="J1970" t="inlineStr">
        <is>
          <t>AUD</t>
        </is>
      </c>
      <c r="K1970" s="5" t="inlineStr">
        <is>
          <t>01a1212c-4c04-75ce-bbb2-e3322e18816e</t>
        </is>
      </c>
      <c r="M1970" t="inlineStr">
        <is>
          <t>UNKNOWN</t>
        </is>
      </c>
      <c r="N1970" t="inlineStr">
        <is>
          <t>DEFAULT</t>
        </is>
      </c>
      <c r="Q1970" t="n">
        <v>0</v>
      </c>
      <c r="R1970" t="inlineStr">
        <is>
          <t>AUD</t>
        </is>
      </c>
      <c r="S1970" t="n">
        <v>0</v>
      </c>
      <c r="T1970" t="inlineStr">
        <is>
          <t>AUD</t>
        </is>
      </c>
      <c r="U1970" t="n">
        <v>0</v>
      </c>
    </row>
    <row r="1971">
      <c r="A1971" s="5" t="inlineStr">
        <is>
          <t>01a1212c-63b0-7097-9a74-154cad6ea718</t>
        </is>
      </c>
      <c r="C1971" s="5" t="inlineStr">
        <is>
          <t>01a1212c-4b57-70cf-80fd-c2192cb3bf81</t>
        </is>
      </c>
      <c r="D1971" s="4" t="n">
        <v>46304.62407018646</v>
      </c>
      <c r="E1971" s="4" t="n">
        <v>46304.62407018654</v>
      </c>
      <c r="F1971" t="b">
        <v>1</v>
      </c>
      <c r="G1971" t="n">
        <v/>
      </c>
      <c r="H1971" t="inlineStr">
        <is>
          <t>AM5</t>
        </is>
      </c>
      <c r="I1971" t="inlineStr">
        <is>
          <t>Antares Metals Ltd</t>
        </is>
      </c>
      <c r="J1971" t="inlineStr">
        <is>
          <t>AUD</t>
        </is>
      </c>
      <c r="K1971" s="5" t="inlineStr">
        <is>
          <t>01a1212c-4c04-75ce-bbb2-e3322e18816e</t>
        </is>
      </c>
      <c r="M1971" t="inlineStr">
        <is>
          <t>UNKNOWN</t>
        </is>
      </c>
      <c r="N1971" t="inlineStr">
        <is>
          <t>DEFAULT</t>
        </is>
      </c>
      <c r="Q1971" t="n">
        <v>0</v>
      </c>
      <c r="R1971" t="inlineStr">
        <is>
          <t>AUD</t>
        </is>
      </c>
      <c r="S1971" t="n">
        <v>0</v>
      </c>
      <c r="T1971" t="inlineStr">
        <is>
          <t>AUD</t>
        </is>
      </c>
      <c r="U1971" t="n">
        <v>0</v>
      </c>
    </row>
    <row r="1972">
      <c r="A1972" s="5" t="inlineStr">
        <is>
          <t>01a1212c-63b2-763b-b064-0094d4a41701</t>
        </is>
      </c>
      <c r="C1972" s="5" t="inlineStr">
        <is>
          <t>01a1212c-4b57-70cf-80fd-c2192cb3bf81</t>
        </is>
      </c>
      <c r="D1972" s="4" t="n">
        <v>46304.62407021716</v>
      </c>
      <c r="E1972" s="4" t="n">
        <v>46304.62407021724</v>
      </c>
      <c r="F1972" t="b">
        <v>1</v>
      </c>
      <c r="G1972" t="n">
        <v/>
      </c>
      <c r="H1972" t="inlineStr">
        <is>
          <t>PR2</t>
        </is>
      </c>
      <c r="I1972" t="inlineStr">
        <is>
          <t>Piche Resources Ltd</t>
        </is>
      </c>
      <c r="J1972" t="inlineStr">
        <is>
          <t>AUD</t>
        </is>
      </c>
      <c r="K1972" s="5" t="inlineStr">
        <is>
          <t>01a1212c-4c04-75ce-bbb2-e3322e18816e</t>
        </is>
      </c>
      <c r="M1972" t="inlineStr">
        <is>
          <t>UNKNOWN</t>
        </is>
      </c>
      <c r="N1972" t="inlineStr">
        <is>
          <t>DEFAULT</t>
        </is>
      </c>
      <c r="Q1972" t="n">
        <v>0</v>
      </c>
      <c r="R1972" t="inlineStr">
        <is>
          <t>AUD</t>
        </is>
      </c>
      <c r="S1972" t="n">
        <v>0</v>
      </c>
      <c r="T1972" t="inlineStr">
        <is>
          <t>AUD</t>
        </is>
      </c>
      <c r="U1972" t="n">
        <v>0</v>
      </c>
    </row>
    <row r="1973">
      <c r="A1973" s="5" t="inlineStr">
        <is>
          <t>01a1212c-63b5-743b-8b37-5c74fd47cebe</t>
        </is>
      </c>
      <c r="C1973" s="5" t="inlineStr">
        <is>
          <t>01a1212c-4b57-70cf-80fd-c2192cb3bf81</t>
        </is>
      </c>
      <c r="D1973" s="4" t="n">
        <v>46304.62407024912</v>
      </c>
      <c r="E1973" s="4" t="n">
        <v>46304.62407024921</v>
      </c>
      <c r="F1973" t="b">
        <v>1</v>
      </c>
      <c r="G1973" t="n">
        <v/>
      </c>
      <c r="H1973" t="inlineStr">
        <is>
          <t>ECT</t>
        </is>
      </c>
      <c r="I1973" t="inlineStr">
        <is>
          <t>Environmental Clean Technologies Ltd</t>
        </is>
      </c>
      <c r="J1973" t="inlineStr">
        <is>
          <t>AUD</t>
        </is>
      </c>
      <c r="K1973" s="5" t="inlineStr">
        <is>
          <t>01a1212c-4c04-75ce-bbb2-e3322e18816e</t>
        </is>
      </c>
      <c r="M1973" t="inlineStr">
        <is>
          <t>UNKNOWN</t>
        </is>
      </c>
      <c r="N1973" t="inlineStr">
        <is>
          <t>DEFAULT</t>
        </is>
      </c>
      <c r="Q1973" t="n">
        <v>0</v>
      </c>
      <c r="R1973" t="inlineStr">
        <is>
          <t>AUD</t>
        </is>
      </c>
      <c r="S1973" t="n">
        <v>0</v>
      </c>
      <c r="T1973" t="inlineStr">
        <is>
          <t>AUD</t>
        </is>
      </c>
      <c r="U1973" t="n">
        <v>0</v>
      </c>
    </row>
    <row r="1974">
      <c r="A1974" s="5" t="inlineStr">
        <is>
          <t>01a1212c-63b8-7351-bee6-2929e9dbaebc</t>
        </is>
      </c>
      <c r="C1974" s="5" t="inlineStr">
        <is>
          <t>01a1212c-4b57-70cf-80fd-c2192cb3bf81</t>
        </is>
      </c>
      <c r="D1974" s="4" t="n">
        <v>46304.62407028341</v>
      </c>
      <c r="E1974" s="4" t="n">
        <v>46304.6240702835</v>
      </c>
      <c r="F1974" t="b">
        <v>1</v>
      </c>
      <c r="G1974" t="n">
        <v/>
      </c>
      <c r="H1974" t="inlineStr">
        <is>
          <t>LOM</t>
        </is>
      </c>
      <c r="I1974" t="inlineStr">
        <is>
          <t>Lucapa Diamond Company Ltd</t>
        </is>
      </c>
      <c r="J1974" t="inlineStr">
        <is>
          <t>AUD</t>
        </is>
      </c>
      <c r="K1974" s="5" t="inlineStr">
        <is>
          <t>01a1212c-4c04-75ce-bbb2-e3322e18816e</t>
        </is>
      </c>
      <c r="M1974" t="inlineStr">
        <is>
          <t>UNKNOWN</t>
        </is>
      </c>
      <c r="N1974" t="inlineStr">
        <is>
          <t>DEFAULT</t>
        </is>
      </c>
      <c r="Q1974" t="n">
        <v>0</v>
      </c>
      <c r="R1974" t="inlineStr">
        <is>
          <t>AUD</t>
        </is>
      </c>
      <c r="S1974" t="n">
        <v>0</v>
      </c>
      <c r="T1974" t="inlineStr">
        <is>
          <t>AUD</t>
        </is>
      </c>
      <c r="U1974" t="n">
        <v>0</v>
      </c>
    </row>
    <row r="1975">
      <c r="A1975" s="5" t="inlineStr">
        <is>
          <t>01a1212c-63bb-74d7-bfac-4af9b9664882</t>
        </is>
      </c>
      <c r="C1975" s="5" t="inlineStr">
        <is>
          <t>01a1212c-4b57-70cf-80fd-c2192cb3bf81</t>
        </is>
      </c>
      <c r="D1975" s="4" t="n">
        <v>46304.62407031455</v>
      </c>
      <c r="E1975" s="4" t="n">
        <v>46304.62407031462</v>
      </c>
      <c r="F1975" t="b">
        <v>1</v>
      </c>
      <c r="G1975" t="n">
        <v/>
      </c>
      <c r="H1975" t="inlineStr">
        <is>
          <t>SMX</t>
        </is>
      </c>
      <c r="I1975" t="inlineStr">
        <is>
          <t>Strata Minerals Ltd</t>
        </is>
      </c>
      <c r="J1975" t="inlineStr">
        <is>
          <t>AUD</t>
        </is>
      </c>
      <c r="K1975" s="5" t="inlineStr">
        <is>
          <t>01a1212c-4c04-75ce-bbb2-e3322e18816e</t>
        </is>
      </c>
      <c r="M1975" t="inlineStr">
        <is>
          <t>UNKNOWN</t>
        </is>
      </c>
      <c r="N1975" t="inlineStr">
        <is>
          <t>DEFAULT</t>
        </is>
      </c>
      <c r="Q1975" t="n">
        <v>0</v>
      </c>
      <c r="R1975" t="inlineStr">
        <is>
          <t>AUD</t>
        </is>
      </c>
      <c r="S1975" t="n">
        <v>0</v>
      </c>
      <c r="T1975" t="inlineStr">
        <is>
          <t>AUD</t>
        </is>
      </c>
      <c r="U1975" t="n">
        <v>0</v>
      </c>
    </row>
    <row r="1976">
      <c r="A1976" s="5" t="inlineStr">
        <is>
          <t>01a1212c-63bd-76f5-84e3-6bbeb185240b</t>
        </is>
      </c>
      <c r="C1976" s="5" t="inlineStr">
        <is>
          <t>01a1212c-4b57-70cf-80fd-c2192cb3bf81</t>
        </is>
      </c>
      <c r="D1976" s="4" t="n">
        <v>46304.62407034628</v>
      </c>
      <c r="E1976" s="4" t="n">
        <v>46304.62407034636</v>
      </c>
      <c r="F1976" t="b">
        <v>1</v>
      </c>
      <c r="G1976" t="n">
        <v/>
      </c>
      <c r="H1976" t="inlineStr">
        <is>
          <t>SCP</t>
        </is>
      </c>
      <c r="I1976" t="inlineStr">
        <is>
          <t>Scalare Partners Holdings Ltd</t>
        </is>
      </c>
      <c r="J1976" t="inlineStr">
        <is>
          <t>AUD</t>
        </is>
      </c>
      <c r="K1976" s="5" t="inlineStr">
        <is>
          <t>01a1212c-4c04-75ce-bbb2-e3322e18816e</t>
        </is>
      </c>
      <c r="M1976" t="inlineStr">
        <is>
          <t>STAPLED</t>
        </is>
      </c>
      <c r="N1976" t="inlineStr">
        <is>
          <t>SUGGESTED</t>
        </is>
      </c>
      <c r="Q1976" t="n">
        <v>0</v>
      </c>
      <c r="R1976" t="inlineStr">
        <is>
          <t>AUD</t>
        </is>
      </c>
      <c r="S1976" t="n">
        <v>0</v>
      </c>
      <c r="T1976" t="inlineStr">
        <is>
          <t>AUD</t>
        </is>
      </c>
      <c r="U1976" t="n">
        <v>0</v>
      </c>
    </row>
    <row r="1977">
      <c r="A1977" s="5" t="inlineStr">
        <is>
          <t>01a1212c-63c0-77bd-b612-d0a99d5f551f</t>
        </is>
      </c>
      <c r="C1977" s="5" t="inlineStr">
        <is>
          <t>01a1212c-4b57-70cf-80fd-c2192cb3bf81</t>
        </is>
      </c>
      <c r="D1977" s="4" t="n">
        <v>46304.62407038177</v>
      </c>
      <c r="E1977" s="4" t="n">
        <v>46304.62407038185</v>
      </c>
      <c r="F1977" t="b">
        <v>1</v>
      </c>
      <c r="G1977" t="n">
        <v/>
      </c>
      <c r="H1977" t="inlineStr">
        <is>
          <t>SSH</t>
        </is>
      </c>
      <c r="I1977" t="inlineStr">
        <is>
          <t>SSH Group Ltd</t>
        </is>
      </c>
      <c r="J1977" t="inlineStr">
        <is>
          <t>AUD</t>
        </is>
      </c>
      <c r="K1977" s="5" t="inlineStr">
        <is>
          <t>01a1212c-4c04-75ce-bbb2-e3322e18816e</t>
        </is>
      </c>
      <c r="M1977" t="inlineStr">
        <is>
          <t>UNKNOWN</t>
        </is>
      </c>
      <c r="N1977" t="inlineStr">
        <is>
          <t>DEFAULT</t>
        </is>
      </c>
      <c r="Q1977" t="n">
        <v>0</v>
      </c>
      <c r="R1977" t="inlineStr">
        <is>
          <t>AUD</t>
        </is>
      </c>
      <c r="S1977" t="n">
        <v>0</v>
      </c>
      <c r="T1977" t="inlineStr">
        <is>
          <t>AUD</t>
        </is>
      </c>
      <c r="U1977" t="n">
        <v>0</v>
      </c>
    </row>
    <row r="1978">
      <c r="A1978" s="5" t="inlineStr">
        <is>
          <t>01a1212c-63c3-74e1-9e0d-b61f702f83f2</t>
        </is>
      </c>
      <c r="C1978" s="5" t="inlineStr">
        <is>
          <t>01a1212c-4b57-70cf-80fd-c2192cb3bf81</t>
        </is>
      </c>
      <c r="D1978" s="4" t="n">
        <v>46304.62407041499</v>
      </c>
      <c r="E1978" s="4" t="n">
        <v>46304.62407041507</v>
      </c>
      <c r="F1978" t="b">
        <v>1</v>
      </c>
      <c r="G1978" t="n">
        <v/>
      </c>
      <c r="H1978" t="inlineStr">
        <is>
          <t>RFA</t>
        </is>
      </c>
      <c r="I1978" t="inlineStr">
        <is>
          <t>Rare Foods Australia Ltd</t>
        </is>
      </c>
      <c r="J1978" t="inlineStr">
        <is>
          <t>AUD</t>
        </is>
      </c>
      <c r="K1978" s="5" t="inlineStr">
        <is>
          <t>01a1212c-4c04-75ce-bbb2-e3322e18816e</t>
        </is>
      </c>
      <c r="M1978" t="inlineStr">
        <is>
          <t>UNKNOWN</t>
        </is>
      </c>
      <c r="N1978" t="inlineStr">
        <is>
          <t>DEFAULT</t>
        </is>
      </c>
      <c r="Q1978" t="n">
        <v>0</v>
      </c>
      <c r="R1978" t="inlineStr">
        <is>
          <t>AUD</t>
        </is>
      </c>
      <c r="S1978" t="n">
        <v>0</v>
      </c>
      <c r="T1978" t="inlineStr">
        <is>
          <t>AUD</t>
        </is>
      </c>
      <c r="U1978" t="n">
        <v>0</v>
      </c>
    </row>
    <row r="1979">
      <c r="A1979" s="5" t="inlineStr">
        <is>
          <t>01a1212c-63c6-70e5-9314-383f6e1267a4</t>
        </is>
      </c>
      <c r="C1979" s="5" t="inlineStr">
        <is>
          <t>01a1212c-4b57-70cf-80fd-c2192cb3bf81</t>
        </is>
      </c>
      <c r="D1979" s="4" t="n">
        <v>46304.62407044855</v>
      </c>
      <c r="E1979" s="4" t="n">
        <v>46304.62407044863</v>
      </c>
      <c r="F1979" t="b">
        <v>1</v>
      </c>
      <c r="G1979" t="n">
        <v/>
      </c>
      <c r="H1979" t="inlineStr">
        <is>
          <t>MTL</t>
        </is>
      </c>
      <c r="I1979" t="inlineStr">
        <is>
          <t>Mantle Minerals Ltd</t>
        </is>
      </c>
      <c r="J1979" t="inlineStr">
        <is>
          <t>AUD</t>
        </is>
      </c>
      <c r="K1979" s="5" t="inlineStr">
        <is>
          <t>01a1212c-4c04-75ce-bbb2-e3322e18816e</t>
        </is>
      </c>
      <c r="M1979" t="inlineStr">
        <is>
          <t>UNKNOWN</t>
        </is>
      </c>
      <c r="N1979" t="inlineStr">
        <is>
          <t>DEFAULT</t>
        </is>
      </c>
      <c r="Q1979" t="n">
        <v>0</v>
      </c>
      <c r="R1979" t="inlineStr">
        <is>
          <t>AUD</t>
        </is>
      </c>
      <c r="S1979" t="n">
        <v>0</v>
      </c>
      <c r="T1979" t="inlineStr">
        <is>
          <t>AUD</t>
        </is>
      </c>
      <c r="U1979" t="n">
        <v>0</v>
      </c>
    </row>
    <row r="1980">
      <c r="A1980" s="5" t="inlineStr">
        <is>
          <t>01a1212c-63c9-70bf-97c5-2e4941063d97</t>
        </is>
      </c>
      <c r="C1980" s="5" t="inlineStr">
        <is>
          <t>01a1212c-4b57-70cf-80fd-c2192cb3bf81</t>
        </is>
      </c>
      <c r="D1980" s="4" t="n">
        <v>46304.62407048022</v>
      </c>
      <c r="E1980" s="4" t="n">
        <v>46304.6240704803</v>
      </c>
      <c r="F1980" t="b">
        <v>1</v>
      </c>
      <c r="G1980" t="n">
        <v/>
      </c>
      <c r="H1980" t="inlineStr">
        <is>
          <t>EMXC</t>
        </is>
      </c>
      <c r="I1980" t="inlineStr">
        <is>
          <t>Ishares MSCI Emerging Markets Ex China ETF</t>
        </is>
      </c>
      <c r="J1980" t="inlineStr">
        <is>
          <t>AUD</t>
        </is>
      </c>
      <c r="K1980" s="5" t="inlineStr">
        <is>
          <t>01a1212c-4c04-75ce-bbb2-e3322e18816e</t>
        </is>
      </c>
      <c r="M1980" t="inlineStr">
        <is>
          <t>UNKNOWN</t>
        </is>
      </c>
      <c r="N1980" t="inlineStr">
        <is>
          <t>DEFAULT</t>
        </is>
      </c>
      <c r="Q1980" t="n">
        <v>0</v>
      </c>
      <c r="R1980" t="inlineStr">
        <is>
          <t>AUD</t>
        </is>
      </c>
      <c r="S1980" t="n">
        <v>0</v>
      </c>
      <c r="T1980" t="inlineStr">
        <is>
          <t>AUD</t>
        </is>
      </c>
      <c r="U1980" t="n">
        <v>0</v>
      </c>
    </row>
    <row r="1981">
      <c r="A1981" s="5" t="inlineStr">
        <is>
          <t>01a1212c-63cc-728e-8ede-df8ec1eca45d</t>
        </is>
      </c>
      <c r="C1981" s="5" t="inlineStr">
        <is>
          <t>01a1212c-4b57-70cf-80fd-c2192cb3bf81</t>
        </is>
      </c>
      <c r="D1981" s="4" t="n">
        <v>46304.62407051193</v>
      </c>
      <c r="E1981" s="4" t="n">
        <v>46304.62407051201</v>
      </c>
      <c r="F1981" t="b">
        <v>1</v>
      </c>
      <c r="G1981" t="n">
        <v/>
      </c>
      <c r="H1981" t="inlineStr">
        <is>
          <t>SKUK</t>
        </is>
      </c>
      <c r="I1981" t="inlineStr">
        <is>
          <t>HEJAZ Sukuk Active ETF (Managed Fund)</t>
        </is>
      </c>
      <c r="J1981" t="inlineStr">
        <is>
          <t>AUD</t>
        </is>
      </c>
      <c r="K1981" s="5" t="inlineStr">
        <is>
          <t>01a1212c-4c04-75ce-bbb2-e3322e18816e</t>
        </is>
      </c>
      <c r="M1981" t="inlineStr">
        <is>
          <t>UNKNOWN</t>
        </is>
      </c>
      <c r="N1981" t="inlineStr">
        <is>
          <t>DEFAULT</t>
        </is>
      </c>
      <c r="Q1981" t="n">
        <v>0</v>
      </c>
      <c r="R1981" t="inlineStr">
        <is>
          <t>AUD</t>
        </is>
      </c>
      <c r="S1981" t="n">
        <v>0</v>
      </c>
      <c r="T1981" t="inlineStr">
        <is>
          <t>AUD</t>
        </is>
      </c>
      <c r="U1981" t="n">
        <v>0</v>
      </c>
    </row>
    <row r="1982">
      <c r="A1982" s="5" t="inlineStr">
        <is>
          <t>01a1212c-63ce-70f0-adf7-cd856f50cbef</t>
        </is>
      </c>
      <c r="C1982" s="5" t="inlineStr">
        <is>
          <t>01a1212c-4b57-70cf-80fd-c2192cb3bf81</t>
        </is>
      </c>
      <c r="D1982" s="4" t="n">
        <v>46304.62407054429</v>
      </c>
      <c r="E1982" s="4" t="n">
        <v>46304.62407054438</v>
      </c>
      <c r="F1982" t="b">
        <v>1</v>
      </c>
      <c r="G1982" t="n">
        <v/>
      </c>
      <c r="H1982" t="inlineStr">
        <is>
          <t>PAB</t>
        </is>
      </c>
      <c r="I1982" t="inlineStr">
        <is>
          <t>PATRYS Ltd</t>
        </is>
      </c>
      <c r="J1982" t="inlineStr">
        <is>
          <t>AUD</t>
        </is>
      </c>
      <c r="K1982" s="5" t="inlineStr">
        <is>
          <t>01a1212c-4c04-75ce-bbb2-e3322e18816e</t>
        </is>
      </c>
      <c r="M1982" t="inlineStr">
        <is>
          <t>UNKNOWN</t>
        </is>
      </c>
      <c r="N1982" t="inlineStr">
        <is>
          <t>DEFAULT</t>
        </is>
      </c>
      <c r="Q1982" t="n">
        <v>0</v>
      </c>
      <c r="R1982" t="inlineStr">
        <is>
          <t>AUD</t>
        </is>
      </c>
      <c r="S1982" t="n">
        <v>0</v>
      </c>
      <c r="T1982" t="inlineStr">
        <is>
          <t>AUD</t>
        </is>
      </c>
      <c r="U1982" t="n">
        <v>0</v>
      </c>
    </row>
    <row r="1983">
      <c r="A1983" s="5" t="inlineStr">
        <is>
          <t>01a1212c-63d1-7063-a390-04261160f208</t>
        </is>
      </c>
      <c r="C1983" s="5" t="inlineStr">
        <is>
          <t>01a1212c-4b57-70cf-80fd-c2192cb3bf81</t>
        </is>
      </c>
      <c r="D1983" s="4" t="n">
        <v>46304.62407057927</v>
      </c>
      <c r="E1983" s="4" t="n">
        <v>46304.62407057935</v>
      </c>
      <c r="F1983" t="b">
        <v>1</v>
      </c>
      <c r="G1983" t="n">
        <v/>
      </c>
      <c r="H1983" t="inlineStr">
        <is>
          <t>LNU</t>
        </is>
      </c>
      <c r="I1983" t="inlineStr">
        <is>
          <t>Linius Technologies Ltd</t>
        </is>
      </c>
      <c r="J1983" t="inlineStr">
        <is>
          <t>AUD</t>
        </is>
      </c>
      <c r="K1983" s="5" t="inlineStr">
        <is>
          <t>01a1212c-4c04-75ce-bbb2-e3322e18816e</t>
        </is>
      </c>
      <c r="M1983" t="inlineStr">
        <is>
          <t>UNKNOWN</t>
        </is>
      </c>
      <c r="N1983" t="inlineStr">
        <is>
          <t>DEFAULT</t>
        </is>
      </c>
      <c r="Q1983" t="n">
        <v>0</v>
      </c>
      <c r="R1983" t="inlineStr">
        <is>
          <t>AUD</t>
        </is>
      </c>
      <c r="S1983" t="n">
        <v>0</v>
      </c>
      <c r="T1983" t="inlineStr">
        <is>
          <t>AUD</t>
        </is>
      </c>
      <c r="U1983" t="n">
        <v>0</v>
      </c>
    </row>
    <row r="1984">
      <c r="A1984" s="5" t="inlineStr">
        <is>
          <t>01a1212c-63d4-7622-9065-d1a8b0b33b06</t>
        </is>
      </c>
      <c r="C1984" s="5" t="inlineStr">
        <is>
          <t>01a1212c-4b57-70cf-80fd-c2192cb3bf81</t>
        </is>
      </c>
      <c r="D1984" s="4" t="n">
        <v>46304.62407061284</v>
      </c>
      <c r="E1984" s="4" t="n">
        <v>46304.62407061294</v>
      </c>
      <c r="F1984" t="b">
        <v>1</v>
      </c>
      <c r="G1984" t="n">
        <v/>
      </c>
      <c r="H1984" t="inlineStr">
        <is>
          <t>GGE</t>
        </is>
      </c>
      <c r="I1984" t="inlineStr">
        <is>
          <t>Grand Gulf Energy Ltd</t>
        </is>
      </c>
      <c r="J1984" t="inlineStr">
        <is>
          <t>AUD</t>
        </is>
      </c>
      <c r="K1984" s="5" t="inlineStr">
        <is>
          <t>01a1212c-4c04-75ce-bbb2-e3322e18816e</t>
        </is>
      </c>
      <c r="M1984" t="inlineStr">
        <is>
          <t>UNKNOWN</t>
        </is>
      </c>
      <c r="N1984" t="inlineStr">
        <is>
          <t>DEFAULT</t>
        </is>
      </c>
      <c r="Q1984" t="n">
        <v>0</v>
      </c>
      <c r="R1984" t="inlineStr">
        <is>
          <t>AUD</t>
        </is>
      </c>
      <c r="S1984" t="n">
        <v>0</v>
      </c>
      <c r="T1984" t="inlineStr">
        <is>
          <t>AUD</t>
        </is>
      </c>
      <c r="U1984" t="n">
        <v>0</v>
      </c>
    </row>
    <row r="1985">
      <c r="A1985" s="5" t="inlineStr">
        <is>
          <t>01a1212c-63d7-70c2-8ed6-9884b7b19080</t>
        </is>
      </c>
      <c r="C1985" s="5" t="inlineStr">
        <is>
          <t>01a1212c-4b57-70cf-80fd-c2192cb3bf81</t>
        </is>
      </c>
      <c r="D1985" s="4" t="n">
        <v>46304.62407064366</v>
      </c>
      <c r="E1985" s="4" t="n">
        <v>46304.62407064372</v>
      </c>
      <c r="F1985" t="b">
        <v>1</v>
      </c>
      <c r="G1985" t="n">
        <v/>
      </c>
      <c r="H1985" t="inlineStr">
        <is>
          <t>RR1</t>
        </is>
      </c>
      <c r="I1985" t="inlineStr">
        <is>
          <t>Reach Resources Ltd</t>
        </is>
      </c>
      <c r="J1985" t="inlineStr">
        <is>
          <t>AUD</t>
        </is>
      </c>
      <c r="K1985" s="5" t="inlineStr">
        <is>
          <t>01a1212c-4c04-75ce-bbb2-e3322e18816e</t>
        </is>
      </c>
      <c r="M1985" t="inlineStr">
        <is>
          <t>UNKNOWN</t>
        </is>
      </c>
      <c r="N1985" t="inlineStr">
        <is>
          <t>DEFAULT</t>
        </is>
      </c>
      <c r="Q1985" t="n">
        <v>0</v>
      </c>
      <c r="R1985" t="inlineStr">
        <is>
          <t>AUD</t>
        </is>
      </c>
      <c r="S1985" t="n">
        <v>0</v>
      </c>
      <c r="T1985" t="inlineStr">
        <is>
          <t>AUD</t>
        </is>
      </c>
      <c r="U1985" t="n">
        <v>0</v>
      </c>
    </row>
    <row r="1986">
      <c r="A1986" s="5" t="inlineStr">
        <is>
          <t>01a1212c-63da-7668-9ab8-aa9134c831e7</t>
        </is>
      </c>
      <c r="C1986" s="5" t="inlineStr">
        <is>
          <t>01a1212c-4b57-70cf-80fd-c2192cb3bf81</t>
        </is>
      </c>
      <c r="D1986" s="4" t="n">
        <v>46304.62407067425</v>
      </c>
      <c r="E1986" s="4" t="n">
        <v>46304.62407067433</v>
      </c>
      <c r="F1986" t="b">
        <v>1</v>
      </c>
      <c r="G1986" t="n">
        <v/>
      </c>
      <c r="H1986" t="inlineStr">
        <is>
          <t>LNR</t>
        </is>
      </c>
      <c r="I1986" t="inlineStr">
        <is>
          <t>Lanthanein Resources Ltd</t>
        </is>
      </c>
      <c r="J1986" t="inlineStr">
        <is>
          <t>AUD</t>
        </is>
      </c>
      <c r="K1986" s="5" t="inlineStr">
        <is>
          <t>01a1212c-4c04-75ce-bbb2-e3322e18816e</t>
        </is>
      </c>
      <c r="M1986" t="inlineStr">
        <is>
          <t>UNKNOWN</t>
        </is>
      </c>
      <c r="N1986" t="inlineStr">
        <is>
          <t>DEFAULT</t>
        </is>
      </c>
      <c r="Q1986" t="n">
        <v>0</v>
      </c>
      <c r="R1986" t="inlineStr">
        <is>
          <t>AUD</t>
        </is>
      </c>
      <c r="S1986" t="n">
        <v>0</v>
      </c>
      <c r="T1986" t="inlineStr">
        <is>
          <t>AUD</t>
        </is>
      </c>
      <c r="U1986" t="n">
        <v>0</v>
      </c>
    </row>
    <row r="1987">
      <c r="A1987" s="5" t="inlineStr">
        <is>
          <t>01a1212c-63dd-70fa-9fd3-67a0306f19d2</t>
        </is>
      </c>
      <c r="C1987" s="5" t="inlineStr">
        <is>
          <t>01a1212c-4b57-70cf-80fd-c2192cb3bf81</t>
        </is>
      </c>
      <c r="D1987" s="4" t="n">
        <v>46304.62407070852</v>
      </c>
      <c r="E1987" s="4" t="n">
        <v>46304.6240707086</v>
      </c>
      <c r="F1987" t="b">
        <v>1</v>
      </c>
      <c r="G1987" t="n">
        <v/>
      </c>
      <c r="H1987" t="inlineStr">
        <is>
          <t>CGR</t>
        </is>
      </c>
      <c r="I1987" t="inlineStr">
        <is>
          <t>CGN Resources Ltd</t>
        </is>
      </c>
      <c r="J1987" t="inlineStr">
        <is>
          <t>AUD</t>
        </is>
      </c>
      <c r="K1987" s="5" t="inlineStr">
        <is>
          <t>01a1212c-4c04-75ce-bbb2-e3322e18816e</t>
        </is>
      </c>
      <c r="M1987" t="inlineStr">
        <is>
          <t>UNKNOWN</t>
        </is>
      </c>
      <c r="N1987" t="inlineStr">
        <is>
          <t>DEFAULT</t>
        </is>
      </c>
      <c r="Q1987" t="n">
        <v>0</v>
      </c>
      <c r="R1987" t="inlineStr">
        <is>
          <t>AUD</t>
        </is>
      </c>
      <c r="S1987" t="n">
        <v>0</v>
      </c>
      <c r="T1987" t="inlineStr">
        <is>
          <t>AUD</t>
        </is>
      </c>
      <c r="U1987" t="n">
        <v>0</v>
      </c>
    </row>
    <row r="1988">
      <c r="A1988" s="5" t="inlineStr">
        <is>
          <t>01a1212c-63df-70ce-adc5-403bf0f7159d</t>
        </is>
      </c>
      <c r="C1988" s="5" t="inlineStr">
        <is>
          <t>01a1212c-4b57-70cf-80fd-c2192cb3bf81</t>
        </is>
      </c>
      <c r="D1988" s="4" t="n">
        <v>46304.62407074184</v>
      </c>
      <c r="E1988" s="4" t="n">
        <v>46304.62407074192</v>
      </c>
      <c r="F1988" t="b">
        <v>1</v>
      </c>
      <c r="G1988" t="n">
        <v/>
      </c>
      <c r="H1988" t="inlineStr">
        <is>
          <t>PPY</t>
        </is>
      </c>
      <c r="I1988" t="inlineStr">
        <is>
          <t>Papyrus Australia Ltd</t>
        </is>
      </c>
      <c r="J1988" t="inlineStr">
        <is>
          <t>AUD</t>
        </is>
      </c>
      <c r="K1988" s="5" t="inlineStr">
        <is>
          <t>01a1212c-4c04-75ce-bbb2-e3322e18816e</t>
        </is>
      </c>
      <c r="M1988" t="inlineStr">
        <is>
          <t>UNKNOWN</t>
        </is>
      </c>
      <c r="N1988" t="inlineStr">
        <is>
          <t>DEFAULT</t>
        </is>
      </c>
      <c r="Q1988" t="n">
        <v>0</v>
      </c>
      <c r="R1988" t="inlineStr">
        <is>
          <t>AUD</t>
        </is>
      </c>
      <c r="S1988" t="n">
        <v>0</v>
      </c>
      <c r="T1988" t="inlineStr">
        <is>
          <t>AUD</t>
        </is>
      </c>
      <c r="U1988" t="n">
        <v>0</v>
      </c>
    </row>
    <row r="1989">
      <c r="A1989" s="5" t="inlineStr">
        <is>
          <t>01a1212c-63e2-71b7-90cc-f57f51cfffaa</t>
        </is>
      </c>
      <c r="C1989" s="5" t="inlineStr">
        <is>
          <t>01a1212c-4b57-70cf-80fd-c2192cb3bf81</t>
        </is>
      </c>
      <c r="D1989" s="4" t="n">
        <v>46304.62407077297</v>
      </c>
      <c r="E1989" s="4" t="n">
        <v>46304.62407077305</v>
      </c>
      <c r="F1989" t="b">
        <v>1</v>
      </c>
      <c r="G1989" t="n">
        <v/>
      </c>
      <c r="H1989" t="inlineStr">
        <is>
          <t>HHIF</t>
        </is>
      </c>
      <c r="I1989" t="inlineStr">
        <is>
          <t>HEJAZ High Innovation Active ETF</t>
        </is>
      </c>
      <c r="J1989" t="inlineStr">
        <is>
          <t>AUD</t>
        </is>
      </c>
      <c r="K1989" s="5" t="inlineStr">
        <is>
          <t>01a1212c-4c04-75ce-bbb2-e3322e18816e</t>
        </is>
      </c>
      <c r="M1989" t="inlineStr">
        <is>
          <t>UNKNOWN</t>
        </is>
      </c>
      <c r="N1989" t="inlineStr">
        <is>
          <t>DEFAULT</t>
        </is>
      </c>
      <c r="Q1989" t="n">
        <v>0</v>
      </c>
      <c r="R1989" t="inlineStr">
        <is>
          <t>AUD</t>
        </is>
      </c>
      <c r="S1989" t="n">
        <v>0</v>
      </c>
      <c r="T1989" t="inlineStr">
        <is>
          <t>AUD</t>
        </is>
      </c>
      <c r="U1989" t="n">
        <v>0</v>
      </c>
    </row>
    <row r="1990">
      <c r="A1990" s="5" t="inlineStr">
        <is>
          <t>01a1212c-63e5-755c-95c6-dabaa6e57df8</t>
        </is>
      </c>
      <c r="C1990" s="5" t="inlineStr">
        <is>
          <t>01a1212c-4b57-70cf-80fd-c2192cb3bf81</t>
        </is>
      </c>
      <c r="D1990" s="4" t="n">
        <v>46304.62407080332</v>
      </c>
      <c r="E1990" s="4" t="n">
        <v>46304.62407080339</v>
      </c>
      <c r="F1990" t="b">
        <v>1</v>
      </c>
      <c r="G1990" t="n">
        <v/>
      </c>
      <c r="H1990" t="inlineStr">
        <is>
          <t>MGA</t>
        </is>
      </c>
      <c r="I1990" t="inlineStr">
        <is>
          <t>Metalsgrove Mining Ltd</t>
        </is>
      </c>
      <c r="J1990" t="inlineStr">
        <is>
          <t>AUD</t>
        </is>
      </c>
      <c r="K1990" s="5" t="inlineStr">
        <is>
          <t>01a1212c-4c04-75ce-bbb2-e3322e18816e</t>
        </is>
      </c>
      <c r="M1990" t="inlineStr">
        <is>
          <t>UNKNOWN</t>
        </is>
      </c>
      <c r="N1990" t="inlineStr">
        <is>
          <t>DEFAULT</t>
        </is>
      </c>
      <c r="Q1990" t="n">
        <v>0</v>
      </c>
      <c r="R1990" t="inlineStr">
        <is>
          <t>AUD</t>
        </is>
      </c>
      <c r="S1990" t="n">
        <v>0</v>
      </c>
      <c r="T1990" t="inlineStr">
        <is>
          <t>AUD</t>
        </is>
      </c>
      <c r="U1990" t="n">
        <v>0</v>
      </c>
    </row>
    <row r="1991">
      <c r="A1991" s="5" t="inlineStr">
        <is>
          <t>01a1212c-63e7-744a-b797-ecb49c10ec98</t>
        </is>
      </c>
      <c r="C1991" s="5" t="inlineStr">
        <is>
          <t>01a1212c-4b57-70cf-80fd-c2192cb3bf81</t>
        </is>
      </c>
      <c r="D1991" s="4" t="n">
        <v>46304.62407083436</v>
      </c>
      <c r="E1991" s="4" t="n">
        <v>46304.62407083443</v>
      </c>
      <c r="F1991" t="b">
        <v>1</v>
      </c>
      <c r="G1991" t="n">
        <v/>
      </c>
      <c r="H1991" t="inlineStr">
        <is>
          <t>ITEK</t>
        </is>
      </c>
      <c r="I1991" t="inlineStr">
        <is>
          <t>Ishares Future Tech Innovators ETF</t>
        </is>
      </c>
      <c r="J1991" t="inlineStr">
        <is>
          <t>AUD</t>
        </is>
      </c>
      <c r="K1991" s="5" t="inlineStr">
        <is>
          <t>01a1212c-4c04-75ce-bbb2-e3322e18816e</t>
        </is>
      </c>
      <c r="M1991" t="inlineStr">
        <is>
          <t>UNKNOWN</t>
        </is>
      </c>
      <c r="N1991" t="inlineStr">
        <is>
          <t>DEFAULT</t>
        </is>
      </c>
      <c r="Q1991" t="n">
        <v>0</v>
      </c>
      <c r="R1991" t="inlineStr">
        <is>
          <t>AUD</t>
        </is>
      </c>
      <c r="S1991" t="n">
        <v>0</v>
      </c>
      <c r="T1991" t="inlineStr">
        <is>
          <t>AUD</t>
        </is>
      </c>
      <c r="U1991" t="n">
        <v>0</v>
      </c>
    </row>
    <row r="1992">
      <c r="A1992" s="5" t="inlineStr">
        <is>
          <t>01a1212c-63ea-7166-a65e-5e5ed5d92f8a</t>
        </is>
      </c>
      <c r="C1992" s="5" t="inlineStr">
        <is>
          <t>01a1212c-4b57-70cf-80fd-c2192cb3bf81</t>
        </is>
      </c>
      <c r="D1992" s="4" t="n">
        <v>46304.62407086726</v>
      </c>
      <c r="E1992" s="4" t="n">
        <v>46304.62407086734</v>
      </c>
      <c r="F1992" t="b">
        <v>1</v>
      </c>
      <c r="G1992" t="n">
        <v/>
      </c>
      <c r="H1992" t="inlineStr">
        <is>
          <t>BGE</t>
        </is>
      </c>
      <c r="I1992" t="inlineStr">
        <is>
          <t>Bridge Saas Ltd</t>
        </is>
      </c>
      <c r="J1992" t="inlineStr">
        <is>
          <t>AUD</t>
        </is>
      </c>
      <c r="K1992" s="5" t="inlineStr">
        <is>
          <t>01a1212c-4c04-75ce-bbb2-e3322e18816e</t>
        </is>
      </c>
      <c r="M1992" t="inlineStr">
        <is>
          <t>UNKNOWN</t>
        </is>
      </c>
      <c r="N1992" t="inlineStr">
        <is>
          <t>DEFAULT</t>
        </is>
      </c>
      <c r="Q1992" t="n">
        <v>0</v>
      </c>
      <c r="R1992" t="inlineStr">
        <is>
          <t>AUD</t>
        </is>
      </c>
      <c r="S1992" t="n">
        <v>0</v>
      </c>
      <c r="T1992" t="inlineStr">
        <is>
          <t>AUD</t>
        </is>
      </c>
      <c r="U1992" t="n">
        <v>0</v>
      </c>
    </row>
    <row r="1993">
      <c r="A1993" s="5" t="inlineStr">
        <is>
          <t>01a1212c-63ed-77dd-a788-d728c8da9e6a</t>
        </is>
      </c>
      <c r="C1993" s="5" t="inlineStr">
        <is>
          <t>01a1212c-4b57-70cf-80fd-c2192cb3bf81</t>
        </is>
      </c>
      <c r="D1993" s="4" t="n">
        <v>46304.62407089964</v>
      </c>
      <c r="E1993" s="4" t="n">
        <v>46304.62407089974</v>
      </c>
      <c r="F1993" t="b">
        <v>1</v>
      </c>
      <c r="G1993" t="n">
        <v/>
      </c>
      <c r="H1993" t="inlineStr">
        <is>
          <t>BFC</t>
        </is>
      </c>
      <c r="I1993" t="inlineStr">
        <is>
          <t>Beston Global Food Company Ltd</t>
        </is>
      </c>
      <c r="J1993" t="inlineStr">
        <is>
          <t>AUD</t>
        </is>
      </c>
      <c r="K1993" s="5" t="inlineStr">
        <is>
          <t>01a1212c-4c04-75ce-bbb2-e3322e18816e</t>
        </is>
      </c>
      <c r="M1993" t="inlineStr">
        <is>
          <t>UNKNOWN</t>
        </is>
      </c>
      <c r="N1993" t="inlineStr">
        <is>
          <t>DEFAULT</t>
        </is>
      </c>
      <c r="Q1993" t="n">
        <v>0</v>
      </c>
      <c r="R1993" t="inlineStr">
        <is>
          <t>AUD</t>
        </is>
      </c>
      <c r="S1993" t="n">
        <v>0</v>
      </c>
      <c r="T1993" t="inlineStr">
        <is>
          <t>AUD</t>
        </is>
      </c>
      <c r="U1993" t="n">
        <v>0</v>
      </c>
    </row>
    <row r="1994">
      <c r="A1994" s="5" t="inlineStr">
        <is>
          <t>01a1212c-63f0-7362-a9b8-36a9fe99a4d8</t>
        </is>
      </c>
      <c r="C1994" s="5" t="inlineStr">
        <is>
          <t>01a1212c-4b57-70cf-80fd-c2192cb3bf81</t>
        </is>
      </c>
      <c r="D1994" s="4" t="n">
        <v>46304.62407093173</v>
      </c>
      <c r="E1994" s="4" t="n">
        <v>46304.62407093179</v>
      </c>
      <c r="F1994" t="b">
        <v>1</v>
      </c>
      <c r="G1994" t="n">
        <v/>
      </c>
      <c r="H1994" t="inlineStr">
        <is>
          <t>DTM</t>
        </is>
      </c>
      <c r="I1994" t="inlineStr">
        <is>
          <t>Dart Mining NL</t>
        </is>
      </c>
      <c r="J1994" t="inlineStr">
        <is>
          <t>AUD</t>
        </is>
      </c>
      <c r="K1994" s="5" t="inlineStr">
        <is>
          <t>01a1212c-4c04-75ce-bbb2-e3322e18816e</t>
        </is>
      </c>
      <c r="M1994" t="inlineStr">
        <is>
          <t>UNKNOWN</t>
        </is>
      </c>
      <c r="N1994" t="inlineStr">
        <is>
          <t>DEFAULT</t>
        </is>
      </c>
      <c r="Q1994" t="n">
        <v>0</v>
      </c>
      <c r="R1994" t="inlineStr">
        <is>
          <t>AUD</t>
        </is>
      </c>
      <c r="S1994" t="n">
        <v>0</v>
      </c>
      <c r="T1994" t="inlineStr">
        <is>
          <t>AUD</t>
        </is>
      </c>
      <c r="U1994" t="n">
        <v>0</v>
      </c>
    </row>
    <row r="1995">
      <c r="A1995" s="5" t="inlineStr">
        <is>
          <t>01a1212c-63f3-7658-bbde-cd8a682c60f7</t>
        </is>
      </c>
      <c r="C1995" s="5" t="inlineStr">
        <is>
          <t>01a1212c-4b57-70cf-80fd-c2192cb3bf81</t>
        </is>
      </c>
      <c r="D1995" s="4" t="n">
        <v>46304.62407096331</v>
      </c>
      <c r="E1995" s="4" t="n">
        <v>46304.62407096339</v>
      </c>
      <c r="F1995" t="b">
        <v>1</v>
      </c>
      <c r="G1995" t="n">
        <v/>
      </c>
      <c r="H1995" t="inlineStr">
        <is>
          <t>REM</t>
        </is>
      </c>
      <c r="I1995" t="inlineStr">
        <is>
          <t>Remsense Technologies Ltd</t>
        </is>
      </c>
      <c r="J1995" t="inlineStr">
        <is>
          <t>AUD</t>
        </is>
      </c>
      <c r="K1995" s="5" t="inlineStr">
        <is>
          <t>01a1212c-4c04-75ce-bbb2-e3322e18816e</t>
        </is>
      </c>
      <c r="M1995" t="inlineStr">
        <is>
          <t>UNKNOWN</t>
        </is>
      </c>
      <c r="N1995" t="inlineStr">
        <is>
          <t>DEFAULT</t>
        </is>
      </c>
      <c r="Q1995" t="n">
        <v>0</v>
      </c>
      <c r="R1995" t="inlineStr">
        <is>
          <t>AUD</t>
        </is>
      </c>
      <c r="S1995" t="n">
        <v>0</v>
      </c>
      <c r="T1995" t="inlineStr">
        <is>
          <t>AUD</t>
        </is>
      </c>
      <c r="U1995" t="n">
        <v>0</v>
      </c>
    </row>
    <row r="1996">
      <c r="A1996" s="5" t="inlineStr">
        <is>
          <t>01a1212c-63f6-7588-b549-423f91fd941d</t>
        </is>
      </c>
      <c r="C1996" s="5" t="inlineStr">
        <is>
          <t>01a1212c-4b57-70cf-80fd-c2192cb3bf81</t>
        </is>
      </c>
      <c r="D1996" s="4" t="n">
        <v>46304.62407099706</v>
      </c>
      <c r="E1996" s="4" t="n">
        <v>46304.62407099715</v>
      </c>
      <c r="F1996" t="b">
        <v>1</v>
      </c>
      <c r="G1996" t="n">
        <v/>
      </c>
      <c r="H1996" t="inlineStr">
        <is>
          <t>PAT</t>
        </is>
      </c>
      <c r="I1996" t="inlineStr">
        <is>
          <t>Patriot Lithium Ltd</t>
        </is>
      </c>
      <c r="J1996" t="inlineStr">
        <is>
          <t>AUD</t>
        </is>
      </c>
      <c r="K1996" s="5" t="inlineStr">
        <is>
          <t>01a1212c-4c04-75ce-bbb2-e3322e18816e</t>
        </is>
      </c>
      <c r="M1996" t="inlineStr">
        <is>
          <t>UNKNOWN</t>
        </is>
      </c>
      <c r="N1996" t="inlineStr">
        <is>
          <t>DEFAULT</t>
        </is>
      </c>
      <c r="Q1996" t="n">
        <v>0</v>
      </c>
      <c r="R1996" t="inlineStr">
        <is>
          <t>AUD</t>
        </is>
      </c>
      <c r="S1996" t="n">
        <v>0</v>
      </c>
      <c r="T1996" t="inlineStr">
        <is>
          <t>AUD</t>
        </is>
      </c>
      <c r="U1996" t="n">
        <v>0</v>
      </c>
    </row>
    <row r="1997">
      <c r="A1997" s="5" t="inlineStr">
        <is>
          <t>01a1212c-63f8-74b9-8252-fbaa09f7d59d</t>
        </is>
      </c>
      <c r="C1997" s="5" t="inlineStr">
        <is>
          <t>01a1212c-4b57-70cf-80fd-c2192cb3bf81</t>
        </is>
      </c>
      <c r="D1997" s="4" t="n">
        <v>46304.62407102876</v>
      </c>
      <c r="E1997" s="4" t="n">
        <v>46304.62407102884</v>
      </c>
      <c r="F1997" t="b">
        <v>1</v>
      </c>
      <c r="G1997" t="n">
        <v/>
      </c>
      <c r="H1997" t="inlineStr">
        <is>
          <t>NRZ</t>
        </is>
      </c>
      <c r="I1997" t="inlineStr">
        <is>
          <t>Neurizer Ltd</t>
        </is>
      </c>
      <c r="J1997" t="inlineStr">
        <is>
          <t>AUD</t>
        </is>
      </c>
      <c r="K1997" s="5" t="inlineStr">
        <is>
          <t>01a1212c-4c04-75ce-bbb2-e3322e18816e</t>
        </is>
      </c>
      <c r="M1997" t="inlineStr">
        <is>
          <t>UNKNOWN</t>
        </is>
      </c>
      <c r="N1997" t="inlineStr">
        <is>
          <t>DEFAULT</t>
        </is>
      </c>
      <c r="Q1997" t="n">
        <v>0</v>
      </c>
      <c r="R1997" t="inlineStr">
        <is>
          <t>AUD</t>
        </is>
      </c>
      <c r="S1997" t="n">
        <v>0</v>
      </c>
      <c r="T1997" t="inlineStr">
        <is>
          <t>AUD</t>
        </is>
      </c>
      <c r="U1997" t="n">
        <v>0</v>
      </c>
    </row>
    <row r="1998">
      <c r="A1998" s="5" t="inlineStr">
        <is>
          <t>01a1212c-63fb-7407-9027-cb4c34429aa3</t>
        </is>
      </c>
      <c r="C1998" s="5" t="inlineStr">
        <is>
          <t>01a1212c-4b57-70cf-80fd-c2192cb3bf81</t>
        </is>
      </c>
      <c r="D1998" s="4" t="n">
        <v>46304.62407106045</v>
      </c>
      <c r="E1998" s="4" t="n">
        <v>46304.62407106054</v>
      </c>
      <c r="F1998" t="b">
        <v>1</v>
      </c>
      <c r="G1998" t="n">
        <v/>
      </c>
      <c r="H1998" t="inlineStr">
        <is>
          <t>HAL</t>
        </is>
      </c>
      <c r="I1998" t="inlineStr">
        <is>
          <t>Halo Technologies Holdings Ltd</t>
        </is>
      </c>
      <c r="J1998" t="inlineStr">
        <is>
          <t>AUD</t>
        </is>
      </c>
      <c r="K1998" s="5" t="inlineStr">
        <is>
          <t>01a1212c-4c04-75ce-bbb2-e3322e18816e</t>
        </is>
      </c>
      <c r="M1998" t="inlineStr">
        <is>
          <t>UNKNOWN</t>
        </is>
      </c>
      <c r="N1998" t="inlineStr">
        <is>
          <t>DEFAULT</t>
        </is>
      </c>
      <c r="Q1998" t="n">
        <v>0</v>
      </c>
      <c r="R1998" t="inlineStr">
        <is>
          <t>AUD</t>
        </is>
      </c>
      <c r="S1998" t="n">
        <v>0</v>
      </c>
      <c r="T1998" t="inlineStr">
        <is>
          <t>AUD</t>
        </is>
      </c>
      <c r="U1998" t="n">
        <v>0</v>
      </c>
    </row>
    <row r="1999">
      <c r="A1999" s="5" t="inlineStr">
        <is>
          <t>01a1212c-63fe-73d7-934a-6328909b4770</t>
        </is>
      </c>
      <c r="C1999" s="5" t="inlineStr">
        <is>
          <t>01a1212c-4b57-70cf-80fd-c2192cb3bf81</t>
        </is>
      </c>
      <c r="D1999" s="4" t="n">
        <v>46304.62407109269</v>
      </c>
      <c r="E1999" s="4" t="n">
        <v>46304.62407109278</v>
      </c>
      <c r="F1999" t="b">
        <v>1</v>
      </c>
      <c r="G1999" t="n">
        <v/>
      </c>
      <c r="H1999" t="inlineStr">
        <is>
          <t>OZM</t>
        </is>
      </c>
      <c r="I1999" t="inlineStr">
        <is>
          <t>Ozaurum Resources Ltd</t>
        </is>
      </c>
      <c r="J1999" t="inlineStr">
        <is>
          <t>AUD</t>
        </is>
      </c>
      <c r="K1999" s="5" t="inlineStr">
        <is>
          <t>01a1212c-4c04-75ce-bbb2-e3322e18816e</t>
        </is>
      </c>
      <c r="M1999" t="inlineStr">
        <is>
          <t>UNKNOWN</t>
        </is>
      </c>
      <c r="N1999" t="inlineStr">
        <is>
          <t>DEFAULT</t>
        </is>
      </c>
      <c r="Q1999" t="n">
        <v>0</v>
      </c>
      <c r="R1999" t="inlineStr">
        <is>
          <t>AUD</t>
        </is>
      </c>
      <c r="S1999" t="n">
        <v>0</v>
      </c>
      <c r="T1999" t="inlineStr">
        <is>
          <t>AUD</t>
        </is>
      </c>
      <c r="U1999" t="n">
        <v>0</v>
      </c>
    </row>
    <row r="2000">
      <c r="A2000" s="5" t="inlineStr">
        <is>
          <t>01a1212c-6401-74ca-a2a3-68fd98982f26</t>
        </is>
      </c>
      <c r="C2000" s="5" t="inlineStr">
        <is>
          <t>01a1212c-4b57-70cf-80fd-c2192cb3bf81</t>
        </is>
      </c>
      <c r="D2000" s="4" t="n">
        <v>46304.62407112543</v>
      </c>
      <c r="E2000" s="4" t="n">
        <v>46304.62407112553</v>
      </c>
      <c r="F2000" t="b">
        <v>1</v>
      </c>
      <c r="G2000" t="n">
        <v/>
      </c>
      <c r="H2000" t="inlineStr">
        <is>
          <t>KTA</t>
        </is>
      </c>
      <c r="I2000" t="inlineStr">
        <is>
          <t>Krakatoa Resources Ltd</t>
        </is>
      </c>
      <c r="J2000" t="inlineStr">
        <is>
          <t>AUD</t>
        </is>
      </c>
      <c r="K2000" s="5" t="inlineStr">
        <is>
          <t>01a1212c-4c04-75ce-bbb2-e3322e18816e</t>
        </is>
      </c>
      <c r="M2000" t="inlineStr">
        <is>
          <t>UNKNOWN</t>
        </is>
      </c>
      <c r="N2000" t="inlineStr">
        <is>
          <t>DEFAULT</t>
        </is>
      </c>
      <c r="Q2000" t="n">
        <v>0</v>
      </c>
      <c r="R2000" t="inlineStr">
        <is>
          <t>AUD</t>
        </is>
      </c>
      <c r="S2000" t="n">
        <v>0</v>
      </c>
      <c r="T2000" t="inlineStr">
        <is>
          <t>AUD</t>
        </is>
      </c>
      <c r="U2000" t="n">
        <v>0</v>
      </c>
    </row>
    <row r="2001">
      <c r="A2001" s="5" t="inlineStr">
        <is>
          <t>01a1212c-6404-70c7-aaf5-456705ea96d2</t>
        </is>
      </c>
      <c r="C2001" s="5" t="inlineStr">
        <is>
          <t>01a1212c-4b57-70cf-80fd-c2192cb3bf81</t>
        </is>
      </c>
      <c r="D2001" s="4" t="n">
        <v>46304.62407116088</v>
      </c>
      <c r="E2001" s="4" t="n">
        <v>46304.62407116099</v>
      </c>
      <c r="F2001" t="b">
        <v>1</v>
      </c>
      <c r="G2001" t="n">
        <v/>
      </c>
      <c r="H2001" t="inlineStr">
        <is>
          <t>ALV</t>
        </is>
      </c>
      <c r="I2001" t="inlineStr">
        <is>
          <t>Alvo Minerals Ltd</t>
        </is>
      </c>
      <c r="J2001" t="inlineStr">
        <is>
          <t>AUD</t>
        </is>
      </c>
      <c r="K2001" s="5" t="inlineStr">
        <is>
          <t>01a1212c-4c04-75ce-bbb2-e3322e18816e</t>
        </is>
      </c>
      <c r="M2001" t="inlineStr">
        <is>
          <t>UNKNOWN</t>
        </is>
      </c>
      <c r="N2001" t="inlineStr">
        <is>
          <t>DEFAULT</t>
        </is>
      </c>
      <c r="Q2001" t="n">
        <v>0</v>
      </c>
      <c r="R2001" t="inlineStr">
        <is>
          <t>AUD</t>
        </is>
      </c>
      <c r="S2001" t="n">
        <v>0</v>
      </c>
      <c r="T2001" t="inlineStr">
        <is>
          <t>AUD</t>
        </is>
      </c>
      <c r="U2001" t="n">
        <v>0</v>
      </c>
    </row>
    <row r="2002">
      <c r="A2002" s="5" t="inlineStr">
        <is>
          <t>01a1212c-6407-70dd-bd28-00c5759d7862</t>
        </is>
      </c>
      <c r="C2002" s="5" t="inlineStr">
        <is>
          <t>01a1212c-4b57-70cf-80fd-c2192cb3bf81</t>
        </is>
      </c>
      <c r="D2002" s="4" t="n">
        <v>46304.62407119464</v>
      </c>
      <c r="E2002" s="4" t="n">
        <v>46304.62407119473</v>
      </c>
      <c r="F2002" t="b">
        <v>1</v>
      </c>
      <c r="G2002" t="n">
        <v/>
      </c>
      <c r="H2002" t="inlineStr">
        <is>
          <t>MEL</t>
        </is>
      </c>
      <c r="I2002" t="inlineStr">
        <is>
          <t>Metgasco Ltd</t>
        </is>
      </c>
      <c r="J2002" t="inlineStr">
        <is>
          <t>AUD</t>
        </is>
      </c>
      <c r="K2002" s="5" t="inlineStr">
        <is>
          <t>01a1212c-4c04-75ce-bbb2-e3322e18816e</t>
        </is>
      </c>
      <c r="M2002" t="inlineStr">
        <is>
          <t>UNKNOWN</t>
        </is>
      </c>
      <c r="N2002" t="inlineStr">
        <is>
          <t>DEFAULT</t>
        </is>
      </c>
      <c r="Q2002" t="n">
        <v>0</v>
      </c>
      <c r="R2002" t="inlineStr">
        <is>
          <t>AUD</t>
        </is>
      </c>
      <c r="S2002" t="n">
        <v>0</v>
      </c>
      <c r="T2002" t="inlineStr">
        <is>
          <t>AUD</t>
        </is>
      </c>
      <c r="U2002" t="n">
        <v>0</v>
      </c>
    </row>
    <row r="2003">
      <c r="A2003" s="5" t="inlineStr">
        <is>
          <t>01a1212c-6409-72a9-bc30-ab26d03ecbdb</t>
        </is>
      </c>
      <c r="C2003" s="5" t="inlineStr">
        <is>
          <t>01a1212c-4b57-70cf-80fd-c2192cb3bf81</t>
        </is>
      </c>
      <c r="D2003" s="4" t="n">
        <v>46304.62407122643</v>
      </c>
      <c r="E2003" s="4" t="n">
        <v>46304.62407122651</v>
      </c>
      <c r="F2003" t="b">
        <v>1</v>
      </c>
      <c r="G2003" t="n">
        <v/>
      </c>
      <c r="H2003" t="inlineStr">
        <is>
          <t>HRE</t>
        </is>
      </c>
      <c r="I2003" t="inlineStr">
        <is>
          <t>Heavy Rare EARTHS Ltd</t>
        </is>
      </c>
      <c r="J2003" t="inlineStr">
        <is>
          <t>AUD</t>
        </is>
      </c>
      <c r="K2003" s="5" t="inlineStr">
        <is>
          <t>01a1212c-4c04-75ce-bbb2-e3322e18816e</t>
        </is>
      </c>
      <c r="M2003" t="inlineStr">
        <is>
          <t>UNKNOWN</t>
        </is>
      </c>
      <c r="N2003" t="inlineStr">
        <is>
          <t>DEFAULT</t>
        </is>
      </c>
      <c r="Q2003" t="n">
        <v>0</v>
      </c>
      <c r="R2003" t="inlineStr">
        <is>
          <t>AUD</t>
        </is>
      </c>
      <c r="S2003" t="n">
        <v>0</v>
      </c>
      <c r="T2003" t="inlineStr">
        <is>
          <t>AUD</t>
        </is>
      </c>
      <c r="U2003" t="n">
        <v>0</v>
      </c>
    </row>
    <row r="2004">
      <c r="A2004" s="5" t="inlineStr">
        <is>
          <t>01a1212c-640c-7312-ae7a-523cf5882575</t>
        </is>
      </c>
      <c r="C2004" s="5" t="inlineStr">
        <is>
          <t>01a1212c-4b57-70cf-80fd-c2192cb3bf81</t>
        </is>
      </c>
      <c r="D2004" s="4" t="n">
        <v>46304.62407125772</v>
      </c>
      <c r="E2004" s="4" t="n">
        <v>46304.6240712578</v>
      </c>
      <c r="F2004" t="b">
        <v>1</v>
      </c>
      <c r="G2004" t="n">
        <v/>
      </c>
      <c r="H2004" t="inlineStr">
        <is>
          <t>FFF</t>
        </is>
      </c>
      <c r="I2004" t="inlineStr">
        <is>
          <t>Forbidden Foods Ltd</t>
        </is>
      </c>
      <c r="J2004" t="inlineStr">
        <is>
          <t>AUD</t>
        </is>
      </c>
      <c r="K2004" s="5" t="inlineStr">
        <is>
          <t>01a1212c-4c04-75ce-bbb2-e3322e18816e</t>
        </is>
      </c>
      <c r="M2004" t="inlineStr">
        <is>
          <t>UNKNOWN</t>
        </is>
      </c>
      <c r="N2004" t="inlineStr">
        <is>
          <t>DEFAULT</t>
        </is>
      </c>
      <c r="Q2004" t="n">
        <v>0</v>
      </c>
      <c r="R2004" t="inlineStr">
        <is>
          <t>AUD</t>
        </is>
      </c>
      <c r="S2004" t="n">
        <v>0</v>
      </c>
      <c r="T2004" t="inlineStr">
        <is>
          <t>AUD</t>
        </is>
      </c>
      <c r="U2004" t="n">
        <v>0</v>
      </c>
    </row>
    <row r="2005">
      <c r="A2005" s="5" t="inlineStr">
        <is>
          <t>01a1212c-640f-7397-9a54-bfe2d82d0784</t>
        </is>
      </c>
      <c r="C2005" s="5" t="inlineStr">
        <is>
          <t>01a1212c-4b57-70cf-80fd-c2192cb3bf81</t>
        </is>
      </c>
      <c r="D2005" s="4" t="n">
        <v>46304.62407129238</v>
      </c>
      <c r="E2005" s="4" t="n">
        <v>46304.62407129246</v>
      </c>
      <c r="F2005" t="b">
        <v>1</v>
      </c>
      <c r="G2005" t="n">
        <v/>
      </c>
      <c r="H2005" t="inlineStr">
        <is>
          <t>LVE</t>
        </is>
      </c>
      <c r="I2005" t="inlineStr">
        <is>
          <t>Love Group Global Ltd</t>
        </is>
      </c>
      <c r="J2005" t="inlineStr">
        <is>
          <t>AUD</t>
        </is>
      </c>
      <c r="K2005" s="5" t="inlineStr">
        <is>
          <t>01a1212c-4c04-75ce-bbb2-e3322e18816e</t>
        </is>
      </c>
      <c r="M2005" t="inlineStr">
        <is>
          <t>UNKNOWN</t>
        </is>
      </c>
      <c r="N2005" t="inlineStr">
        <is>
          <t>DEFAULT</t>
        </is>
      </c>
      <c r="Q2005" t="n">
        <v>0</v>
      </c>
      <c r="R2005" t="inlineStr">
        <is>
          <t>AUD</t>
        </is>
      </c>
      <c r="S2005" t="n">
        <v>0</v>
      </c>
      <c r="T2005" t="inlineStr">
        <is>
          <t>AUD</t>
        </is>
      </c>
      <c r="U2005" t="n">
        <v>0</v>
      </c>
    </row>
    <row r="2006">
      <c r="A2006" s="5" t="inlineStr">
        <is>
          <t>01a1212c-6412-74ca-a84e-51bd0aaa7ce8</t>
        </is>
      </c>
      <c r="C2006" s="5" t="inlineStr">
        <is>
          <t>01a1212c-4b57-70cf-80fd-c2192cb3bf81</t>
        </is>
      </c>
      <c r="D2006" s="4" t="n">
        <v>46304.62407132728</v>
      </c>
      <c r="E2006" s="4" t="n">
        <v>46304.62407132736</v>
      </c>
      <c r="F2006" t="b">
        <v>1</v>
      </c>
      <c r="G2006" t="n">
        <v/>
      </c>
      <c r="H2006" t="inlineStr">
        <is>
          <t>GTG</t>
        </is>
      </c>
      <c r="I2006" t="inlineStr">
        <is>
          <t>Genetic Technologies Ltd</t>
        </is>
      </c>
      <c r="J2006" t="inlineStr">
        <is>
          <t>AUD</t>
        </is>
      </c>
      <c r="K2006" s="5" t="inlineStr">
        <is>
          <t>01a1212c-4c04-75ce-bbb2-e3322e18816e</t>
        </is>
      </c>
      <c r="M2006" t="inlineStr">
        <is>
          <t>UNKNOWN</t>
        </is>
      </c>
      <c r="N2006" t="inlineStr">
        <is>
          <t>DEFAULT</t>
        </is>
      </c>
      <c r="Q2006" t="n">
        <v>0</v>
      </c>
      <c r="R2006" t="inlineStr">
        <is>
          <t>AUD</t>
        </is>
      </c>
      <c r="S2006" t="n">
        <v>0</v>
      </c>
      <c r="T2006" t="inlineStr">
        <is>
          <t>AUD</t>
        </is>
      </c>
      <c r="U2006" t="n">
        <v>0</v>
      </c>
    </row>
    <row r="2007">
      <c r="A2007" s="5" t="inlineStr">
        <is>
          <t>01a1212c-6415-73cb-b8fd-75035177a181</t>
        </is>
      </c>
      <c r="C2007" s="5" t="inlineStr">
        <is>
          <t>01a1212c-4b57-70cf-80fd-c2192cb3bf81</t>
        </is>
      </c>
      <c r="D2007" s="4" t="n">
        <v>46304.62407136436</v>
      </c>
      <c r="E2007" s="4" t="n">
        <v>46304.62407136444</v>
      </c>
      <c r="F2007" t="b">
        <v>1</v>
      </c>
      <c r="G2007" t="n">
        <v/>
      </c>
      <c r="H2007" t="inlineStr">
        <is>
          <t>ZMI</t>
        </is>
      </c>
      <c r="I2007" t="inlineStr">
        <is>
          <t>ZINC of Ireland NL</t>
        </is>
      </c>
      <c r="J2007" t="inlineStr">
        <is>
          <t>AUD</t>
        </is>
      </c>
      <c r="K2007" s="5" t="inlineStr">
        <is>
          <t>01a1212c-4c04-75ce-bbb2-e3322e18816e</t>
        </is>
      </c>
      <c r="M2007" t="inlineStr">
        <is>
          <t>UNKNOWN</t>
        </is>
      </c>
      <c r="N2007" t="inlineStr">
        <is>
          <t>DEFAULT</t>
        </is>
      </c>
      <c r="Q2007" t="n">
        <v>0</v>
      </c>
      <c r="R2007" t="inlineStr">
        <is>
          <t>AUD</t>
        </is>
      </c>
      <c r="S2007" t="n">
        <v>0</v>
      </c>
      <c r="T2007" t="inlineStr">
        <is>
          <t>AUD</t>
        </is>
      </c>
      <c r="U2007" t="n">
        <v>0</v>
      </c>
    </row>
    <row r="2008">
      <c r="A2008" s="5" t="inlineStr">
        <is>
          <t>01a1212c-6418-701c-9f2f-046147111621</t>
        </is>
      </c>
      <c r="C2008" s="5" t="inlineStr">
        <is>
          <t>01a1212c-4b57-70cf-80fd-c2192cb3bf81</t>
        </is>
      </c>
      <c r="D2008" s="4" t="n">
        <v>46304.62407139596</v>
      </c>
      <c r="E2008" s="4" t="n">
        <v>46304.62407139604</v>
      </c>
      <c r="F2008" t="b">
        <v>1</v>
      </c>
      <c r="G2008" t="n">
        <v/>
      </c>
      <c r="H2008" t="inlineStr">
        <is>
          <t>BGT</t>
        </is>
      </c>
      <c r="I2008" t="inlineStr">
        <is>
          <t>Bio-Gene Technology Ltd</t>
        </is>
      </c>
      <c r="J2008" t="inlineStr">
        <is>
          <t>AUD</t>
        </is>
      </c>
      <c r="K2008" s="5" t="inlineStr">
        <is>
          <t>01a1212c-4c04-75ce-bbb2-e3322e18816e</t>
        </is>
      </c>
      <c r="M2008" t="inlineStr">
        <is>
          <t>UNKNOWN</t>
        </is>
      </c>
      <c r="N2008" t="inlineStr">
        <is>
          <t>DEFAULT</t>
        </is>
      </c>
      <c r="Q2008" t="n">
        <v>0</v>
      </c>
      <c r="R2008" t="inlineStr">
        <is>
          <t>AUD</t>
        </is>
      </c>
      <c r="S2008" t="n">
        <v>0</v>
      </c>
      <c r="T2008" t="inlineStr">
        <is>
          <t>AUD</t>
        </is>
      </c>
      <c r="U2008" t="n">
        <v>0</v>
      </c>
    </row>
    <row r="2009">
      <c r="A2009" s="5" t="inlineStr">
        <is>
          <t>01a1212c-641b-775c-9b2d-053f195581a2</t>
        </is>
      </c>
      <c r="C2009" s="5" t="inlineStr">
        <is>
          <t>01a1212c-4b57-70cf-80fd-c2192cb3bf81</t>
        </is>
      </c>
      <c r="D2009" s="4" t="n">
        <v>46304.62407142724</v>
      </c>
      <c r="E2009" s="4" t="n">
        <v>46304.62407142734</v>
      </c>
      <c r="F2009" t="b">
        <v>1</v>
      </c>
      <c r="G2009" t="n">
        <v/>
      </c>
      <c r="H2009" t="inlineStr">
        <is>
          <t>LM1</t>
        </is>
      </c>
      <c r="I2009" t="inlineStr">
        <is>
          <t>Leeuwin Metals Ltd</t>
        </is>
      </c>
      <c r="J2009" t="inlineStr">
        <is>
          <t>AUD</t>
        </is>
      </c>
      <c r="K2009" s="5" t="inlineStr">
        <is>
          <t>01a1212c-4c04-75ce-bbb2-e3322e18816e</t>
        </is>
      </c>
      <c r="M2009" t="inlineStr">
        <is>
          <t>UNKNOWN</t>
        </is>
      </c>
      <c r="N2009" t="inlineStr">
        <is>
          <t>DEFAULT</t>
        </is>
      </c>
      <c r="Q2009" t="n">
        <v>0</v>
      </c>
      <c r="R2009" t="inlineStr">
        <is>
          <t>AUD</t>
        </is>
      </c>
      <c r="S2009" t="n">
        <v>0</v>
      </c>
      <c r="T2009" t="inlineStr">
        <is>
          <t>AUD</t>
        </is>
      </c>
      <c r="U2009" t="n">
        <v>0</v>
      </c>
    </row>
    <row r="2010">
      <c r="A2010" s="5" t="inlineStr">
        <is>
          <t>01a1212c-641d-7070-8fdc-7af7b878dc8a</t>
        </is>
      </c>
      <c r="C2010" s="5" t="inlineStr">
        <is>
          <t>01a1212c-4b57-70cf-80fd-c2192cb3bf81</t>
        </is>
      </c>
      <c r="D2010" s="4" t="n">
        <v>46304.62407145881</v>
      </c>
      <c r="E2010" s="4" t="n">
        <v>46304.6240714589</v>
      </c>
      <c r="F2010" t="b">
        <v>1</v>
      </c>
      <c r="G2010" t="n">
        <v/>
      </c>
      <c r="H2010" t="inlineStr">
        <is>
          <t>BCC</t>
        </is>
      </c>
      <c r="I2010" t="inlineStr">
        <is>
          <t>Beam Communications Holdings Ltd</t>
        </is>
      </c>
      <c r="J2010" t="inlineStr">
        <is>
          <t>AUD</t>
        </is>
      </c>
      <c r="K2010" s="5" t="inlineStr">
        <is>
          <t>01a1212c-4c04-75ce-bbb2-e3322e18816e</t>
        </is>
      </c>
      <c r="M2010" t="inlineStr">
        <is>
          <t>UNKNOWN</t>
        </is>
      </c>
      <c r="N2010" t="inlineStr">
        <is>
          <t>DEFAULT</t>
        </is>
      </c>
      <c r="Q2010" t="n">
        <v>0</v>
      </c>
      <c r="R2010" t="inlineStr">
        <is>
          <t>AUD</t>
        </is>
      </c>
      <c r="S2010" t="n">
        <v>0</v>
      </c>
      <c r="T2010" t="inlineStr">
        <is>
          <t>AUD</t>
        </is>
      </c>
      <c r="U2010" t="n">
        <v>0</v>
      </c>
    </row>
    <row r="2011">
      <c r="A2011" s="5" t="inlineStr">
        <is>
          <t>01a1212c-6420-7250-bfc2-37367ae8d677</t>
        </is>
      </c>
      <c r="C2011" s="5" t="inlineStr">
        <is>
          <t>01a1212c-4b57-70cf-80fd-c2192cb3bf81</t>
        </is>
      </c>
      <c r="D2011" s="4" t="n">
        <v>46304.62407149346</v>
      </c>
      <c r="E2011" s="4" t="n">
        <v>46304.62407149354</v>
      </c>
      <c r="F2011" t="b">
        <v>1</v>
      </c>
      <c r="G2011" t="n">
        <v/>
      </c>
      <c r="H2011" t="inlineStr">
        <is>
          <t>IXC</t>
        </is>
      </c>
      <c r="I2011" t="inlineStr">
        <is>
          <t>INVEX Therapeutics Ltd</t>
        </is>
      </c>
      <c r="J2011" t="inlineStr">
        <is>
          <t>AUD</t>
        </is>
      </c>
      <c r="K2011" s="5" t="inlineStr">
        <is>
          <t>01a1212c-4c04-75ce-bbb2-e3322e18816e</t>
        </is>
      </c>
      <c r="M2011" t="inlineStr">
        <is>
          <t>UNKNOWN</t>
        </is>
      </c>
      <c r="N2011" t="inlineStr">
        <is>
          <t>DEFAULT</t>
        </is>
      </c>
      <c r="Q2011" t="n">
        <v>0</v>
      </c>
      <c r="R2011" t="inlineStr">
        <is>
          <t>AUD</t>
        </is>
      </c>
      <c r="S2011" t="n">
        <v>0</v>
      </c>
      <c r="T2011" t="inlineStr">
        <is>
          <t>AUD</t>
        </is>
      </c>
      <c r="U2011" t="n">
        <v>0</v>
      </c>
    </row>
    <row r="2012">
      <c r="A2012" s="5" t="inlineStr">
        <is>
          <t>01a1212c-6423-730a-87b4-c3708a466a80</t>
        </is>
      </c>
      <c r="C2012" s="5" t="inlineStr">
        <is>
          <t>01a1212c-4b57-70cf-80fd-c2192cb3bf81</t>
        </is>
      </c>
      <c r="D2012" s="4" t="n">
        <v>46304.6240715256</v>
      </c>
      <c r="E2012" s="4" t="n">
        <v>46304.62407152569</v>
      </c>
      <c r="F2012" t="b">
        <v>1</v>
      </c>
      <c r="G2012" t="n">
        <v/>
      </c>
      <c r="H2012" t="inlineStr">
        <is>
          <t>HVLU</t>
        </is>
      </c>
      <c r="I2012" t="inlineStr">
        <is>
          <t>Vaneck MSCI International Value (Aud Hedged) ETF</t>
        </is>
      </c>
      <c r="J2012" t="inlineStr">
        <is>
          <t>AUD</t>
        </is>
      </c>
      <c r="K2012" s="5" t="inlineStr">
        <is>
          <t>01a1212c-4c04-75ce-bbb2-e3322e18816e</t>
        </is>
      </c>
      <c r="M2012" t="inlineStr">
        <is>
          <t>UNKNOWN</t>
        </is>
      </c>
      <c r="N2012" t="inlineStr">
        <is>
          <t>DEFAULT</t>
        </is>
      </c>
      <c r="Q2012" t="n">
        <v>0</v>
      </c>
      <c r="R2012" t="inlineStr">
        <is>
          <t>AUD</t>
        </is>
      </c>
      <c r="S2012" t="n">
        <v>0</v>
      </c>
      <c r="T2012" t="inlineStr">
        <is>
          <t>AUD</t>
        </is>
      </c>
      <c r="U2012" t="n">
        <v>0</v>
      </c>
    </row>
    <row r="2013">
      <c r="A2013" s="5" t="inlineStr">
        <is>
          <t>01a1212c-6426-716b-b347-06141c26bd9b</t>
        </is>
      </c>
      <c r="C2013" s="5" t="inlineStr">
        <is>
          <t>01a1212c-4b57-70cf-80fd-c2192cb3bf81</t>
        </is>
      </c>
      <c r="D2013" s="4" t="n">
        <v>46304.62407155667</v>
      </c>
      <c r="E2013" s="4" t="n">
        <v>46304.62407155675</v>
      </c>
      <c r="F2013" t="b">
        <v>1</v>
      </c>
      <c r="G2013" t="n">
        <v/>
      </c>
      <c r="H2013" t="inlineStr">
        <is>
          <t>NSB</t>
        </is>
      </c>
      <c r="I2013" t="inlineStr">
        <is>
          <t>Neuroscientific Biopharmaceuticals Ltd</t>
        </is>
      </c>
      <c r="J2013" t="inlineStr">
        <is>
          <t>AUD</t>
        </is>
      </c>
      <c r="K2013" s="5" t="inlineStr">
        <is>
          <t>01a1212c-4c04-75ce-bbb2-e3322e18816e</t>
        </is>
      </c>
      <c r="M2013" t="inlineStr">
        <is>
          <t>UNKNOWN</t>
        </is>
      </c>
      <c r="N2013" t="inlineStr">
        <is>
          <t>DEFAULT</t>
        </is>
      </c>
      <c r="Q2013" t="n">
        <v>0</v>
      </c>
      <c r="R2013" t="inlineStr">
        <is>
          <t>AUD</t>
        </is>
      </c>
      <c r="S2013" t="n">
        <v>0</v>
      </c>
      <c r="T2013" t="inlineStr">
        <is>
          <t>AUD</t>
        </is>
      </c>
      <c r="U2013" t="n">
        <v>0</v>
      </c>
    </row>
    <row r="2014">
      <c r="A2014" s="5" t="inlineStr">
        <is>
          <t>01a1212c-6429-7222-8830-913c75262d93</t>
        </is>
      </c>
      <c r="C2014" s="5" t="inlineStr">
        <is>
          <t>01a1212c-4b57-70cf-80fd-c2192cb3bf81</t>
        </is>
      </c>
      <c r="D2014" s="4" t="n">
        <v>46304.62407158733</v>
      </c>
      <c r="E2014" s="4" t="n">
        <v>46304.62407158741</v>
      </c>
      <c r="F2014" t="b">
        <v>1</v>
      </c>
      <c r="G2014" t="n">
        <v/>
      </c>
      <c r="H2014" t="inlineStr">
        <is>
          <t>AML</t>
        </is>
      </c>
      <c r="I2014" t="inlineStr">
        <is>
          <t>Aeon Metals Ltd</t>
        </is>
      </c>
      <c r="J2014" t="inlineStr">
        <is>
          <t>AUD</t>
        </is>
      </c>
      <c r="K2014" s="5" t="inlineStr">
        <is>
          <t>01a1212c-4c04-75ce-bbb2-e3322e18816e</t>
        </is>
      </c>
      <c r="M2014" t="inlineStr">
        <is>
          <t>UNKNOWN</t>
        </is>
      </c>
      <c r="N2014" t="inlineStr">
        <is>
          <t>DEFAULT</t>
        </is>
      </c>
      <c r="Q2014" t="n">
        <v>0</v>
      </c>
      <c r="R2014" t="inlineStr">
        <is>
          <t>AUD</t>
        </is>
      </c>
      <c r="S2014" t="n">
        <v>0</v>
      </c>
      <c r="T2014" t="inlineStr">
        <is>
          <t>AUD</t>
        </is>
      </c>
      <c r="U2014" t="n">
        <v>0</v>
      </c>
    </row>
    <row r="2015">
      <c r="A2015" s="5" t="inlineStr">
        <is>
          <t>01a1212c-642b-772f-ad14-e7fc0b29ed10</t>
        </is>
      </c>
      <c r="C2015" s="5" t="inlineStr">
        <is>
          <t>01a1212c-4b57-70cf-80fd-c2192cb3bf81</t>
        </is>
      </c>
      <c r="D2015" s="4" t="n">
        <v>46304.62407161785</v>
      </c>
      <c r="E2015" s="4" t="n">
        <v>46304.62407161793</v>
      </c>
      <c r="F2015" t="b">
        <v>1</v>
      </c>
      <c r="G2015" t="n">
        <v/>
      </c>
      <c r="H2015" t="inlineStr">
        <is>
          <t>NPM</t>
        </is>
      </c>
      <c r="I2015" t="inlineStr">
        <is>
          <t>Newpeak Metals Ltd</t>
        </is>
      </c>
      <c r="J2015" t="inlineStr">
        <is>
          <t>AUD</t>
        </is>
      </c>
      <c r="K2015" s="5" t="inlineStr">
        <is>
          <t>01a1212c-4c04-75ce-bbb2-e3322e18816e</t>
        </is>
      </c>
      <c r="M2015" t="inlineStr">
        <is>
          <t>UNKNOWN</t>
        </is>
      </c>
      <c r="N2015" t="inlineStr">
        <is>
          <t>DEFAULT</t>
        </is>
      </c>
      <c r="Q2015" t="n">
        <v>0</v>
      </c>
      <c r="R2015" t="inlineStr">
        <is>
          <t>AUD</t>
        </is>
      </c>
      <c r="S2015" t="n">
        <v>0</v>
      </c>
      <c r="T2015" t="inlineStr">
        <is>
          <t>AUD</t>
        </is>
      </c>
      <c r="U2015" t="n">
        <v>0</v>
      </c>
    </row>
    <row r="2016">
      <c r="A2016" s="5" t="inlineStr">
        <is>
          <t>01a1212c-642e-7574-b5f5-71b59ed4cfdb</t>
        </is>
      </c>
      <c r="C2016" s="5" t="inlineStr">
        <is>
          <t>01a1212c-4b57-70cf-80fd-c2192cb3bf81</t>
        </is>
      </c>
      <c r="D2016" s="4" t="n">
        <v>46304.6240716524</v>
      </c>
      <c r="E2016" s="4" t="n">
        <v>46304.62407165249</v>
      </c>
      <c r="F2016" t="b">
        <v>1</v>
      </c>
      <c r="G2016" t="n">
        <v/>
      </c>
      <c r="H2016" t="inlineStr">
        <is>
          <t>PSL</t>
        </is>
      </c>
      <c r="I2016" t="inlineStr">
        <is>
          <t>Paterson Resources Ltd</t>
        </is>
      </c>
      <c r="J2016" t="inlineStr">
        <is>
          <t>AUD</t>
        </is>
      </c>
      <c r="K2016" s="5" t="inlineStr">
        <is>
          <t>01a1212c-4c04-75ce-bbb2-e3322e18816e</t>
        </is>
      </c>
      <c r="M2016" t="inlineStr">
        <is>
          <t>UNKNOWN</t>
        </is>
      </c>
      <c r="N2016" t="inlineStr">
        <is>
          <t>DEFAULT</t>
        </is>
      </c>
      <c r="Q2016" t="n">
        <v>0</v>
      </c>
      <c r="R2016" t="inlineStr">
        <is>
          <t>AUD</t>
        </is>
      </c>
      <c r="S2016" t="n">
        <v>0</v>
      </c>
      <c r="T2016" t="inlineStr">
        <is>
          <t>AUD</t>
        </is>
      </c>
      <c r="U2016" t="n">
        <v>0</v>
      </c>
    </row>
    <row r="2017">
      <c r="A2017" s="5" t="inlineStr">
        <is>
          <t>01a1212c-6431-70bf-be1b-335c1a12cea8</t>
        </is>
      </c>
      <c r="C2017" s="5" t="inlineStr">
        <is>
          <t>01a1212c-4b57-70cf-80fd-c2192cb3bf81</t>
        </is>
      </c>
      <c r="D2017" s="4" t="n">
        <v>46304.62407168373</v>
      </c>
      <c r="E2017" s="4" t="n">
        <v>46304.62407168381</v>
      </c>
      <c r="F2017" t="b">
        <v>1</v>
      </c>
      <c r="G2017" t="n">
        <v/>
      </c>
      <c r="H2017" t="inlineStr">
        <is>
          <t>MEG</t>
        </is>
      </c>
      <c r="I2017" t="inlineStr">
        <is>
          <t>Megado Minerals Ltd</t>
        </is>
      </c>
      <c r="J2017" t="inlineStr">
        <is>
          <t>AUD</t>
        </is>
      </c>
      <c r="K2017" s="5" t="inlineStr">
        <is>
          <t>01a1212c-4c04-75ce-bbb2-e3322e18816e</t>
        </is>
      </c>
      <c r="M2017" t="inlineStr">
        <is>
          <t>UNKNOWN</t>
        </is>
      </c>
      <c r="N2017" t="inlineStr">
        <is>
          <t>DEFAULT</t>
        </is>
      </c>
      <c r="Q2017" t="n">
        <v>0</v>
      </c>
      <c r="R2017" t="inlineStr">
        <is>
          <t>AUD</t>
        </is>
      </c>
      <c r="S2017" t="n">
        <v>0</v>
      </c>
      <c r="T2017" t="inlineStr">
        <is>
          <t>AUD</t>
        </is>
      </c>
      <c r="U2017" t="n">
        <v>0</v>
      </c>
    </row>
    <row r="2018">
      <c r="A2018" s="5" t="inlineStr">
        <is>
          <t>01a1212c-6434-765f-94ce-1ecec14cd18d</t>
        </is>
      </c>
      <c r="C2018" s="5" t="inlineStr">
        <is>
          <t>01a1212c-4b57-70cf-80fd-c2192cb3bf81</t>
        </is>
      </c>
      <c r="D2018" s="4" t="n">
        <v>46304.62407171451</v>
      </c>
      <c r="E2018" s="4" t="n">
        <v>46304.62407171459</v>
      </c>
      <c r="F2018" t="b">
        <v>1</v>
      </c>
      <c r="G2018" t="n">
        <v/>
      </c>
      <c r="H2018" t="inlineStr">
        <is>
          <t>NSM</t>
        </is>
      </c>
      <c r="I2018" t="inlineStr">
        <is>
          <t>North Stawell Minerals Ltd</t>
        </is>
      </c>
      <c r="J2018" t="inlineStr">
        <is>
          <t>AUD</t>
        </is>
      </c>
      <c r="K2018" s="5" t="inlineStr">
        <is>
          <t>01a1212c-4c04-75ce-bbb2-e3322e18816e</t>
        </is>
      </c>
      <c r="M2018" t="inlineStr">
        <is>
          <t>UNKNOWN</t>
        </is>
      </c>
      <c r="N2018" t="inlineStr">
        <is>
          <t>DEFAULT</t>
        </is>
      </c>
      <c r="Q2018" t="n">
        <v>0</v>
      </c>
      <c r="R2018" t="inlineStr">
        <is>
          <t>AUD</t>
        </is>
      </c>
      <c r="S2018" t="n">
        <v>0</v>
      </c>
      <c r="T2018" t="inlineStr">
        <is>
          <t>AUD</t>
        </is>
      </c>
      <c r="U2018" t="n">
        <v>0</v>
      </c>
    </row>
    <row r="2019">
      <c r="A2019" s="5" t="inlineStr">
        <is>
          <t>01a1212c-6436-723d-aaab-3ddc1c6bda70</t>
        </is>
      </c>
      <c r="C2019" s="5" t="inlineStr">
        <is>
          <t>01a1212c-4b57-70cf-80fd-c2192cb3bf81</t>
        </is>
      </c>
      <c r="D2019" s="4" t="n">
        <v>46304.62407174553</v>
      </c>
      <c r="E2019" s="4" t="n">
        <v>46304.62407174562</v>
      </c>
      <c r="F2019" t="b">
        <v>1</v>
      </c>
      <c r="G2019" t="n">
        <v/>
      </c>
      <c r="H2019" t="inlineStr">
        <is>
          <t>BPM</t>
        </is>
      </c>
      <c r="I2019" t="inlineStr">
        <is>
          <t>BPM Minerals Ltd</t>
        </is>
      </c>
      <c r="J2019" t="inlineStr">
        <is>
          <t>AUD</t>
        </is>
      </c>
      <c r="K2019" s="5" t="inlineStr">
        <is>
          <t>01a1212c-4c04-75ce-bbb2-e3322e18816e</t>
        </is>
      </c>
      <c r="M2019" t="inlineStr">
        <is>
          <t>UNKNOWN</t>
        </is>
      </c>
      <c r="N2019" t="inlineStr">
        <is>
          <t>DEFAULT</t>
        </is>
      </c>
      <c r="Q2019" t="n">
        <v>0</v>
      </c>
      <c r="R2019" t="inlineStr">
        <is>
          <t>AUD</t>
        </is>
      </c>
      <c r="S2019" t="n">
        <v>0</v>
      </c>
      <c r="T2019" t="inlineStr">
        <is>
          <t>AUD</t>
        </is>
      </c>
      <c r="U2019" t="n">
        <v>0</v>
      </c>
    </row>
    <row r="2020">
      <c r="A2020" s="5" t="inlineStr">
        <is>
          <t>01a1212c-6439-76f2-ab4b-0f9a63ac7281</t>
        </is>
      </c>
      <c r="C2020" s="5" t="inlineStr">
        <is>
          <t>01a1212c-4b57-70cf-80fd-c2192cb3bf81</t>
        </is>
      </c>
      <c r="D2020" s="4" t="n">
        <v>46304.62407177832</v>
      </c>
      <c r="E2020" s="4" t="n">
        <v>46304.6240717784</v>
      </c>
      <c r="F2020" t="b">
        <v>1</v>
      </c>
      <c r="G2020" t="n">
        <v/>
      </c>
      <c r="H2020" t="inlineStr">
        <is>
          <t>NGS</t>
        </is>
      </c>
      <c r="I2020" t="inlineStr">
        <is>
          <t>Nutritional Growth Solutions Ltd</t>
        </is>
      </c>
      <c r="J2020" t="inlineStr">
        <is>
          <t>AUD</t>
        </is>
      </c>
      <c r="K2020" s="5" t="inlineStr">
        <is>
          <t>01a1212c-4c04-75ce-bbb2-e3322e18816e</t>
        </is>
      </c>
      <c r="M2020" t="inlineStr">
        <is>
          <t>UNKNOWN</t>
        </is>
      </c>
      <c r="N2020" t="inlineStr">
        <is>
          <t>DEFAULT</t>
        </is>
      </c>
      <c r="Q2020" t="n">
        <v>0</v>
      </c>
      <c r="R2020" t="inlineStr">
        <is>
          <t>AUD</t>
        </is>
      </c>
      <c r="S2020" t="n">
        <v>0</v>
      </c>
      <c r="T2020" t="inlineStr">
        <is>
          <t>AUD</t>
        </is>
      </c>
      <c r="U2020" t="n">
        <v>0</v>
      </c>
    </row>
    <row r="2021">
      <c r="A2021" s="5" t="inlineStr">
        <is>
          <t>01a1212c-643c-737f-94bb-ec9452a36576</t>
        </is>
      </c>
      <c r="C2021" s="5" t="inlineStr">
        <is>
          <t>01a1212c-4b57-70cf-80fd-c2192cb3bf81</t>
        </is>
      </c>
      <c r="D2021" s="4" t="n">
        <v>46304.62407180916</v>
      </c>
      <c r="E2021" s="4" t="n">
        <v>46304.62407180924</v>
      </c>
      <c r="F2021" t="b">
        <v>1</v>
      </c>
      <c r="G2021" t="n">
        <v/>
      </c>
      <c r="H2021" t="inlineStr">
        <is>
          <t>GC1PA</t>
        </is>
      </c>
      <c r="I2021" t="inlineStr">
        <is>
          <t>Glennon Small Companies Ltd</t>
        </is>
      </c>
      <c r="J2021" t="inlineStr">
        <is>
          <t>AUD</t>
        </is>
      </c>
      <c r="K2021" s="5" t="inlineStr">
        <is>
          <t>01a1212c-4c04-75ce-bbb2-e3322e18816e</t>
        </is>
      </c>
      <c r="M2021" t="inlineStr">
        <is>
          <t>UNKNOWN</t>
        </is>
      </c>
      <c r="N2021" t="inlineStr">
        <is>
          <t>DEFAULT</t>
        </is>
      </c>
      <c r="Q2021" t="n">
        <v>0</v>
      </c>
      <c r="R2021" t="inlineStr">
        <is>
          <t>AUD</t>
        </is>
      </c>
      <c r="S2021" t="n">
        <v>0</v>
      </c>
      <c r="T2021" t="inlineStr">
        <is>
          <t>AUD</t>
        </is>
      </c>
      <c r="U2021" t="n">
        <v>0</v>
      </c>
    </row>
    <row r="2022">
      <c r="A2022" s="5" t="inlineStr">
        <is>
          <t>01a1212c-643e-75b8-8b1e-68120b1b8700</t>
        </is>
      </c>
      <c r="C2022" s="5" t="inlineStr">
        <is>
          <t>01a1212c-4b57-70cf-80fd-c2192cb3bf81</t>
        </is>
      </c>
      <c r="D2022" s="4" t="n">
        <v>46304.62407184015</v>
      </c>
      <c r="E2022" s="4" t="n">
        <v>46304.62407184023</v>
      </c>
      <c r="F2022" t="b">
        <v>1</v>
      </c>
      <c r="G2022" t="n">
        <v/>
      </c>
      <c r="H2022" t="inlineStr">
        <is>
          <t>MHC</t>
        </is>
      </c>
      <c r="I2022" t="inlineStr">
        <is>
          <t>Manhattan Corporation Ltd</t>
        </is>
      </c>
      <c r="J2022" t="inlineStr">
        <is>
          <t>AUD</t>
        </is>
      </c>
      <c r="K2022" s="5" t="inlineStr">
        <is>
          <t>01a1212c-4c04-75ce-bbb2-e3322e18816e</t>
        </is>
      </c>
      <c r="M2022" t="inlineStr">
        <is>
          <t>UNKNOWN</t>
        </is>
      </c>
      <c r="N2022" t="inlineStr">
        <is>
          <t>DEFAULT</t>
        </is>
      </c>
      <c r="Q2022" t="n">
        <v>0</v>
      </c>
      <c r="R2022" t="inlineStr">
        <is>
          <t>AUD</t>
        </is>
      </c>
      <c r="S2022" t="n">
        <v>0</v>
      </c>
      <c r="T2022" t="inlineStr">
        <is>
          <t>AUD</t>
        </is>
      </c>
      <c r="U2022" t="n">
        <v>0</v>
      </c>
    </row>
    <row r="2023">
      <c r="A2023" s="5" t="inlineStr">
        <is>
          <t>01a1212c-6441-7015-a7ba-4977fe819673</t>
        </is>
      </c>
      <c r="C2023" s="5" t="inlineStr">
        <is>
          <t>01a1212c-4b57-70cf-80fd-c2192cb3bf81</t>
        </is>
      </c>
      <c r="D2023" s="4" t="n">
        <v>46304.62407187043</v>
      </c>
      <c r="E2023" s="4" t="n">
        <v>46304.62407187051</v>
      </c>
      <c r="F2023" t="b">
        <v>1</v>
      </c>
      <c r="G2023" t="n">
        <v/>
      </c>
      <c r="H2023" t="inlineStr">
        <is>
          <t>TG1</t>
        </is>
      </c>
      <c r="I2023" t="inlineStr">
        <is>
          <t>Techgen Metals Ltd</t>
        </is>
      </c>
      <c r="J2023" t="inlineStr">
        <is>
          <t>AUD</t>
        </is>
      </c>
      <c r="K2023" s="5" t="inlineStr">
        <is>
          <t>01a1212c-4c04-75ce-bbb2-e3322e18816e</t>
        </is>
      </c>
      <c r="M2023" t="inlineStr">
        <is>
          <t>UNKNOWN</t>
        </is>
      </c>
      <c r="N2023" t="inlineStr">
        <is>
          <t>DEFAULT</t>
        </is>
      </c>
      <c r="Q2023" t="n">
        <v>0</v>
      </c>
      <c r="R2023" t="inlineStr">
        <is>
          <t>AUD</t>
        </is>
      </c>
      <c r="S2023" t="n">
        <v>0</v>
      </c>
      <c r="T2023" t="inlineStr">
        <is>
          <t>AUD</t>
        </is>
      </c>
      <c r="U2023" t="n">
        <v>0</v>
      </c>
    </row>
    <row r="2024">
      <c r="A2024" s="5" t="inlineStr">
        <is>
          <t>01a1212c-6444-7782-aeaf-dcf538ca9280</t>
        </is>
      </c>
      <c r="C2024" s="5" t="inlineStr">
        <is>
          <t>01a1212c-4b57-70cf-80fd-c2192cb3bf81</t>
        </is>
      </c>
      <c r="D2024" s="4" t="n">
        <v>46304.62407190156</v>
      </c>
      <c r="E2024" s="4" t="n">
        <v>46304.62407190164</v>
      </c>
      <c r="F2024" t="b">
        <v>1</v>
      </c>
      <c r="G2024" t="n">
        <v/>
      </c>
      <c r="H2024" t="inlineStr">
        <is>
          <t>EMU</t>
        </is>
      </c>
      <c r="I2024" t="inlineStr">
        <is>
          <t>EMU NL</t>
        </is>
      </c>
      <c r="J2024" t="inlineStr">
        <is>
          <t>AUD</t>
        </is>
      </c>
      <c r="K2024" s="5" t="inlineStr">
        <is>
          <t>01a1212c-4c04-75ce-bbb2-e3322e18816e</t>
        </is>
      </c>
      <c r="M2024" t="inlineStr">
        <is>
          <t>UNKNOWN</t>
        </is>
      </c>
      <c r="N2024" t="inlineStr">
        <is>
          <t>DEFAULT</t>
        </is>
      </c>
      <c r="Q2024" t="n">
        <v>0</v>
      </c>
      <c r="R2024" t="inlineStr">
        <is>
          <t>AUD</t>
        </is>
      </c>
      <c r="S2024" t="n">
        <v>0</v>
      </c>
      <c r="T2024" t="inlineStr">
        <is>
          <t>AUD</t>
        </is>
      </c>
      <c r="U2024" t="n">
        <v>0</v>
      </c>
    </row>
    <row r="2025">
      <c r="A2025" s="5" t="inlineStr">
        <is>
          <t>01a1212c-6447-76ff-ad55-7868bcc6bb5f</t>
        </is>
      </c>
      <c r="C2025" s="5" t="inlineStr">
        <is>
          <t>01a1212c-4b57-70cf-80fd-c2192cb3bf81</t>
        </is>
      </c>
      <c r="D2025" s="4" t="n">
        <v>46304.62407193485</v>
      </c>
      <c r="E2025" s="4" t="n">
        <v>46304.62407193493</v>
      </c>
      <c r="F2025" t="b">
        <v>1</v>
      </c>
      <c r="G2025" t="n">
        <v/>
      </c>
      <c r="H2025" t="inlineStr">
        <is>
          <t>DTI</t>
        </is>
      </c>
      <c r="I2025" t="inlineStr">
        <is>
          <t>DTI Group Ltd</t>
        </is>
      </c>
      <c r="J2025" t="inlineStr">
        <is>
          <t>AUD</t>
        </is>
      </c>
      <c r="K2025" s="5" t="inlineStr">
        <is>
          <t>01a1212c-4c04-75ce-bbb2-e3322e18816e</t>
        </is>
      </c>
      <c r="M2025" t="inlineStr">
        <is>
          <t>UNKNOWN</t>
        </is>
      </c>
      <c r="N2025" t="inlineStr">
        <is>
          <t>DEFAULT</t>
        </is>
      </c>
      <c r="Q2025" t="n">
        <v>0</v>
      </c>
      <c r="R2025" t="inlineStr">
        <is>
          <t>AUD</t>
        </is>
      </c>
      <c r="S2025" t="n">
        <v>0</v>
      </c>
      <c r="T2025" t="inlineStr">
        <is>
          <t>AUD</t>
        </is>
      </c>
      <c r="U2025" t="n">
        <v>0</v>
      </c>
    </row>
    <row r="2026">
      <c r="A2026" s="5" t="inlineStr">
        <is>
          <t>01a1212c-6449-7716-8d62-be3cfc95853a</t>
        </is>
      </c>
      <c r="C2026" s="5" t="inlineStr">
        <is>
          <t>01a1212c-4b57-70cf-80fd-c2192cb3bf81</t>
        </is>
      </c>
      <c r="D2026" s="4" t="n">
        <v>46304.62407196557</v>
      </c>
      <c r="E2026" s="4" t="n">
        <v>46304.62407196565</v>
      </c>
      <c r="F2026" t="b">
        <v>1</v>
      </c>
      <c r="G2026" t="n">
        <v/>
      </c>
      <c r="H2026" t="inlineStr">
        <is>
          <t>ADS</t>
        </is>
      </c>
      <c r="I2026" t="inlineStr">
        <is>
          <t>Adslot Ltd</t>
        </is>
      </c>
      <c r="J2026" t="inlineStr">
        <is>
          <t>AUD</t>
        </is>
      </c>
      <c r="K2026" s="5" t="inlineStr">
        <is>
          <t>01a1212c-4c04-75ce-bbb2-e3322e18816e</t>
        </is>
      </c>
      <c r="M2026" t="inlineStr">
        <is>
          <t>UNKNOWN</t>
        </is>
      </c>
      <c r="N2026" t="inlineStr">
        <is>
          <t>DEFAULT</t>
        </is>
      </c>
      <c r="Q2026" t="n">
        <v>0</v>
      </c>
      <c r="R2026" t="inlineStr">
        <is>
          <t>AUD</t>
        </is>
      </c>
      <c r="S2026" t="n">
        <v>0</v>
      </c>
      <c r="T2026" t="inlineStr">
        <is>
          <t>AUD</t>
        </is>
      </c>
      <c r="U2026" t="n">
        <v>0</v>
      </c>
    </row>
    <row r="2027">
      <c r="A2027" s="5" t="inlineStr">
        <is>
          <t>01a1212c-644c-7673-8c03-a0ab23b5e2b4</t>
        </is>
      </c>
      <c r="C2027" s="5" t="inlineStr">
        <is>
          <t>01a1212c-4b57-70cf-80fd-c2192cb3bf81</t>
        </is>
      </c>
      <c r="D2027" s="4" t="n">
        <v>46304.62407199614</v>
      </c>
      <c r="E2027" s="4" t="n">
        <v>46304.62407199622</v>
      </c>
      <c r="F2027" t="b">
        <v>1</v>
      </c>
      <c r="G2027" t="n">
        <v/>
      </c>
      <c r="H2027" t="inlineStr">
        <is>
          <t>IRX</t>
        </is>
      </c>
      <c r="I2027" t="inlineStr">
        <is>
          <t>Inhalerx Ltd</t>
        </is>
      </c>
      <c r="J2027" t="inlineStr">
        <is>
          <t>AUD</t>
        </is>
      </c>
      <c r="K2027" s="5" t="inlineStr">
        <is>
          <t>01a1212c-4c04-75ce-bbb2-e3322e18816e</t>
        </is>
      </c>
      <c r="M2027" t="inlineStr">
        <is>
          <t>UNKNOWN</t>
        </is>
      </c>
      <c r="N2027" t="inlineStr">
        <is>
          <t>DEFAULT</t>
        </is>
      </c>
      <c r="Q2027" t="n">
        <v>0</v>
      </c>
      <c r="R2027" t="inlineStr">
        <is>
          <t>AUD</t>
        </is>
      </c>
      <c r="S2027" t="n">
        <v>0</v>
      </c>
      <c r="T2027" t="inlineStr">
        <is>
          <t>AUD</t>
        </is>
      </c>
      <c r="U2027" t="n">
        <v>0</v>
      </c>
    </row>
    <row r="2028">
      <c r="A2028" s="5" t="inlineStr">
        <is>
          <t>01a1212c-644f-7338-82e6-c4583cf6f9e7</t>
        </is>
      </c>
      <c r="C2028" s="5" t="inlineStr">
        <is>
          <t>01a1212c-4b57-70cf-80fd-c2192cb3bf81</t>
        </is>
      </c>
      <c r="D2028" s="4" t="n">
        <v>46304.62407202781</v>
      </c>
      <c r="E2028" s="4" t="n">
        <v>46304.62407202789</v>
      </c>
      <c r="F2028" t="b">
        <v>1</v>
      </c>
      <c r="G2028" t="n">
        <v/>
      </c>
      <c r="H2028" t="inlineStr">
        <is>
          <t>HJHI</t>
        </is>
      </c>
      <c r="I2028" t="inlineStr">
        <is>
          <t>HEJAZ High Income Active ETF</t>
        </is>
      </c>
      <c r="J2028" t="inlineStr">
        <is>
          <t>AUD</t>
        </is>
      </c>
      <c r="K2028" s="5" t="inlineStr">
        <is>
          <t>01a1212c-4c04-75ce-bbb2-e3322e18816e</t>
        </is>
      </c>
      <c r="M2028" t="inlineStr">
        <is>
          <t>UNKNOWN</t>
        </is>
      </c>
      <c r="N2028" t="inlineStr">
        <is>
          <t>DEFAULT</t>
        </is>
      </c>
      <c r="Q2028" t="n">
        <v>0</v>
      </c>
      <c r="R2028" t="inlineStr">
        <is>
          <t>AUD</t>
        </is>
      </c>
      <c r="S2028" t="n">
        <v>0</v>
      </c>
      <c r="T2028" t="inlineStr">
        <is>
          <t>AUD</t>
        </is>
      </c>
      <c r="U2028" t="n">
        <v>0</v>
      </c>
    </row>
    <row r="2029">
      <c r="A2029" s="5" t="inlineStr">
        <is>
          <t>01a1212c-6451-77aa-a108-a30e6eb8f84c</t>
        </is>
      </c>
      <c r="C2029" s="5" t="inlineStr">
        <is>
          <t>01a1212c-4b57-70cf-80fd-c2192cb3bf81</t>
        </is>
      </c>
      <c r="D2029" s="4" t="n">
        <v>46304.6240720612</v>
      </c>
      <c r="E2029" s="4" t="n">
        <v>46304.62407206127</v>
      </c>
      <c r="F2029" t="b">
        <v>1</v>
      </c>
      <c r="G2029" t="n">
        <v/>
      </c>
      <c r="H2029" t="inlineStr">
        <is>
          <t>CMB</t>
        </is>
      </c>
      <c r="I2029" t="inlineStr">
        <is>
          <t>Cambium Bio Ltd</t>
        </is>
      </c>
      <c r="J2029" t="inlineStr">
        <is>
          <t>AUD</t>
        </is>
      </c>
      <c r="K2029" s="5" t="inlineStr">
        <is>
          <t>01a1212c-4c04-75ce-bbb2-e3322e18816e</t>
        </is>
      </c>
      <c r="M2029" t="inlineStr">
        <is>
          <t>UNKNOWN</t>
        </is>
      </c>
      <c r="N2029" t="inlineStr">
        <is>
          <t>DEFAULT</t>
        </is>
      </c>
      <c r="Q2029" t="n">
        <v>0</v>
      </c>
      <c r="R2029" t="inlineStr">
        <is>
          <t>AUD</t>
        </is>
      </c>
      <c r="S2029" t="n">
        <v>0</v>
      </c>
      <c r="T2029" t="inlineStr">
        <is>
          <t>AUD</t>
        </is>
      </c>
      <c r="U2029" t="n">
        <v>0</v>
      </c>
    </row>
    <row r="2030">
      <c r="A2030" s="5" t="inlineStr">
        <is>
          <t>01a1212c-6454-737a-8622-90b634fc1405</t>
        </is>
      </c>
      <c r="C2030" s="5" t="inlineStr">
        <is>
          <t>01a1212c-4b57-70cf-80fd-c2192cb3bf81</t>
        </is>
      </c>
      <c r="D2030" s="4" t="n">
        <v>46304.62407209193</v>
      </c>
      <c r="E2030" s="4" t="n">
        <v>46304.624072092</v>
      </c>
      <c r="F2030" t="b">
        <v>1</v>
      </c>
      <c r="G2030" t="n">
        <v/>
      </c>
      <c r="H2030" t="inlineStr">
        <is>
          <t>EE1</t>
        </is>
      </c>
      <c r="I2030" t="inlineStr">
        <is>
          <t>EARTHS Energy Ltd</t>
        </is>
      </c>
      <c r="J2030" t="inlineStr">
        <is>
          <t>AUD</t>
        </is>
      </c>
      <c r="K2030" s="5" t="inlineStr">
        <is>
          <t>01a1212c-4c04-75ce-bbb2-e3322e18816e</t>
        </is>
      </c>
      <c r="M2030" t="inlineStr">
        <is>
          <t>UNKNOWN</t>
        </is>
      </c>
      <c r="N2030" t="inlineStr">
        <is>
          <t>DEFAULT</t>
        </is>
      </c>
      <c r="Q2030" t="n">
        <v>0</v>
      </c>
      <c r="R2030" t="inlineStr">
        <is>
          <t>AUD</t>
        </is>
      </c>
      <c r="S2030" t="n">
        <v>0</v>
      </c>
      <c r="T2030" t="inlineStr">
        <is>
          <t>AUD</t>
        </is>
      </c>
      <c r="U2030" t="n">
        <v>0</v>
      </c>
    </row>
    <row r="2031">
      <c r="A2031" s="5" t="inlineStr">
        <is>
          <t>01a1212c-6457-77f9-942c-75cf930ad2e1</t>
        </is>
      </c>
      <c r="C2031" s="5" t="inlineStr">
        <is>
          <t>01a1212c-4b57-70cf-80fd-c2192cb3bf81</t>
        </is>
      </c>
      <c r="D2031" s="4" t="n">
        <v>46304.6240721223</v>
      </c>
      <c r="E2031" s="4" t="n">
        <v>46304.62407212237</v>
      </c>
      <c r="F2031" t="b">
        <v>1</v>
      </c>
      <c r="G2031" t="n">
        <v/>
      </c>
      <c r="H2031" t="inlineStr">
        <is>
          <t>EVE</t>
        </is>
      </c>
      <c r="I2031" t="inlineStr">
        <is>
          <t>EVE Health Group Ltd</t>
        </is>
      </c>
      <c r="J2031" t="inlineStr">
        <is>
          <t>AUD</t>
        </is>
      </c>
      <c r="K2031" s="5" t="inlineStr">
        <is>
          <t>01a1212c-4c04-75ce-bbb2-e3322e18816e</t>
        </is>
      </c>
      <c r="M2031" t="inlineStr">
        <is>
          <t>UNKNOWN</t>
        </is>
      </c>
      <c r="N2031" t="inlineStr">
        <is>
          <t>DEFAULT</t>
        </is>
      </c>
      <c r="Q2031" t="n">
        <v>0</v>
      </c>
      <c r="R2031" t="inlineStr">
        <is>
          <t>AUD</t>
        </is>
      </c>
      <c r="S2031" t="n">
        <v>0</v>
      </c>
      <c r="T2031" t="inlineStr">
        <is>
          <t>AUD</t>
        </is>
      </c>
      <c r="U2031" t="n">
        <v>0</v>
      </c>
    </row>
    <row r="2032">
      <c r="A2032" s="5" t="inlineStr">
        <is>
          <t>01a1212c-6459-7696-ac04-23fc645d207f</t>
        </is>
      </c>
      <c r="C2032" s="5" t="inlineStr">
        <is>
          <t>01a1212c-4b57-70cf-80fd-c2192cb3bf81</t>
        </is>
      </c>
      <c r="D2032" s="4" t="n">
        <v>46304.62407215288</v>
      </c>
      <c r="E2032" s="4" t="n">
        <v>46304.62407215295</v>
      </c>
      <c r="F2032" t="b">
        <v>1</v>
      </c>
      <c r="G2032" t="n">
        <v/>
      </c>
      <c r="H2032" t="inlineStr">
        <is>
          <t>FNR</t>
        </is>
      </c>
      <c r="I2032" t="inlineStr">
        <is>
          <t>Far Northern Resources Ltd</t>
        </is>
      </c>
      <c r="J2032" t="inlineStr">
        <is>
          <t>AUD</t>
        </is>
      </c>
      <c r="K2032" s="5" t="inlineStr">
        <is>
          <t>01a1212c-4c04-75ce-bbb2-e3322e18816e</t>
        </is>
      </c>
      <c r="M2032" t="inlineStr">
        <is>
          <t>UNKNOWN</t>
        </is>
      </c>
      <c r="N2032" t="inlineStr">
        <is>
          <t>DEFAULT</t>
        </is>
      </c>
      <c r="Q2032" t="n">
        <v>0</v>
      </c>
      <c r="R2032" t="inlineStr">
        <is>
          <t>AUD</t>
        </is>
      </c>
      <c r="S2032" t="n">
        <v>0</v>
      </c>
      <c r="T2032" t="inlineStr">
        <is>
          <t>AUD</t>
        </is>
      </c>
      <c r="U2032" t="n">
        <v>0</v>
      </c>
    </row>
    <row r="2033">
      <c r="A2033" s="5" t="inlineStr">
        <is>
          <t>01a1212c-645c-77b2-bd81-cd49f5aedb44</t>
        </is>
      </c>
      <c r="C2033" s="5" t="inlineStr">
        <is>
          <t>01a1212c-4b57-70cf-80fd-c2192cb3bf81</t>
        </is>
      </c>
      <c r="D2033" s="4" t="n">
        <v>46304.62407218356</v>
      </c>
      <c r="E2033" s="4" t="n">
        <v>46304.62407218364</v>
      </c>
      <c r="F2033" t="b">
        <v>1</v>
      </c>
      <c r="G2033" t="n">
        <v/>
      </c>
      <c r="H2033" t="inlineStr">
        <is>
          <t>AUG</t>
        </is>
      </c>
      <c r="I2033" t="inlineStr">
        <is>
          <t>Augustus Minerals Ltd</t>
        </is>
      </c>
      <c r="J2033" t="inlineStr">
        <is>
          <t>AUD</t>
        </is>
      </c>
      <c r="K2033" s="5" t="inlineStr">
        <is>
          <t>01a1212c-4c04-75ce-bbb2-e3322e18816e</t>
        </is>
      </c>
      <c r="M2033" t="inlineStr">
        <is>
          <t>UNKNOWN</t>
        </is>
      </c>
      <c r="N2033" t="inlineStr">
        <is>
          <t>DEFAULT</t>
        </is>
      </c>
      <c r="Q2033" t="n">
        <v>0</v>
      </c>
      <c r="R2033" t="inlineStr">
        <is>
          <t>AUD</t>
        </is>
      </c>
      <c r="S2033" t="n">
        <v>0</v>
      </c>
      <c r="T2033" t="inlineStr">
        <is>
          <t>AUD</t>
        </is>
      </c>
      <c r="U2033" t="n">
        <v>0</v>
      </c>
    </row>
    <row r="2034">
      <c r="A2034" s="5" t="inlineStr">
        <is>
          <t>01a1212c-645f-7312-beca-13acacbd20b3</t>
        </is>
      </c>
      <c r="C2034" s="5" t="inlineStr">
        <is>
          <t>01a1212c-4b57-70cf-80fd-c2192cb3bf81</t>
        </is>
      </c>
      <c r="D2034" s="4" t="n">
        <v>46304.62407221973</v>
      </c>
      <c r="E2034" s="4" t="n">
        <v>46304.62407221981</v>
      </c>
      <c r="F2034" t="b">
        <v>1</v>
      </c>
      <c r="G2034" t="n">
        <v/>
      </c>
      <c r="H2034" t="inlineStr">
        <is>
          <t>HWK</t>
        </is>
      </c>
      <c r="I2034" t="inlineStr">
        <is>
          <t>Hawk Resources Ltd</t>
        </is>
      </c>
      <c r="J2034" t="inlineStr">
        <is>
          <t>AUD</t>
        </is>
      </c>
      <c r="K2034" s="5" t="inlineStr">
        <is>
          <t>01a1212c-4c04-75ce-bbb2-e3322e18816e</t>
        </is>
      </c>
      <c r="M2034" t="inlineStr">
        <is>
          <t>UNKNOWN</t>
        </is>
      </c>
      <c r="N2034" t="inlineStr">
        <is>
          <t>DEFAULT</t>
        </is>
      </c>
      <c r="Q2034" t="n">
        <v>0</v>
      </c>
      <c r="R2034" t="inlineStr">
        <is>
          <t>AUD</t>
        </is>
      </c>
      <c r="S2034" t="n">
        <v>0</v>
      </c>
      <c r="T2034" t="inlineStr">
        <is>
          <t>AUD</t>
        </is>
      </c>
      <c r="U2034" t="n">
        <v>0</v>
      </c>
    </row>
    <row r="2035">
      <c r="A2035" s="5" t="inlineStr">
        <is>
          <t>01a1212c-6462-72b6-a4f4-3b54e93018fb</t>
        </is>
      </c>
      <c r="C2035" s="5" t="inlineStr">
        <is>
          <t>01a1212c-4b57-70cf-80fd-c2192cb3bf81</t>
        </is>
      </c>
      <c r="D2035" s="4" t="n">
        <v>46304.62407225132</v>
      </c>
      <c r="E2035" s="4" t="n">
        <v>46304.6240722514</v>
      </c>
      <c r="F2035" t="b">
        <v>1</v>
      </c>
      <c r="G2035" t="n">
        <v/>
      </c>
      <c r="H2035" t="inlineStr">
        <is>
          <t>JNO</t>
        </is>
      </c>
      <c r="I2035" t="inlineStr">
        <is>
          <t>Juno Minerals Ltd</t>
        </is>
      </c>
      <c r="J2035" t="inlineStr">
        <is>
          <t>AUD</t>
        </is>
      </c>
      <c r="K2035" s="5" t="inlineStr">
        <is>
          <t>01a1212c-4c04-75ce-bbb2-e3322e18816e</t>
        </is>
      </c>
      <c r="M2035" t="inlineStr">
        <is>
          <t>UNKNOWN</t>
        </is>
      </c>
      <c r="N2035" t="inlineStr">
        <is>
          <t>DEFAULT</t>
        </is>
      </c>
      <c r="Q2035" t="n">
        <v>0</v>
      </c>
      <c r="R2035" t="inlineStr">
        <is>
          <t>AUD</t>
        </is>
      </c>
      <c r="S2035" t="n">
        <v>0</v>
      </c>
      <c r="T2035" t="inlineStr">
        <is>
          <t>AUD</t>
        </is>
      </c>
      <c r="U2035" t="n">
        <v>0</v>
      </c>
    </row>
    <row r="2036">
      <c r="A2036" s="5" t="inlineStr">
        <is>
          <t>01a1212c-6465-766b-9335-f1b50882c617</t>
        </is>
      </c>
      <c r="C2036" s="5" t="inlineStr">
        <is>
          <t>01a1212c-4b57-70cf-80fd-c2192cb3bf81</t>
        </is>
      </c>
      <c r="D2036" s="4" t="n">
        <v>46304.62407228258</v>
      </c>
      <c r="E2036" s="4" t="n">
        <v>46304.62407228266</v>
      </c>
      <c r="F2036" t="b">
        <v>1</v>
      </c>
      <c r="G2036" t="n">
        <v/>
      </c>
      <c r="H2036" t="inlineStr">
        <is>
          <t>ICN</t>
        </is>
      </c>
      <c r="I2036" t="inlineStr">
        <is>
          <t>Icon Energy Ltd</t>
        </is>
      </c>
      <c r="J2036" t="inlineStr">
        <is>
          <t>AUD</t>
        </is>
      </c>
      <c r="K2036" s="5" t="inlineStr">
        <is>
          <t>01a1212c-4c04-75ce-bbb2-e3322e18816e</t>
        </is>
      </c>
      <c r="M2036" t="inlineStr">
        <is>
          <t>UNKNOWN</t>
        </is>
      </c>
      <c r="N2036" t="inlineStr">
        <is>
          <t>DEFAULT</t>
        </is>
      </c>
      <c r="Q2036" t="n">
        <v>0</v>
      </c>
      <c r="R2036" t="inlineStr">
        <is>
          <t>AUD</t>
        </is>
      </c>
      <c r="S2036" t="n">
        <v>0</v>
      </c>
      <c r="T2036" t="inlineStr">
        <is>
          <t>AUD</t>
        </is>
      </c>
      <c r="U2036" t="n">
        <v>0</v>
      </c>
    </row>
    <row r="2037">
      <c r="A2037" s="5" t="inlineStr">
        <is>
          <t>01a1212c-6467-714f-9a20-f01cbfae0015</t>
        </is>
      </c>
      <c r="C2037" s="5" t="inlineStr">
        <is>
          <t>01a1212c-4b57-70cf-80fd-c2192cb3bf81</t>
        </is>
      </c>
      <c r="D2037" s="4" t="n">
        <v>46304.6240723131</v>
      </c>
      <c r="E2037" s="4" t="n">
        <v>46304.62407231319</v>
      </c>
      <c r="F2037" t="b">
        <v>1</v>
      </c>
      <c r="G2037" t="n">
        <v/>
      </c>
      <c r="H2037" t="inlineStr">
        <is>
          <t>RC1</t>
        </is>
      </c>
      <c r="I2037" t="inlineStr">
        <is>
          <t>Redcastle Resources Ltd</t>
        </is>
      </c>
      <c r="J2037" t="inlineStr">
        <is>
          <t>AUD</t>
        </is>
      </c>
      <c r="K2037" s="5" t="inlineStr">
        <is>
          <t>01a1212c-4c04-75ce-bbb2-e3322e18816e</t>
        </is>
      </c>
      <c r="M2037" t="inlineStr">
        <is>
          <t>UNKNOWN</t>
        </is>
      </c>
      <c r="N2037" t="inlineStr">
        <is>
          <t>DEFAULT</t>
        </is>
      </c>
      <c r="Q2037" t="n">
        <v>0</v>
      </c>
      <c r="R2037" t="inlineStr">
        <is>
          <t>AUD</t>
        </is>
      </c>
      <c r="S2037" t="n">
        <v>0</v>
      </c>
      <c r="T2037" t="inlineStr">
        <is>
          <t>AUD</t>
        </is>
      </c>
      <c r="U2037" t="n">
        <v>0</v>
      </c>
    </row>
    <row r="2038">
      <c r="A2038" s="5" t="inlineStr">
        <is>
          <t>01a1212c-646a-74f1-9e7c-5c9551268ba4</t>
        </is>
      </c>
      <c r="C2038" s="5" t="inlineStr">
        <is>
          <t>01a1212c-4b57-70cf-80fd-c2192cb3bf81</t>
        </is>
      </c>
      <c r="D2038" s="4" t="n">
        <v>46304.62407234567</v>
      </c>
      <c r="E2038" s="4" t="n">
        <v>46304.62407234575</v>
      </c>
      <c r="F2038" t="b">
        <v>1</v>
      </c>
      <c r="G2038" t="n">
        <v/>
      </c>
      <c r="H2038" t="inlineStr">
        <is>
          <t>M2M</t>
        </is>
      </c>
      <c r="I2038" t="inlineStr">
        <is>
          <t>MT Malcolm Mines NL</t>
        </is>
      </c>
      <c r="J2038" t="inlineStr">
        <is>
          <t>AUD</t>
        </is>
      </c>
      <c r="K2038" s="5" t="inlineStr">
        <is>
          <t>01a1212c-4c04-75ce-bbb2-e3322e18816e</t>
        </is>
      </c>
      <c r="M2038" t="inlineStr">
        <is>
          <t>UNKNOWN</t>
        </is>
      </c>
      <c r="N2038" t="inlineStr">
        <is>
          <t>DEFAULT</t>
        </is>
      </c>
      <c r="Q2038" t="n">
        <v>0</v>
      </c>
      <c r="R2038" t="inlineStr">
        <is>
          <t>AUD</t>
        </is>
      </c>
      <c r="S2038" t="n">
        <v>0</v>
      </c>
      <c r="T2038" t="inlineStr">
        <is>
          <t>AUD</t>
        </is>
      </c>
      <c r="U2038" t="n">
        <v>0</v>
      </c>
    </row>
    <row r="2039">
      <c r="A2039" s="5" t="inlineStr">
        <is>
          <t>01a1212c-646d-7363-8d1c-f5147ce0c92f</t>
        </is>
      </c>
      <c r="C2039" s="5" t="inlineStr">
        <is>
          <t>01a1212c-4b57-70cf-80fd-c2192cb3bf81</t>
        </is>
      </c>
      <c r="D2039" s="4" t="n">
        <v>46304.62407237634</v>
      </c>
      <c r="E2039" s="4" t="n">
        <v>46304.62407237642</v>
      </c>
      <c r="F2039" t="b">
        <v>1</v>
      </c>
      <c r="G2039" t="n">
        <v/>
      </c>
      <c r="H2039" t="inlineStr">
        <is>
          <t>IEQ</t>
        </is>
      </c>
      <c r="I2039" t="inlineStr">
        <is>
          <t>International Equities Corporation Ltd</t>
        </is>
      </c>
      <c r="J2039" t="inlineStr">
        <is>
          <t>AUD</t>
        </is>
      </c>
      <c r="K2039" s="5" t="inlineStr">
        <is>
          <t>01a1212c-4c04-75ce-bbb2-e3322e18816e</t>
        </is>
      </c>
      <c r="M2039" t="inlineStr">
        <is>
          <t>UNKNOWN</t>
        </is>
      </c>
      <c r="N2039" t="inlineStr">
        <is>
          <t>DEFAULT</t>
        </is>
      </c>
      <c r="Q2039" t="n">
        <v>0</v>
      </c>
      <c r="R2039" t="inlineStr">
        <is>
          <t>AUD</t>
        </is>
      </c>
      <c r="S2039" t="n">
        <v>0</v>
      </c>
      <c r="T2039" t="inlineStr">
        <is>
          <t>AUD</t>
        </is>
      </c>
      <c r="U2039" t="n">
        <v>0</v>
      </c>
    </row>
    <row r="2040">
      <c r="A2040" s="5" t="inlineStr">
        <is>
          <t>01a1212c-646f-75c8-aedf-55db5dd1f2c8</t>
        </is>
      </c>
      <c r="C2040" s="5" t="inlineStr">
        <is>
          <t>01a1212c-4b57-70cf-80fd-c2192cb3bf81</t>
        </is>
      </c>
      <c r="D2040" s="4" t="n">
        <v>46304.62407240785</v>
      </c>
      <c r="E2040" s="4" t="n">
        <v>46304.62407240793</v>
      </c>
      <c r="F2040" t="b">
        <v>1</v>
      </c>
      <c r="G2040" t="n">
        <v/>
      </c>
      <c r="H2040" t="inlineStr">
        <is>
          <t>OZZ</t>
        </is>
      </c>
      <c r="I2040" t="inlineStr">
        <is>
          <t>OZZ Resources Ltd</t>
        </is>
      </c>
      <c r="J2040" t="inlineStr">
        <is>
          <t>AUD</t>
        </is>
      </c>
      <c r="K2040" s="5" t="inlineStr">
        <is>
          <t>01a1212c-4c04-75ce-bbb2-e3322e18816e</t>
        </is>
      </c>
      <c r="M2040" t="inlineStr">
        <is>
          <t>UNKNOWN</t>
        </is>
      </c>
      <c r="N2040" t="inlineStr">
        <is>
          <t>DEFAULT</t>
        </is>
      </c>
      <c r="Q2040" t="n">
        <v>0</v>
      </c>
      <c r="R2040" t="inlineStr">
        <is>
          <t>AUD</t>
        </is>
      </c>
      <c r="S2040" t="n">
        <v>0</v>
      </c>
      <c r="T2040" t="inlineStr">
        <is>
          <t>AUD</t>
        </is>
      </c>
      <c r="U2040" t="n">
        <v>0</v>
      </c>
    </row>
    <row r="2041">
      <c r="A2041" s="5" t="inlineStr">
        <is>
          <t>01a1212c-6472-7229-b8da-13281b73c0ed</t>
        </is>
      </c>
      <c r="C2041" s="5" t="inlineStr">
        <is>
          <t>01a1212c-4b57-70cf-80fd-c2192cb3bf81</t>
        </is>
      </c>
      <c r="D2041" s="4" t="n">
        <v>46304.6240724388</v>
      </c>
      <c r="E2041" s="4" t="n">
        <v>46304.62407243889</v>
      </c>
      <c r="F2041" t="b">
        <v>1</v>
      </c>
      <c r="G2041" t="n">
        <v/>
      </c>
      <c r="H2041" t="inlineStr">
        <is>
          <t>CAZ</t>
        </is>
      </c>
      <c r="I2041" t="inlineStr">
        <is>
          <t>Cazaly Resources Ltd</t>
        </is>
      </c>
      <c r="J2041" t="inlineStr">
        <is>
          <t>AUD</t>
        </is>
      </c>
      <c r="K2041" s="5" t="inlineStr">
        <is>
          <t>01a1212c-4c04-75ce-bbb2-e3322e18816e</t>
        </is>
      </c>
      <c r="M2041" t="inlineStr">
        <is>
          <t>UNKNOWN</t>
        </is>
      </c>
      <c r="N2041" t="inlineStr">
        <is>
          <t>DEFAULT</t>
        </is>
      </c>
      <c r="Q2041" t="n">
        <v>0</v>
      </c>
      <c r="R2041" t="inlineStr">
        <is>
          <t>AUD</t>
        </is>
      </c>
      <c r="S2041" t="n">
        <v>0</v>
      </c>
      <c r="T2041" t="inlineStr">
        <is>
          <t>AUD</t>
        </is>
      </c>
      <c r="U2041" t="n">
        <v>0</v>
      </c>
    </row>
    <row r="2042">
      <c r="A2042" s="5" t="inlineStr">
        <is>
          <t>01a1212c-6475-752e-8bf3-4a41b93af822</t>
        </is>
      </c>
      <c r="C2042" s="5" t="inlineStr">
        <is>
          <t>01a1212c-4b57-70cf-80fd-c2192cb3bf81</t>
        </is>
      </c>
      <c r="D2042" s="4" t="n">
        <v>46304.62407246971</v>
      </c>
      <c r="E2042" s="4" t="n">
        <v>46304.62407246979</v>
      </c>
      <c r="F2042" t="b">
        <v>1</v>
      </c>
      <c r="G2042" t="n">
        <v/>
      </c>
      <c r="H2042" t="inlineStr">
        <is>
          <t>PR1</t>
        </is>
      </c>
      <c r="I2042" t="inlineStr">
        <is>
          <t>Pure Resources Ltd</t>
        </is>
      </c>
      <c r="J2042" t="inlineStr">
        <is>
          <t>AUD</t>
        </is>
      </c>
      <c r="K2042" s="5" t="inlineStr">
        <is>
          <t>01a1212c-4c04-75ce-bbb2-e3322e18816e</t>
        </is>
      </c>
      <c r="M2042" t="inlineStr">
        <is>
          <t>UNKNOWN</t>
        </is>
      </c>
      <c r="N2042" t="inlineStr">
        <is>
          <t>DEFAULT</t>
        </is>
      </c>
      <c r="Q2042" t="n">
        <v>0</v>
      </c>
      <c r="R2042" t="inlineStr">
        <is>
          <t>AUD</t>
        </is>
      </c>
      <c r="S2042" t="n">
        <v>0</v>
      </c>
      <c r="T2042" t="inlineStr">
        <is>
          <t>AUD</t>
        </is>
      </c>
      <c r="U2042" t="n">
        <v>0</v>
      </c>
    </row>
    <row r="2043">
      <c r="A2043" s="5" t="inlineStr">
        <is>
          <t>01a1212c-6478-767a-982f-490b7823b097</t>
        </is>
      </c>
      <c r="C2043" s="5" t="inlineStr">
        <is>
          <t>01a1212c-4b57-70cf-80fd-c2192cb3bf81</t>
        </is>
      </c>
      <c r="D2043" s="4" t="n">
        <v>46304.6240725032</v>
      </c>
      <c r="E2043" s="4" t="n">
        <v>46304.62407250328</v>
      </c>
      <c r="F2043" t="b">
        <v>1</v>
      </c>
      <c r="G2043" t="n">
        <v/>
      </c>
      <c r="H2043" t="inlineStr">
        <is>
          <t>RGL</t>
        </is>
      </c>
      <c r="I2043" t="inlineStr">
        <is>
          <t>Riversgold Ltd</t>
        </is>
      </c>
      <c r="J2043" t="inlineStr">
        <is>
          <t>AUD</t>
        </is>
      </c>
      <c r="K2043" s="5" t="inlineStr">
        <is>
          <t>01a1212c-4c04-75ce-bbb2-e3322e18816e</t>
        </is>
      </c>
      <c r="M2043" t="inlineStr">
        <is>
          <t>UNKNOWN</t>
        </is>
      </c>
      <c r="N2043" t="inlineStr">
        <is>
          <t>DEFAULT</t>
        </is>
      </c>
      <c r="Q2043" t="n">
        <v>0</v>
      </c>
      <c r="R2043" t="inlineStr">
        <is>
          <t>AUD</t>
        </is>
      </c>
      <c r="S2043" t="n">
        <v>0</v>
      </c>
      <c r="T2043" t="inlineStr">
        <is>
          <t>AUD</t>
        </is>
      </c>
      <c r="U2043" t="n">
        <v>0</v>
      </c>
    </row>
    <row r="2044">
      <c r="A2044" s="5" t="inlineStr">
        <is>
          <t>01a1212c-647a-70ec-a251-7a4575500da1</t>
        </is>
      </c>
      <c r="C2044" s="5" t="inlineStr">
        <is>
          <t>01a1212c-4b57-70cf-80fd-c2192cb3bf81</t>
        </is>
      </c>
      <c r="D2044" s="4" t="n">
        <v>46304.62407253384</v>
      </c>
      <c r="E2044" s="4" t="n">
        <v>46304.62407253392</v>
      </c>
      <c r="F2044" t="b">
        <v>1</v>
      </c>
      <c r="G2044" t="n">
        <v/>
      </c>
      <c r="H2044" t="inlineStr">
        <is>
          <t>ZMM</t>
        </is>
      </c>
      <c r="I2044" t="inlineStr">
        <is>
          <t>ZIMI Ltd</t>
        </is>
      </c>
      <c r="J2044" t="inlineStr">
        <is>
          <t>AUD</t>
        </is>
      </c>
      <c r="K2044" s="5" t="inlineStr">
        <is>
          <t>01a1212c-4c04-75ce-bbb2-e3322e18816e</t>
        </is>
      </c>
      <c r="M2044" t="inlineStr">
        <is>
          <t>UNKNOWN</t>
        </is>
      </c>
      <c r="N2044" t="inlineStr">
        <is>
          <t>DEFAULT</t>
        </is>
      </c>
      <c r="Q2044" t="n">
        <v>0</v>
      </c>
      <c r="R2044" t="inlineStr">
        <is>
          <t>AUD</t>
        </is>
      </c>
      <c r="S2044" t="n">
        <v>0</v>
      </c>
      <c r="T2044" t="inlineStr">
        <is>
          <t>AUD</t>
        </is>
      </c>
      <c r="U2044" t="n">
        <v>0</v>
      </c>
    </row>
    <row r="2045">
      <c r="A2045" s="5" t="inlineStr">
        <is>
          <t>01a1212c-647d-7728-85a2-6a3dba0b7a86</t>
        </is>
      </c>
      <c r="C2045" s="5" t="inlineStr">
        <is>
          <t>01a1212c-4b57-70cf-80fd-c2192cb3bf81</t>
        </is>
      </c>
      <c r="D2045" s="4" t="n">
        <v>46304.62407256439</v>
      </c>
      <c r="E2045" s="4" t="n">
        <v>46304.62407256448</v>
      </c>
      <c r="F2045" t="b">
        <v>1</v>
      </c>
      <c r="G2045" t="n">
        <v/>
      </c>
      <c r="H2045" t="inlineStr">
        <is>
          <t>GRL</t>
        </is>
      </c>
      <c r="I2045" t="inlineStr">
        <is>
          <t>Godolphin Resources Ltd</t>
        </is>
      </c>
      <c r="J2045" t="inlineStr">
        <is>
          <t>AUD</t>
        </is>
      </c>
      <c r="K2045" s="5" t="inlineStr">
        <is>
          <t>01a1212c-4c04-75ce-bbb2-e3322e18816e</t>
        </is>
      </c>
      <c r="M2045" t="inlineStr">
        <is>
          <t>UNKNOWN</t>
        </is>
      </c>
      <c r="N2045" t="inlineStr">
        <is>
          <t>DEFAULT</t>
        </is>
      </c>
      <c r="Q2045" t="n">
        <v>0</v>
      </c>
      <c r="R2045" t="inlineStr">
        <is>
          <t>AUD</t>
        </is>
      </c>
      <c r="S2045" t="n">
        <v>0</v>
      </c>
      <c r="T2045" t="inlineStr">
        <is>
          <t>AUD</t>
        </is>
      </c>
      <c r="U2045" t="n">
        <v>0</v>
      </c>
    </row>
    <row r="2046">
      <c r="A2046" s="5" t="inlineStr">
        <is>
          <t>01a1212c-6480-74a8-9d31-f673e7bbf9c3</t>
        </is>
      </c>
      <c r="C2046" s="5" t="inlineStr">
        <is>
          <t>01a1212c-4b57-70cf-80fd-c2192cb3bf81</t>
        </is>
      </c>
      <c r="D2046" s="4" t="n">
        <v>46304.62407259501</v>
      </c>
      <c r="E2046" s="4" t="n">
        <v>46304.62407259509</v>
      </c>
      <c r="F2046" t="b">
        <v>1</v>
      </c>
      <c r="G2046" t="n">
        <v/>
      </c>
      <c r="H2046" t="inlineStr">
        <is>
          <t>CAQ</t>
        </is>
      </c>
      <c r="I2046" t="inlineStr">
        <is>
          <t>CAQ Holdings Ltd</t>
        </is>
      </c>
      <c r="J2046" t="inlineStr">
        <is>
          <t>AUD</t>
        </is>
      </c>
      <c r="K2046" s="5" t="inlineStr">
        <is>
          <t>01a1212c-4c04-75ce-bbb2-e3322e18816e</t>
        </is>
      </c>
      <c r="M2046" t="inlineStr">
        <is>
          <t>UNKNOWN</t>
        </is>
      </c>
      <c r="N2046" t="inlineStr">
        <is>
          <t>DEFAULT</t>
        </is>
      </c>
      <c r="Q2046" t="n">
        <v>0</v>
      </c>
      <c r="R2046" t="inlineStr">
        <is>
          <t>AUD</t>
        </is>
      </c>
      <c r="S2046" t="n">
        <v>0</v>
      </c>
      <c r="T2046" t="inlineStr">
        <is>
          <t>AUD</t>
        </is>
      </c>
      <c r="U2046" t="n">
        <v>0</v>
      </c>
    </row>
    <row r="2047">
      <c r="A2047" s="5" t="inlineStr">
        <is>
          <t>01a1212c-6483-74df-8ae1-8e89956f7afa</t>
        </is>
      </c>
      <c r="C2047" s="5" t="inlineStr">
        <is>
          <t>01a1212c-4b57-70cf-80fd-c2192cb3bf81</t>
        </is>
      </c>
      <c r="D2047" s="4" t="n">
        <v>46304.62407263692</v>
      </c>
      <c r="E2047" s="4" t="n">
        <v>46304.62407263702</v>
      </c>
      <c r="F2047" t="b">
        <v>1</v>
      </c>
      <c r="G2047" t="n">
        <v/>
      </c>
      <c r="H2047" t="inlineStr">
        <is>
          <t>AER</t>
        </is>
      </c>
      <c r="I2047" t="inlineStr">
        <is>
          <t>Aeeris Ltd</t>
        </is>
      </c>
      <c r="J2047" t="inlineStr">
        <is>
          <t>AUD</t>
        </is>
      </c>
      <c r="K2047" s="5" t="inlineStr">
        <is>
          <t>01a1212c-4c04-75ce-bbb2-e3322e18816e</t>
        </is>
      </c>
      <c r="M2047" t="inlineStr">
        <is>
          <t>UNKNOWN</t>
        </is>
      </c>
      <c r="N2047" t="inlineStr">
        <is>
          <t>DEFAULT</t>
        </is>
      </c>
      <c r="Q2047" t="n">
        <v>0</v>
      </c>
      <c r="R2047" t="inlineStr">
        <is>
          <t>AUD</t>
        </is>
      </c>
      <c r="S2047" t="n">
        <v>0</v>
      </c>
      <c r="T2047" t="inlineStr">
        <is>
          <t>AUD</t>
        </is>
      </c>
      <c r="U2047" t="n">
        <v>0</v>
      </c>
    </row>
    <row r="2048">
      <c r="A2048" s="5" t="inlineStr">
        <is>
          <t>01a1212c-6486-72fc-83c3-f72d5506efb3</t>
        </is>
      </c>
      <c r="C2048" s="5" t="inlineStr">
        <is>
          <t>01a1212c-4b57-70cf-80fd-c2192cb3bf81</t>
        </is>
      </c>
      <c r="D2048" s="4" t="n">
        <v>46304.62407267027</v>
      </c>
      <c r="E2048" s="4" t="n">
        <v>46304.62407267036</v>
      </c>
      <c r="F2048" t="b">
        <v>1</v>
      </c>
      <c r="G2048" t="n">
        <v/>
      </c>
      <c r="H2048" t="inlineStr">
        <is>
          <t>PL3</t>
        </is>
      </c>
      <c r="I2048" t="inlineStr">
        <is>
          <t>Patagonia Lithium Ltd</t>
        </is>
      </c>
      <c r="J2048" t="inlineStr">
        <is>
          <t>AUD</t>
        </is>
      </c>
      <c r="K2048" s="5" t="inlineStr">
        <is>
          <t>01a1212c-4c04-75ce-bbb2-e3322e18816e</t>
        </is>
      </c>
      <c r="M2048" t="inlineStr">
        <is>
          <t>UNKNOWN</t>
        </is>
      </c>
      <c r="N2048" t="inlineStr">
        <is>
          <t>DEFAULT</t>
        </is>
      </c>
      <c r="Q2048" t="n">
        <v>0</v>
      </c>
      <c r="R2048" t="inlineStr">
        <is>
          <t>AUD</t>
        </is>
      </c>
      <c r="S2048" t="n">
        <v>0</v>
      </c>
      <c r="T2048" t="inlineStr">
        <is>
          <t>AUD</t>
        </is>
      </c>
      <c r="U2048" t="n">
        <v>0</v>
      </c>
    </row>
    <row r="2049">
      <c r="A2049" s="5" t="inlineStr">
        <is>
          <t>01a1212c-6489-77da-a5b7-9642ab032b4a</t>
        </is>
      </c>
      <c r="C2049" s="5" t="inlineStr">
        <is>
          <t>01a1212c-4b57-70cf-80fd-c2192cb3bf81</t>
        </is>
      </c>
      <c r="D2049" s="4" t="n">
        <v>46304.62407270274</v>
      </c>
      <c r="E2049" s="4" t="n">
        <v>46304.62407270283</v>
      </c>
      <c r="F2049" t="b">
        <v>1</v>
      </c>
      <c r="G2049" t="n">
        <v/>
      </c>
      <c r="H2049" t="inlineStr">
        <is>
          <t>ARC</t>
        </is>
      </c>
      <c r="I2049" t="inlineStr">
        <is>
          <t>ARC Funds Ltd</t>
        </is>
      </c>
      <c r="J2049" t="inlineStr">
        <is>
          <t>AUD</t>
        </is>
      </c>
      <c r="K2049" s="5" t="inlineStr">
        <is>
          <t>01a1212c-4c04-75ce-bbb2-e3322e18816e</t>
        </is>
      </c>
      <c r="M2049" t="inlineStr">
        <is>
          <t>UNKNOWN</t>
        </is>
      </c>
      <c r="N2049" t="inlineStr">
        <is>
          <t>DEFAULT</t>
        </is>
      </c>
      <c r="Q2049" t="n">
        <v>0</v>
      </c>
      <c r="R2049" t="inlineStr">
        <is>
          <t>AUD</t>
        </is>
      </c>
      <c r="S2049" t="n">
        <v>0</v>
      </c>
      <c r="T2049" t="inlineStr">
        <is>
          <t>AUD</t>
        </is>
      </c>
      <c r="U2049" t="n">
        <v>0</v>
      </c>
    </row>
    <row r="2050">
      <c r="A2050" s="5" t="inlineStr">
        <is>
          <t>01a1212c-648c-75f5-9fa4-51e9f518c3f2</t>
        </is>
      </c>
      <c r="C2050" s="5" t="inlineStr">
        <is>
          <t>01a1212c-4b57-70cf-80fd-c2192cb3bf81</t>
        </is>
      </c>
      <c r="D2050" s="4" t="n">
        <v>46304.62407273456</v>
      </c>
      <c r="E2050" s="4" t="n">
        <v>46304.62407273464</v>
      </c>
      <c r="F2050" t="b">
        <v>1</v>
      </c>
      <c r="G2050" t="n">
        <v/>
      </c>
      <c r="H2050" t="inlineStr">
        <is>
          <t>G88</t>
        </is>
      </c>
      <c r="I2050" t="inlineStr">
        <is>
          <t>Golden Mile Resources Ltd</t>
        </is>
      </c>
      <c r="J2050" t="inlineStr">
        <is>
          <t>AUD</t>
        </is>
      </c>
      <c r="K2050" s="5" t="inlineStr">
        <is>
          <t>01a1212c-4c04-75ce-bbb2-e3322e18816e</t>
        </is>
      </c>
      <c r="M2050" t="inlineStr">
        <is>
          <t>UNKNOWN</t>
        </is>
      </c>
      <c r="N2050" t="inlineStr">
        <is>
          <t>DEFAULT</t>
        </is>
      </c>
      <c r="Q2050" t="n">
        <v>0</v>
      </c>
      <c r="R2050" t="inlineStr">
        <is>
          <t>AUD</t>
        </is>
      </c>
      <c r="S2050" t="n">
        <v>0</v>
      </c>
      <c r="T2050" t="inlineStr">
        <is>
          <t>AUD</t>
        </is>
      </c>
      <c r="U2050" t="n">
        <v>0</v>
      </c>
    </row>
    <row r="2051">
      <c r="A2051" s="5" t="inlineStr">
        <is>
          <t>01a1212c-648e-7323-9de7-85fe27d93a8f</t>
        </is>
      </c>
      <c r="C2051" s="5" t="inlineStr">
        <is>
          <t>01a1212c-4b57-70cf-80fd-c2192cb3bf81</t>
        </is>
      </c>
      <c r="D2051" s="4" t="n">
        <v>46304.62407276653</v>
      </c>
      <c r="E2051" s="4" t="n">
        <v>46304.62407276662</v>
      </c>
      <c r="F2051" t="b">
        <v>1</v>
      </c>
      <c r="G2051" t="n">
        <v/>
      </c>
      <c r="H2051" t="inlineStr">
        <is>
          <t>CHR</t>
        </is>
      </c>
      <c r="I2051" t="inlineStr">
        <is>
          <t>Charger Metals NL</t>
        </is>
      </c>
      <c r="J2051" t="inlineStr">
        <is>
          <t>AUD</t>
        </is>
      </c>
      <c r="K2051" s="5" t="inlineStr">
        <is>
          <t>01a1212c-4c04-75ce-bbb2-e3322e18816e</t>
        </is>
      </c>
      <c r="M2051" t="inlineStr">
        <is>
          <t>UNKNOWN</t>
        </is>
      </c>
      <c r="N2051" t="inlineStr">
        <is>
          <t>DEFAULT</t>
        </is>
      </c>
      <c r="Q2051" t="n">
        <v>0</v>
      </c>
      <c r="R2051" t="inlineStr">
        <is>
          <t>AUD</t>
        </is>
      </c>
      <c r="S2051" t="n">
        <v>0</v>
      </c>
      <c r="T2051" t="inlineStr">
        <is>
          <t>AUD</t>
        </is>
      </c>
      <c r="U2051" t="n">
        <v>0</v>
      </c>
    </row>
    <row r="2052">
      <c r="A2052" s="5" t="inlineStr">
        <is>
          <t>01a1212c-6492-7099-8935-11001f9ba7d4</t>
        </is>
      </c>
      <c r="C2052" s="5" t="inlineStr">
        <is>
          <t>01a1212c-4b57-70cf-80fd-c2192cb3bf81</t>
        </is>
      </c>
      <c r="D2052" s="4" t="n">
        <v>46304.62407280401</v>
      </c>
      <c r="E2052" s="4" t="n">
        <v>46304.62407280411</v>
      </c>
      <c r="F2052" t="b">
        <v>1</v>
      </c>
      <c r="G2052" t="n">
        <v/>
      </c>
      <c r="H2052" t="inlineStr">
        <is>
          <t>ENX</t>
        </is>
      </c>
      <c r="I2052" t="inlineStr">
        <is>
          <t>Enegex Ltd</t>
        </is>
      </c>
      <c r="J2052" t="inlineStr">
        <is>
          <t>AUD</t>
        </is>
      </c>
      <c r="K2052" s="5" t="inlineStr">
        <is>
          <t>01a1212c-4c04-75ce-bbb2-e3322e18816e</t>
        </is>
      </c>
      <c r="M2052" t="inlineStr">
        <is>
          <t>UNKNOWN</t>
        </is>
      </c>
      <c r="N2052" t="inlineStr">
        <is>
          <t>DEFAULT</t>
        </is>
      </c>
      <c r="Q2052" t="n">
        <v>0</v>
      </c>
      <c r="R2052" t="inlineStr">
        <is>
          <t>AUD</t>
        </is>
      </c>
      <c r="S2052" t="n">
        <v>0</v>
      </c>
      <c r="T2052" t="inlineStr">
        <is>
          <t>AUD</t>
        </is>
      </c>
      <c r="U2052" t="n">
        <v>0</v>
      </c>
    </row>
    <row r="2053">
      <c r="A2053" s="5" t="inlineStr">
        <is>
          <t>01a1212c-6495-70f0-aa0b-f5074c2ba1f2</t>
        </is>
      </c>
      <c r="C2053" s="5" t="inlineStr">
        <is>
          <t>01a1212c-4b57-70cf-80fd-c2192cb3bf81</t>
        </is>
      </c>
      <c r="D2053" s="4" t="n">
        <v>46304.62407283713</v>
      </c>
      <c r="E2053" s="4" t="n">
        <v>46304.62407283722</v>
      </c>
      <c r="F2053" t="b">
        <v>1</v>
      </c>
      <c r="G2053" t="n">
        <v/>
      </c>
      <c r="H2053" t="inlineStr">
        <is>
          <t>BHD</t>
        </is>
      </c>
      <c r="I2053" t="inlineStr">
        <is>
          <t>Benjamin Hornigold Ltd</t>
        </is>
      </c>
      <c r="J2053" t="inlineStr">
        <is>
          <t>AUD</t>
        </is>
      </c>
      <c r="K2053" s="5" t="inlineStr">
        <is>
          <t>01a1212c-4c04-75ce-bbb2-e3322e18816e</t>
        </is>
      </c>
      <c r="M2053" t="inlineStr">
        <is>
          <t>UNKNOWN</t>
        </is>
      </c>
      <c r="N2053" t="inlineStr">
        <is>
          <t>DEFAULT</t>
        </is>
      </c>
      <c r="Q2053" t="n">
        <v>0</v>
      </c>
      <c r="R2053" t="inlineStr">
        <is>
          <t>AUD</t>
        </is>
      </c>
      <c r="S2053" t="n">
        <v>0</v>
      </c>
      <c r="T2053" t="inlineStr">
        <is>
          <t>AUD</t>
        </is>
      </c>
      <c r="U2053" t="n">
        <v>0</v>
      </c>
    </row>
    <row r="2054">
      <c r="A2054" s="5" t="inlineStr">
        <is>
          <t>01a1212c-6497-72b7-8add-c0382babfe52</t>
        </is>
      </c>
      <c r="C2054" s="5" t="inlineStr">
        <is>
          <t>01a1212c-4b57-70cf-80fd-c2192cb3bf81</t>
        </is>
      </c>
      <c r="D2054" s="4" t="n">
        <v>46304.62407286945</v>
      </c>
      <c r="E2054" s="4" t="n">
        <v>46304.62407286955</v>
      </c>
      <c r="F2054" t="b">
        <v>1</v>
      </c>
      <c r="G2054" t="n">
        <v/>
      </c>
      <c r="H2054" t="inlineStr">
        <is>
          <t>SLM</t>
        </is>
      </c>
      <c r="I2054" t="inlineStr">
        <is>
          <t>Solis Minerals Ltd</t>
        </is>
      </c>
      <c r="J2054" t="inlineStr">
        <is>
          <t>AUD</t>
        </is>
      </c>
      <c r="K2054" s="5" t="inlineStr">
        <is>
          <t>01a1212c-4c04-75ce-bbb2-e3322e18816e</t>
        </is>
      </c>
      <c r="M2054" t="inlineStr">
        <is>
          <t>UNKNOWN</t>
        </is>
      </c>
      <c r="N2054" t="inlineStr">
        <is>
          <t>DEFAULT</t>
        </is>
      </c>
      <c r="Q2054" t="n">
        <v>0</v>
      </c>
      <c r="R2054" t="inlineStr">
        <is>
          <t>AUD</t>
        </is>
      </c>
      <c r="S2054" t="n">
        <v>0</v>
      </c>
      <c r="T2054" t="inlineStr">
        <is>
          <t>AUD</t>
        </is>
      </c>
      <c r="U2054" t="n">
        <v>0</v>
      </c>
    </row>
    <row r="2055">
      <c r="A2055" s="5" t="inlineStr">
        <is>
          <t>01a1212c-649a-7061-88b1-c51dfa4566f1</t>
        </is>
      </c>
      <c r="C2055" s="5" t="inlineStr">
        <is>
          <t>01a1212c-4b57-70cf-80fd-c2192cb3bf81</t>
        </is>
      </c>
      <c r="D2055" s="4" t="n">
        <v>46304.62407290148</v>
      </c>
      <c r="E2055" s="4" t="n">
        <v>46304.62407290156</v>
      </c>
      <c r="F2055" t="b">
        <v>1</v>
      </c>
      <c r="G2055" t="n">
        <v/>
      </c>
      <c r="H2055" t="inlineStr">
        <is>
          <t>M8S</t>
        </is>
      </c>
      <c r="I2055" t="inlineStr">
        <is>
          <t>M8 Sustainable Ltd</t>
        </is>
      </c>
      <c r="J2055" t="inlineStr">
        <is>
          <t>AUD</t>
        </is>
      </c>
      <c r="K2055" s="5" t="inlineStr">
        <is>
          <t>01a1212c-4c04-75ce-bbb2-e3322e18816e</t>
        </is>
      </c>
      <c r="M2055" t="inlineStr">
        <is>
          <t>UNKNOWN</t>
        </is>
      </c>
      <c r="N2055" t="inlineStr">
        <is>
          <t>DEFAULT</t>
        </is>
      </c>
      <c r="Q2055" t="n">
        <v>0</v>
      </c>
      <c r="R2055" t="inlineStr">
        <is>
          <t>AUD</t>
        </is>
      </c>
      <c r="S2055" t="n">
        <v>0</v>
      </c>
      <c r="T2055" t="inlineStr">
        <is>
          <t>AUD</t>
        </is>
      </c>
      <c r="U2055" t="n">
        <v>0</v>
      </c>
    </row>
    <row r="2056">
      <c r="A2056" s="5" t="inlineStr">
        <is>
          <t>01a1212c-649d-778b-bc8b-2c1630278b82</t>
        </is>
      </c>
      <c r="C2056" s="5" t="inlineStr">
        <is>
          <t>01a1212c-4b57-70cf-80fd-c2192cb3bf81</t>
        </is>
      </c>
      <c r="D2056" s="4" t="n">
        <v>46304.62407293291</v>
      </c>
      <c r="E2056" s="4" t="n">
        <v>46304.62407293299</v>
      </c>
      <c r="F2056" t="b">
        <v>1</v>
      </c>
      <c r="G2056" t="n">
        <v/>
      </c>
      <c r="H2056" t="inlineStr">
        <is>
          <t>ENV</t>
        </is>
      </c>
      <c r="I2056" t="inlineStr">
        <is>
          <t>Enova Mining Ltd</t>
        </is>
      </c>
      <c r="J2056" t="inlineStr">
        <is>
          <t>AUD</t>
        </is>
      </c>
      <c r="K2056" s="5" t="inlineStr">
        <is>
          <t>01a1212c-4c04-75ce-bbb2-e3322e18816e</t>
        </is>
      </c>
      <c r="M2056" t="inlineStr">
        <is>
          <t>UNKNOWN</t>
        </is>
      </c>
      <c r="N2056" t="inlineStr">
        <is>
          <t>DEFAULT</t>
        </is>
      </c>
      <c r="Q2056" t="n">
        <v>0</v>
      </c>
      <c r="R2056" t="inlineStr">
        <is>
          <t>AUD</t>
        </is>
      </c>
      <c r="S2056" t="n">
        <v>0</v>
      </c>
      <c r="T2056" t="inlineStr">
        <is>
          <t>AUD</t>
        </is>
      </c>
      <c r="U2056" t="n">
        <v>0</v>
      </c>
    </row>
    <row r="2057">
      <c r="A2057" s="5" t="inlineStr">
        <is>
          <t>01a1212c-64a0-7536-806f-b29929fe1fc8</t>
        </is>
      </c>
      <c r="C2057" s="5" t="inlineStr">
        <is>
          <t>01a1212c-4b57-70cf-80fd-c2192cb3bf81</t>
        </is>
      </c>
      <c r="D2057" s="4" t="n">
        <v>46304.62407296775</v>
      </c>
      <c r="E2057" s="4" t="n">
        <v>46304.62407296785</v>
      </c>
      <c r="F2057" t="b">
        <v>1</v>
      </c>
      <c r="G2057" t="n">
        <v/>
      </c>
      <c r="H2057" t="inlineStr">
        <is>
          <t>UVA</t>
        </is>
      </c>
      <c r="I2057" t="inlineStr">
        <is>
          <t>Uvre Ltd</t>
        </is>
      </c>
      <c r="J2057" t="inlineStr">
        <is>
          <t>AUD</t>
        </is>
      </c>
      <c r="K2057" s="5" t="inlineStr">
        <is>
          <t>01a1212c-4c04-75ce-bbb2-e3322e18816e</t>
        </is>
      </c>
      <c r="M2057" t="inlineStr">
        <is>
          <t>UNKNOWN</t>
        </is>
      </c>
      <c r="N2057" t="inlineStr">
        <is>
          <t>DEFAULT</t>
        </is>
      </c>
      <c r="Q2057" t="n">
        <v>0</v>
      </c>
      <c r="R2057" t="inlineStr">
        <is>
          <t>AUD</t>
        </is>
      </c>
      <c r="S2057" t="n">
        <v>0</v>
      </c>
      <c r="T2057" t="inlineStr">
        <is>
          <t>AUD</t>
        </is>
      </c>
      <c r="U2057" t="n">
        <v>0</v>
      </c>
    </row>
    <row r="2058">
      <c r="A2058" s="5" t="inlineStr">
        <is>
          <t>01a1212c-64a3-7150-8824-6c76c64c16eb</t>
        </is>
      </c>
      <c r="C2058" s="5" t="inlineStr">
        <is>
          <t>01a1212c-4b57-70cf-80fd-c2192cb3bf81</t>
        </is>
      </c>
      <c r="D2058" s="4" t="n">
        <v>46304.62407300065</v>
      </c>
      <c r="E2058" s="4" t="n">
        <v>46304.62407300073</v>
      </c>
      <c r="F2058" t="b">
        <v>1</v>
      </c>
      <c r="G2058" t="n">
        <v/>
      </c>
      <c r="H2058" t="inlineStr">
        <is>
          <t>SNX</t>
        </is>
      </c>
      <c r="I2058" t="inlineStr">
        <is>
          <t>Sierra Nevada Gold Inc</t>
        </is>
      </c>
      <c r="J2058" t="inlineStr">
        <is>
          <t>AUD</t>
        </is>
      </c>
      <c r="K2058" s="5" t="inlineStr">
        <is>
          <t>01a1212c-4c04-75ce-bbb2-e3322e18816e</t>
        </is>
      </c>
      <c r="M2058" t="inlineStr">
        <is>
          <t>UNKNOWN</t>
        </is>
      </c>
      <c r="N2058" t="inlineStr">
        <is>
          <t>DEFAULT</t>
        </is>
      </c>
      <c r="Q2058" t="n">
        <v>0</v>
      </c>
      <c r="R2058" t="inlineStr">
        <is>
          <t>AUD</t>
        </is>
      </c>
      <c r="S2058" t="n">
        <v>0</v>
      </c>
      <c r="T2058" t="inlineStr">
        <is>
          <t>AUD</t>
        </is>
      </c>
      <c r="U2058" t="n">
        <v>0</v>
      </c>
    </row>
    <row r="2059">
      <c r="A2059" s="5" t="inlineStr">
        <is>
          <t>01a1212c-64a5-7000-8954-448d29cecfc1</t>
        </is>
      </c>
      <c r="C2059" s="5" t="inlineStr">
        <is>
          <t>01a1212c-4b57-70cf-80fd-c2192cb3bf81</t>
        </is>
      </c>
      <c r="D2059" s="4" t="n">
        <v>46304.62407303182</v>
      </c>
      <c r="E2059" s="4" t="n">
        <v>46304.6240730319</v>
      </c>
      <c r="F2059" t="b">
        <v>1</v>
      </c>
      <c r="G2059" t="n">
        <v/>
      </c>
      <c r="H2059" t="inlineStr">
        <is>
          <t>R8R</t>
        </is>
      </c>
      <c r="I2059" t="inlineStr">
        <is>
          <t>REGENER8 Resources NL</t>
        </is>
      </c>
      <c r="J2059" t="inlineStr">
        <is>
          <t>AUD</t>
        </is>
      </c>
      <c r="K2059" s="5" t="inlineStr">
        <is>
          <t>01a1212c-4c04-75ce-bbb2-e3322e18816e</t>
        </is>
      </c>
      <c r="M2059" t="inlineStr">
        <is>
          <t>UNKNOWN</t>
        </is>
      </c>
      <c r="N2059" t="inlineStr">
        <is>
          <t>DEFAULT</t>
        </is>
      </c>
      <c r="Q2059" t="n">
        <v>0</v>
      </c>
      <c r="R2059" t="inlineStr">
        <is>
          <t>AUD</t>
        </is>
      </c>
      <c r="S2059" t="n">
        <v>0</v>
      </c>
      <c r="T2059" t="inlineStr">
        <is>
          <t>AUD</t>
        </is>
      </c>
      <c r="U2059" t="n">
        <v>0</v>
      </c>
    </row>
    <row r="2060">
      <c r="A2060" s="5" t="inlineStr">
        <is>
          <t>01a1212c-64a8-75d7-be55-cd62c137803c</t>
        </is>
      </c>
      <c r="C2060" s="5" t="inlineStr">
        <is>
          <t>01a1212c-4b57-70cf-80fd-c2192cb3bf81</t>
        </is>
      </c>
      <c r="D2060" s="4" t="n">
        <v>46304.62407306283</v>
      </c>
      <c r="E2060" s="4" t="n">
        <v>46304.62407306291</v>
      </c>
      <c r="F2060" t="b">
        <v>1</v>
      </c>
      <c r="G2060" t="n">
        <v/>
      </c>
      <c r="H2060" t="inlineStr">
        <is>
          <t>NTM</t>
        </is>
      </c>
      <c r="I2060" t="inlineStr">
        <is>
          <t>NT Minerals Ltd</t>
        </is>
      </c>
      <c r="J2060" t="inlineStr">
        <is>
          <t>AUD</t>
        </is>
      </c>
      <c r="K2060" s="5" t="inlineStr">
        <is>
          <t>01a1212c-4c04-75ce-bbb2-e3322e18816e</t>
        </is>
      </c>
      <c r="M2060" t="inlineStr">
        <is>
          <t>UNKNOWN</t>
        </is>
      </c>
      <c r="N2060" t="inlineStr">
        <is>
          <t>DEFAULT</t>
        </is>
      </c>
      <c r="Q2060" t="n">
        <v>0</v>
      </c>
      <c r="R2060" t="inlineStr">
        <is>
          <t>AUD</t>
        </is>
      </c>
      <c r="S2060" t="n">
        <v>0</v>
      </c>
      <c r="T2060" t="inlineStr">
        <is>
          <t>AUD</t>
        </is>
      </c>
      <c r="U2060" t="n">
        <v>0</v>
      </c>
    </row>
    <row r="2061">
      <c r="A2061" s="5" t="inlineStr">
        <is>
          <t>01a1212c-64ab-7787-8df6-74491569493d</t>
        </is>
      </c>
      <c r="C2061" s="5" t="inlineStr">
        <is>
          <t>01a1212c-4b57-70cf-80fd-c2192cb3bf81</t>
        </is>
      </c>
      <c r="D2061" s="4" t="n">
        <v>46304.62407309673</v>
      </c>
      <c r="E2061" s="4" t="n">
        <v>46304.62407309681</v>
      </c>
      <c r="F2061" t="b">
        <v>1</v>
      </c>
      <c r="G2061" t="n">
        <v/>
      </c>
      <c r="H2061" t="inlineStr">
        <is>
          <t>SFG</t>
        </is>
      </c>
      <c r="I2061" t="inlineStr">
        <is>
          <t>Seafarms Group Ltd</t>
        </is>
      </c>
      <c r="J2061" t="inlineStr">
        <is>
          <t>AUD</t>
        </is>
      </c>
      <c r="K2061" s="5" t="inlineStr">
        <is>
          <t>01a1212c-4c04-75ce-bbb2-e3322e18816e</t>
        </is>
      </c>
      <c r="M2061" t="inlineStr">
        <is>
          <t>UNKNOWN</t>
        </is>
      </c>
      <c r="N2061" t="inlineStr">
        <is>
          <t>DEFAULT</t>
        </is>
      </c>
      <c r="Q2061" t="n">
        <v>0</v>
      </c>
      <c r="R2061" t="inlineStr">
        <is>
          <t>AUD</t>
        </is>
      </c>
      <c r="S2061" t="n">
        <v>0</v>
      </c>
      <c r="T2061" t="inlineStr">
        <is>
          <t>AUD</t>
        </is>
      </c>
      <c r="U2061" t="n">
        <v>0</v>
      </c>
    </row>
    <row r="2062">
      <c r="A2062" s="5" t="inlineStr">
        <is>
          <t>01a1212c-64ae-75b1-885d-780102d2bd42</t>
        </is>
      </c>
      <c r="C2062" s="5" t="inlineStr">
        <is>
          <t>01a1212c-4b57-70cf-80fd-c2192cb3bf81</t>
        </is>
      </c>
      <c r="D2062" s="4" t="n">
        <v>46304.62407312784</v>
      </c>
      <c r="E2062" s="4" t="n">
        <v>46304.62407312792</v>
      </c>
      <c r="F2062" t="b">
        <v>1</v>
      </c>
      <c r="G2062" t="n">
        <v/>
      </c>
      <c r="H2062" t="inlineStr">
        <is>
          <t>BIM</t>
        </is>
      </c>
      <c r="I2062" t="inlineStr">
        <is>
          <t>Bindi Metals Ltd</t>
        </is>
      </c>
      <c r="J2062" t="inlineStr">
        <is>
          <t>AUD</t>
        </is>
      </c>
      <c r="K2062" s="5" t="inlineStr">
        <is>
          <t>01a1212c-4c04-75ce-bbb2-e3322e18816e</t>
        </is>
      </c>
      <c r="M2062" t="inlineStr">
        <is>
          <t>UNKNOWN</t>
        </is>
      </c>
      <c r="N2062" t="inlineStr">
        <is>
          <t>DEFAULT</t>
        </is>
      </c>
      <c r="Q2062" t="n">
        <v>0</v>
      </c>
      <c r="R2062" t="inlineStr">
        <is>
          <t>AUD</t>
        </is>
      </c>
      <c r="S2062" t="n">
        <v>0</v>
      </c>
      <c r="T2062" t="inlineStr">
        <is>
          <t>AUD</t>
        </is>
      </c>
      <c r="U2062" t="n">
        <v>0</v>
      </c>
    </row>
    <row r="2063">
      <c r="A2063" s="5" t="inlineStr">
        <is>
          <t>01a1212c-64b1-7216-a6d5-befce5ac41a7</t>
        </is>
      </c>
      <c r="C2063" s="5" t="inlineStr">
        <is>
          <t>01a1212c-4b57-70cf-80fd-c2192cb3bf81</t>
        </is>
      </c>
      <c r="D2063" s="4" t="n">
        <v>46304.62407316115</v>
      </c>
      <c r="E2063" s="4" t="n">
        <v>46304.62407316123</v>
      </c>
      <c r="F2063" t="b">
        <v>1</v>
      </c>
      <c r="G2063" t="n">
        <v/>
      </c>
      <c r="H2063" t="inlineStr">
        <is>
          <t>TAS</t>
        </is>
      </c>
      <c r="I2063" t="inlineStr">
        <is>
          <t>Tasman Resources Ltd</t>
        </is>
      </c>
      <c r="J2063" t="inlineStr">
        <is>
          <t>AUD</t>
        </is>
      </c>
      <c r="K2063" s="5" t="inlineStr">
        <is>
          <t>01a1212c-4c04-75ce-bbb2-e3322e18816e</t>
        </is>
      </c>
      <c r="M2063" t="inlineStr">
        <is>
          <t>UNKNOWN</t>
        </is>
      </c>
      <c r="N2063" t="inlineStr">
        <is>
          <t>DEFAULT</t>
        </is>
      </c>
      <c r="Q2063" t="n">
        <v>0</v>
      </c>
      <c r="R2063" t="inlineStr">
        <is>
          <t>AUD</t>
        </is>
      </c>
      <c r="S2063" t="n">
        <v>0</v>
      </c>
      <c r="T2063" t="inlineStr">
        <is>
          <t>AUD</t>
        </is>
      </c>
      <c r="U2063" t="n">
        <v>0</v>
      </c>
    </row>
    <row r="2064">
      <c r="A2064" s="5" t="inlineStr">
        <is>
          <t>01a1212c-64b3-74f1-a156-d842ac8db3ba</t>
        </is>
      </c>
      <c r="C2064" s="5" t="inlineStr">
        <is>
          <t>01a1212c-4b57-70cf-80fd-c2192cb3bf81</t>
        </is>
      </c>
      <c r="D2064" s="4" t="n">
        <v>46304.62407319277</v>
      </c>
      <c r="E2064" s="4" t="n">
        <v>46304.62407319285</v>
      </c>
      <c r="F2064" t="b">
        <v>1</v>
      </c>
      <c r="G2064" t="n">
        <v/>
      </c>
      <c r="H2064" t="inlineStr">
        <is>
          <t>YOW</t>
        </is>
      </c>
      <c r="I2064" t="inlineStr">
        <is>
          <t>Yowie Group Ltd</t>
        </is>
      </c>
      <c r="J2064" t="inlineStr">
        <is>
          <t>AUD</t>
        </is>
      </c>
      <c r="K2064" s="5" t="inlineStr">
        <is>
          <t>01a1212c-4c04-75ce-bbb2-e3322e18816e</t>
        </is>
      </c>
      <c r="M2064" t="inlineStr">
        <is>
          <t>UNKNOWN</t>
        </is>
      </c>
      <c r="N2064" t="inlineStr">
        <is>
          <t>DEFAULT</t>
        </is>
      </c>
      <c r="Q2064" t="n">
        <v>0</v>
      </c>
      <c r="R2064" t="inlineStr">
        <is>
          <t>AUD</t>
        </is>
      </c>
      <c r="S2064" t="n">
        <v>0</v>
      </c>
      <c r="T2064" t="inlineStr">
        <is>
          <t>AUD</t>
        </is>
      </c>
      <c r="U2064" t="n">
        <v>0</v>
      </c>
    </row>
    <row r="2065">
      <c r="A2065" s="5" t="inlineStr">
        <is>
          <t>01a1212c-64b6-74b6-8841-7d5215f029e7</t>
        </is>
      </c>
      <c r="C2065" s="5" t="inlineStr">
        <is>
          <t>01a1212c-4b57-70cf-80fd-c2192cb3bf81</t>
        </is>
      </c>
      <c r="D2065" s="4" t="n">
        <v>46304.62407322396</v>
      </c>
      <c r="E2065" s="4" t="n">
        <v>46304.62407322404</v>
      </c>
      <c r="F2065" t="b">
        <v>1</v>
      </c>
      <c r="G2065" t="n">
        <v/>
      </c>
      <c r="H2065" t="inlineStr">
        <is>
          <t>AUH</t>
        </is>
      </c>
      <c r="I2065" t="inlineStr">
        <is>
          <t>Austchina Holdings Ltd</t>
        </is>
      </c>
      <c r="J2065" t="inlineStr">
        <is>
          <t>AUD</t>
        </is>
      </c>
      <c r="K2065" s="5" t="inlineStr">
        <is>
          <t>01a1212c-4c04-75ce-bbb2-e3322e18816e</t>
        </is>
      </c>
      <c r="M2065" t="inlineStr">
        <is>
          <t>UNKNOWN</t>
        </is>
      </c>
      <c r="N2065" t="inlineStr">
        <is>
          <t>DEFAULT</t>
        </is>
      </c>
      <c r="Q2065" t="n">
        <v>0</v>
      </c>
      <c r="R2065" t="inlineStr">
        <is>
          <t>AUD</t>
        </is>
      </c>
      <c r="S2065" t="n">
        <v>0</v>
      </c>
      <c r="T2065" t="inlineStr">
        <is>
          <t>AUD</t>
        </is>
      </c>
      <c r="U2065" t="n">
        <v>0</v>
      </c>
    </row>
    <row r="2066">
      <c r="A2066" s="5" t="inlineStr">
        <is>
          <t>01a1212c-64b9-74fa-89a3-4c9c65eaeaba</t>
        </is>
      </c>
      <c r="C2066" s="5" t="inlineStr">
        <is>
          <t>01a1212c-4b57-70cf-80fd-c2192cb3bf81</t>
        </is>
      </c>
      <c r="D2066" s="4" t="n">
        <v>46304.62407325715</v>
      </c>
      <c r="E2066" s="4" t="n">
        <v>46304.62407325722</v>
      </c>
      <c r="F2066" t="b">
        <v>1</v>
      </c>
      <c r="G2066" t="n">
        <v/>
      </c>
      <c r="H2066" t="inlineStr">
        <is>
          <t>RB6</t>
        </is>
      </c>
      <c r="I2066" t="inlineStr">
        <is>
          <t>RUBIX Resources Ltd</t>
        </is>
      </c>
      <c r="J2066" t="inlineStr">
        <is>
          <t>AUD</t>
        </is>
      </c>
      <c r="K2066" s="5" t="inlineStr">
        <is>
          <t>01a1212c-4c04-75ce-bbb2-e3322e18816e</t>
        </is>
      </c>
      <c r="M2066" t="inlineStr">
        <is>
          <t>UNKNOWN</t>
        </is>
      </c>
      <c r="N2066" t="inlineStr">
        <is>
          <t>DEFAULT</t>
        </is>
      </c>
      <c r="Q2066" t="n">
        <v>0</v>
      </c>
      <c r="R2066" t="inlineStr">
        <is>
          <t>AUD</t>
        </is>
      </c>
      <c r="S2066" t="n">
        <v>0</v>
      </c>
      <c r="T2066" t="inlineStr">
        <is>
          <t>AUD</t>
        </is>
      </c>
      <c r="U2066" t="n">
        <v>0</v>
      </c>
    </row>
    <row r="2067">
      <c r="A2067" s="5" t="inlineStr">
        <is>
          <t>01a1212c-64bb-76a9-abef-4275e61eba4e</t>
        </is>
      </c>
      <c r="C2067" s="5" t="inlineStr">
        <is>
          <t>01a1212c-4b57-70cf-80fd-c2192cb3bf81</t>
        </is>
      </c>
      <c r="D2067" s="4" t="n">
        <v>46304.62407328781</v>
      </c>
      <c r="E2067" s="4" t="n">
        <v>46304.62407328788</v>
      </c>
      <c r="F2067" t="b">
        <v>1</v>
      </c>
      <c r="G2067" t="n">
        <v/>
      </c>
      <c r="H2067" t="inlineStr">
        <is>
          <t>SHE</t>
        </is>
      </c>
      <c r="I2067" t="inlineStr">
        <is>
          <t>Stonehorse Energy Ltd</t>
        </is>
      </c>
      <c r="J2067" t="inlineStr">
        <is>
          <t>AUD</t>
        </is>
      </c>
      <c r="K2067" s="5" t="inlineStr">
        <is>
          <t>01a1212c-4c04-75ce-bbb2-e3322e18816e</t>
        </is>
      </c>
      <c r="M2067" t="inlineStr">
        <is>
          <t>UNKNOWN</t>
        </is>
      </c>
      <c r="N2067" t="inlineStr">
        <is>
          <t>DEFAULT</t>
        </is>
      </c>
      <c r="Q2067" t="n">
        <v>0</v>
      </c>
      <c r="R2067" t="inlineStr">
        <is>
          <t>AUD</t>
        </is>
      </c>
      <c r="S2067" t="n">
        <v>0</v>
      </c>
      <c r="T2067" t="inlineStr">
        <is>
          <t>AUD</t>
        </is>
      </c>
      <c r="U2067" t="n">
        <v>0</v>
      </c>
    </row>
    <row r="2068">
      <c r="A2068" s="5" t="inlineStr">
        <is>
          <t>01a1212c-64be-74f5-9a0e-65786cd14205</t>
        </is>
      </c>
      <c r="C2068" s="5" t="inlineStr">
        <is>
          <t>01a1212c-4b57-70cf-80fd-c2192cb3bf81</t>
        </is>
      </c>
      <c r="D2068" s="4" t="n">
        <v>46304.62407331856</v>
      </c>
      <c r="E2068" s="4" t="n">
        <v>46304.62407331864</v>
      </c>
      <c r="F2068" t="b">
        <v>1</v>
      </c>
      <c r="G2068" t="n">
        <v/>
      </c>
      <c r="H2068" t="inlineStr">
        <is>
          <t>RLG</t>
        </is>
      </c>
      <c r="I2068" t="inlineStr">
        <is>
          <t>Roolife Group Ltd</t>
        </is>
      </c>
      <c r="J2068" t="inlineStr">
        <is>
          <t>AUD</t>
        </is>
      </c>
      <c r="K2068" s="5" t="inlineStr">
        <is>
          <t>01a1212c-4c04-75ce-bbb2-e3322e18816e</t>
        </is>
      </c>
      <c r="M2068" t="inlineStr">
        <is>
          <t>UNKNOWN</t>
        </is>
      </c>
      <c r="N2068" t="inlineStr">
        <is>
          <t>DEFAULT</t>
        </is>
      </c>
      <c r="Q2068" t="n">
        <v>0</v>
      </c>
      <c r="R2068" t="inlineStr">
        <is>
          <t>AUD</t>
        </is>
      </c>
      <c r="S2068" t="n">
        <v>0</v>
      </c>
      <c r="T2068" t="inlineStr">
        <is>
          <t>AUD</t>
        </is>
      </c>
      <c r="U2068" t="n">
        <v>0</v>
      </c>
    </row>
    <row r="2069">
      <c r="A2069" s="5" t="inlineStr">
        <is>
          <t>01a1212c-64c1-7732-be29-372b6e738fe5</t>
        </is>
      </c>
      <c r="C2069" s="5" t="inlineStr">
        <is>
          <t>01a1212c-4b57-70cf-80fd-c2192cb3bf81</t>
        </is>
      </c>
      <c r="D2069" s="4" t="n">
        <v>46304.62407335142</v>
      </c>
      <c r="E2069" s="4" t="n">
        <v>46304.62407335152</v>
      </c>
      <c r="F2069" t="b">
        <v>1</v>
      </c>
      <c r="G2069" t="n">
        <v/>
      </c>
      <c r="H2069" t="inlineStr">
        <is>
          <t>SVG</t>
        </is>
      </c>
      <c r="I2069" t="inlineStr">
        <is>
          <t>Savannah Goldfields Ltd</t>
        </is>
      </c>
      <c r="J2069" t="inlineStr">
        <is>
          <t>AUD</t>
        </is>
      </c>
      <c r="K2069" s="5" t="inlineStr">
        <is>
          <t>01a1212c-4c04-75ce-bbb2-e3322e18816e</t>
        </is>
      </c>
      <c r="M2069" t="inlineStr">
        <is>
          <t>UNKNOWN</t>
        </is>
      </c>
      <c r="N2069" t="inlineStr">
        <is>
          <t>DEFAULT</t>
        </is>
      </c>
      <c r="Q2069" t="n">
        <v>0</v>
      </c>
      <c r="R2069" t="inlineStr">
        <is>
          <t>AUD</t>
        </is>
      </c>
      <c r="S2069" t="n">
        <v>0</v>
      </c>
      <c r="T2069" t="inlineStr">
        <is>
          <t>AUD</t>
        </is>
      </c>
      <c r="U2069" t="n">
        <v>0</v>
      </c>
    </row>
    <row r="2070">
      <c r="A2070" s="5" t="inlineStr">
        <is>
          <t>01a1212c-64c4-76e1-9d4c-dc45460ee8c3</t>
        </is>
      </c>
      <c r="C2070" s="5" t="inlineStr">
        <is>
          <t>01a1212c-4b57-70cf-80fd-c2192cb3bf81</t>
        </is>
      </c>
      <c r="D2070" s="4" t="n">
        <v>46304.62407338482</v>
      </c>
      <c r="E2070" s="4" t="n">
        <v>46304.6240733849</v>
      </c>
      <c r="F2070" t="b">
        <v>1</v>
      </c>
      <c r="G2070" t="n">
        <v/>
      </c>
      <c r="H2070" t="inlineStr">
        <is>
          <t>HPP</t>
        </is>
      </c>
      <c r="I2070" t="inlineStr">
        <is>
          <t>Health and Plant Protein Group Ltd</t>
        </is>
      </c>
      <c r="J2070" t="inlineStr">
        <is>
          <t>AUD</t>
        </is>
      </c>
      <c r="K2070" s="5" t="inlineStr">
        <is>
          <t>01a1212c-4c04-75ce-bbb2-e3322e18816e</t>
        </is>
      </c>
      <c r="M2070" t="inlineStr">
        <is>
          <t>UNKNOWN</t>
        </is>
      </c>
      <c r="N2070" t="inlineStr">
        <is>
          <t>DEFAULT</t>
        </is>
      </c>
      <c r="Q2070" t="n">
        <v>0</v>
      </c>
      <c r="R2070" t="inlineStr">
        <is>
          <t>AUD</t>
        </is>
      </c>
      <c r="S2070" t="n">
        <v>0</v>
      </c>
      <c r="T2070" t="inlineStr">
        <is>
          <t>AUD</t>
        </is>
      </c>
      <c r="U2070" t="n">
        <v>0</v>
      </c>
    </row>
    <row r="2071">
      <c r="A2071" s="5" t="inlineStr">
        <is>
          <t>01a1212c-64c7-74bf-a72c-af07b38116bb</t>
        </is>
      </c>
      <c r="C2071" s="5" t="inlineStr">
        <is>
          <t>01a1212c-4b57-70cf-80fd-c2192cb3bf81</t>
        </is>
      </c>
      <c r="D2071" s="4" t="n">
        <v>46304.62407341572</v>
      </c>
      <c r="E2071" s="4" t="n">
        <v>46304.62407341578</v>
      </c>
      <c r="F2071" t="b">
        <v>1</v>
      </c>
      <c r="G2071" t="n">
        <v/>
      </c>
      <c r="H2071" t="inlineStr">
        <is>
          <t>PRX</t>
        </is>
      </c>
      <c r="I2071" t="inlineStr">
        <is>
          <t>Prodigy Gold NL</t>
        </is>
      </c>
      <c r="J2071" t="inlineStr">
        <is>
          <t>AUD</t>
        </is>
      </c>
      <c r="K2071" s="5" t="inlineStr">
        <is>
          <t>01a1212c-4c04-75ce-bbb2-e3322e18816e</t>
        </is>
      </c>
      <c r="M2071" t="inlineStr">
        <is>
          <t>UNKNOWN</t>
        </is>
      </c>
      <c r="N2071" t="inlineStr">
        <is>
          <t>DEFAULT</t>
        </is>
      </c>
      <c r="Q2071" t="n">
        <v>0</v>
      </c>
      <c r="R2071" t="inlineStr">
        <is>
          <t>AUD</t>
        </is>
      </c>
      <c r="S2071" t="n">
        <v>0</v>
      </c>
      <c r="T2071" t="inlineStr">
        <is>
          <t>AUD</t>
        </is>
      </c>
      <c r="U2071" t="n">
        <v>0</v>
      </c>
    </row>
    <row r="2072">
      <c r="A2072" s="5" t="inlineStr">
        <is>
          <t>01a1212c-64c9-7106-9985-a9110410a765</t>
        </is>
      </c>
      <c r="C2072" s="5" t="inlineStr">
        <is>
          <t>01a1212c-4b57-70cf-80fd-c2192cb3bf81</t>
        </is>
      </c>
      <c r="D2072" s="4" t="n">
        <v>46304.6240734463</v>
      </c>
      <c r="E2072" s="4" t="n">
        <v>46304.62407344638</v>
      </c>
      <c r="F2072" t="b">
        <v>1</v>
      </c>
      <c r="G2072" t="n">
        <v/>
      </c>
      <c r="H2072" t="inlineStr">
        <is>
          <t>GTH</t>
        </is>
      </c>
      <c r="I2072" t="inlineStr">
        <is>
          <t>Gathid Ltd</t>
        </is>
      </c>
      <c r="J2072" t="inlineStr">
        <is>
          <t>AUD</t>
        </is>
      </c>
      <c r="K2072" s="5" t="inlineStr">
        <is>
          <t>01a1212c-4c04-75ce-bbb2-e3322e18816e</t>
        </is>
      </c>
      <c r="M2072" t="inlineStr">
        <is>
          <t>UNKNOWN</t>
        </is>
      </c>
      <c r="N2072" t="inlineStr">
        <is>
          <t>DEFAULT</t>
        </is>
      </c>
      <c r="Q2072" t="n">
        <v>0</v>
      </c>
      <c r="R2072" t="inlineStr">
        <is>
          <t>AUD</t>
        </is>
      </c>
      <c r="S2072" t="n">
        <v>0</v>
      </c>
      <c r="T2072" t="inlineStr">
        <is>
          <t>AUD</t>
        </is>
      </c>
      <c r="U2072" t="n">
        <v>0</v>
      </c>
    </row>
    <row r="2073">
      <c r="A2073" s="5" t="inlineStr">
        <is>
          <t>01a1212c-64cc-763d-a51f-b3f1b69b8e1c</t>
        </is>
      </c>
      <c r="C2073" s="5" t="inlineStr">
        <is>
          <t>01a1212c-4b57-70cf-80fd-c2192cb3bf81</t>
        </is>
      </c>
      <c r="D2073" s="4" t="n">
        <v>46304.62407347704</v>
      </c>
      <c r="E2073" s="4" t="n">
        <v>46304.62407347711</v>
      </c>
      <c r="F2073" t="b">
        <v>1</v>
      </c>
      <c r="G2073" t="n">
        <v/>
      </c>
      <c r="H2073" t="inlineStr">
        <is>
          <t>FRX</t>
        </is>
      </c>
      <c r="I2073" t="inlineStr">
        <is>
          <t>Flexiroam Ltd</t>
        </is>
      </c>
      <c r="J2073" t="inlineStr">
        <is>
          <t>AUD</t>
        </is>
      </c>
      <c r="K2073" s="5" t="inlineStr">
        <is>
          <t>01a1212c-4c04-75ce-bbb2-e3322e18816e</t>
        </is>
      </c>
      <c r="M2073" t="inlineStr">
        <is>
          <t>UNKNOWN</t>
        </is>
      </c>
      <c r="N2073" t="inlineStr">
        <is>
          <t>DEFAULT</t>
        </is>
      </c>
      <c r="Q2073" t="n">
        <v>0</v>
      </c>
      <c r="R2073" t="inlineStr">
        <is>
          <t>AUD</t>
        </is>
      </c>
      <c r="S2073" t="n">
        <v>0</v>
      </c>
      <c r="T2073" t="inlineStr">
        <is>
          <t>AUD</t>
        </is>
      </c>
      <c r="U2073" t="n">
        <v>0</v>
      </c>
    </row>
    <row r="2074">
      <c r="A2074" s="5" t="inlineStr">
        <is>
          <t>01a1212c-64cf-7312-b418-4cd34c9526b9</t>
        </is>
      </c>
      <c r="C2074" s="5" t="inlineStr">
        <is>
          <t>01a1212c-4b57-70cf-80fd-c2192cb3bf81</t>
        </is>
      </c>
      <c r="D2074" s="4" t="n">
        <v>46304.62407350975</v>
      </c>
      <c r="E2074" s="4" t="n">
        <v>46304.62407350983</v>
      </c>
      <c r="F2074" t="b">
        <v>1</v>
      </c>
      <c r="G2074" t="n">
        <v/>
      </c>
      <c r="H2074" t="inlineStr">
        <is>
          <t>NFL</t>
        </is>
      </c>
      <c r="I2074" t="inlineStr">
        <is>
          <t>Norfolk Metals Ltd</t>
        </is>
      </c>
      <c r="J2074" t="inlineStr">
        <is>
          <t>AUD</t>
        </is>
      </c>
      <c r="K2074" s="5" t="inlineStr">
        <is>
          <t>01a1212c-4c04-75ce-bbb2-e3322e18816e</t>
        </is>
      </c>
      <c r="M2074" t="inlineStr">
        <is>
          <t>UNKNOWN</t>
        </is>
      </c>
      <c r="N2074" t="inlineStr">
        <is>
          <t>DEFAULT</t>
        </is>
      </c>
      <c r="Q2074" t="n">
        <v>0</v>
      </c>
      <c r="R2074" t="inlineStr">
        <is>
          <t>AUD</t>
        </is>
      </c>
      <c r="S2074" t="n">
        <v>0</v>
      </c>
      <c r="T2074" t="inlineStr">
        <is>
          <t>AUD</t>
        </is>
      </c>
      <c r="U2074" t="n">
        <v>0</v>
      </c>
    </row>
    <row r="2075">
      <c r="A2075" s="5" t="inlineStr">
        <is>
          <t>01a1212c-64d1-7706-ab45-81f0371c53bc</t>
        </is>
      </c>
      <c r="C2075" s="5" t="inlineStr">
        <is>
          <t>01a1212c-4b57-70cf-80fd-c2192cb3bf81</t>
        </is>
      </c>
      <c r="D2075" s="4" t="n">
        <v>46304.62407354116</v>
      </c>
      <c r="E2075" s="4" t="n">
        <v>46304.62407354124</v>
      </c>
      <c r="F2075" t="b">
        <v>1</v>
      </c>
      <c r="G2075" t="n">
        <v/>
      </c>
      <c r="H2075" t="inlineStr">
        <is>
          <t>BLZ</t>
        </is>
      </c>
      <c r="I2075" t="inlineStr">
        <is>
          <t>BLAZE Minerals Ltd</t>
        </is>
      </c>
      <c r="J2075" t="inlineStr">
        <is>
          <t>AUD</t>
        </is>
      </c>
      <c r="K2075" s="5" t="inlineStr">
        <is>
          <t>01a1212c-4c04-75ce-bbb2-e3322e18816e</t>
        </is>
      </c>
      <c r="M2075" t="inlineStr">
        <is>
          <t>UNKNOWN</t>
        </is>
      </c>
      <c r="N2075" t="inlineStr">
        <is>
          <t>DEFAULT</t>
        </is>
      </c>
      <c r="Q2075" t="n">
        <v>0</v>
      </c>
      <c r="R2075" t="inlineStr">
        <is>
          <t>AUD</t>
        </is>
      </c>
      <c r="S2075" t="n">
        <v>0</v>
      </c>
      <c r="T2075" t="inlineStr">
        <is>
          <t>AUD</t>
        </is>
      </c>
      <c r="U2075" t="n">
        <v>0</v>
      </c>
    </row>
    <row r="2076">
      <c r="A2076" s="5" t="inlineStr">
        <is>
          <t>01a1212c-64d4-749b-aaef-c3a5ce196df5</t>
        </is>
      </c>
      <c r="C2076" s="5" t="inlineStr">
        <is>
          <t>01a1212c-4b57-70cf-80fd-c2192cb3bf81</t>
        </is>
      </c>
      <c r="D2076" s="4" t="n">
        <v>46304.62407357192</v>
      </c>
      <c r="E2076" s="4" t="n">
        <v>46304.62407357199</v>
      </c>
      <c r="F2076" t="b">
        <v>1</v>
      </c>
      <c r="G2076" t="n">
        <v/>
      </c>
      <c r="H2076" t="inlineStr">
        <is>
          <t>RAN</t>
        </is>
      </c>
      <c r="I2076" t="inlineStr">
        <is>
          <t>Range International Ltd</t>
        </is>
      </c>
      <c r="J2076" t="inlineStr">
        <is>
          <t>AUD</t>
        </is>
      </c>
      <c r="K2076" s="5" t="inlineStr">
        <is>
          <t>01a1212c-4c04-75ce-bbb2-e3322e18816e</t>
        </is>
      </c>
      <c r="M2076" t="inlineStr">
        <is>
          <t>UNKNOWN</t>
        </is>
      </c>
      <c r="N2076" t="inlineStr">
        <is>
          <t>DEFAULT</t>
        </is>
      </c>
      <c r="Q2076" t="n">
        <v>0</v>
      </c>
      <c r="R2076" t="inlineStr">
        <is>
          <t>AUD</t>
        </is>
      </c>
      <c r="S2076" t="n">
        <v>0</v>
      </c>
      <c r="T2076" t="inlineStr">
        <is>
          <t>AUD</t>
        </is>
      </c>
      <c r="U2076" t="n">
        <v>0</v>
      </c>
    </row>
    <row r="2077">
      <c r="A2077" s="5" t="inlineStr">
        <is>
          <t>01a1212c-64d7-7640-bb02-92eaf2547019</t>
        </is>
      </c>
      <c r="C2077" s="5" t="inlineStr">
        <is>
          <t>01a1212c-4b57-70cf-80fd-c2192cb3bf81</t>
        </is>
      </c>
      <c r="D2077" s="4" t="n">
        <v>46304.62407360299</v>
      </c>
      <c r="E2077" s="4" t="n">
        <v>46304.62407360307</v>
      </c>
      <c r="F2077" t="b">
        <v>1</v>
      </c>
      <c r="G2077" t="n">
        <v/>
      </c>
      <c r="H2077" t="inlineStr">
        <is>
          <t>GR8</t>
        </is>
      </c>
      <c r="I2077" t="inlineStr">
        <is>
          <t>Great Dirt Resources Ltd</t>
        </is>
      </c>
      <c r="J2077" t="inlineStr">
        <is>
          <t>AUD</t>
        </is>
      </c>
      <c r="K2077" s="5" t="inlineStr">
        <is>
          <t>01a1212c-4c04-75ce-bbb2-e3322e18816e</t>
        </is>
      </c>
      <c r="M2077" t="inlineStr">
        <is>
          <t>UNKNOWN</t>
        </is>
      </c>
      <c r="N2077" t="inlineStr">
        <is>
          <t>DEFAULT</t>
        </is>
      </c>
      <c r="Q2077" t="n">
        <v>0</v>
      </c>
      <c r="R2077" t="inlineStr">
        <is>
          <t>AUD</t>
        </is>
      </c>
      <c r="S2077" t="n">
        <v>0</v>
      </c>
      <c r="T2077" t="inlineStr">
        <is>
          <t>AUD</t>
        </is>
      </c>
      <c r="U2077" t="n">
        <v>0</v>
      </c>
    </row>
    <row r="2078">
      <c r="A2078" s="5" t="inlineStr">
        <is>
          <t>01a1212c-64d9-765c-952a-34638ccc89fb</t>
        </is>
      </c>
      <c r="C2078" s="5" t="inlineStr">
        <is>
          <t>01a1212c-4b57-70cf-80fd-c2192cb3bf81</t>
        </is>
      </c>
      <c r="D2078" s="4" t="n">
        <v>46304.62407363402</v>
      </c>
      <c r="E2078" s="4" t="n">
        <v>46304.6240736341</v>
      </c>
      <c r="F2078" t="b">
        <v>1</v>
      </c>
      <c r="G2078" t="n">
        <v/>
      </c>
      <c r="H2078" t="inlineStr">
        <is>
          <t>DAF</t>
        </is>
      </c>
      <c r="I2078" t="inlineStr">
        <is>
          <t>Discovery Alaska Ltd</t>
        </is>
      </c>
      <c r="J2078" t="inlineStr">
        <is>
          <t>AUD</t>
        </is>
      </c>
      <c r="K2078" s="5" t="inlineStr">
        <is>
          <t>01a1212c-4c04-75ce-bbb2-e3322e18816e</t>
        </is>
      </c>
      <c r="M2078" t="inlineStr">
        <is>
          <t>UNKNOWN</t>
        </is>
      </c>
      <c r="N2078" t="inlineStr">
        <is>
          <t>DEFAULT</t>
        </is>
      </c>
      <c r="Q2078" t="n">
        <v>0</v>
      </c>
      <c r="R2078" t="inlineStr">
        <is>
          <t>AUD</t>
        </is>
      </c>
      <c r="S2078" t="n">
        <v>0</v>
      </c>
      <c r="T2078" t="inlineStr">
        <is>
          <t>AUD</t>
        </is>
      </c>
      <c r="U2078" t="n">
        <v>0</v>
      </c>
    </row>
    <row r="2079">
      <c r="A2079" s="5" t="inlineStr">
        <is>
          <t>01a1212c-64dc-7539-99b2-2a1fe45fdf93</t>
        </is>
      </c>
      <c r="C2079" s="5" t="inlineStr">
        <is>
          <t>01a1212c-4b57-70cf-80fd-c2192cb3bf81</t>
        </is>
      </c>
      <c r="D2079" s="4" t="n">
        <v>46304.62407366771</v>
      </c>
      <c r="E2079" s="4" t="n">
        <v>46304.62407366779</v>
      </c>
      <c r="F2079" t="b">
        <v>1</v>
      </c>
      <c r="G2079" t="n">
        <v/>
      </c>
      <c r="H2079" t="inlineStr">
        <is>
          <t>EG1</t>
        </is>
      </c>
      <c r="I2079" t="inlineStr">
        <is>
          <t>Evergreen Lithium Ltd</t>
        </is>
      </c>
      <c r="J2079" t="inlineStr">
        <is>
          <t>AUD</t>
        </is>
      </c>
      <c r="K2079" s="5" t="inlineStr">
        <is>
          <t>01a1212c-4c04-75ce-bbb2-e3322e18816e</t>
        </is>
      </c>
      <c r="M2079" t="inlineStr">
        <is>
          <t>UNKNOWN</t>
        </is>
      </c>
      <c r="N2079" t="inlineStr">
        <is>
          <t>DEFAULT</t>
        </is>
      </c>
      <c r="Q2079" t="n">
        <v>0</v>
      </c>
      <c r="R2079" t="inlineStr">
        <is>
          <t>AUD</t>
        </is>
      </c>
      <c r="S2079" t="n">
        <v>0</v>
      </c>
      <c r="T2079" t="inlineStr">
        <is>
          <t>AUD</t>
        </is>
      </c>
      <c r="U2079" t="n">
        <v>0</v>
      </c>
    </row>
    <row r="2080">
      <c r="A2080" s="5" t="inlineStr">
        <is>
          <t>01a1212c-64df-7042-b027-732afd90e363</t>
        </is>
      </c>
      <c r="C2080" s="5" t="inlineStr">
        <is>
          <t>01a1212c-4b57-70cf-80fd-c2192cb3bf81</t>
        </is>
      </c>
      <c r="D2080" s="4" t="n">
        <v>46304.62407369846</v>
      </c>
      <c r="E2080" s="4" t="n">
        <v>46304.62407369854</v>
      </c>
      <c r="F2080" t="b">
        <v>1</v>
      </c>
      <c r="G2080" t="n">
        <v/>
      </c>
      <c r="H2080" t="inlineStr">
        <is>
          <t>IMI</t>
        </is>
      </c>
      <c r="I2080" t="inlineStr">
        <is>
          <t>Infinity Mining Ltd</t>
        </is>
      </c>
      <c r="J2080" t="inlineStr">
        <is>
          <t>AUD</t>
        </is>
      </c>
      <c r="K2080" s="5" t="inlineStr">
        <is>
          <t>01a1212c-4c04-75ce-bbb2-e3322e18816e</t>
        </is>
      </c>
      <c r="M2080" t="inlineStr">
        <is>
          <t>UNKNOWN</t>
        </is>
      </c>
      <c r="N2080" t="inlineStr">
        <is>
          <t>DEFAULT</t>
        </is>
      </c>
      <c r="Q2080" t="n">
        <v>0</v>
      </c>
      <c r="R2080" t="inlineStr">
        <is>
          <t>AUD</t>
        </is>
      </c>
      <c r="S2080" t="n">
        <v>0</v>
      </c>
      <c r="T2080" t="inlineStr">
        <is>
          <t>AUD</t>
        </is>
      </c>
      <c r="U2080" t="n">
        <v>0</v>
      </c>
    </row>
    <row r="2081">
      <c r="A2081" s="5" t="inlineStr">
        <is>
          <t>01a1212c-64e2-7412-8cfa-b7ea29c726fa</t>
        </is>
      </c>
      <c r="C2081" s="5" t="inlineStr">
        <is>
          <t>01a1212c-4b57-70cf-80fd-c2192cb3bf81</t>
        </is>
      </c>
      <c r="D2081" s="4" t="n">
        <v>46304.62407372995</v>
      </c>
      <c r="E2081" s="4" t="n">
        <v>46304.62407373003</v>
      </c>
      <c r="F2081" t="b">
        <v>1</v>
      </c>
      <c r="G2081" t="n">
        <v/>
      </c>
      <c r="H2081" t="inlineStr">
        <is>
          <t>ERG</t>
        </is>
      </c>
      <c r="I2081" t="inlineStr">
        <is>
          <t>Eneco Refresh Ltd</t>
        </is>
      </c>
      <c r="J2081" t="inlineStr">
        <is>
          <t>AUD</t>
        </is>
      </c>
      <c r="K2081" s="5" t="inlineStr">
        <is>
          <t>01a1212c-4c04-75ce-bbb2-e3322e18816e</t>
        </is>
      </c>
      <c r="M2081" t="inlineStr">
        <is>
          <t>UNKNOWN</t>
        </is>
      </c>
      <c r="N2081" t="inlineStr">
        <is>
          <t>DEFAULT</t>
        </is>
      </c>
      <c r="Q2081" t="n">
        <v>0</v>
      </c>
      <c r="R2081" t="inlineStr">
        <is>
          <t>AUD</t>
        </is>
      </c>
      <c r="S2081" t="n">
        <v>0</v>
      </c>
      <c r="T2081" t="inlineStr">
        <is>
          <t>AUD</t>
        </is>
      </c>
      <c r="U2081" t="n">
        <v>0</v>
      </c>
    </row>
    <row r="2082">
      <c r="A2082" s="5" t="inlineStr">
        <is>
          <t>01a1212c-64e4-73ad-9851-dd0137fad184</t>
        </is>
      </c>
      <c r="C2082" s="5" t="inlineStr">
        <is>
          <t>01a1212c-4b57-70cf-80fd-c2192cb3bf81</t>
        </is>
      </c>
      <c r="D2082" s="4" t="n">
        <v>46304.62407376093</v>
      </c>
      <c r="E2082" s="4" t="n">
        <v>46304.62407376101</v>
      </c>
      <c r="F2082" t="b">
        <v>1</v>
      </c>
      <c r="G2082" t="n">
        <v/>
      </c>
      <c r="H2082" t="inlineStr">
        <is>
          <t>SP3</t>
        </is>
      </c>
      <c r="I2082" t="inlineStr">
        <is>
          <t>Spectur Ltd</t>
        </is>
      </c>
      <c r="J2082" t="inlineStr">
        <is>
          <t>AUD</t>
        </is>
      </c>
      <c r="K2082" s="5" t="inlineStr">
        <is>
          <t>01a1212c-4c04-75ce-bbb2-e3322e18816e</t>
        </is>
      </c>
      <c r="M2082" t="inlineStr">
        <is>
          <t>UNKNOWN</t>
        </is>
      </c>
      <c r="N2082" t="inlineStr">
        <is>
          <t>DEFAULT</t>
        </is>
      </c>
      <c r="Q2082" t="n">
        <v>0</v>
      </c>
      <c r="R2082" t="inlineStr">
        <is>
          <t>AUD</t>
        </is>
      </c>
      <c r="S2082" t="n">
        <v>0</v>
      </c>
      <c r="T2082" t="inlineStr">
        <is>
          <t>AUD</t>
        </is>
      </c>
      <c r="U2082" t="n">
        <v>0</v>
      </c>
    </row>
    <row r="2083">
      <c r="A2083" s="5" t="inlineStr">
        <is>
          <t>01a1212c-64e7-760c-a4ee-a4c3e624c8d2</t>
        </is>
      </c>
      <c r="C2083" s="5" t="inlineStr">
        <is>
          <t>01a1212c-4b57-70cf-80fd-c2192cb3bf81</t>
        </is>
      </c>
      <c r="D2083" s="4" t="n">
        <v>46304.62407379439</v>
      </c>
      <c r="E2083" s="4" t="n">
        <v>46304.62407379447</v>
      </c>
      <c r="F2083" t="b">
        <v>1</v>
      </c>
      <c r="G2083" t="n">
        <v/>
      </c>
      <c r="H2083" t="inlineStr">
        <is>
          <t>CPO</t>
        </is>
      </c>
      <c r="I2083" t="inlineStr">
        <is>
          <t>Culpeo Minerals Ltd</t>
        </is>
      </c>
      <c r="J2083" t="inlineStr">
        <is>
          <t>AUD</t>
        </is>
      </c>
      <c r="K2083" s="5" t="inlineStr">
        <is>
          <t>01a1212c-4c04-75ce-bbb2-e3322e18816e</t>
        </is>
      </c>
      <c r="M2083" t="inlineStr">
        <is>
          <t>UNKNOWN</t>
        </is>
      </c>
      <c r="N2083" t="inlineStr">
        <is>
          <t>DEFAULT</t>
        </is>
      </c>
      <c r="Q2083" t="n">
        <v>0</v>
      </c>
      <c r="R2083" t="inlineStr">
        <is>
          <t>AUD</t>
        </is>
      </c>
      <c r="S2083" t="n">
        <v>0</v>
      </c>
      <c r="T2083" t="inlineStr">
        <is>
          <t>AUD</t>
        </is>
      </c>
      <c r="U2083" t="n">
        <v>0</v>
      </c>
    </row>
    <row r="2084">
      <c r="A2084" s="5" t="inlineStr">
        <is>
          <t>01a1212c-64ea-746d-83c4-645df0aab7a2</t>
        </is>
      </c>
      <c r="C2084" s="5" t="inlineStr">
        <is>
          <t>01a1212c-4b57-70cf-80fd-c2192cb3bf81</t>
        </is>
      </c>
      <c r="D2084" s="4" t="n">
        <v>46304.62407382605</v>
      </c>
      <c r="E2084" s="4" t="n">
        <v>46304.62407382613</v>
      </c>
      <c r="F2084" t="b">
        <v>1</v>
      </c>
      <c r="G2084" t="n">
        <v/>
      </c>
      <c r="H2084" t="inlineStr">
        <is>
          <t>REC</t>
        </is>
      </c>
      <c r="I2084" t="inlineStr">
        <is>
          <t>Recharge Metals Ltd</t>
        </is>
      </c>
      <c r="J2084" t="inlineStr">
        <is>
          <t>AUD</t>
        </is>
      </c>
      <c r="K2084" s="5" t="inlineStr">
        <is>
          <t>01a1212c-4c04-75ce-bbb2-e3322e18816e</t>
        </is>
      </c>
      <c r="M2084" t="inlineStr">
        <is>
          <t>UNKNOWN</t>
        </is>
      </c>
      <c r="N2084" t="inlineStr">
        <is>
          <t>DEFAULT</t>
        </is>
      </c>
      <c r="Q2084" t="n">
        <v>0</v>
      </c>
      <c r="R2084" t="inlineStr">
        <is>
          <t>AUD</t>
        </is>
      </c>
      <c r="S2084" t="n">
        <v>0</v>
      </c>
      <c r="T2084" t="inlineStr">
        <is>
          <t>AUD</t>
        </is>
      </c>
      <c r="U2084" t="n">
        <v>0</v>
      </c>
    </row>
    <row r="2085">
      <c r="A2085" s="5" t="inlineStr">
        <is>
          <t>01a1212c-64ed-749e-8fa6-8b88288b15e0</t>
        </is>
      </c>
      <c r="C2085" s="5" t="inlineStr">
        <is>
          <t>01a1212c-4b57-70cf-80fd-c2192cb3bf81</t>
        </is>
      </c>
      <c r="D2085" s="4" t="n">
        <v>46304.62407385705</v>
      </c>
      <c r="E2085" s="4" t="n">
        <v>46304.62407385712</v>
      </c>
      <c r="F2085" t="b">
        <v>1</v>
      </c>
      <c r="G2085" t="n">
        <v/>
      </c>
      <c r="H2085" t="inlineStr">
        <is>
          <t>DTEC</t>
        </is>
      </c>
      <c r="I2085" t="inlineStr">
        <is>
          <t>Global X Defence Tech ETF</t>
        </is>
      </c>
      <c r="J2085" t="inlineStr">
        <is>
          <t>AUD</t>
        </is>
      </c>
      <c r="K2085" s="5" t="inlineStr">
        <is>
          <t>01a1212c-4c04-75ce-bbb2-e3322e18816e</t>
        </is>
      </c>
      <c r="M2085" t="inlineStr">
        <is>
          <t>UNKNOWN</t>
        </is>
      </c>
      <c r="N2085" t="inlineStr">
        <is>
          <t>DEFAULT</t>
        </is>
      </c>
      <c r="Q2085" t="n">
        <v>0</v>
      </c>
      <c r="R2085" t="inlineStr">
        <is>
          <t>AUD</t>
        </is>
      </c>
      <c r="S2085" t="n">
        <v>0</v>
      </c>
      <c r="T2085" t="inlineStr">
        <is>
          <t>AUD</t>
        </is>
      </c>
      <c r="U2085" t="n">
        <v>0</v>
      </c>
    </row>
    <row r="2086">
      <c r="A2086" s="5" t="inlineStr">
        <is>
          <t>01a1212c-64f0-759a-bdc2-667c9165a19a</t>
        </is>
      </c>
      <c r="C2086" s="5" t="inlineStr">
        <is>
          <t>01a1212c-4b57-70cf-80fd-c2192cb3bf81</t>
        </is>
      </c>
      <c r="D2086" s="4" t="n">
        <v>46304.62407389036</v>
      </c>
      <c r="E2086" s="4" t="n">
        <v>46304.62407389045</v>
      </c>
      <c r="F2086" t="b">
        <v>1</v>
      </c>
      <c r="G2086" t="n">
        <v/>
      </c>
      <c r="H2086" t="inlineStr">
        <is>
          <t>MHM</t>
        </is>
      </c>
      <c r="I2086" t="inlineStr">
        <is>
          <t>Mount Hope Mining Ltd</t>
        </is>
      </c>
      <c r="J2086" t="inlineStr">
        <is>
          <t>AUD</t>
        </is>
      </c>
      <c r="K2086" s="5" t="inlineStr">
        <is>
          <t>01a1212c-4c04-75ce-bbb2-e3322e18816e</t>
        </is>
      </c>
      <c r="M2086" t="inlineStr">
        <is>
          <t>UNKNOWN</t>
        </is>
      </c>
      <c r="N2086" t="inlineStr">
        <is>
          <t>DEFAULT</t>
        </is>
      </c>
      <c r="Q2086" t="n">
        <v>0</v>
      </c>
      <c r="R2086" t="inlineStr">
        <is>
          <t>AUD</t>
        </is>
      </c>
      <c r="S2086" t="n">
        <v>0</v>
      </c>
      <c r="T2086" t="inlineStr">
        <is>
          <t>AUD</t>
        </is>
      </c>
      <c r="U2086" t="n">
        <v>0</v>
      </c>
    </row>
    <row r="2087">
      <c r="A2087" s="5" t="inlineStr">
        <is>
          <t>01a1212c-64f2-7251-a5d4-c25963882efb</t>
        </is>
      </c>
      <c r="C2087" s="5" t="inlineStr">
        <is>
          <t>01a1212c-4b57-70cf-80fd-c2192cb3bf81</t>
        </is>
      </c>
      <c r="D2087" s="4" t="n">
        <v>46304.62407392277</v>
      </c>
      <c r="E2087" s="4" t="n">
        <v>46304.62407392284</v>
      </c>
      <c r="F2087" t="b">
        <v>1</v>
      </c>
      <c r="G2087" t="n">
        <v/>
      </c>
      <c r="H2087" t="inlineStr">
        <is>
          <t>JPHQ</t>
        </is>
      </c>
      <c r="I2087" t="inlineStr">
        <is>
          <t>JPM US100Q EQ Prem Inc H Active ETF (Managed Fund)</t>
        </is>
      </c>
      <c r="J2087" t="inlineStr">
        <is>
          <t>AUD</t>
        </is>
      </c>
      <c r="K2087" s="5" t="inlineStr">
        <is>
          <t>01a1212c-4c04-75ce-bbb2-e3322e18816e</t>
        </is>
      </c>
      <c r="M2087" t="inlineStr">
        <is>
          <t>UNKNOWN</t>
        </is>
      </c>
      <c r="N2087" t="inlineStr">
        <is>
          <t>DEFAULT</t>
        </is>
      </c>
      <c r="Q2087" t="n">
        <v>0</v>
      </c>
      <c r="R2087" t="inlineStr">
        <is>
          <t>AUD</t>
        </is>
      </c>
      <c r="S2087" t="n">
        <v>0</v>
      </c>
      <c r="T2087" t="inlineStr">
        <is>
          <t>AUD</t>
        </is>
      </c>
      <c r="U2087" t="n">
        <v>0</v>
      </c>
    </row>
    <row r="2088">
      <c r="A2088" s="5" t="inlineStr">
        <is>
          <t>01a1212c-64f5-7040-be6e-7888314e5949</t>
        </is>
      </c>
      <c r="C2088" s="5" t="inlineStr">
        <is>
          <t>01a1212c-4b57-70cf-80fd-c2192cb3bf81</t>
        </is>
      </c>
      <c r="D2088" s="4" t="n">
        <v>46304.62407395593</v>
      </c>
      <c r="E2088" s="4" t="n">
        <v>46304.62407395601</v>
      </c>
      <c r="F2088" t="b">
        <v>1</v>
      </c>
      <c r="G2088" t="n">
        <v/>
      </c>
      <c r="H2088" t="inlineStr">
        <is>
          <t>HPC</t>
        </is>
      </c>
      <c r="I2088" t="inlineStr">
        <is>
          <t>The Hydration Pharmaceuticals Company Ltd</t>
        </is>
      </c>
      <c r="J2088" t="inlineStr">
        <is>
          <t>AUD</t>
        </is>
      </c>
      <c r="K2088" s="5" t="inlineStr">
        <is>
          <t>01a1212c-4c04-75ce-bbb2-e3322e18816e</t>
        </is>
      </c>
      <c r="M2088" t="inlineStr">
        <is>
          <t>UNKNOWN</t>
        </is>
      </c>
      <c r="N2088" t="inlineStr">
        <is>
          <t>DEFAULT</t>
        </is>
      </c>
      <c r="Q2088" t="n">
        <v>0</v>
      </c>
      <c r="R2088" t="inlineStr">
        <is>
          <t>AUD</t>
        </is>
      </c>
      <c r="S2088" t="n">
        <v>0</v>
      </c>
      <c r="T2088" t="inlineStr">
        <is>
          <t>AUD</t>
        </is>
      </c>
      <c r="U2088" t="n">
        <v>0</v>
      </c>
    </row>
    <row r="2089">
      <c r="A2089" s="5" t="inlineStr">
        <is>
          <t>01a1212c-64f8-743e-b8f7-c216450c7b43</t>
        </is>
      </c>
      <c r="C2089" s="5" t="inlineStr">
        <is>
          <t>01a1212c-4b57-70cf-80fd-c2192cb3bf81</t>
        </is>
      </c>
      <c r="D2089" s="4" t="n">
        <v>46304.62407398742</v>
      </c>
      <c r="E2089" s="4" t="n">
        <v>46304.6240739875</v>
      </c>
      <c r="F2089" t="b">
        <v>1</v>
      </c>
      <c r="G2089" t="n">
        <v/>
      </c>
      <c r="H2089" t="inlineStr">
        <is>
          <t>FCAP</t>
        </is>
      </c>
      <c r="I2089" t="inlineStr">
        <is>
          <t>Fidelity Global Future Leaders Active ETF</t>
        </is>
      </c>
      <c r="J2089" t="inlineStr">
        <is>
          <t>AUD</t>
        </is>
      </c>
      <c r="K2089" s="5" t="inlineStr">
        <is>
          <t>01a1212c-4c04-75ce-bbb2-e3322e18816e</t>
        </is>
      </c>
      <c r="M2089" t="inlineStr">
        <is>
          <t>UNKNOWN</t>
        </is>
      </c>
      <c r="N2089" t="inlineStr">
        <is>
          <t>DEFAULT</t>
        </is>
      </c>
      <c r="Q2089" t="n">
        <v>0</v>
      </c>
      <c r="R2089" t="inlineStr">
        <is>
          <t>AUD</t>
        </is>
      </c>
      <c r="S2089" t="n">
        <v>0</v>
      </c>
      <c r="T2089" t="inlineStr">
        <is>
          <t>AUD</t>
        </is>
      </c>
      <c r="U2089" t="n">
        <v>0</v>
      </c>
    </row>
    <row r="2090">
      <c r="A2090" s="5" t="inlineStr">
        <is>
          <t>01a1212c-64fb-7142-a4f2-c1dd51e6bc6a</t>
        </is>
      </c>
      <c r="C2090" s="5" t="inlineStr">
        <is>
          <t>01a1212c-4b57-70cf-80fd-c2192cb3bf81</t>
        </is>
      </c>
      <c r="D2090" s="4" t="n">
        <v>46304.62407401853</v>
      </c>
      <c r="E2090" s="4" t="n">
        <v>46304.62407401861</v>
      </c>
      <c r="F2090" t="b">
        <v>1</v>
      </c>
      <c r="G2090" t="n">
        <v/>
      </c>
      <c r="H2090" t="inlineStr">
        <is>
          <t>FTC</t>
        </is>
      </c>
      <c r="I2090" t="inlineStr">
        <is>
          <t>Fintech Chain Ltd</t>
        </is>
      </c>
      <c r="J2090" t="inlineStr">
        <is>
          <t>AUD</t>
        </is>
      </c>
      <c r="K2090" s="5" t="inlineStr">
        <is>
          <t>01a1212c-4c04-75ce-bbb2-e3322e18816e</t>
        </is>
      </c>
      <c r="M2090" t="inlineStr">
        <is>
          <t>UNKNOWN</t>
        </is>
      </c>
      <c r="N2090" t="inlineStr">
        <is>
          <t>DEFAULT</t>
        </is>
      </c>
      <c r="Q2090" t="n">
        <v>0</v>
      </c>
      <c r="R2090" t="inlineStr">
        <is>
          <t>AUD</t>
        </is>
      </c>
      <c r="S2090" t="n">
        <v>0</v>
      </c>
      <c r="T2090" t="inlineStr">
        <is>
          <t>AUD</t>
        </is>
      </c>
      <c r="U2090" t="n">
        <v>0</v>
      </c>
    </row>
    <row r="2091">
      <c r="A2091" s="5" t="inlineStr">
        <is>
          <t>01a1212c-64fd-7480-8cdb-a1081ddcb4c1</t>
        </is>
      </c>
      <c r="C2091" s="5" t="inlineStr">
        <is>
          <t>01a1212c-4b57-70cf-80fd-c2192cb3bf81</t>
        </is>
      </c>
      <c r="D2091" s="4" t="n">
        <v>46304.62407404945</v>
      </c>
      <c r="E2091" s="4" t="n">
        <v>46304.62407404951</v>
      </c>
      <c r="F2091" t="b">
        <v>1</v>
      </c>
      <c r="G2091" t="n">
        <v/>
      </c>
      <c r="H2091" t="inlineStr">
        <is>
          <t>OM1</t>
        </is>
      </c>
      <c r="I2091" t="inlineStr">
        <is>
          <t>Omnia Metals Group Ltd</t>
        </is>
      </c>
      <c r="J2091" t="inlineStr">
        <is>
          <t>AUD</t>
        </is>
      </c>
      <c r="K2091" s="5" t="inlineStr">
        <is>
          <t>01a1212c-4c04-75ce-bbb2-e3322e18816e</t>
        </is>
      </c>
      <c r="M2091" t="inlineStr">
        <is>
          <t>UNKNOWN</t>
        </is>
      </c>
      <c r="N2091" t="inlineStr">
        <is>
          <t>DEFAULT</t>
        </is>
      </c>
      <c r="Q2091" t="n">
        <v>0</v>
      </c>
      <c r="R2091" t="inlineStr">
        <is>
          <t>AUD</t>
        </is>
      </c>
      <c r="S2091" t="n">
        <v>0</v>
      </c>
      <c r="T2091" t="inlineStr">
        <is>
          <t>AUD</t>
        </is>
      </c>
      <c r="U2091" t="n">
        <v>0</v>
      </c>
    </row>
    <row r="2092">
      <c r="A2092" s="5" t="inlineStr">
        <is>
          <t>01a1212c-6500-7704-a633-13ce550ac35c</t>
        </is>
      </c>
      <c r="C2092" s="5" t="inlineStr">
        <is>
          <t>01a1212c-4b57-70cf-80fd-c2192cb3bf81</t>
        </is>
      </c>
      <c r="D2092" s="4" t="n">
        <v>46304.62407408661</v>
      </c>
      <c r="E2092" s="4" t="n">
        <v>46304.6240740867</v>
      </c>
      <c r="F2092" t="b">
        <v>1</v>
      </c>
      <c r="G2092" t="n">
        <v/>
      </c>
      <c r="H2092" t="inlineStr">
        <is>
          <t>C1X</t>
        </is>
      </c>
      <c r="I2092" t="inlineStr">
        <is>
          <t>Cosmos Exploration Ltd</t>
        </is>
      </c>
      <c r="J2092" t="inlineStr">
        <is>
          <t>AUD</t>
        </is>
      </c>
      <c r="K2092" s="5" t="inlineStr">
        <is>
          <t>01a1212c-4c04-75ce-bbb2-e3322e18816e</t>
        </is>
      </c>
      <c r="M2092" t="inlineStr">
        <is>
          <t>UNKNOWN</t>
        </is>
      </c>
      <c r="N2092" t="inlineStr">
        <is>
          <t>DEFAULT</t>
        </is>
      </c>
      <c r="Q2092" t="n">
        <v>0</v>
      </c>
      <c r="R2092" t="inlineStr">
        <is>
          <t>AUD</t>
        </is>
      </c>
      <c r="S2092" t="n">
        <v>0</v>
      </c>
      <c r="T2092" t="inlineStr">
        <is>
          <t>AUD</t>
        </is>
      </c>
      <c r="U2092" t="n">
        <v>0</v>
      </c>
    </row>
    <row r="2093">
      <c r="A2093" s="5" t="inlineStr">
        <is>
          <t>01a1212c-6503-77a2-ba6a-f1f3b5d95b7e</t>
        </is>
      </c>
      <c r="C2093" s="5" t="inlineStr">
        <is>
          <t>01a1212c-4b57-70cf-80fd-c2192cb3bf81</t>
        </is>
      </c>
      <c r="D2093" s="4" t="n">
        <v>46304.62407412057</v>
      </c>
      <c r="E2093" s="4" t="n">
        <v>46304.62407412065</v>
      </c>
      <c r="F2093" t="b">
        <v>1</v>
      </c>
      <c r="G2093" t="n">
        <v/>
      </c>
      <c r="H2093" t="inlineStr">
        <is>
          <t>GAME</t>
        </is>
      </c>
      <c r="I2093" t="inlineStr">
        <is>
          <t>Betashares Video Games and Esports ETF</t>
        </is>
      </c>
      <c r="J2093" t="inlineStr">
        <is>
          <t>AUD</t>
        </is>
      </c>
      <c r="K2093" s="5" t="inlineStr">
        <is>
          <t>01a1212c-4c04-75ce-bbb2-e3322e18816e</t>
        </is>
      </c>
      <c r="M2093" t="inlineStr">
        <is>
          <t>UNKNOWN</t>
        </is>
      </c>
      <c r="N2093" t="inlineStr">
        <is>
          <t>DEFAULT</t>
        </is>
      </c>
      <c r="Q2093" t="n">
        <v>0</v>
      </c>
      <c r="R2093" t="inlineStr">
        <is>
          <t>AUD</t>
        </is>
      </c>
      <c r="S2093" t="n">
        <v>0</v>
      </c>
      <c r="T2093" t="inlineStr">
        <is>
          <t>AUD</t>
        </is>
      </c>
      <c r="U2093" t="n">
        <v>0</v>
      </c>
    </row>
    <row r="2094">
      <c r="A2094" s="5" t="inlineStr">
        <is>
          <t>01a1212c-6506-7606-bc41-e863aa785404</t>
        </is>
      </c>
      <c r="C2094" s="5" t="inlineStr">
        <is>
          <t>01a1212c-4b57-70cf-80fd-c2192cb3bf81</t>
        </is>
      </c>
      <c r="D2094" s="4" t="n">
        <v>46304.62407415378</v>
      </c>
      <c r="E2094" s="4" t="n">
        <v>46304.62407415388</v>
      </c>
      <c r="F2094" t="b">
        <v>1</v>
      </c>
      <c r="G2094" t="n">
        <v/>
      </c>
      <c r="H2094" t="inlineStr">
        <is>
          <t>ICE</t>
        </is>
      </c>
      <c r="I2094" t="inlineStr">
        <is>
          <t>Icetana Ltd</t>
        </is>
      </c>
      <c r="J2094" t="inlineStr">
        <is>
          <t>AUD</t>
        </is>
      </c>
      <c r="K2094" s="5" t="inlineStr">
        <is>
          <t>01a1212c-4c04-75ce-bbb2-e3322e18816e</t>
        </is>
      </c>
      <c r="M2094" t="inlineStr">
        <is>
          <t>UNKNOWN</t>
        </is>
      </c>
      <c r="N2094" t="inlineStr">
        <is>
          <t>DEFAULT</t>
        </is>
      </c>
      <c r="Q2094" t="n">
        <v>0</v>
      </c>
      <c r="R2094" t="inlineStr">
        <is>
          <t>AUD</t>
        </is>
      </c>
      <c r="S2094" t="n">
        <v>0</v>
      </c>
      <c r="T2094" t="inlineStr">
        <is>
          <t>AUD</t>
        </is>
      </c>
      <c r="U2094" t="n">
        <v>0</v>
      </c>
    </row>
    <row r="2095">
      <c r="A2095" s="5" t="inlineStr">
        <is>
          <t>01a1212c-6509-73fc-9407-c6408b2f3f7e</t>
        </is>
      </c>
      <c r="C2095" s="5" t="inlineStr">
        <is>
          <t>01a1212c-4b57-70cf-80fd-c2192cb3bf81</t>
        </is>
      </c>
      <c r="D2095" s="4" t="n">
        <v>46304.62407418484</v>
      </c>
      <c r="E2095" s="4" t="n">
        <v>46304.62407418492</v>
      </c>
      <c r="F2095" t="b">
        <v>1</v>
      </c>
      <c r="G2095" t="n">
        <v/>
      </c>
      <c r="H2095" t="inlineStr">
        <is>
          <t>BUY</t>
        </is>
      </c>
      <c r="I2095" t="inlineStr">
        <is>
          <t>Bounty Oil &amp; Gas NL</t>
        </is>
      </c>
      <c r="J2095" t="inlineStr">
        <is>
          <t>AUD</t>
        </is>
      </c>
      <c r="K2095" s="5" t="inlineStr">
        <is>
          <t>01a1212c-4c04-75ce-bbb2-e3322e18816e</t>
        </is>
      </c>
      <c r="M2095" t="inlineStr">
        <is>
          <t>UNKNOWN</t>
        </is>
      </c>
      <c r="N2095" t="inlineStr">
        <is>
          <t>DEFAULT</t>
        </is>
      </c>
      <c r="Q2095" t="n">
        <v>0</v>
      </c>
      <c r="R2095" t="inlineStr">
        <is>
          <t>AUD</t>
        </is>
      </c>
      <c r="S2095" t="n">
        <v>0</v>
      </c>
      <c r="T2095" t="inlineStr">
        <is>
          <t>AUD</t>
        </is>
      </c>
      <c r="U2095" t="n">
        <v>0</v>
      </c>
    </row>
    <row r="2096">
      <c r="A2096" s="5" t="inlineStr">
        <is>
          <t>01a1212c-650c-72ef-9d55-74024356514d</t>
        </is>
      </c>
      <c r="C2096" s="5" t="inlineStr">
        <is>
          <t>01a1212c-4b57-70cf-80fd-c2192cb3bf81</t>
        </is>
      </c>
      <c r="D2096" s="4" t="n">
        <v>46304.62407421554</v>
      </c>
      <c r="E2096" s="4" t="n">
        <v>46304.62407421562</v>
      </c>
      <c r="F2096" t="b">
        <v>1</v>
      </c>
      <c r="G2096" t="n">
        <v/>
      </c>
      <c r="H2096" t="inlineStr">
        <is>
          <t>ZEU</t>
        </is>
      </c>
      <c r="I2096" t="inlineStr">
        <is>
          <t>ZEUS Resources Ltd</t>
        </is>
      </c>
      <c r="J2096" t="inlineStr">
        <is>
          <t>AUD</t>
        </is>
      </c>
      <c r="K2096" s="5" t="inlineStr">
        <is>
          <t>01a1212c-4c04-75ce-bbb2-e3322e18816e</t>
        </is>
      </c>
      <c r="M2096" t="inlineStr">
        <is>
          <t>UNKNOWN</t>
        </is>
      </c>
      <c r="N2096" t="inlineStr">
        <is>
          <t>DEFAULT</t>
        </is>
      </c>
      <c r="Q2096" t="n">
        <v>0</v>
      </c>
      <c r="R2096" t="inlineStr">
        <is>
          <t>AUD</t>
        </is>
      </c>
      <c r="S2096" t="n">
        <v>0</v>
      </c>
      <c r="T2096" t="inlineStr">
        <is>
          <t>AUD</t>
        </is>
      </c>
      <c r="U2096" t="n">
        <v>0</v>
      </c>
    </row>
    <row r="2097">
      <c r="A2097" s="5" t="inlineStr">
        <is>
          <t>01a1212c-650f-7322-9231-31dc30dca55d</t>
        </is>
      </c>
      <c r="C2097" s="5" t="inlineStr">
        <is>
          <t>01a1212c-4b57-70cf-80fd-c2192cb3bf81</t>
        </is>
      </c>
      <c r="D2097" s="4" t="n">
        <v>46304.62407425167</v>
      </c>
      <c r="E2097" s="4" t="n">
        <v>46304.62407425177</v>
      </c>
      <c r="F2097" t="b">
        <v>1</v>
      </c>
      <c r="G2097" t="n">
        <v/>
      </c>
      <c r="H2097" t="inlineStr">
        <is>
          <t>JEGA</t>
        </is>
      </c>
      <c r="I2097" t="inlineStr">
        <is>
          <t>JPM Global Equity Premium Income Complex ETF</t>
        </is>
      </c>
      <c r="J2097" t="inlineStr">
        <is>
          <t>AUD</t>
        </is>
      </c>
      <c r="K2097" s="5" t="inlineStr">
        <is>
          <t>01a1212c-4c04-75ce-bbb2-e3322e18816e</t>
        </is>
      </c>
      <c r="M2097" t="inlineStr">
        <is>
          <t>UNKNOWN</t>
        </is>
      </c>
      <c r="N2097" t="inlineStr">
        <is>
          <t>DEFAULT</t>
        </is>
      </c>
      <c r="Q2097" t="n">
        <v>0</v>
      </c>
      <c r="R2097" t="inlineStr">
        <is>
          <t>AUD</t>
        </is>
      </c>
      <c r="S2097" t="n">
        <v>0</v>
      </c>
      <c r="T2097" t="inlineStr">
        <is>
          <t>AUD</t>
        </is>
      </c>
      <c r="U2097" t="n">
        <v>0</v>
      </c>
    </row>
    <row r="2098">
      <c r="A2098" s="5" t="inlineStr">
        <is>
          <t>01a1212c-6511-7451-b542-e1b1832059e2</t>
        </is>
      </c>
      <c r="C2098" s="5" t="inlineStr">
        <is>
          <t>01a1212c-4b57-70cf-80fd-c2192cb3bf81</t>
        </is>
      </c>
      <c r="D2098" s="4" t="n">
        <v>46304.62407428282</v>
      </c>
      <c r="E2098" s="4" t="n">
        <v>46304.6240742829</v>
      </c>
      <c r="F2098" t="b">
        <v>1</v>
      </c>
      <c r="G2098" t="n">
        <v/>
      </c>
      <c r="H2098" t="inlineStr">
        <is>
          <t>DAL</t>
        </is>
      </c>
      <c r="I2098" t="inlineStr">
        <is>
          <t>Dalaroo Metals Ltd</t>
        </is>
      </c>
      <c r="J2098" t="inlineStr">
        <is>
          <t>AUD</t>
        </is>
      </c>
      <c r="K2098" s="5" t="inlineStr">
        <is>
          <t>01a1212c-4c04-75ce-bbb2-e3322e18816e</t>
        </is>
      </c>
      <c r="M2098" t="inlineStr">
        <is>
          <t>UNKNOWN</t>
        </is>
      </c>
      <c r="N2098" t="inlineStr">
        <is>
          <t>DEFAULT</t>
        </is>
      </c>
      <c r="Q2098" t="n">
        <v>0</v>
      </c>
      <c r="R2098" t="inlineStr">
        <is>
          <t>AUD</t>
        </is>
      </c>
      <c r="S2098" t="n">
        <v>0</v>
      </c>
      <c r="T2098" t="inlineStr">
        <is>
          <t>AUD</t>
        </is>
      </c>
      <c r="U2098" t="n">
        <v>0</v>
      </c>
    </row>
    <row r="2099">
      <c r="A2099" s="5" t="inlineStr">
        <is>
          <t>01a1212c-6514-7429-a60b-d8e34f97541a</t>
        </is>
      </c>
      <c r="C2099" s="5" t="inlineStr">
        <is>
          <t>01a1212c-4b57-70cf-80fd-c2192cb3bf81</t>
        </is>
      </c>
      <c r="D2099" s="4" t="n">
        <v>46304.62407431376</v>
      </c>
      <c r="E2099" s="4" t="n">
        <v>46304.62407431383</v>
      </c>
      <c r="F2099" t="b">
        <v>1</v>
      </c>
      <c r="G2099" t="n">
        <v/>
      </c>
      <c r="H2099" t="inlineStr">
        <is>
          <t>ERL</t>
        </is>
      </c>
      <c r="I2099" t="inlineStr">
        <is>
          <t>Empire Resources Ltd</t>
        </is>
      </c>
      <c r="J2099" t="inlineStr">
        <is>
          <t>AUD</t>
        </is>
      </c>
      <c r="K2099" s="5" t="inlineStr">
        <is>
          <t>01a1212c-4c04-75ce-bbb2-e3322e18816e</t>
        </is>
      </c>
      <c r="M2099" t="inlineStr">
        <is>
          <t>UNKNOWN</t>
        </is>
      </c>
      <c r="N2099" t="inlineStr">
        <is>
          <t>DEFAULT</t>
        </is>
      </c>
      <c r="Q2099" t="n">
        <v>0</v>
      </c>
      <c r="R2099" t="inlineStr">
        <is>
          <t>AUD</t>
        </is>
      </c>
      <c r="S2099" t="n">
        <v>0</v>
      </c>
      <c r="T2099" t="inlineStr">
        <is>
          <t>AUD</t>
        </is>
      </c>
      <c r="U2099" t="n">
        <v>0</v>
      </c>
    </row>
    <row r="2100">
      <c r="A2100" s="5" t="inlineStr">
        <is>
          <t>01a1212c-6517-740d-b0df-2ac18e37e4b5</t>
        </is>
      </c>
      <c r="C2100" s="5" t="inlineStr">
        <is>
          <t>01a1212c-4b57-70cf-80fd-c2192cb3bf81</t>
        </is>
      </c>
      <c r="D2100" s="4" t="n">
        <v>46304.62407434465</v>
      </c>
      <c r="E2100" s="4" t="n">
        <v>46304.62407434473</v>
      </c>
      <c r="F2100" t="b">
        <v>1</v>
      </c>
      <c r="G2100" t="n">
        <v/>
      </c>
      <c r="H2100" t="inlineStr">
        <is>
          <t>KAL</t>
        </is>
      </c>
      <c r="I2100" t="inlineStr">
        <is>
          <t>Kalgoorlie Gold Mining Ltd</t>
        </is>
      </c>
      <c r="J2100" t="inlineStr">
        <is>
          <t>AUD</t>
        </is>
      </c>
      <c r="K2100" s="5" t="inlineStr">
        <is>
          <t>01a1212c-4c04-75ce-bbb2-e3322e18816e</t>
        </is>
      </c>
      <c r="M2100" t="inlineStr">
        <is>
          <t>UNKNOWN</t>
        </is>
      </c>
      <c r="N2100" t="inlineStr">
        <is>
          <t>DEFAULT</t>
        </is>
      </c>
      <c r="Q2100" t="n">
        <v>0</v>
      </c>
      <c r="R2100" t="inlineStr">
        <is>
          <t>AUD</t>
        </is>
      </c>
      <c r="S2100" t="n">
        <v>0</v>
      </c>
      <c r="T2100" t="inlineStr">
        <is>
          <t>AUD</t>
        </is>
      </c>
      <c r="U2100" t="n">
        <v>0</v>
      </c>
    </row>
    <row r="2101">
      <c r="A2101" s="5" t="inlineStr">
        <is>
          <t>01a1212c-6519-7508-9f6c-d04fecb9b566</t>
        </is>
      </c>
      <c r="C2101" s="5" t="inlineStr">
        <is>
          <t>01a1212c-4b57-70cf-80fd-c2192cb3bf81</t>
        </is>
      </c>
      <c r="D2101" s="4" t="n">
        <v>46304.62407437508</v>
      </c>
      <c r="E2101" s="4" t="n">
        <v>46304.62407437516</v>
      </c>
      <c r="F2101" t="b">
        <v>1</v>
      </c>
      <c r="G2101" t="n">
        <v/>
      </c>
      <c r="H2101" t="inlineStr">
        <is>
          <t>SER</t>
        </is>
      </c>
      <c r="I2101" t="inlineStr">
        <is>
          <t>Strategic Energy Resources Ltd</t>
        </is>
      </c>
      <c r="J2101" t="inlineStr">
        <is>
          <t>AUD</t>
        </is>
      </c>
      <c r="K2101" s="5" t="inlineStr">
        <is>
          <t>01a1212c-4c04-75ce-bbb2-e3322e18816e</t>
        </is>
      </c>
      <c r="M2101" t="inlineStr">
        <is>
          <t>UNKNOWN</t>
        </is>
      </c>
      <c r="N2101" t="inlineStr">
        <is>
          <t>DEFAULT</t>
        </is>
      </c>
      <c r="Q2101" t="n">
        <v>0</v>
      </c>
      <c r="R2101" t="inlineStr">
        <is>
          <t>AUD</t>
        </is>
      </c>
      <c r="S2101" t="n">
        <v>0</v>
      </c>
      <c r="T2101" t="inlineStr">
        <is>
          <t>AUD</t>
        </is>
      </c>
      <c r="U2101" t="n">
        <v>0</v>
      </c>
    </row>
    <row r="2102">
      <c r="A2102" s="5" t="inlineStr">
        <is>
          <t>01a1212c-651c-7474-9756-8d14978c2e8c</t>
        </is>
      </c>
      <c r="C2102" s="5" t="inlineStr">
        <is>
          <t>01a1212c-4b57-70cf-80fd-c2192cb3bf81</t>
        </is>
      </c>
      <c r="D2102" s="4" t="n">
        <v>46304.62407440809</v>
      </c>
      <c r="E2102" s="4" t="n">
        <v>46304.62407440816</v>
      </c>
      <c r="F2102" t="b">
        <v>1</v>
      </c>
      <c r="G2102" t="n">
        <v/>
      </c>
      <c r="H2102" t="inlineStr">
        <is>
          <t>XPN</t>
        </is>
      </c>
      <c r="I2102" t="inlineStr">
        <is>
          <t>Xpon Technologies Group Ltd</t>
        </is>
      </c>
      <c r="J2102" t="inlineStr">
        <is>
          <t>AUD</t>
        </is>
      </c>
      <c r="K2102" s="5" t="inlineStr">
        <is>
          <t>01a1212c-4c04-75ce-bbb2-e3322e18816e</t>
        </is>
      </c>
      <c r="M2102" t="inlineStr">
        <is>
          <t>UNKNOWN</t>
        </is>
      </c>
      <c r="N2102" t="inlineStr">
        <is>
          <t>DEFAULT</t>
        </is>
      </c>
      <c r="Q2102" t="n">
        <v>0</v>
      </c>
      <c r="R2102" t="inlineStr">
        <is>
          <t>AUD</t>
        </is>
      </c>
      <c r="S2102" t="n">
        <v>0</v>
      </c>
      <c r="T2102" t="inlineStr">
        <is>
          <t>AUD</t>
        </is>
      </c>
      <c r="U2102" t="n">
        <v>0</v>
      </c>
    </row>
    <row r="2103">
      <c r="A2103" s="5" t="inlineStr">
        <is>
          <t>01a1212c-651f-75cb-a6c6-f5cb5d809d7b</t>
        </is>
      </c>
      <c r="C2103" s="5" t="inlineStr">
        <is>
          <t>01a1212c-4b57-70cf-80fd-c2192cb3bf81</t>
        </is>
      </c>
      <c r="D2103" s="4" t="n">
        <v>46304.62407444038</v>
      </c>
      <c r="E2103" s="4" t="n">
        <v>46304.62407444046</v>
      </c>
      <c r="F2103" t="b">
        <v>1</v>
      </c>
      <c r="G2103" t="n">
        <v/>
      </c>
      <c r="H2103" t="inlineStr">
        <is>
          <t>CBY</t>
        </is>
      </c>
      <c r="I2103" t="inlineStr">
        <is>
          <t>Canterbury Resources Ltd</t>
        </is>
      </c>
      <c r="J2103" t="inlineStr">
        <is>
          <t>AUD</t>
        </is>
      </c>
      <c r="K2103" s="5" t="inlineStr">
        <is>
          <t>01a1212c-4c04-75ce-bbb2-e3322e18816e</t>
        </is>
      </c>
      <c r="M2103" t="inlineStr">
        <is>
          <t>UNKNOWN</t>
        </is>
      </c>
      <c r="N2103" t="inlineStr">
        <is>
          <t>DEFAULT</t>
        </is>
      </c>
      <c r="Q2103" t="n">
        <v>0</v>
      </c>
      <c r="R2103" t="inlineStr">
        <is>
          <t>AUD</t>
        </is>
      </c>
      <c r="S2103" t="n">
        <v>0</v>
      </c>
      <c r="T2103" t="inlineStr">
        <is>
          <t>AUD</t>
        </is>
      </c>
      <c r="U2103" t="n">
        <v>0</v>
      </c>
    </row>
    <row r="2104">
      <c r="A2104" s="5" t="inlineStr">
        <is>
          <t>01a1212c-6522-708c-9f41-74069411b4c3</t>
        </is>
      </c>
      <c r="C2104" s="5" t="inlineStr">
        <is>
          <t>01a1212c-4b57-70cf-80fd-c2192cb3bf81</t>
        </is>
      </c>
      <c r="D2104" s="4" t="n">
        <v>46304.62407447242</v>
      </c>
      <c r="E2104" s="4" t="n">
        <v>46304.6240744725</v>
      </c>
      <c r="F2104" t="b">
        <v>1</v>
      </c>
      <c r="G2104" t="n">
        <v/>
      </c>
      <c r="H2104" t="inlineStr">
        <is>
          <t>A8G</t>
        </is>
      </c>
      <c r="I2104" t="inlineStr">
        <is>
          <t>Australasian Metals Ltd</t>
        </is>
      </c>
      <c r="J2104" t="inlineStr">
        <is>
          <t>AUD</t>
        </is>
      </c>
      <c r="K2104" s="5" t="inlineStr">
        <is>
          <t>01a1212c-4c04-75ce-bbb2-e3322e18816e</t>
        </is>
      </c>
      <c r="M2104" t="inlineStr">
        <is>
          <t>UNKNOWN</t>
        </is>
      </c>
      <c r="N2104" t="inlineStr">
        <is>
          <t>DEFAULT</t>
        </is>
      </c>
      <c r="Q2104" t="n">
        <v>0</v>
      </c>
      <c r="R2104" t="inlineStr">
        <is>
          <t>AUD</t>
        </is>
      </c>
      <c r="S2104" t="n">
        <v>0</v>
      </c>
      <c r="T2104" t="inlineStr">
        <is>
          <t>AUD</t>
        </is>
      </c>
      <c r="U2104" t="n">
        <v>0</v>
      </c>
    </row>
    <row r="2105">
      <c r="A2105" s="5" t="inlineStr">
        <is>
          <t>01a1212c-6525-743e-956b-7bd64dfc42a3</t>
        </is>
      </c>
      <c r="C2105" s="5" t="inlineStr">
        <is>
          <t>01a1212c-4b57-70cf-80fd-c2192cb3bf81</t>
        </is>
      </c>
      <c r="D2105" s="4" t="n">
        <v>46304.62407450409</v>
      </c>
      <c r="E2105" s="4" t="n">
        <v>46304.62407450417</v>
      </c>
      <c r="F2105" t="b">
        <v>1</v>
      </c>
      <c r="G2105" t="n">
        <v/>
      </c>
      <c r="H2105" t="inlineStr">
        <is>
          <t>OB1</t>
        </is>
      </c>
      <c r="I2105" t="inlineStr">
        <is>
          <t>Orbminco Ltd</t>
        </is>
      </c>
      <c r="J2105" t="inlineStr">
        <is>
          <t>AUD</t>
        </is>
      </c>
      <c r="K2105" s="5" t="inlineStr">
        <is>
          <t>01a1212c-4c04-75ce-bbb2-e3322e18816e</t>
        </is>
      </c>
      <c r="M2105" t="inlineStr">
        <is>
          <t>UNKNOWN</t>
        </is>
      </c>
      <c r="N2105" t="inlineStr">
        <is>
          <t>DEFAULT</t>
        </is>
      </c>
      <c r="Q2105" t="n">
        <v>0</v>
      </c>
      <c r="R2105" t="inlineStr">
        <is>
          <t>AUD</t>
        </is>
      </c>
      <c r="S2105" t="n">
        <v>0</v>
      </c>
      <c r="T2105" t="inlineStr">
        <is>
          <t>AUD</t>
        </is>
      </c>
      <c r="U2105" t="n">
        <v>0</v>
      </c>
    </row>
    <row r="2106">
      <c r="A2106" s="5" t="inlineStr">
        <is>
          <t>01a1212c-6527-7376-903c-4d8fef3467bd</t>
        </is>
      </c>
      <c r="C2106" s="5" t="inlineStr">
        <is>
          <t>01a1212c-4b57-70cf-80fd-c2192cb3bf81</t>
        </is>
      </c>
      <c r="D2106" s="4" t="n">
        <v>46304.62407453773</v>
      </c>
      <c r="E2106" s="4" t="n">
        <v>46304.62407453781</v>
      </c>
      <c r="F2106" t="b">
        <v>1</v>
      </c>
      <c r="G2106" t="n">
        <v/>
      </c>
      <c r="H2106" t="inlineStr">
        <is>
          <t>OLI</t>
        </is>
      </c>
      <c r="I2106" t="inlineStr">
        <is>
          <t>Oliver's Real Food Ltd</t>
        </is>
      </c>
      <c r="J2106" t="inlineStr">
        <is>
          <t>AUD</t>
        </is>
      </c>
      <c r="K2106" s="5" t="inlineStr">
        <is>
          <t>01a1212c-4c04-75ce-bbb2-e3322e18816e</t>
        </is>
      </c>
      <c r="M2106" t="inlineStr">
        <is>
          <t>UNKNOWN</t>
        </is>
      </c>
      <c r="N2106" t="inlineStr">
        <is>
          <t>DEFAULT</t>
        </is>
      </c>
      <c r="Q2106" t="n">
        <v>0</v>
      </c>
      <c r="R2106" t="inlineStr">
        <is>
          <t>AUD</t>
        </is>
      </c>
      <c r="S2106" t="n">
        <v>0</v>
      </c>
      <c r="T2106" t="inlineStr">
        <is>
          <t>AUD</t>
        </is>
      </c>
      <c r="U2106" t="n">
        <v>0</v>
      </c>
    </row>
    <row r="2107">
      <c r="A2107" s="5" t="inlineStr">
        <is>
          <t>01a1212c-652a-703e-9456-e3d512ad5056</t>
        </is>
      </c>
      <c r="C2107" s="5" t="inlineStr">
        <is>
          <t>01a1212c-4b57-70cf-80fd-c2192cb3bf81</t>
        </is>
      </c>
      <c r="D2107" s="4" t="n">
        <v>46304.62407456952</v>
      </c>
      <c r="E2107" s="4" t="n">
        <v>46304.6240745696</v>
      </c>
      <c r="F2107" t="b">
        <v>1</v>
      </c>
      <c r="G2107" t="n">
        <v/>
      </c>
      <c r="H2107" t="inlineStr">
        <is>
          <t>BMM</t>
        </is>
      </c>
      <c r="I2107" t="inlineStr">
        <is>
          <t>Bayan Mining and Minerals Ltd</t>
        </is>
      </c>
      <c r="J2107" t="inlineStr">
        <is>
          <t>AUD</t>
        </is>
      </c>
      <c r="K2107" s="5" t="inlineStr">
        <is>
          <t>01a1212c-4c04-75ce-bbb2-e3322e18816e</t>
        </is>
      </c>
      <c r="M2107" t="inlineStr">
        <is>
          <t>UNKNOWN</t>
        </is>
      </c>
      <c r="N2107" t="inlineStr">
        <is>
          <t>DEFAULT</t>
        </is>
      </c>
      <c r="Q2107" t="n">
        <v>0</v>
      </c>
      <c r="R2107" t="inlineStr">
        <is>
          <t>AUD</t>
        </is>
      </c>
      <c r="S2107" t="n">
        <v>0</v>
      </c>
      <c r="T2107" t="inlineStr">
        <is>
          <t>AUD</t>
        </is>
      </c>
      <c r="U2107" t="n">
        <v>0</v>
      </c>
    </row>
    <row r="2108">
      <c r="A2108" s="5" t="inlineStr">
        <is>
          <t>01a1212c-652d-738c-a172-6400f075d06c</t>
        </is>
      </c>
      <c r="C2108" s="5" t="inlineStr">
        <is>
          <t>01a1212c-4b57-70cf-80fd-c2192cb3bf81</t>
        </is>
      </c>
      <c r="D2108" s="4" t="n">
        <v>46304.62407460123</v>
      </c>
      <c r="E2108" s="4" t="n">
        <v>46304.62407460131</v>
      </c>
      <c r="F2108" t="b">
        <v>1</v>
      </c>
      <c r="G2108" t="n">
        <v/>
      </c>
      <c r="H2108" t="inlineStr">
        <is>
          <t>JHPI</t>
        </is>
      </c>
      <c r="I2108" t="inlineStr">
        <is>
          <t>JPM EQTY Prem Inc H Active ETF (Managed Fund)</t>
        </is>
      </c>
      <c r="J2108" t="inlineStr">
        <is>
          <t>AUD</t>
        </is>
      </c>
      <c r="K2108" s="5" t="inlineStr">
        <is>
          <t>01a1212c-4c04-75ce-bbb2-e3322e18816e</t>
        </is>
      </c>
      <c r="M2108" t="inlineStr">
        <is>
          <t>UNKNOWN</t>
        </is>
      </c>
      <c r="N2108" t="inlineStr">
        <is>
          <t>DEFAULT</t>
        </is>
      </c>
      <c r="Q2108" t="n">
        <v>0</v>
      </c>
      <c r="R2108" t="inlineStr">
        <is>
          <t>AUD</t>
        </is>
      </c>
      <c r="S2108" t="n">
        <v>0</v>
      </c>
      <c r="T2108" t="inlineStr">
        <is>
          <t>AUD</t>
        </is>
      </c>
      <c r="U2108" t="n">
        <v>0</v>
      </c>
    </row>
    <row r="2109">
      <c r="A2109" s="5" t="inlineStr">
        <is>
          <t>01a1212c-6530-7076-8f2d-69d278ac3969</t>
        </is>
      </c>
      <c r="C2109" s="5" t="inlineStr">
        <is>
          <t>01a1212c-4b57-70cf-80fd-c2192cb3bf81</t>
        </is>
      </c>
      <c r="D2109" s="4" t="n">
        <v>46304.62407463315</v>
      </c>
      <c r="E2109" s="4" t="n">
        <v>46304.62407463324</v>
      </c>
      <c r="F2109" t="b">
        <v>1</v>
      </c>
      <c r="G2109" t="n">
        <v/>
      </c>
      <c r="H2109" t="inlineStr">
        <is>
          <t>BOD</t>
        </is>
      </c>
      <c r="I2109" t="inlineStr">
        <is>
          <t>BOD Science Ltd</t>
        </is>
      </c>
      <c r="J2109" t="inlineStr">
        <is>
          <t>AUD</t>
        </is>
      </c>
      <c r="K2109" s="5" t="inlineStr">
        <is>
          <t>01a1212c-4c04-75ce-bbb2-e3322e18816e</t>
        </is>
      </c>
      <c r="M2109" t="inlineStr">
        <is>
          <t>UNKNOWN</t>
        </is>
      </c>
      <c r="N2109" t="inlineStr">
        <is>
          <t>DEFAULT</t>
        </is>
      </c>
      <c r="Q2109" t="n">
        <v>0</v>
      </c>
      <c r="R2109" t="inlineStr">
        <is>
          <t>AUD</t>
        </is>
      </c>
      <c r="S2109" t="n">
        <v>0</v>
      </c>
      <c r="T2109" t="inlineStr">
        <is>
          <t>AUD</t>
        </is>
      </c>
      <c r="U2109" t="n">
        <v>0</v>
      </c>
    </row>
    <row r="2110">
      <c r="A2110" s="5" t="inlineStr">
        <is>
          <t>01a1212c-6533-757e-84e1-2214c9f19c12</t>
        </is>
      </c>
      <c r="C2110" s="5" t="inlineStr">
        <is>
          <t>01a1212c-4b57-70cf-80fd-c2192cb3bf81</t>
        </is>
      </c>
      <c r="D2110" s="4" t="n">
        <v>46304.62407466609</v>
      </c>
      <c r="E2110" s="4" t="n">
        <v>46304.62407466618</v>
      </c>
      <c r="F2110" t="b">
        <v>1</v>
      </c>
      <c r="G2110" t="n">
        <v/>
      </c>
      <c r="H2110" t="inlineStr">
        <is>
          <t>IPB</t>
        </is>
      </c>
      <c r="I2110" t="inlineStr">
        <is>
          <t>IPB Petroleum Ltd</t>
        </is>
      </c>
      <c r="J2110" t="inlineStr">
        <is>
          <t>AUD</t>
        </is>
      </c>
      <c r="K2110" s="5" t="inlineStr">
        <is>
          <t>01a1212c-4c04-75ce-bbb2-e3322e18816e</t>
        </is>
      </c>
      <c r="M2110" t="inlineStr">
        <is>
          <t>UNKNOWN</t>
        </is>
      </c>
      <c r="N2110" t="inlineStr">
        <is>
          <t>DEFAULT</t>
        </is>
      </c>
      <c r="Q2110" t="n">
        <v>0</v>
      </c>
      <c r="R2110" t="inlineStr">
        <is>
          <t>AUD</t>
        </is>
      </c>
      <c r="S2110" t="n">
        <v>0</v>
      </c>
      <c r="T2110" t="inlineStr">
        <is>
          <t>AUD</t>
        </is>
      </c>
      <c r="U2110" t="n">
        <v>0</v>
      </c>
    </row>
    <row r="2111">
      <c r="A2111" s="5" t="inlineStr">
        <is>
          <t>01a1212c-6536-75dc-a853-654c39c055b9</t>
        </is>
      </c>
      <c r="C2111" s="5" t="inlineStr">
        <is>
          <t>01a1212c-4b57-70cf-80fd-c2192cb3bf81</t>
        </is>
      </c>
      <c r="D2111" s="4" t="n">
        <v>46304.6240747019</v>
      </c>
      <c r="E2111" s="4" t="n">
        <v>46304.62407470199</v>
      </c>
      <c r="F2111" t="b">
        <v>1</v>
      </c>
      <c r="G2111" t="n">
        <v/>
      </c>
      <c r="H2111" t="inlineStr">
        <is>
          <t>MML</t>
        </is>
      </c>
      <c r="I2111" t="inlineStr">
        <is>
          <t>Mclaren Minerals Ltd</t>
        </is>
      </c>
      <c r="J2111" t="inlineStr">
        <is>
          <t>AUD</t>
        </is>
      </c>
      <c r="K2111" s="5" t="inlineStr">
        <is>
          <t>01a1212c-4c04-75ce-bbb2-e3322e18816e</t>
        </is>
      </c>
      <c r="M2111" t="inlineStr">
        <is>
          <t>UNKNOWN</t>
        </is>
      </c>
      <c r="N2111" t="inlineStr">
        <is>
          <t>DEFAULT</t>
        </is>
      </c>
      <c r="Q2111" t="n">
        <v>0</v>
      </c>
      <c r="R2111" t="inlineStr">
        <is>
          <t>AUD</t>
        </is>
      </c>
      <c r="S2111" t="n">
        <v>0</v>
      </c>
      <c r="T2111" t="inlineStr">
        <is>
          <t>AUD</t>
        </is>
      </c>
      <c r="U2111" t="n">
        <v>0</v>
      </c>
    </row>
    <row r="2112">
      <c r="A2112" s="5" t="inlineStr">
        <is>
          <t>01a1212c-6538-7159-91c7-caa56d548d6b</t>
        </is>
      </c>
      <c r="C2112" s="5" t="inlineStr">
        <is>
          <t>01a1212c-4b57-70cf-80fd-c2192cb3bf81</t>
        </is>
      </c>
      <c r="D2112" s="4" t="n">
        <v>46304.62407473413</v>
      </c>
      <c r="E2112" s="4" t="n">
        <v>46304.62407473422</v>
      </c>
      <c r="F2112" t="b">
        <v>1</v>
      </c>
      <c r="G2112" t="n">
        <v/>
      </c>
      <c r="H2112" t="inlineStr">
        <is>
          <t>SMM</t>
        </is>
      </c>
      <c r="I2112" t="inlineStr">
        <is>
          <t>Somerset Minerals Ltd</t>
        </is>
      </c>
      <c r="J2112" t="inlineStr">
        <is>
          <t>AUD</t>
        </is>
      </c>
      <c r="K2112" s="5" t="inlineStr">
        <is>
          <t>01a1212c-4c04-75ce-bbb2-e3322e18816e</t>
        </is>
      </c>
      <c r="M2112" t="inlineStr">
        <is>
          <t>UNKNOWN</t>
        </is>
      </c>
      <c r="N2112" t="inlineStr">
        <is>
          <t>DEFAULT</t>
        </is>
      </c>
      <c r="Q2112" t="n">
        <v>0</v>
      </c>
      <c r="R2112" t="inlineStr">
        <is>
          <t>AUD</t>
        </is>
      </c>
      <c r="S2112" t="n">
        <v>0</v>
      </c>
      <c r="T2112" t="inlineStr">
        <is>
          <t>AUD</t>
        </is>
      </c>
      <c r="U2112" t="n">
        <v>0</v>
      </c>
    </row>
    <row r="2113">
      <c r="A2113" s="5" t="inlineStr">
        <is>
          <t>01a1212c-653b-743a-8293-0924f0198d55</t>
        </is>
      </c>
      <c r="C2113" s="5" t="inlineStr">
        <is>
          <t>01a1212c-4b57-70cf-80fd-c2192cb3bf81</t>
        </is>
      </c>
      <c r="D2113" s="4" t="n">
        <v>46304.62407476538</v>
      </c>
      <c r="E2113" s="4" t="n">
        <v>46304.62407476547</v>
      </c>
      <c r="F2113" t="b">
        <v>1</v>
      </c>
      <c r="G2113" t="n">
        <v/>
      </c>
      <c r="H2113" t="inlineStr">
        <is>
          <t>PPG</t>
        </is>
      </c>
      <c r="I2113" t="inlineStr">
        <is>
          <t>Pro-Pac Packaging Ltd</t>
        </is>
      </c>
      <c r="J2113" t="inlineStr">
        <is>
          <t>AUD</t>
        </is>
      </c>
      <c r="K2113" s="5" t="inlineStr">
        <is>
          <t>01a1212c-4c04-75ce-bbb2-e3322e18816e</t>
        </is>
      </c>
      <c r="M2113" t="inlineStr">
        <is>
          <t>UNKNOWN</t>
        </is>
      </c>
      <c r="N2113" t="inlineStr">
        <is>
          <t>DEFAULT</t>
        </is>
      </c>
      <c r="Q2113" t="n">
        <v>0</v>
      </c>
      <c r="R2113" t="inlineStr">
        <is>
          <t>AUD</t>
        </is>
      </c>
      <c r="S2113" t="n">
        <v>0</v>
      </c>
      <c r="T2113" t="inlineStr">
        <is>
          <t>AUD</t>
        </is>
      </c>
      <c r="U2113" t="n">
        <v>0</v>
      </c>
    </row>
    <row r="2114">
      <c r="A2114" s="5" t="inlineStr">
        <is>
          <t>01a1212c-653e-77e3-b4ef-2accfc1d0550</t>
        </is>
      </c>
      <c r="C2114" s="5" t="inlineStr">
        <is>
          <t>01a1212c-4b57-70cf-80fd-c2192cb3bf81</t>
        </is>
      </c>
      <c r="D2114" s="4" t="n">
        <v>46304.62407479645</v>
      </c>
      <c r="E2114" s="4" t="n">
        <v>46304.62407479653</v>
      </c>
      <c r="F2114" t="b">
        <v>1</v>
      </c>
      <c r="G2114" t="n">
        <v/>
      </c>
      <c r="H2114" t="inlineStr">
        <is>
          <t>PHL</t>
        </is>
      </c>
      <c r="I2114" t="inlineStr">
        <is>
          <t>Propell Holdings Ltd</t>
        </is>
      </c>
      <c r="J2114" t="inlineStr">
        <is>
          <t>AUD</t>
        </is>
      </c>
      <c r="K2114" s="5" t="inlineStr">
        <is>
          <t>01a1212c-4c04-75ce-bbb2-e3322e18816e</t>
        </is>
      </c>
      <c r="M2114" t="inlineStr">
        <is>
          <t>UNKNOWN</t>
        </is>
      </c>
      <c r="N2114" t="inlineStr">
        <is>
          <t>DEFAULT</t>
        </is>
      </c>
      <c r="Q2114" t="n">
        <v>0</v>
      </c>
      <c r="R2114" t="inlineStr">
        <is>
          <t>AUD</t>
        </is>
      </c>
      <c r="S2114" t="n">
        <v>0</v>
      </c>
      <c r="T2114" t="inlineStr">
        <is>
          <t>AUD</t>
        </is>
      </c>
      <c r="U2114" t="n">
        <v>0</v>
      </c>
    </row>
    <row r="2115">
      <c r="A2115" s="5" t="inlineStr">
        <is>
          <t>01a1212c-6541-7225-a1c9-29ee7b7d982d</t>
        </is>
      </c>
      <c r="C2115" s="5" t="inlineStr">
        <is>
          <t>01a1212c-4b57-70cf-80fd-c2192cb3bf81</t>
        </is>
      </c>
      <c r="D2115" s="4" t="n">
        <v>46304.62407482983</v>
      </c>
      <c r="E2115" s="4" t="n">
        <v>46304.62407482991</v>
      </c>
      <c r="F2115" t="b">
        <v>1</v>
      </c>
      <c r="G2115" t="n">
        <v/>
      </c>
      <c r="H2115" t="inlineStr">
        <is>
          <t>MQR</t>
        </is>
      </c>
      <c r="I2115" t="inlineStr">
        <is>
          <t>Marquee Resources Ltd</t>
        </is>
      </c>
      <c r="J2115" t="inlineStr">
        <is>
          <t>AUD</t>
        </is>
      </c>
      <c r="K2115" s="5" t="inlineStr">
        <is>
          <t>01a1212c-4c04-75ce-bbb2-e3322e18816e</t>
        </is>
      </c>
      <c r="M2115" t="inlineStr">
        <is>
          <t>UNKNOWN</t>
        </is>
      </c>
      <c r="N2115" t="inlineStr">
        <is>
          <t>DEFAULT</t>
        </is>
      </c>
      <c r="Q2115" t="n">
        <v>0</v>
      </c>
      <c r="R2115" t="inlineStr">
        <is>
          <t>AUD</t>
        </is>
      </c>
      <c r="S2115" t="n">
        <v>0</v>
      </c>
      <c r="T2115" t="inlineStr">
        <is>
          <t>AUD</t>
        </is>
      </c>
      <c r="U2115" t="n">
        <v>0</v>
      </c>
    </row>
    <row r="2116">
      <c r="A2116" s="5" t="inlineStr">
        <is>
          <t>01a1212c-6543-7390-b8af-db099386b7d0</t>
        </is>
      </c>
      <c r="C2116" s="5" t="inlineStr">
        <is>
          <t>01a1212c-4b57-70cf-80fd-c2192cb3bf81</t>
        </is>
      </c>
      <c r="D2116" s="4" t="n">
        <v>46304.62407486154</v>
      </c>
      <c r="E2116" s="4" t="n">
        <v>46304.62407486163</v>
      </c>
      <c r="F2116" t="b">
        <v>1</v>
      </c>
      <c r="G2116" t="n">
        <v/>
      </c>
      <c r="H2116" t="inlineStr">
        <is>
          <t>FHNG</t>
        </is>
      </c>
      <c r="I2116" t="inlineStr">
        <is>
          <t>Global X Fang+ (Currency Hedged) ETF</t>
        </is>
      </c>
      <c r="J2116" t="inlineStr">
        <is>
          <t>AUD</t>
        </is>
      </c>
      <c r="K2116" s="5" t="inlineStr">
        <is>
          <t>01a1212c-4c04-75ce-bbb2-e3322e18816e</t>
        </is>
      </c>
      <c r="M2116" t="inlineStr">
        <is>
          <t>UNKNOWN</t>
        </is>
      </c>
      <c r="N2116" t="inlineStr">
        <is>
          <t>DEFAULT</t>
        </is>
      </c>
      <c r="Q2116" t="n">
        <v>0</v>
      </c>
      <c r="R2116" t="inlineStr">
        <is>
          <t>AUD</t>
        </is>
      </c>
      <c r="S2116" t="n">
        <v>0</v>
      </c>
      <c r="T2116" t="inlineStr">
        <is>
          <t>AUD</t>
        </is>
      </c>
      <c r="U2116" t="n">
        <v>0</v>
      </c>
    </row>
    <row r="2117">
      <c r="A2117" s="5" t="inlineStr">
        <is>
          <t>01a1212c-6546-7436-a5b3-01f3a3d118c3</t>
        </is>
      </c>
      <c r="C2117" s="5" t="inlineStr">
        <is>
          <t>01a1212c-4b57-70cf-80fd-c2192cb3bf81</t>
        </is>
      </c>
      <c r="D2117" s="4" t="n">
        <v>46304.62407489292</v>
      </c>
      <c r="E2117" s="4" t="n">
        <v>46304.624074893</v>
      </c>
      <c r="F2117" t="b">
        <v>1</v>
      </c>
      <c r="G2117" t="n">
        <v/>
      </c>
      <c r="H2117" t="inlineStr">
        <is>
          <t>FAU</t>
        </is>
      </c>
      <c r="I2117" t="inlineStr">
        <is>
          <t>First Au Ltd</t>
        </is>
      </c>
      <c r="J2117" t="inlineStr">
        <is>
          <t>AUD</t>
        </is>
      </c>
      <c r="K2117" s="5" t="inlineStr">
        <is>
          <t>01a1212c-4c04-75ce-bbb2-e3322e18816e</t>
        </is>
      </c>
      <c r="M2117" t="inlineStr">
        <is>
          <t>UNKNOWN</t>
        </is>
      </c>
      <c r="N2117" t="inlineStr">
        <is>
          <t>DEFAULT</t>
        </is>
      </c>
      <c r="Q2117" t="n">
        <v>0</v>
      </c>
      <c r="R2117" t="inlineStr">
        <is>
          <t>AUD</t>
        </is>
      </c>
      <c r="S2117" t="n">
        <v>0</v>
      </c>
      <c r="T2117" t="inlineStr">
        <is>
          <t>AUD</t>
        </is>
      </c>
      <c r="U2117" t="n">
        <v>0</v>
      </c>
    </row>
    <row r="2118">
      <c r="A2118" s="5" t="inlineStr">
        <is>
          <t>01a1212c-6549-765c-9123-3629cfa0f583</t>
        </is>
      </c>
      <c r="C2118" s="5" t="inlineStr">
        <is>
          <t>01a1212c-4b57-70cf-80fd-c2192cb3bf81</t>
        </is>
      </c>
      <c r="D2118" s="4" t="n">
        <v>46304.62407492427</v>
      </c>
      <c r="E2118" s="4" t="n">
        <v>46304.62407492435</v>
      </c>
      <c r="F2118" t="b">
        <v>1</v>
      </c>
      <c r="G2118" t="n">
        <v/>
      </c>
      <c r="H2118" t="inlineStr">
        <is>
          <t>IFG</t>
        </is>
      </c>
      <c r="I2118" t="inlineStr">
        <is>
          <t>Infocus Group Holdings Ltd</t>
        </is>
      </c>
      <c r="J2118" t="inlineStr">
        <is>
          <t>AUD</t>
        </is>
      </c>
      <c r="K2118" s="5" t="inlineStr">
        <is>
          <t>01a1212c-4c04-75ce-bbb2-e3322e18816e</t>
        </is>
      </c>
      <c r="M2118" t="inlineStr">
        <is>
          <t>UNKNOWN</t>
        </is>
      </c>
      <c r="N2118" t="inlineStr">
        <is>
          <t>DEFAULT</t>
        </is>
      </c>
      <c r="Q2118" t="n">
        <v>0</v>
      </c>
      <c r="R2118" t="inlineStr">
        <is>
          <t>AUD</t>
        </is>
      </c>
      <c r="S2118" t="n">
        <v>0</v>
      </c>
      <c r="T2118" t="inlineStr">
        <is>
          <t>AUD</t>
        </is>
      </c>
      <c r="U2118" t="n">
        <v>0</v>
      </c>
    </row>
    <row r="2119">
      <c r="A2119" s="5" t="inlineStr">
        <is>
          <t>01a1212c-654c-7560-aa96-d01389267c8c</t>
        </is>
      </c>
      <c r="C2119" s="5" t="inlineStr">
        <is>
          <t>01a1212c-4b57-70cf-80fd-c2192cb3bf81</t>
        </is>
      </c>
      <c r="D2119" s="4" t="n">
        <v>46304.62407495686</v>
      </c>
      <c r="E2119" s="4" t="n">
        <v>46304.62407495696</v>
      </c>
      <c r="F2119" t="b">
        <v>1</v>
      </c>
      <c r="G2119" t="n">
        <v/>
      </c>
      <c r="H2119" t="inlineStr">
        <is>
          <t>SBW</t>
        </is>
      </c>
      <c r="I2119" t="inlineStr">
        <is>
          <t>Shekel Brainweigh Ltd</t>
        </is>
      </c>
      <c r="J2119" t="inlineStr">
        <is>
          <t>AUD</t>
        </is>
      </c>
      <c r="K2119" s="5" t="inlineStr">
        <is>
          <t>01a1212c-4c04-75ce-bbb2-e3322e18816e</t>
        </is>
      </c>
      <c r="M2119" t="inlineStr">
        <is>
          <t>UNKNOWN</t>
        </is>
      </c>
      <c r="N2119" t="inlineStr">
        <is>
          <t>DEFAULT</t>
        </is>
      </c>
      <c r="Q2119" t="n">
        <v>0</v>
      </c>
      <c r="R2119" t="inlineStr">
        <is>
          <t>AUD</t>
        </is>
      </c>
      <c r="S2119" t="n">
        <v>0</v>
      </c>
      <c r="T2119" t="inlineStr">
        <is>
          <t>AUD</t>
        </is>
      </c>
      <c r="U2119" t="n">
        <v>0</v>
      </c>
    </row>
    <row r="2120">
      <c r="A2120" s="5" t="inlineStr">
        <is>
          <t>01a1212c-654f-7600-9ffe-63d6d0d0eb34</t>
        </is>
      </c>
      <c r="C2120" s="5" t="inlineStr">
        <is>
          <t>01a1212c-4b57-70cf-80fd-c2192cb3bf81</t>
        </is>
      </c>
      <c r="D2120" s="4" t="n">
        <v>46304.62407499036</v>
      </c>
      <c r="E2120" s="4" t="n">
        <v>46304.62407499044</v>
      </c>
      <c r="F2120" t="b">
        <v>1</v>
      </c>
      <c r="G2120" t="n">
        <v/>
      </c>
      <c r="H2120" t="inlineStr">
        <is>
          <t>FIIN</t>
        </is>
      </c>
      <c r="I2120" t="inlineStr">
        <is>
          <t>Fidelity India Active ETF</t>
        </is>
      </c>
      <c r="J2120" t="inlineStr">
        <is>
          <t>AUD</t>
        </is>
      </c>
      <c r="K2120" s="5" t="inlineStr">
        <is>
          <t>01a1212c-4c04-75ce-bbb2-e3322e18816e</t>
        </is>
      </c>
      <c r="M2120" t="inlineStr">
        <is>
          <t>UNKNOWN</t>
        </is>
      </c>
      <c r="N2120" t="inlineStr">
        <is>
          <t>DEFAULT</t>
        </is>
      </c>
      <c r="Q2120" t="n">
        <v>0</v>
      </c>
      <c r="R2120" t="inlineStr">
        <is>
          <t>AUD</t>
        </is>
      </c>
      <c r="S2120" t="n">
        <v>0</v>
      </c>
      <c r="T2120" t="inlineStr">
        <is>
          <t>AUD</t>
        </is>
      </c>
      <c r="U2120" t="n">
        <v>0</v>
      </c>
    </row>
    <row r="2121">
      <c r="A2121" s="5" t="inlineStr">
        <is>
          <t>01a1212c-6551-7766-ad3c-27e862dbd9d9</t>
        </is>
      </c>
      <c r="C2121" s="5" t="inlineStr">
        <is>
          <t>01a1212c-4b57-70cf-80fd-c2192cb3bf81</t>
        </is>
      </c>
      <c r="D2121" s="4" t="n">
        <v>46304.62407502102</v>
      </c>
      <c r="E2121" s="4" t="n">
        <v>46304.6240750211</v>
      </c>
      <c r="F2121" t="b">
        <v>1</v>
      </c>
      <c r="G2121" t="n">
        <v/>
      </c>
      <c r="H2121" t="inlineStr">
        <is>
          <t>VBS</t>
        </is>
      </c>
      <c r="I2121" t="inlineStr">
        <is>
          <t>Vectus Biosystems Ltd</t>
        </is>
      </c>
      <c r="J2121" t="inlineStr">
        <is>
          <t>AUD</t>
        </is>
      </c>
      <c r="K2121" s="5" t="inlineStr">
        <is>
          <t>01a1212c-4c04-75ce-bbb2-e3322e18816e</t>
        </is>
      </c>
      <c r="M2121" t="inlineStr">
        <is>
          <t>UNKNOWN</t>
        </is>
      </c>
      <c r="N2121" t="inlineStr">
        <is>
          <t>DEFAULT</t>
        </is>
      </c>
      <c r="Q2121" t="n">
        <v>0</v>
      </c>
      <c r="R2121" t="inlineStr">
        <is>
          <t>AUD</t>
        </is>
      </c>
      <c r="S2121" t="n">
        <v>0</v>
      </c>
      <c r="T2121" t="inlineStr">
        <is>
          <t>AUD</t>
        </is>
      </c>
      <c r="U2121" t="n">
        <v>0</v>
      </c>
    </row>
    <row r="2122">
      <c r="A2122" s="5" t="inlineStr">
        <is>
          <t>01a1212c-6554-72c4-bc82-5cd2e92d625a</t>
        </is>
      </c>
      <c r="C2122" s="5" t="inlineStr">
        <is>
          <t>01a1212c-4b57-70cf-80fd-c2192cb3bf81</t>
        </is>
      </c>
      <c r="D2122" s="4" t="n">
        <v>46304.62407505412</v>
      </c>
      <c r="E2122" s="4" t="n">
        <v>46304.6240750542</v>
      </c>
      <c r="F2122" t="b">
        <v>1</v>
      </c>
      <c r="G2122" t="n">
        <v/>
      </c>
      <c r="H2122" t="inlineStr">
        <is>
          <t>GGX</t>
        </is>
      </c>
      <c r="I2122" t="inlineStr">
        <is>
          <t>GAS2GRID Ltd</t>
        </is>
      </c>
      <c r="J2122" t="inlineStr">
        <is>
          <t>AUD</t>
        </is>
      </c>
      <c r="K2122" s="5" t="inlineStr">
        <is>
          <t>01a1212c-4c04-75ce-bbb2-e3322e18816e</t>
        </is>
      </c>
      <c r="M2122" t="inlineStr">
        <is>
          <t>UNKNOWN</t>
        </is>
      </c>
      <c r="N2122" t="inlineStr">
        <is>
          <t>DEFAULT</t>
        </is>
      </c>
      <c r="Q2122" t="n">
        <v>0</v>
      </c>
      <c r="R2122" t="inlineStr">
        <is>
          <t>AUD</t>
        </is>
      </c>
      <c r="S2122" t="n">
        <v>0</v>
      </c>
      <c r="T2122" t="inlineStr">
        <is>
          <t>AUD</t>
        </is>
      </c>
      <c r="U2122" t="n">
        <v>0</v>
      </c>
    </row>
    <row r="2123">
      <c r="A2123" s="5" t="inlineStr">
        <is>
          <t>01a1212c-6557-7063-8603-c03d1c9fb683</t>
        </is>
      </c>
      <c r="C2123" s="5" t="inlineStr">
        <is>
          <t>01a1212c-4b57-70cf-80fd-c2192cb3bf81</t>
        </is>
      </c>
      <c r="D2123" s="4" t="n">
        <v>46304.62407508519</v>
      </c>
      <c r="E2123" s="4" t="n">
        <v>46304.62407508527</v>
      </c>
      <c r="F2123" t="b">
        <v>1</v>
      </c>
      <c r="G2123" t="n">
        <v/>
      </c>
      <c r="H2123" t="inlineStr">
        <is>
          <t>MOZG</t>
        </is>
      </c>
      <c r="I2123" t="inlineStr">
        <is>
          <t>Mosaic Brands Ltd</t>
        </is>
      </c>
      <c r="J2123" t="inlineStr">
        <is>
          <t>AUD</t>
        </is>
      </c>
      <c r="K2123" s="5" t="inlineStr">
        <is>
          <t>01a1212c-4c04-75ce-bbb2-e3322e18816e</t>
        </is>
      </c>
      <c r="M2123" t="inlineStr">
        <is>
          <t>UNKNOWN</t>
        </is>
      </c>
      <c r="N2123" t="inlineStr">
        <is>
          <t>DEFAULT</t>
        </is>
      </c>
      <c r="Q2123" t="n">
        <v>0</v>
      </c>
      <c r="R2123" t="inlineStr">
        <is>
          <t>AUD</t>
        </is>
      </c>
      <c r="S2123" t="n">
        <v>0</v>
      </c>
      <c r="T2123" t="inlineStr">
        <is>
          <t>AUD</t>
        </is>
      </c>
      <c r="U2123" t="n">
        <v>0</v>
      </c>
    </row>
    <row r="2124">
      <c r="A2124" s="5" t="inlineStr">
        <is>
          <t>01a1212c-655a-7002-b025-f4ca25d420ec</t>
        </is>
      </c>
      <c r="C2124" s="5" t="inlineStr">
        <is>
          <t>01a1212c-4b57-70cf-80fd-c2192cb3bf81</t>
        </is>
      </c>
      <c r="D2124" s="4" t="n">
        <v>46304.62407511868</v>
      </c>
      <c r="E2124" s="4" t="n">
        <v>46304.62407511875</v>
      </c>
      <c r="F2124" t="b">
        <v>1</v>
      </c>
      <c r="G2124" t="n">
        <v/>
      </c>
      <c r="H2124" t="inlineStr">
        <is>
          <t>SLB</t>
        </is>
      </c>
      <c r="I2124" t="inlineStr">
        <is>
          <t>Stelar Metals Ltd</t>
        </is>
      </c>
      <c r="J2124" t="inlineStr">
        <is>
          <t>AUD</t>
        </is>
      </c>
      <c r="K2124" s="5" t="inlineStr">
        <is>
          <t>01a1212c-4c04-75ce-bbb2-e3322e18816e</t>
        </is>
      </c>
      <c r="M2124" t="inlineStr">
        <is>
          <t>UNKNOWN</t>
        </is>
      </c>
      <c r="N2124" t="inlineStr">
        <is>
          <t>DEFAULT</t>
        </is>
      </c>
      <c r="Q2124" t="n">
        <v>0</v>
      </c>
      <c r="R2124" t="inlineStr">
        <is>
          <t>AUD</t>
        </is>
      </c>
      <c r="S2124" t="n">
        <v>0</v>
      </c>
      <c r="T2124" t="inlineStr">
        <is>
          <t>AUD</t>
        </is>
      </c>
      <c r="U2124" t="n">
        <v>0</v>
      </c>
    </row>
    <row r="2125">
      <c r="A2125" s="5" t="inlineStr">
        <is>
          <t>01a1212c-655c-77a2-9cba-f6d1ded065ff</t>
        </is>
      </c>
      <c r="C2125" s="5" t="inlineStr">
        <is>
          <t>01a1212c-4b57-70cf-80fd-c2192cb3bf81</t>
        </is>
      </c>
      <c r="D2125" s="4" t="n">
        <v>46304.62407515012</v>
      </c>
      <c r="E2125" s="4" t="n">
        <v>46304.62407515021</v>
      </c>
      <c r="F2125" t="b">
        <v>1</v>
      </c>
      <c r="G2125" t="n">
        <v/>
      </c>
      <c r="H2125" t="inlineStr">
        <is>
          <t>1TT</t>
        </is>
      </c>
      <c r="I2125" t="inlineStr">
        <is>
          <t>Thrive Tribe Technologies Ltd</t>
        </is>
      </c>
      <c r="J2125" t="inlineStr">
        <is>
          <t>AUD</t>
        </is>
      </c>
      <c r="K2125" s="5" t="inlineStr">
        <is>
          <t>01a1212c-4c04-75ce-bbb2-e3322e18816e</t>
        </is>
      </c>
      <c r="M2125" t="inlineStr">
        <is>
          <t>UNKNOWN</t>
        </is>
      </c>
      <c r="N2125" t="inlineStr">
        <is>
          <t>DEFAULT</t>
        </is>
      </c>
      <c r="Q2125" t="n">
        <v>0</v>
      </c>
      <c r="R2125" t="inlineStr">
        <is>
          <t>AUD</t>
        </is>
      </c>
      <c r="S2125" t="n">
        <v>0</v>
      </c>
      <c r="T2125" t="inlineStr">
        <is>
          <t>AUD</t>
        </is>
      </c>
      <c r="U2125" t="n">
        <v>0</v>
      </c>
    </row>
    <row r="2126">
      <c r="A2126" s="5" t="inlineStr">
        <is>
          <t>01a1212c-655f-74f4-ad65-bf99dddceaaf</t>
        </is>
      </c>
      <c r="C2126" s="5" t="inlineStr">
        <is>
          <t>01a1212c-4b57-70cf-80fd-c2192cb3bf81</t>
        </is>
      </c>
      <c r="D2126" s="4" t="n">
        <v>46304.62407518111</v>
      </c>
      <c r="E2126" s="4" t="n">
        <v>46304.62407518119</v>
      </c>
      <c r="F2126" t="b">
        <v>1</v>
      </c>
      <c r="G2126" t="n">
        <v/>
      </c>
      <c r="H2126" t="inlineStr">
        <is>
          <t>AEBD</t>
        </is>
      </c>
      <c r="I2126" t="inlineStr">
        <is>
          <t>Betashares Ethical Australian Composite Bond ETF</t>
        </is>
      </c>
      <c r="J2126" t="inlineStr">
        <is>
          <t>AUD</t>
        </is>
      </c>
      <c r="K2126" s="5" t="inlineStr">
        <is>
          <t>01a1212c-4c04-75ce-bbb2-e3322e18816e</t>
        </is>
      </c>
      <c r="M2126" t="inlineStr">
        <is>
          <t>UNKNOWN</t>
        </is>
      </c>
      <c r="N2126" t="inlineStr">
        <is>
          <t>DEFAULT</t>
        </is>
      </c>
      <c r="Q2126" t="n">
        <v>0</v>
      </c>
      <c r="R2126" t="inlineStr">
        <is>
          <t>AUD</t>
        </is>
      </c>
      <c r="S2126" t="n">
        <v>0</v>
      </c>
      <c r="T2126" t="inlineStr">
        <is>
          <t>AUD</t>
        </is>
      </c>
      <c r="U2126" t="n">
        <v>0</v>
      </c>
    </row>
    <row r="2127">
      <c r="A2127" s="5" t="inlineStr">
        <is>
          <t>01a1212c-6562-70b4-bdd3-f67d48fb2129</t>
        </is>
      </c>
      <c r="C2127" s="5" t="inlineStr">
        <is>
          <t>01a1212c-4b57-70cf-80fd-c2192cb3bf81</t>
        </is>
      </c>
      <c r="D2127" s="4" t="n">
        <v>46304.62407521276</v>
      </c>
      <c r="E2127" s="4" t="n">
        <v>46304.62407521284</v>
      </c>
      <c r="F2127" t="b">
        <v>1</v>
      </c>
      <c r="G2127" t="n">
        <v/>
      </c>
      <c r="H2127" t="inlineStr">
        <is>
          <t>NNG</t>
        </is>
      </c>
      <c r="I2127" t="inlineStr">
        <is>
          <t>Nexion Group Ltd</t>
        </is>
      </c>
      <c r="J2127" t="inlineStr">
        <is>
          <t>AUD</t>
        </is>
      </c>
      <c r="K2127" s="5" t="inlineStr">
        <is>
          <t>01a1212c-4c04-75ce-bbb2-e3322e18816e</t>
        </is>
      </c>
      <c r="M2127" t="inlineStr">
        <is>
          <t>UNKNOWN</t>
        </is>
      </c>
      <c r="N2127" t="inlineStr">
        <is>
          <t>DEFAULT</t>
        </is>
      </c>
      <c r="Q2127" t="n">
        <v>0</v>
      </c>
      <c r="R2127" t="inlineStr">
        <is>
          <t>AUD</t>
        </is>
      </c>
      <c r="S2127" t="n">
        <v>0</v>
      </c>
      <c r="T2127" t="inlineStr">
        <is>
          <t>AUD</t>
        </is>
      </c>
      <c r="U2127" t="n">
        <v>0</v>
      </c>
    </row>
    <row r="2128">
      <c r="A2128" s="5" t="inlineStr">
        <is>
          <t>01a1212c-6564-71df-a1d3-37be600e52a9</t>
        </is>
      </c>
      <c r="C2128" s="5" t="inlineStr">
        <is>
          <t>01a1212c-4b57-70cf-80fd-c2192cb3bf81</t>
        </is>
      </c>
      <c r="D2128" s="4" t="n">
        <v>46304.62407524381</v>
      </c>
      <c r="E2128" s="4" t="n">
        <v>46304.62407524389</v>
      </c>
      <c r="F2128" t="b">
        <v>1</v>
      </c>
      <c r="G2128" t="n">
        <v/>
      </c>
      <c r="H2128" t="inlineStr">
        <is>
          <t>SMS</t>
        </is>
      </c>
      <c r="I2128" t="inlineStr">
        <is>
          <t>Star Minerals Ltd</t>
        </is>
      </c>
      <c r="J2128" t="inlineStr">
        <is>
          <t>AUD</t>
        </is>
      </c>
      <c r="K2128" s="5" t="inlineStr">
        <is>
          <t>01a1212c-4c04-75ce-bbb2-e3322e18816e</t>
        </is>
      </c>
      <c r="M2128" t="inlineStr">
        <is>
          <t>UNKNOWN</t>
        </is>
      </c>
      <c r="N2128" t="inlineStr">
        <is>
          <t>DEFAULT</t>
        </is>
      </c>
      <c r="Q2128" t="n">
        <v>0</v>
      </c>
      <c r="R2128" t="inlineStr">
        <is>
          <t>AUD</t>
        </is>
      </c>
      <c r="S2128" t="n">
        <v>0</v>
      </c>
      <c r="T2128" t="inlineStr">
        <is>
          <t>AUD</t>
        </is>
      </c>
      <c r="U2128" t="n">
        <v>0</v>
      </c>
    </row>
    <row r="2129">
      <c r="A2129" s="5" t="inlineStr">
        <is>
          <t>01a1212c-6567-70d3-ba16-554d132cf340</t>
        </is>
      </c>
      <c r="C2129" s="5" t="inlineStr">
        <is>
          <t>01a1212c-4b57-70cf-80fd-c2192cb3bf81</t>
        </is>
      </c>
      <c r="D2129" s="4" t="n">
        <v>46304.62407527716</v>
      </c>
      <c r="E2129" s="4" t="n">
        <v>46304.62407527722</v>
      </c>
      <c r="F2129" t="b">
        <v>1</v>
      </c>
      <c r="G2129" t="n">
        <v/>
      </c>
      <c r="H2129" t="inlineStr">
        <is>
          <t>HAR</t>
        </is>
      </c>
      <c r="I2129" t="inlineStr">
        <is>
          <t>Haranga Resources Ltd</t>
        </is>
      </c>
      <c r="J2129" t="inlineStr">
        <is>
          <t>AUD</t>
        </is>
      </c>
      <c r="K2129" s="5" t="inlineStr">
        <is>
          <t>01a1212c-4c04-75ce-bbb2-e3322e18816e</t>
        </is>
      </c>
      <c r="M2129" t="inlineStr">
        <is>
          <t>UNKNOWN</t>
        </is>
      </c>
      <c r="N2129" t="inlineStr">
        <is>
          <t>DEFAULT</t>
        </is>
      </c>
      <c r="Q2129" t="n">
        <v>0</v>
      </c>
      <c r="R2129" t="inlineStr">
        <is>
          <t>AUD</t>
        </is>
      </c>
      <c r="S2129" t="n">
        <v>0</v>
      </c>
      <c r="T2129" t="inlineStr">
        <is>
          <t>AUD</t>
        </is>
      </c>
      <c r="U2129" t="n">
        <v>0</v>
      </c>
    </row>
    <row r="2130">
      <c r="A2130" s="5" t="inlineStr">
        <is>
          <t>01a1212c-656a-7438-bec4-f6a0fe385f0b</t>
        </is>
      </c>
      <c r="C2130" s="5" t="inlineStr">
        <is>
          <t>01a1212c-4b57-70cf-80fd-c2192cb3bf81</t>
        </is>
      </c>
      <c r="D2130" s="4" t="n">
        <v>46304.62407530822</v>
      </c>
      <c r="E2130" s="4" t="n">
        <v>46304.62407530829</v>
      </c>
      <c r="F2130" t="b">
        <v>1</v>
      </c>
      <c r="G2130" t="n">
        <v/>
      </c>
      <c r="H2130" t="inlineStr">
        <is>
          <t>M24</t>
        </is>
      </c>
      <c r="I2130" t="inlineStr">
        <is>
          <t>Mamba Exploration Ltd</t>
        </is>
      </c>
      <c r="J2130" t="inlineStr">
        <is>
          <t>AUD</t>
        </is>
      </c>
      <c r="K2130" s="5" t="inlineStr">
        <is>
          <t>01a1212c-4c04-75ce-bbb2-e3322e18816e</t>
        </is>
      </c>
      <c r="M2130" t="inlineStr">
        <is>
          <t>UNKNOWN</t>
        </is>
      </c>
      <c r="N2130" t="inlineStr">
        <is>
          <t>DEFAULT</t>
        </is>
      </c>
      <c r="Q2130" t="n">
        <v>0</v>
      </c>
      <c r="R2130" t="inlineStr">
        <is>
          <t>AUD</t>
        </is>
      </c>
      <c r="S2130" t="n">
        <v>0</v>
      </c>
      <c r="T2130" t="inlineStr">
        <is>
          <t>AUD</t>
        </is>
      </c>
      <c r="U2130" t="n">
        <v>0</v>
      </c>
    </row>
    <row r="2131">
      <c r="A2131" s="5" t="inlineStr">
        <is>
          <t>01a1212c-656d-769b-9bd5-04a55235addf</t>
        </is>
      </c>
      <c r="C2131" s="5" t="inlineStr">
        <is>
          <t>01a1212c-4b57-70cf-80fd-c2192cb3bf81</t>
        </is>
      </c>
      <c r="D2131" s="4" t="n">
        <v>46304.62407534064</v>
      </c>
      <c r="E2131" s="4" t="n">
        <v>46304.62407534073</v>
      </c>
      <c r="F2131" t="b">
        <v>1</v>
      </c>
      <c r="G2131" t="n">
        <v/>
      </c>
      <c r="H2131" t="inlineStr">
        <is>
          <t>SRI</t>
        </is>
      </c>
      <c r="I2131" t="inlineStr">
        <is>
          <t>Sipa Resources Ltd</t>
        </is>
      </c>
      <c r="J2131" t="inlineStr">
        <is>
          <t>AUD</t>
        </is>
      </c>
      <c r="K2131" s="5" t="inlineStr">
        <is>
          <t>01a1212c-4c04-75ce-bbb2-e3322e18816e</t>
        </is>
      </c>
      <c r="M2131" t="inlineStr">
        <is>
          <t>UNKNOWN</t>
        </is>
      </c>
      <c r="N2131" t="inlineStr">
        <is>
          <t>DEFAULT</t>
        </is>
      </c>
      <c r="Q2131" t="n">
        <v>0</v>
      </c>
      <c r="R2131" t="inlineStr">
        <is>
          <t>AUD</t>
        </is>
      </c>
      <c r="S2131" t="n">
        <v>0</v>
      </c>
      <c r="T2131" t="inlineStr">
        <is>
          <t>AUD</t>
        </is>
      </c>
      <c r="U2131" t="n">
        <v>0</v>
      </c>
    </row>
    <row r="2132">
      <c r="A2132" s="5" t="inlineStr">
        <is>
          <t>01a1212c-6570-702c-a021-6b7de5c32c94</t>
        </is>
      </c>
      <c r="C2132" s="5" t="inlineStr">
        <is>
          <t>01a1212c-4b57-70cf-80fd-c2192cb3bf81</t>
        </is>
      </c>
      <c r="D2132" s="4" t="n">
        <v>46304.62407537212</v>
      </c>
      <c r="E2132" s="4" t="n">
        <v>46304.62407537221</v>
      </c>
      <c r="F2132" t="b">
        <v>1</v>
      </c>
      <c r="G2132" t="n">
        <v/>
      </c>
      <c r="H2132" t="inlineStr">
        <is>
          <t>OSX</t>
        </is>
      </c>
      <c r="I2132" t="inlineStr">
        <is>
          <t>Osteopore Ltd</t>
        </is>
      </c>
      <c r="J2132" t="inlineStr">
        <is>
          <t>AUD</t>
        </is>
      </c>
      <c r="K2132" s="5" t="inlineStr">
        <is>
          <t>01a1212c-4c04-75ce-bbb2-e3322e18816e</t>
        </is>
      </c>
      <c r="M2132" t="inlineStr">
        <is>
          <t>UNKNOWN</t>
        </is>
      </c>
      <c r="N2132" t="inlineStr">
        <is>
          <t>DEFAULT</t>
        </is>
      </c>
      <c r="Q2132" t="n">
        <v>0</v>
      </c>
      <c r="R2132" t="inlineStr">
        <is>
          <t>AUD</t>
        </is>
      </c>
      <c r="S2132" t="n">
        <v>0</v>
      </c>
      <c r="T2132" t="inlineStr">
        <is>
          <t>AUD</t>
        </is>
      </c>
      <c r="U2132" t="n">
        <v>0</v>
      </c>
    </row>
    <row r="2133">
      <c r="A2133" s="5" t="inlineStr">
        <is>
          <t>01a1212c-6572-7626-895c-5e8eea2a0ca6</t>
        </is>
      </c>
      <c r="C2133" s="5" t="inlineStr">
        <is>
          <t>01a1212c-4b57-70cf-80fd-c2192cb3bf81</t>
        </is>
      </c>
      <c r="D2133" s="4" t="n">
        <v>46304.62407540614</v>
      </c>
      <c r="E2133" s="4" t="n">
        <v>46304.62407540622</v>
      </c>
      <c r="F2133" t="b">
        <v>1</v>
      </c>
      <c r="G2133" t="n">
        <v/>
      </c>
      <c r="H2133" t="inlineStr">
        <is>
          <t>AFA</t>
        </is>
      </c>
      <c r="I2133" t="inlineStr">
        <is>
          <t>Asf Group Ltd</t>
        </is>
      </c>
      <c r="J2133" t="inlineStr">
        <is>
          <t>AUD</t>
        </is>
      </c>
      <c r="K2133" s="5" t="inlineStr">
        <is>
          <t>01a1212c-4c04-75ce-bbb2-e3322e18816e</t>
        </is>
      </c>
      <c r="M2133" t="inlineStr">
        <is>
          <t>UNKNOWN</t>
        </is>
      </c>
      <c r="N2133" t="inlineStr">
        <is>
          <t>DEFAULT</t>
        </is>
      </c>
      <c r="Q2133" t="n">
        <v>0</v>
      </c>
      <c r="R2133" t="inlineStr">
        <is>
          <t>AUD</t>
        </is>
      </c>
      <c r="S2133" t="n">
        <v>0</v>
      </c>
      <c r="T2133" t="inlineStr">
        <is>
          <t>AUD</t>
        </is>
      </c>
      <c r="U2133" t="n">
        <v>0</v>
      </c>
    </row>
    <row r="2134">
      <c r="A2134" s="5" t="inlineStr">
        <is>
          <t>01a1212c-6575-738d-b63c-a5f7517af3c4</t>
        </is>
      </c>
      <c r="C2134" s="5" t="inlineStr">
        <is>
          <t>01a1212c-4b57-70cf-80fd-c2192cb3bf81</t>
        </is>
      </c>
      <c r="D2134" s="4" t="n">
        <v>46304.6240754407</v>
      </c>
      <c r="E2134" s="4" t="n">
        <v>46304.62407544078</v>
      </c>
      <c r="F2134" t="b">
        <v>1</v>
      </c>
      <c r="G2134" t="n">
        <v/>
      </c>
      <c r="H2134" t="inlineStr">
        <is>
          <t>IMLC</t>
        </is>
      </c>
      <c r="I2134" t="inlineStr">
        <is>
          <t>IML Conc Aus Shares Fund (Quoted Managed Fund)</t>
        </is>
      </c>
      <c r="J2134" t="inlineStr">
        <is>
          <t>AUD</t>
        </is>
      </c>
      <c r="K2134" s="5" t="inlineStr">
        <is>
          <t>01a1212c-4c04-75ce-bbb2-e3322e18816e</t>
        </is>
      </c>
      <c r="M2134" t="inlineStr">
        <is>
          <t>UNKNOWN</t>
        </is>
      </c>
      <c r="N2134" t="inlineStr">
        <is>
          <t>DEFAULT</t>
        </is>
      </c>
      <c r="Q2134" t="n">
        <v>0</v>
      </c>
      <c r="R2134" t="inlineStr">
        <is>
          <t>AUD</t>
        </is>
      </c>
      <c r="S2134" t="n">
        <v>0</v>
      </c>
      <c r="T2134" t="inlineStr">
        <is>
          <t>AUD</t>
        </is>
      </c>
      <c r="U2134" t="n">
        <v>0</v>
      </c>
    </row>
    <row r="2135">
      <c r="A2135" s="5" t="inlineStr">
        <is>
          <t>01a1212c-6578-778f-ae76-b936e07afb14</t>
        </is>
      </c>
      <c r="C2135" s="5" t="inlineStr">
        <is>
          <t>01a1212c-4b57-70cf-80fd-c2192cb3bf81</t>
        </is>
      </c>
      <c r="D2135" s="4" t="n">
        <v>46304.62407547206</v>
      </c>
      <c r="E2135" s="4" t="n">
        <v>46304.62407547213</v>
      </c>
      <c r="F2135" t="b">
        <v>1</v>
      </c>
      <c r="G2135" t="n">
        <v/>
      </c>
      <c r="H2135" t="inlineStr">
        <is>
          <t>QXR</t>
        </is>
      </c>
      <c r="I2135" t="inlineStr">
        <is>
          <t>QX Resources Ltd</t>
        </is>
      </c>
      <c r="J2135" t="inlineStr">
        <is>
          <t>AUD</t>
        </is>
      </c>
      <c r="K2135" s="5" t="inlineStr">
        <is>
          <t>01a1212c-4c04-75ce-bbb2-e3322e18816e</t>
        </is>
      </c>
      <c r="M2135" t="inlineStr">
        <is>
          <t>UNKNOWN</t>
        </is>
      </c>
      <c r="N2135" t="inlineStr">
        <is>
          <t>DEFAULT</t>
        </is>
      </c>
      <c r="Q2135" t="n">
        <v>0</v>
      </c>
      <c r="R2135" t="inlineStr">
        <is>
          <t>AUD</t>
        </is>
      </c>
      <c r="S2135" t="n">
        <v>0</v>
      </c>
      <c r="T2135" t="inlineStr">
        <is>
          <t>AUD</t>
        </is>
      </c>
      <c r="U2135" t="n">
        <v>0</v>
      </c>
    </row>
    <row r="2136">
      <c r="A2136" s="5" t="inlineStr">
        <is>
          <t>01a1212c-657b-776e-8d3b-7e6b5b13d4b6</t>
        </is>
      </c>
      <c r="C2136" s="5" t="inlineStr">
        <is>
          <t>01a1212c-4b57-70cf-80fd-c2192cb3bf81</t>
        </is>
      </c>
      <c r="D2136" s="4" t="n">
        <v>46304.62407550278</v>
      </c>
      <c r="E2136" s="4" t="n">
        <v>46304.62407550285</v>
      </c>
      <c r="F2136" t="b">
        <v>1</v>
      </c>
      <c r="G2136" t="n">
        <v/>
      </c>
      <c r="H2136" t="inlineStr">
        <is>
          <t>EAT</t>
        </is>
      </c>
      <c r="I2136" t="inlineStr">
        <is>
          <t>Entertainment Rewards Ltd</t>
        </is>
      </c>
      <c r="J2136" t="inlineStr">
        <is>
          <t>AUD</t>
        </is>
      </c>
      <c r="K2136" s="5" t="inlineStr">
        <is>
          <t>01a1212c-4c04-75ce-bbb2-e3322e18816e</t>
        </is>
      </c>
      <c r="M2136" t="inlineStr">
        <is>
          <t>UNKNOWN</t>
        </is>
      </c>
      <c r="N2136" t="inlineStr">
        <is>
          <t>DEFAULT</t>
        </is>
      </c>
      <c r="Q2136" t="n">
        <v>0</v>
      </c>
      <c r="R2136" t="inlineStr">
        <is>
          <t>AUD</t>
        </is>
      </c>
      <c r="S2136" t="n">
        <v>0</v>
      </c>
      <c r="T2136" t="inlineStr">
        <is>
          <t>AUD</t>
        </is>
      </c>
      <c r="U2136" t="n">
        <v>0</v>
      </c>
    </row>
    <row r="2137">
      <c r="A2137" s="5" t="inlineStr">
        <is>
          <t>01a1212c-657d-7400-a409-51efdfcbd33c</t>
        </is>
      </c>
      <c r="C2137" s="5" t="inlineStr">
        <is>
          <t>01a1212c-4b57-70cf-80fd-c2192cb3bf81</t>
        </is>
      </c>
      <c r="D2137" s="4" t="n">
        <v>46304.62407553344</v>
      </c>
      <c r="E2137" s="4" t="n">
        <v>46304.62407553351</v>
      </c>
      <c r="F2137" t="b">
        <v>1</v>
      </c>
      <c r="G2137" t="n">
        <v/>
      </c>
      <c r="H2137" t="inlineStr">
        <is>
          <t>RMI</t>
        </is>
      </c>
      <c r="I2137" t="inlineStr">
        <is>
          <t>Resource Mining Corporation Ltd</t>
        </is>
      </c>
      <c r="J2137" t="inlineStr">
        <is>
          <t>AUD</t>
        </is>
      </c>
      <c r="K2137" s="5" t="inlineStr">
        <is>
          <t>01a1212c-4c04-75ce-bbb2-e3322e18816e</t>
        </is>
      </c>
      <c r="M2137" t="inlineStr">
        <is>
          <t>UNKNOWN</t>
        </is>
      </c>
      <c r="N2137" t="inlineStr">
        <is>
          <t>DEFAULT</t>
        </is>
      </c>
      <c r="Q2137" t="n">
        <v>0</v>
      </c>
      <c r="R2137" t="inlineStr">
        <is>
          <t>AUD</t>
        </is>
      </c>
      <c r="S2137" t="n">
        <v>0</v>
      </c>
      <c r="T2137" t="inlineStr">
        <is>
          <t>AUD</t>
        </is>
      </c>
      <c r="U2137" t="n">
        <v>0</v>
      </c>
    </row>
    <row r="2138">
      <c r="A2138" s="5" t="inlineStr">
        <is>
          <t>01a1212c-6580-776d-8c7d-7b6f5fd06e36</t>
        </is>
      </c>
      <c r="C2138" s="5" t="inlineStr">
        <is>
          <t>01a1212c-4b57-70cf-80fd-c2192cb3bf81</t>
        </is>
      </c>
      <c r="D2138" s="4" t="n">
        <v>46304.62407556718</v>
      </c>
      <c r="E2138" s="4" t="n">
        <v>46304.62407556727</v>
      </c>
      <c r="F2138" t="b">
        <v>1</v>
      </c>
      <c r="G2138" t="n">
        <v/>
      </c>
      <c r="H2138" t="inlineStr">
        <is>
          <t>T92</t>
        </is>
      </c>
      <c r="I2138" t="inlineStr">
        <is>
          <t>Terra Uranium Ltd</t>
        </is>
      </c>
      <c r="J2138" t="inlineStr">
        <is>
          <t>AUD</t>
        </is>
      </c>
      <c r="K2138" s="5" t="inlineStr">
        <is>
          <t>01a1212c-4c04-75ce-bbb2-e3322e18816e</t>
        </is>
      </c>
      <c r="M2138" t="inlineStr">
        <is>
          <t>UNKNOWN</t>
        </is>
      </c>
      <c r="N2138" t="inlineStr">
        <is>
          <t>DEFAULT</t>
        </is>
      </c>
      <c r="Q2138" t="n">
        <v>0</v>
      </c>
      <c r="R2138" t="inlineStr">
        <is>
          <t>AUD</t>
        </is>
      </c>
      <c r="S2138" t="n">
        <v>0</v>
      </c>
      <c r="T2138" t="inlineStr">
        <is>
          <t>AUD</t>
        </is>
      </c>
      <c r="U2138" t="n">
        <v>0</v>
      </c>
    </row>
    <row r="2139">
      <c r="A2139" s="5" t="inlineStr">
        <is>
          <t>01a1212c-6583-7653-9990-d37eadab30e6</t>
        </is>
      </c>
      <c r="C2139" s="5" t="inlineStr">
        <is>
          <t>01a1212c-4b57-70cf-80fd-c2192cb3bf81</t>
        </is>
      </c>
      <c r="D2139" s="4" t="n">
        <v>46304.62407559974</v>
      </c>
      <c r="E2139" s="4" t="n">
        <v>46304.62407559983</v>
      </c>
      <c r="F2139" t="b">
        <v>1</v>
      </c>
      <c r="G2139" t="n">
        <v/>
      </c>
      <c r="H2139" t="inlineStr">
        <is>
          <t>ICR</t>
        </is>
      </c>
      <c r="I2139" t="inlineStr">
        <is>
          <t>Intelicare Holdings Ltd</t>
        </is>
      </c>
      <c r="J2139" t="inlineStr">
        <is>
          <t>AUD</t>
        </is>
      </c>
      <c r="K2139" s="5" t="inlineStr">
        <is>
          <t>01a1212c-4c04-75ce-bbb2-e3322e18816e</t>
        </is>
      </c>
      <c r="M2139" t="inlineStr">
        <is>
          <t>UNKNOWN</t>
        </is>
      </c>
      <c r="N2139" t="inlineStr">
        <is>
          <t>DEFAULT</t>
        </is>
      </c>
      <c r="Q2139" t="n">
        <v>0</v>
      </c>
      <c r="R2139" t="inlineStr">
        <is>
          <t>AUD</t>
        </is>
      </c>
      <c r="S2139" t="n">
        <v>0</v>
      </c>
      <c r="T2139" t="inlineStr">
        <is>
          <t>AUD</t>
        </is>
      </c>
      <c r="U2139" t="n">
        <v>0</v>
      </c>
    </row>
    <row r="2140">
      <c r="A2140" s="5" t="inlineStr">
        <is>
          <t>01a1212c-6586-73c5-bf04-541f707da699</t>
        </is>
      </c>
      <c r="C2140" s="5" t="inlineStr">
        <is>
          <t>01a1212c-4b57-70cf-80fd-c2192cb3bf81</t>
        </is>
      </c>
      <c r="D2140" s="4" t="n">
        <v>46304.62407563045</v>
      </c>
      <c r="E2140" s="4" t="n">
        <v>46304.62407563053</v>
      </c>
      <c r="F2140" t="b">
        <v>1</v>
      </c>
      <c r="G2140" t="n">
        <v/>
      </c>
      <c r="H2140" t="inlineStr">
        <is>
          <t>ADC</t>
        </is>
      </c>
      <c r="I2140" t="inlineStr">
        <is>
          <t>Acdc Metals Ltd</t>
        </is>
      </c>
      <c r="J2140" t="inlineStr">
        <is>
          <t>AUD</t>
        </is>
      </c>
      <c r="K2140" s="5" t="inlineStr">
        <is>
          <t>01a1212c-4c04-75ce-bbb2-e3322e18816e</t>
        </is>
      </c>
      <c r="M2140" t="inlineStr">
        <is>
          <t>UNKNOWN</t>
        </is>
      </c>
      <c r="N2140" t="inlineStr">
        <is>
          <t>DEFAULT</t>
        </is>
      </c>
      <c r="Q2140" t="n">
        <v>0</v>
      </c>
      <c r="R2140" t="inlineStr">
        <is>
          <t>AUD</t>
        </is>
      </c>
      <c r="S2140" t="n">
        <v>0</v>
      </c>
      <c r="T2140" t="inlineStr">
        <is>
          <t>AUD</t>
        </is>
      </c>
      <c r="U2140" t="n">
        <v>0</v>
      </c>
    </row>
    <row r="2141">
      <c r="A2141" s="5" t="inlineStr">
        <is>
          <t>01a1212c-6589-7277-8f12-3b3f451c773b</t>
        </is>
      </c>
      <c r="C2141" s="5" t="inlineStr">
        <is>
          <t>01a1212c-4b57-70cf-80fd-c2192cb3bf81</t>
        </is>
      </c>
      <c r="D2141" s="4" t="n">
        <v>46304.6240756612</v>
      </c>
      <c r="E2141" s="4" t="n">
        <v>46304.62407566128</v>
      </c>
      <c r="F2141" t="b">
        <v>1</v>
      </c>
      <c r="G2141" t="n">
        <v/>
      </c>
      <c r="H2141" t="inlineStr">
        <is>
          <t>DUN</t>
        </is>
      </c>
      <c r="I2141" t="inlineStr">
        <is>
          <t>Dundas Minerals Ltd</t>
        </is>
      </c>
      <c r="J2141" t="inlineStr">
        <is>
          <t>AUD</t>
        </is>
      </c>
      <c r="K2141" s="5" t="inlineStr">
        <is>
          <t>01a1212c-4c04-75ce-bbb2-e3322e18816e</t>
        </is>
      </c>
      <c r="M2141" t="inlineStr">
        <is>
          <t>UNKNOWN</t>
        </is>
      </c>
      <c r="N2141" t="inlineStr">
        <is>
          <t>DEFAULT</t>
        </is>
      </c>
      <c r="Q2141" t="n">
        <v>0</v>
      </c>
      <c r="R2141" t="inlineStr">
        <is>
          <t>AUD</t>
        </is>
      </c>
      <c r="S2141" t="n">
        <v>0</v>
      </c>
      <c r="T2141" t="inlineStr">
        <is>
          <t>AUD</t>
        </is>
      </c>
      <c r="U2141" t="n">
        <v>0</v>
      </c>
    </row>
    <row r="2142">
      <c r="A2142" s="5" t="inlineStr">
        <is>
          <t>01a1212c-658b-7247-a6bd-f6b4b2202125</t>
        </is>
      </c>
      <c r="C2142" s="5" t="inlineStr">
        <is>
          <t>01a1212c-4b57-70cf-80fd-c2192cb3bf81</t>
        </is>
      </c>
      <c r="D2142" s="4" t="n">
        <v>46304.62407569188</v>
      </c>
      <c r="E2142" s="4" t="n">
        <v>46304.62407569194</v>
      </c>
      <c r="F2142" t="b">
        <v>1</v>
      </c>
      <c r="G2142" t="n">
        <v/>
      </c>
      <c r="H2142" t="inlineStr">
        <is>
          <t>NCR</t>
        </is>
      </c>
      <c r="I2142" t="inlineStr">
        <is>
          <t>Nucoal Resources Ltd</t>
        </is>
      </c>
      <c r="J2142" t="inlineStr">
        <is>
          <t>AUD</t>
        </is>
      </c>
      <c r="K2142" s="5" t="inlineStr">
        <is>
          <t>01a1212c-4c04-75ce-bbb2-e3322e18816e</t>
        </is>
      </c>
      <c r="M2142" t="inlineStr">
        <is>
          <t>UNKNOWN</t>
        </is>
      </c>
      <c r="N2142" t="inlineStr">
        <is>
          <t>DEFAULT</t>
        </is>
      </c>
      <c r="Q2142" t="n">
        <v>0</v>
      </c>
      <c r="R2142" t="inlineStr">
        <is>
          <t>AUD</t>
        </is>
      </c>
      <c r="S2142" t="n">
        <v>0</v>
      </c>
      <c r="T2142" t="inlineStr">
        <is>
          <t>AUD</t>
        </is>
      </c>
      <c r="U2142" t="n">
        <v>0</v>
      </c>
    </row>
    <row r="2143">
      <c r="A2143" s="5" t="inlineStr">
        <is>
          <t>01a1212c-658e-70ee-bf68-7506396d3dd0</t>
        </is>
      </c>
      <c r="C2143" s="5" t="inlineStr">
        <is>
          <t>01a1212c-4b57-70cf-80fd-c2192cb3bf81</t>
        </is>
      </c>
      <c r="D2143" s="4" t="n">
        <v>46304.62407572525</v>
      </c>
      <c r="E2143" s="4" t="n">
        <v>46304.62407572531</v>
      </c>
      <c r="F2143" t="b">
        <v>1</v>
      </c>
      <c r="G2143" t="n">
        <v/>
      </c>
      <c r="H2143" t="inlineStr">
        <is>
          <t>KDY</t>
        </is>
      </c>
      <c r="I2143" t="inlineStr">
        <is>
          <t>Kaddy Ltd</t>
        </is>
      </c>
      <c r="J2143" t="inlineStr">
        <is>
          <t>AUD</t>
        </is>
      </c>
      <c r="K2143" s="5" t="inlineStr">
        <is>
          <t>01a1212c-4c04-75ce-bbb2-e3322e18816e</t>
        </is>
      </c>
      <c r="M2143" t="inlineStr">
        <is>
          <t>UNKNOWN</t>
        </is>
      </c>
      <c r="N2143" t="inlineStr">
        <is>
          <t>DEFAULT</t>
        </is>
      </c>
      <c r="Q2143" t="n">
        <v>0</v>
      </c>
      <c r="R2143" t="inlineStr">
        <is>
          <t>AUD</t>
        </is>
      </c>
      <c r="S2143" t="n">
        <v>0</v>
      </c>
      <c r="T2143" t="inlineStr">
        <is>
          <t>AUD</t>
        </is>
      </c>
      <c r="U2143" t="n">
        <v>0</v>
      </c>
    </row>
    <row r="2144">
      <c r="A2144" s="5" t="inlineStr">
        <is>
          <t>01a1212c-6591-7625-94a3-f21d9e6cebd1</t>
        </is>
      </c>
      <c r="C2144" s="5" t="inlineStr">
        <is>
          <t>01a1212c-4b57-70cf-80fd-c2192cb3bf81</t>
        </is>
      </c>
      <c r="D2144" s="4" t="n">
        <v>46304.62407575698</v>
      </c>
      <c r="E2144" s="4" t="n">
        <v>46304.62407575706</v>
      </c>
      <c r="F2144" t="b">
        <v>1</v>
      </c>
      <c r="G2144" t="n">
        <v/>
      </c>
      <c r="H2144" t="inlineStr">
        <is>
          <t>EMT</t>
        </is>
      </c>
      <c r="I2144" t="inlineStr">
        <is>
          <t>Emetals Ltd</t>
        </is>
      </c>
      <c r="J2144" t="inlineStr">
        <is>
          <t>AUD</t>
        </is>
      </c>
      <c r="K2144" s="5" t="inlineStr">
        <is>
          <t>01a1212c-4c04-75ce-bbb2-e3322e18816e</t>
        </is>
      </c>
      <c r="M2144" t="inlineStr">
        <is>
          <t>UNKNOWN</t>
        </is>
      </c>
      <c r="N2144" t="inlineStr">
        <is>
          <t>DEFAULT</t>
        </is>
      </c>
      <c r="Q2144" t="n">
        <v>0</v>
      </c>
      <c r="R2144" t="inlineStr">
        <is>
          <t>AUD</t>
        </is>
      </c>
      <c r="S2144" t="n">
        <v>0</v>
      </c>
      <c r="T2144" t="inlineStr">
        <is>
          <t>AUD</t>
        </is>
      </c>
      <c r="U2144" t="n">
        <v>0</v>
      </c>
    </row>
    <row r="2145">
      <c r="A2145" s="5" t="inlineStr">
        <is>
          <t>01a1212c-6593-7057-ad7f-f0f48967d367</t>
        </is>
      </c>
      <c r="C2145" s="5" t="inlineStr">
        <is>
          <t>01a1212c-4b57-70cf-80fd-c2192cb3bf81</t>
        </is>
      </c>
      <c r="D2145" s="4" t="n">
        <v>46304.62407578807</v>
      </c>
      <c r="E2145" s="4" t="n">
        <v>46304.62407578815</v>
      </c>
      <c r="F2145" t="b">
        <v>1</v>
      </c>
      <c r="G2145" t="n">
        <v/>
      </c>
      <c r="H2145" t="inlineStr">
        <is>
          <t>FMR</t>
        </is>
      </c>
      <c r="I2145" t="inlineStr">
        <is>
          <t>FMR Resources Ltd</t>
        </is>
      </c>
      <c r="J2145" t="inlineStr">
        <is>
          <t>AUD</t>
        </is>
      </c>
      <c r="K2145" s="5" t="inlineStr">
        <is>
          <t>01a1212c-4c04-75ce-bbb2-e3322e18816e</t>
        </is>
      </c>
      <c r="M2145" t="inlineStr">
        <is>
          <t>UNKNOWN</t>
        </is>
      </c>
      <c r="N2145" t="inlineStr">
        <is>
          <t>DEFAULT</t>
        </is>
      </c>
      <c r="Q2145" t="n">
        <v>0</v>
      </c>
      <c r="R2145" t="inlineStr">
        <is>
          <t>AUD</t>
        </is>
      </c>
      <c r="S2145" t="n">
        <v>0</v>
      </c>
      <c r="T2145" t="inlineStr">
        <is>
          <t>AUD</t>
        </is>
      </c>
      <c r="U2145" t="n">
        <v>0</v>
      </c>
    </row>
    <row r="2146">
      <c r="A2146" s="5" t="inlineStr">
        <is>
          <t>01a1212c-6596-71cc-840d-4273aef83672</t>
        </is>
      </c>
      <c r="C2146" s="5" t="inlineStr">
        <is>
          <t>01a1212c-4b57-70cf-80fd-c2192cb3bf81</t>
        </is>
      </c>
      <c r="D2146" s="4" t="n">
        <v>46304.62407581889</v>
      </c>
      <c r="E2146" s="4" t="n">
        <v>46304.62407581896</v>
      </c>
      <c r="F2146" t="b">
        <v>1</v>
      </c>
      <c r="G2146" t="n">
        <v/>
      </c>
      <c r="H2146" t="inlineStr">
        <is>
          <t>BMO</t>
        </is>
      </c>
      <c r="I2146" t="inlineStr">
        <is>
          <t>Bastion Minerals Ltd</t>
        </is>
      </c>
      <c r="J2146" t="inlineStr">
        <is>
          <t>AUD</t>
        </is>
      </c>
      <c r="K2146" s="5" t="inlineStr">
        <is>
          <t>01a1212c-4c04-75ce-bbb2-e3322e18816e</t>
        </is>
      </c>
      <c r="M2146" t="inlineStr">
        <is>
          <t>UNKNOWN</t>
        </is>
      </c>
      <c r="N2146" t="inlineStr">
        <is>
          <t>DEFAULT</t>
        </is>
      </c>
      <c r="Q2146" t="n">
        <v>0</v>
      </c>
      <c r="R2146" t="inlineStr">
        <is>
          <t>AUD</t>
        </is>
      </c>
      <c r="S2146" t="n">
        <v>0</v>
      </c>
      <c r="T2146" t="inlineStr">
        <is>
          <t>AUD</t>
        </is>
      </c>
      <c r="U2146" t="n">
        <v>0</v>
      </c>
    </row>
    <row r="2147">
      <c r="A2147" s="5" t="inlineStr">
        <is>
          <t>01a1212c-6599-70e8-8996-5260c9150fea</t>
        </is>
      </c>
      <c r="C2147" s="5" t="inlineStr">
        <is>
          <t>01a1212c-4b57-70cf-80fd-c2192cb3bf81</t>
        </is>
      </c>
      <c r="D2147" s="4" t="n">
        <v>46304.62407585155</v>
      </c>
      <c r="E2147" s="4" t="n">
        <v>46304.62407585163</v>
      </c>
      <c r="F2147" t="b">
        <v>1</v>
      </c>
      <c r="G2147" t="n">
        <v/>
      </c>
      <c r="H2147" t="inlineStr">
        <is>
          <t>CDT</t>
        </is>
      </c>
      <c r="I2147" t="inlineStr">
        <is>
          <t>Castle Minerals Ltd</t>
        </is>
      </c>
      <c r="J2147" t="inlineStr">
        <is>
          <t>AUD</t>
        </is>
      </c>
      <c r="K2147" s="5" t="inlineStr">
        <is>
          <t>01a1212c-4c04-75ce-bbb2-e3322e18816e</t>
        </is>
      </c>
      <c r="M2147" t="inlineStr">
        <is>
          <t>UNKNOWN</t>
        </is>
      </c>
      <c r="N2147" t="inlineStr">
        <is>
          <t>DEFAULT</t>
        </is>
      </c>
      <c r="Q2147" t="n">
        <v>0</v>
      </c>
      <c r="R2147" t="inlineStr">
        <is>
          <t>AUD</t>
        </is>
      </c>
      <c r="S2147" t="n">
        <v>0</v>
      </c>
      <c r="T2147" t="inlineStr">
        <is>
          <t>AUD</t>
        </is>
      </c>
      <c r="U2147" t="n">
        <v>0</v>
      </c>
    </row>
    <row r="2148">
      <c r="A2148" s="5" t="inlineStr">
        <is>
          <t>01a1212c-659c-77bd-a110-acd04ecee501</t>
        </is>
      </c>
      <c r="C2148" s="5" t="inlineStr">
        <is>
          <t>01a1212c-4b57-70cf-80fd-c2192cb3bf81</t>
        </is>
      </c>
      <c r="D2148" s="4" t="n">
        <v>46304.62407588237</v>
      </c>
      <c r="E2148" s="4" t="n">
        <v>46304.62407588246</v>
      </c>
      <c r="F2148" t="b">
        <v>1</v>
      </c>
      <c r="G2148" t="n">
        <v/>
      </c>
      <c r="H2148" t="inlineStr">
        <is>
          <t>WOA</t>
        </is>
      </c>
      <c r="I2148" t="inlineStr">
        <is>
          <t>Wide Open Agriculture Ltd</t>
        </is>
      </c>
      <c r="J2148" t="inlineStr">
        <is>
          <t>AUD</t>
        </is>
      </c>
      <c r="K2148" s="5" t="inlineStr">
        <is>
          <t>01a1212c-4c04-75ce-bbb2-e3322e18816e</t>
        </is>
      </c>
      <c r="M2148" t="inlineStr">
        <is>
          <t>UNKNOWN</t>
        </is>
      </c>
      <c r="N2148" t="inlineStr">
        <is>
          <t>DEFAULT</t>
        </is>
      </c>
      <c r="Q2148" t="n">
        <v>0</v>
      </c>
      <c r="R2148" t="inlineStr">
        <is>
          <t>AUD</t>
        </is>
      </c>
      <c r="S2148" t="n">
        <v>0</v>
      </c>
      <c r="T2148" t="inlineStr">
        <is>
          <t>AUD</t>
        </is>
      </c>
      <c r="U2148" t="n">
        <v>0</v>
      </c>
    </row>
    <row r="2149">
      <c r="A2149" s="5" t="inlineStr">
        <is>
          <t>01a1212c-659e-7719-ae52-0d0f3da52fcc</t>
        </is>
      </c>
      <c r="C2149" s="5" t="inlineStr">
        <is>
          <t>01a1212c-4b57-70cf-80fd-c2192cb3bf81</t>
        </is>
      </c>
      <c r="D2149" s="4" t="n">
        <v>46304.62407591348</v>
      </c>
      <c r="E2149" s="4" t="n">
        <v>46304.62407591355</v>
      </c>
      <c r="F2149" t="b">
        <v>1</v>
      </c>
      <c r="G2149" t="n">
        <v/>
      </c>
      <c r="H2149" t="inlineStr">
        <is>
          <t>CTN</t>
        </is>
      </c>
      <c r="I2149" t="inlineStr">
        <is>
          <t>Catalina Resources Ltd</t>
        </is>
      </c>
      <c r="J2149" t="inlineStr">
        <is>
          <t>AUD</t>
        </is>
      </c>
      <c r="K2149" s="5" t="inlineStr">
        <is>
          <t>01a1212c-4c04-75ce-bbb2-e3322e18816e</t>
        </is>
      </c>
      <c r="M2149" t="inlineStr">
        <is>
          <t>UNKNOWN</t>
        </is>
      </c>
      <c r="N2149" t="inlineStr">
        <is>
          <t>DEFAULT</t>
        </is>
      </c>
      <c r="Q2149" t="n">
        <v>0</v>
      </c>
      <c r="R2149" t="inlineStr">
        <is>
          <t>AUD</t>
        </is>
      </c>
      <c r="S2149" t="n">
        <v>0</v>
      </c>
      <c r="T2149" t="inlineStr">
        <is>
          <t>AUD</t>
        </is>
      </c>
      <c r="U2149" t="n">
        <v>0</v>
      </c>
    </row>
    <row r="2150">
      <c r="A2150" s="5" t="inlineStr">
        <is>
          <t>01a1212c-65a1-71de-9a83-925236d297c1</t>
        </is>
      </c>
      <c r="C2150" s="5" t="inlineStr">
        <is>
          <t>01a1212c-4b57-70cf-80fd-c2192cb3bf81</t>
        </is>
      </c>
      <c r="D2150" s="4" t="n">
        <v>46304.62407594617</v>
      </c>
      <c r="E2150" s="4" t="n">
        <v>46304.62407594625</v>
      </c>
      <c r="F2150" t="b">
        <v>1</v>
      </c>
      <c r="G2150" t="n">
        <v/>
      </c>
      <c r="H2150" t="inlineStr">
        <is>
          <t>TML</t>
        </is>
      </c>
      <c r="I2150" t="inlineStr">
        <is>
          <t>Timah Resources Ltd</t>
        </is>
      </c>
      <c r="J2150" t="inlineStr">
        <is>
          <t>AUD</t>
        </is>
      </c>
      <c r="K2150" s="5" t="inlineStr">
        <is>
          <t>01a1212c-4c04-75ce-bbb2-e3322e18816e</t>
        </is>
      </c>
      <c r="M2150" t="inlineStr">
        <is>
          <t>UNKNOWN</t>
        </is>
      </c>
      <c r="N2150" t="inlineStr">
        <is>
          <t>DEFAULT</t>
        </is>
      </c>
      <c r="Q2150" t="n">
        <v>0</v>
      </c>
      <c r="R2150" t="inlineStr">
        <is>
          <t>AUD</t>
        </is>
      </c>
      <c r="S2150" t="n">
        <v>0</v>
      </c>
      <c r="T2150" t="inlineStr">
        <is>
          <t>AUD</t>
        </is>
      </c>
      <c r="U2150" t="n">
        <v>0</v>
      </c>
    </row>
    <row r="2151">
      <c r="A2151" s="5" t="inlineStr">
        <is>
          <t>01a1212c-65a4-7576-97eb-0b20676d2a06</t>
        </is>
      </c>
      <c r="C2151" s="5" t="inlineStr">
        <is>
          <t>01a1212c-4b57-70cf-80fd-c2192cb3bf81</t>
        </is>
      </c>
      <c r="D2151" s="4" t="n">
        <v>46304.62407597894</v>
      </c>
      <c r="E2151" s="4" t="n">
        <v>46304.62407597903</v>
      </c>
      <c r="F2151" t="b">
        <v>1</v>
      </c>
      <c r="G2151" t="n">
        <v/>
      </c>
      <c r="H2151" t="inlineStr">
        <is>
          <t>RMX</t>
        </is>
      </c>
      <c r="I2151" t="inlineStr">
        <is>
          <t>Red Mountain Mining Ltd</t>
        </is>
      </c>
      <c r="J2151" t="inlineStr">
        <is>
          <t>AUD</t>
        </is>
      </c>
      <c r="K2151" s="5" t="inlineStr">
        <is>
          <t>01a1212c-4c04-75ce-bbb2-e3322e18816e</t>
        </is>
      </c>
      <c r="M2151" t="inlineStr">
        <is>
          <t>UNKNOWN</t>
        </is>
      </c>
      <c r="N2151" t="inlineStr">
        <is>
          <t>DEFAULT</t>
        </is>
      </c>
      <c r="Q2151" t="n">
        <v>0</v>
      </c>
      <c r="R2151" t="inlineStr">
        <is>
          <t>AUD</t>
        </is>
      </c>
      <c r="S2151" t="n">
        <v>0</v>
      </c>
      <c r="T2151" t="inlineStr">
        <is>
          <t>AUD</t>
        </is>
      </c>
      <c r="U2151" t="n">
        <v>0</v>
      </c>
    </row>
    <row r="2152">
      <c r="A2152" s="5" t="inlineStr">
        <is>
          <t>01a1212c-65a7-7708-a097-d8be5280e587</t>
        </is>
      </c>
      <c r="C2152" s="5" t="inlineStr">
        <is>
          <t>01a1212c-4b57-70cf-80fd-c2192cb3bf81</t>
        </is>
      </c>
      <c r="D2152" s="4" t="n">
        <v>46304.62407601418</v>
      </c>
      <c r="E2152" s="4" t="n">
        <v>46304.62407601425</v>
      </c>
      <c r="F2152" t="b">
        <v>1</v>
      </c>
      <c r="G2152" t="n">
        <v/>
      </c>
      <c r="H2152" t="inlineStr">
        <is>
          <t>HTM</t>
        </is>
      </c>
      <c r="I2152" t="inlineStr">
        <is>
          <t>High-Tech Metals Ltd</t>
        </is>
      </c>
      <c r="J2152" t="inlineStr">
        <is>
          <t>AUD</t>
        </is>
      </c>
      <c r="K2152" s="5" t="inlineStr">
        <is>
          <t>01a1212c-4c04-75ce-bbb2-e3322e18816e</t>
        </is>
      </c>
      <c r="M2152" t="inlineStr">
        <is>
          <t>UNKNOWN</t>
        </is>
      </c>
      <c r="N2152" t="inlineStr">
        <is>
          <t>DEFAULT</t>
        </is>
      </c>
      <c r="Q2152" t="n">
        <v>0</v>
      </c>
      <c r="R2152" t="inlineStr">
        <is>
          <t>AUD</t>
        </is>
      </c>
      <c r="S2152" t="n">
        <v>0</v>
      </c>
      <c r="T2152" t="inlineStr">
        <is>
          <t>AUD</t>
        </is>
      </c>
      <c r="U2152" t="n">
        <v>0</v>
      </c>
    </row>
    <row r="2153">
      <c r="A2153" s="5" t="inlineStr">
        <is>
          <t>01a1212c-65aa-72a8-bd70-bd9d04d9b712</t>
        </is>
      </c>
      <c r="C2153" s="5" t="inlineStr">
        <is>
          <t>01a1212c-4b57-70cf-80fd-c2192cb3bf81</t>
        </is>
      </c>
      <c r="D2153" s="4" t="n">
        <v>46304.62407604509</v>
      </c>
      <c r="E2153" s="4" t="n">
        <v>46304.62407604518</v>
      </c>
      <c r="F2153" t="b">
        <v>1</v>
      </c>
      <c r="G2153" t="n">
        <v/>
      </c>
      <c r="H2153" t="inlineStr">
        <is>
          <t>OCN</t>
        </is>
      </c>
      <c r="I2153" t="inlineStr">
        <is>
          <t>Oceana Lithium Ltd</t>
        </is>
      </c>
      <c r="J2153" t="inlineStr">
        <is>
          <t>AUD</t>
        </is>
      </c>
      <c r="K2153" s="5" t="inlineStr">
        <is>
          <t>01a1212c-4c04-75ce-bbb2-e3322e18816e</t>
        </is>
      </c>
      <c r="M2153" t="inlineStr">
        <is>
          <t>UNKNOWN</t>
        </is>
      </c>
      <c r="N2153" t="inlineStr">
        <is>
          <t>DEFAULT</t>
        </is>
      </c>
      <c r="Q2153" t="n">
        <v>0</v>
      </c>
      <c r="R2153" t="inlineStr">
        <is>
          <t>AUD</t>
        </is>
      </c>
      <c r="S2153" t="n">
        <v>0</v>
      </c>
      <c r="T2153" t="inlineStr">
        <is>
          <t>AUD</t>
        </is>
      </c>
      <c r="U2153" t="n">
        <v>0</v>
      </c>
    </row>
    <row r="2154">
      <c r="A2154" s="5" t="inlineStr">
        <is>
          <t>01a1212c-65ac-7073-9cac-fbacf5cd7b33</t>
        </is>
      </c>
      <c r="C2154" s="5" t="inlineStr">
        <is>
          <t>01a1212c-4b57-70cf-80fd-c2192cb3bf81</t>
        </is>
      </c>
      <c r="D2154" s="4" t="n">
        <v>46304.62407607634</v>
      </c>
      <c r="E2154" s="4" t="n">
        <v>46304.62407607643</v>
      </c>
      <c r="F2154" t="b">
        <v>1</v>
      </c>
      <c r="G2154" t="n">
        <v/>
      </c>
      <c r="H2154" t="inlineStr">
        <is>
          <t>AN1</t>
        </is>
      </c>
      <c r="I2154" t="inlineStr">
        <is>
          <t>Anagenics Ltd</t>
        </is>
      </c>
      <c r="J2154" t="inlineStr">
        <is>
          <t>AUD</t>
        </is>
      </c>
      <c r="K2154" s="5" t="inlineStr">
        <is>
          <t>01a1212c-4c04-75ce-bbb2-e3322e18816e</t>
        </is>
      </c>
      <c r="M2154" t="inlineStr">
        <is>
          <t>UNKNOWN</t>
        </is>
      </c>
      <c r="N2154" t="inlineStr">
        <is>
          <t>DEFAULT</t>
        </is>
      </c>
      <c r="Q2154" t="n">
        <v>0</v>
      </c>
      <c r="R2154" t="inlineStr">
        <is>
          <t>AUD</t>
        </is>
      </c>
      <c r="S2154" t="n">
        <v>0</v>
      </c>
      <c r="T2154" t="inlineStr">
        <is>
          <t>AUD</t>
        </is>
      </c>
      <c r="U2154" t="n">
        <v>0</v>
      </c>
    </row>
    <row r="2155">
      <c r="A2155" s="5" t="inlineStr">
        <is>
          <t>01a1212c-65af-7272-b82b-7b9d611edbe5</t>
        </is>
      </c>
      <c r="C2155" s="5" t="inlineStr">
        <is>
          <t>01a1212c-4b57-70cf-80fd-c2192cb3bf81</t>
        </is>
      </c>
      <c r="D2155" s="4" t="n">
        <v>46304.62407610707</v>
      </c>
      <c r="E2155" s="4" t="n">
        <v>46304.62407610714</v>
      </c>
      <c r="F2155" t="b">
        <v>1</v>
      </c>
      <c r="G2155" t="n">
        <v/>
      </c>
      <c r="H2155" t="inlineStr">
        <is>
          <t>AYM</t>
        </is>
      </c>
      <c r="I2155" t="inlineStr">
        <is>
          <t>Australia United Mining Ltd</t>
        </is>
      </c>
      <c r="J2155" t="inlineStr">
        <is>
          <t>AUD</t>
        </is>
      </c>
      <c r="K2155" s="5" t="inlineStr">
        <is>
          <t>01a1212c-4c04-75ce-bbb2-e3322e18816e</t>
        </is>
      </c>
      <c r="M2155" t="inlineStr">
        <is>
          <t>UNKNOWN</t>
        </is>
      </c>
      <c r="N2155" t="inlineStr">
        <is>
          <t>DEFAULT</t>
        </is>
      </c>
      <c r="Q2155" t="n">
        <v>0</v>
      </c>
      <c r="R2155" t="inlineStr">
        <is>
          <t>AUD</t>
        </is>
      </c>
      <c r="S2155" t="n">
        <v>0</v>
      </c>
      <c r="T2155" t="inlineStr">
        <is>
          <t>AUD</t>
        </is>
      </c>
      <c r="U2155" t="n">
        <v>0</v>
      </c>
    </row>
    <row r="2156">
      <c r="A2156" s="5" t="inlineStr">
        <is>
          <t>01a1212c-65b2-74c8-9b16-24d1a6855d40</t>
        </is>
      </c>
      <c r="C2156" s="5" t="inlineStr">
        <is>
          <t>01a1212c-4b57-70cf-80fd-c2192cb3bf81</t>
        </is>
      </c>
      <c r="D2156" s="4" t="n">
        <v>46304.62407613984</v>
      </c>
      <c r="E2156" s="4" t="n">
        <v>46304.62407613993</v>
      </c>
      <c r="F2156" t="b">
        <v>1</v>
      </c>
      <c r="G2156" t="n">
        <v/>
      </c>
      <c r="H2156" t="inlineStr">
        <is>
          <t>EQS</t>
        </is>
      </c>
      <c r="I2156" t="inlineStr">
        <is>
          <t>Equity Story Group Ltd</t>
        </is>
      </c>
      <c r="J2156" t="inlineStr">
        <is>
          <t>AUD</t>
        </is>
      </c>
      <c r="K2156" s="5" t="inlineStr">
        <is>
          <t>01a1212c-4c04-75ce-bbb2-e3322e18816e</t>
        </is>
      </c>
      <c r="M2156" t="inlineStr">
        <is>
          <t>UNKNOWN</t>
        </is>
      </c>
      <c r="N2156" t="inlineStr">
        <is>
          <t>DEFAULT</t>
        </is>
      </c>
      <c r="Q2156" t="n">
        <v>0</v>
      </c>
      <c r="R2156" t="inlineStr">
        <is>
          <t>AUD</t>
        </is>
      </c>
      <c r="S2156" t="n">
        <v>0</v>
      </c>
      <c r="T2156" t="inlineStr">
        <is>
          <t>AUD</t>
        </is>
      </c>
      <c r="U2156" t="n">
        <v>0</v>
      </c>
    </row>
    <row r="2157">
      <c r="A2157" s="5" t="inlineStr">
        <is>
          <t>01a1212c-65b5-7696-8a16-1272a7fc30d6</t>
        </is>
      </c>
      <c r="C2157" s="5" t="inlineStr">
        <is>
          <t>01a1212c-4b57-70cf-80fd-c2192cb3bf81</t>
        </is>
      </c>
      <c r="D2157" s="4" t="n">
        <v>46304.62407617433</v>
      </c>
      <c r="E2157" s="4" t="n">
        <v>46304.62407617441</v>
      </c>
      <c r="F2157" t="b">
        <v>1</v>
      </c>
      <c r="G2157" t="n">
        <v/>
      </c>
      <c r="H2157" t="inlineStr">
        <is>
          <t>DDT</t>
        </is>
      </c>
      <c r="I2157" t="inlineStr">
        <is>
          <t>Datadot Technology Ltd</t>
        </is>
      </c>
      <c r="J2157" t="inlineStr">
        <is>
          <t>AUD</t>
        </is>
      </c>
      <c r="K2157" s="5" t="inlineStr">
        <is>
          <t>01a1212c-4c04-75ce-bbb2-e3322e18816e</t>
        </is>
      </c>
      <c r="M2157" t="inlineStr">
        <is>
          <t>UNKNOWN</t>
        </is>
      </c>
      <c r="N2157" t="inlineStr">
        <is>
          <t>DEFAULT</t>
        </is>
      </c>
      <c r="Q2157" t="n">
        <v>0</v>
      </c>
      <c r="R2157" t="inlineStr">
        <is>
          <t>AUD</t>
        </is>
      </c>
      <c r="S2157" t="n">
        <v>0</v>
      </c>
      <c r="T2157" t="inlineStr">
        <is>
          <t>AUD</t>
        </is>
      </c>
      <c r="U2157" t="n">
        <v>0</v>
      </c>
    </row>
    <row r="2158">
      <c r="A2158" s="5" t="inlineStr">
        <is>
          <t>01a1212c-65b8-71b5-8801-aefcd1258d95</t>
        </is>
      </c>
      <c r="C2158" s="5" t="inlineStr">
        <is>
          <t>01a1212c-4b57-70cf-80fd-c2192cb3bf81</t>
        </is>
      </c>
      <c r="D2158" s="4" t="n">
        <v>46304.62407620586</v>
      </c>
      <c r="E2158" s="4" t="n">
        <v>46304.62407620595</v>
      </c>
      <c r="F2158" t="b">
        <v>1</v>
      </c>
      <c r="G2158" t="n">
        <v/>
      </c>
      <c r="H2158" t="inlineStr">
        <is>
          <t>VTI</t>
        </is>
      </c>
      <c r="I2158" t="inlineStr">
        <is>
          <t>Visioneering Technologies Inc</t>
        </is>
      </c>
      <c r="J2158" t="inlineStr">
        <is>
          <t>AUD</t>
        </is>
      </c>
      <c r="K2158" s="5" t="inlineStr">
        <is>
          <t>01a1212c-4c04-75ce-bbb2-e3322e18816e</t>
        </is>
      </c>
      <c r="M2158" t="inlineStr">
        <is>
          <t>UNKNOWN</t>
        </is>
      </c>
      <c r="N2158" t="inlineStr">
        <is>
          <t>DEFAULT</t>
        </is>
      </c>
      <c r="Q2158" t="n">
        <v>0</v>
      </c>
      <c r="R2158" t="inlineStr">
        <is>
          <t>AUD</t>
        </is>
      </c>
      <c r="S2158" t="n">
        <v>0</v>
      </c>
      <c r="T2158" t="inlineStr">
        <is>
          <t>AUD</t>
        </is>
      </c>
      <c r="U2158" t="n">
        <v>0</v>
      </c>
    </row>
    <row r="2159">
      <c r="A2159" s="5" t="inlineStr">
        <is>
          <t>01a1212c-65ba-71d0-b8c9-a69cabb3ca66</t>
        </is>
      </c>
      <c r="C2159" s="5" t="inlineStr">
        <is>
          <t>01a1212c-4b57-70cf-80fd-c2192cb3bf81</t>
        </is>
      </c>
      <c r="D2159" s="4" t="n">
        <v>46304.6240762386</v>
      </c>
      <c r="E2159" s="4" t="n">
        <v>46304.62407623868</v>
      </c>
      <c r="F2159" t="b">
        <v>1</v>
      </c>
      <c r="G2159" t="n">
        <v/>
      </c>
      <c r="H2159" t="inlineStr">
        <is>
          <t>EVR</t>
        </is>
      </c>
      <c r="I2159" t="inlineStr">
        <is>
          <t>EV Resources Ltd</t>
        </is>
      </c>
      <c r="J2159" t="inlineStr">
        <is>
          <t>AUD</t>
        </is>
      </c>
      <c r="K2159" s="5" t="inlineStr">
        <is>
          <t>01a1212c-4c04-75ce-bbb2-e3322e18816e</t>
        </is>
      </c>
      <c r="M2159" t="inlineStr">
        <is>
          <t>UNKNOWN</t>
        </is>
      </c>
      <c r="N2159" t="inlineStr">
        <is>
          <t>DEFAULT</t>
        </is>
      </c>
      <c r="Q2159" t="n">
        <v>0</v>
      </c>
      <c r="R2159" t="inlineStr">
        <is>
          <t>AUD</t>
        </is>
      </c>
      <c r="S2159" t="n">
        <v>0</v>
      </c>
      <c r="T2159" t="inlineStr">
        <is>
          <t>AUD</t>
        </is>
      </c>
      <c r="U2159" t="n">
        <v>0</v>
      </c>
    </row>
    <row r="2160">
      <c r="A2160" s="5" t="inlineStr">
        <is>
          <t>01a1212c-65bd-771d-a0f1-ed118c470a91</t>
        </is>
      </c>
      <c r="C2160" s="5" t="inlineStr">
        <is>
          <t>01a1212c-4b57-70cf-80fd-c2192cb3bf81</t>
        </is>
      </c>
      <c r="D2160" s="4" t="n">
        <v>46304.6240762704</v>
      </c>
      <c r="E2160" s="4" t="n">
        <v>46304.62407627048</v>
      </c>
      <c r="F2160" t="b">
        <v>1</v>
      </c>
      <c r="G2160" t="n">
        <v/>
      </c>
      <c r="H2160" t="inlineStr">
        <is>
          <t>BCT</t>
        </is>
      </c>
      <c r="I2160" t="inlineStr">
        <is>
          <t>Bluechiip Ltd</t>
        </is>
      </c>
      <c r="J2160" t="inlineStr">
        <is>
          <t>AUD</t>
        </is>
      </c>
      <c r="K2160" s="5" t="inlineStr">
        <is>
          <t>01a1212c-4c04-75ce-bbb2-e3322e18816e</t>
        </is>
      </c>
      <c r="M2160" t="inlineStr">
        <is>
          <t>UNKNOWN</t>
        </is>
      </c>
      <c r="N2160" t="inlineStr">
        <is>
          <t>DEFAULT</t>
        </is>
      </c>
      <c r="Q2160" t="n">
        <v>0</v>
      </c>
      <c r="R2160" t="inlineStr">
        <is>
          <t>AUD</t>
        </is>
      </c>
      <c r="S2160" t="n">
        <v>0</v>
      </c>
      <c r="T2160" t="inlineStr">
        <is>
          <t>AUD</t>
        </is>
      </c>
      <c r="U2160" t="n">
        <v>0</v>
      </c>
    </row>
    <row r="2161">
      <c r="A2161" s="5" t="inlineStr">
        <is>
          <t>01a1212c-65c0-7469-a14c-487b460134d8</t>
        </is>
      </c>
      <c r="C2161" s="5" t="inlineStr">
        <is>
          <t>01a1212c-4b57-70cf-80fd-c2192cb3bf81</t>
        </is>
      </c>
      <c r="D2161" s="4" t="n">
        <v>46304.62407630496</v>
      </c>
      <c r="E2161" s="4" t="n">
        <v>46304.62407630506</v>
      </c>
      <c r="F2161" t="b">
        <v>1</v>
      </c>
      <c r="G2161" t="n">
        <v/>
      </c>
      <c r="H2161" t="inlineStr">
        <is>
          <t>SVNP</t>
        </is>
      </c>
      <c r="I2161" t="inlineStr">
        <is>
          <t>Savana US Small Caps Active ETF</t>
        </is>
      </c>
      <c r="J2161" t="inlineStr">
        <is>
          <t>AUD</t>
        </is>
      </c>
      <c r="K2161" s="5" t="inlineStr">
        <is>
          <t>01a1212c-4c04-75ce-bbb2-e3322e18816e</t>
        </is>
      </c>
      <c r="M2161" t="inlineStr">
        <is>
          <t>UNKNOWN</t>
        </is>
      </c>
      <c r="N2161" t="inlineStr">
        <is>
          <t>DEFAULT</t>
        </is>
      </c>
      <c r="Q2161" t="n">
        <v>0</v>
      </c>
      <c r="R2161" t="inlineStr">
        <is>
          <t>AUD</t>
        </is>
      </c>
      <c r="S2161" t="n">
        <v>0</v>
      </c>
      <c r="T2161" t="inlineStr">
        <is>
          <t>AUD</t>
        </is>
      </c>
      <c r="U2161" t="n">
        <v>0</v>
      </c>
    </row>
    <row r="2162">
      <c r="A2162" s="5" t="inlineStr">
        <is>
          <t>01a1212c-65c3-71b6-83e4-9e9220711542</t>
        </is>
      </c>
      <c r="C2162" s="5" t="inlineStr">
        <is>
          <t>01a1212c-4b57-70cf-80fd-c2192cb3bf81</t>
        </is>
      </c>
      <c r="D2162" s="4" t="n">
        <v>46304.62407633763</v>
      </c>
      <c r="E2162" s="4" t="n">
        <v>46304.62407633772</v>
      </c>
      <c r="F2162" t="b">
        <v>1</v>
      </c>
      <c r="G2162" t="n">
        <v/>
      </c>
      <c r="H2162" t="inlineStr">
        <is>
          <t>EM2</t>
        </is>
      </c>
      <c r="I2162" t="inlineStr">
        <is>
          <t>Eagle Mountain Mining Ltd</t>
        </is>
      </c>
      <c r="J2162" t="inlineStr">
        <is>
          <t>AUD</t>
        </is>
      </c>
      <c r="K2162" s="5" t="inlineStr">
        <is>
          <t>01a1212c-4c04-75ce-bbb2-e3322e18816e</t>
        </is>
      </c>
      <c r="M2162" t="inlineStr">
        <is>
          <t>UNKNOWN</t>
        </is>
      </c>
      <c r="N2162" t="inlineStr">
        <is>
          <t>DEFAULT</t>
        </is>
      </c>
      <c r="Q2162" t="n">
        <v>0</v>
      </c>
      <c r="R2162" t="inlineStr">
        <is>
          <t>AUD</t>
        </is>
      </c>
      <c r="S2162" t="n">
        <v>0</v>
      </c>
      <c r="T2162" t="inlineStr">
        <is>
          <t>AUD</t>
        </is>
      </c>
      <c r="U2162" t="n">
        <v>0</v>
      </c>
    </row>
    <row r="2163">
      <c r="A2163" s="5" t="inlineStr">
        <is>
          <t>01a1212c-65c6-7214-bd92-59315d60e4ea</t>
        </is>
      </c>
      <c r="C2163" s="5" t="inlineStr">
        <is>
          <t>01a1212c-4b57-70cf-80fd-c2192cb3bf81</t>
        </is>
      </c>
      <c r="D2163" s="4" t="n">
        <v>46304.62407637303</v>
      </c>
      <c r="E2163" s="4" t="n">
        <v>46304.62407637317</v>
      </c>
      <c r="F2163" t="b">
        <v>1</v>
      </c>
      <c r="G2163" t="n">
        <v/>
      </c>
      <c r="H2163" t="inlineStr">
        <is>
          <t>MOH</t>
        </is>
      </c>
      <c r="I2163" t="inlineStr">
        <is>
          <t>Moho Resources Ltd</t>
        </is>
      </c>
      <c r="J2163" t="inlineStr">
        <is>
          <t>AUD</t>
        </is>
      </c>
      <c r="K2163" s="5" t="inlineStr">
        <is>
          <t>01a1212c-4c04-75ce-bbb2-e3322e18816e</t>
        </is>
      </c>
      <c r="M2163" t="inlineStr">
        <is>
          <t>UNKNOWN</t>
        </is>
      </c>
      <c r="N2163" t="inlineStr">
        <is>
          <t>DEFAULT</t>
        </is>
      </c>
      <c r="Q2163" t="n">
        <v>0</v>
      </c>
      <c r="R2163" t="inlineStr">
        <is>
          <t>AUD</t>
        </is>
      </c>
      <c r="S2163" t="n">
        <v>0</v>
      </c>
      <c r="T2163" t="inlineStr">
        <is>
          <t>AUD</t>
        </is>
      </c>
      <c r="U2163" t="n">
        <v>0</v>
      </c>
    </row>
    <row r="2164">
      <c r="A2164" s="5" t="inlineStr">
        <is>
          <t>01a1212c-65c9-742c-8efd-74be084194f6</t>
        </is>
      </c>
      <c r="C2164" s="5" t="inlineStr">
        <is>
          <t>01a1212c-4b57-70cf-80fd-c2192cb3bf81</t>
        </is>
      </c>
      <c r="D2164" s="4" t="n">
        <v>46304.6240764129</v>
      </c>
      <c r="E2164" s="4" t="n">
        <v>46304.62407641302</v>
      </c>
      <c r="F2164" t="b">
        <v>1</v>
      </c>
      <c r="G2164" t="n">
        <v/>
      </c>
      <c r="H2164" t="inlineStr">
        <is>
          <t>HFY</t>
        </is>
      </c>
      <c r="I2164" t="inlineStr">
        <is>
          <t>Hubify Ltd</t>
        </is>
      </c>
      <c r="J2164" t="inlineStr">
        <is>
          <t>AUD</t>
        </is>
      </c>
      <c r="K2164" s="5" t="inlineStr">
        <is>
          <t>01a1212c-4c04-75ce-bbb2-e3322e18816e</t>
        </is>
      </c>
      <c r="M2164" t="inlineStr">
        <is>
          <t>UNKNOWN</t>
        </is>
      </c>
      <c r="N2164" t="inlineStr">
        <is>
          <t>DEFAULT</t>
        </is>
      </c>
      <c r="Q2164" t="n">
        <v>0</v>
      </c>
      <c r="R2164" t="inlineStr">
        <is>
          <t>AUD</t>
        </is>
      </c>
      <c r="S2164" t="n">
        <v>0</v>
      </c>
      <c r="T2164" t="inlineStr">
        <is>
          <t>AUD</t>
        </is>
      </c>
      <c r="U2164" t="n">
        <v>0</v>
      </c>
    </row>
    <row r="2165">
      <c r="A2165" s="5" t="inlineStr">
        <is>
          <t>01a1212c-65cc-7122-a4b5-46a10f7639c4</t>
        </is>
      </c>
      <c r="C2165" s="5" t="inlineStr">
        <is>
          <t>01a1212c-4b57-70cf-80fd-c2192cb3bf81</t>
        </is>
      </c>
      <c r="D2165" s="4" t="n">
        <v>46304.62407644672</v>
      </c>
      <c r="E2165" s="4" t="n">
        <v>46304.62407644682</v>
      </c>
      <c r="F2165" t="b">
        <v>1</v>
      </c>
      <c r="G2165" t="n">
        <v/>
      </c>
      <c r="H2165" t="inlineStr">
        <is>
          <t>RBX</t>
        </is>
      </c>
      <c r="I2165" t="inlineStr">
        <is>
          <t>Resource Base Ltd</t>
        </is>
      </c>
      <c r="J2165" t="inlineStr">
        <is>
          <t>AUD</t>
        </is>
      </c>
      <c r="K2165" s="5" t="inlineStr">
        <is>
          <t>01a1212c-4c04-75ce-bbb2-e3322e18816e</t>
        </is>
      </c>
      <c r="M2165" t="inlineStr">
        <is>
          <t>UNKNOWN</t>
        </is>
      </c>
      <c r="N2165" t="inlineStr">
        <is>
          <t>DEFAULT</t>
        </is>
      </c>
      <c r="Q2165" t="n">
        <v>0</v>
      </c>
      <c r="R2165" t="inlineStr">
        <is>
          <t>AUD</t>
        </is>
      </c>
      <c r="S2165" t="n">
        <v>0</v>
      </c>
      <c r="T2165" t="inlineStr">
        <is>
          <t>AUD</t>
        </is>
      </c>
      <c r="U2165" t="n">
        <v>0</v>
      </c>
    </row>
    <row r="2166">
      <c r="A2166" s="5" t="inlineStr">
        <is>
          <t>01a1212c-65cf-7357-a955-60e93e20f142</t>
        </is>
      </c>
      <c r="C2166" s="5" t="inlineStr">
        <is>
          <t>01a1212c-4b57-70cf-80fd-c2192cb3bf81</t>
        </is>
      </c>
      <c r="D2166" s="4" t="n">
        <v>46304.62407648185</v>
      </c>
      <c r="E2166" s="4" t="n">
        <v>46304.62407648194</v>
      </c>
      <c r="F2166" t="b">
        <v>1</v>
      </c>
      <c r="G2166" t="n">
        <v/>
      </c>
      <c r="H2166" t="inlineStr">
        <is>
          <t>CTQ</t>
        </is>
      </c>
      <c r="I2166" t="inlineStr">
        <is>
          <t>Careteq Ltd</t>
        </is>
      </c>
      <c r="J2166" t="inlineStr">
        <is>
          <t>AUD</t>
        </is>
      </c>
      <c r="K2166" s="5" t="inlineStr">
        <is>
          <t>01a1212c-4c04-75ce-bbb2-e3322e18816e</t>
        </is>
      </c>
      <c r="M2166" t="inlineStr">
        <is>
          <t>UNKNOWN</t>
        </is>
      </c>
      <c r="N2166" t="inlineStr">
        <is>
          <t>DEFAULT</t>
        </is>
      </c>
      <c r="Q2166" t="n">
        <v>0</v>
      </c>
      <c r="R2166" t="inlineStr">
        <is>
          <t>AUD</t>
        </is>
      </c>
      <c r="S2166" t="n">
        <v>0</v>
      </c>
      <c r="T2166" t="inlineStr">
        <is>
          <t>AUD</t>
        </is>
      </c>
      <c r="U2166" t="n">
        <v>0</v>
      </c>
    </row>
    <row r="2167">
      <c r="A2167" s="5" t="inlineStr">
        <is>
          <t>01a1212c-65d2-7755-800a-afbd1ea0b68a</t>
        </is>
      </c>
      <c r="C2167" s="5" t="inlineStr">
        <is>
          <t>01a1212c-4b57-70cf-80fd-c2192cb3bf81</t>
        </is>
      </c>
      <c r="D2167" s="4" t="n">
        <v>46304.62407651371</v>
      </c>
      <c r="E2167" s="4" t="n">
        <v>46304.6240765138</v>
      </c>
      <c r="F2167" t="b">
        <v>1</v>
      </c>
      <c r="G2167" t="n">
        <v/>
      </c>
      <c r="H2167" t="inlineStr">
        <is>
          <t>MDI</t>
        </is>
      </c>
      <c r="I2167" t="inlineStr">
        <is>
          <t>Middle Island Resources Ltd</t>
        </is>
      </c>
      <c r="J2167" t="inlineStr">
        <is>
          <t>AUD</t>
        </is>
      </c>
      <c r="K2167" s="5" t="inlineStr">
        <is>
          <t>01a1212c-4c04-75ce-bbb2-e3322e18816e</t>
        </is>
      </c>
      <c r="M2167" t="inlineStr">
        <is>
          <t>UNKNOWN</t>
        </is>
      </c>
      <c r="N2167" t="inlineStr">
        <is>
          <t>DEFAULT</t>
        </is>
      </c>
      <c r="Q2167" t="n">
        <v>0</v>
      </c>
      <c r="R2167" t="inlineStr">
        <is>
          <t>AUD</t>
        </is>
      </c>
      <c r="S2167" t="n">
        <v>0</v>
      </c>
      <c r="T2167" t="inlineStr">
        <is>
          <t>AUD</t>
        </is>
      </c>
      <c r="U2167" t="n">
        <v>0</v>
      </c>
    </row>
    <row r="2168">
      <c r="A2168" s="5" t="inlineStr">
        <is>
          <t>01a1212c-65d5-766c-9ef9-92fe83476835</t>
        </is>
      </c>
      <c r="C2168" s="5" t="inlineStr">
        <is>
          <t>01a1212c-4b57-70cf-80fd-c2192cb3bf81</t>
        </is>
      </c>
      <c r="D2168" s="4" t="n">
        <v>46304.62407654511</v>
      </c>
      <c r="E2168" s="4" t="n">
        <v>46304.62407654519</v>
      </c>
      <c r="F2168" t="b">
        <v>1</v>
      </c>
      <c r="G2168" t="n">
        <v/>
      </c>
      <c r="H2168" t="inlineStr">
        <is>
          <t>ENT</t>
        </is>
      </c>
      <c r="I2168" t="inlineStr">
        <is>
          <t>Enterprise Metals Ltd</t>
        </is>
      </c>
      <c r="J2168" t="inlineStr">
        <is>
          <t>AUD</t>
        </is>
      </c>
      <c r="K2168" s="5" t="inlineStr">
        <is>
          <t>01a1212c-4c04-75ce-bbb2-e3322e18816e</t>
        </is>
      </c>
      <c r="M2168" t="inlineStr">
        <is>
          <t>UNKNOWN</t>
        </is>
      </c>
      <c r="N2168" t="inlineStr">
        <is>
          <t>DEFAULT</t>
        </is>
      </c>
      <c r="Q2168" t="n">
        <v>0</v>
      </c>
      <c r="R2168" t="inlineStr">
        <is>
          <t>AUD</t>
        </is>
      </c>
      <c r="S2168" t="n">
        <v>0</v>
      </c>
      <c r="T2168" t="inlineStr">
        <is>
          <t>AUD</t>
        </is>
      </c>
      <c r="U2168" t="n">
        <v>0</v>
      </c>
    </row>
    <row r="2169">
      <c r="A2169" s="5" t="inlineStr">
        <is>
          <t>01a1212c-65d8-7169-a73a-13912dedf34f</t>
        </is>
      </c>
      <c r="C2169" s="5" t="inlineStr">
        <is>
          <t>01a1212c-4b57-70cf-80fd-c2192cb3bf81</t>
        </is>
      </c>
      <c r="D2169" s="4" t="n">
        <v>46304.62407657621</v>
      </c>
      <c r="E2169" s="4" t="n">
        <v>46304.62407657629</v>
      </c>
      <c r="F2169" t="b">
        <v>1</v>
      </c>
      <c r="G2169" t="n">
        <v/>
      </c>
      <c r="H2169" t="inlineStr">
        <is>
          <t>CPM</t>
        </is>
      </c>
      <c r="I2169" t="inlineStr">
        <is>
          <t>Cooper Metals Ltd</t>
        </is>
      </c>
      <c r="J2169" t="inlineStr">
        <is>
          <t>AUD</t>
        </is>
      </c>
      <c r="K2169" s="5" t="inlineStr">
        <is>
          <t>01a1212c-4c04-75ce-bbb2-e3322e18816e</t>
        </is>
      </c>
      <c r="M2169" t="inlineStr">
        <is>
          <t>UNKNOWN</t>
        </is>
      </c>
      <c r="N2169" t="inlineStr">
        <is>
          <t>DEFAULT</t>
        </is>
      </c>
      <c r="Q2169" t="n">
        <v>0</v>
      </c>
      <c r="R2169" t="inlineStr">
        <is>
          <t>AUD</t>
        </is>
      </c>
      <c r="S2169" t="n">
        <v>0</v>
      </c>
      <c r="T2169" t="inlineStr">
        <is>
          <t>AUD</t>
        </is>
      </c>
      <c r="U2169" t="n">
        <v>0</v>
      </c>
    </row>
    <row r="2170">
      <c r="A2170" s="5" t="inlineStr">
        <is>
          <t>01a1212c-65da-7216-9509-dd152711c2a5</t>
        </is>
      </c>
      <c r="C2170" s="5" t="inlineStr">
        <is>
          <t>01a1212c-4b57-70cf-80fd-c2192cb3bf81</t>
        </is>
      </c>
      <c r="D2170" s="4" t="n">
        <v>46304.62407660985</v>
      </c>
      <c r="E2170" s="4" t="n">
        <v>46304.62407660993</v>
      </c>
      <c r="F2170" t="b">
        <v>1</v>
      </c>
      <c r="G2170" t="n">
        <v/>
      </c>
      <c r="H2170" t="inlineStr">
        <is>
          <t>WC1</t>
        </is>
      </c>
      <c r="I2170" t="inlineStr">
        <is>
          <t>West Cobar Metals Ltd</t>
        </is>
      </c>
      <c r="J2170" t="inlineStr">
        <is>
          <t>AUD</t>
        </is>
      </c>
      <c r="K2170" s="5" t="inlineStr">
        <is>
          <t>01a1212c-4c04-75ce-bbb2-e3322e18816e</t>
        </is>
      </c>
      <c r="M2170" t="inlineStr">
        <is>
          <t>UNKNOWN</t>
        </is>
      </c>
      <c r="N2170" t="inlineStr">
        <is>
          <t>DEFAULT</t>
        </is>
      </c>
      <c r="Q2170" t="n">
        <v>0</v>
      </c>
      <c r="R2170" t="inlineStr">
        <is>
          <t>AUD</t>
        </is>
      </c>
      <c r="S2170" t="n">
        <v>0</v>
      </c>
      <c r="T2170" t="inlineStr">
        <is>
          <t>AUD</t>
        </is>
      </c>
      <c r="U2170" t="n">
        <v>0</v>
      </c>
    </row>
    <row r="2171">
      <c r="A2171" s="5" t="inlineStr">
        <is>
          <t>01a1212c-65dd-766c-a144-9b3673c532c3</t>
        </is>
      </c>
      <c r="C2171" s="5" t="inlineStr">
        <is>
          <t>01a1212c-4b57-70cf-80fd-c2192cb3bf81</t>
        </is>
      </c>
      <c r="D2171" s="4" t="n">
        <v>46304.62407664143</v>
      </c>
      <c r="E2171" s="4" t="n">
        <v>46304.62407664151</v>
      </c>
      <c r="F2171" t="b">
        <v>1</v>
      </c>
      <c r="G2171" t="n">
        <v/>
      </c>
      <c r="H2171" t="inlineStr">
        <is>
          <t>CR3</t>
        </is>
      </c>
      <c r="I2171" t="inlineStr">
        <is>
          <t>Core Energy Minerals Ltd</t>
        </is>
      </c>
      <c r="J2171" t="inlineStr">
        <is>
          <t>AUD</t>
        </is>
      </c>
      <c r="K2171" s="5" t="inlineStr">
        <is>
          <t>01a1212c-4c04-75ce-bbb2-e3322e18816e</t>
        </is>
      </c>
      <c r="M2171" t="inlineStr">
        <is>
          <t>UNKNOWN</t>
        </is>
      </c>
      <c r="N2171" t="inlineStr">
        <is>
          <t>DEFAULT</t>
        </is>
      </c>
      <c r="Q2171" t="n">
        <v>0</v>
      </c>
      <c r="R2171" t="inlineStr">
        <is>
          <t>AUD</t>
        </is>
      </c>
      <c r="S2171" t="n">
        <v>0</v>
      </c>
      <c r="T2171" t="inlineStr">
        <is>
          <t>AUD</t>
        </is>
      </c>
      <c r="U2171" t="n">
        <v>0</v>
      </c>
    </row>
    <row r="2172">
      <c r="A2172" s="5" t="inlineStr">
        <is>
          <t>01a1212c-65e0-7211-8c74-1b48e7bb09da</t>
        </is>
      </c>
      <c r="C2172" s="5" t="inlineStr">
        <is>
          <t>01a1212c-4b57-70cf-80fd-c2192cb3bf81</t>
        </is>
      </c>
      <c r="D2172" s="4" t="n">
        <v>46304.62407667356</v>
      </c>
      <c r="E2172" s="4" t="n">
        <v>46304.62407667366</v>
      </c>
      <c r="F2172" t="b">
        <v>1</v>
      </c>
      <c r="G2172" t="n">
        <v/>
      </c>
      <c r="H2172" t="inlineStr">
        <is>
          <t>TEM</t>
        </is>
      </c>
      <c r="I2172" t="inlineStr">
        <is>
          <t>Tempest Minerals Ltd</t>
        </is>
      </c>
      <c r="J2172" t="inlineStr">
        <is>
          <t>AUD</t>
        </is>
      </c>
      <c r="K2172" s="5" t="inlineStr">
        <is>
          <t>01a1212c-4c04-75ce-bbb2-e3322e18816e</t>
        </is>
      </c>
      <c r="M2172" t="inlineStr">
        <is>
          <t>UNKNOWN</t>
        </is>
      </c>
      <c r="N2172" t="inlineStr">
        <is>
          <t>DEFAULT</t>
        </is>
      </c>
      <c r="Q2172" t="n">
        <v>0</v>
      </c>
      <c r="R2172" t="inlineStr">
        <is>
          <t>AUD</t>
        </is>
      </c>
      <c r="S2172" t="n">
        <v>0</v>
      </c>
      <c r="T2172" t="inlineStr">
        <is>
          <t>AUD</t>
        </is>
      </c>
      <c r="U2172" t="n">
        <v>0</v>
      </c>
    </row>
    <row r="2173">
      <c r="A2173" s="5" t="inlineStr">
        <is>
          <t>01a1212c-65e3-7105-b608-64fdfb6fcaab</t>
        </is>
      </c>
      <c r="C2173" s="5" t="inlineStr">
        <is>
          <t>01a1212c-4b57-70cf-80fd-c2192cb3bf81</t>
        </is>
      </c>
      <c r="D2173" s="4" t="n">
        <v>46304.62407670687</v>
      </c>
      <c r="E2173" s="4" t="n">
        <v>46304.62407670695</v>
      </c>
      <c r="F2173" t="b">
        <v>1</v>
      </c>
      <c r="G2173" t="n">
        <v/>
      </c>
      <c r="H2173" t="inlineStr">
        <is>
          <t>CL8</t>
        </is>
      </c>
      <c r="I2173" t="inlineStr">
        <is>
          <t>Carly Holdings Ltd</t>
        </is>
      </c>
      <c r="J2173" t="inlineStr">
        <is>
          <t>AUD</t>
        </is>
      </c>
      <c r="K2173" s="5" t="inlineStr">
        <is>
          <t>01a1212c-4c04-75ce-bbb2-e3322e18816e</t>
        </is>
      </c>
      <c r="M2173" t="inlineStr">
        <is>
          <t>UNKNOWN</t>
        </is>
      </c>
      <c r="N2173" t="inlineStr">
        <is>
          <t>DEFAULT</t>
        </is>
      </c>
      <c r="Q2173" t="n">
        <v>0</v>
      </c>
      <c r="R2173" t="inlineStr">
        <is>
          <t>AUD</t>
        </is>
      </c>
      <c r="S2173" t="n">
        <v>0</v>
      </c>
      <c r="T2173" t="inlineStr">
        <is>
          <t>AUD</t>
        </is>
      </c>
      <c r="U2173" t="n">
        <v>0</v>
      </c>
    </row>
    <row r="2174">
      <c r="A2174" s="5" t="inlineStr">
        <is>
          <t>01a1212c-65e6-76b2-b633-b223e8a75db1</t>
        </is>
      </c>
      <c r="C2174" s="5" t="inlineStr">
        <is>
          <t>01a1212c-4b57-70cf-80fd-c2192cb3bf81</t>
        </is>
      </c>
      <c r="D2174" s="4" t="n">
        <v>46304.62407673795</v>
      </c>
      <c r="E2174" s="4" t="n">
        <v>46304.62407673802</v>
      </c>
      <c r="F2174" t="b">
        <v>1</v>
      </c>
      <c r="G2174" t="n">
        <v/>
      </c>
      <c r="H2174" t="inlineStr">
        <is>
          <t>GED</t>
        </is>
      </c>
      <c r="I2174" t="inlineStr">
        <is>
          <t>Golden Deeps Ltd</t>
        </is>
      </c>
      <c r="J2174" t="inlineStr">
        <is>
          <t>AUD</t>
        </is>
      </c>
      <c r="K2174" s="5" t="inlineStr">
        <is>
          <t>01a1212c-4c04-75ce-bbb2-e3322e18816e</t>
        </is>
      </c>
      <c r="M2174" t="inlineStr">
        <is>
          <t>UNKNOWN</t>
        </is>
      </c>
      <c r="N2174" t="inlineStr">
        <is>
          <t>DEFAULT</t>
        </is>
      </c>
      <c r="Q2174" t="n">
        <v>0</v>
      </c>
      <c r="R2174" t="inlineStr">
        <is>
          <t>AUD</t>
        </is>
      </c>
      <c r="S2174" t="n">
        <v>0</v>
      </c>
      <c r="T2174" t="inlineStr">
        <is>
          <t>AUD</t>
        </is>
      </c>
      <c r="U2174" t="n">
        <v>0</v>
      </c>
    </row>
    <row r="2175">
      <c r="A2175" s="5" t="inlineStr">
        <is>
          <t>01a1212c-65e8-75e3-a34b-53320134d171</t>
        </is>
      </c>
      <c r="C2175" s="5" t="inlineStr">
        <is>
          <t>01a1212c-4b57-70cf-80fd-c2192cb3bf81</t>
        </is>
      </c>
      <c r="D2175" s="4" t="n">
        <v>46304.62407677104</v>
      </c>
      <c r="E2175" s="4" t="n">
        <v>46304.62407677111</v>
      </c>
      <c r="F2175" t="b">
        <v>1</v>
      </c>
      <c r="G2175" t="n">
        <v/>
      </c>
      <c r="H2175" t="inlineStr">
        <is>
          <t>8IH</t>
        </is>
      </c>
      <c r="I2175" t="inlineStr">
        <is>
          <t>8I Holdings Ltd</t>
        </is>
      </c>
      <c r="J2175" t="inlineStr">
        <is>
          <t>AUD</t>
        </is>
      </c>
      <c r="K2175" s="5" t="inlineStr">
        <is>
          <t>01a1212c-4c04-75ce-bbb2-e3322e18816e</t>
        </is>
      </c>
      <c r="M2175" t="inlineStr">
        <is>
          <t>UNKNOWN</t>
        </is>
      </c>
      <c r="N2175" t="inlineStr">
        <is>
          <t>DEFAULT</t>
        </is>
      </c>
      <c r="Q2175" t="n">
        <v>0</v>
      </c>
      <c r="R2175" t="inlineStr">
        <is>
          <t>AUD</t>
        </is>
      </c>
      <c r="S2175" t="n">
        <v>0</v>
      </c>
      <c r="T2175" t="inlineStr">
        <is>
          <t>AUD</t>
        </is>
      </c>
      <c r="U2175" t="n">
        <v>0</v>
      </c>
    </row>
    <row r="2176">
      <c r="A2176" s="5" t="inlineStr">
        <is>
          <t>01a1212c-65eb-744b-8662-e420b57ed583</t>
        </is>
      </c>
      <c r="C2176" s="5" t="inlineStr">
        <is>
          <t>01a1212c-4b57-70cf-80fd-c2192cb3bf81</t>
        </is>
      </c>
      <c r="D2176" s="4" t="n">
        <v>46304.6240768018</v>
      </c>
      <c r="E2176" s="4" t="n">
        <v>46304.62407680188</v>
      </c>
      <c r="F2176" t="b">
        <v>1</v>
      </c>
      <c r="G2176" t="n">
        <v/>
      </c>
      <c r="H2176" t="inlineStr">
        <is>
          <t>CUL</t>
        </is>
      </c>
      <c r="I2176" t="inlineStr">
        <is>
          <t>Cullen Resources Ltd</t>
        </is>
      </c>
      <c r="J2176" t="inlineStr">
        <is>
          <t>AUD</t>
        </is>
      </c>
      <c r="K2176" s="5" t="inlineStr">
        <is>
          <t>01a1212c-4c04-75ce-bbb2-e3322e18816e</t>
        </is>
      </c>
      <c r="M2176" t="inlineStr">
        <is>
          <t>UNKNOWN</t>
        </is>
      </c>
      <c r="N2176" t="inlineStr">
        <is>
          <t>DEFAULT</t>
        </is>
      </c>
      <c r="Q2176" t="n">
        <v>0</v>
      </c>
      <c r="R2176" t="inlineStr">
        <is>
          <t>AUD</t>
        </is>
      </c>
      <c r="S2176" t="n">
        <v>0</v>
      </c>
      <c r="T2176" t="inlineStr">
        <is>
          <t>AUD</t>
        </is>
      </c>
      <c r="U2176" t="n">
        <v>0</v>
      </c>
    </row>
    <row r="2177">
      <c r="A2177" s="5" t="inlineStr">
        <is>
          <t>01a1212c-65ee-7145-9d2f-8e7844550631</t>
        </is>
      </c>
      <c r="C2177" s="5" t="inlineStr">
        <is>
          <t>01a1212c-4b57-70cf-80fd-c2192cb3bf81</t>
        </is>
      </c>
      <c r="D2177" s="4" t="n">
        <v>46304.62407683297</v>
      </c>
      <c r="E2177" s="4" t="n">
        <v>46304.62407683305</v>
      </c>
      <c r="F2177" t="b">
        <v>1</v>
      </c>
      <c r="G2177" t="n">
        <v/>
      </c>
      <c r="H2177" t="inlineStr">
        <is>
          <t>TTI</t>
        </is>
      </c>
      <c r="I2177" t="inlineStr">
        <is>
          <t>Traffic Technologies Ltd</t>
        </is>
      </c>
      <c r="J2177" t="inlineStr">
        <is>
          <t>AUD</t>
        </is>
      </c>
      <c r="K2177" s="5" t="inlineStr">
        <is>
          <t>01a1212c-4c04-75ce-bbb2-e3322e18816e</t>
        </is>
      </c>
      <c r="M2177" t="inlineStr">
        <is>
          <t>UNKNOWN</t>
        </is>
      </c>
      <c r="N2177" t="inlineStr">
        <is>
          <t>DEFAULT</t>
        </is>
      </c>
      <c r="Q2177" t="n">
        <v>0</v>
      </c>
      <c r="R2177" t="inlineStr">
        <is>
          <t>AUD</t>
        </is>
      </c>
      <c r="S2177" t="n">
        <v>0</v>
      </c>
      <c r="T2177" t="inlineStr">
        <is>
          <t>AUD</t>
        </is>
      </c>
      <c r="U2177" t="n">
        <v>0</v>
      </c>
    </row>
    <row r="2178">
      <c r="A2178" s="5" t="inlineStr">
        <is>
          <t>01a1212c-65f1-70ff-885a-051f7340c7e8</t>
        </is>
      </c>
      <c r="C2178" s="5" t="inlineStr">
        <is>
          <t>01a1212c-4b57-70cf-80fd-c2192cb3bf81</t>
        </is>
      </c>
      <c r="D2178" s="4" t="n">
        <v>46304.62407686622</v>
      </c>
      <c r="E2178" s="4" t="n">
        <v>46304.62407686632</v>
      </c>
      <c r="F2178" t="b">
        <v>1</v>
      </c>
      <c r="G2178" t="n">
        <v/>
      </c>
      <c r="H2178" t="inlineStr">
        <is>
          <t>FASI</t>
        </is>
      </c>
      <c r="I2178" t="inlineStr">
        <is>
          <t>Fidelity Asia Active ETF</t>
        </is>
      </c>
      <c r="J2178" t="inlineStr">
        <is>
          <t>AUD</t>
        </is>
      </c>
      <c r="K2178" s="5" t="inlineStr">
        <is>
          <t>01a1212c-4c04-75ce-bbb2-e3322e18816e</t>
        </is>
      </c>
      <c r="M2178" t="inlineStr">
        <is>
          <t>UNKNOWN</t>
        </is>
      </c>
      <c r="N2178" t="inlineStr">
        <is>
          <t>DEFAULT</t>
        </is>
      </c>
      <c r="Q2178" t="n">
        <v>0</v>
      </c>
      <c r="R2178" t="inlineStr">
        <is>
          <t>AUD</t>
        </is>
      </c>
      <c r="S2178" t="n">
        <v>0</v>
      </c>
      <c r="T2178" t="inlineStr">
        <is>
          <t>AUD</t>
        </is>
      </c>
      <c r="U2178" t="n">
        <v>0</v>
      </c>
    </row>
    <row r="2179">
      <c r="A2179" s="5" t="inlineStr">
        <is>
          <t>01a1212c-65f3-7225-8c0f-c94327ab9485</t>
        </is>
      </c>
      <c r="C2179" s="5" t="inlineStr">
        <is>
          <t>01a1212c-4b57-70cf-80fd-c2192cb3bf81</t>
        </is>
      </c>
      <c r="D2179" s="4" t="n">
        <v>46304.62407689743</v>
      </c>
      <c r="E2179" s="4" t="n">
        <v>46304.6240768975</v>
      </c>
      <c r="F2179" t="b">
        <v>1</v>
      </c>
      <c r="G2179" t="n">
        <v/>
      </c>
      <c r="H2179" t="inlineStr">
        <is>
          <t>PBL</t>
        </is>
      </c>
      <c r="I2179" t="inlineStr">
        <is>
          <t>Parabellum Resources Ltd</t>
        </is>
      </c>
      <c r="J2179" t="inlineStr">
        <is>
          <t>AUD</t>
        </is>
      </c>
      <c r="K2179" s="5" t="inlineStr">
        <is>
          <t>01a1212c-4c04-75ce-bbb2-e3322e18816e</t>
        </is>
      </c>
      <c r="M2179" t="inlineStr">
        <is>
          <t>UNKNOWN</t>
        </is>
      </c>
      <c r="N2179" t="inlineStr">
        <is>
          <t>DEFAULT</t>
        </is>
      </c>
      <c r="Q2179" t="n">
        <v>0</v>
      </c>
      <c r="R2179" t="inlineStr">
        <is>
          <t>AUD</t>
        </is>
      </c>
      <c r="S2179" t="n">
        <v>0</v>
      </c>
      <c r="T2179" t="inlineStr">
        <is>
          <t>AUD</t>
        </is>
      </c>
      <c r="U2179" t="n">
        <v>0</v>
      </c>
    </row>
    <row r="2180">
      <c r="A2180" s="5" t="inlineStr">
        <is>
          <t>01a1212c-65f6-76f4-b943-3d2adf57bf0f</t>
        </is>
      </c>
      <c r="C2180" s="5" t="inlineStr">
        <is>
          <t>01a1212c-4b57-70cf-80fd-c2192cb3bf81</t>
        </is>
      </c>
      <c r="D2180" s="4" t="n">
        <v>46304.62407693043</v>
      </c>
      <c r="E2180" s="4" t="n">
        <v>46304.62407693051</v>
      </c>
      <c r="F2180" t="b">
        <v>1</v>
      </c>
      <c r="G2180" t="n">
        <v/>
      </c>
      <c r="H2180" t="inlineStr">
        <is>
          <t>IBX</t>
        </is>
      </c>
      <c r="I2180" t="inlineStr">
        <is>
          <t>Imagion Biosystems Ltd</t>
        </is>
      </c>
      <c r="J2180" t="inlineStr">
        <is>
          <t>AUD</t>
        </is>
      </c>
      <c r="K2180" s="5" t="inlineStr">
        <is>
          <t>01a1212c-4c04-75ce-bbb2-e3322e18816e</t>
        </is>
      </c>
      <c r="M2180" t="inlineStr">
        <is>
          <t>UNKNOWN</t>
        </is>
      </c>
      <c r="N2180" t="inlineStr">
        <is>
          <t>DEFAULT</t>
        </is>
      </c>
      <c r="Q2180" t="n">
        <v>0</v>
      </c>
      <c r="R2180" t="inlineStr">
        <is>
          <t>AUD</t>
        </is>
      </c>
      <c r="S2180" t="n">
        <v>0</v>
      </c>
      <c r="T2180" t="inlineStr">
        <is>
          <t>AUD</t>
        </is>
      </c>
      <c r="U2180" t="n">
        <v>0</v>
      </c>
    </row>
    <row r="2181">
      <c r="A2181" s="5" t="inlineStr">
        <is>
          <t>01a1212c-65f9-76f9-8ddf-5f8542ea64f6</t>
        </is>
      </c>
      <c r="C2181" s="5" t="inlineStr">
        <is>
          <t>01a1212c-4b57-70cf-80fd-c2192cb3bf81</t>
        </is>
      </c>
      <c r="D2181" s="4" t="n">
        <v>46304.62407696123</v>
      </c>
      <c r="E2181" s="4" t="n">
        <v>46304.62407696131</v>
      </c>
      <c r="F2181" t="b">
        <v>1</v>
      </c>
      <c r="G2181" t="n">
        <v/>
      </c>
      <c r="H2181" t="inlineStr">
        <is>
          <t>CUS</t>
        </is>
      </c>
      <c r="I2181" t="inlineStr">
        <is>
          <t>Copper Search Ltd</t>
        </is>
      </c>
      <c r="J2181" t="inlineStr">
        <is>
          <t>AUD</t>
        </is>
      </c>
      <c r="K2181" s="5" t="inlineStr">
        <is>
          <t>01a1212c-4c04-75ce-bbb2-e3322e18816e</t>
        </is>
      </c>
      <c r="M2181" t="inlineStr">
        <is>
          <t>UNKNOWN</t>
        </is>
      </c>
      <c r="N2181" t="inlineStr">
        <is>
          <t>DEFAULT</t>
        </is>
      </c>
      <c r="Q2181" t="n">
        <v>0</v>
      </c>
      <c r="R2181" t="inlineStr">
        <is>
          <t>AUD</t>
        </is>
      </c>
      <c r="S2181" t="n">
        <v>0</v>
      </c>
      <c r="T2181" t="inlineStr">
        <is>
          <t>AUD</t>
        </is>
      </c>
      <c r="U2181" t="n">
        <v>0</v>
      </c>
    </row>
    <row r="2182">
      <c r="A2182" s="5" t="inlineStr">
        <is>
          <t>01a1212c-65fb-7199-851c-d91961a511bd</t>
        </is>
      </c>
      <c r="C2182" s="5" t="inlineStr">
        <is>
          <t>01a1212c-4b57-70cf-80fd-c2192cb3bf81</t>
        </is>
      </c>
      <c r="D2182" s="4" t="n">
        <v>46304.62407699181</v>
      </c>
      <c r="E2182" s="4" t="n">
        <v>46304.62407699189</v>
      </c>
      <c r="F2182" t="b">
        <v>1</v>
      </c>
      <c r="G2182" t="n">
        <v/>
      </c>
      <c r="H2182" t="inlineStr">
        <is>
          <t>EFE</t>
        </is>
      </c>
      <c r="I2182" t="inlineStr">
        <is>
          <t>Eastern Resources Ltd</t>
        </is>
      </c>
      <c r="J2182" t="inlineStr">
        <is>
          <t>AUD</t>
        </is>
      </c>
      <c r="K2182" s="5" t="inlineStr">
        <is>
          <t>01a1212c-4c04-75ce-bbb2-e3322e18816e</t>
        </is>
      </c>
      <c r="M2182" t="inlineStr">
        <is>
          <t>UNKNOWN</t>
        </is>
      </c>
      <c r="N2182" t="inlineStr">
        <is>
          <t>DEFAULT</t>
        </is>
      </c>
      <c r="Q2182" t="n">
        <v>0</v>
      </c>
      <c r="R2182" t="inlineStr">
        <is>
          <t>AUD</t>
        </is>
      </c>
      <c r="S2182" t="n">
        <v>0</v>
      </c>
      <c r="T2182" t="inlineStr">
        <is>
          <t>AUD</t>
        </is>
      </c>
      <c r="U2182" t="n">
        <v>0</v>
      </c>
    </row>
    <row r="2183">
      <c r="A2183" s="5" t="inlineStr">
        <is>
          <t>01a1212c-65fe-77ea-bad5-84d7731b6f86</t>
        </is>
      </c>
      <c r="C2183" s="5" t="inlineStr">
        <is>
          <t>01a1212c-4b57-70cf-80fd-c2192cb3bf81</t>
        </is>
      </c>
      <c r="D2183" s="4" t="n">
        <v>46304.62407702271</v>
      </c>
      <c r="E2183" s="4" t="n">
        <v>46304.62407702279</v>
      </c>
      <c r="F2183" t="b">
        <v>1</v>
      </c>
      <c r="G2183" t="n">
        <v/>
      </c>
      <c r="H2183" t="inlineStr">
        <is>
          <t>CMX</t>
        </is>
      </c>
      <c r="I2183" t="inlineStr">
        <is>
          <t>CHEMX Materials Ltd</t>
        </is>
      </c>
      <c r="J2183" t="inlineStr">
        <is>
          <t>AUD</t>
        </is>
      </c>
      <c r="K2183" s="5" t="inlineStr">
        <is>
          <t>01a1212c-4c04-75ce-bbb2-e3322e18816e</t>
        </is>
      </c>
      <c r="M2183" t="inlineStr">
        <is>
          <t>UNKNOWN</t>
        </is>
      </c>
      <c r="N2183" t="inlineStr">
        <is>
          <t>DEFAULT</t>
        </is>
      </c>
      <c r="Q2183" t="n">
        <v>0</v>
      </c>
      <c r="R2183" t="inlineStr">
        <is>
          <t>AUD</t>
        </is>
      </c>
      <c r="S2183" t="n">
        <v>0</v>
      </c>
      <c r="T2183" t="inlineStr">
        <is>
          <t>AUD</t>
        </is>
      </c>
      <c r="U2183" t="n">
        <v>0</v>
      </c>
    </row>
    <row r="2184">
      <c r="A2184" s="5" t="inlineStr">
        <is>
          <t>01a1212c-6601-7220-816c-87ca8c187d41</t>
        </is>
      </c>
      <c r="C2184" s="5" t="inlineStr">
        <is>
          <t>01a1212c-4b57-70cf-80fd-c2192cb3bf81</t>
        </is>
      </c>
      <c r="D2184" s="4" t="n">
        <v>46304.62407705855</v>
      </c>
      <c r="E2184" s="4" t="n">
        <v>46304.62407705864</v>
      </c>
      <c r="F2184" t="b">
        <v>1</v>
      </c>
      <c r="G2184" t="n">
        <v/>
      </c>
      <c r="H2184" t="inlineStr">
        <is>
          <t>NC6</t>
        </is>
      </c>
      <c r="I2184" t="inlineStr">
        <is>
          <t>Nanollose Ltd</t>
        </is>
      </c>
      <c r="J2184" t="inlineStr">
        <is>
          <t>AUD</t>
        </is>
      </c>
      <c r="K2184" s="5" t="inlineStr">
        <is>
          <t>01a1212c-4c04-75ce-bbb2-e3322e18816e</t>
        </is>
      </c>
      <c r="M2184" t="inlineStr">
        <is>
          <t>UNKNOWN</t>
        </is>
      </c>
      <c r="N2184" t="inlineStr">
        <is>
          <t>DEFAULT</t>
        </is>
      </c>
      <c r="Q2184" t="n">
        <v>0</v>
      </c>
      <c r="R2184" t="inlineStr">
        <is>
          <t>AUD</t>
        </is>
      </c>
      <c r="S2184" t="n">
        <v>0</v>
      </c>
      <c r="T2184" t="inlineStr">
        <is>
          <t>AUD</t>
        </is>
      </c>
      <c r="U2184" t="n">
        <v>0</v>
      </c>
    </row>
    <row r="2185">
      <c r="A2185" s="5" t="inlineStr">
        <is>
          <t>01a1212c-6604-770e-a881-aa88afff0387</t>
        </is>
      </c>
      <c r="C2185" s="5" t="inlineStr">
        <is>
          <t>01a1212c-4b57-70cf-80fd-c2192cb3bf81</t>
        </is>
      </c>
      <c r="D2185" s="4" t="n">
        <v>46304.62407708994</v>
      </c>
      <c r="E2185" s="4" t="n">
        <v>46304.62407709003</v>
      </c>
      <c r="F2185" t="b">
        <v>1</v>
      </c>
      <c r="G2185" t="n">
        <v/>
      </c>
      <c r="H2185" t="inlineStr">
        <is>
          <t>SIS</t>
        </is>
      </c>
      <c r="I2185" t="inlineStr">
        <is>
          <t>Simble Solutions Ltd</t>
        </is>
      </c>
      <c r="J2185" t="inlineStr">
        <is>
          <t>AUD</t>
        </is>
      </c>
      <c r="K2185" s="5" t="inlineStr">
        <is>
          <t>01a1212c-4c04-75ce-bbb2-e3322e18816e</t>
        </is>
      </c>
      <c r="M2185" t="inlineStr">
        <is>
          <t>UNKNOWN</t>
        </is>
      </c>
      <c r="N2185" t="inlineStr">
        <is>
          <t>DEFAULT</t>
        </is>
      </c>
      <c r="Q2185" t="n">
        <v>0</v>
      </c>
      <c r="R2185" t="inlineStr">
        <is>
          <t>AUD</t>
        </is>
      </c>
      <c r="S2185" t="n">
        <v>0</v>
      </c>
      <c r="T2185" t="inlineStr">
        <is>
          <t>AUD</t>
        </is>
      </c>
      <c r="U2185" t="n">
        <v>0</v>
      </c>
    </row>
    <row r="2186">
      <c r="A2186" s="5" t="inlineStr">
        <is>
          <t>01a1212c-6607-7018-bf1d-ea2967d3bf6c</t>
        </is>
      </c>
      <c r="C2186" s="5" t="inlineStr">
        <is>
          <t>01a1212c-4b57-70cf-80fd-c2192cb3bf81</t>
        </is>
      </c>
      <c r="D2186" s="4" t="n">
        <v>46304.62407712083</v>
      </c>
      <c r="E2186" s="4" t="n">
        <v>46304.6240771209</v>
      </c>
      <c r="F2186" t="b">
        <v>1</v>
      </c>
      <c r="G2186" t="n">
        <v/>
      </c>
      <c r="H2186" t="inlineStr">
        <is>
          <t>ALB</t>
        </is>
      </c>
      <c r="I2186" t="inlineStr">
        <is>
          <t>Albion Resources Ltd</t>
        </is>
      </c>
      <c r="J2186" t="inlineStr">
        <is>
          <t>AUD</t>
        </is>
      </c>
      <c r="K2186" s="5" t="inlineStr">
        <is>
          <t>01a1212c-4c04-75ce-bbb2-e3322e18816e</t>
        </is>
      </c>
      <c r="M2186" t="inlineStr">
        <is>
          <t>UNKNOWN</t>
        </is>
      </c>
      <c r="N2186" t="inlineStr">
        <is>
          <t>DEFAULT</t>
        </is>
      </c>
      <c r="Q2186" t="n">
        <v>0</v>
      </c>
      <c r="R2186" t="inlineStr">
        <is>
          <t>AUD</t>
        </is>
      </c>
      <c r="S2186" t="n">
        <v>0</v>
      </c>
      <c r="T2186" t="inlineStr">
        <is>
          <t>AUD</t>
        </is>
      </c>
      <c r="U2186" t="n">
        <v>0</v>
      </c>
    </row>
    <row r="2187">
      <c r="A2187" s="5" t="inlineStr">
        <is>
          <t>01a1212c-6609-7627-8402-05428dc9d506</t>
        </is>
      </c>
      <c r="C2187" s="5" t="inlineStr">
        <is>
          <t>01a1212c-4b57-70cf-80fd-c2192cb3bf81</t>
        </is>
      </c>
      <c r="D2187" s="4" t="n">
        <v>46304.62407715135</v>
      </c>
      <c r="E2187" s="4" t="n">
        <v>46304.62407715143</v>
      </c>
      <c r="F2187" t="b">
        <v>1</v>
      </c>
      <c r="G2187" t="n">
        <v/>
      </c>
      <c r="H2187" t="inlineStr">
        <is>
          <t>L1HI</t>
        </is>
      </c>
      <c r="I2187" t="inlineStr">
        <is>
          <t>L1 Capital International (Hedged) Active ETF</t>
        </is>
      </c>
      <c r="J2187" t="inlineStr">
        <is>
          <t>AUD</t>
        </is>
      </c>
      <c r="K2187" s="5" t="inlineStr">
        <is>
          <t>01a1212c-4c04-75ce-bbb2-e3322e18816e</t>
        </is>
      </c>
      <c r="M2187" t="inlineStr">
        <is>
          <t>UNKNOWN</t>
        </is>
      </c>
      <c r="N2187" t="inlineStr">
        <is>
          <t>DEFAULT</t>
        </is>
      </c>
      <c r="Q2187" t="n">
        <v>0</v>
      </c>
      <c r="R2187" t="inlineStr">
        <is>
          <t>AUD</t>
        </is>
      </c>
      <c r="S2187" t="n">
        <v>0</v>
      </c>
      <c r="T2187" t="inlineStr">
        <is>
          <t>AUD</t>
        </is>
      </c>
      <c r="U2187" t="n">
        <v>0</v>
      </c>
    </row>
    <row r="2188">
      <c r="A2188" s="5" t="inlineStr">
        <is>
          <t>01a1212c-660c-75da-9965-04660af5f766</t>
        </is>
      </c>
      <c r="C2188" s="5" t="inlineStr">
        <is>
          <t>01a1212c-4b57-70cf-80fd-c2192cb3bf81</t>
        </is>
      </c>
      <c r="D2188" s="4" t="n">
        <v>46304.62407718202</v>
      </c>
      <c r="E2188" s="4" t="n">
        <v>46304.6240771821</v>
      </c>
      <c r="F2188" t="b">
        <v>1</v>
      </c>
      <c r="G2188" t="n">
        <v/>
      </c>
      <c r="H2188" t="inlineStr">
        <is>
          <t>NZS</t>
        </is>
      </c>
      <c r="I2188" t="inlineStr">
        <is>
          <t>New Zealand Coastal Seafoods Ltd</t>
        </is>
      </c>
      <c r="J2188" t="inlineStr">
        <is>
          <t>AUD</t>
        </is>
      </c>
      <c r="K2188" s="5" t="inlineStr">
        <is>
          <t>01a1212c-4c04-75ce-bbb2-e3322e18816e</t>
        </is>
      </c>
      <c r="M2188" t="inlineStr">
        <is>
          <t>UNKNOWN</t>
        </is>
      </c>
      <c r="N2188" t="inlineStr">
        <is>
          <t>DEFAULT</t>
        </is>
      </c>
      <c r="Q2188" t="n">
        <v>0</v>
      </c>
      <c r="R2188" t="inlineStr">
        <is>
          <t>AUD</t>
        </is>
      </c>
      <c r="S2188" t="n">
        <v>0</v>
      </c>
      <c r="T2188" t="inlineStr">
        <is>
          <t>AUD</t>
        </is>
      </c>
      <c r="U2188" t="n">
        <v>0</v>
      </c>
    </row>
    <row r="2189">
      <c r="A2189" s="5" t="inlineStr">
        <is>
          <t>01a1212c-660f-75a3-99d3-a1429a5ff161</t>
        </is>
      </c>
      <c r="C2189" s="5" t="inlineStr">
        <is>
          <t>01a1212c-4b57-70cf-80fd-c2192cb3bf81</t>
        </is>
      </c>
      <c r="D2189" s="4" t="n">
        <v>46304.62407721888</v>
      </c>
      <c r="E2189" s="4" t="n">
        <v>46304.62407721896</v>
      </c>
      <c r="F2189" t="b">
        <v>1</v>
      </c>
      <c r="G2189" t="n">
        <v/>
      </c>
      <c r="H2189" t="inlineStr">
        <is>
          <t>OMX</t>
        </is>
      </c>
      <c r="I2189" t="inlineStr">
        <is>
          <t>Orange Minerals NL</t>
        </is>
      </c>
      <c r="J2189" t="inlineStr">
        <is>
          <t>AUD</t>
        </is>
      </c>
      <c r="K2189" s="5" t="inlineStr">
        <is>
          <t>01a1212c-4c04-75ce-bbb2-e3322e18816e</t>
        </is>
      </c>
      <c r="M2189" t="inlineStr">
        <is>
          <t>UNKNOWN</t>
        </is>
      </c>
      <c r="N2189" t="inlineStr">
        <is>
          <t>DEFAULT</t>
        </is>
      </c>
      <c r="Q2189" t="n">
        <v>0</v>
      </c>
      <c r="R2189" t="inlineStr">
        <is>
          <t>AUD</t>
        </is>
      </c>
      <c r="S2189" t="n">
        <v>0</v>
      </c>
      <c r="T2189" t="inlineStr">
        <is>
          <t>AUD</t>
        </is>
      </c>
      <c r="U2189" t="n">
        <v>0</v>
      </c>
    </row>
    <row r="2190">
      <c r="A2190" s="5" t="inlineStr">
        <is>
          <t>01a1212c-6612-7100-b614-2d382965b5e0</t>
        </is>
      </c>
      <c r="C2190" s="5" t="inlineStr">
        <is>
          <t>01a1212c-4b57-70cf-80fd-c2192cb3bf81</t>
        </is>
      </c>
      <c r="D2190" s="4" t="n">
        <v>46304.62407725018</v>
      </c>
      <c r="E2190" s="4" t="n">
        <v>46304.62407725026</v>
      </c>
      <c r="F2190" t="b">
        <v>1</v>
      </c>
      <c r="G2190" t="n">
        <v/>
      </c>
      <c r="H2190" t="inlineStr">
        <is>
          <t>OXT</t>
        </is>
      </c>
      <c r="I2190" t="inlineStr">
        <is>
          <t>Orexplore Technologies Ltd</t>
        </is>
      </c>
      <c r="J2190" t="inlineStr">
        <is>
          <t>AUD</t>
        </is>
      </c>
      <c r="K2190" s="5" t="inlineStr">
        <is>
          <t>01a1212c-4c04-75ce-bbb2-e3322e18816e</t>
        </is>
      </c>
      <c r="M2190" t="inlineStr">
        <is>
          <t>UNKNOWN</t>
        </is>
      </c>
      <c r="N2190" t="inlineStr">
        <is>
          <t>DEFAULT</t>
        </is>
      </c>
      <c r="Q2190" t="n">
        <v>0</v>
      </c>
      <c r="R2190" t="inlineStr">
        <is>
          <t>AUD</t>
        </is>
      </c>
      <c r="S2190" t="n">
        <v>0</v>
      </c>
      <c r="T2190" t="inlineStr">
        <is>
          <t>AUD</t>
        </is>
      </c>
      <c r="U2190" t="n">
        <v>0</v>
      </c>
    </row>
    <row r="2191">
      <c r="A2191" s="5" t="inlineStr">
        <is>
          <t>01a1212c-6614-759c-975b-fbcda49f77fb</t>
        </is>
      </c>
      <c r="C2191" s="5" t="inlineStr">
        <is>
          <t>01a1212c-4b57-70cf-80fd-c2192cb3bf81</t>
        </is>
      </c>
      <c r="D2191" s="4" t="n">
        <v>46304.62407728114</v>
      </c>
      <c r="E2191" s="4" t="n">
        <v>46304.62407728122</v>
      </c>
      <c r="F2191" t="b">
        <v>1</v>
      </c>
      <c r="G2191" t="n">
        <v/>
      </c>
      <c r="H2191" t="inlineStr">
        <is>
          <t>TD1</t>
        </is>
      </c>
      <c r="I2191" t="inlineStr">
        <is>
          <t>Tali Digital Ltd</t>
        </is>
      </c>
      <c r="J2191" t="inlineStr">
        <is>
          <t>AUD</t>
        </is>
      </c>
      <c r="K2191" s="5" t="inlineStr">
        <is>
          <t>01a1212c-4c04-75ce-bbb2-e3322e18816e</t>
        </is>
      </c>
      <c r="M2191" t="inlineStr">
        <is>
          <t>UNKNOWN</t>
        </is>
      </c>
      <c r="N2191" t="inlineStr">
        <is>
          <t>DEFAULT</t>
        </is>
      </c>
      <c r="Q2191" t="n">
        <v>0</v>
      </c>
      <c r="R2191" t="inlineStr">
        <is>
          <t>AUD</t>
        </is>
      </c>
      <c r="S2191" t="n">
        <v>0</v>
      </c>
      <c r="T2191" t="inlineStr">
        <is>
          <t>AUD</t>
        </is>
      </c>
      <c r="U2191" t="n">
        <v>0</v>
      </c>
    </row>
    <row r="2192">
      <c r="A2192" s="5" t="inlineStr">
        <is>
          <t>01a1212c-6617-758c-9cd1-a99527d7b079</t>
        </is>
      </c>
      <c r="C2192" s="5" t="inlineStr">
        <is>
          <t>01a1212c-4b57-70cf-80fd-c2192cb3bf81</t>
        </is>
      </c>
      <c r="D2192" s="4" t="n">
        <v>46304.62407731184</v>
      </c>
      <c r="E2192" s="4" t="n">
        <v>46304.62407731192</v>
      </c>
      <c r="F2192" t="b">
        <v>1</v>
      </c>
      <c r="G2192" t="n">
        <v/>
      </c>
      <c r="H2192" t="inlineStr">
        <is>
          <t>PKO</t>
        </is>
      </c>
      <c r="I2192" t="inlineStr">
        <is>
          <t>Peako Ltd</t>
        </is>
      </c>
      <c r="J2192" t="inlineStr">
        <is>
          <t>AUD</t>
        </is>
      </c>
      <c r="K2192" s="5" t="inlineStr">
        <is>
          <t>01a1212c-4c04-75ce-bbb2-e3322e18816e</t>
        </is>
      </c>
      <c r="M2192" t="inlineStr">
        <is>
          <t>UNKNOWN</t>
        </is>
      </c>
      <c r="N2192" t="inlineStr">
        <is>
          <t>DEFAULT</t>
        </is>
      </c>
      <c r="Q2192" t="n">
        <v>0</v>
      </c>
      <c r="R2192" t="inlineStr">
        <is>
          <t>AUD</t>
        </is>
      </c>
      <c r="S2192" t="n">
        <v>0</v>
      </c>
      <c r="T2192" t="inlineStr">
        <is>
          <t>AUD</t>
        </is>
      </c>
      <c r="U2192" t="n">
        <v>0</v>
      </c>
    </row>
    <row r="2193">
      <c r="A2193" s="5" t="inlineStr">
        <is>
          <t>01a1212c-661a-7185-85da-153c53651612</t>
        </is>
      </c>
      <c r="C2193" s="5" t="inlineStr">
        <is>
          <t>01a1212c-4b57-70cf-80fd-c2192cb3bf81</t>
        </is>
      </c>
      <c r="D2193" s="4" t="n">
        <v>46304.624077345</v>
      </c>
      <c r="E2193" s="4" t="n">
        <v>46304.62407734508</v>
      </c>
      <c r="F2193" t="b">
        <v>1</v>
      </c>
      <c r="G2193" t="n">
        <v/>
      </c>
      <c r="H2193" t="inlineStr">
        <is>
          <t>BTM</t>
        </is>
      </c>
      <c r="I2193" t="inlineStr">
        <is>
          <t>Breakthrough Minerals Ltd</t>
        </is>
      </c>
      <c r="J2193" t="inlineStr">
        <is>
          <t>AUD</t>
        </is>
      </c>
      <c r="K2193" s="5" t="inlineStr">
        <is>
          <t>01a1212c-4c04-75ce-bbb2-e3322e18816e</t>
        </is>
      </c>
      <c r="M2193" t="inlineStr">
        <is>
          <t>UNKNOWN</t>
        </is>
      </c>
      <c r="N2193" t="inlineStr">
        <is>
          <t>DEFAULT</t>
        </is>
      </c>
      <c r="Q2193" t="n">
        <v>0</v>
      </c>
      <c r="R2193" t="inlineStr">
        <is>
          <t>AUD</t>
        </is>
      </c>
      <c r="S2193" t="n">
        <v>0</v>
      </c>
      <c r="T2193" t="inlineStr">
        <is>
          <t>AUD</t>
        </is>
      </c>
      <c r="U2193" t="n">
        <v>0</v>
      </c>
    </row>
    <row r="2194">
      <c r="A2194" s="5" t="inlineStr">
        <is>
          <t>01a1212c-661d-72cd-9a48-dc7da50a0352</t>
        </is>
      </c>
      <c r="C2194" s="5" t="inlineStr">
        <is>
          <t>01a1212c-4b57-70cf-80fd-c2192cb3bf81</t>
        </is>
      </c>
      <c r="D2194" s="4" t="n">
        <v>46304.62407737634</v>
      </c>
      <c r="E2194" s="4" t="n">
        <v>46304.62407737641</v>
      </c>
      <c r="F2194" t="b">
        <v>1</v>
      </c>
      <c r="G2194" t="n">
        <v/>
      </c>
      <c r="H2194" t="inlineStr">
        <is>
          <t>M3M</t>
        </is>
      </c>
      <c r="I2194" t="inlineStr">
        <is>
          <t>M3 Mining Ltd</t>
        </is>
      </c>
      <c r="J2194" t="inlineStr">
        <is>
          <t>AUD</t>
        </is>
      </c>
      <c r="K2194" s="5" t="inlineStr">
        <is>
          <t>01a1212c-4c04-75ce-bbb2-e3322e18816e</t>
        </is>
      </c>
      <c r="M2194" t="inlineStr">
        <is>
          <t>UNKNOWN</t>
        </is>
      </c>
      <c r="N2194" t="inlineStr">
        <is>
          <t>DEFAULT</t>
        </is>
      </c>
      <c r="Q2194" t="n">
        <v>0</v>
      </c>
      <c r="R2194" t="inlineStr">
        <is>
          <t>AUD</t>
        </is>
      </c>
      <c r="S2194" t="n">
        <v>0</v>
      </c>
      <c r="T2194" t="inlineStr">
        <is>
          <t>AUD</t>
        </is>
      </c>
      <c r="U2194" t="n">
        <v>0</v>
      </c>
    </row>
    <row r="2195">
      <c r="A2195" s="5" t="inlineStr">
        <is>
          <t>01a1212c-661f-706c-b300-78e4feeb0d5f</t>
        </is>
      </c>
      <c r="C2195" s="5" t="inlineStr">
        <is>
          <t>01a1212c-4b57-70cf-80fd-c2192cb3bf81</t>
        </is>
      </c>
      <c r="D2195" s="4" t="n">
        <v>46304.62407740852</v>
      </c>
      <c r="E2195" s="4" t="n">
        <v>46304.6240774086</v>
      </c>
      <c r="F2195" t="b">
        <v>1</v>
      </c>
      <c r="G2195" t="n">
        <v/>
      </c>
      <c r="H2195" t="inlineStr">
        <is>
          <t>THR</t>
        </is>
      </c>
      <c r="I2195" t="inlineStr">
        <is>
          <t>Thor Energy Plc</t>
        </is>
      </c>
      <c r="J2195" t="inlineStr">
        <is>
          <t>AUD</t>
        </is>
      </c>
      <c r="K2195" s="5" t="inlineStr">
        <is>
          <t>01a1212c-4c04-75ce-bbb2-e3322e18816e</t>
        </is>
      </c>
      <c r="M2195" t="inlineStr">
        <is>
          <t>UNKNOWN</t>
        </is>
      </c>
      <c r="N2195" t="inlineStr">
        <is>
          <t>DEFAULT</t>
        </is>
      </c>
      <c r="Q2195" t="n">
        <v>0</v>
      </c>
      <c r="R2195" t="inlineStr">
        <is>
          <t>AUD</t>
        </is>
      </c>
      <c r="S2195" t="n">
        <v>0</v>
      </c>
      <c r="T2195" t="inlineStr">
        <is>
          <t>AUD</t>
        </is>
      </c>
      <c r="U2195" t="n">
        <v>0</v>
      </c>
    </row>
    <row r="2196">
      <c r="A2196" s="5" t="inlineStr">
        <is>
          <t>01a1212c-6622-768c-9f88-43025625488d</t>
        </is>
      </c>
      <c r="C2196" s="5" t="inlineStr">
        <is>
          <t>01a1212c-4b57-70cf-80fd-c2192cb3bf81</t>
        </is>
      </c>
      <c r="D2196" s="4" t="n">
        <v>46304.62407744223</v>
      </c>
      <c r="E2196" s="4" t="n">
        <v>46304.62407744231</v>
      </c>
      <c r="F2196" t="b">
        <v>1</v>
      </c>
      <c r="G2196" t="n">
        <v/>
      </c>
      <c r="H2196" t="inlineStr">
        <is>
          <t>OZXX</t>
        </is>
      </c>
      <c r="I2196" t="inlineStr">
        <is>
          <t>Global X Australia Ex Financials &amp; Resources ETF</t>
        </is>
      </c>
      <c r="J2196" t="inlineStr">
        <is>
          <t>AUD</t>
        </is>
      </c>
      <c r="K2196" s="5" t="inlineStr">
        <is>
          <t>01a1212c-4c04-75ce-bbb2-e3322e18816e</t>
        </is>
      </c>
      <c r="M2196" t="inlineStr">
        <is>
          <t>UNKNOWN</t>
        </is>
      </c>
      <c r="N2196" t="inlineStr">
        <is>
          <t>DEFAULT</t>
        </is>
      </c>
      <c r="Q2196" t="n">
        <v>0</v>
      </c>
      <c r="R2196" t="inlineStr">
        <is>
          <t>AUD</t>
        </is>
      </c>
      <c r="S2196" t="n">
        <v>0</v>
      </c>
      <c r="T2196" t="inlineStr">
        <is>
          <t>AUD</t>
        </is>
      </c>
      <c r="U2196" t="n">
        <v>0</v>
      </c>
    </row>
    <row r="2197">
      <c r="A2197" s="5" t="inlineStr">
        <is>
          <t>01a1212c-6625-71df-8f6f-37c7aa8bbeef</t>
        </is>
      </c>
      <c r="C2197" s="5" t="inlineStr">
        <is>
          <t>01a1212c-4b57-70cf-80fd-c2192cb3bf81</t>
        </is>
      </c>
      <c r="D2197" s="4" t="n">
        <v>46304.62407747352</v>
      </c>
      <c r="E2197" s="4" t="n">
        <v>46304.6240774736</v>
      </c>
      <c r="F2197" t="b">
        <v>1</v>
      </c>
      <c r="G2197" t="n">
        <v/>
      </c>
      <c r="H2197" t="inlineStr">
        <is>
          <t>ERW</t>
        </is>
      </c>
      <c r="I2197" t="inlineStr">
        <is>
          <t>Errawarra Resources Ltd</t>
        </is>
      </c>
      <c r="J2197" t="inlineStr">
        <is>
          <t>AUD</t>
        </is>
      </c>
      <c r="K2197" s="5" t="inlineStr">
        <is>
          <t>01a1212c-4c04-75ce-bbb2-e3322e18816e</t>
        </is>
      </c>
      <c r="M2197" t="inlineStr">
        <is>
          <t>UNKNOWN</t>
        </is>
      </c>
      <c r="N2197" t="inlineStr">
        <is>
          <t>DEFAULT</t>
        </is>
      </c>
      <c r="Q2197" t="n">
        <v>0</v>
      </c>
      <c r="R2197" t="inlineStr">
        <is>
          <t>AUD</t>
        </is>
      </c>
      <c r="S2197" t="n">
        <v>0</v>
      </c>
      <c r="T2197" t="inlineStr">
        <is>
          <t>AUD</t>
        </is>
      </c>
      <c r="U2197" t="n">
        <v>0</v>
      </c>
    </row>
    <row r="2198">
      <c r="A2198" s="5" t="inlineStr">
        <is>
          <t>01a1212c-6628-706b-9eb9-a40006f9d5cb</t>
        </is>
      </c>
      <c r="C2198" s="5" t="inlineStr">
        <is>
          <t>01a1212c-4b57-70cf-80fd-c2192cb3bf81</t>
        </is>
      </c>
      <c r="D2198" s="4" t="n">
        <v>46304.62407750659</v>
      </c>
      <c r="E2198" s="4" t="n">
        <v>46304.62407750665</v>
      </c>
      <c r="F2198" t="b">
        <v>1</v>
      </c>
      <c r="G2198" t="n">
        <v/>
      </c>
      <c r="H2198" t="inlineStr">
        <is>
          <t>JHLO</t>
        </is>
      </c>
      <c r="I2198" t="inlineStr">
        <is>
          <t>Jpmorgan Global Select Equity (Hedged) Active ETF</t>
        </is>
      </c>
      <c r="J2198" t="inlineStr">
        <is>
          <t>AUD</t>
        </is>
      </c>
      <c r="K2198" s="5" t="inlineStr">
        <is>
          <t>01a1212c-4c04-75ce-bbb2-e3322e18816e</t>
        </is>
      </c>
      <c r="M2198" t="inlineStr">
        <is>
          <t>UNKNOWN</t>
        </is>
      </c>
      <c r="N2198" t="inlineStr">
        <is>
          <t>DEFAULT</t>
        </is>
      </c>
      <c r="Q2198" t="n">
        <v>0</v>
      </c>
      <c r="R2198" t="inlineStr">
        <is>
          <t>AUD</t>
        </is>
      </c>
      <c r="S2198" t="n">
        <v>0</v>
      </c>
      <c r="T2198" t="inlineStr">
        <is>
          <t>AUD</t>
        </is>
      </c>
      <c r="U2198" t="n">
        <v>0</v>
      </c>
    </row>
    <row r="2199">
      <c r="A2199" s="5" t="inlineStr">
        <is>
          <t>01a1212c-662b-7228-82ff-256a2c5ef8bf</t>
        </is>
      </c>
      <c r="C2199" s="5" t="inlineStr">
        <is>
          <t>01a1212c-4b57-70cf-80fd-c2192cb3bf81</t>
        </is>
      </c>
      <c r="D2199" s="4" t="n">
        <v>46304.62407753732</v>
      </c>
      <c r="E2199" s="4" t="n">
        <v>46304.62407753738</v>
      </c>
      <c r="F2199" t="b">
        <v>1</v>
      </c>
      <c r="G2199" t="n">
        <v/>
      </c>
      <c r="H2199" t="inlineStr">
        <is>
          <t>IBUY</t>
        </is>
      </c>
      <c r="I2199" t="inlineStr">
        <is>
          <t>Betashares Online Retail and E-Commerce ETF</t>
        </is>
      </c>
      <c r="J2199" t="inlineStr">
        <is>
          <t>AUD</t>
        </is>
      </c>
      <c r="K2199" s="5" t="inlineStr">
        <is>
          <t>01a1212c-4c04-75ce-bbb2-e3322e18816e</t>
        </is>
      </c>
      <c r="M2199" t="inlineStr">
        <is>
          <t>UNKNOWN</t>
        </is>
      </c>
      <c r="N2199" t="inlineStr">
        <is>
          <t>DEFAULT</t>
        </is>
      </c>
      <c r="Q2199" t="n">
        <v>0</v>
      </c>
      <c r="R2199" t="inlineStr">
        <is>
          <t>AUD</t>
        </is>
      </c>
      <c r="S2199" t="n">
        <v>0</v>
      </c>
      <c r="T2199" t="inlineStr">
        <is>
          <t>AUD</t>
        </is>
      </c>
      <c r="U2199" t="n">
        <v>0</v>
      </c>
    </row>
    <row r="2200">
      <c r="A2200" s="5" t="inlineStr">
        <is>
          <t>01a1212c-662d-74e2-a245-fc44eb643f13</t>
        </is>
      </c>
      <c r="C2200" s="5" t="inlineStr">
        <is>
          <t>01a1212c-4b57-70cf-80fd-c2192cb3bf81</t>
        </is>
      </c>
      <c r="D2200" s="4" t="n">
        <v>46304.62407756784</v>
      </c>
      <c r="E2200" s="4" t="n">
        <v>46304.6240775679</v>
      </c>
      <c r="F2200" t="b">
        <v>1</v>
      </c>
      <c r="G2200" t="n">
        <v/>
      </c>
      <c r="H2200" t="inlineStr">
        <is>
          <t>EEL</t>
        </is>
      </c>
      <c r="I2200" t="inlineStr">
        <is>
          <t>Enrg Elements Ltd</t>
        </is>
      </c>
      <c r="J2200" t="inlineStr">
        <is>
          <t>AUD</t>
        </is>
      </c>
      <c r="K2200" s="5" t="inlineStr">
        <is>
          <t>01a1212c-4c04-75ce-bbb2-e3322e18816e</t>
        </is>
      </c>
      <c r="M2200" t="inlineStr">
        <is>
          <t>UNKNOWN</t>
        </is>
      </c>
      <c r="N2200" t="inlineStr">
        <is>
          <t>DEFAULT</t>
        </is>
      </c>
      <c r="Q2200" t="n">
        <v>0</v>
      </c>
      <c r="R2200" t="inlineStr">
        <is>
          <t>AUD</t>
        </is>
      </c>
      <c r="S2200" t="n">
        <v>0</v>
      </c>
      <c r="T2200" t="inlineStr">
        <is>
          <t>AUD</t>
        </is>
      </c>
      <c r="U2200" t="n">
        <v>0</v>
      </c>
    </row>
    <row r="2201">
      <c r="A2201" s="5" t="inlineStr">
        <is>
          <t>01a1212c-6631-76d7-9373-6920808591df</t>
        </is>
      </c>
      <c r="C2201" s="5" t="inlineStr">
        <is>
          <t>01a1212c-4b57-70cf-80fd-c2192cb3bf81</t>
        </is>
      </c>
      <c r="D2201" s="4" t="n">
        <v>46304.62407761015</v>
      </c>
      <c r="E2201" s="4" t="n">
        <v>46304.62407761026</v>
      </c>
      <c r="F2201" t="b">
        <v>1</v>
      </c>
      <c r="G2201" t="n">
        <v/>
      </c>
      <c r="H2201" t="inlineStr">
        <is>
          <t>RCR</t>
        </is>
      </c>
      <c r="I2201" t="inlineStr">
        <is>
          <t>Rincon Resources Ltd</t>
        </is>
      </c>
      <c r="J2201" t="inlineStr">
        <is>
          <t>AUD</t>
        </is>
      </c>
      <c r="K2201" s="5" t="inlineStr">
        <is>
          <t>01a1212c-4c04-75ce-bbb2-e3322e18816e</t>
        </is>
      </c>
      <c r="M2201" t="inlineStr">
        <is>
          <t>UNKNOWN</t>
        </is>
      </c>
      <c r="N2201" t="inlineStr">
        <is>
          <t>DEFAULT</t>
        </is>
      </c>
      <c r="Q2201" t="n">
        <v>0</v>
      </c>
      <c r="R2201" t="inlineStr">
        <is>
          <t>AUD</t>
        </is>
      </c>
      <c r="S2201" t="n">
        <v>0</v>
      </c>
      <c r="T2201" t="inlineStr">
        <is>
          <t>AUD</t>
        </is>
      </c>
      <c r="U2201" t="n">
        <v>0</v>
      </c>
    </row>
    <row r="2202">
      <c r="A2202" s="5" t="inlineStr">
        <is>
          <t>01a1212c-6634-7430-90be-879f947e4a5c</t>
        </is>
      </c>
      <c r="C2202" s="5" t="inlineStr">
        <is>
          <t>01a1212c-4b57-70cf-80fd-c2192cb3bf81</t>
        </is>
      </c>
      <c r="D2202" s="4" t="n">
        <v>46304.62407764878</v>
      </c>
      <c r="E2202" s="4" t="n">
        <v>46304.62407764886</v>
      </c>
      <c r="F2202" t="b">
        <v>1</v>
      </c>
      <c r="G2202" t="n">
        <v/>
      </c>
      <c r="H2202" t="inlineStr">
        <is>
          <t>JGLO</t>
        </is>
      </c>
      <c r="I2202" t="inlineStr">
        <is>
          <t>Jpmorgan Global Select Equity Active ETF</t>
        </is>
      </c>
      <c r="J2202" t="inlineStr">
        <is>
          <t>AUD</t>
        </is>
      </c>
      <c r="K2202" s="5" t="inlineStr">
        <is>
          <t>01a1212c-4c04-75ce-bbb2-e3322e18816e</t>
        </is>
      </c>
      <c r="M2202" t="inlineStr">
        <is>
          <t>UNKNOWN</t>
        </is>
      </c>
      <c r="N2202" t="inlineStr">
        <is>
          <t>DEFAULT</t>
        </is>
      </c>
      <c r="Q2202" t="n">
        <v>0</v>
      </c>
      <c r="R2202" t="inlineStr">
        <is>
          <t>AUD</t>
        </is>
      </c>
      <c r="S2202" t="n">
        <v>0</v>
      </c>
      <c r="T2202" t="inlineStr">
        <is>
          <t>AUD</t>
        </is>
      </c>
      <c r="U2202" t="n">
        <v>0</v>
      </c>
    </row>
    <row r="2203">
      <c r="A2203" s="5" t="inlineStr">
        <is>
          <t>01a1212c-6637-7799-8c47-8e5efe581d34</t>
        </is>
      </c>
      <c r="C2203" s="5" t="inlineStr">
        <is>
          <t>01a1212c-4b57-70cf-80fd-c2192cb3bf81</t>
        </is>
      </c>
      <c r="D2203" s="4" t="n">
        <v>46304.62407768201</v>
      </c>
      <c r="E2203" s="4" t="n">
        <v>46304.62407768209</v>
      </c>
      <c r="F2203" t="b">
        <v>1</v>
      </c>
      <c r="G2203" t="n">
        <v/>
      </c>
      <c r="H2203" t="inlineStr">
        <is>
          <t>WSR</t>
        </is>
      </c>
      <c r="I2203" t="inlineStr">
        <is>
          <t>Westar Resources Ltd</t>
        </is>
      </c>
      <c r="J2203" t="inlineStr">
        <is>
          <t>AUD</t>
        </is>
      </c>
      <c r="K2203" s="5" t="inlineStr">
        <is>
          <t>01a1212c-4c04-75ce-bbb2-e3322e18816e</t>
        </is>
      </c>
      <c r="M2203" t="inlineStr">
        <is>
          <t>UNKNOWN</t>
        </is>
      </c>
      <c r="N2203" t="inlineStr">
        <is>
          <t>DEFAULT</t>
        </is>
      </c>
      <c r="Q2203" t="n">
        <v>0</v>
      </c>
      <c r="R2203" t="inlineStr">
        <is>
          <t>AUD</t>
        </is>
      </c>
      <c r="S2203" t="n">
        <v>0</v>
      </c>
      <c r="T2203" t="inlineStr">
        <is>
          <t>AUD</t>
        </is>
      </c>
      <c r="U2203" t="n">
        <v>0</v>
      </c>
    </row>
    <row r="2204">
      <c r="A2204" s="5" t="inlineStr">
        <is>
          <t>01a1212c-663a-765d-8cca-8bb4f2f3ee1f</t>
        </is>
      </c>
      <c r="C2204" s="5" t="inlineStr">
        <is>
          <t>01a1212c-4b57-70cf-80fd-c2192cb3bf81</t>
        </is>
      </c>
      <c r="D2204" s="4" t="n">
        <v>46304.62407771328</v>
      </c>
      <c r="E2204" s="4" t="n">
        <v>46304.62407771336</v>
      </c>
      <c r="F2204" t="b">
        <v>1</v>
      </c>
      <c r="G2204" t="n">
        <v/>
      </c>
      <c r="H2204" t="inlineStr">
        <is>
          <t>CDE</t>
        </is>
      </c>
      <c r="I2204" t="inlineStr">
        <is>
          <t>Codeifai Ltd</t>
        </is>
      </c>
      <c r="J2204" t="inlineStr">
        <is>
          <t>AUD</t>
        </is>
      </c>
      <c r="K2204" s="5" t="inlineStr">
        <is>
          <t>01a1212c-4c04-75ce-bbb2-e3322e18816e</t>
        </is>
      </c>
      <c r="M2204" t="inlineStr">
        <is>
          <t>UNKNOWN</t>
        </is>
      </c>
      <c r="N2204" t="inlineStr">
        <is>
          <t>DEFAULT</t>
        </is>
      </c>
      <c r="Q2204" t="n">
        <v>0</v>
      </c>
      <c r="R2204" t="inlineStr">
        <is>
          <t>AUD</t>
        </is>
      </c>
      <c r="S2204" t="n">
        <v>0</v>
      </c>
      <c r="T2204" t="inlineStr">
        <is>
          <t>AUD</t>
        </is>
      </c>
      <c r="U2204" t="n">
        <v>0</v>
      </c>
    </row>
    <row r="2205">
      <c r="A2205" s="5" t="inlineStr">
        <is>
          <t>01a1212c-663c-76a7-8f22-d96af18bedc3</t>
        </is>
      </c>
      <c r="C2205" s="5" t="inlineStr">
        <is>
          <t>01a1212c-4b57-70cf-80fd-c2192cb3bf81</t>
        </is>
      </c>
      <c r="D2205" s="4" t="n">
        <v>46304.6240777439</v>
      </c>
      <c r="E2205" s="4" t="n">
        <v>46304.62407774398</v>
      </c>
      <c r="F2205" t="b">
        <v>1</v>
      </c>
      <c r="G2205" t="n">
        <v/>
      </c>
      <c r="H2205" t="inlineStr">
        <is>
          <t>SBR</t>
        </is>
      </c>
      <c r="I2205" t="inlineStr">
        <is>
          <t>Sabre Resources Ltd</t>
        </is>
      </c>
      <c r="J2205" t="inlineStr">
        <is>
          <t>AUD</t>
        </is>
      </c>
      <c r="K2205" s="5" t="inlineStr">
        <is>
          <t>01a1212c-4c04-75ce-bbb2-e3322e18816e</t>
        </is>
      </c>
      <c r="M2205" t="inlineStr">
        <is>
          <t>UNKNOWN</t>
        </is>
      </c>
      <c r="N2205" t="inlineStr">
        <is>
          <t>DEFAULT</t>
        </is>
      </c>
      <c r="Q2205" t="n">
        <v>0</v>
      </c>
      <c r="R2205" t="inlineStr">
        <is>
          <t>AUD</t>
        </is>
      </c>
      <c r="S2205" t="n">
        <v>0</v>
      </c>
      <c r="T2205" t="inlineStr">
        <is>
          <t>AUD</t>
        </is>
      </c>
      <c r="U2205" t="n">
        <v>0</v>
      </c>
    </row>
    <row r="2206">
      <c r="A2206" s="5" t="inlineStr">
        <is>
          <t>01a1212c-663f-74ef-8d1c-14f7da4ef953</t>
        </is>
      </c>
      <c r="C2206" s="5" t="inlineStr">
        <is>
          <t>01a1212c-4b57-70cf-80fd-c2192cb3bf81</t>
        </is>
      </c>
      <c r="D2206" s="4" t="n">
        <v>46304.62407777533</v>
      </c>
      <c r="E2206" s="4" t="n">
        <v>46304.62407777539</v>
      </c>
      <c r="F2206" t="b">
        <v>1</v>
      </c>
      <c r="G2206" t="n">
        <v/>
      </c>
      <c r="H2206" t="inlineStr">
        <is>
          <t>MOM</t>
        </is>
      </c>
      <c r="I2206" t="inlineStr">
        <is>
          <t>Moab Minerals Ltd</t>
        </is>
      </c>
      <c r="J2206" t="inlineStr">
        <is>
          <t>AUD</t>
        </is>
      </c>
      <c r="K2206" s="5" t="inlineStr">
        <is>
          <t>01a1212c-4c04-75ce-bbb2-e3322e18816e</t>
        </is>
      </c>
      <c r="M2206" t="inlineStr">
        <is>
          <t>UNKNOWN</t>
        </is>
      </c>
      <c r="N2206" t="inlineStr">
        <is>
          <t>DEFAULT</t>
        </is>
      </c>
      <c r="Q2206" t="n">
        <v>0</v>
      </c>
      <c r="R2206" t="inlineStr">
        <is>
          <t>AUD</t>
        </is>
      </c>
      <c r="S2206" t="n">
        <v>0</v>
      </c>
      <c r="T2206" t="inlineStr">
        <is>
          <t>AUD</t>
        </is>
      </c>
      <c r="U2206" t="n">
        <v>0</v>
      </c>
    </row>
    <row r="2207">
      <c r="A2207" s="5" t="inlineStr">
        <is>
          <t>01a1212c-6642-733d-a27f-feb195d37192</t>
        </is>
      </c>
      <c r="C2207" s="5" t="inlineStr">
        <is>
          <t>01a1212c-4b57-70cf-80fd-c2192cb3bf81</t>
        </is>
      </c>
      <c r="D2207" s="4" t="n">
        <v>46304.62407780978</v>
      </c>
      <c r="E2207" s="4" t="n">
        <v>46304.62407780986</v>
      </c>
      <c r="F2207" t="b">
        <v>1</v>
      </c>
      <c r="G2207" t="n">
        <v/>
      </c>
      <c r="H2207" t="inlineStr">
        <is>
          <t>GES</t>
        </is>
      </c>
      <c r="I2207" t="inlineStr">
        <is>
          <t>Genesis Resources Ltd</t>
        </is>
      </c>
      <c r="J2207" t="inlineStr">
        <is>
          <t>AUD</t>
        </is>
      </c>
      <c r="K2207" s="5" t="inlineStr">
        <is>
          <t>01a1212c-4c04-75ce-bbb2-e3322e18816e</t>
        </is>
      </c>
      <c r="M2207" t="inlineStr">
        <is>
          <t>UNKNOWN</t>
        </is>
      </c>
      <c r="N2207" t="inlineStr">
        <is>
          <t>DEFAULT</t>
        </is>
      </c>
      <c r="Q2207" t="n">
        <v>0</v>
      </c>
      <c r="R2207" t="inlineStr">
        <is>
          <t>AUD</t>
        </is>
      </c>
      <c r="S2207" t="n">
        <v>0</v>
      </c>
      <c r="T2207" t="inlineStr">
        <is>
          <t>AUD</t>
        </is>
      </c>
      <c r="U2207" t="n">
        <v>0</v>
      </c>
    </row>
    <row r="2208">
      <c r="A2208" s="5" t="inlineStr">
        <is>
          <t>01a1212c-6645-7147-a984-934a12e7c1a8</t>
        </is>
      </c>
      <c r="C2208" s="5" t="inlineStr">
        <is>
          <t>01a1212c-4b57-70cf-80fd-c2192cb3bf81</t>
        </is>
      </c>
      <c r="D2208" s="4" t="n">
        <v>46304.62407784323</v>
      </c>
      <c r="E2208" s="4" t="n">
        <v>46304.62407784333</v>
      </c>
      <c r="F2208" t="b">
        <v>1</v>
      </c>
      <c r="G2208" t="n">
        <v/>
      </c>
      <c r="H2208" t="inlineStr">
        <is>
          <t>RLL</t>
        </is>
      </c>
      <c r="I2208" t="inlineStr">
        <is>
          <t>Rapid Lithium Ltd</t>
        </is>
      </c>
      <c r="J2208" t="inlineStr">
        <is>
          <t>AUD</t>
        </is>
      </c>
      <c r="K2208" s="5" t="inlineStr">
        <is>
          <t>01a1212c-4c04-75ce-bbb2-e3322e18816e</t>
        </is>
      </c>
      <c r="M2208" t="inlineStr">
        <is>
          <t>UNKNOWN</t>
        </is>
      </c>
      <c r="N2208" t="inlineStr">
        <is>
          <t>DEFAULT</t>
        </is>
      </c>
      <c r="Q2208" t="n">
        <v>0</v>
      </c>
      <c r="R2208" t="inlineStr">
        <is>
          <t>AUD</t>
        </is>
      </c>
      <c r="S2208" t="n">
        <v>0</v>
      </c>
      <c r="T2208" t="inlineStr">
        <is>
          <t>AUD</t>
        </is>
      </c>
      <c r="U2208" t="n">
        <v>0</v>
      </c>
    </row>
    <row r="2209">
      <c r="A2209" s="5" t="inlineStr">
        <is>
          <t>01a1212c-6648-748b-9798-3782b582ed1b</t>
        </is>
      </c>
      <c r="C2209" s="5" t="inlineStr">
        <is>
          <t>01a1212c-4b57-70cf-80fd-c2192cb3bf81</t>
        </is>
      </c>
      <c r="D2209" s="4" t="n">
        <v>46304.62407787453</v>
      </c>
      <c r="E2209" s="4" t="n">
        <v>46304.62407787461</v>
      </c>
      <c r="F2209" t="b">
        <v>1</v>
      </c>
      <c r="G2209" t="n">
        <v/>
      </c>
      <c r="H2209" t="inlineStr">
        <is>
          <t>IPAY</t>
        </is>
      </c>
      <c r="I2209" t="inlineStr">
        <is>
          <t>Betashares Future of Payments ETF</t>
        </is>
      </c>
      <c r="J2209" t="inlineStr">
        <is>
          <t>AUD</t>
        </is>
      </c>
      <c r="K2209" s="5" t="inlineStr">
        <is>
          <t>01a1212c-4c04-75ce-bbb2-e3322e18816e</t>
        </is>
      </c>
      <c r="M2209" t="inlineStr">
        <is>
          <t>UNKNOWN</t>
        </is>
      </c>
      <c r="N2209" t="inlineStr">
        <is>
          <t>DEFAULT</t>
        </is>
      </c>
      <c r="Q2209" t="n">
        <v>0</v>
      </c>
      <c r="R2209" t="inlineStr">
        <is>
          <t>AUD</t>
        </is>
      </c>
      <c r="S2209" t="n">
        <v>0</v>
      </c>
      <c r="T2209" t="inlineStr">
        <is>
          <t>AUD</t>
        </is>
      </c>
      <c r="U2209" t="n">
        <v>0</v>
      </c>
    </row>
    <row r="2210">
      <c r="A2210" s="5" t="inlineStr">
        <is>
          <t>01a1212c-664a-70f6-970f-a045d57abd2f</t>
        </is>
      </c>
      <c r="C2210" s="5" t="inlineStr">
        <is>
          <t>01a1212c-4b57-70cf-80fd-c2192cb3bf81</t>
        </is>
      </c>
      <c r="D2210" s="4" t="n">
        <v>46304.62407790573</v>
      </c>
      <c r="E2210" s="4" t="n">
        <v>46304.62407790581</v>
      </c>
      <c r="F2210" t="b">
        <v>1</v>
      </c>
      <c r="G2210" t="n">
        <v/>
      </c>
      <c r="H2210" t="inlineStr">
        <is>
          <t>ADD</t>
        </is>
      </c>
      <c r="I2210" t="inlineStr">
        <is>
          <t>Adavale Resources Ltd</t>
        </is>
      </c>
      <c r="J2210" t="inlineStr">
        <is>
          <t>AUD</t>
        </is>
      </c>
      <c r="K2210" s="5" t="inlineStr">
        <is>
          <t>01a1212c-4c04-75ce-bbb2-e3322e18816e</t>
        </is>
      </c>
      <c r="M2210" t="inlineStr">
        <is>
          <t>UNKNOWN</t>
        </is>
      </c>
      <c r="N2210" t="inlineStr">
        <is>
          <t>DEFAULT</t>
        </is>
      </c>
      <c r="Q2210" t="n">
        <v>0</v>
      </c>
      <c r="R2210" t="inlineStr">
        <is>
          <t>AUD</t>
        </is>
      </c>
      <c r="S2210" t="n">
        <v>0</v>
      </c>
      <c r="T2210" t="inlineStr">
        <is>
          <t>AUD</t>
        </is>
      </c>
      <c r="U2210" t="n">
        <v>0</v>
      </c>
    </row>
    <row r="2211">
      <c r="A2211" s="5" t="inlineStr">
        <is>
          <t>01a1212c-664d-7452-85f7-65c4d37e77f7</t>
        </is>
      </c>
      <c r="C2211" s="5" t="inlineStr">
        <is>
          <t>01a1212c-4b57-70cf-80fd-c2192cb3bf81</t>
        </is>
      </c>
      <c r="D2211" s="4" t="n">
        <v>46304.62407793647</v>
      </c>
      <c r="E2211" s="4" t="n">
        <v>46304.62407793655</v>
      </c>
      <c r="F2211" t="b">
        <v>1</v>
      </c>
      <c r="G2211" t="n">
        <v/>
      </c>
      <c r="H2211" t="inlineStr">
        <is>
          <t>GMTL</t>
        </is>
      </c>
      <c r="I2211" t="inlineStr">
        <is>
          <t>Global X Green Metal Miners ETF</t>
        </is>
      </c>
      <c r="J2211" t="inlineStr">
        <is>
          <t>AUD</t>
        </is>
      </c>
      <c r="K2211" s="5" t="inlineStr">
        <is>
          <t>01a1212c-4c04-75ce-bbb2-e3322e18816e</t>
        </is>
      </c>
      <c r="M2211" t="inlineStr">
        <is>
          <t>UNKNOWN</t>
        </is>
      </c>
      <c r="N2211" t="inlineStr">
        <is>
          <t>DEFAULT</t>
        </is>
      </c>
      <c r="Q2211" t="n">
        <v>0</v>
      </c>
      <c r="R2211" t="inlineStr">
        <is>
          <t>AUD</t>
        </is>
      </c>
      <c r="S2211" t="n">
        <v>0</v>
      </c>
      <c r="T2211" t="inlineStr">
        <is>
          <t>AUD</t>
        </is>
      </c>
      <c r="U2211" t="n">
        <v>0</v>
      </c>
    </row>
    <row r="2212">
      <c r="A2212" s="5" t="inlineStr">
        <is>
          <t>01a1212c-6650-70ae-9501-8f868d1bf48a</t>
        </is>
      </c>
      <c r="C2212" s="5" t="inlineStr">
        <is>
          <t>01a1212c-4b57-70cf-80fd-c2192cb3bf81</t>
        </is>
      </c>
      <c r="D2212" s="4" t="n">
        <v>46304.62407797395</v>
      </c>
      <c r="E2212" s="4" t="n">
        <v>46304.62407797404</v>
      </c>
      <c r="F2212" t="b">
        <v>1</v>
      </c>
      <c r="G2212" t="n">
        <v/>
      </c>
      <c r="H2212" t="inlineStr">
        <is>
          <t>AOK</t>
        </is>
      </c>
      <c r="I2212" t="inlineStr">
        <is>
          <t>Australian Oil Company Ltd</t>
        </is>
      </c>
      <c r="J2212" t="inlineStr">
        <is>
          <t>AUD</t>
        </is>
      </c>
      <c r="K2212" s="5" t="inlineStr">
        <is>
          <t>01a1212c-4c04-75ce-bbb2-e3322e18816e</t>
        </is>
      </c>
      <c r="M2212" t="inlineStr">
        <is>
          <t>UNKNOWN</t>
        </is>
      </c>
      <c r="N2212" t="inlineStr">
        <is>
          <t>DEFAULT</t>
        </is>
      </c>
      <c r="Q2212" t="n">
        <v>0</v>
      </c>
      <c r="R2212" t="inlineStr">
        <is>
          <t>AUD</t>
        </is>
      </c>
      <c r="S2212" t="n">
        <v>0</v>
      </c>
      <c r="T2212" t="inlineStr">
        <is>
          <t>AUD</t>
        </is>
      </c>
      <c r="U2212" t="n">
        <v>0</v>
      </c>
    </row>
    <row r="2213">
      <c r="A2213" s="5" t="inlineStr">
        <is>
          <t>01a1212c-6653-76f2-abb6-ae513b3616f1</t>
        </is>
      </c>
      <c r="C2213" s="5" t="inlineStr">
        <is>
          <t>01a1212c-4b57-70cf-80fd-c2192cb3bf81</t>
        </is>
      </c>
      <c r="D2213" s="4" t="n">
        <v>46304.62407801019</v>
      </c>
      <c r="E2213" s="4" t="n">
        <v>46304.62407801027</v>
      </c>
      <c r="F2213" t="b">
        <v>1</v>
      </c>
      <c r="G2213" t="n">
        <v/>
      </c>
      <c r="H2213" t="inlineStr">
        <is>
          <t>HT8</t>
        </is>
      </c>
      <c r="I2213" t="inlineStr">
        <is>
          <t>Harris Technology Group Ltd</t>
        </is>
      </c>
      <c r="J2213" t="inlineStr">
        <is>
          <t>AUD</t>
        </is>
      </c>
      <c r="K2213" s="5" t="inlineStr">
        <is>
          <t>01a1212c-4c04-75ce-bbb2-e3322e18816e</t>
        </is>
      </c>
      <c r="M2213" t="inlineStr">
        <is>
          <t>UNKNOWN</t>
        </is>
      </c>
      <c r="N2213" t="inlineStr">
        <is>
          <t>DEFAULT</t>
        </is>
      </c>
      <c r="Q2213" t="n">
        <v>0</v>
      </c>
      <c r="R2213" t="inlineStr">
        <is>
          <t>AUD</t>
        </is>
      </c>
      <c r="S2213" t="n">
        <v>0</v>
      </c>
      <c r="T2213" t="inlineStr">
        <is>
          <t>AUD</t>
        </is>
      </c>
      <c r="U2213" t="n">
        <v>0</v>
      </c>
    </row>
    <row r="2214">
      <c r="A2214" s="5" t="inlineStr">
        <is>
          <t>01a1212c-6656-7310-8d45-4f9997500023</t>
        </is>
      </c>
      <c r="C2214" s="5" t="inlineStr">
        <is>
          <t>01a1212c-4b57-70cf-80fd-c2192cb3bf81</t>
        </is>
      </c>
      <c r="D2214" s="4" t="n">
        <v>46304.62407804354</v>
      </c>
      <c r="E2214" s="4" t="n">
        <v>46304.62407804365</v>
      </c>
      <c r="F2214" t="b">
        <v>1</v>
      </c>
      <c r="G2214" t="n">
        <v/>
      </c>
      <c r="H2214" t="inlineStr">
        <is>
          <t>ACM</t>
        </is>
      </c>
      <c r="I2214" t="inlineStr">
        <is>
          <t>Australian Critical Minerals Ltd</t>
        </is>
      </c>
      <c r="J2214" t="inlineStr">
        <is>
          <t>AUD</t>
        </is>
      </c>
      <c r="K2214" s="5" t="inlineStr">
        <is>
          <t>01a1212c-4c04-75ce-bbb2-e3322e18816e</t>
        </is>
      </c>
      <c r="M2214" t="inlineStr">
        <is>
          <t>UNKNOWN</t>
        </is>
      </c>
      <c r="N2214" t="inlineStr">
        <is>
          <t>DEFAULT</t>
        </is>
      </c>
      <c r="Q2214" t="n">
        <v>0</v>
      </c>
      <c r="R2214" t="inlineStr">
        <is>
          <t>AUD</t>
        </is>
      </c>
      <c r="S2214" t="n">
        <v>0</v>
      </c>
      <c r="T2214" t="inlineStr">
        <is>
          <t>AUD</t>
        </is>
      </c>
      <c r="U2214" t="n">
        <v>0</v>
      </c>
    </row>
    <row r="2215">
      <c r="A2215" s="5" t="inlineStr">
        <is>
          <t>01a1212c-6659-711c-ba94-2f303e4e54b4</t>
        </is>
      </c>
      <c r="C2215" s="5" t="inlineStr">
        <is>
          <t>01a1212c-4b57-70cf-80fd-c2192cb3bf81</t>
        </is>
      </c>
      <c r="D2215" s="4" t="n">
        <v>46304.62407807839</v>
      </c>
      <c r="E2215" s="4" t="n">
        <v>46304.62407807849</v>
      </c>
      <c r="F2215" t="b">
        <v>1</v>
      </c>
      <c r="G2215" t="n">
        <v/>
      </c>
      <c r="H2215" t="inlineStr">
        <is>
          <t>LMS</t>
        </is>
      </c>
      <c r="I2215" t="inlineStr">
        <is>
          <t>Litchfield Minerals Ltd</t>
        </is>
      </c>
      <c r="J2215" t="inlineStr">
        <is>
          <t>AUD</t>
        </is>
      </c>
      <c r="K2215" s="5" t="inlineStr">
        <is>
          <t>01a1212c-4c04-75ce-bbb2-e3322e18816e</t>
        </is>
      </c>
      <c r="M2215" t="inlineStr">
        <is>
          <t>UNKNOWN</t>
        </is>
      </c>
      <c r="N2215" t="inlineStr">
        <is>
          <t>DEFAULT</t>
        </is>
      </c>
      <c r="Q2215" t="n">
        <v>0</v>
      </c>
      <c r="R2215" t="inlineStr">
        <is>
          <t>AUD</t>
        </is>
      </c>
      <c r="S2215" t="n">
        <v>0</v>
      </c>
      <c r="T2215" t="inlineStr">
        <is>
          <t>AUD</t>
        </is>
      </c>
      <c r="U2215" t="n">
        <v>0</v>
      </c>
    </row>
    <row r="2216">
      <c r="A2216" s="5" t="inlineStr">
        <is>
          <t>01a1212c-665d-7355-8681-852b8a7a87d2</t>
        </is>
      </c>
      <c r="C2216" s="5" t="inlineStr">
        <is>
          <t>01a1212c-4b57-70cf-80fd-c2192cb3bf81</t>
        </is>
      </c>
      <c r="D2216" s="4" t="n">
        <v>46304.62407811479</v>
      </c>
      <c r="E2216" s="4" t="n">
        <v>46304.6240781149</v>
      </c>
      <c r="F2216" t="b">
        <v>1</v>
      </c>
      <c r="G2216" t="n">
        <v/>
      </c>
      <c r="H2216" t="inlineStr">
        <is>
          <t>CT1</t>
        </is>
      </c>
      <c r="I2216" t="inlineStr">
        <is>
          <t>Constellation Technologies Ltd</t>
        </is>
      </c>
      <c r="J2216" t="inlineStr">
        <is>
          <t>AUD</t>
        </is>
      </c>
      <c r="K2216" s="5" t="inlineStr">
        <is>
          <t>01a1212c-4c04-75ce-bbb2-e3322e18816e</t>
        </is>
      </c>
      <c r="M2216" t="inlineStr">
        <is>
          <t>UNKNOWN</t>
        </is>
      </c>
      <c r="N2216" t="inlineStr">
        <is>
          <t>DEFAULT</t>
        </is>
      </c>
      <c r="Q2216" t="n">
        <v>0</v>
      </c>
      <c r="R2216" t="inlineStr">
        <is>
          <t>AUD</t>
        </is>
      </c>
      <c r="S2216" t="n">
        <v>0</v>
      </c>
      <c r="T2216" t="inlineStr">
        <is>
          <t>AUD</t>
        </is>
      </c>
      <c r="U2216" t="n">
        <v>0</v>
      </c>
    </row>
    <row r="2217">
      <c r="A2217" s="5" t="inlineStr">
        <is>
          <t>01a1212c-6660-715b-be26-3bfeb4cdf1cd</t>
        </is>
      </c>
      <c r="C2217" s="5" t="inlineStr">
        <is>
          <t>01a1212c-4b57-70cf-80fd-c2192cb3bf81</t>
        </is>
      </c>
      <c r="D2217" s="4" t="n">
        <v>46304.62407815725</v>
      </c>
      <c r="E2217" s="4" t="n">
        <v>46304.62407815739</v>
      </c>
      <c r="F2217" t="b">
        <v>1</v>
      </c>
      <c r="G2217" t="n">
        <v/>
      </c>
      <c r="H2217" t="inlineStr">
        <is>
          <t>PLC</t>
        </is>
      </c>
      <c r="I2217" t="inlineStr">
        <is>
          <t>PREMIER1 Lithium Ltd</t>
        </is>
      </c>
      <c r="J2217" t="inlineStr">
        <is>
          <t>AUD</t>
        </is>
      </c>
      <c r="K2217" s="5" t="inlineStr">
        <is>
          <t>01a1212c-4c04-75ce-bbb2-e3322e18816e</t>
        </is>
      </c>
      <c r="M2217" t="inlineStr">
        <is>
          <t>UNKNOWN</t>
        </is>
      </c>
      <c r="N2217" t="inlineStr">
        <is>
          <t>DEFAULT</t>
        </is>
      </c>
      <c r="Q2217" t="n">
        <v>0</v>
      </c>
      <c r="R2217" t="inlineStr">
        <is>
          <t>AUD</t>
        </is>
      </c>
      <c r="S2217" t="n">
        <v>0</v>
      </c>
      <c r="T2217" t="inlineStr">
        <is>
          <t>AUD</t>
        </is>
      </c>
      <c r="U2217" t="n">
        <v>0</v>
      </c>
    </row>
    <row r="2218">
      <c r="A2218" s="5" t="inlineStr">
        <is>
          <t>01a1212c-6664-7151-8c08-63b269739553</t>
        </is>
      </c>
      <c r="C2218" s="5" t="inlineStr">
        <is>
          <t>01a1212c-4b57-70cf-80fd-c2192cb3bf81</t>
        </is>
      </c>
      <c r="D2218" s="4" t="n">
        <v>46304.62407819848</v>
      </c>
      <c r="E2218" s="4" t="n">
        <v>46304.62407819861</v>
      </c>
      <c r="F2218" t="b">
        <v>1</v>
      </c>
      <c r="G2218" t="n">
        <v/>
      </c>
      <c r="H2218" t="inlineStr">
        <is>
          <t>AVW</t>
        </is>
      </c>
      <c r="I2218" t="inlineStr">
        <is>
          <t>Avira Resources Ltd</t>
        </is>
      </c>
      <c r="J2218" t="inlineStr">
        <is>
          <t>AUD</t>
        </is>
      </c>
      <c r="K2218" s="5" t="inlineStr">
        <is>
          <t>01a1212c-4c04-75ce-bbb2-e3322e18816e</t>
        </is>
      </c>
      <c r="M2218" t="inlineStr">
        <is>
          <t>UNKNOWN</t>
        </is>
      </c>
      <c r="N2218" t="inlineStr">
        <is>
          <t>DEFAULT</t>
        </is>
      </c>
      <c r="Q2218" t="n">
        <v>0</v>
      </c>
      <c r="R2218" t="inlineStr">
        <is>
          <t>AUD</t>
        </is>
      </c>
      <c r="S2218" t="n">
        <v>0</v>
      </c>
      <c r="T2218" t="inlineStr">
        <is>
          <t>AUD</t>
        </is>
      </c>
      <c r="U2218" t="n">
        <v>0</v>
      </c>
    </row>
    <row r="2219">
      <c r="A2219" s="5" t="inlineStr">
        <is>
          <t>01a1212c-6667-7769-82e5-c8875ecff4f0</t>
        </is>
      </c>
      <c r="C2219" s="5" t="inlineStr">
        <is>
          <t>01a1212c-4b57-70cf-80fd-c2192cb3bf81</t>
        </is>
      </c>
      <c r="D2219" s="4" t="n">
        <v>46304.62407823496</v>
      </c>
      <c r="E2219" s="4" t="n">
        <v>46304.62407823508</v>
      </c>
      <c r="F2219" t="b">
        <v>1</v>
      </c>
      <c r="G2219" t="n">
        <v/>
      </c>
      <c r="H2219" t="inlineStr">
        <is>
          <t>KOR</t>
        </is>
      </c>
      <c r="I2219" t="inlineStr">
        <is>
          <t>Korab Resources Ltd</t>
        </is>
      </c>
      <c r="J2219" t="inlineStr">
        <is>
          <t>AUD</t>
        </is>
      </c>
      <c r="K2219" s="5" t="inlineStr">
        <is>
          <t>01a1212c-4c04-75ce-bbb2-e3322e18816e</t>
        </is>
      </c>
      <c r="M2219" t="inlineStr">
        <is>
          <t>UNKNOWN</t>
        </is>
      </c>
      <c r="N2219" t="inlineStr">
        <is>
          <t>DEFAULT</t>
        </is>
      </c>
      <c r="Q2219" t="n">
        <v>0</v>
      </c>
      <c r="R2219" t="inlineStr">
        <is>
          <t>AUD</t>
        </is>
      </c>
      <c r="S2219" t="n">
        <v>0</v>
      </c>
      <c r="T2219" t="inlineStr">
        <is>
          <t>AUD</t>
        </is>
      </c>
      <c r="U2219" t="n">
        <v>0</v>
      </c>
    </row>
    <row r="2220">
      <c r="A2220" s="5" t="inlineStr">
        <is>
          <t>01a1212c-666a-7221-be5c-88eeaa0f21dd</t>
        </is>
      </c>
      <c r="C2220" s="5" t="inlineStr">
        <is>
          <t>01a1212c-4b57-70cf-80fd-c2192cb3bf81</t>
        </is>
      </c>
      <c r="D2220" s="4" t="n">
        <v>46304.62407827695</v>
      </c>
      <c r="E2220" s="4" t="n">
        <v>46304.6240782771</v>
      </c>
      <c r="F2220" t="b">
        <v>1</v>
      </c>
      <c r="G2220" t="n">
        <v/>
      </c>
      <c r="H2220" t="inlineStr">
        <is>
          <t>XCO2</t>
        </is>
      </c>
      <c r="I2220" t="inlineStr">
        <is>
          <t>Vaneck Global Carbon Credits ETF (Synthetic)</t>
        </is>
      </c>
      <c r="J2220" t="inlineStr">
        <is>
          <t>AUD</t>
        </is>
      </c>
      <c r="K2220" s="5" t="inlineStr">
        <is>
          <t>01a1212c-4c04-75ce-bbb2-e3322e18816e</t>
        </is>
      </c>
      <c r="M2220" t="inlineStr">
        <is>
          <t>UNKNOWN</t>
        </is>
      </c>
      <c r="N2220" t="inlineStr">
        <is>
          <t>DEFAULT</t>
        </is>
      </c>
      <c r="Q2220" t="n">
        <v>0</v>
      </c>
      <c r="R2220" t="inlineStr">
        <is>
          <t>AUD</t>
        </is>
      </c>
      <c r="S2220" t="n">
        <v>0</v>
      </c>
      <c r="T2220" t="inlineStr">
        <is>
          <t>AUD</t>
        </is>
      </c>
      <c r="U2220" t="n">
        <v>0</v>
      </c>
    </row>
    <row r="2221">
      <c r="A2221" s="5" t="inlineStr">
        <is>
          <t>01a1212c-666e-7333-8938-a41417febf22</t>
        </is>
      </c>
      <c r="C2221" s="5" t="inlineStr">
        <is>
          <t>01a1212c-4b57-70cf-80fd-c2192cb3bf81</t>
        </is>
      </c>
      <c r="D2221" s="4" t="n">
        <v>46304.62407831736</v>
      </c>
      <c r="E2221" s="4" t="n">
        <v>46304.62407831748</v>
      </c>
      <c r="F2221" t="b">
        <v>1</v>
      </c>
      <c r="G2221" t="n">
        <v/>
      </c>
      <c r="H2221" t="inlineStr">
        <is>
          <t>OPL</t>
        </is>
      </c>
      <c r="I2221" t="inlineStr">
        <is>
          <t>Opyl Ltd</t>
        </is>
      </c>
      <c r="J2221" t="inlineStr">
        <is>
          <t>AUD</t>
        </is>
      </c>
      <c r="K2221" s="5" t="inlineStr">
        <is>
          <t>01a1212c-4c04-75ce-bbb2-e3322e18816e</t>
        </is>
      </c>
      <c r="M2221" t="inlineStr">
        <is>
          <t>UNKNOWN</t>
        </is>
      </c>
      <c r="N2221" t="inlineStr">
        <is>
          <t>DEFAULT</t>
        </is>
      </c>
      <c r="Q2221" t="n">
        <v>0</v>
      </c>
      <c r="R2221" t="inlineStr">
        <is>
          <t>AUD</t>
        </is>
      </c>
      <c r="S2221" t="n">
        <v>0</v>
      </c>
      <c r="T2221" t="inlineStr">
        <is>
          <t>AUD</t>
        </is>
      </c>
      <c r="U2221" t="n">
        <v>0</v>
      </c>
    </row>
    <row r="2222">
      <c r="A2222" s="5" t="inlineStr">
        <is>
          <t>01a1212c-6671-76f9-a0bd-e6498d47858c</t>
        </is>
      </c>
      <c r="C2222" s="5" t="inlineStr">
        <is>
          <t>01a1212c-4b57-70cf-80fd-c2192cb3bf81</t>
        </is>
      </c>
      <c r="D2222" s="4" t="n">
        <v>46304.62407835299</v>
      </c>
      <c r="E2222" s="4" t="n">
        <v>46304.62407835309</v>
      </c>
      <c r="F2222" t="b">
        <v>1</v>
      </c>
      <c r="G2222" t="n">
        <v/>
      </c>
      <c r="H2222" t="inlineStr">
        <is>
          <t>KGD</t>
        </is>
      </c>
      <c r="I2222" t="inlineStr">
        <is>
          <t>Kula Gold Ltd</t>
        </is>
      </c>
      <c r="J2222" t="inlineStr">
        <is>
          <t>AUD</t>
        </is>
      </c>
      <c r="K2222" s="5" t="inlineStr">
        <is>
          <t>01a1212c-4c04-75ce-bbb2-e3322e18816e</t>
        </is>
      </c>
      <c r="M2222" t="inlineStr">
        <is>
          <t>UNKNOWN</t>
        </is>
      </c>
      <c r="N2222" t="inlineStr">
        <is>
          <t>DEFAULT</t>
        </is>
      </c>
      <c r="Q2222" t="n">
        <v>0</v>
      </c>
      <c r="R2222" t="inlineStr">
        <is>
          <t>AUD</t>
        </is>
      </c>
      <c r="S2222" t="n">
        <v>0</v>
      </c>
      <c r="T2222" t="inlineStr">
        <is>
          <t>AUD</t>
        </is>
      </c>
      <c r="U2222" t="n">
        <v>0</v>
      </c>
    </row>
    <row r="2223">
      <c r="A2223" s="5" t="inlineStr">
        <is>
          <t>01a1212c-6675-70b7-9569-00027f59b8d0</t>
        </is>
      </c>
      <c r="C2223" s="5" t="inlineStr">
        <is>
          <t>01a1212c-4b57-70cf-80fd-c2192cb3bf81</t>
        </is>
      </c>
      <c r="D2223" s="4" t="n">
        <v>46304.62407840407</v>
      </c>
      <c r="E2223" s="4" t="n">
        <v>46304.62407840419</v>
      </c>
      <c r="F2223" t="b">
        <v>1</v>
      </c>
      <c r="G2223" t="n">
        <v/>
      </c>
      <c r="H2223" t="inlineStr">
        <is>
          <t>XST</t>
        </is>
      </c>
      <c r="I2223" t="inlineStr">
        <is>
          <t>Xstate Resources Ltd</t>
        </is>
      </c>
      <c r="J2223" t="inlineStr">
        <is>
          <t>AUD</t>
        </is>
      </c>
      <c r="K2223" s="5" t="inlineStr">
        <is>
          <t>01a1212c-4c04-75ce-bbb2-e3322e18816e</t>
        </is>
      </c>
      <c r="M2223" t="inlineStr">
        <is>
          <t>UNKNOWN</t>
        </is>
      </c>
      <c r="N2223" t="inlineStr">
        <is>
          <t>DEFAULT</t>
        </is>
      </c>
      <c r="Q2223" t="n">
        <v>0</v>
      </c>
      <c r="R2223" t="inlineStr">
        <is>
          <t>AUD</t>
        </is>
      </c>
      <c r="S2223" t="n">
        <v>0</v>
      </c>
      <c r="T2223" t="inlineStr">
        <is>
          <t>AUD</t>
        </is>
      </c>
      <c r="U2223" t="n">
        <v>0</v>
      </c>
    </row>
    <row r="2224">
      <c r="A2224" s="5" t="inlineStr">
        <is>
          <t>01a1212c-6679-70c9-b071-e17d6c6bed94</t>
        </is>
      </c>
      <c r="C2224" s="5" t="inlineStr">
        <is>
          <t>01a1212c-4b57-70cf-80fd-c2192cb3bf81</t>
        </is>
      </c>
      <c r="D2224" s="4" t="n">
        <v>46304.62407844674</v>
      </c>
      <c r="E2224" s="4" t="n">
        <v>46304.62407844686</v>
      </c>
      <c r="F2224" t="b">
        <v>1</v>
      </c>
      <c r="G2224" t="n">
        <v/>
      </c>
      <c r="H2224" t="inlineStr">
        <is>
          <t>C7A</t>
        </is>
      </c>
      <c r="I2224" t="inlineStr">
        <is>
          <t>Clara Resources Australia Ltd</t>
        </is>
      </c>
      <c r="J2224" t="inlineStr">
        <is>
          <t>AUD</t>
        </is>
      </c>
      <c r="K2224" s="5" t="inlineStr">
        <is>
          <t>01a1212c-4c04-75ce-bbb2-e3322e18816e</t>
        </is>
      </c>
      <c r="M2224" t="inlineStr">
        <is>
          <t>UNKNOWN</t>
        </is>
      </c>
      <c r="N2224" t="inlineStr">
        <is>
          <t>DEFAULT</t>
        </is>
      </c>
      <c r="Q2224" t="n">
        <v>0</v>
      </c>
      <c r="R2224" t="inlineStr">
        <is>
          <t>AUD</t>
        </is>
      </c>
      <c r="S2224" t="n">
        <v>0</v>
      </c>
      <c r="T2224" t="inlineStr">
        <is>
          <t>AUD</t>
        </is>
      </c>
      <c r="U2224" t="n">
        <v>0</v>
      </c>
    </row>
    <row r="2225">
      <c r="A2225" s="5" t="inlineStr">
        <is>
          <t>01a1212c-667d-72f0-8a67-bcaab8d6e011</t>
        </is>
      </c>
      <c r="C2225" s="5" t="inlineStr">
        <is>
          <t>01a1212c-4b57-70cf-80fd-c2192cb3bf81</t>
        </is>
      </c>
      <c r="D2225" s="4" t="n">
        <v>46304.62407848988</v>
      </c>
      <c r="E2225" s="4" t="n">
        <v>46304.62407849</v>
      </c>
      <c r="F2225" t="b">
        <v>1</v>
      </c>
      <c r="G2225" t="n">
        <v/>
      </c>
      <c r="H2225" t="inlineStr">
        <is>
          <t>AUR</t>
        </is>
      </c>
      <c r="I2225" t="inlineStr">
        <is>
          <t>Auris Minerals Ltd</t>
        </is>
      </c>
      <c r="J2225" t="inlineStr">
        <is>
          <t>AUD</t>
        </is>
      </c>
      <c r="K2225" s="5" t="inlineStr">
        <is>
          <t>01a1212c-4c04-75ce-bbb2-e3322e18816e</t>
        </is>
      </c>
      <c r="M2225" t="inlineStr">
        <is>
          <t>UNKNOWN</t>
        </is>
      </c>
      <c r="N2225" t="inlineStr">
        <is>
          <t>DEFAULT</t>
        </is>
      </c>
      <c r="Q2225" t="n">
        <v>0</v>
      </c>
      <c r="R2225" t="inlineStr">
        <is>
          <t>AUD</t>
        </is>
      </c>
      <c r="S2225" t="n">
        <v>0</v>
      </c>
      <c r="T2225" t="inlineStr">
        <is>
          <t>AUD</t>
        </is>
      </c>
      <c r="U2225" t="n">
        <v>0</v>
      </c>
    </row>
    <row r="2226">
      <c r="A2226" s="5" t="inlineStr">
        <is>
          <t>01a1212c-6680-73b3-8799-72f4ae4876a0</t>
        </is>
      </c>
      <c r="C2226" s="5" t="inlineStr">
        <is>
          <t>01a1212c-4b57-70cf-80fd-c2192cb3bf81</t>
        </is>
      </c>
      <c r="D2226" s="4" t="n">
        <v>46304.62407852575</v>
      </c>
      <c r="E2226" s="4" t="n">
        <v>46304.62407852584</v>
      </c>
      <c r="F2226" t="b">
        <v>1</v>
      </c>
      <c r="G2226" t="n">
        <v/>
      </c>
      <c r="H2226" t="inlineStr">
        <is>
          <t>WYX</t>
        </is>
      </c>
      <c r="I2226" t="inlineStr">
        <is>
          <t>Western Yilgarn NL</t>
        </is>
      </c>
      <c r="J2226" t="inlineStr">
        <is>
          <t>AUD</t>
        </is>
      </c>
      <c r="K2226" s="5" t="inlineStr">
        <is>
          <t>01a1212c-4c04-75ce-bbb2-e3322e18816e</t>
        </is>
      </c>
      <c r="M2226" t="inlineStr">
        <is>
          <t>UNKNOWN</t>
        </is>
      </c>
      <c r="N2226" t="inlineStr">
        <is>
          <t>DEFAULT</t>
        </is>
      </c>
      <c r="Q2226" t="n">
        <v>0</v>
      </c>
      <c r="R2226" t="inlineStr">
        <is>
          <t>AUD</t>
        </is>
      </c>
      <c r="S2226" t="n">
        <v>0</v>
      </c>
      <c r="T2226" t="inlineStr">
        <is>
          <t>AUD</t>
        </is>
      </c>
      <c r="U2226" t="n">
        <v>0</v>
      </c>
    </row>
    <row r="2227">
      <c r="A2227" s="5" t="inlineStr">
        <is>
          <t>01a1212c-6684-7406-b64a-19b32787c6e3</t>
        </is>
      </c>
      <c r="C2227" s="5" t="inlineStr">
        <is>
          <t>01a1212c-4b57-70cf-80fd-c2192cb3bf81</t>
        </is>
      </c>
      <c r="D2227" s="4" t="n">
        <v>46304.62407856932</v>
      </c>
      <c r="E2227" s="4" t="n">
        <v>46304.62407856943</v>
      </c>
      <c r="F2227" t="b">
        <v>1</v>
      </c>
      <c r="G2227" t="n">
        <v/>
      </c>
      <c r="H2227" t="inlineStr">
        <is>
          <t>PFT</t>
        </is>
      </c>
      <c r="I2227" t="inlineStr">
        <is>
          <t>Pure Foods Tasmania Ltd</t>
        </is>
      </c>
      <c r="J2227" t="inlineStr">
        <is>
          <t>AUD</t>
        </is>
      </c>
      <c r="K2227" s="5" t="inlineStr">
        <is>
          <t>01a1212c-4c04-75ce-bbb2-e3322e18816e</t>
        </is>
      </c>
      <c r="M2227" t="inlineStr">
        <is>
          <t>UNKNOWN</t>
        </is>
      </c>
      <c r="N2227" t="inlineStr">
        <is>
          <t>DEFAULT</t>
        </is>
      </c>
      <c r="Q2227" t="n">
        <v>0</v>
      </c>
      <c r="R2227" t="inlineStr">
        <is>
          <t>AUD</t>
        </is>
      </c>
      <c r="S2227" t="n">
        <v>0</v>
      </c>
      <c r="T2227" t="inlineStr">
        <is>
          <t>AUD</t>
        </is>
      </c>
      <c r="U2227" t="n">
        <v>0</v>
      </c>
    </row>
    <row r="2228">
      <c r="A2228" s="5" t="inlineStr">
        <is>
          <t>01a1212c-6687-74d1-bbc3-5d44fa5d85d9</t>
        </is>
      </c>
      <c r="C2228" s="5" t="inlineStr">
        <is>
          <t>01a1212c-4b57-70cf-80fd-c2192cb3bf81</t>
        </is>
      </c>
      <c r="D2228" s="4" t="n">
        <v>46304.6240786114</v>
      </c>
      <c r="E2228" s="4" t="n">
        <v>46304.6240786115</v>
      </c>
      <c r="F2228" t="b">
        <v>1</v>
      </c>
      <c r="G2228" t="n">
        <v/>
      </c>
      <c r="H2228" t="inlineStr">
        <is>
          <t>AS2</t>
        </is>
      </c>
      <c r="I2228" t="inlineStr">
        <is>
          <t>Askari Metals Ltd</t>
        </is>
      </c>
      <c r="J2228" t="inlineStr">
        <is>
          <t>AUD</t>
        </is>
      </c>
      <c r="K2228" s="5" t="inlineStr">
        <is>
          <t>01a1212c-4c04-75ce-bbb2-e3322e18816e</t>
        </is>
      </c>
      <c r="M2228" t="inlineStr">
        <is>
          <t>UNKNOWN</t>
        </is>
      </c>
      <c r="N2228" t="inlineStr">
        <is>
          <t>DEFAULT</t>
        </is>
      </c>
      <c r="Q2228" t="n">
        <v>0</v>
      </c>
      <c r="R2228" t="inlineStr">
        <is>
          <t>AUD</t>
        </is>
      </c>
      <c r="S2228" t="n">
        <v>0</v>
      </c>
      <c r="T2228" t="inlineStr">
        <is>
          <t>AUD</t>
        </is>
      </c>
      <c r="U2228" t="n">
        <v>0</v>
      </c>
    </row>
    <row r="2229">
      <c r="A2229" s="5" t="inlineStr">
        <is>
          <t>01a1212c-668b-76b0-9768-ba8f58d5ed40</t>
        </is>
      </c>
      <c r="C2229" s="5" t="inlineStr">
        <is>
          <t>01a1212c-4b57-70cf-80fd-c2192cb3bf81</t>
        </is>
      </c>
      <c r="D2229" s="4" t="n">
        <v>46304.6240786486</v>
      </c>
      <c r="E2229" s="4" t="n">
        <v>46304.62407864869</v>
      </c>
      <c r="F2229" t="b">
        <v>1</v>
      </c>
      <c r="G2229" t="n">
        <v/>
      </c>
      <c r="H2229" t="inlineStr">
        <is>
          <t>ACS</t>
        </is>
      </c>
      <c r="I2229" t="inlineStr">
        <is>
          <t>Accent Resources NL</t>
        </is>
      </c>
      <c r="J2229" t="inlineStr">
        <is>
          <t>AUD</t>
        </is>
      </c>
      <c r="K2229" s="5" t="inlineStr">
        <is>
          <t>01a1212c-4c04-75ce-bbb2-e3322e18816e</t>
        </is>
      </c>
      <c r="M2229" t="inlineStr">
        <is>
          <t>UNKNOWN</t>
        </is>
      </c>
      <c r="N2229" t="inlineStr">
        <is>
          <t>DEFAULT</t>
        </is>
      </c>
      <c r="Q2229" t="n">
        <v>0</v>
      </c>
      <c r="R2229" t="inlineStr">
        <is>
          <t>AUD</t>
        </is>
      </c>
      <c r="S2229" t="n">
        <v>0</v>
      </c>
      <c r="T2229" t="inlineStr">
        <is>
          <t>AUD</t>
        </is>
      </c>
      <c r="U2229" t="n">
        <v>0</v>
      </c>
    </row>
    <row r="2230">
      <c r="A2230" s="5" t="inlineStr">
        <is>
          <t>01a1212c-668e-77d1-a65a-dec5c7df8bb7</t>
        </is>
      </c>
      <c r="C2230" s="5" t="inlineStr">
        <is>
          <t>01a1212c-4b57-70cf-80fd-c2192cb3bf81</t>
        </is>
      </c>
      <c r="D2230" s="4" t="n">
        <v>46304.62407869221</v>
      </c>
      <c r="E2230" s="4" t="n">
        <v>46304.6240786923</v>
      </c>
      <c r="F2230" t="b">
        <v>1</v>
      </c>
      <c r="G2230" t="n">
        <v/>
      </c>
      <c r="H2230" t="inlineStr">
        <is>
          <t>USIG</t>
        </is>
      </c>
      <c r="I2230" t="inlineStr">
        <is>
          <t>Global X Usd Corporate Bond ETF (Currency Hedged)</t>
        </is>
      </c>
      <c r="J2230" t="inlineStr">
        <is>
          <t>AUD</t>
        </is>
      </c>
      <c r="K2230" s="5" t="inlineStr">
        <is>
          <t>01a1212c-4c04-75ce-bbb2-e3322e18816e</t>
        </is>
      </c>
      <c r="M2230" t="inlineStr">
        <is>
          <t>UNKNOWN</t>
        </is>
      </c>
      <c r="N2230" t="inlineStr">
        <is>
          <t>DEFAULT</t>
        </is>
      </c>
      <c r="Q2230" t="n">
        <v>0</v>
      </c>
      <c r="R2230" t="inlineStr">
        <is>
          <t>AUD</t>
        </is>
      </c>
      <c r="S2230" t="n">
        <v>0</v>
      </c>
      <c r="T2230" t="inlineStr">
        <is>
          <t>AUD</t>
        </is>
      </c>
      <c r="U2230" t="n">
        <v>0</v>
      </c>
    </row>
    <row r="2231">
      <c r="A2231" s="5" t="inlineStr">
        <is>
          <t>01a1212c-6692-7238-99a6-6860621c5430</t>
        </is>
      </c>
      <c r="C2231" s="5" t="inlineStr">
        <is>
          <t>01a1212c-4b57-70cf-80fd-c2192cb3bf81</t>
        </is>
      </c>
      <c r="D2231" s="4" t="n">
        <v>46304.62407872978</v>
      </c>
      <c r="E2231" s="4" t="n">
        <v>46304.62407872988</v>
      </c>
      <c r="F2231" t="b">
        <v>1</v>
      </c>
      <c r="G2231" t="n">
        <v/>
      </c>
      <c r="H2231" t="inlineStr">
        <is>
          <t>TX3</t>
        </is>
      </c>
      <c r="I2231" t="inlineStr">
        <is>
          <t>Trinex Minerals Ltd</t>
        </is>
      </c>
      <c r="J2231" t="inlineStr">
        <is>
          <t>AUD</t>
        </is>
      </c>
      <c r="K2231" s="5" t="inlineStr">
        <is>
          <t>01a1212c-4c04-75ce-bbb2-e3322e18816e</t>
        </is>
      </c>
      <c r="M2231" t="inlineStr">
        <is>
          <t>UNKNOWN</t>
        </is>
      </c>
      <c r="N2231" t="inlineStr">
        <is>
          <t>DEFAULT</t>
        </is>
      </c>
      <c r="Q2231" t="n">
        <v>0</v>
      </c>
      <c r="R2231" t="inlineStr">
        <is>
          <t>AUD</t>
        </is>
      </c>
      <c r="S2231" t="n">
        <v>0</v>
      </c>
      <c r="T2231" t="inlineStr">
        <is>
          <t>AUD</t>
        </is>
      </c>
      <c r="U2231" t="n">
        <v>0</v>
      </c>
    </row>
    <row r="2232">
      <c r="A2232" s="5" t="inlineStr">
        <is>
          <t>01a1212c-6695-73b5-9e59-5eec7c3afc2b</t>
        </is>
      </c>
      <c r="C2232" s="5" t="inlineStr">
        <is>
          <t>01a1212c-4b57-70cf-80fd-c2192cb3bf81</t>
        </is>
      </c>
      <c r="D2232" s="4" t="n">
        <v>46304.62407876964</v>
      </c>
      <c r="E2232" s="4" t="n">
        <v>46304.62407876975</v>
      </c>
      <c r="F2232" t="b">
        <v>1</v>
      </c>
      <c r="G2232" t="n">
        <v/>
      </c>
      <c r="H2232" t="inlineStr">
        <is>
          <t>VRL</t>
        </is>
      </c>
      <c r="I2232" t="inlineStr">
        <is>
          <t>Verity Resources Ltd</t>
        </is>
      </c>
      <c r="J2232" t="inlineStr">
        <is>
          <t>AUD</t>
        </is>
      </c>
      <c r="K2232" s="5" t="inlineStr">
        <is>
          <t>01a1212c-4c04-75ce-bbb2-e3322e18816e</t>
        </is>
      </c>
      <c r="M2232" t="inlineStr">
        <is>
          <t>UNKNOWN</t>
        </is>
      </c>
      <c r="N2232" t="inlineStr">
        <is>
          <t>DEFAULT</t>
        </is>
      </c>
      <c r="Q2232" t="n">
        <v>0</v>
      </c>
      <c r="R2232" t="inlineStr">
        <is>
          <t>AUD</t>
        </is>
      </c>
      <c r="S2232" t="n">
        <v>0</v>
      </c>
      <c r="T2232" t="inlineStr">
        <is>
          <t>AUD</t>
        </is>
      </c>
      <c r="U2232" t="n">
        <v>0</v>
      </c>
    </row>
    <row r="2233">
      <c r="A2233" s="5" t="inlineStr">
        <is>
          <t>01a1212c-6698-747a-af99-f8364b86077c</t>
        </is>
      </c>
      <c r="C2233" s="5" t="inlineStr">
        <is>
          <t>01a1212c-4b57-70cf-80fd-c2192cb3bf81</t>
        </is>
      </c>
      <c r="D2233" s="4" t="n">
        <v>46304.62407880756</v>
      </c>
      <c r="E2233" s="4" t="n">
        <v>46304.62407880766</v>
      </c>
      <c r="F2233" t="b">
        <v>1</v>
      </c>
      <c r="G2233" t="n">
        <v/>
      </c>
      <c r="H2233" t="inlineStr">
        <is>
          <t>CDR</t>
        </is>
      </c>
      <c r="I2233" t="inlineStr">
        <is>
          <t>Codrus Minerals Ltd</t>
        </is>
      </c>
      <c r="J2233" t="inlineStr">
        <is>
          <t>AUD</t>
        </is>
      </c>
      <c r="K2233" s="5" t="inlineStr">
        <is>
          <t>01a1212c-4c04-75ce-bbb2-e3322e18816e</t>
        </is>
      </c>
      <c r="M2233" t="inlineStr">
        <is>
          <t>UNKNOWN</t>
        </is>
      </c>
      <c r="N2233" t="inlineStr">
        <is>
          <t>DEFAULT</t>
        </is>
      </c>
      <c r="Q2233" t="n">
        <v>0</v>
      </c>
      <c r="R2233" t="inlineStr">
        <is>
          <t>AUD</t>
        </is>
      </c>
      <c r="S2233" t="n">
        <v>0</v>
      </c>
      <c r="T2233" t="inlineStr">
        <is>
          <t>AUD</t>
        </is>
      </c>
      <c r="U2233" t="n">
        <v>0</v>
      </c>
    </row>
    <row r="2234">
      <c r="A2234" s="5" t="inlineStr">
        <is>
          <t>01a1212c-669b-7459-95f8-2fd8b69c763f</t>
        </is>
      </c>
      <c r="C2234" s="5" t="inlineStr">
        <is>
          <t>01a1212c-4b57-70cf-80fd-c2192cb3bf81</t>
        </is>
      </c>
      <c r="D2234" s="4" t="n">
        <v>46304.62407884392</v>
      </c>
      <c r="E2234" s="4" t="n">
        <v>46304.62407884402</v>
      </c>
      <c r="F2234" t="b">
        <v>1</v>
      </c>
      <c r="G2234" t="n">
        <v/>
      </c>
      <c r="H2234" t="inlineStr">
        <is>
          <t>PVW</t>
        </is>
      </c>
      <c r="I2234" t="inlineStr">
        <is>
          <t>PVW Resources Ltd</t>
        </is>
      </c>
      <c r="J2234" t="inlineStr">
        <is>
          <t>AUD</t>
        </is>
      </c>
      <c r="K2234" s="5" t="inlineStr">
        <is>
          <t>01a1212c-4c04-75ce-bbb2-e3322e18816e</t>
        </is>
      </c>
      <c r="M2234" t="inlineStr">
        <is>
          <t>UNKNOWN</t>
        </is>
      </c>
      <c r="N2234" t="inlineStr">
        <is>
          <t>DEFAULT</t>
        </is>
      </c>
      <c r="Q2234" t="n">
        <v>0</v>
      </c>
      <c r="R2234" t="inlineStr">
        <is>
          <t>AUD</t>
        </is>
      </c>
      <c r="S2234" t="n">
        <v>0</v>
      </c>
      <c r="T2234" t="inlineStr">
        <is>
          <t>AUD</t>
        </is>
      </c>
      <c r="U2234" t="n">
        <v>0</v>
      </c>
    </row>
    <row r="2235">
      <c r="A2235" s="5" t="inlineStr">
        <is>
          <t>01a1212c-669f-7771-98a9-f9d8f955371c</t>
        </is>
      </c>
      <c r="C2235" s="5" t="inlineStr">
        <is>
          <t>01a1212c-4b57-70cf-80fd-c2192cb3bf81</t>
        </is>
      </c>
      <c r="D2235" s="4" t="n">
        <v>46304.6240788863</v>
      </c>
      <c r="E2235" s="4" t="n">
        <v>46304.6240788864</v>
      </c>
      <c r="F2235" t="b">
        <v>1</v>
      </c>
      <c r="G2235" t="n">
        <v/>
      </c>
      <c r="H2235" t="inlineStr">
        <is>
          <t>RDS</t>
        </is>
      </c>
      <c r="I2235" t="inlineStr">
        <is>
          <t>Redstone Resources Ltd</t>
        </is>
      </c>
      <c r="J2235" t="inlineStr">
        <is>
          <t>AUD</t>
        </is>
      </c>
      <c r="K2235" s="5" t="inlineStr">
        <is>
          <t>01a1212c-4c04-75ce-bbb2-e3322e18816e</t>
        </is>
      </c>
      <c r="M2235" t="inlineStr">
        <is>
          <t>UNKNOWN</t>
        </is>
      </c>
      <c r="N2235" t="inlineStr">
        <is>
          <t>DEFAULT</t>
        </is>
      </c>
      <c r="Q2235" t="n">
        <v>0</v>
      </c>
      <c r="R2235" t="inlineStr">
        <is>
          <t>AUD</t>
        </is>
      </c>
      <c r="S2235" t="n">
        <v>0</v>
      </c>
      <c r="T2235" t="inlineStr">
        <is>
          <t>AUD</t>
        </is>
      </c>
      <c r="U2235" t="n">
        <v>0</v>
      </c>
    </row>
    <row r="2236">
      <c r="A2236" s="5" t="inlineStr">
        <is>
          <t>01a1212c-66a3-71fc-a5ad-beb1e0eecc48</t>
        </is>
      </c>
      <c r="C2236" s="5" t="inlineStr">
        <is>
          <t>01a1212c-4b57-70cf-80fd-c2192cb3bf81</t>
        </is>
      </c>
      <c r="D2236" s="4" t="n">
        <v>46304.6240789262</v>
      </c>
      <c r="E2236" s="4" t="n">
        <v>46304.62407892631</v>
      </c>
      <c r="F2236" t="b">
        <v>1</v>
      </c>
      <c r="G2236" t="n">
        <v/>
      </c>
      <c r="H2236" t="inlineStr">
        <is>
          <t>TMB</t>
        </is>
      </c>
      <c r="I2236" t="inlineStr">
        <is>
          <t>Tambourah Metals Ltd</t>
        </is>
      </c>
      <c r="J2236" t="inlineStr">
        <is>
          <t>AUD</t>
        </is>
      </c>
      <c r="K2236" s="5" t="inlineStr">
        <is>
          <t>01a1212c-4c04-75ce-bbb2-e3322e18816e</t>
        </is>
      </c>
      <c r="M2236" t="inlineStr">
        <is>
          <t>UNKNOWN</t>
        </is>
      </c>
      <c r="N2236" t="inlineStr">
        <is>
          <t>DEFAULT</t>
        </is>
      </c>
      <c r="Q2236" t="n">
        <v>0</v>
      </c>
      <c r="R2236" t="inlineStr">
        <is>
          <t>AUD</t>
        </is>
      </c>
      <c r="S2236" t="n">
        <v>0</v>
      </c>
      <c r="T2236" t="inlineStr">
        <is>
          <t>AUD</t>
        </is>
      </c>
      <c r="U2236" t="n">
        <v>0</v>
      </c>
    </row>
    <row r="2237">
      <c r="A2237" s="5" t="inlineStr">
        <is>
          <t>01a1212c-66a6-71f7-92a4-23934622124a</t>
        </is>
      </c>
      <c r="C2237" s="5" t="inlineStr">
        <is>
          <t>01a1212c-4b57-70cf-80fd-c2192cb3bf81</t>
        </is>
      </c>
      <c r="D2237" s="4" t="n">
        <v>46304.62407896102</v>
      </c>
      <c r="E2237" s="4" t="n">
        <v>46304.62407896111</v>
      </c>
      <c r="F2237" t="b">
        <v>1</v>
      </c>
      <c r="G2237" t="n">
        <v/>
      </c>
      <c r="H2237" t="inlineStr">
        <is>
          <t>MPR</t>
        </is>
      </c>
      <c r="I2237" t="inlineStr">
        <is>
          <t>Mpower Group Ltd</t>
        </is>
      </c>
      <c r="J2237" t="inlineStr">
        <is>
          <t>AUD</t>
        </is>
      </c>
      <c r="K2237" s="5" t="inlineStr">
        <is>
          <t>01a1212c-4c04-75ce-bbb2-e3322e18816e</t>
        </is>
      </c>
      <c r="M2237" t="inlineStr">
        <is>
          <t>UNKNOWN</t>
        </is>
      </c>
      <c r="N2237" t="inlineStr">
        <is>
          <t>DEFAULT</t>
        </is>
      </c>
      <c r="Q2237" t="n">
        <v>0</v>
      </c>
      <c r="R2237" t="inlineStr">
        <is>
          <t>AUD</t>
        </is>
      </c>
      <c r="S2237" t="n">
        <v>0</v>
      </c>
      <c r="T2237" t="inlineStr">
        <is>
          <t>AUD</t>
        </is>
      </c>
      <c r="U2237" t="n">
        <v>0</v>
      </c>
    </row>
    <row r="2238">
      <c r="A2238" s="5" t="inlineStr">
        <is>
          <t>01a1212c-66a8-7136-ab69-be8678dd352d</t>
        </is>
      </c>
      <c r="C2238" s="5" t="inlineStr">
        <is>
          <t>01a1212c-4b57-70cf-80fd-c2192cb3bf81</t>
        </is>
      </c>
      <c r="D2238" s="4" t="n">
        <v>46304.62407899361</v>
      </c>
      <c r="E2238" s="4" t="n">
        <v>46304.62407899369</v>
      </c>
      <c r="F2238" t="b">
        <v>1</v>
      </c>
      <c r="G2238" t="n">
        <v/>
      </c>
      <c r="H2238" t="inlineStr">
        <is>
          <t>PIM</t>
        </is>
      </c>
      <c r="I2238" t="inlineStr">
        <is>
          <t>Pinnacle Minerals Ltd</t>
        </is>
      </c>
      <c r="J2238" t="inlineStr">
        <is>
          <t>AUD</t>
        </is>
      </c>
      <c r="K2238" s="5" t="inlineStr">
        <is>
          <t>01a1212c-4c04-75ce-bbb2-e3322e18816e</t>
        </is>
      </c>
      <c r="M2238" t="inlineStr">
        <is>
          <t>UNKNOWN</t>
        </is>
      </c>
      <c r="N2238" t="inlineStr">
        <is>
          <t>DEFAULT</t>
        </is>
      </c>
      <c r="Q2238" t="n">
        <v>0</v>
      </c>
      <c r="R2238" t="inlineStr">
        <is>
          <t>AUD</t>
        </is>
      </c>
      <c r="S2238" t="n">
        <v>0</v>
      </c>
      <c r="T2238" t="inlineStr">
        <is>
          <t>AUD</t>
        </is>
      </c>
      <c r="U2238" t="n">
        <v>0</v>
      </c>
    </row>
    <row r="2239">
      <c r="A2239" s="5" t="inlineStr">
        <is>
          <t>01a1212c-66ab-71ed-be73-3ae5f8815225</t>
        </is>
      </c>
      <c r="C2239" s="5" t="inlineStr">
        <is>
          <t>01a1212c-4b57-70cf-80fd-c2192cb3bf81</t>
        </is>
      </c>
      <c r="D2239" s="4" t="n">
        <v>46304.62407902825</v>
      </c>
      <c r="E2239" s="4" t="n">
        <v>46304.62407902833</v>
      </c>
      <c r="F2239" t="b">
        <v>1</v>
      </c>
      <c r="G2239" t="n">
        <v/>
      </c>
      <c r="H2239" t="inlineStr">
        <is>
          <t>WEL</t>
        </is>
      </c>
      <c r="I2239" t="inlineStr">
        <is>
          <t>Winchester Energy Ltd</t>
        </is>
      </c>
      <c r="J2239" t="inlineStr">
        <is>
          <t>AUD</t>
        </is>
      </c>
      <c r="K2239" s="5" t="inlineStr">
        <is>
          <t>01a1212c-4c04-75ce-bbb2-e3322e18816e</t>
        </is>
      </c>
      <c r="M2239" t="inlineStr">
        <is>
          <t>UNKNOWN</t>
        </is>
      </c>
      <c r="N2239" t="inlineStr">
        <is>
          <t>DEFAULT</t>
        </is>
      </c>
      <c r="Q2239" t="n">
        <v>0</v>
      </c>
      <c r="R2239" t="inlineStr">
        <is>
          <t>AUD</t>
        </is>
      </c>
      <c r="S2239" t="n">
        <v>0</v>
      </c>
      <c r="T2239" t="inlineStr">
        <is>
          <t>AUD</t>
        </is>
      </c>
      <c r="U2239" t="n">
        <v>0</v>
      </c>
    </row>
    <row r="2240">
      <c r="A2240" s="5" t="inlineStr">
        <is>
          <t>01a1212c-66ae-7462-95dc-312cb302e01f</t>
        </is>
      </c>
      <c r="C2240" s="5" t="inlineStr">
        <is>
          <t>01a1212c-4b57-70cf-80fd-c2192cb3bf81</t>
        </is>
      </c>
      <c r="D2240" s="4" t="n">
        <v>46304.62407906172</v>
      </c>
      <c r="E2240" s="4" t="n">
        <v>46304.6240790618</v>
      </c>
      <c r="F2240" t="b">
        <v>1</v>
      </c>
      <c r="G2240" t="n">
        <v/>
      </c>
      <c r="H2240" t="inlineStr">
        <is>
          <t>CGO</t>
        </is>
      </c>
      <c r="I2240" t="inlineStr">
        <is>
          <t>CPT Global Ltd</t>
        </is>
      </c>
      <c r="J2240" t="inlineStr">
        <is>
          <t>AUD</t>
        </is>
      </c>
      <c r="K2240" s="5" t="inlineStr">
        <is>
          <t>01a1212c-4c04-75ce-bbb2-e3322e18816e</t>
        </is>
      </c>
      <c r="M2240" t="inlineStr">
        <is>
          <t>UNKNOWN</t>
        </is>
      </c>
      <c r="N2240" t="inlineStr">
        <is>
          <t>DEFAULT</t>
        </is>
      </c>
      <c r="Q2240" t="n">
        <v>0</v>
      </c>
      <c r="R2240" t="inlineStr">
        <is>
          <t>AUD</t>
        </is>
      </c>
      <c r="S2240" t="n">
        <v>0</v>
      </c>
      <c r="T2240" t="inlineStr">
        <is>
          <t>AUD</t>
        </is>
      </c>
      <c r="U2240" t="n">
        <v>0</v>
      </c>
    </row>
    <row r="2241">
      <c r="A2241" s="5" t="inlineStr">
        <is>
          <t>01a1212c-66b1-7369-9ccd-478773e2e7dc</t>
        </is>
      </c>
      <c r="C2241" s="5" t="inlineStr">
        <is>
          <t>01a1212c-4b57-70cf-80fd-c2192cb3bf81</t>
        </is>
      </c>
      <c r="D2241" s="4" t="n">
        <v>46304.62407909277</v>
      </c>
      <c r="E2241" s="4" t="n">
        <v>46304.62407909285</v>
      </c>
      <c r="F2241" t="b">
        <v>1</v>
      </c>
      <c r="G2241" t="n">
        <v/>
      </c>
      <c r="H2241" t="inlineStr">
        <is>
          <t>RML</t>
        </is>
      </c>
      <c r="I2241" t="inlineStr">
        <is>
          <t>Resolution Minerals Ltd</t>
        </is>
      </c>
      <c r="J2241" t="inlineStr">
        <is>
          <t>AUD</t>
        </is>
      </c>
      <c r="K2241" s="5" t="inlineStr">
        <is>
          <t>01a1212c-4c04-75ce-bbb2-e3322e18816e</t>
        </is>
      </c>
      <c r="M2241" t="inlineStr">
        <is>
          <t>UNKNOWN</t>
        </is>
      </c>
      <c r="N2241" t="inlineStr">
        <is>
          <t>DEFAULT</t>
        </is>
      </c>
      <c r="Q2241" t="n">
        <v>0</v>
      </c>
      <c r="R2241" t="inlineStr">
        <is>
          <t>AUD</t>
        </is>
      </c>
      <c r="S2241" t="n">
        <v>0</v>
      </c>
      <c r="T2241" t="inlineStr">
        <is>
          <t>AUD</t>
        </is>
      </c>
      <c r="U2241" t="n">
        <v>0</v>
      </c>
    </row>
    <row r="2242">
      <c r="A2242" s="5" t="inlineStr">
        <is>
          <t>01a1212c-66b4-77ce-a0e4-b7a545c4674e</t>
        </is>
      </c>
      <c r="C2242" s="5" t="inlineStr">
        <is>
          <t>01a1212c-4b57-70cf-80fd-c2192cb3bf81</t>
        </is>
      </c>
      <c r="D2242" s="4" t="n">
        <v>46304.62407912361</v>
      </c>
      <c r="E2242" s="4" t="n">
        <v>46304.62407912368</v>
      </c>
      <c r="F2242" t="b">
        <v>1</v>
      </c>
      <c r="G2242" t="n">
        <v/>
      </c>
      <c r="H2242" t="inlineStr">
        <is>
          <t>BOA</t>
        </is>
      </c>
      <c r="I2242" t="inlineStr">
        <is>
          <t>BOA Resources Ltd</t>
        </is>
      </c>
      <c r="J2242" t="inlineStr">
        <is>
          <t>AUD</t>
        </is>
      </c>
      <c r="K2242" s="5" t="inlineStr">
        <is>
          <t>01a1212c-4c04-75ce-bbb2-e3322e18816e</t>
        </is>
      </c>
      <c r="M2242" t="inlineStr">
        <is>
          <t>UNKNOWN</t>
        </is>
      </c>
      <c r="N2242" t="inlineStr">
        <is>
          <t>DEFAULT</t>
        </is>
      </c>
      <c r="Q2242" t="n">
        <v>0</v>
      </c>
      <c r="R2242" t="inlineStr">
        <is>
          <t>AUD</t>
        </is>
      </c>
      <c r="S2242" t="n">
        <v>0</v>
      </c>
      <c r="T2242" t="inlineStr">
        <is>
          <t>AUD</t>
        </is>
      </c>
      <c r="U2242" t="n">
        <v>0</v>
      </c>
    </row>
    <row r="2243">
      <c r="A2243" s="5" t="inlineStr">
        <is>
          <t>01a1212c-66b6-70bc-b24a-554d6ad01a9c</t>
        </is>
      </c>
      <c r="C2243" s="5" t="inlineStr">
        <is>
          <t>01a1212c-4b57-70cf-80fd-c2192cb3bf81</t>
        </is>
      </c>
      <c r="D2243" s="4" t="n">
        <v>46304.62407915471</v>
      </c>
      <c r="E2243" s="4" t="n">
        <v>46304.62407915479</v>
      </c>
      <c r="F2243" t="b">
        <v>1</v>
      </c>
      <c r="G2243" t="n">
        <v/>
      </c>
      <c r="H2243" t="inlineStr">
        <is>
          <t>LSR</t>
        </is>
      </c>
      <c r="I2243" t="inlineStr">
        <is>
          <t>Lodestar Minerals Ltd</t>
        </is>
      </c>
      <c r="J2243" t="inlineStr">
        <is>
          <t>AUD</t>
        </is>
      </c>
      <c r="K2243" s="5" t="inlineStr">
        <is>
          <t>01a1212c-4c04-75ce-bbb2-e3322e18816e</t>
        </is>
      </c>
      <c r="M2243" t="inlineStr">
        <is>
          <t>UNKNOWN</t>
        </is>
      </c>
      <c r="N2243" t="inlineStr">
        <is>
          <t>DEFAULT</t>
        </is>
      </c>
      <c r="Q2243" t="n">
        <v>0</v>
      </c>
      <c r="R2243" t="inlineStr">
        <is>
          <t>AUD</t>
        </is>
      </c>
      <c r="S2243" t="n">
        <v>0</v>
      </c>
      <c r="T2243" t="inlineStr">
        <is>
          <t>AUD</t>
        </is>
      </c>
      <c r="U2243" t="n">
        <v>0</v>
      </c>
    </row>
    <row r="2244">
      <c r="A2244" s="5" t="inlineStr">
        <is>
          <t>01a1212c-66b9-768b-b4b1-f88ccd88309e</t>
        </is>
      </c>
      <c r="C2244" s="5" t="inlineStr">
        <is>
          <t>01a1212c-4b57-70cf-80fd-c2192cb3bf81</t>
        </is>
      </c>
      <c r="D2244" s="4" t="n">
        <v>46304.62407919029</v>
      </c>
      <c r="E2244" s="4" t="n">
        <v>46304.62407919037</v>
      </c>
      <c r="F2244" t="b">
        <v>1</v>
      </c>
      <c r="G2244" t="n">
        <v/>
      </c>
      <c r="H2244" t="inlineStr">
        <is>
          <t>DMM</t>
        </is>
      </c>
      <c r="I2244" t="inlineStr">
        <is>
          <t>DMC Mining Ltd</t>
        </is>
      </c>
      <c r="J2244" t="inlineStr">
        <is>
          <t>AUD</t>
        </is>
      </c>
      <c r="K2244" s="5" t="inlineStr">
        <is>
          <t>01a1212c-4c04-75ce-bbb2-e3322e18816e</t>
        </is>
      </c>
      <c r="M2244" t="inlineStr">
        <is>
          <t>UNKNOWN</t>
        </is>
      </c>
      <c r="N2244" t="inlineStr">
        <is>
          <t>DEFAULT</t>
        </is>
      </c>
      <c r="Q2244" t="n">
        <v>0</v>
      </c>
      <c r="R2244" t="inlineStr">
        <is>
          <t>AUD</t>
        </is>
      </c>
      <c r="S2244" t="n">
        <v>0</v>
      </c>
      <c r="T2244" t="inlineStr">
        <is>
          <t>AUD</t>
        </is>
      </c>
      <c r="U2244" t="n">
        <v>0</v>
      </c>
    </row>
    <row r="2245">
      <c r="A2245" s="5" t="inlineStr">
        <is>
          <t>01a1212c-66bc-7096-99a6-a0469bd803ab</t>
        </is>
      </c>
      <c r="C2245" s="5" t="inlineStr">
        <is>
          <t>01a1212c-4b57-70cf-80fd-c2192cb3bf81</t>
        </is>
      </c>
      <c r="D2245" s="4" t="n">
        <v>46304.62407922177</v>
      </c>
      <c r="E2245" s="4" t="n">
        <v>46304.62407922184</v>
      </c>
      <c r="F2245" t="b">
        <v>1</v>
      </c>
      <c r="G2245" t="n">
        <v/>
      </c>
      <c r="H2245" t="inlineStr">
        <is>
          <t>ETPMPD</t>
        </is>
      </c>
      <c r="I2245" t="inlineStr">
        <is>
          <t>Global X Metal Securities Australia Ltd</t>
        </is>
      </c>
      <c r="J2245" t="inlineStr">
        <is>
          <t>AUD</t>
        </is>
      </c>
      <c r="K2245" s="5" t="inlineStr">
        <is>
          <t>01a1212c-4c04-75ce-bbb2-e3322e18816e</t>
        </is>
      </c>
      <c r="M2245" t="inlineStr">
        <is>
          <t>UNKNOWN</t>
        </is>
      </c>
      <c r="N2245" t="inlineStr">
        <is>
          <t>DEFAULT</t>
        </is>
      </c>
      <c r="Q2245" t="n">
        <v>0</v>
      </c>
      <c r="R2245" t="inlineStr">
        <is>
          <t>AUD</t>
        </is>
      </c>
      <c r="S2245" t="n">
        <v>0</v>
      </c>
      <c r="T2245" t="inlineStr">
        <is>
          <t>AUD</t>
        </is>
      </c>
      <c r="U2245" t="n">
        <v>0</v>
      </c>
    </row>
    <row r="2246">
      <c r="A2246" s="5" t="inlineStr">
        <is>
          <t>01a1212c-66bf-76ab-946b-a6a4de416b35</t>
        </is>
      </c>
      <c r="C2246" s="5" t="inlineStr">
        <is>
          <t>01a1212c-4b57-70cf-80fd-c2192cb3bf81</t>
        </is>
      </c>
      <c r="D2246" s="4" t="n">
        <v>46304.62407925371</v>
      </c>
      <c r="E2246" s="4" t="n">
        <v>46304.62407925379</v>
      </c>
      <c r="F2246" t="b">
        <v>1</v>
      </c>
      <c r="G2246" t="n">
        <v/>
      </c>
      <c r="H2246" t="inlineStr">
        <is>
          <t>OLY</t>
        </is>
      </c>
      <c r="I2246" t="inlineStr">
        <is>
          <t>Olympio Metals Ltd</t>
        </is>
      </c>
      <c r="J2246" t="inlineStr">
        <is>
          <t>AUD</t>
        </is>
      </c>
      <c r="K2246" s="5" t="inlineStr">
        <is>
          <t>01a1212c-4c04-75ce-bbb2-e3322e18816e</t>
        </is>
      </c>
      <c r="M2246" t="inlineStr">
        <is>
          <t>UNKNOWN</t>
        </is>
      </c>
      <c r="N2246" t="inlineStr">
        <is>
          <t>DEFAULT</t>
        </is>
      </c>
      <c r="Q2246" t="n">
        <v>0</v>
      </c>
      <c r="R2246" t="inlineStr">
        <is>
          <t>AUD</t>
        </is>
      </c>
      <c r="S2246" t="n">
        <v>0</v>
      </c>
      <c r="T2246" t="inlineStr">
        <is>
          <t>AUD</t>
        </is>
      </c>
      <c r="U2246" t="n">
        <v>0</v>
      </c>
    </row>
    <row r="2247">
      <c r="A2247" s="5" t="inlineStr">
        <is>
          <t>01a1212c-66c2-763e-9881-a391b19586e9</t>
        </is>
      </c>
      <c r="C2247" s="5" t="inlineStr">
        <is>
          <t>01a1212c-4b57-70cf-80fd-c2192cb3bf81</t>
        </is>
      </c>
      <c r="D2247" s="4" t="n">
        <v>46304.62407928795</v>
      </c>
      <c r="E2247" s="4" t="n">
        <v>46304.62407928803</v>
      </c>
      <c r="F2247" t="b">
        <v>1</v>
      </c>
      <c r="G2247" t="n">
        <v/>
      </c>
      <c r="H2247" t="inlineStr">
        <is>
          <t>FIN</t>
        </is>
      </c>
      <c r="I2247" t="inlineStr">
        <is>
          <t>FIN Resources Ltd</t>
        </is>
      </c>
      <c r="J2247" t="inlineStr">
        <is>
          <t>AUD</t>
        </is>
      </c>
      <c r="K2247" s="5" t="inlineStr">
        <is>
          <t>01a1212c-4c04-75ce-bbb2-e3322e18816e</t>
        </is>
      </c>
      <c r="M2247" t="inlineStr">
        <is>
          <t>UNKNOWN</t>
        </is>
      </c>
      <c r="N2247" t="inlineStr">
        <is>
          <t>DEFAULT</t>
        </is>
      </c>
      <c r="Q2247" t="n">
        <v>0</v>
      </c>
      <c r="R2247" t="inlineStr">
        <is>
          <t>AUD</t>
        </is>
      </c>
      <c r="S2247" t="n">
        <v>0</v>
      </c>
      <c r="T2247" t="inlineStr">
        <is>
          <t>AUD</t>
        </is>
      </c>
      <c r="U2247" t="n">
        <v>0</v>
      </c>
    </row>
    <row r="2248">
      <c r="A2248" s="5" t="inlineStr">
        <is>
          <t>01a1212c-66c5-7576-bee2-a9984a014cec</t>
        </is>
      </c>
      <c r="C2248" s="5" t="inlineStr">
        <is>
          <t>01a1212c-4b57-70cf-80fd-c2192cb3bf81</t>
        </is>
      </c>
      <c r="D2248" s="4" t="n">
        <v>46304.62407932115</v>
      </c>
      <c r="E2248" s="4" t="n">
        <v>46304.62407932121</v>
      </c>
      <c r="F2248" t="b">
        <v>1</v>
      </c>
      <c r="G2248" t="n">
        <v/>
      </c>
      <c r="H2248" t="inlineStr">
        <is>
          <t>RBR</t>
        </is>
      </c>
      <c r="I2248" t="inlineStr">
        <is>
          <t>RBR Group Ltd</t>
        </is>
      </c>
      <c r="J2248" t="inlineStr">
        <is>
          <t>AUD</t>
        </is>
      </c>
      <c r="K2248" s="5" t="inlineStr">
        <is>
          <t>01a1212c-4c04-75ce-bbb2-e3322e18816e</t>
        </is>
      </c>
      <c r="M2248" t="inlineStr">
        <is>
          <t>UNKNOWN</t>
        </is>
      </c>
      <c r="N2248" t="inlineStr">
        <is>
          <t>DEFAULT</t>
        </is>
      </c>
      <c r="Q2248" t="n">
        <v>0</v>
      </c>
      <c r="R2248" t="inlineStr">
        <is>
          <t>AUD</t>
        </is>
      </c>
      <c r="S2248" t="n">
        <v>0</v>
      </c>
      <c r="T2248" t="inlineStr">
        <is>
          <t>AUD</t>
        </is>
      </c>
      <c r="U2248" t="n">
        <v>0</v>
      </c>
    </row>
    <row r="2249">
      <c r="A2249" s="5" t="inlineStr">
        <is>
          <t>01a1212c-66c7-7616-977e-29608ed9a71e</t>
        </is>
      </c>
      <c r="C2249" s="5" t="inlineStr">
        <is>
          <t>01a1212c-4b57-70cf-80fd-c2192cb3bf81</t>
        </is>
      </c>
      <c r="D2249" s="4" t="n">
        <v>46304.62407935232</v>
      </c>
      <c r="E2249" s="4" t="n">
        <v>46304.6240793524</v>
      </c>
      <c r="F2249" t="b">
        <v>1</v>
      </c>
      <c r="G2249" t="n">
        <v/>
      </c>
      <c r="H2249" t="inlineStr">
        <is>
          <t>SKN</t>
        </is>
      </c>
      <c r="I2249" t="inlineStr">
        <is>
          <t>Skin Elements Ltd</t>
        </is>
      </c>
      <c r="J2249" t="inlineStr">
        <is>
          <t>AUD</t>
        </is>
      </c>
      <c r="K2249" s="5" t="inlineStr">
        <is>
          <t>01a1212c-4c04-75ce-bbb2-e3322e18816e</t>
        </is>
      </c>
      <c r="M2249" t="inlineStr">
        <is>
          <t>UNKNOWN</t>
        </is>
      </c>
      <c r="N2249" t="inlineStr">
        <is>
          <t>DEFAULT</t>
        </is>
      </c>
      <c r="Q2249" t="n">
        <v>0</v>
      </c>
      <c r="R2249" t="inlineStr">
        <is>
          <t>AUD</t>
        </is>
      </c>
      <c r="S2249" t="n">
        <v>0</v>
      </c>
      <c r="T2249" t="inlineStr">
        <is>
          <t>AUD</t>
        </is>
      </c>
      <c r="U2249" t="n">
        <v>0</v>
      </c>
    </row>
    <row r="2250">
      <c r="A2250" s="5" t="inlineStr">
        <is>
          <t>01a1212c-66ca-7128-98c2-8249cde9b1c0</t>
        </is>
      </c>
      <c r="C2250" s="5" t="inlineStr">
        <is>
          <t>01a1212c-4b57-70cf-80fd-c2192cb3bf81</t>
        </is>
      </c>
      <c r="D2250" s="4" t="n">
        <v>46304.62407938397</v>
      </c>
      <c r="E2250" s="4" t="n">
        <v>46304.62407938405</v>
      </c>
      <c r="F2250" t="b">
        <v>1</v>
      </c>
      <c r="G2250" t="n">
        <v/>
      </c>
      <c r="H2250" t="inlineStr">
        <is>
          <t>MRZ</t>
        </is>
      </c>
      <c r="I2250" t="inlineStr">
        <is>
          <t>Mont Royal Resources Ltd</t>
        </is>
      </c>
      <c r="J2250" t="inlineStr">
        <is>
          <t>AUD</t>
        </is>
      </c>
      <c r="K2250" s="5" t="inlineStr">
        <is>
          <t>01a1212c-4c04-75ce-bbb2-e3322e18816e</t>
        </is>
      </c>
      <c r="M2250" t="inlineStr">
        <is>
          <t>UNKNOWN</t>
        </is>
      </c>
      <c r="N2250" t="inlineStr">
        <is>
          <t>DEFAULT</t>
        </is>
      </c>
      <c r="Q2250" t="n">
        <v>0</v>
      </c>
      <c r="R2250" t="inlineStr">
        <is>
          <t>AUD</t>
        </is>
      </c>
      <c r="S2250" t="n">
        <v>0</v>
      </c>
      <c r="T2250" t="inlineStr">
        <is>
          <t>AUD</t>
        </is>
      </c>
      <c r="U2250" t="n">
        <v>0</v>
      </c>
    </row>
    <row r="2251">
      <c r="A2251" s="5" t="inlineStr">
        <is>
          <t>01a1212c-66cd-71bc-87dd-0655f789afc1</t>
        </is>
      </c>
      <c r="C2251" s="5" t="inlineStr">
        <is>
          <t>01a1212c-4b57-70cf-80fd-c2192cb3bf81</t>
        </is>
      </c>
      <c r="D2251" s="4" t="n">
        <v>46304.62407941533</v>
      </c>
      <c r="E2251" s="4" t="n">
        <v>46304.62407941541</v>
      </c>
      <c r="F2251" t="b">
        <v>1</v>
      </c>
      <c r="G2251" t="n">
        <v/>
      </c>
      <c r="H2251" t="inlineStr">
        <is>
          <t>LKY</t>
        </is>
      </c>
      <c r="I2251" t="inlineStr">
        <is>
          <t>Locksley Resources Ltd</t>
        </is>
      </c>
      <c r="J2251" t="inlineStr">
        <is>
          <t>AUD</t>
        </is>
      </c>
      <c r="K2251" s="5" t="inlineStr">
        <is>
          <t>01a1212c-4c04-75ce-bbb2-e3322e18816e</t>
        </is>
      </c>
      <c r="M2251" t="inlineStr">
        <is>
          <t>UNKNOWN</t>
        </is>
      </c>
      <c r="N2251" t="inlineStr">
        <is>
          <t>DEFAULT</t>
        </is>
      </c>
      <c r="Q2251" t="n">
        <v>0</v>
      </c>
      <c r="R2251" t="inlineStr">
        <is>
          <t>AUD</t>
        </is>
      </c>
      <c r="S2251" t="n">
        <v>0</v>
      </c>
      <c r="T2251" t="inlineStr">
        <is>
          <t>AUD</t>
        </is>
      </c>
      <c r="U2251" t="n">
        <v>0</v>
      </c>
    </row>
    <row r="2252">
      <c r="A2252" s="5" t="inlineStr">
        <is>
          <t>01a1212c-66d0-7023-a742-fe47f02c9169</t>
        </is>
      </c>
      <c r="C2252" s="5" t="inlineStr">
        <is>
          <t>01a1212c-4b57-70cf-80fd-c2192cb3bf81</t>
        </is>
      </c>
      <c r="D2252" s="4" t="n">
        <v>46304.62407944839</v>
      </c>
      <c r="E2252" s="4" t="n">
        <v>46304.62407944847</v>
      </c>
      <c r="F2252" t="b">
        <v>1</v>
      </c>
      <c r="G2252" t="n">
        <v/>
      </c>
      <c r="H2252" t="inlineStr">
        <is>
          <t>CMO</t>
        </is>
      </c>
      <c r="I2252" t="inlineStr">
        <is>
          <t>Cosmo Metals Ltd</t>
        </is>
      </c>
      <c r="J2252" t="inlineStr">
        <is>
          <t>AUD</t>
        </is>
      </c>
      <c r="K2252" s="5" t="inlineStr">
        <is>
          <t>01a1212c-4c04-75ce-bbb2-e3322e18816e</t>
        </is>
      </c>
      <c r="M2252" t="inlineStr">
        <is>
          <t>UNKNOWN</t>
        </is>
      </c>
      <c r="N2252" t="inlineStr">
        <is>
          <t>DEFAULT</t>
        </is>
      </c>
      <c r="Q2252" t="n">
        <v>0</v>
      </c>
      <c r="R2252" t="inlineStr">
        <is>
          <t>AUD</t>
        </is>
      </c>
      <c r="S2252" t="n">
        <v>0</v>
      </c>
      <c r="T2252" t="inlineStr">
        <is>
          <t>AUD</t>
        </is>
      </c>
      <c r="U2252" t="n">
        <v>0</v>
      </c>
    </row>
    <row r="2253">
      <c r="A2253" s="5" t="inlineStr">
        <is>
          <t>01a1212c-66d2-7291-af47-570ffae41914</t>
        </is>
      </c>
      <c r="C2253" s="5" t="inlineStr">
        <is>
          <t>01a1212c-4b57-70cf-80fd-c2192cb3bf81</t>
        </is>
      </c>
      <c r="D2253" s="4" t="n">
        <v>46304.62407948026</v>
      </c>
      <c r="E2253" s="4" t="n">
        <v>46304.62407948032</v>
      </c>
      <c r="F2253" t="b">
        <v>1</v>
      </c>
      <c r="G2253" t="n">
        <v/>
      </c>
      <c r="H2253" t="inlineStr">
        <is>
          <t>PNT</t>
        </is>
      </c>
      <c r="I2253" t="inlineStr">
        <is>
          <t>Panther Metals Ltd</t>
        </is>
      </c>
      <c r="J2253" t="inlineStr">
        <is>
          <t>AUD</t>
        </is>
      </c>
      <c r="K2253" s="5" t="inlineStr">
        <is>
          <t>01a1212c-4c04-75ce-bbb2-e3322e18816e</t>
        </is>
      </c>
      <c r="M2253" t="inlineStr">
        <is>
          <t>UNKNOWN</t>
        </is>
      </c>
      <c r="N2253" t="inlineStr">
        <is>
          <t>DEFAULT</t>
        </is>
      </c>
      <c r="Q2253" t="n">
        <v>0</v>
      </c>
      <c r="R2253" t="inlineStr">
        <is>
          <t>AUD</t>
        </is>
      </c>
      <c r="S2253" t="n">
        <v>0</v>
      </c>
      <c r="T2253" t="inlineStr">
        <is>
          <t>AUD</t>
        </is>
      </c>
      <c r="U2253" t="n">
        <v>0</v>
      </c>
    </row>
    <row r="2254">
      <c r="A2254" s="5" t="inlineStr">
        <is>
          <t>01a1212c-66d5-77a5-aedc-b7f20d8f3d78</t>
        </is>
      </c>
      <c r="C2254" s="5" t="inlineStr">
        <is>
          <t>01a1212c-4b57-70cf-80fd-c2192cb3bf81</t>
        </is>
      </c>
      <c r="D2254" s="4" t="n">
        <v>46304.6240795111</v>
      </c>
      <c r="E2254" s="4" t="n">
        <v>46304.62407951118</v>
      </c>
      <c r="F2254" t="b">
        <v>1</v>
      </c>
      <c r="G2254" t="n">
        <v/>
      </c>
      <c r="H2254" t="inlineStr">
        <is>
          <t>SFM</t>
        </is>
      </c>
      <c r="I2254" t="inlineStr">
        <is>
          <t>Santa Fe Minerals Ltd</t>
        </is>
      </c>
      <c r="J2254" t="inlineStr">
        <is>
          <t>AUD</t>
        </is>
      </c>
      <c r="K2254" s="5" t="inlineStr">
        <is>
          <t>01a1212c-4c04-75ce-bbb2-e3322e18816e</t>
        </is>
      </c>
      <c r="M2254" t="inlineStr">
        <is>
          <t>UNKNOWN</t>
        </is>
      </c>
      <c r="N2254" t="inlineStr">
        <is>
          <t>DEFAULT</t>
        </is>
      </c>
      <c r="Q2254" t="n">
        <v>0</v>
      </c>
      <c r="R2254" t="inlineStr">
        <is>
          <t>AUD</t>
        </is>
      </c>
      <c r="S2254" t="n">
        <v>0</v>
      </c>
      <c r="T2254" t="inlineStr">
        <is>
          <t>AUD</t>
        </is>
      </c>
      <c r="U2254" t="n">
        <v>0</v>
      </c>
    </row>
    <row r="2255">
      <c r="A2255" s="5" t="inlineStr">
        <is>
          <t>01a1212c-66d8-76c0-87be-9b4d78b7b8c0</t>
        </is>
      </c>
      <c r="C2255" s="5" t="inlineStr">
        <is>
          <t>01a1212c-4b57-70cf-80fd-c2192cb3bf81</t>
        </is>
      </c>
      <c r="D2255" s="4" t="n">
        <v>46304.6240795453</v>
      </c>
      <c r="E2255" s="4" t="n">
        <v>46304.62407954537</v>
      </c>
      <c r="F2255" t="b">
        <v>1</v>
      </c>
      <c r="G2255" t="n">
        <v/>
      </c>
      <c r="H2255" t="inlineStr">
        <is>
          <t>PLG</t>
        </is>
      </c>
      <c r="I2255" t="inlineStr">
        <is>
          <t>Pearl Gull Iron Ltd</t>
        </is>
      </c>
      <c r="J2255" t="inlineStr">
        <is>
          <t>AUD</t>
        </is>
      </c>
      <c r="K2255" s="5" t="inlineStr">
        <is>
          <t>01a1212c-4c04-75ce-bbb2-e3322e18816e</t>
        </is>
      </c>
      <c r="M2255" t="inlineStr">
        <is>
          <t>UNKNOWN</t>
        </is>
      </c>
      <c r="N2255" t="inlineStr">
        <is>
          <t>DEFAULT</t>
        </is>
      </c>
      <c r="Q2255" t="n">
        <v>0</v>
      </c>
      <c r="R2255" t="inlineStr">
        <is>
          <t>AUD</t>
        </is>
      </c>
      <c r="S2255" t="n">
        <v>0</v>
      </c>
      <c r="T2255" t="inlineStr">
        <is>
          <t>AUD</t>
        </is>
      </c>
      <c r="U2255" t="n">
        <v>0</v>
      </c>
    </row>
    <row r="2256">
      <c r="A2256" s="5" t="inlineStr">
        <is>
          <t>01a1212c-66db-758a-b6bf-bbee506b14dd</t>
        </is>
      </c>
      <c r="C2256" s="5" t="inlineStr">
        <is>
          <t>01a1212c-4b57-70cf-80fd-c2192cb3bf81</t>
        </is>
      </c>
      <c r="D2256" s="4" t="n">
        <v>46304.6240795844</v>
      </c>
      <c r="E2256" s="4" t="n">
        <v>46304.62407958449</v>
      </c>
      <c r="F2256" t="b">
        <v>1</v>
      </c>
      <c r="G2256" t="n">
        <v/>
      </c>
      <c r="H2256" t="inlineStr">
        <is>
          <t>FRS</t>
        </is>
      </c>
      <c r="I2256" t="inlineStr">
        <is>
          <t>Forrestania Resources Ltd</t>
        </is>
      </c>
      <c r="J2256" t="inlineStr">
        <is>
          <t>AUD</t>
        </is>
      </c>
      <c r="K2256" s="5" t="inlineStr">
        <is>
          <t>01a1212c-4c04-75ce-bbb2-e3322e18816e</t>
        </is>
      </c>
      <c r="M2256" t="inlineStr">
        <is>
          <t>UNKNOWN</t>
        </is>
      </c>
      <c r="N2256" t="inlineStr">
        <is>
          <t>DEFAULT</t>
        </is>
      </c>
      <c r="Q2256" t="n">
        <v>0</v>
      </c>
      <c r="R2256" t="inlineStr">
        <is>
          <t>AUD</t>
        </is>
      </c>
      <c r="S2256" t="n">
        <v>0</v>
      </c>
      <c r="T2256" t="inlineStr">
        <is>
          <t>AUD</t>
        </is>
      </c>
      <c r="U2256" t="n">
        <v>0</v>
      </c>
    </row>
    <row r="2257">
      <c r="A2257" s="5" t="inlineStr">
        <is>
          <t>01a1212c-66de-77c3-89b5-304692f1ef1e</t>
        </is>
      </c>
      <c r="C2257" s="5" t="inlineStr">
        <is>
          <t>01a1212c-4b57-70cf-80fd-c2192cb3bf81</t>
        </is>
      </c>
      <c r="D2257" s="4" t="n">
        <v>46304.62407961622</v>
      </c>
      <c r="E2257" s="4" t="n">
        <v>46304.6240796163</v>
      </c>
      <c r="F2257" t="b">
        <v>1</v>
      </c>
      <c r="G2257" t="n">
        <v/>
      </c>
      <c r="H2257" t="inlineStr">
        <is>
          <t>PKD</t>
        </is>
      </c>
      <c r="I2257" t="inlineStr">
        <is>
          <t>Parkd Ltd</t>
        </is>
      </c>
      <c r="J2257" t="inlineStr">
        <is>
          <t>AUD</t>
        </is>
      </c>
      <c r="K2257" s="5" t="inlineStr">
        <is>
          <t>01a1212c-4c04-75ce-bbb2-e3322e18816e</t>
        </is>
      </c>
      <c r="M2257" t="inlineStr">
        <is>
          <t>UNKNOWN</t>
        </is>
      </c>
      <c r="N2257" t="inlineStr">
        <is>
          <t>DEFAULT</t>
        </is>
      </c>
      <c r="Q2257" t="n">
        <v>0</v>
      </c>
      <c r="R2257" t="inlineStr">
        <is>
          <t>AUD</t>
        </is>
      </c>
      <c r="S2257" t="n">
        <v>0</v>
      </c>
      <c r="T2257" t="inlineStr">
        <is>
          <t>AUD</t>
        </is>
      </c>
      <c r="U2257" t="n">
        <v>0</v>
      </c>
    </row>
    <row r="2258">
      <c r="A2258" s="5" t="inlineStr">
        <is>
          <t>01a1212c-66e1-74a0-9b7d-5b0f587199ea</t>
        </is>
      </c>
      <c r="C2258" s="5" t="inlineStr">
        <is>
          <t>01a1212c-4b57-70cf-80fd-c2192cb3bf81</t>
        </is>
      </c>
      <c r="D2258" s="4" t="n">
        <v>46304.62407964955</v>
      </c>
      <c r="E2258" s="4" t="n">
        <v>46304.62407964964</v>
      </c>
      <c r="F2258" t="b">
        <v>1</v>
      </c>
      <c r="G2258" t="n">
        <v/>
      </c>
      <c r="H2258" t="inlineStr">
        <is>
          <t>CZN</t>
        </is>
      </c>
      <c r="I2258" t="inlineStr">
        <is>
          <t>Corazon Mining Ltd</t>
        </is>
      </c>
      <c r="J2258" t="inlineStr">
        <is>
          <t>AUD</t>
        </is>
      </c>
      <c r="K2258" s="5" t="inlineStr">
        <is>
          <t>01a1212c-4c04-75ce-bbb2-e3322e18816e</t>
        </is>
      </c>
      <c r="M2258" t="inlineStr">
        <is>
          <t>UNKNOWN</t>
        </is>
      </c>
      <c r="N2258" t="inlineStr">
        <is>
          <t>DEFAULT</t>
        </is>
      </c>
      <c r="Q2258" t="n">
        <v>0</v>
      </c>
      <c r="R2258" t="inlineStr">
        <is>
          <t>AUD</t>
        </is>
      </c>
      <c r="S2258" t="n">
        <v>0</v>
      </c>
      <c r="T2258" t="inlineStr">
        <is>
          <t>AUD</t>
        </is>
      </c>
      <c r="U2258" t="n">
        <v>0</v>
      </c>
    </row>
    <row r="2259">
      <c r="A2259" s="5" t="inlineStr">
        <is>
          <t>01a1212c-66e4-7562-8d72-472d4aacba9c</t>
        </is>
      </c>
      <c r="C2259" s="5" t="inlineStr">
        <is>
          <t>01a1212c-4b57-70cf-80fd-c2192cb3bf81</t>
        </is>
      </c>
      <c r="D2259" s="4" t="n">
        <v>46304.62407968129</v>
      </c>
      <c r="E2259" s="4" t="n">
        <v>46304.62407968137</v>
      </c>
      <c r="F2259" t="b">
        <v>1</v>
      </c>
      <c r="G2259" t="n">
        <v/>
      </c>
      <c r="H2259" t="inlineStr">
        <is>
          <t>ABE</t>
        </is>
      </c>
      <c r="I2259" t="inlineStr">
        <is>
          <t>Australian Bond Exchange Holdings Ltd</t>
        </is>
      </c>
      <c r="J2259" t="inlineStr">
        <is>
          <t>AUD</t>
        </is>
      </c>
      <c r="K2259" s="5" t="inlineStr">
        <is>
          <t>01a1212c-4c04-75ce-bbb2-e3322e18816e</t>
        </is>
      </c>
      <c r="M2259" t="inlineStr">
        <is>
          <t>UNKNOWN</t>
        </is>
      </c>
      <c r="N2259" t="inlineStr">
        <is>
          <t>DEFAULT</t>
        </is>
      </c>
      <c r="Q2259" t="n">
        <v>0</v>
      </c>
      <c r="R2259" t="inlineStr">
        <is>
          <t>AUD</t>
        </is>
      </c>
      <c r="S2259" t="n">
        <v>0</v>
      </c>
      <c r="T2259" t="inlineStr">
        <is>
          <t>AUD</t>
        </is>
      </c>
      <c r="U2259" t="n">
        <v>0</v>
      </c>
    </row>
    <row r="2260">
      <c r="A2260" s="5" t="inlineStr">
        <is>
          <t>01a1212c-66e7-76d6-a430-69f15e125ed6</t>
        </is>
      </c>
      <c r="C2260" s="5" t="inlineStr">
        <is>
          <t>01a1212c-4b57-70cf-80fd-c2192cb3bf81</t>
        </is>
      </c>
      <c r="D2260" s="4" t="n">
        <v>46304.62407971516</v>
      </c>
      <c r="E2260" s="4" t="n">
        <v>46304.62407971524</v>
      </c>
      <c r="F2260" t="b">
        <v>1</v>
      </c>
      <c r="G2260" t="n">
        <v/>
      </c>
      <c r="H2260" t="inlineStr">
        <is>
          <t>VIP</t>
        </is>
      </c>
      <c r="I2260" t="inlineStr">
        <is>
          <t>VIP Gloves Ltd</t>
        </is>
      </c>
      <c r="J2260" t="inlineStr">
        <is>
          <t>AUD</t>
        </is>
      </c>
      <c r="K2260" s="5" t="inlineStr">
        <is>
          <t>01a1212c-4c04-75ce-bbb2-e3322e18816e</t>
        </is>
      </c>
      <c r="M2260" t="inlineStr">
        <is>
          <t>UNKNOWN</t>
        </is>
      </c>
      <c r="N2260" t="inlineStr">
        <is>
          <t>DEFAULT</t>
        </is>
      </c>
      <c r="Q2260" t="n">
        <v>0</v>
      </c>
      <c r="R2260" t="inlineStr">
        <is>
          <t>AUD</t>
        </is>
      </c>
      <c r="S2260" t="n">
        <v>0</v>
      </c>
      <c r="T2260" t="inlineStr">
        <is>
          <t>AUD</t>
        </is>
      </c>
      <c r="U2260" t="n">
        <v>0</v>
      </c>
    </row>
    <row r="2261">
      <c r="A2261" s="5" t="inlineStr">
        <is>
          <t>01a1212c-66ea-7174-8af2-b65e0f659330</t>
        </is>
      </c>
      <c r="C2261" s="5" t="inlineStr">
        <is>
          <t>01a1212c-4b57-70cf-80fd-c2192cb3bf81</t>
        </is>
      </c>
      <c r="D2261" s="4" t="n">
        <v>46304.62407974675</v>
      </c>
      <c r="E2261" s="4" t="n">
        <v>46304.62407974683</v>
      </c>
      <c r="F2261" t="b">
        <v>1</v>
      </c>
      <c r="G2261" t="n">
        <v/>
      </c>
      <c r="H2261" t="inlineStr">
        <is>
          <t>AM7</t>
        </is>
      </c>
      <c r="I2261" t="inlineStr">
        <is>
          <t>Arcadia Minerals Ltd</t>
        </is>
      </c>
      <c r="J2261" t="inlineStr">
        <is>
          <t>AUD</t>
        </is>
      </c>
      <c r="K2261" s="5" t="inlineStr">
        <is>
          <t>01a1212c-4c04-75ce-bbb2-e3322e18816e</t>
        </is>
      </c>
      <c r="M2261" t="inlineStr">
        <is>
          <t>UNKNOWN</t>
        </is>
      </c>
      <c r="N2261" t="inlineStr">
        <is>
          <t>DEFAULT</t>
        </is>
      </c>
      <c r="Q2261" t="n">
        <v>0</v>
      </c>
      <c r="R2261" t="inlineStr">
        <is>
          <t>AUD</t>
        </is>
      </c>
      <c r="S2261" t="n">
        <v>0</v>
      </c>
      <c r="T2261" t="inlineStr">
        <is>
          <t>AUD</t>
        </is>
      </c>
      <c r="U2261" t="n">
        <v>0</v>
      </c>
    </row>
    <row r="2262">
      <c r="A2262" s="5" t="inlineStr">
        <is>
          <t>01a1212c-66ec-76b1-a500-81b0a6dbf52c</t>
        </is>
      </c>
      <c r="C2262" s="5" t="inlineStr">
        <is>
          <t>01a1212c-4b57-70cf-80fd-c2192cb3bf81</t>
        </is>
      </c>
      <c r="D2262" s="4" t="n">
        <v>46304.62407977861</v>
      </c>
      <c r="E2262" s="4" t="n">
        <v>46304.62407977869</v>
      </c>
      <c r="F2262" t="b">
        <v>1</v>
      </c>
      <c r="G2262" t="n">
        <v/>
      </c>
      <c r="H2262" t="inlineStr">
        <is>
          <t>OEQ</t>
        </is>
      </c>
      <c r="I2262" t="inlineStr">
        <is>
          <t>Orion Equities Ltd</t>
        </is>
      </c>
      <c r="J2262" t="inlineStr">
        <is>
          <t>AUD</t>
        </is>
      </c>
      <c r="K2262" s="5" t="inlineStr">
        <is>
          <t>01a1212c-4c04-75ce-bbb2-e3322e18816e</t>
        </is>
      </c>
      <c r="M2262" t="inlineStr">
        <is>
          <t>UNKNOWN</t>
        </is>
      </c>
      <c r="N2262" t="inlineStr">
        <is>
          <t>DEFAULT</t>
        </is>
      </c>
      <c r="Q2262" t="n">
        <v>0</v>
      </c>
      <c r="R2262" t="inlineStr">
        <is>
          <t>AUD</t>
        </is>
      </c>
      <c r="S2262" t="n">
        <v>0</v>
      </c>
      <c r="T2262" t="inlineStr">
        <is>
          <t>AUD</t>
        </is>
      </c>
      <c r="U2262" t="n">
        <v>0</v>
      </c>
    </row>
    <row r="2263">
      <c r="A2263" s="5" t="inlineStr">
        <is>
          <t>01a1212c-66ef-7025-b9e1-6e0fc047848e</t>
        </is>
      </c>
      <c r="C2263" s="5" t="inlineStr">
        <is>
          <t>01a1212c-4b57-70cf-80fd-c2192cb3bf81</t>
        </is>
      </c>
      <c r="D2263" s="4" t="n">
        <v>46304.62407980983</v>
      </c>
      <c r="E2263" s="4" t="n">
        <v>46304.62407980991</v>
      </c>
      <c r="F2263" t="b">
        <v>1</v>
      </c>
      <c r="G2263" t="n">
        <v/>
      </c>
      <c r="H2263" t="inlineStr">
        <is>
          <t>MRD</t>
        </is>
      </c>
      <c r="I2263" t="inlineStr">
        <is>
          <t>Mount Ridley Mines Ltd</t>
        </is>
      </c>
      <c r="J2263" t="inlineStr">
        <is>
          <t>AUD</t>
        </is>
      </c>
      <c r="K2263" s="5" t="inlineStr">
        <is>
          <t>01a1212c-4c04-75ce-bbb2-e3322e18816e</t>
        </is>
      </c>
      <c r="M2263" t="inlineStr">
        <is>
          <t>UNKNOWN</t>
        </is>
      </c>
      <c r="N2263" t="inlineStr">
        <is>
          <t>DEFAULT</t>
        </is>
      </c>
      <c r="Q2263" t="n">
        <v>0</v>
      </c>
      <c r="R2263" t="inlineStr">
        <is>
          <t>AUD</t>
        </is>
      </c>
      <c r="S2263" t="n">
        <v>0</v>
      </c>
      <c r="T2263" t="inlineStr">
        <is>
          <t>AUD</t>
        </is>
      </c>
      <c r="U2263" t="n">
        <v>0</v>
      </c>
    </row>
    <row r="2264">
      <c r="A2264" s="5" t="inlineStr">
        <is>
          <t>01a1212c-66f2-7133-af49-15bd0fcbaffe</t>
        </is>
      </c>
      <c r="C2264" s="5" t="inlineStr">
        <is>
          <t>01a1212c-4b57-70cf-80fd-c2192cb3bf81</t>
        </is>
      </c>
      <c r="D2264" s="4" t="n">
        <v>46304.62407984414</v>
      </c>
      <c r="E2264" s="4" t="n">
        <v>46304.62407984422</v>
      </c>
      <c r="F2264" t="b">
        <v>1</v>
      </c>
      <c r="G2264" t="n">
        <v/>
      </c>
      <c r="H2264" t="inlineStr">
        <is>
          <t>RLC</t>
        </is>
      </c>
      <c r="I2264" t="inlineStr">
        <is>
          <t>Reedy Lagoon Corporation Ltd</t>
        </is>
      </c>
      <c r="J2264" t="inlineStr">
        <is>
          <t>AUD</t>
        </is>
      </c>
      <c r="K2264" s="5" t="inlineStr">
        <is>
          <t>01a1212c-4c04-75ce-bbb2-e3322e18816e</t>
        </is>
      </c>
      <c r="M2264" t="inlineStr">
        <is>
          <t>UNKNOWN</t>
        </is>
      </c>
      <c r="N2264" t="inlineStr">
        <is>
          <t>DEFAULT</t>
        </is>
      </c>
      <c r="Q2264" t="n">
        <v>0</v>
      </c>
      <c r="R2264" t="inlineStr">
        <is>
          <t>AUD</t>
        </is>
      </c>
      <c r="S2264" t="n">
        <v>0</v>
      </c>
      <c r="T2264" t="inlineStr">
        <is>
          <t>AUD</t>
        </is>
      </c>
      <c r="U2264" t="n">
        <v>0</v>
      </c>
    </row>
    <row r="2265">
      <c r="A2265" s="5" t="inlineStr">
        <is>
          <t>01a1212c-66f5-7672-bb75-064428dcce7e</t>
        </is>
      </c>
      <c r="C2265" s="5" t="inlineStr">
        <is>
          <t>01a1212c-4b57-70cf-80fd-c2192cb3bf81</t>
        </is>
      </c>
      <c r="D2265" s="4" t="n">
        <v>46304.62407987522</v>
      </c>
      <c r="E2265" s="4" t="n">
        <v>46304.6240798753</v>
      </c>
      <c r="F2265" t="b">
        <v>1</v>
      </c>
      <c r="G2265" t="n">
        <v/>
      </c>
      <c r="H2265" t="inlineStr">
        <is>
          <t>GNM</t>
        </is>
      </c>
      <c r="I2265" t="inlineStr">
        <is>
          <t>Great Northern Minerals Ltd</t>
        </is>
      </c>
      <c r="J2265" t="inlineStr">
        <is>
          <t>AUD</t>
        </is>
      </c>
      <c r="K2265" s="5" t="inlineStr">
        <is>
          <t>01a1212c-4c04-75ce-bbb2-e3322e18816e</t>
        </is>
      </c>
      <c r="M2265" t="inlineStr">
        <is>
          <t>UNKNOWN</t>
        </is>
      </c>
      <c r="N2265" t="inlineStr">
        <is>
          <t>DEFAULT</t>
        </is>
      </c>
      <c r="Q2265" t="n">
        <v>0</v>
      </c>
      <c r="R2265" t="inlineStr">
        <is>
          <t>AUD</t>
        </is>
      </c>
      <c r="S2265" t="n">
        <v>0</v>
      </c>
      <c r="T2265" t="inlineStr">
        <is>
          <t>AUD</t>
        </is>
      </c>
      <c r="U2265" t="n">
        <v>0</v>
      </c>
    </row>
    <row r="2266">
      <c r="A2266" s="5" t="inlineStr">
        <is>
          <t>01a1212c-66f7-7329-b878-8e07a6192bb3</t>
        </is>
      </c>
      <c r="C2266" s="5" t="inlineStr">
        <is>
          <t>01a1212c-4b57-70cf-80fd-c2192cb3bf81</t>
        </is>
      </c>
      <c r="D2266" s="4" t="n">
        <v>46304.62407990729</v>
      </c>
      <c r="E2266" s="4" t="n">
        <v>46304.62407990736</v>
      </c>
      <c r="F2266" t="b">
        <v>1</v>
      </c>
      <c r="G2266" t="n">
        <v/>
      </c>
      <c r="H2266" t="inlineStr">
        <is>
          <t>AKN</t>
        </is>
      </c>
      <c r="I2266" t="inlineStr">
        <is>
          <t>Auking Mining Ltd</t>
        </is>
      </c>
      <c r="J2266" t="inlineStr">
        <is>
          <t>AUD</t>
        </is>
      </c>
      <c r="K2266" s="5" t="inlineStr">
        <is>
          <t>01a1212c-4c04-75ce-bbb2-e3322e18816e</t>
        </is>
      </c>
      <c r="M2266" t="inlineStr">
        <is>
          <t>UNKNOWN</t>
        </is>
      </c>
      <c r="N2266" t="inlineStr">
        <is>
          <t>DEFAULT</t>
        </is>
      </c>
      <c r="Q2266" t="n">
        <v>0</v>
      </c>
      <c r="R2266" t="inlineStr">
        <is>
          <t>AUD</t>
        </is>
      </c>
      <c r="S2266" t="n">
        <v>0</v>
      </c>
      <c r="T2266" t="inlineStr">
        <is>
          <t>AUD</t>
        </is>
      </c>
      <c r="U2266" t="n">
        <v>0</v>
      </c>
    </row>
    <row r="2267">
      <c r="A2267" s="5" t="inlineStr">
        <is>
          <t>01a1212c-66fa-7319-be7d-b913ff51a8e1</t>
        </is>
      </c>
      <c r="C2267" s="5" t="inlineStr">
        <is>
          <t>01a1212c-4b57-70cf-80fd-c2192cb3bf81</t>
        </is>
      </c>
      <c r="D2267" s="4" t="n">
        <v>46304.62407993901</v>
      </c>
      <c r="E2267" s="4" t="n">
        <v>46304.62407993909</v>
      </c>
      <c r="F2267" t="b">
        <v>1</v>
      </c>
      <c r="G2267" t="n">
        <v/>
      </c>
      <c r="H2267" t="inlineStr">
        <is>
          <t>CYQ</t>
        </is>
      </c>
      <c r="I2267" t="inlineStr">
        <is>
          <t>CYCLIQ Group Ltd</t>
        </is>
      </c>
      <c r="J2267" t="inlineStr">
        <is>
          <t>AUD</t>
        </is>
      </c>
      <c r="K2267" s="5" t="inlineStr">
        <is>
          <t>01a1212c-4c04-75ce-bbb2-e3322e18816e</t>
        </is>
      </c>
      <c r="M2267" t="inlineStr">
        <is>
          <t>UNKNOWN</t>
        </is>
      </c>
      <c r="N2267" t="inlineStr">
        <is>
          <t>DEFAULT</t>
        </is>
      </c>
      <c r="Q2267" t="n">
        <v>0</v>
      </c>
      <c r="R2267" t="inlineStr">
        <is>
          <t>AUD</t>
        </is>
      </c>
      <c r="S2267" t="n">
        <v>0</v>
      </c>
      <c r="T2267" t="inlineStr">
        <is>
          <t>AUD</t>
        </is>
      </c>
      <c r="U2267" t="n">
        <v>0</v>
      </c>
    </row>
    <row r="2268">
      <c r="A2268" s="5" t="inlineStr">
        <is>
          <t>01a1212c-66fd-7351-af0c-0be7bac38ee8</t>
        </is>
      </c>
      <c r="C2268" s="5" t="inlineStr">
        <is>
          <t>01a1212c-4b57-70cf-80fd-c2192cb3bf81</t>
        </is>
      </c>
      <c r="D2268" s="4" t="n">
        <v>46304.62407997344</v>
      </c>
      <c r="E2268" s="4" t="n">
        <v>46304.62407997352</v>
      </c>
      <c r="F2268" t="b">
        <v>1</v>
      </c>
      <c r="G2268" t="n">
        <v/>
      </c>
      <c r="H2268" t="inlineStr">
        <is>
          <t>IEAT</t>
        </is>
      </c>
      <c r="I2268" t="inlineStr">
        <is>
          <t>Betashares Future of Food ETF</t>
        </is>
      </c>
      <c r="J2268" t="inlineStr">
        <is>
          <t>AUD</t>
        </is>
      </c>
      <c r="K2268" s="5" t="inlineStr">
        <is>
          <t>01a1212c-4c04-75ce-bbb2-e3322e18816e</t>
        </is>
      </c>
      <c r="M2268" t="inlineStr">
        <is>
          <t>UNKNOWN</t>
        </is>
      </c>
      <c r="N2268" t="inlineStr">
        <is>
          <t>DEFAULT</t>
        </is>
      </c>
      <c r="Q2268" t="n">
        <v>0</v>
      </c>
      <c r="R2268" t="inlineStr">
        <is>
          <t>AUD</t>
        </is>
      </c>
      <c r="S2268" t="n">
        <v>0</v>
      </c>
      <c r="T2268" t="inlineStr">
        <is>
          <t>AUD</t>
        </is>
      </c>
      <c r="U2268" t="n">
        <v>0</v>
      </c>
    </row>
    <row r="2269">
      <c r="A2269" s="5" t="inlineStr">
        <is>
          <t>01a1212c-6700-7089-97a7-555cfd76a091</t>
        </is>
      </c>
      <c r="C2269" s="5" t="inlineStr">
        <is>
          <t>01a1212c-4b57-70cf-80fd-c2192cb3bf81</t>
        </is>
      </c>
      <c r="D2269" s="4" t="n">
        <v>46304.62408001092</v>
      </c>
      <c r="E2269" s="4" t="n">
        <v>46304.62408001101</v>
      </c>
      <c r="F2269" t="b">
        <v>1</v>
      </c>
      <c r="G2269" t="n">
        <v/>
      </c>
      <c r="H2269" t="inlineStr">
        <is>
          <t>GGFD</t>
        </is>
      </c>
      <c r="I2269" t="inlineStr">
        <is>
          <t>Betashares Geared Long US TR Bond CH (Hedge Fund)</t>
        </is>
      </c>
      <c r="J2269" t="inlineStr">
        <is>
          <t>AUD</t>
        </is>
      </c>
      <c r="K2269" s="5" t="inlineStr">
        <is>
          <t>01a1212c-4c04-75ce-bbb2-e3322e18816e</t>
        </is>
      </c>
      <c r="M2269" t="inlineStr">
        <is>
          <t>UNKNOWN</t>
        </is>
      </c>
      <c r="N2269" t="inlineStr">
        <is>
          <t>DEFAULT</t>
        </is>
      </c>
      <c r="Q2269" t="n">
        <v>0</v>
      </c>
      <c r="R2269" t="inlineStr">
        <is>
          <t>AUD</t>
        </is>
      </c>
      <c r="S2269" t="n">
        <v>0</v>
      </c>
      <c r="T2269" t="inlineStr">
        <is>
          <t>AUD</t>
        </is>
      </c>
      <c r="U2269" t="n">
        <v>0</v>
      </c>
    </row>
    <row r="2270">
      <c r="A2270" s="5" t="inlineStr">
        <is>
          <t>01a1212c-6703-70b7-8815-9a7dd24c2152</t>
        </is>
      </c>
      <c r="C2270" s="5" t="inlineStr">
        <is>
          <t>01a1212c-4b57-70cf-80fd-c2192cb3bf81</t>
        </is>
      </c>
      <c r="D2270" s="4" t="n">
        <v>46304.62408004387</v>
      </c>
      <c r="E2270" s="4" t="n">
        <v>46304.62408004396</v>
      </c>
      <c r="F2270" t="b">
        <v>1</v>
      </c>
      <c r="G2270" t="n">
        <v/>
      </c>
      <c r="H2270" t="inlineStr">
        <is>
          <t>GSM</t>
        </is>
      </c>
      <c r="I2270" t="inlineStr">
        <is>
          <t>Golden State Mining Ltd</t>
        </is>
      </c>
      <c r="J2270" t="inlineStr">
        <is>
          <t>AUD</t>
        </is>
      </c>
      <c r="K2270" s="5" t="inlineStr">
        <is>
          <t>01a1212c-4c04-75ce-bbb2-e3322e18816e</t>
        </is>
      </c>
      <c r="M2270" t="inlineStr">
        <is>
          <t>UNKNOWN</t>
        </is>
      </c>
      <c r="N2270" t="inlineStr">
        <is>
          <t>DEFAULT</t>
        </is>
      </c>
      <c r="Q2270" t="n">
        <v>0</v>
      </c>
      <c r="R2270" t="inlineStr">
        <is>
          <t>AUD</t>
        </is>
      </c>
      <c r="S2270" t="n">
        <v>0</v>
      </c>
      <c r="T2270" t="inlineStr">
        <is>
          <t>AUD</t>
        </is>
      </c>
      <c r="U2270" t="n">
        <v>0</v>
      </c>
    </row>
    <row r="2271">
      <c r="A2271" s="5" t="inlineStr">
        <is>
          <t>01a1212c-6706-77c5-b2e0-f7194c442547</t>
        </is>
      </c>
      <c r="C2271" s="5" t="inlineStr">
        <is>
          <t>01a1212c-4b57-70cf-80fd-c2192cb3bf81</t>
        </is>
      </c>
      <c r="D2271" s="4" t="n">
        <v>46304.62408007964</v>
      </c>
      <c r="E2271" s="4" t="n">
        <v>46304.62408007977</v>
      </c>
      <c r="F2271" t="b">
        <v>1</v>
      </c>
      <c r="G2271" t="n">
        <v/>
      </c>
      <c r="H2271" t="inlineStr">
        <is>
          <t>AAJ</t>
        </is>
      </c>
      <c r="I2271" t="inlineStr">
        <is>
          <t>Aruma Resources Ltd</t>
        </is>
      </c>
      <c r="J2271" t="inlineStr">
        <is>
          <t>AUD</t>
        </is>
      </c>
      <c r="K2271" s="5" t="inlineStr">
        <is>
          <t>01a1212c-4c04-75ce-bbb2-e3322e18816e</t>
        </is>
      </c>
      <c r="M2271" t="inlineStr">
        <is>
          <t>UNKNOWN</t>
        </is>
      </c>
      <c r="N2271" t="inlineStr">
        <is>
          <t>DEFAULT</t>
        </is>
      </c>
      <c r="Q2271" t="n">
        <v>0</v>
      </c>
      <c r="R2271" t="inlineStr">
        <is>
          <t>AUD</t>
        </is>
      </c>
      <c r="S2271" t="n">
        <v>0</v>
      </c>
      <c r="T2271" t="inlineStr">
        <is>
          <t>AUD</t>
        </is>
      </c>
      <c r="U2271" t="n">
        <v>0</v>
      </c>
    </row>
    <row r="2272">
      <c r="A2272" s="5" t="inlineStr">
        <is>
          <t>01a1212c-670b-71cb-bfd8-d78715b38cd8</t>
        </is>
      </c>
      <c r="C2272" s="5" t="inlineStr">
        <is>
          <t>01a1212c-4b57-70cf-80fd-c2192cb3bf81</t>
        </is>
      </c>
      <c r="D2272" s="4" t="n">
        <v>46304.62408012994</v>
      </c>
      <c r="E2272" s="4" t="n">
        <v>46304.62408013012</v>
      </c>
      <c r="F2272" t="b">
        <v>1</v>
      </c>
      <c r="G2272" t="n">
        <v/>
      </c>
      <c r="H2272" t="inlineStr">
        <is>
          <t>BSN</t>
        </is>
      </c>
      <c r="I2272" t="inlineStr">
        <is>
          <t>Basin Energy Ltd</t>
        </is>
      </c>
      <c r="J2272" t="inlineStr">
        <is>
          <t>AUD</t>
        </is>
      </c>
      <c r="K2272" s="5" t="inlineStr">
        <is>
          <t>01a1212c-4c04-75ce-bbb2-e3322e18816e</t>
        </is>
      </c>
      <c r="M2272" t="inlineStr">
        <is>
          <t>UNKNOWN</t>
        </is>
      </c>
      <c r="N2272" t="inlineStr">
        <is>
          <t>DEFAULT</t>
        </is>
      </c>
      <c r="Q2272" t="n">
        <v>0</v>
      </c>
      <c r="R2272" t="inlineStr">
        <is>
          <t>AUD</t>
        </is>
      </c>
      <c r="S2272" t="n">
        <v>0</v>
      </c>
      <c r="T2272" t="inlineStr">
        <is>
          <t>AUD</t>
        </is>
      </c>
      <c r="U2272" t="n">
        <v>0</v>
      </c>
    </row>
    <row r="2273">
      <c r="A2273" s="5" t="inlineStr">
        <is>
          <t>01a1212c-6710-7315-ab98-fbb0c24e4b8f</t>
        </is>
      </c>
      <c r="C2273" s="5" t="inlineStr">
        <is>
          <t>01a1212c-4b57-70cf-80fd-c2192cb3bf81</t>
        </is>
      </c>
      <c r="D2273" s="4" t="n">
        <v>46304.6240801946</v>
      </c>
      <c r="E2273" s="4" t="n">
        <v>46304.62408019479</v>
      </c>
      <c r="F2273" t="b">
        <v>1</v>
      </c>
      <c r="G2273" t="n">
        <v/>
      </c>
      <c r="H2273" t="inlineStr">
        <is>
          <t>CRB</t>
        </is>
      </c>
      <c r="I2273" t="inlineStr">
        <is>
          <t>Carbine Resources Ltd</t>
        </is>
      </c>
      <c r="J2273" t="inlineStr">
        <is>
          <t>AUD</t>
        </is>
      </c>
      <c r="K2273" s="5" t="inlineStr">
        <is>
          <t>01a1212c-4c04-75ce-bbb2-e3322e18816e</t>
        </is>
      </c>
      <c r="M2273" t="inlineStr">
        <is>
          <t>UNKNOWN</t>
        </is>
      </c>
      <c r="N2273" t="inlineStr">
        <is>
          <t>DEFAULT</t>
        </is>
      </c>
      <c r="Q2273" t="n">
        <v>0</v>
      </c>
      <c r="R2273" t="inlineStr">
        <is>
          <t>AUD</t>
        </is>
      </c>
      <c r="S2273" t="n">
        <v>0</v>
      </c>
      <c r="T2273" t="inlineStr">
        <is>
          <t>AUD</t>
        </is>
      </c>
      <c r="U2273" t="n">
        <v>0</v>
      </c>
    </row>
    <row r="2274">
      <c r="A2274" s="5" t="inlineStr">
        <is>
          <t>01a1212c-6714-71fa-9687-0f21bc9eb124</t>
        </is>
      </c>
      <c r="C2274" s="5" t="inlineStr">
        <is>
          <t>01a1212c-4b57-70cf-80fd-c2192cb3bf81</t>
        </is>
      </c>
      <c r="D2274" s="4" t="n">
        <v>46304.62408024068</v>
      </c>
      <c r="E2274" s="4" t="n">
        <v>46304.62408024081</v>
      </c>
      <c r="F2274" t="b">
        <v>1</v>
      </c>
      <c r="G2274" t="n">
        <v/>
      </c>
      <c r="H2274" t="inlineStr">
        <is>
          <t>GCR</t>
        </is>
      </c>
      <c r="I2274" t="inlineStr">
        <is>
          <t>Golden Cross Resources Ltd</t>
        </is>
      </c>
      <c r="J2274" t="inlineStr">
        <is>
          <t>AUD</t>
        </is>
      </c>
      <c r="K2274" s="5" t="inlineStr">
        <is>
          <t>01a1212c-4c04-75ce-bbb2-e3322e18816e</t>
        </is>
      </c>
      <c r="M2274" t="inlineStr">
        <is>
          <t>UNKNOWN</t>
        </is>
      </c>
      <c r="N2274" t="inlineStr">
        <is>
          <t>DEFAULT</t>
        </is>
      </c>
      <c r="Q2274" t="n">
        <v>0</v>
      </c>
      <c r="R2274" t="inlineStr">
        <is>
          <t>AUD</t>
        </is>
      </c>
      <c r="S2274" t="n">
        <v>0</v>
      </c>
      <c r="T2274" t="inlineStr">
        <is>
          <t>AUD</t>
        </is>
      </c>
      <c r="U2274" t="n">
        <v>0</v>
      </c>
    </row>
    <row r="2275">
      <c r="A2275" s="5" t="inlineStr">
        <is>
          <t>01a1212c-6719-72b6-8339-bd79d5f95936</t>
        </is>
      </c>
      <c r="C2275" s="5" t="inlineStr">
        <is>
          <t>01a1212c-4b57-70cf-80fd-c2192cb3bf81</t>
        </is>
      </c>
      <c r="D2275" s="4" t="n">
        <v>46304.62408029329</v>
      </c>
      <c r="E2275" s="4" t="n">
        <v>46304.62408029346</v>
      </c>
      <c r="F2275" t="b">
        <v>1</v>
      </c>
      <c r="G2275" t="n">
        <v/>
      </c>
      <c r="H2275" t="inlineStr">
        <is>
          <t>AOA</t>
        </is>
      </c>
      <c r="I2275" t="inlineStr">
        <is>
          <t>Ausmon Resources Ltd</t>
        </is>
      </c>
      <c r="J2275" t="inlineStr">
        <is>
          <t>AUD</t>
        </is>
      </c>
      <c r="K2275" s="5" t="inlineStr">
        <is>
          <t>01a1212c-4c04-75ce-bbb2-e3322e18816e</t>
        </is>
      </c>
      <c r="M2275" t="inlineStr">
        <is>
          <t>UNKNOWN</t>
        </is>
      </c>
      <c r="N2275" t="inlineStr">
        <is>
          <t>DEFAULT</t>
        </is>
      </c>
      <c r="Q2275" t="n">
        <v>0</v>
      </c>
      <c r="R2275" t="inlineStr">
        <is>
          <t>AUD</t>
        </is>
      </c>
      <c r="S2275" t="n">
        <v>0</v>
      </c>
      <c r="T2275" t="inlineStr">
        <is>
          <t>AUD</t>
        </is>
      </c>
      <c r="U2275" t="n">
        <v>0</v>
      </c>
    </row>
    <row r="2276">
      <c r="A2276" s="5" t="inlineStr">
        <is>
          <t>01a1212c-671d-73f4-ad36-c937910958d1</t>
        </is>
      </c>
      <c r="C2276" s="5" t="inlineStr">
        <is>
          <t>01a1212c-4b57-70cf-80fd-c2192cb3bf81</t>
        </is>
      </c>
      <c r="D2276" s="4" t="n">
        <v>46304.6240803472</v>
      </c>
      <c r="E2276" s="4" t="n">
        <v>46304.62408034741</v>
      </c>
      <c r="F2276" t="b">
        <v>1</v>
      </c>
      <c r="G2276" t="n">
        <v/>
      </c>
      <c r="H2276" t="inlineStr">
        <is>
          <t>HXL</t>
        </is>
      </c>
      <c r="I2276" t="inlineStr">
        <is>
          <t>Hexima Ltd</t>
        </is>
      </c>
      <c r="J2276" t="inlineStr">
        <is>
          <t>AUD</t>
        </is>
      </c>
      <c r="K2276" s="5" t="inlineStr">
        <is>
          <t>01a1212c-4c04-75ce-bbb2-e3322e18816e</t>
        </is>
      </c>
      <c r="M2276" t="inlineStr">
        <is>
          <t>UNKNOWN</t>
        </is>
      </c>
      <c r="N2276" t="inlineStr">
        <is>
          <t>DEFAULT</t>
        </is>
      </c>
      <c r="Q2276" t="n">
        <v>0</v>
      </c>
      <c r="R2276" t="inlineStr">
        <is>
          <t>AUD</t>
        </is>
      </c>
      <c r="S2276" t="n">
        <v>0</v>
      </c>
      <c r="T2276" t="inlineStr">
        <is>
          <t>AUD</t>
        </is>
      </c>
      <c r="U2276" t="n">
        <v>0</v>
      </c>
    </row>
    <row r="2277">
      <c r="A2277" s="5" t="inlineStr">
        <is>
          <t>01a1212c-6721-728f-9410-832aad1775a7</t>
        </is>
      </c>
      <c r="C2277" s="5" t="inlineStr">
        <is>
          <t>01a1212c-4b57-70cf-80fd-c2192cb3bf81</t>
        </is>
      </c>
      <c r="D2277" s="4" t="n">
        <v>46304.62408039426</v>
      </c>
      <c r="E2277" s="4" t="n">
        <v>46304.62408039439</v>
      </c>
      <c r="F2277" t="b">
        <v>1</v>
      </c>
      <c r="G2277" t="n">
        <v/>
      </c>
      <c r="H2277" t="inlineStr">
        <is>
          <t>CNJ</t>
        </is>
      </c>
      <c r="I2277" t="inlineStr">
        <is>
          <t>Conico Ltd</t>
        </is>
      </c>
      <c r="J2277" t="inlineStr">
        <is>
          <t>AUD</t>
        </is>
      </c>
      <c r="K2277" s="5" t="inlineStr">
        <is>
          <t>01a1212c-4c04-75ce-bbb2-e3322e18816e</t>
        </is>
      </c>
      <c r="M2277" t="inlineStr">
        <is>
          <t>UNKNOWN</t>
        </is>
      </c>
      <c r="N2277" t="inlineStr">
        <is>
          <t>DEFAULT</t>
        </is>
      </c>
      <c r="Q2277" t="n">
        <v>0</v>
      </c>
      <c r="R2277" t="inlineStr">
        <is>
          <t>AUD</t>
        </is>
      </c>
      <c r="S2277" t="n">
        <v>0</v>
      </c>
      <c r="T2277" t="inlineStr">
        <is>
          <t>AUD</t>
        </is>
      </c>
      <c r="U2277" t="n">
        <v>0</v>
      </c>
    </row>
    <row r="2278">
      <c r="A2278" s="5" t="inlineStr">
        <is>
          <t>01a1212c-6725-759e-9f60-842da8434005</t>
        </is>
      </c>
      <c r="C2278" s="5" t="inlineStr">
        <is>
          <t>01a1212c-4b57-70cf-80fd-c2192cb3bf81</t>
        </is>
      </c>
      <c r="D2278" s="4" t="n">
        <v>46304.62408043833</v>
      </c>
      <c r="E2278" s="4" t="n">
        <v>46304.62408043846</v>
      </c>
      <c r="F2278" t="b">
        <v>1</v>
      </c>
      <c r="G2278" t="n">
        <v/>
      </c>
      <c r="H2278" t="inlineStr">
        <is>
          <t>TKL</t>
        </is>
      </c>
      <c r="I2278" t="inlineStr">
        <is>
          <t>Traka Resources Ltd</t>
        </is>
      </c>
      <c r="J2278" t="inlineStr">
        <is>
          <t>AUD</t>
        </is>
      </c>
      <c r="K2278" s="5" t="inlineStr">
        <is>
          <t>01a1212c-4c04-75ce-bbb2-e3322e18816e</t>
        </is>
      </c>
      <c r="M2278" t="inlineStr">
        <is>
          <t>UNKNOWN</t>
        </is>
      </c>
      <c r="N2278" t="inlineStr">
        <is>
          <t>DEFAULT</t>
        </is>
      </c>
      <c r="Q2278" t="n">
        <v>0</v>
      </c>
      <c r="R2278" t="inlineStr">
        <is>
          <t>AUD</t>
        </is>
      </c>
      <c r="S2278" t="n">
        <v>0</v>
      </c>
      <c r="T2278" t="inlineStr">
        <is>
          <t>AUD</t>
        </is>
      </c>
      <c r="U2278" t="n">
        <v>0</v>
      </c>
    </row>
    <row r="2279">
      <c r="A2279" s="5" t="inlineStr">
        <is>
          <t>01a1212c-6729-7227-b65a-3490bc41d997</t>
        </is>
      </c>
      <c r="C2279" s="5" t="inlineStr">
        <is>
          <t>01a1212c-4b57-70cf-80fd-c2192cb3bf81</t>
        </is>
      </c>
      <c r="D2279" s="4" t="n">
        <v>46304.62408048451</v>
      </c>
      <c r="E2279" s="4" t="n">
        <v>46304.62408048463</v>
      </c>
      <c r="F2279" t="b">
        <v>1</v>
      </c>
      <c r="G2279" t="n">
        <v/>
      </c>
      <c r="H2279" t="inlineStr">
        <is>
          <t>SQX</t>
        </is>
      </c>
      <c r="I2279" t="inlineStr">
        <is>
          <t>SQX Resources Ltd</t>
        </is>
      </c>
      <c r="J2279" t="inlineStr">
        <is>
          <t>AUD</t>
        </is>
      </c>
      <c r="K2279" s="5" t="inlineStr">
        <is>
          <t>01a1212c-4c04-75ce-bbb2-e3322e18816e</t>
        </is>
      </c>
      <c r="M2279" t="inlineStr">
        <is>
          <t>UNKNOWN</t>
        </is>
      </c>
      <c r="N2279" t="inlineStr">
        <is>
          <t>DEFAULT</t>
        </is>
      </c>
      <c r="Q2279" t="n">
        <v>0</v>
      </c>
      <c r="R2279" t="inlineStr">
        <is>
          <t>AUD</t>
        </is>
      </c>
      <c r="S2279" t="n">
        <v>0</v>
      </c>
      <c r="T2279" t="inlineStr">
        <is>
          <t>AUD</t>
        </is>
      </c>
      <c r="U2279" t="n">
        <v>0</v>
      </c>
    </row>
    <row r="2280">
      <c r="A2280" s="5" t="inlineStr">
        <is>
          <t>01a1212c-672d-7423-b655-f2226acfe995</t>
        </is>
      </c>
      <c r="C2280" s="5" t="inlineStr">
        <is>
          <t>01a1212c-4b57-70cf-80fd-c2192cb3bf81</t>
        </is>
      </c>
      <c r="D2280" s="4" t="n">
        <v>46304.62408052418</v>
      </c>
      <c r="E2280" s="4" t="n">
        <v>46304.62408052429</v>
      </c>
      <c r="F2280" t="b">
        <v>1</v>
      </c>
      <c r="G2280" t="n">
        <v/>
      </c>
      <c r="H2280" t="inlineStr">
        <is>
          <t>GGAB</t>
        </is>
      </c>
      <c r="I2280" t="inlineStr">
        <is>
          <t>Betashares Geared Long Aus GOV Bond (Hedge Fund)</t>
        </is>
      </c>
      <c r="J2280" t="inlineStr">
        <is>
          <t>AUD</t>
        </is>
      </c>
      <c r="K2280" s="5" t="inlineStr">
        <is>
          <t>01a1212c-4c04-75ce-bbb2-e3322e18816e</t>
        </is>
      </c>
      <c r="M2280" t="inlineStr">
        <is>
          <t>UNKNOWN</t>
        </is>
      </c>
      <c r="N2280" t="inlineStr">
        <is>
          <t>DEFAULT</t>
        </is>
      </c>
      <c r="Q2280" t="n">
        <v>0</v>
      </c>
      <c r="R2280" t="inlineStr">
        <is>
          <t>AUD</t>
        </is>
      </c>
      <c r="S2280" t="n">
        <v>0</v>
      </c>
      <c r="T2280" t="inlineStr">
        <is>
          <t>AUD</t>
        </is>
      </c>
      <c r="U2280" t="n">
        <v>0</v>
      </c>
    </row>
    <row r="2281">
      <c r="A2281" s="5" t="inlineStr">
        <is>
          <t>01a1212c-6730-7407-8102-b67c3be3cac8</t>
        </is>
      </c>
      <c r="C2281" s="5" t="inlineStr">
        <is>
          <t>01a1212c-4b57-70cf-80fd-c2192cb3bf81</t>
        </is>
      </c>
      <c r="D2281" s="4" t="n">
        <v>46304.62408056195</v>
      </c>
      <c r="E2281" s="4" t="n">
        <v>46304.62408056206</v>
      </c>
      <c r="F2281" t="b">
        <v>1</v>
      </c>
      <c r="G2281" t="n">
        <v/>
      </c>
      <c r="H2281" t="inlineStr">
        <is>
          <t>MTB</t>
        </is>
      </c>
      <c r="I2281" t="inlineStr">
        <is>
          <t>Mount Burgess Mining NL</t>
        </is>
      </c>
      <c r="J2281" t="inlineStr">
        <is>
          <t>AUD</t>
        </is>
      </c>
      <c r="K2281" s="5" t="inlineStr">
        <is>
          <t>01a1212c-4c04-75ce-bbb2-e3322e18816e</t>
        </is>
      </c>
      <c r="M2281" t="inlineStr">
        <is>
          <t>UNKNOWN</t>
        </is>
      </c>
      <c r="N2281" t="inlineStr">
        <is>
          <t>DEFAULT</t>
        </is>
      </c>
      <c r="Q2281" t="n">
        <v>0</v>
      </c>
      <c r="R2281" t="inlineStr">
        <is>
          <t>AUD</t>
        </is>
      </c>
      <c r="S2281" t="n">
        <v>0</v>
      </c>
      <c r="T2281" t="inlineStr">
        <is>
          <t>AUD</t>
        </is>
      </c>
      <c r="U2281" t="n">
        <v>0</v>
      </c>
    </row>
    <row r="2282">
      <c r="A2282" s="5" t="inlineStr">
        <is>
          <t>01a1212c-6733-759e-84c4-2f390f109ddc</t>
        </is>
      </c>
      <c r="C2282" s="5" t="inlineStr">
        <is>
          <t>01a1212c-4b57-70cf-80fd-c2192cb3bf81</t>
        </is>
      </c>
      <c r="D2282" s="4" t="n">
        <v>46304.62408059745</v>
      </c>
      <c r="E2282" s="4" t="n">
        <v>46304.62408059755</v>
      </c>
      <c r="F2282" t="b">
        <v>1</v>
      </c>
      <c r="G2282" t="n">
        <v/>
      </c>
      <c r="H2282" t="inlineStr">
        <is>
          <t>WBE</t>
        </is>
      </c>
      <c r="I2282" t="inlineStr">
        <is>
          <t>Whitebark Energy Ltd</t>
        </is>
      </c>
      <c r="J2282" t="inlineStr">
        <is>
          <t>AUD</t>
        </is>
      </c>
      <c r="K2282" s="5" t="inlineStr">
        <is>
          <t>01a1212c-4c04-75ce-bbb2-e3322e18816e</t>
        </is>
      </c>
      <c r="M2282" t="inlineStr">
        <is>
          <t>UNKNOWN</t>
        </is>
      </c>
      <c r="N2282" t="inlineStr">
        <is>
          <t>DEFAULT</t>
        </is>
      </c>
      <c r="Q2282" t="n">
        <v>0</v>
      </c>
      <c r="R2282" t="inlineStr">
        <is>
          <t>AUD</t>
        </is>
      </c>
      <c r="S2282" t="n">
        <v>0</v>
      </c>
      <c r="T2282" t="inlineStr">
        <is>
          <t>AUD</t>
        </is>
      </c>
      <c r="U2282" t="n">
        <v>0</v>
      </c>
    </row>
    <row r="2283">
      <c r="A2283" s="5" t="inlineStr">
        <is>
          <t>01a1212c-6736-719b-85c7-c10ed1520036</t>
        </is>
      </c>
      <c r="C2283" s="5" t="inlineStr">
        <is>
          <t>01a1212c-4b57-70cf-80fd-c2192cb3bf81</t>
        </is>
      </c>
      <c r="D2283" s="4" t="n">
        <v>46304.62408062897</v>
      </c>
      <c r="E2283" s="4" t="n">
        <v>46304.62408062905</v>
      </c>
      <c r="F2283" t="b">
        <v>1</v>
      </c>
      <c r="G2283" t="n">
        <v/>
      </c>
      <c r="H2283" t="inlineStr">
        <is>
          <t>BYH</t>
        </is>
      </c>
      <c r="I2283" t="inlineStr">
        <is>
          <t>Bryah Resources Ltd</t>
        </is>
      </c>
      <c r="J2283" t="inlineStr">
        <is>
          <t>AUD</t>
        </is>
      </c>
      <c r="K2283" s="5" t="inlineStr">
        <is>
          <t>01a1212c-4c04-75ce-bbb2-e3322e18816e</t>
        </is>
      </c>
      <c r="M2283" t="inlineStr">
        <is>
          <t>UNKNOWN</t>
        </is>
      </c>
      <c r="N2283" t="inlineStr">
        <is>
          <t>DEFAULT</t>
        </is>
      </c>
      <c r="Q2283" t="n">
        <v>0</v>
      </c>
      <c r="R2283" t="inlineStr">
        <is>
          <t>AUD</t>
        </is>
      </c>
      <c r="S2283" t="n">
        <v>0</v>
      </c>
      <c r="T2283" t="inlineStr">
        <is>
          <t>AUD</t>
        </is>
      </c>
      <c r="U2283" t="n">
        <v>0</v>
      </c>
    </row>
    <row r="2284">
      <c r="A2284" s="5" t="inlineStr">
        <is>
          <t>01a1212c-6738-76b4-91e1-28cc746d5eea</t>
        </is>
      </c>
      <c r="C2284" s="5" t="inlineStr">
        <is>
          <t>01a1212c-4b57-70cf-80fd-c2192cb3bf81</t>
        </is>
      </c>
      <c r="D2284" s="4" t="n">
        <v>46304.62408066045</v>
      </c>
      <c r="E2284" s="4" t="n">
        <v>46304.62408066053</v>
      </c>
      <c r="F2284" t="b">
        <v>1</v>
      </c>
      <c r="G2284" t="n">
        <v/>
      </c>
      <c r="H2284" t="inlineStr">
        <is>
          <t>AO1</t>
        </is>
      </c>
      <c r="I2284" t="inlineStr">
        <is>
          <t>Assetowl Ltd</t>
        </is>
      </c>
      <c r="J2284" t="inlineStr">
        <is>
          <t>AUD</t>
        </is>
      </c>
      <c r="K2284" s="5" t="inlineStr">
        <is>
          <t>01a1212c-4c04-75ce-bbb2-e3322e18816e</t>
        </is>
      </c>
      <c r="M2284" t="inlineStr">
        <is>
          <t>UNKNOWN</t>
        </is>
      </c>
      <c r="N2284" t="inlineStr">
        <is>
          <t>DEFAULT</t>
        </is>
      </c>
      <c r="Q2284" t="n">
        <v>0</v>
      </c>
      <c r="R2284" t="inlineStr">
        <is>
          <t>AUD</t>
        </is>
      </c>
      <c r="S2284" t="n">
        <v>0</v>
      </c>
      <c r="T2284" t="inlineStr">
        <is>
          <t>AUD</t>
        </is>
      </c>
      <c r="U2284" t="n">
        <v>0</v>
      </c>
    </row>
    <row r="2285">
      <c r="A2285" s="5" t="inlineStr">
        <is>
          <t>01a1212c-673b-72ec-8d9f-d7d826774229</t>
        </is>
      </c>
      <c r="C2285" s="5" t="inlineStr">
        <is>
          <t>01a1212c-4b57-70cf-80fd-c2192cb3bf81</t>
        </is>
      </c>
      <c r="D2285" s="4" t="n">
        <v>46304.6240806932</v>
      </c>
      <c r="E2285" s="4" t="n">
        <v>46304.62408069328</v>
      </c>
      <c r="F2285" t="b">
        <v>1</v>
      </c>
      <c r="G2285" t="n">
        <v/>
      </c>
      <c r="H2285" t="inlineStr">
        <is>
          <t>E79</t>
        </is>
      </c>
      <c r="I2285" t="inlineStr">
        <is>
          <t>E79 Gold Mines Ltd</t>
        </is>
      </c>
      <c r="J2285" t="inlineStr">
        <is>
          <t>AUD</t>
        </is>
      </c>
      <c r="K2285" s="5" t="inlineStr">
        <is>
          <t>01a1212c-4c04-75ce-bbb2-e3322e18816e</t>
        </is>
      </c>
      <c r="M2285" t="inlineStr">
        <is>
          <t>UNKNOWN</t>
        </is>
      </c>
      <c r="N2285" t="inlineStr">
        <is>
          <t>DEFAULT</t>
        </is>
      </c>
      <c r="Q2285" t="n">
        <v>0</v>
      </c>
      <c r="R2285" t="inlineStr">
        <is>
          <t>AUD</t>
        </is>
      </c>
      <c r="S2285" t="n">
        <v>0</v>
      </c>
      <c r="T2285" t="inlineStr">
        <is>
          <t>AUD</t>
        </is>
      </c>
      <c r="U2285" t="n">
        <v>0</v>
      </c>
    </row>
    <row r="2286">
      <c r="A2286" s="5" t="inlineStr">
        <is>
          <t>01a1212c-673f-76af-b595-40e8bc3f21af</t>
        </is>
      </c>
      <c r="C2286" s="5" t="inlineStr">
        <is>
          <t>01a1212c-4b57-70cf-80fd-c2192cb3bf81</t>
        </is>
      </c>
      <c r="D2286" s="4" t="n">
        <v>46304.62408073164</v>
      </c>
      <c r="E2286" s="4" t="n">
        <v>46304.62408073172</v>
      </c>
      <c r="F2286" t="b">
        <v>1</v>
      </c>
      <c r="G2286" t="n">
        <v/>
      </c>
      <c r="H2286" t="inlineStr">
        <is>
          <t>T3MP</t>
        </is>
      </c>
      <c r="I2286" t="inlineStr">
        <is>
          <t>Jpmorgan Climate CHG Sol Active ETF (Managed Fund)</t>
        </is>
      </c>
      <c r="J2286" t="inlineStr">
        <is>
          <t>AUD</t>
        </is>
      </c>
      <c r="K2286" s="5" t="inlineStr">
        <is>
          <t>01a1212c-4c04-75ce-bbb2-e3322e18816e</t>
        </is>
      </c>
      <c r="M2286" t="inlineStr">
        <is>
          <t>UNKNOWN</t>
        </is>
      </c>
      <c r="N2286" t="inlineStr">
        <is>
          <t>DEFAULT</t>
        </is>
      </c>
      <c r="Q2286" t="n">
        <v>0</v>
      </c>
      <c r="R2286" t="inlineStr">
        <is>
          <t>AUD</t>
        </is>
      </c>
      <c r="S2286" t="n">
        <v>0</v>
      </c>
      <c r="T2286" t="inlineStr">
        <is>
          <t>AUD</t>
        </is>
      </c>
      <c r="U2286" t="n">
        <v>0</v>
      </c>
    </row>
    <row r="2287">
      <c r="A2287" s="5" t="inlineStr">
        <is>
          <t>01a1212c-6742-7252-ae6a-f34fffaa78c9</t>
        </is>
      </c>
      <c r="C2287" s="5" t="inlineStr">
        <is>
          <t>01a1212c-4b57-70cf-80fd-c2192cb3bf81</t>
        </is>
      </c>
      <c r="D2287" s="4" t="n">
        <v>46304.62408076675</v>
      </c>
      <c r="E2287" s="4" t="n">
        <v>46304.62408076683</v>
      </c>
      <c r="F2287" t="b">
        <v>1</v>
      </c>
      <c r="G2287" t="n">
        <v/>
      </c>
      <c r="H2287" t="inlineStr">
        <is>
          <t>IVT</t>
        </is>
      </c>
      <c r="I2287" t="inlineStr">
        <is>
          <t>Inventis Ltd</t>
        </is>
      </c>
      <c r="J2287" t="inlineStr">
        <is>
          <t>AUD</t>
        </is>
      </c>
      <c r="K2287" s="5" t="inlineStr">
        <is>
          <t>01a1212c-4c04-75ce-bbb2-e3322e18816e</t>
        </is>
      </c>
      <c r="M2287" t="inlineStr">
        <is>
          <t>UNKNOWN</t>
        </is>
      </c>
      <c r="N2287" t="inlineStr">
        <is>
          <t>DEFAULT</t>
        </is>
      </c>
      <c r="Q2287" t="n">
        <v>0</v>
      </c>
      <c r="R2287" t="inlineStr">
        <is>
          <t>AUD</t>
        </is>
      </c>
      <c r="S2287" t="n">
        <v>0</v>
      </c>
      <c r="T2287" t="inlineStr">
        <is>
          <t>AUD</t>
        </is>
      </c>
      <c r="U2287" t="n">
        <v>0</v>
      </c>
    </row>
    <row r="2288">
      <c r="A2288" s="5" t="inlineStr">
        <is>
          <t>01a1212c-6744-733f-96be-c5baf60767fd</t>
        </is>
      </c>
      <c r="C2288" s="5" t="inlineStr">
        <is>
          <t>01a1212c-4b57-70cf-80fd-c2192cb3bf81</t>
        </is>
      </c>
      <c r="D2288" s="4" t="n">
        <v>46304.62408079784</v>
      </c>
      <c r="E2288" s="4" t="n">
        <v>46304.62408079792</v>
      </c>
      <c r="F2288" t="b">
        <v>1</v>
      </c>
      <c r="G2288" t="n">
        <v/>
      </c>
      <c r="H2288" t="inlineStr">
        <is>
          <t>LYK</t>
        </is>
      </c>
      <c r="I2288" t="inlineStr">
        <is>
          <t>Lykos Metals Ltd</t>
        </is>
      </c>
      <c r="J2288" t="inlineStr">
        <is>
          <t>AUD</t>
        </is>
      </c>
      <c r="K2288" s="5" t="inlineStr">
        <is>
          <t>01a1212c-4c04-75ce-bbb2-e3322e18816e</t>
        </is>
      </c>
      <c r="M2288" t="inlineStr">
        <is>
          <t>UNKNOWN</t>
        </is>
      </c>
      <c r="N2288" t="inlineStr">
        <is>
          <t>DEFAULT</t>
        </is>
      </c>
      <c r="Q2288" t="n">
        <v>0</v>
      </c>
      <c r="R2288" t="inlineStr">
        <is>
          <t>AUD</t>
        </is>
      </c>
      <c r="S2288" t="n">
        <v>0</v>
      </c>
      <c r="T2288" t="inlineStr">
        <is>
          <t>AUD</t>
        </is>
      </c>
      <c r="U2288" t="n">
        <v>0</v>
      </c>
    </row>
    <row r="2289">
      <c r="A2289" s="5" t="inlineStr">
        <is>
          <t>01a1212c-6747-7707-b879-86ad97c8a31c</t>
        </is>
      </c>
      <c r="C2289" s="5" t="inlineStr">
        <is>
          <t>01a1212c-4b57-70cf-80fd-c2192cb3bf81</t>
        </is>
      </c>
      <c r="D2289" s="4" t="n">
        <v>46304.62408083125</v>
      </c>
      <c r="E2289" s="4" t="n">
        <v>46304.62408083133</v>
      </c>
      <c r="F2289" t="b">
        <v>1</v>
      </c>
      <c r="G2289" t="n">
        <v/>
      </c>
      <c r="H2289" t="inlineStr">
        <is>
          <t>KFM</t>
        </is>
      </c>
      <c r="I2289" t="inlineStr">
        <is>
          <t>Kingfisher Mining Ltd</t>
        </is>
      </c>
      <c r="J2289" t="inlineStr">
        <is>
          <t>AUD</t>
        </is>
      </c>
      <c r="K2289" s="5" t="inlineStr">
        <is>
          <t>01a1212c-4c04-75ce-bbb2-e3322e18816e</t>
        </is>
      </c>
      <c r="M2289" t="inlineStr">
        <is>
          <t>UNKNOWN</t>
        </is>
      </c>
      <c r="N2289" t="inlineStr">
        <is>
          <t>DEFAULT</t>
        </is>
      </c>
      <c r="Q2289" t="n">
        <v>0</v>
      </c>
      <c r="R2289" t="inlineStr">
        <is>
          <t>AUD</t>
        </is>
      </c>
      <c r="S2289" t="n">
        <v>0</v>
      </c>
      <c r="T2289" t="inlineStr">
        <is>
          <t>AUD</t>
        </is>
      </c>
      <c r="U2289" t="n">
        <v>0</v>
      </c>
    </row>
    <row r="2290">
      <c r="A2290" s="5" t="inlineStr">
        <is>
          <t>01a1212c-674a-76d1-8320-addf86626f7f</t>
        </is>
      </c>
      <c r="C2290" s="5" t="inlineStr">
        <is>
          <t>01a1212c-4b57-70cf-80fd-c2192cb3bf81</t>
        </is>
      </c>
      <c r="D2290" s="4" t="n">
        <v>46304.62408086236</v>
      </c>
      <c r="E2290" s="4" t="n">
        <v>46304.62408086244</v>
      </c>
      <c r="F2290" t="b">
        <v>1</v>
      </c>
      <c r="G2290" t="n">
        <v/>
      </c>
      <c r="H2290" t="inlineStr">
        <is>
          <t>HCD</t>
        </is>
      </c>
      <c r="I2290" t="inlineStr">
        <is>
          <t>Hydrocarbon Dynamics Ltd</t>
        </is>
      </c>
      <c r="J2290" t="inlineStr">
        <is>
          <t>AUD</t>
        </is>
      </c>
      <c r="K2290" s="5" t="inlineStr">
        <is>
          <t>01a1212c-4c04-75ce-bbb2-e3322e18816e</t>
        </is>
      </c>
      <c r="M2290" t="inlineStr">
        <is>
          <t>UNKNOWN</t>
        </is>
      </c>
      <c r="N2290" t="inlineStr">
        <is>
          <t>DEFAULT</t>
        </is>
      </c>
      <c r="Q2290" t="n">
        <v>0</v>
      </c>
      <c r="R2290" t="inlineStr">
        <is>
          <t>AUD</t>
        </is>
      </c>
      <c r="S2290" t="n">
        <v>0</v>
      </c>
      <c r="T2290" t="inlineStr">
        <is>
          <t>AUD</t>
        </is>
      </c>
      <c r="U2290" t="n">
        <v>0</v>
      </c>
    </row>
    <row r="2291">
      <c r="A2291" s="5" t="inlineStr">
        <is>
          <t>01a1212c-674d-7028-b8da-66787749a129</t>
        </is>
      </c>
      <c r="C2291" s="5" t="inlineStr">
        <is>
          <t>01a1212c-4b57-70cf-80fd-c2192cb3bf81</t>
        </is>
      </c>
      <c r="D2291" s="4" t="n">
        <v>46304.62408089767</v>
      </c>
      <c r="E2291" s="4" t="n">
        <v>46304.62408089775</v>
      </c>
      <c r="F2291" t="b">
        <v>1</v>
      </c>
      <c r="G2291" t="n">
        <v/>
      </c>
      <c r="H2291" t="inlineStr">
        <is>
          <t>RAS</t>
        </is>
      </c>
      <c r="I2291" t="inlineStr">
        <is>
          <t>Ragusa Minerals Ltd</t>
        </is>
      </c>
      <c r="J2291" t="inlineStr">
        <is>
          <t>AUD</t>
        </is>
      </c>
      <c r="K2291" s="5" t="inlineStr">
        <is>
          <t>01a1212c-4c04-75ce-bbb2-e3322e18816e</t>
        </is>
      </c>
      <c r="M2291" t="inlineStr">
        <is>
          <t>UNKNOWN</t>
        </is>
      </c>
      <c r="N2291" t="inlineStr">
        <is>
          <t>DEFAULT</t>
        </is>
      </c>
      <c r="Q2291" t="n">
        <v>0</v>
      </c>
      <c r="R2291" t="inlineStr">
        <is>
          <t>AUD</t>
        </is>
      </c>
      <c r="S2291" t="n">
        <v>0</v>
      </c>
      <c r="T2291" t="inlineStr">
        <is>
          <t>AUD</t>
        </is>
      </c>
      <c r="U2291" t="n">
        <v>0</v>
      </c>
    </row>
    <row r="2292">
      <c r="A2292" s="5" t="inlineStr">
        <is>
          <t>01a1212c-6750-73dd-ab46-334bf75941e8</t>
        </is>
      </c>
      <c r="C2292" s="5" t="inlineStr">
        <is>
          <t>01a1212c-4b57-70cf-80fd-c2192cb3bf81</t>
        </is>
      </c>
      <c r="D2292" s="4" t="n">
        <v>46304.62408093023</v>
      </c>
      <c r="E2292" s="4" t="n">
        <v>46304.62408093031</v>
      </c>
      <c r="F2292" t="b">
        <v>1</v>
      </c>
      <c r="G2292" t="n">
        <v/>
      </c>
      <c r="H2292" t="inlineStr">
        <is>
          <t>DY6</t>
        </is>
      </c>
      <c r="I2292" t="inlineStr">
        <is>
          <t>DY6 Metals Ltd</t>
        </is>
      </c>
      <c r="J2292" t="inlineStr">
        <is>
          <t>AUD</t>
        </is>
      </c>
      <c r="K2292" s="5" t="inlineStr">
        <is>
          <t>01a1212c-4c04-75ce-bbb2-e3322e18816e</t>
        </is>
      </c>
      <c r="M2292" t="inlineStr">
        <is>
          <t>UNKNOWN</t>
        </is>
      </c>
      <c r="N2292" t="inlineStr">
        <is>
          <t>DEFAULT</t>
        </is>
      </c>
      <c r="Q2292" t="n">
        <v>0</v>
      </c>
      <c r="R2292" t="inlineStr">
        <is>
          <t>AUD</t>
        </is>
      </c>
      <c r="S2292" t="n">
        <v>0</v>
      </c>
      <c r="T2292" t="inlineStr">
        <is>
          <t>AUD</t>
        </is>
      </c>
      <c r="U2292" t="n">
        <v>0</v>
      </c>
    </row>
    <row r="2293">
      <c r="A2293" s="5" t="inlineStr">
        <is>
          <t>01a1212c-6752-772d-a745-c9d0df552fee</t>
        </is>
      </c>
      <c r="C2293" s="5" t="inlineStr">
        <is>
          <t>01a1212c-4b57-70cf-80fd-c2192cb3bf81</t>
        </is>
      </c>
      <c r="D2293" s="4" t="n">
        <v>46304.62408096105</v>
      </c>
      <c r="E2293" s="4" t="n">
        <v>46304.62408096113</v>
      </c>
      <c r="F2293" t="b">
        <v>1</v>
      </c>
      <c r="G2293" t="n">
        <v/>
      </c>
      <c r="H2293" t="inlineStr">
        <is>
          <t>H2G</t>
        </is>
      </c>
      <c r="I2293" t="inlineStr">
        <is>
          <t>GREENHY2 Ltd</t>
        </is>
      </c>
      <c r="J2293" t="inlineStr">
        <is>
          <t>AUD</t>
        </is>
      </c>
      <c r="K2293" s="5" t="inlineStr">
        <is>
          <t>01a1212c-4c04-75ce-bbb2-e3322e18816e</t>
        </is>
      </c>
      <c r="M2293" t="inlineStr">
        <is>
          <t>UNKNOWN</t>
        </is>
      </c>
      <c r="N2293" t="inlineStr">
        <is>
          <t>DEFAULT</t>
        </is>
      </c>
      <c r="Q2293" t="n">
        <v>0</v>
      </c>
      <c r="R2293" t="inlineStr">
        <is>
          <t>AUD</t>
        </is>
      </c>
      <c r="S2293" t="n">
        <v>0</v>
      </c>
      <c r="T2293" t="inlineStr">
        <is>
          <t>AUD</t>
        </is>
      </c>
      <c r="U2293" t="n">
        <v>0</v>
      </c>
    </row>
    <row r="2294">
      <c r="A2294" s="5" t="inlineStr">
        <is>
          <t>01a1212c-6756-76ad-9550-715b31b3ee90</t>
        </is>
      </c>
      <c r="C2294" s="5" t="inlineStr">
        <is>
          <t>01a1212c-4b57-70cf-80fd-c2192cb3bf81</t>
        </is>
      </c>
      <c r="D2294" s="4" t="n">
        <v>46304.62408099842</v>
      </c>
      <c r="E2294" s="4" t="n">
        <v>46304.62408099851</v>
      </c>
      <c r="F2294" t="b">
        <v>1</v>
      </c>
      <c r="G2294" t="n">
        <v/>
      </c>
      <c r="H2294" t="inlineStr">
        <is>
          <t>SRH</t>
        </is>
      </c>
      <c r="I2294" t="inlineStr">
        <is>
          <t>Saferoads Holdings Ltd</t>
        </is>
      </c>
      <c r="J2294" t="inlineStr">
        <is>
          <t>AUD</t>
        </is>
      </c>
      <c r="K2294" s="5" t="inlineStr">
        <is>
          <t>01a1212c-4c04-75ce-bbb2-e3322e18816e</t>
        </is>
      </c>
      <c r="M2294" t="inlineStr">
        <is>
          <t>UNKNOWN</t>
        </is>
      </c>
      <c r="N2294" t="inlineStr">
        <is>
          <t>DEFAULT</t>
        </is>
      </c>
      <c r="Q2294" t="n">
        <v>0</v>
      </c>
      <c r="R2294" t="inlineStr">
        <is>
          <t>AUD</t>
        </is>
      </c>
      <c r="S2294" t="n">
        <v>0</v>
      </c>
      <c r="T2294" t="inlineStr">
        <is>
          <t>AUD</t>
        </is>
      </c>
      <c r="U2294" t="n">
        <v>0</v>
      </c>
    </row>
    <row r="2295">
      <c r="A2295" s="5" t="inlineStr">
        <is>
          <t>01a1212c-6759-70d2-9094-f32efd328b84</t>
        </is>
      </c>
      <c r="C2295" s="5" t="inlineStr">
        <is>
          <t>01a1212c-4b57-70cf-80fd-c2192cb3bf81</t>
        </is>
      </c>
      <c r="D2295" s="4" t="n">
        <v>46304.62408103239</v>
      </c>
      <c r="E2295" s="4" t="n">
        <v>46304.62408103247</v>
      </c>
      <c r="F2295" t="b">
        <v>1</v>
      </c>
      <c r="G2295" t="n">
        <v/>
      </c>
      <c r="H2295" t="inlineStr">
        <is>
          <t>IS3</t>
        </is>
      </c>
      <c r="I2295" t="inlineStr">
        <is>
          <t>I Synergy Group Ltd</t>
        </is>
      </c>
      <c r="J2295" t="inlineStr">
        <is>
          <t>AUD</t>
        </is>
      </c>
      <c r="K2295" s="5" t="inlineStr">
        <is>
          <t>01a1212c-4c04-75ce-bbb2-e3322e18816e</t>
        </is>
      </c>
      <c r="M2295" t="inlineStr">
        <is>
          <t>UNKNOWN</t>
        </is>
      </c>
      <c r="N2295" t="inlineStr">
        <is>
          <t>DEFAULT</t>
        </is>
      </c>
      <c r="Q2295" t="n">
        <v>0</v>
      </c>
      <c r="R2295" t="inlineStr">
        <is>
          <t>AUD</t>
        </is>
      </c>
      <c r="S2295" t="n">
        <v>0</v>
      </c>
      <c r="T2295" t="inlineStr">
        <is>
          <t>AUD</t>
        </is>
      </c>
      <c r="U2295" t="n">
        <v>0</v>
      </c>
    </row>
    <row r="2296">
      <c r="A2296" s="5" t="inlineStr">
        <is>
          <t>01a1212c-675c-71ea-996f-5bfa203d93b8</t>
        </is>
      </c>
      <c r="C2296" s="5" t="inlineStr">
        <is>
          <t>01a1212c-4b57-70cf-80fd-c2192cb3bf81</t>
        </is>
      </c>
      <c r="D2296" s="4" t="n">
        <v>46304.62408107361</v>
      </c>
      <c r="E2296" s="4" t="n">
        <v>46304.62408107369</v>
      </c>
      <c r="F2296" t="b">
        <v>1</v>
      </c>
      <c r="G2296" t="n">
        <v/>
      </c>
      <c r="H2296" t="inlineStr">
        <is>
          <t>RNE</t>
        </is>
      </c>
      <c r="I2296" t="inlineStr">
        <is>
          <t>Renu Energy Ltd</t>
        </is>
      </c>
      <c r="J2296" t="inlineStr">
        <is>
          <t>AUD</t>
        </is>
      </c>
      <c r="K2296" s="5" t="inlineStr">
        <is>
          <t>01a1212c-4c04-75ce-bbb2-e3322e18816e</t>
        </is>
      </c>
      <c r="M2296" t="inlineStr">
        <is>
          <t>UNKNOWN</t>
        </is>
      </c>
      <c r="N2296" t="inlineStr">
        <is>
          <t>DEFAULT</t>
        </is>
      </c>
      <c r="Q2296" t="n">
        <v>0</v>
      </c>
      <c r="R2296" t="inlineStr">
        <is>
          <t>AUD</t>
        </is>
      </c>
      <c r="S2296" t="n">
        <v>0</v>
      </c>
      <c r="T2296" t="inlineStr">
        <is>
          <t>AUD</t>
        </is>
      </c>
      <c r="U2296" t="n">
        <v>0</v>
      </c>
    </row>
    <row r="2297">
      <c r="A2297" s="5" t="inlineStr">
        <is>
          <t>01a1212c-675f-7592-83bb-89c279d13aa1</t>
        </is>
      </c>
      <c r="C2297" s="5" t="inlineStr">
        <is>
          <t>01a1212c-4b57-70cf-80fd-c2192cb3bf81</t>
        </is>
      </c>
      <c r="D2297" s="4" t="n">
        <v>46304.62408110601</v>
      </c>
      <c r="E2297" s="4" t="n">
        <v>46304.62408110608</v>
      </c>
      <c r="F2297" t="b">
        <v>1</v>
      </c>
      <c r="G2297" t="n">
        <v/>
      </c>
      <c r="H2297" t="inlineStr">
        <is>
          <t>T3D</t>
        </is>
      </c>
      <c r="I2297" t="inlineStr">
        <is>
          <t>333D Ltd</t>
        </is>
      </c>
      <c r="J2297" t="inlineStr">
        <is>
          <t>AUD</t>
        </is>
      </c>
      <c r="K2297" s="5" t="inlineStr">
        <is>
          <t>01a1212c-4c04-75ce-bbb2-e3322e18816e</t>
        </is>
      </c>
      <c r="M2297" t="inlineStr">
        <is>
          <t>UNKNOWN</t>
        </is>
      </c>
      <c r="N2297" t="inlineStr">
        <is>
          <t>DEFAULT</t>
        </is>
      </c>
      <c r="Q2297" t="n">
        <v>0</v>
      </c>
      <c r="R2297" t="inlineStr">
        <is>
          <t>AUD</t>
        </is>
      </c>
      <c r="S2297" t="n">
        <v>0</v>
      </c>
      <c r="T2297" t="inlineStr">
        <is>
          <t>AUD</t>
        </is>
      </c>
      <c r="U2297" t="n">
        <v>0</v>
      </c>
    </row>
    <row r="2298">
      <c r="A2298" s="5" t="inlineStr">
        <is>
          <t>01a1212c-6762-72ce-8a60-7d6a2081898e</t>
        </is>
      </c>
      <c r="C2298" s="5" t="inlineStr">
        <is>
          <t>01a1212c-4b57-70cf-80fd-c2192cb3bf81</t>
        </is>
      </c>
      <c r="D2298" s="4" t="n">
        <v>46304.62408113712</v>
      </c>
      <c r="E2298" s="4" t="n">
        <v>46304.6240811372</v>
      </c>
      <c r="F2298" t="b">
        <v>1</v>
      </c>
      <c r="G2298" t="n">
        <v/>
      </c>
      <c r="H2298" t="inlineStr">
        <is>
          <t>TANN</t>
        </is>
      </c>
      <c r="I2298" t="inlineStr">
        <is>
          <t>Betashares Solar ETF</t>
        </is>
      </c>
      <c r="J2298" t="inlineStr">
        <is>
          <t>AUD</t>
        </is>
      </c>
      <c r="K2298" s="5" t="inlineStr">
        <is>
          <t>01a1212c-4c04-75ce-bbb2-e3322e18816e</t>
        </is>
      </c>
      <c r="M2298" t="inlineStr">
        <is>
          <t>UNKNOWN</t>
        </is>
      </c>
      <c r="N2298" t="inlineStr">
        <is>
          <t>DEFAULT</t>
        </is>
      </c>
      <c r="Q2298" t="n">
        <v>0</v>
      </c>
      <c r="R2298" t="inlineStr">
        <is>
          <t>AUD</t>
        </is>
      </c>
      <c r="S2298" t="n">
        <v>0</v>
      </c>
      <c r="T2298" t="inlineStr">
        <is>
          <t>AUD</t>
        </is>
      </c>
      <c r="U2298" t="n">
        <v>0</v>
      </c>
    </row>
    <row r="2299">
      <c r="A2299" s="5" t="inlineStr">
        <is>
          <t>01a1212c-6765-710d-ad89-f3a89560b6bf</t>
        </is>
      </c>
      <c r="C2299" s="5" t="inlineStr">
        <is>
          <t>01a1212c-4b57-70cf-80fd-c2192cb3bf81</t>
        </is>
      </c>
      <c r="D2299" s="4" t="n">
        <v>46304.62408117094</v>
      </c>
      <c r="E2299" s="4" t="n">
        <v>46304.62408117102</v>
      </c>
      <c r="F2299" t="b">
        <v>1</v>
      </c>
      <c r="G2299" t="n">
        <v/>
      </c>
      <c r="H2299" t="inlineStr">
        <is>
          <t>AIV</t>
        </is>
      </c>
      <c r="I2299" t="inlineStr">
        <is>
          <t>Activex Ltd</t>
        </is>
      </c>
      <c r="J2299" t="inlineStr">
        <is>
          <t>AUD</t>
        </is>
      </c>
      <c r="K2299" s="5" t="inlineStr">
        <is>
          <t>01a1212c-4c04-75ce-bbb2-e3322e18816e</t>
        </is>
      </c>
      <c r="M2299" t="inlineStr">
        <is>
          <t>UNKNOWN</t>
        </is>
      </c>
      <c r="N2299" t="inlineStr">
        <is>
          <t>DEFAULT</t>
        </is>
      </c>
      <c r="Q2299" t="n">
        <v>0</v>
      </c>
      <c r="R2299" t="inlineStr">
        <is>
          <t>AUD</t>
        </is>
      </c>
      <c r="S2299" t="n">
        <v>0</v>
      </c>
      <c r="T2299" t="inlineStr">
        <is>
          <t>AUD</t>
        </is>
      </c>
      <c r="U2299" t="n">
        <v>0</v>
      </c>
    </row>
    <row r="2300">
      <c r="A2300" s="5" t="inlineStr">
        <is>
          <t>01a1212c-6768-70a8-8ee9-27d7910ad306</t>
        </is>
      </c>
      <c r="C2300" s="5" t="inlineStr">
        <is>
          <t>01a1212c-4b57-70cf-80fd-c2192cb3bf81</t>
        </is>
      </c>
      <c r="D2300" s="4" t="n">
        <v>46304.62408120975</v>
      </c>
      <c r="E2300" s="4" t="n">
        <v>46304.62408120993</v>
      </c>
      <c r="F2300" t="b">
        <v>1</v>
      </c>
      <c r="G2300" t="n">
        <v/>
      </c>
      <c r="H2300" t="inlineStr">
        <is>
          <t>EMS</t>
        </is>
      </c>
      <c r="I2300" t="inlineStr">
        <is>
          <t>Eastern Metals Ltd</t>
        </is>
      </c>
      <c r="J2300" t="inlineStr">
        <is>
          <t>AUD</t>
        </is>
      </c>
      <c r="K2300" s="5" t="inlineStr">
        <is>
          <t>01a1212c-4c04-75ce-bbb2-e3322e18816e</t>
        </is>
      </c>
      <c r="M2300" t="inlineStr">
        <is>
          <t>UNKNOWN</t>
        </is>
      </c>
      <c r="N2300" t="inlineStr">
        <is>
          <t>DEFAULT</t>
        </is>
      </c>
      <c r="Q2300" t="n">
        <v>0</v>
      </c>
      <c r="R2300" t="inlineStr">
        <is>
          <t>AUD</t>
        </is>
      </c>
      <c r="S2300" t="n">
        <v>0</v>
      </c>
      <c r="T2300" t="inlineStr">
        <is>
          <t>AUD</t>
        </is>
      </c>
      <c r="U2300" t="n">
        <v>0</v>
      </c>
    </row>
    <row r="2301">
      <c r="A2301" s="5" t="inlineStr">
        <is>
          <t>01a1212c-676c-72fa-9e8c-24e0e988444d</t>
        </is>
      </c>
      <c r="C2301" s="5" t="inlineStr">
        <is>
          <t>01a1212c-4b57-70cf-80fd-c2192cb3bf81</t>
        </is>
      </c>
      <c r="D2301" s="4" t="n">
        <v>46304.62408125371</v>
      </c>
      <c r="E2301" s="4" t="n">
        <v>46304.62408125381</v>
      </c>
      <c r="F2301" t="b">
        <v>1</v>
      </c>
      <c r="G2301" t="n">
        <v/>
      </c>
      <c r="H2301" t="inlineStr">
        <is>
          <t>EDOC</t>
        </is>
      </c>
      <c r="I2301" t="inlineStr">
        <is>
          <t>Betashares Digital Health and Telemedicine ETF</t>
        </is>
      </c>
      <c r="J2301" t="inlineStr">
        <is>
          <t>AUD</t>
        </is>
      </c>
      <c r="K2301" s="5" t="inlineStr">
        <is>
          <t>01a1212c-4c04-75ce-bbb2-e3322e18816e</t>
        </is>
      </c>
      <c r="M2301" t="inlineStr">
        <is>
          <t>UNKNOWN</t>
        </is>
      </c>
      <c r="N2301" t="inlineStr">
        <is>
          <t>DEFAULT</t>
        </is>
      </c>
      <c r="Q2301" t="n">
        <v>0</v>
      </c>
      <c r="R2301" t="inlineStr">
        <is>
          <t>AUD</t>
        </is>
      </c>
      <c r="S2301" t="n">
        <v>0</v>
      </c>
      <c r="T2301" t="inlineStr">
        <is>
          <t>AUD</t>
        </is>
      </c>
      <c r="U2301" t="n">
        <v>0</v>
      </c>
    </row>
    <row r="2302">
      <c r="A2302" s="5" t="inlineStr">
        <is>
          <t>01a1212c-676e-700c-bcad-b551c241dda1</t>
        </is>
      </c>
      <c r="C2302" s="5" t="inlineStr">
        <is>
          <t>01a1212c-4b57-70cf-80fd-c2192cb3bf81</t>
        </is>
      </c>
      <c r="D2302" s="4" t="n">
        <v>46304.62408128523</v>
      </c>
      <c r="E2302" s="4" t="n">
        <v>46304.6240812853</v>
      </c>
      <c r="F2302" t="b">
        <v>1</v>
      </c>
      <c r="G2302" t="n">
        <v/>
      </c>
      <c r="H2302" t="inlineStr">
        <is>
          <t>RIE</t>
        </is>
      </c>
      <c r="I2302" t="inlineStr">
        <is>
          <t>Riedel Resources Ltd</t>
        </is>
      </c>
      <c r="J2302" t="inlineStr">
        <is>
          <t>AUD</t>
        </is>
      </c>
      <c r="K2302" s="5" t="inlineStr">
        <is>
          <t>01a1212c-4c04-75ce-bbb2-e3322e18816e</t>
        </is>
      </c>
      <c r="M2302" t="inlineStr">
        <is>
          <t>UNKNOWN</t>
        </is>
      </c>
      <c r="N2302" t="inlineStr">
        <is>
          <t>DEFAULT</t>
        </is>
      </c>
      <c r="Q2302" t="n">
        <v>0</v>
      </c>
      <c r="R2302" t="inlineStr">
        <is>
          <t>AUD</t>
        </is>
      </c>
      <c r="S2302" t="n">
        <v>0</v>
      </c>
      <c r="T2302" t="inlineStr">
        <is>
          <t>AUD</t>
        </is>
      </c>
      <c r="U2302" t="n">
        <v>0</v>
      </c>
    </row>
    <row r="2303">
      <c r="A2303" s="5" t="inlineStr">
        <is>
          <t>01a1212c-6771-737c-bb4e-e6037e4e2d26</t>
        </is>
      </c>
      <c r="C2303" s="5" t="inlineStr">
        <is>
          <t>01a1212c-4b57-70cf-80fd-c2192cb3bf81</t>
        </is>
      </c>
      <c r="D2303" s="4" t="n">
        <v>46304.62408131581</v>
      </c>
      <c r="E2303" s="4" t="n">
        <v>46304.62408131589</v>
      </c>
      <c r="F2303" t="b">
        <v>1</v>
      </c>
      <c r="G2303" t="n">
        <v/>
      </c>
      <c r="H2303" t="inlineStr">
        <is>
          <t>DBO</t>
        </is>
      </c>
      <c r="I2303" t="inlineStr">
        <is>
          <t>Diablo Resources Ltd</t>
        </is>
      </c>
      <c r="J2303" t="inlineStr">
        <is>
          <t>AUD</t>
        </is>
      </c>
      <c r="K2303" s="5" t="inlineStr">
        <is>
          <t>01a1212c-4c04-75ce-bbb2-e3322e18816e</t>
        </is>
      </c>
      <c r="M2303" t="inlineStr">
        <is>
          <t>UNKNOWN</t>
        </is>
      </c>
      <c r="N2303" t="inlineStr">
        <is>
          <t>DEFAULT</t>
        </is>
      </c>
      <c r="Q2303" t="n">
        <v>0</v>
      </c>
      <c r="R2303" t="inlineStr">
        <is>
          <t>AUD</t>
        </is>
      </c>
      <c r="S2303" t="n">
        <v>0</v>
      </c>
      <c r="T2303" t="inlineStr">
        <is>
          <t>AUD</t>
        </is>
      </c>
      <c r="U2303" t="n">
        <v>0</v>
      </c>
    </row>
    <row r="2304">
      <c r="A2304" s="5" t="inlineStr">
        <is>
          <t>01a1212c-6774-730d-b837-e78856629fc2</t>
        </is>
      </c>
      <c r="C2304" s="5" t="inlineStr">
        <is>
          <t>01a1212c-4b57-70cf-80fd-c2192cb3bf81</t>
        </is>
      </c>
      <c r="D2304" s="4" t="n">
        <v>46304.62408134661</v>
      </c>
      <c r="E2304" s="4" t="n">
        <v>46304.62408134668</v>
      </c>
      <c r="F2304" t="b">
        <v>1</v>
      </c>
      <c r="G2304" t="n">
        <v/>
      </c>
      <c r="H2304" t="inlineStr">
        <is>
          <t>OAK</t>
        </is>
      </c>
      <c r="I2304" t="inlineStr">
        <is>
          <t>Oakridge International Ltd</t>
        </is>
      </c>
      <c r="J2304" t="inlineStr">
        <is>
          <t>AUD</t>
        </is>
      </c>
      <c r="K2304" s="5" t="inlineStr">
        <is>
          <t>01a1212c-4c04-75ce-bbb2-e3322e18816e</t>
        </is>
      </c>
      <c r="M2304" t="inlineStr">
        <is>
          <t>UNKNOWN</t>
        </is>
      </c>
      <c r="N2304" t="inlineStr">
        <is>
          <t>DEFAULT</t>
        </is>
      </c>
      <c r="Q2304" t="n">
        <v>0</v>
      </c>
      <c r="R2304" t="inlineStr">
        <is>
          <t>AUD</t>
        </is>
      </c>
      <c r="S2304" t="n">
        <v>0</v>
      </c>
      <c r="T2304" t="inlineStr">
        <is>
          <t>AUD</t>
        </is>
      </c>
      <c r="U2304" t="n">
        <v>0</v>
      </c>
    </row>
    <row r="2305">
      <c r="A2305" s="5" t="inlineStr">
        <is>
          <t>01a1212c-6777-74e8-bb70-8c445aff4aa0</t>
        </is>
      </c>
      <c r="C2305" s="5" t="inlineStr">
        <is>
          <t>01a1212c-4b57-70cf-80fd-c2192cb3bf81</t>
        </is>
      </c>
      <c r="D2305" s="4" t="n">
        <v>46304.6240813794</v>
      </c>
      <c r="E2305" s="4" t="n">
        <v>46304.62408137948</v>
      </c>
      <c r="F2305" t="b">
        <v>1</v>
      </c>
      <c r="G2305" t="n">
        <v/>
      </c>
      <c r="H2305" t="inlineStr">
        <is>
          <t>LRD</t>
        </is>
      </c>
      <c r="I2305" t="inlineStr">
        <is>
          <t>Lord Resources Ltd</t>
        </is>
      </c>
      <c r="J2305" t="inlineStr">
        <is>
          <t>AUD</t>
        </is>
      </c>
      <c r="K2305" s="5" t="inlineStr">
        <is>
          <t>01a1212c-4c04-75ce-bbb2-e3322e18816e</t>
        </is>
      </c>
      <c r="M2305" t="inlineStr">
        <is>
          <t>UNKNOWN</t>
        </is>
      </c>
      <c r="N2305" t="inlineStr">
        <is>
          <t>DEFAULT</t>
        </is>
      </c>
      <c r="Q2305" t="n">
        <v>0</v>
      </c>
      <c r="R2305" t="inlineStr">
        <is>
          <t>AUD</t>
        </is>
      </c>
      <c r="S2305" t="n">
        <v>0</v>
      </c>
      <c r="T2305" t="inlineStr">
        <is>
          <t>AUD</t>
        </is>
      </c>
      <c r="U2305" t="n">
        <v>0</v>
      </c>
    </row>
    <row r="2306">
      <c r="A2306" s="5" t="inlineStr">
        <is>
          <t>01a1212c-677a-77c0-b184-51e853bc82e0</t>
        </is>
      </c>
      <c r="C2306" s="5" t="inlineStr">
        <is>
          <t>01a1212c-4b57-70cf-80fd-c2192cb3bf81</t>
        </is>
      </c>
      <c r="D2306" s="4" t="n">
        <v>46304.62408141352</v>
      </c>
      <c r="E2306" s="4" t="n">
        <v>46304.6240814136</v>
      </c>
      <c r="F2306" t="b">
        <v>1</v>
      </c>
      <c r="G2306" t="n">
        <v/>
      </c>
      <c r="H2306" t="inlineStr">
        <is>
          <t>M2R</t>
        </is>
      </c>
      <c r="I2306" t="inlineStr">
        <is>
          <t>Miramar Resources Ltd</t>
        </is>
      </c>
      <c r="J2306" t="inlineStr">
        <is>
          <t>AUD</t>
        </is>
      </c>
      <c r="K2306" s="5" t="inlineStr">
        <is>
          <t>01a1212c-4c04-75ce-bbb2-e3322e18816e</t>
        </is>
      </c>
      <c r="M2306" t="inlineStr">
        <is>
          <t>UNKNOWN</t>
        </is>
      </c>
      <c r="N2306" t="inlineStr">
        <is>
          <t>DEFAULT</t>
        </is>
      </c>
      <c r="Q2306" t="n">
        <v>0</v>
      </c>
      <c r="R2306" t="inlineStr">
        <is>
          <t>AUD</t>
        </is>
      </c>
      <c r="S2306" t="n">
        <v>0</v>
      </c>
      <c r="T2306" t="inlineStr">
        <is>
          <t>AUD</t>
        </is>
      </c>
      <c r="U2306" t="n">
        <v>0</v>
      </c>
    </row>
    <row r="2307">
      <c r="A2307" s="5" t="inlineStr">
        <is>
          <t>01a1212c-677c-74d7-8d81-fc0a7d7e5518</t>
        </is>
      </c>
      <c r="C2307" s="5" t="inlineStr">
        <is>
          <t>01a1212c-4b57-70cf-80fd-c2192cb3bf81</t>
        </is>
      </c>
      <c r="D2307" s="4" t="n">
        <v>46304.62408144521</v>
      </c>
      <c r="E2307" s="4" t="n">
        <v>46304.62408144529</v>
      </c>
      <c r="F2307" t="b">
        <v>1</v>
      </c>
      <c r="G2307" t="n">
        <v/>
      </c>
      <c r="H2307" t="inlineStr">
        <is>
          <t>DMG</t>
        </is>
      </c>
      <c r="I2307" t="inlineStr">
        <is>
          <t>Dragon Mountain Gold Ltd</t>
        </is>
      </c>
      <c r="J2307" t="inlineStr">
        <is>
          <t>AUD</t>
        </is>
      </c>
      <c r="K2307" s="5" t="inlineStr">
        <is>
          <t>01a1212c-4c04-75ce-bbb2-e3322e18816e</t>
        </is>
      </c>
      <c r="M2307" t="inlineStr">
        <is>
          <t>UNKNOWN</t>
        </is>
      </c>
      <c r="N2307" t="inlineStr">
        <is>
          <t>DEFAULT</t>
        </is>
      </c>
      <c r="Q2307" t="n">
        <v>0</v>
      </c>
      <c r="R2307" t="inlineStr">
        <is>
          <t>AUD</t>
        </is>
      </c>
      <c r="S2307" t="n">
        <v>0</v>
      </c>
      <c r="T2307" t="inlineStr">
        <is>
          <t>AUD</t>
        </is>
      </c>
      <c r="U2307" t="n">
        <v>0</v>
      </c>
    </row>
    <row r="2308">
      <c r="A2308" s="5" t="inlineStr">
        <is>
          <t>01a1212c-677f-721e-9e7a-1cf5a26139e5</t>
        </is>
      </c>
      <c r="C2308" s="5" t="inlineStr">
        <is>
          <t>01a1212c-4b57-70cf-80fd-c2192cb3bf81</t>
        </is>
      </c>
      <c r="D2308" s="4" t="n">
        <v>46304.6240814768</v>
      </c>
      <c r="E2308" s="4" t="n">
        <v>46304.62408147689</v>
      </c>
      <c r="F2308" t="b">
        <v>1</v>
      </c>
      <c r="G2308" t="n">
        <v/>
      </c>
      <c r="H2308" t="inlineStr">
        <is>
          <t>PRM</t>
        </is>
      </c>
      <c r="I2308" t="inlineStr">
        <is>
          <t>Prominence Energy Ltd</t>
        </is>
      </c>
      <c r="J2308" t="inlineStr">
        <is>
          <t>AUD</t>
        </is>
      </c>
      <c r="K2308" s="5" t="inlineStr">
        <is>
          <t>01a1212c-4c04-75ce-bbb2-e3322e18816e</t>
        </is>
      </c>
      <c r="M2308" t="inlineStr">
        <is>
          <t>UNKNOWN</t>
        </is>
      </c>
      <c r="N2308" t="inlineStr">
        <is>
          <t>DEFAULT</t>
        </is>
      </c>
      <c r="Q2308" t="n">
        <v>0</v>
      </c>
      <c r="R2308" t="inlineStr">
        <is>
          <t>AUD</t>
        </is>
      </c>
      <c r="S2308" t="n">
        <v>0</v>
      </c>
      <c r="T2308" t="inlineStr">
        <is>
          <t>AUD</t>
        </is>
      </c>
      <c r="U2308" t="n">
        <v>0</v>
      </c>
    </row>
    <row r="2309">
      <c r="A2309" s="5" t="inlineStr">
        <is>
          <t>01a1212c-6782-7602-9a98-b7bfd4a9262d</t>
        </is>
      </c>
      <c r="C2309" s="5" t="inlineStr">
        <is>
          <t>01a1212c-4b57-70cf-80fd-c2192cb3bf81</t>
        </is>
      </c>
      <c r="D2309" s="4" t="n">
        <v>46304.6240815108</v>
      </c>
      <c r="E2309" s="4" t="n">
        <v>46304.62408151087</v>
      </c>
      <c r="F2309" t="b">
        <v>1</v>
      </c>
      <c r="G2309" t="n">
        <v/>
      </c>
      <c r="H2309" t="inlineStr">
        <is>
          <t>CLZ</t>
        </is>
      </c>
      <c r="I2309" t="inlineStr">
        <is>
          <t>Classic Minerals Ltd</t>
        </is>
      </c>
      <c r="J2309" t="inlineStr">
        <is>
          <t>AUD</t>
        </is>
      </c>
      <c r="K2309" s="5" t="inlineStr">
        <is>
          <t>01a1212c-4c04-75ce-bbb2-e3322e18816e</t>
        </is>
      </c>
      <c r="M2309" t="inlineStr">
        <is>
          <t>UNKNOWN</t>
        </is>
      </c>
      <c r="N2309" t="inlineStr">
        <is>
          <t>DEFAULT</t>
        </is>
      </c>
      <c r="Q2309" t="n">
        <v>0</v>
      </c>
      <c r="R2309" t="inlineStr">
        <is>
          <t>AUD</t>
        </is>
      </c>
      <c r="S2309" t="n">
        <v>0</v>
      </c>
      <c r="T2309" t="inlineStr">
        <is>
          <t>AUD</t>
        </is>
      </c>
      <c r="U2309" t="n">
        <v>0</v>
      </c>
    </row>
    <row r="2310">
      <c r="A2310" s="5" t="inlineStr">
        <is>
          <t>01a1212c-6785-7610-9954-2b93642c8b40</t>
        </is>
      </c>
      <c r="C2310" s="5" t="inlineStr">
        <is>
          <t>01a1212c-4b57-70cf-80fd-c2192cb3bf81</t>
        </is>
      </c>
      <c r="D2310" s="4" t="n">
        <v>46304.62408154286</v>
      </c>
      <c r="E2310" s="4" t="n">
        <v>46304.62408154295</v>
      </c>
      <c r="F2310" t="b">
        <v>1</v>
      </c>
      <c r="G2310" t="n">
        <v/>
      </c>
      <c r="H2310" t="inlineStr">
        <is>
          <t>FUTR</t>
        </is>
      </c>
      <c r="I2310" t="inlineStr">
        <is>
          <t>Janus Henderson Global Sustainable EQ Active ETF</t>
        </is>
      </c>
      <c r="J2310" t="inlineStr">
        <is>
          <t>AUD</t>
        </is>
      </c>
      <c r="K2310" s="5" t="inlineStr">
        <is>
          <t>01a1212c-4c04-75ce-bbb2-e3322e18816e</t>
        </is>
      </c>
      <c r="M2310" t="inlineStr">
        <is>
          <t>UNKNOWN</t>
        </is>
      </c>
      <c r="N2310" t="inlineStr">
        <is>
          <t>DEFAULT</t>
        </is>
      </c>
      <c r="Q2310" t="n">
        <v>0</v>
      </c>
      <c r="R2310" t="inlineStr">
        <is>
          <t>AUD</t>
        </is>
      </c>
      <c r="S2310" t="n">
        <v>0</v>
      </c>
      <c r="T2310" t="inlineStr">
        <is>
          <t>AUD</t>
        </is>
      </c>
      <c r="U2310" t="n">
        <v>0</v>
      </c>
    </row>
    <row r="2311">
      <c r="A2311" s="5" t="inlineStr">
        <is>
          <t>01a1212c-6788-7406-bf47-9e8ee79eca13</t>
        </is>
      </c>
      <c r="C2311" s="5" t="inlineStr">
        <is>
          <t>01a1212c-4b57-70cf-80fd-c2192cb3bf81</t>
        </is>
      </c>
      <c r="D2311" s="4" t="n">
        <v>46304.62408157727</v>
      </c>
      <c r="E2311" s="4" t="n">
        <v>46304.62408157736</v>
      </c>
      <c r="F2311" t="b">
        <v>1</v>
      </c>
      <c r="G2311" t="n">
        <v/>
      </c>
      <c r="H2311" t="inlineStr">
        <is>
          <t>SRY</t>
        </is>
      </c>
      <c r="I2311" t="inlineStr">
        <is>
          <t>Story-I Ltd</t>
        </is>
      </c>
      <c r="J2311" t="inlineStr">
        <is>
          <t>AUD</t>
        </is>
      </c>
      <c r="K2311" s="5" t="inlineStr">
        <is>
          <t>01a1212c-4c04-75ce-bbb2-e3322e18816e</t>
        </is>
      </c>
      <c r="M2311" t="inlineStr">
        <is>
          <t>UNKNOWN</t>
        </is>
      </c>
      <c r="N2311" t="inlineStr">
        <is>
          <t>DEFAULT</t>
        </is>
      </c>
      <c r="Q2311" t="n">
        <v>0</v>
      </c>
      <c r="R2311" t="inlineStr">
        <is>
          <t>AUD</t>
        </is>
      </c>
      <c r="S2311" t="n">
        <v>0</v>
      </c>
      <c r="T2311" t="inlineStr">
        <is>
          <t>AUD</t>
        </is>
      </c>
      <c r="U2311" t="n">
        <v>0</v>
      </c>
    </row>
    <row r="2312">
      <c r="A2312" s="5" t="inlineStr">
        <is>
          <t>01a1212c-678a-773d-a4e2-077663c147f7</t>
        </is>
      </c>
      <c r="C2312" s="5" t="inlineStr">
        <is>
          <t>01a1212c-4b57-70cf-80fd-c2192cb3bf81</t>
        </is>
      </c>
      <c r="D2312" s="4" t="n">
        <v>46304.62408160993</v>
      </c>
      <c r="E2312" s="4" t="n">
        <v>46304.62408161001</v>
      </c>
      <c r="F2312" t="b">
        <v>1</v>
      </c>
      <c r="G2312" t="n">
        <v/>
      </c>
      <c r="H2312" t="inlineStr">
        <is>
          <t>JHGA</t>
        </is>
      </c>
      <c r="I2312" t="inlineStr">
        <is>
          <t>JPM GBL Equity Premium Income Hedged Complex ETF</t>
        </is>
      </c>
      <c r="J2312" t="inlineStr">
        <is>
          <t>AUD</t>
        </is>
      </c>
      <c r="K2312" s="5" t="inlineStr">
        <is>
          <t>01a1212c-4c04-75ce-bbb2-e3322e18816e</t>
        </is>
      </c>
      <c r="M2312" t="inlineStr">
        <is>
          <t>UNKNOWN</t>
        </is>
      </c>
      <c r="N2312" t="inlineStr">
        <is>
          <t>DEFAULT</t>
        </is>
      </c>
      <c r="Q2312" t="n">
        <v>0</v>
      </c>
      <c r="R2312" t="inlineStr">
        <is>
          <t>AUD</t>
        </is>
      </c>
      <c r="S2312" t="n">
        <v>0</v>
      </c>
      <c r="T2312" t="inlineStr">
        <is>
          <t>AUD</t>
        </is>
      </c>
      <c r="U2312" t="n">
        <v>0</v>
      </c>
    </row>
    <row r="2313">
      <c r="A2313" s="5" t="inlineStr">
        <is>
          <t>01a1212c-678d-7019-a4c7-644c22132c37</t>
        </is>
      </c>
      <c r="C2313" s="5" t="inlineStr">
        <is>
          <t>01a1212c-4b57-70cf-80fd-c2192cb3bf81</t>
        </is>
      </c>
      <c r="D2313" s="4" t="n">
        <v>46304.62408164168</v>
      </c>
      <c r="E2313" s="4" t="n">
        <v>46304.62408164176</v>
      </c>
      <c r="F2313" t="b">
        <v>1</v>
      </c>
      <c r="G2313" t="n">
        <v/>
      </c>
      <c r="H2313" t="inlineStr">
        <is>
          <t>WFL</t>
        </is>
      </c>
      <c r="I2313" t="inlineStr">
        <is>
          <t>Wellfully Ltd</t>
        </is>
      </c>
      <c r="J2313" t="inlineStr">
        <is>
          <t>AUD</t>
        </is>
      </c>
      <c r="K2313" s="5" t="inlineStr">
        <is>
          <t>01a1212c-4c04-75ce-bbb2-e3322e18816e</t>
        </is>
      </c>
      <c r="M2313" t="inlineStr">
        <is>
          <t>UNKNOWN</t>
        </is>
      </c>
      <c r="N2313" t="inlineStr">
        <is>
          <t>DEFAULT</t>
        </is>
      </c>
      <c r="Q2313" t="n">
        <v>0</v>
      </c>
      <c r="R2313" t="inlineStr">
        <is>
          <t>AUD</t>
        </is>
      </c>
      <c r="S2313" t="n">
        <v>0</v>
      </c>
      <c r="T2313" t="inlineStr">
        <is>
          <t>AUD</t>
        </is>
      </c>
      <c r="U2313" t="n">
        <v>0</v>
      </c>
    </row>
    <row r="2314">
      <c r="A2314" s="5" t="inlineStr">
        <is>
          <t>01a1212c-6790-74ca-bda6-5d35d33d20ac</t>
        </is>
      </c>
      <c r="C2314" s="5" t="inlineStr">
        <is>
          <t>01a1212c-4b57-70cf-80fd-c2192cb3bf81</t>
        </is>
      </c>
      <c r="D2314" s="4" t="n">
        <v>46304.62408167551</v>
      </c>
      <c r="E2314" s="4" t="n">
        <v>46304.62408167559</v>
      </c>
      <c r="F2314" t="b">
        <v>1</v>
      </c>
      <c r="G2314" t="n">
        <v/>
      </c>
      <c r="H2314" t="inlineStr">
        <is>
          <t>BP8</t>
        </is>
      </c>
      <c r="I2314" t="inlineStr">
        <is>
          <t>BPH Global Ltd</t>
        </is>
      </c>
      <c r="J2314" t="inlineStr">
        <is>
          <t>AUD</t>
        </is>
      </c>
      <c r="K2314" s="5" t="inlineStr">
        <is>
          <t>01a1212c-4c04-75ce-bbb2-e3322e18816e</t>
        </is>
      </c>
      <c r="M2314" t="inlineStr">
        <is>
          <t>UNKNOWN</t>
        </is>
      </c>
      <c r="N2314" t="inlineStr">
        <is>
          <t>DEFAULT</t>
        </is>
      </c>
      <c r="Q2314" t="n">
        <v>0</v>
      </c>
      <c r="R2314" t="inlineStr">
        <is>
          <t>AUD</t>
        </is>
      </c>
      <c r="S2314" t="n">
        <v>0</v>
      </c>
      <c r="T2314" t="inlineStr">
        <is>
          <t>AUD</t>
        </is>
      </c>
      <c r="U2314" t="n">
        <v>0</v>
      </c>
    </row>
    <row r="2315">
      <c r="A2315" s="5" t="inlineStr">
        <is>
          <t>01a1212c-6793-730c-81a3-188cd2843b75</t>
        </is>
      </c>
      <c r="C2315" s="5" t="inlineStr">
        <is>
          <t>01a1212c-4b57-70cf-80fd-c2192cb3bf81</t>
        </is>
      </c>
      <c r="D2315" s="4" t="n">
        <v>46304.62408170688</v>
      </c>
      <c r="E2315" s="4" t="n">
        <v>46304.62408170696</v>
      </c>
      <c r="F2315" t="b">
        <v>1</v>
      </c>
      <c r="G2315" t="n">
        <v/>
      </c>
      <c r="H2315" t="inlineStr">
        <is>
          <t>YAR</t>
        </is>
      </c>
      <c r="I2315" t="inlineStr">
        <is>
          <t>Yari Minerals Ltd</t>
        </is>
      </c>
      <c r="J2315" t="inlineStr">
        <is>
          <t>AUD</t>
        </is>
      </c>
      <c r="K2315" s="5" t="inlineStr">
        <is>
          <t>01a1212c-4c04-75ce-bbb2-e3322e18816e</t>
        </is>
      </c>
      <c r="M2315" t="inlineStr">
        <is>
          <t>UNKNOWN</t>
        </is>
      </c>
      <c r="N2315" t="inlineStr">
        <is>
          <t>DEFAULT</t>
        </is>
      </c>
      <c r="Q2315" t="n">
        <v>0</v>
      </c>
      <c r="R2315" t="inlineStr">
        <is>
          <t>AUD</t>
        </is>
      </c>
      <c r="S2315" t="n">
        <v>0</v>
      </c>
      <c r="T2315" t="inlineStr">
        <is>
          <t>AUD</t>
        </is>
      </c>
      <c r="U2315" t="n">
        <v>0</v>
      </c>
    </row>
    <row r="2316">
      <c r="A2316" s="5" t="inlineStr">
        <is>
          <t>01a1212c-6796-771e-9534-a6184a7ea368</t>
        </is>
      </c>
      <c r="C2316" s="5" t="inlineStr">
        <is>
          <t>01a1212c-4b57-70cf-80fd-c2192cb3bf81</t>
        </is>
      </c>
      <c r="D2316" s="4" t="n">
        <v>46304.62408173853</v>
      </c>
      <c r="E2316" s="4" t="n">
        <v>46304.62408173861</v>
      </c>
      <c r="F2316" t="b">
        <v>1</v>
      </c>
      <c r="G2316" t="n">
        <v/>
      </c>
      <c r="H2316" t="inlineStr">
        <is>
          <t>CR9</t>
        </is>
      </c>
      <c r="I2316" t="inlineStr">
        <is>
          <t>Corella Resources Ltd</t>
        </is>
      </c>
      <c r="J2316" t="inlineStr">
        <is>
          <t>AUD</t>
        </is>
      </c>
      <c r="K2316" s="5" t="inlineStr">
        <is>
          <t>01a1212c-4c04-75ce-bbb2-e3322e18816e</t>
        </is>
      </c>
      <c r="M2316" t="inlineStr">
        <is>
          <t>UNKNOWN</t>
        </is>
      </c>
      <c r="N2316" t="inlineStr">
        <is>
          <t>DEFAULT</t>
        </is>
      </c>
      <c r="Q2316" t="n">
        <v>0</v>
      </c>
      <c r="R2316" t="inlineStr">
        <is>
          <t>AUD</t>
        </is>
      </c>
      <c r="S2316" t="n">
        <v>0</v>
      </c>
      <c r="T2316" t="inlineStr">
        <is>
          <t>AUD</t>
        </is>
      </c>
      <c r="U2316" t="n">
        <v>0</v>
      </c>
    </row>
    <row r="2317">
      <c r="A2317" s="5" t="inlineStr">
        <is>
          <t>01a1212c-6799-7036-8f88-adbce1b3f8b6</t>
        </is>
      </c>
      <c r="C2317" s="5" t="inlineStr">
        <is>
          <t>01a1212c-4b57-70cf-80fd-c2192cb3bf81</t>
        </is>
      </c>
      <c r="D2317" s="4" t="n">
        <v>46304.62408177742</v>
      </c>
      <c r="E2317" s="4" t="n">
        <v>46304.62408177751</v>
      </c>
      <c r="F2317" t="b">
        <v>1</v>
      </c>
      <c r="G2317" t="n">
        <v/>
      </c>
      <c r="H2317" t="inlineStr">
        <is>
          <t>SLZ</t>
        </is>
      </c>
      <c r="I2317" t="inlineStr">
        <is>
          <t>Sultan Resources Ltd</t>
        </is>
      </c>
      <c r="J2317" t="inlineStr">
        <is>
          <t>AUD</t>
        </is>
      </c>
      <c r="K2317" s="5" t="inlineStr">
        <is>
          <t>01a1212c-4c04-75ce-bbb2-e3322e18816e</t>
        </is>
      </c>
      <c r="M2317" t="inlineStr">
        <is>
          <t>UNKNOWN</t>
        </is>
      </c>
      <c r="N2317" t="inlineStr">
        <is>
          <t>DEFAULT</t>
        </is>
      </c>
      <c r="Q2317" t="n">
        <v>0</v>
      </c>
      <c r="R2317" t="inlineStr">
        <is>
          <t>AUD</t>
        </is>
      </c>
      <c r="S2317" t="n">
        <v>0</v>
      </c>
      <c r="T2317" t="inlineStr">
        <is>
          <t>AUD</t>
        </is>
      </c>
      <c r="U2317" t="n">
        <v>0</v>
      </c>
    </row>
    <row r="2318">
      <c r="A2318" s="5" t="inlineStr">
        <is>
          <t>01a1212c-679c-7140-b82c-5c64f385f81b</t>
        </is>
      </c>
      <c r="C2318" s="5" t="inlineStr">
        <is>
          <t>01a1212c-4b57-70cf-80fd-c2192cb3bf81</t>
        </is>
      </c>
      <c r="D2318" s="4" t="n">
        <v>46304.62408181346</v>
      </c>
      <c r="E2318" s="4" t="n">
        <v>46304.62408181356</v>
      </c>
      <c r="F2318" t="b">
        <v>1</v>
      </c>
      <c r="G2318" t="n">
        <v/>
      </c>
      <c r="H2318" t="inlineStr">
        <is>
          <t>APC</t>
        </is>
      </c>
      <c r="I2318" t="inlineStr">
        <is>
          <t>APC Minerals Ltd</t>
        </is>
      </c>
      <c r="J2318" t="inlineStr">
        <is>
          <t>AUD</t>
        </is>
      </c>
      <c r="K2318" s="5" t="inlineStr">
        <is>
          <t>01a1212c-4c04-75ce-bbb2-e3322e18816e</t>
        </is>
      </c>
      <c r="M2318" t="inlineStr">
        <is>
          <t>UNKNOWN</t>
        </is>
      </c>
      <c r="N2318" t="inlineStr">
        <is>
          <t>DEFAULT</t>
        </is>
      </c>
      <c r="Q2318" t="n">
        <v>0</v>
      </c>
      <c r="R2318" t="inlineStr">
        <is>
          <t>AUD</t>
        </is>
      </c>
      <c r="S2318" t="n">
        <v>0</v>
      </c>
      <c r="T2318" t="inlineStr">
        <is>
          <t>AUD</t>
        </is>
      </c>
      <c r="U2318" t="n">
        <v>0</v>
      </c>
    </row>
    <row r="2319">
      <c r="A2319" s="5" t="inlineStr">
        <is>
          <t>01a1212c-679f-7637-b5f5-b27f5d421da9</t>
        </is>
      </c>
      <c r="C2319" s="5" t="inlineStr">
        <is>
          <t>01a1212c-4b57-70cf-80fd-c2192cb3bf81</t>
        </is>
      </c>
      <c r="D2319" s="4" t="n">
        <v>46304.62408184492</v>
      </c>
      <c r="E2319" s="4" t="n">
        <v>46304.624081845</v>
      </c>
      <c r="F2319" t="b">
        <v>1</v>
      </c>
      <c r="G2319" t="n">
        <v/>
      </c>
      <c r="H2319" t="inlineStr">
        <is>
          <t>MKL</t>
        </is>
      </c>
      <c r="I2319" t="inlineStr">
        <is>
          <t>Mighty Kingdom Ltd</t>
        </is>
      </c>
      <c r="J2319" t="inlineStr">
        <is>
          <t>AUD</t>
        </is>
      </c>
      <c r="K2319" s="5" t="inlineStr">
        <is>
          <t>01a1212c-4c04-75ce-bbb2-e3322e18816e</t>
        </is>
      </c>
      <c r="M2319" t="inlineStr">
        <is>
          <t>UNKNOWN</t>
        </is>
      </c>
      <c r="N2319" t="inlineStr">
        <is>
          <t>DEFAULT</t>
        </is>
      </c>
      <c r="Q2319" t="n">
        <v>0</v>
      </c>
      <c r="R2319" t="inlineStr">
        <is>
          <t>AUD</t>
        </is>
      </c>
      <c r="S2319" t="n">
        <v>0</v>
      </c>
      <c r="T2319" t="inlineStr">
        <is>
          <t>AUD</t>
        </is>
      </c>
      <c r="U2319" t="n">
        <v>0</v>
      </c>
    </row>
    <row r="2320">
      <c r="A2320" s="5" t="inlineStr">
        <is>
          <t>01a1212c-67a1-7337-84a3-e55a2ae5fb4f</t>
        </is>
      </c>
      <c r="C2320" s="5" t="inlineStr">
        <is>
          <t>01a1212c-4b57-70cf-80fd-c2192cb3bf81</t>
        </is>
      </c>
      <c r="D2320" s="4" t="n">
        <v>46304.62408187609</v>
      </c>
      <c r="E2320" s="4" t="n">
        <v>46304.62408187617</v>
      </c>
      <c r="F2320" t="b">
        <v>1</v>
      </c>
      <c r="G2320" t="n">
        <v/>
      </c>
      <c r="H2320" t="inlineStr">
        <is>
          <t>KEY</t>
        </is>
      </c>
      <c r="I2320" t="inlineStr">
        <is>
          <t>KEY Petroleum Ltd</t>
        </is>
      </c>
      <c r="J2320" t="inlineStr">
        <is>
          <t>AUD</t>
        </is>
      </c>
      <c r="K2320" s="5" t="inlineStr">
        <is>
          <t>01a1212c-4c04-75ce-bbb2-e3322e18816e</t>
        </is>
      </c>
      <c r="M2320" t="inlineStr">
        <is>
          <t>UNKNOWN</t>
        </is>
      </c>
      <c r="N2320" t="inlineStr">
        <is>
          <t>DEFAULT</t>
        </is>
      </c>
      <c r="Q2320" t="n">
        <v>0</v>
      </c>
      <c r="R2320" t="inlineStr">
        <is>
          <t>AUD</t>
        </is>
      </c>
      <c r="S2320" t="n">
        <v>0</v>
      </c>
      <c r="T2320" t="inlineStr">
        <is>
          <t>AUD</t>
        </is>
      </c>
      <c r="U2320" t="n">
        <v>0</v>
      </c>
    </row>
    <row r="2321">
      <c r="A2321" s="5" t="inlineStr">
        <is>
          <t>01a1212c-67a4-7450-84fa-23864c5a7712</t>
        </is>
      </c>
      <c r="C2321" s="5" t="inlineStr">
        <is>
          <t>01a1212c-4b57-70cf-80fd-c2192cb3bf81</t>
        </is>
      </c>
      <c r="D2321" s="4" t="n">
        <v>46304.62408190741</v>
      </c>
      <c r="E2321" s="4" t="n">
        <v>46304.62408190749</v>
      </c>
      <c r="F2321" t="b">
        <v>1</v>
      </c>
      <c r="G2321" t="n">
        <v/>
      </c>
      <c r="H2321" t="inlineStr">
        <is>
          <t>BEL</t>
        </is>
      </c>
      <c r="I2321" t="inlineStr">
        <is>
          <t>Bentley Capital Ltd</t>
        </is>
      </c>
      <c r="J2321" t="inlineStr">
        <is>
          <t>AUD</t>
        </is>
      </c>
      <c r="K2321" s="5" t="inlineStr">
        <is>
          <t>01a1212c-4c04-75ce-bbb2-e3322e18816e</t>
        </is>
      </c>
      <c r="M2321" t="inlineStr">
        <is>
          <t>UNKNOWN</t>
        </is>
      </c>
      <c r="N2321" t="inlineStr">
        <is>
          <t>DEFAULT</t>
        </is>
      </c>
      <c r="Q2321" t="n">
        <v>0</v>
      </c>
      <c r="R2321" t="inlineStr">
        <is>
          <t>AUD</t>
        </is>
      </c>
      <c r="S2321" t="n">
        <v>0</v>
      </c>
      <c r="T2321" t="inlineStr">
        <is>
          <t>AUD</t>
        </is>
      </c>
      <c r="U2321" t="n">
        <v>0</v>
      </c>
    </row>
    <row r="2322">
      <c r="A2322" s="5" t="inlineStr">
        <is>
          <t>01a1212c-67a7-7591-b168-cc543a647a55</t>
        </is>
      </c>
      <c r="C2322" s="5" t="inlineStr">
        <is>
          <t>01a1212c-4b57-70cf-80fd-c2192cb3bf81</t>
        </is>
      </c>
      <c r="D2322" s="4" t="n">
        <v>46304.62408194138</v>
      </c>
      <c r="E2322" s="4" t="n">
        <v>46304.62408194146</v>
      </c>
      <c r="F2322" t="b">
        <v>1</v>
      </c>
      <c r="G2322" t="n">
        <v/>
      </c>
      <c r="H2322" t="inlineStr">
        <is>
          <t>BBFD</t>
        </is>
      </c>
      <c r="I2322" t="inlineStr">
        <is>
          <t>Betashares Geared Short US TR Bond CH (Hedge Fund)</t>
        </is>
      </c>
      <c r="J2322" t="inlineStr">
        <is>
          <t>AUD</t>
        </is>
      </c>
      <c r="K2322" s="5" t="inlineStr">
        <is>
          <t>01a1212c-4c04-75ce-bbb2-e3322e18816e</t>
        </is>
      </c>
      <c r="M2322" t="inlineStr">
        <is>
          <t>UNKNOWN</t>
        </is>
      </c>
      <c r="N2322" t="inlineStr">
        <is>
          <t>DEFAULT</t>
        </is>
      </c>
      <c r="Q2322" t="n">
        <v>0</v>
      </c>
      <c r="R2322" t="inlineStr">
        <is>
          <t>AUD</t>
        </is>
      </c>
      <c r="S2322" t="n">
        <v>0</v>
      </c>
      <c r="T2322" t="inlineStr">
        <is>
          <t>AUD</t>
        </is>
      </c>
      <c r="U2322" t="n">
        <v>0</v>
      </c>
    </row>
    <row r="2323">
      <c r="A2323" s="5" t="inlineStr">
        <is>
          <t>01a1212c-67aa-76c9-8423-7a3627a1483f</t>
        </is>
      </c>
      <c r="C2323" s="5" t="inlineStr">
        <is>
          <t>01a1212c-4b57-70cf-80fd-c2192cb3bf81</t>
        </is>
      </c>
      <c r="D2323" s="4" t="n">
        <v>46304.62408197622</v>
      </c>
      <c r="E2323" s="4" t="n">
        <v>46304.6240819763</v>
      </c>
      <c r="F2323" t="b">
        <v>1</v>
      </c>
      <c r="G2323" t="n">
        <v/>
      </c>
      <c r="H2323" t="inlineStr">
        <is>
          <t>KLR</t>
        </is>
      </c>
      <c r="I2323" t="inlineStr">
        <is>
          <t>Kaili Resources Ltd</t>
        </is>
      </c>
      <c r="J2323" t="inlineStr">
        <is>
          <t>AUD</t>
        </is>
      </c>
      <c r="K2323" s="5" t="inlineStr">
        <is>
          <t>01a1212c-4c04-75ce-bbb2-e3322e18816e</t>
        </is>
      </c>
      <c r="M2323" t="inlineStr">
        <is>
          <t>UNKNOWN</t>
        </is>
      </c>
      <c r="N2323" t="inlineStr">
        <is>
          <t>DEFAULT</t>
        </is>
      </c>
      <c r="Q2323" t="n">
        <v>0</v>
      </c>
      <c r="R2323" t="inlineStr">
        <is>
          <t>AUD</t>
        </is>
      </c>
      <c r="S2323" t="n">
        <v>0</v>
      </c>
      <c r="T2323" t="inlineStr">
        <is>
          <t>AUD</t>
        </is>
      </c>
      <c r="U2323" t="n">
        <v>0</v>
      </c>
    </row>
    <row r="2324">
      <c r="A2324" s="5" t="inlineStr">
        <is>
          <t>01a1212c-67ad-75b2-81ec-420dec451eef</t>
        </is>
      </c>
      <c r="C2324" s="5" t="inlineStr">
        <is>
          <t>01a1212c-4b57-70cf-80fd-c2192cb3bf81</t>
        </is>
      </c>
      <c r="D2324" s="4" t="n">
        <v>46304.62408200776</v>
      </c>
      <c r="E2324" s="4" t="n">
        <v>46304.62408200784</v>
      </c>
      <c r="F2324" t="b">
        <v>1</v>
      </c>
      <c r="G2324" t="n">
        <v/>
      </c>
      <c r="H2324" t="inlineStr">
        <is>
          <t>ATM</t>
        </is>
      </c>
      <c r="I2324" t="inlineStr">
        <is>
          <t>Aneka Tambang (Persero) TBK (PT)</t>
        </is>
      </c>
      <c r="J2324" t="inlineStr">
        <is>
          <t>AUD</t>
        </is>
      </c>
      <c r="K2324" s="5" t="inlineStr">
        <is>
          <t>01a1212c-4c04-75ce-bbb2-e3322e18816e</t>
        </is>
      </c>
      <c r="M2324" t="inlineStr">
        <is>
          <t>UNKNOWN</t>
        </is>
      </c>
      <c r="N2324" t="inlineStr">
        <is>
          <t>DEFAULT</t>
        </is>
      </c>
      <c r="Q2324" t="n">
        <v>0</v>
      </c>
      <c r="R2324" t="inlineStr">
        <is>
          <t>AUD</t>
        </is>
      </c>
      <c r="S2324" t="n">
        <v>0</v>
      </c>
      <c r="T2324" t="inlineStr">
        <is>
          <t>AUD</t>
        </is>
      </c>
      <c r="U2324" t="n">
        <v>0</v>
      </c>
    </row>
    <row r="2325">
      <c r="A2325" s="5" t="inlineStr">
        <is>
          <t>01a1212c-67b0-72fa-84cb-78fb038830f0</t>
        </is>
      </c>
      <c r="C2325" s="5" t="inlineStr">
        <is>
          <t>01a1212c-4b57-70cf-80fd-c2192cb3bf81</t>
        </is>
      </c>
      <c r="D2325" s="4" t="n">
        <v>46304.62408203937</v>
      </c>
      <c r="E2325" s="4" t="n">
        <v>46304.62408203945</v>
      </c>
      <c r="F2325" t="b">
        <v>1</v>
      </c>
      <c r="G2325" t="n">
        <v/>
      </c>
      <c r="H2325" t="inlineStr">
        <is>
          <t>QUE</t>
        </is>
      </c>
      <c r="I2325" t="inlineStr">
        <is>
          <t>Queste Communications Ltd</t>
        </is>
      </c>
      <c r="J2325" t="inlineStr">
        <is>
          <t>AUD</t>
        </is>
      </c>
      <c r="K2325" s="5" t="inlineStr">
        <is>
          <t>01a1212c-4c04-75ce-bbb2-e3322e18816e</t>
        </is>
      </c>
      <c r="M2325" t="inlineStr">
        <is>
          <t>UNKNOWN</t>
        </is>
      </c>
      <c r="N2325" t="inlineStr">
        <is>
          <t>DEFAULT</t>
        </is>
      </c>
      <c r="Q2325" t="n">
        <v>0</v>
      </c>
      <c r="R2325" t="inlineStr">
        <is>
          <t>AUD</t>
        </is>
      </c>
      <c r="S2325" t="n">
        <v>0</v>
      </c>
      <c r="T2325" t="inlineStr">
        <is>
          <t>AUD</t>
        </is>
      </c>
      <c r="U2325" t="n">
        <v>0</v>
      </c>
    </row>
    <row r="2326">
      <c r="A2326" s="5" t="inlineStr">
        <is>
          <t>01a1212c-67b2-70ab-89bb-94f5d51048d9</t>
        </is>
      </c>
      <c r="C2326" s="5" t="inlineStr">
        <is>
          <t>01a1212c-4b57-70cf-80fd-c2192cb3bf81</t>
        </is>
      </c>
      <c r="D2326" s="4" t="n">
        <v>46304.62408207142</v>
      </c>
      <c r="E2326" s="4" t="n">
        <v>46304.6240820715</v>
      </c>
      <c r="F2326" t="b">
        <v>1</v>
      </c>
      <c r="G2326" t="n">
        <v/>
      </c>
      <c r="H2326" t="inlineStr">
        <is>
          <t>WNR</t>
        </is>
      </c>
      <c r="I2326" t="inlineStr">
        <is>
          <t>Wingara AG Ltd</t>
        </is>
      </c>
      <c r="J2326" t="inlineStr">
        <is>
          <t>AUD</t>
        </is>
      </c>
      <c r="K2326" s="5" t="inlineStr">
        <is>
          <t>01a1212c-4c04-75ce-bbb2-e3322e18816e</t>
        </is>
      </c>
      <c r="M2326" t="inlineStr">
        <is>
          <t>UNKNOWN</t>
        </is>
      </c>
      <c r="N2326" t="inlineStr">
        <is>
          <t>DEFAULT</t>
        </is>
      </c>
      <c r="Q2326" t="n">
        <v>0</v>
      </c>
      <c r="R2326" t="inlineStr">
        <is>
          <t>AUD</t>
        </is>
      </c>
      <c r="S2326" t="n">
        <v>0</v>
      </c>
      <c r="T2326" t="inlineStr">
        <is>
          <t>AUD</t>
        </is>
      </c>
      <c r="U2326" t="n">
        <v>0</v>
      </c>
    </row>
    <row r="2327">
      <c r="A2327" s="5" t="inlineStr">
        <is>
          <t>01a1212c-67b5-74b1-9d99-269f85ea40d6</t>
        </is>
      </c>
      <c r="C2327" s="5" t="inlineStr">
        <is>
          <t>01a1212c-4b57-70cf-80fd-c2192cb3bf81</t>
        </is>
      </c>
      <c r="D2327" s="4" t="n">
        <v>46304.6240821079</v>
      </c>
      <c r="E2327" s="4" t="n">
        <v>46304.62408210801</v>
      </c>
      <c r="F2327" t="b">
        <v>1</v>
      </c>
      <c r="G2327" t="n">
        <v/>
      </c>
      <c r="H2327" t="inlineStr">
        <is>
          <t>ASAO</t>
        </is>
      </c>
      <c r="I2327" t="inlineStr">
        <is>
          <t>ABRDN Sust Asian Opportunities Active ETF</t>
        </is>
      </c>
      <c r="J2327" t="inlineStr">
        <is>
          <t>AUD</t>
        </is>
      </c>
      <c r="K2327" s="5" t="inlineStr">
        <is>
          <t>01a1212c-4c04-75ce-bbb2-e3322e18816e</t>
        </is>
      </c>
      <c r="M2327" t="inlineStr">
        <is>
          <t>UNKNOWN</t>
        </is>
      </c>
      <c r="N2327" t="inlineStr">
        <is>
          <t>DEFAULT</t>
        </is>
      </c>
      <c r="Q2327" t="n">
        <v>0</v>
      </c>
      <c r="R2327" t="inlineStr">
        <is>
          <t>AUD</t>
        </is>
      </c>
      <c r="S2327" t="n">
        <v>0</v>
      </c>
      <c r="T2327" t="inlineStr">
        <is>
          <t>AUD</t>
        </is>
      </c>
      <c r="U2327" t="n">
        <v>0</v>
      </c>
    </row>
    <row r="2328">
      <c r="A2328" s="5" t="inlineStr">
        <is>
          <t>01a1212c-67b8-7681-90e2-c4f39263b995</t>
        </is>
      </c>
      <c r="C2328" s="5" t="inlineStr">
        <is>
          <t>01a1212c-4b57-70cf-80fd-c2192cb3bf81</t>
        </is>
      </c>
      <c r="D2328" s="4" t="n">
        <v>46304.62408214214</v>
      </c>
      <c r="E2328" s="4" t="n">
        <v>46304.62408214223</v>
      </c>
      <c r="F2328" t="b">
        <v>1</v>
      </c>
      <c r="G2328" t="n">
        <v/>
      </c>
      <c r="H2328" t="inlineStr">
        <is>
          <t>SAN</t>
        </is>
      </c>
      <c r="I2328" t="inlineStr">
        <is>
          <t>Sagalio Energy Ltd</t>
        </is>
      </c>
      <c r="J2328" t="inlineStr">
        <is>
          <t>AUD</t>
        </is>
      </c>
      <c r="K2328" s="5" t="inlineStr">
        <is>
          <t>01a1212c-4c04-75ce-bbb2-e3322e18816e</t>
        </is>
      </c>
      <c r="M2328" t="inlineStr">
        <is>
          <t>UNKNOWN</t>
        </is>
      </c>
      <c r="N2328" t="inlineStr">
        <is>
          <t>DEFAULT</t>
        </is>
      </c>
      <c r="Q2328" t="n">
        <v>0</v>
      </c>
      <c r="R2328" t="inlineStr">
        <is>
          <t>AUD</t>
        </is>
      </c>
      <c r="S2328" t="n">
        <v>0</v>
      </c>
      <c r="T2328" t="inlineStr">
        <is>
          <t>AUD</t>
        </is>
      </c>
      <c r="U2328" t="n">
        <v>0</v>
      </c>
    </row>
    <row r="2329">
      <c r="A2329" s="5" t="inlineStr">
        <is>
          <t>01a1212c-67bb-75d1-aaf8-e866a7d97f72</t>
        </is>
      </c>
      <c r="C2329" s="5" t="inlineStr">
        <is>
          <t>01a1212c-4b57-70cf-80fd-c2192cb3bf81</t>
        </is>
      </c>
      <c r="D2329" s="4" t="n">
        <v>46304.6240821752</v>
      </c>
      <c r="E2329" s="4" t="n">
        <v>46304.62408217529</v>
      </c>
      <c r="F2329" t="b">
        <v>1</v>
      </c>
      <c r="G2329" t="n">
        <v/>
      </c>
      <c r="H2329" t="inlineStr">
        <is>
          <t>MSG</t>
        </is>
      </c>
      <c r="I2329" t="inlineStr">
        <is>
          <t>MCS Services Ltd</t>
        </is>
      </c>
      <c r="J2329" t="inlineStr">
        <is>
          <t>AUD</t>
        </is>
      </c>
      <c r="K2329" s="5" t="inlineStr">
        <is>
          <t>01a1212c-4c04-75ce-bbb2-e3322e18816e</t>
        </is>
      </c>
      <c r="M2329" t="inlineStr">
        <is>
          <t>UNKNOWN</t>
        </is>
      </c>
      <c r="N2329" t="inlineStr">
        <is>
          <t>DEFAULT</t>
        </is>
      </c>
      <c r="Q2329" t="n">
        <v>0</v>
      </c>
      <c r="R2329" t="inlineStr">
        <is>
          <t>AUD</t>
        </is>
      </c>
      <c r="S2329" t="n">
        <v>0</v>
      </c>
      <c r="T2329" t="inlineStr">
        <is>
          <t>AUD</t>
        </is>
      </c>
      <c r="U2329" t="n">
        <v>0</v>
      </c>
    </row>
    <row r="2330">
      <c r="A2330" s="5" t="inlineStr">
        <is>
          <t>01a1212c-67be-75a9-bae3-1d99c9cd5f55</t>
        </is>
      </c>
      <c r="C2330" s="5" t="inlineStr">
        <is>
          <t>01a1212c-4b57-70cf-80fd-c2192cb3bf81</t>
        </is>
      </c>
      <c r="D2330" s="4" t="n">
        <v>46304.62408220812</v>
      </c>
      <c r="E2330" s="4" t="n">
        <v>46304.62408220822</v>
      </c>
      <c r="F2330" t="b">
        <v>1</v>
      </c>
      <c r="G2330" t="n">
        <v/>
      </c>
      <c r="H2330" t="inlineStr">
        <is>
          <t>ULTB</t>
        </is>
      </c>
      <c r="I2330" t="inlineStr">
        <is>
          <t>Ishares 20+ Year U.S. Treasury Bond (Hedged) ETF</t>
        </is>
      </c>
      <c r="J2330" t="inlineStr">
        <is>
          <t>AUD</t>
        </is>
      </c>
      <c r="K2330" s="5" t="inlineStr">
        <is>
          <t>01a1212c-4c04-75ce-bbb2-e3322e18816e</t>
        </is>
      </c>
      <c r="M2330" t="inlineStr">
        <is>
          <t>UNKNOWN</t>
        </is>
      </c>
      <c r="N2330" t="inlineStr">
        <is>
          <t>DEFAULT</t>
        </is>
      </c>
      <c r="Q2330" t="n">
        <v>0</v>
      </c>
      <c r="R2330" t="inlineStr">
        <is>
          <t>AUD</t>
        </is>
      </c>
      <c r="S2330" t="n">
        <v>0</v>
      </c>
      <c r="T2330" t="inlineStr">
        <is>
          <t>AUD</t>
        </is>
      </c>
      <c r="U2330" t="n">
        <v>0</v>
      </c>
    </row>
    <row r="2331">
      <c r="A2331" s="5" t="inlineStr">
        <is>
          <t>01a1212c-67c1-759a-8297-7974356ae047</t>
        </is>
      </c>
      <c r="C2331" s="5" t="inlineStr">
        <is>
          <t>01a1212c-4b57-70cf-80fd-c2192cb3bf81</t>
        </is>
      </c>
      <c r="D2331" s="4" t="n">
        <v>46304.62408224094</v>
      </c>
      <c r="E2331" s="4" t="n">
        <v>46304.62408224104</v>
      </c>
      <c r="F2331" t="b">
        <v>1</v>
      </c>
      <c r="G2331" t="n">
        <v/>
      </c>
      <c r="H2331" t="inlineStr">
        <is>
          <t>FHCO</t>
        </is>
      </c>
      <c r="I2331" t="inlineStr">
        <is>
          <t>Fidelity Australian High Conviction Active ETF</t>
        </is>
      </c>
      <c r="J2331" t="inlineStr">
        <is>
          <t>AUD</t>
        </is>
      </c>
      <c r="K2331" s="5" t="inlineStr">
        <is>
          <t>01a1212c-4c04-75ce-bbb2-e3322e18816e</t>
        </is>
      </c>
      <c r="M2331" t="inlineStr">
        <is>
          <t>UNKNOWN</t>
        </is>
      </c>
      <c r="N2331" t="inlineStr">
        <is>
          <t>DEFAULT</t>
        </is>
      </c>
      <c r="Q2331" t="n">
        <v>0</v>
      </c>
      <c r="R2331" t="inlineStr">
        <is>
          <t>AUD</t>
        </is>
      </c>
      <c r="S2331" t="n">
        <v>0</v>
      </c>
      <c r="T2331" t="inlineStr">
        <is>
          <t>AUD</t>
        </is>
      </c>
      <c r="U2331" t="n">
        <v>0</v>
      </c>
    </row>
    <row r="2332">
      <c r="A2332" s="5" t="inlineStr">
        <is>
          <t>01a1212c-67c4-7272-ab6f-bbb4904d2e36</t>
        </is>
      </c>
      <c r="C2332" s="5" t="inlineStr">
        <is>
          <t>01a1212c-4b57-70cf-80fd-c2192cb3bf81</t>
        </is>
      </c>
      <c r="D2332" s="4" t="n">
        <v>46304.62408227715</v>
      </c>
      <c r="E2332" s="4" t="n">
        <v>46304.62408227726</v>
      </c>
      <c r="F2332" t="b">
        <v>1</v>
      </c>
      <c r="G2332" t="n">
        <v/>
      </c>
      <c r="H2332" t="inlineStr">
        <is>
          <t>FCG</t>
        </is>
      </c>
      <c r="I2332" t="inlineStr">
        <is>
          <t>Freedom Care Group Holdings Ltd</t>
        </is>
      </c>
      <c r="J2332" t="inlineStr">
        <is>
          <t>AUD</t>
        </is>
      </c>
      <c r="K2332" s="5" t="inlineStr">
        <is>
          <t>01a1212c-4c04-75ce-bbb2-e3322e18816e</t>
        </is>
      </c>
      <c r="M2332" t="inlineStr">
        <is>
          <t>UNKNOWN</t>
        </is>
      </c>
      <c r="N2332" t="inlineStr">
        <is>
          <t>DEFAULT</t>
        </is>
      </c>
      <c r="Q2332" t="n">
        <v>0</v>
      </c>
      <c r="R2332" t="inlineStr">
        <is>
          <t>AUD</t>
        </is>
      </c>
      <c r="S2332" t="n">
        <v>0</v>
      </c>
      <c r="T2332" t="inlineStr">
        <is>
          <t>AUD</t>
        </is>
      </c>
      <c r="U2332" t="n">
        <v>0</v>
      </c>
    </row>
    <row r="2333">
      <c r="A2333" s="5" t="inlineStr">
        <is>
          <t>01a1212c-67c7-76ce-8844-a9d0f37e2c15</t>
        </is>
      </c>
      <c r="C2333" s="5" t="inlineStr">
        <is>
          <t>01a1212c-4b57-70cf-80fd-c2192cb3bf81</t>
        </is>
      </c>
      <c r="D2333" s="4" t="n">
        <v>46304.62408231031</v>
      </c>
      <c r="E2333" s="4" t="n">
        <v>46304.62408231042</v>
      </c>
      <c r="F2333" t="b">
        <v>1</v>
      </c>
      <c r="G2333" t="n">
        <v/>
      </c>
      <c r="H2333" t="inlineStr">
        <is>
          <t>JZRO</t>
        </is>
      </c>
      <c r="I2333" t="inlineStr">
        <is>
          <t>Janus Henderson Net ZERO Transition Active ETF</t>
        </is>
      </c>
      <c r="J2333" t="inlineStr">
        <is>
          <t>AUD</t>
        </is>
      </c>
      <c r="K2333" s="5" t="inlineStr">
        <is>
          <t>01a1212c-4c04-75ce-bbb2-e3322e18816e</t>
        </is>
      </c>
      <c r="M2333" t="inlineStr">
        <is>
          <t>UNKNOWN</t>
        </is>
      </c>
      <c r="N2333" t="inlineStr">
        <is>
          <t>DEFAULT</t>
        </is>
      </c>
      <c r="Q2333" t="n">
        <v>0</v>
      </c>
      <c r="R2333" t="inlineStr">
        <is>
          <t>AUD</t>
        </is>
      </c>
      <c r="S2333" t="n">
        <v>0</v>
      </c>
      <c r="T2333" t="inlineStr">
        <is>
          <t>AUD</t>
        </is>
      </c>
      <c r="U2333" t="n">
        <v>0</v>
      </c>
    </row>
    <row r="2334">
      <c r="A2334" s="5" t="inlineStr">
        <is>
          <t>01a1212c-67ca-7194-b719-d159c8e30ef2</t>
        </is>
      </c>
      <c r="C2334" s="5" t="inlineStr">
        <is>
          <t>01a1212c-4b57-70cf-80fd-c2192cb3bf81</t>
        </is>
      </c>
      <c r="D2334" s="4" t="n">
        <v>46304.62408234337</v>
      </c>
      <c r="E2334" s="4" t="n">
        <v>46304.62408234345</v>
      </c>
      <c r="F2334" t="b">
        <v>1</v>
      </c>
      <c r="G2334" t="n">
        <v/>
      </c>
      <c r="H2334" t="inlineStr">
        <is>
          <t>MSI</t>
        </is>
      </c>
      <c r="I2334" t="inlineStr">
        <is>
          <t>Multistack International Ltd</t>
        </is>
      </c>
      <c r="J2334" t="inlineStr">
        <is>
          <t>AUD</t>
        </is>
      </c>
      <c r="K2334" s="5" t="inlineStr">
        <is>
          <t>01a1212c-4c04-75ce-bbb2-e3322e18816e</t>
        </is>
      </c>
      <c r="M2334" t="inlineStr">
        <is>
          <t>UNKNOWN</t>
        </is>
      </c>
      <c r="N2334" t="inlineStr">
        <is>
          <t>DEFAULT</t>
        </is>
      </c>
      <c r="Q2334" t="n">
        <v>0</v>
      </c>
      <c r="R2334" t="inlineStr">
        <is>
          <t>AUD</t>
        </is>
      </c>
      <c r="S2334" t="n">
        <v>0</v>
      </c>
      <c r="T2334" t="inlineStr">
        <is>
          <t>AUD</t>
        </is>
      </c>
      <c r="U2334" t="n">
        <v>0</v>
      </c>
    </row>
    <row r="2335">
      <c r="A2335" s="5" t="inlineStr">
        <is>
          <t>01a1212c-67cd-70dc-a981-bfb0caa4525e</t>
        </is>
      </c>
      <c r="C2335" s="5" t="inlineStr">
        <is>
          <t>01a1212c-4b57-70cf-80fd-c2192cb3bf81</t>
        </is>
      </c>
      <c r="D2335" s="4" t="n">
        <v>46304.62408237522</v>
      </c>
      <c r="E2335" s="4" t="n">
        <v>46304.6240823753</v>
      </c>
      <c r="F2335" t="b">
        <v>1</v>
      </c>
      <c r="G2335" t="n">
        <v/>
      </c>
      <c r="H2335" t="inlineStr">
        <is>
          <t>EM2R</t>
        </is>
      </c>
      <c r="I2335" t="inlineStr">
        <is>
          <t>Eagle Mountain Mining Ltd</t>
        </is>
      </c>
      <c r="J2335" t="inlineStr">
        <is>
          <t>AUD</t>
        </is>
      </c>
      <c r="K2335" s="5" t="inlineStr">
        <is>
          <t>01a1212c-4c04-75ce-bbb2-e3322e18816e</t>
        </is>
      </c>
      <c r="M2335" t="inlineStr">
        <is>
          <t>UNKNOWN</t>
        </is>
      </c>
      <c r="N2335" t="inlineStr">
        <is>
          <t>DEFAULT</t>
        </is>
      </c>
      <c r="Q2335" t="n">
        <v>0</v>
      </c>
      <c r="R2335" t="inlineStr">
        <is>
          <t>AUD</t>
        </is>
      </c>
      <c r="S2335" t="n">
        <v>0</v>
      </c>
      <c r="T2335" t="inlineStr">
        <is>
          <t>AUD</t>
        </is>
      </c>
      <c r="U2335" t="n">
        <v>0</v>
      </c>
    </row>
    <row r="2336">
      <c r="A2336" s="5" t="inlineStr">
        <is>
          <t>01a1212c-67d0-7147-8fe4-5ad0c2ab3f9e</t>
        </is>
      </c>
      <c r="C2336" s="5" t="inlineStr">
        <is>
          <t>01a1212c-4b57-70cf-80fd-c2192cb3bf81</t>
        </is>
      </c>
      <c r="D2336" s="4" t="n">
        <v>46304.62408240942</v>
      </c>
      <c r="E2336" s="4" t="n">
        <v>46304.6240824095</v>
      </c>
      <c r="F2336" t="b">
        <v>1</v>
      </c>
      <c r="G2336" t="n">
        <v/>
      </c>
      <c r="H2336" t="inlineStr">
        <is>
          <t>GOOD</t>
        </is>
      </c>
      <c r="I2336" t="inlineStr">
        <is>
          <t>Janus Henderson Sustainable Credit Active ETF</t>
        </is>
      </c>
      <c r="J2336" t="inlineStr">
        <is>
          <t>AUD</t>
        </is>
      </c>
      <c r="K2336" s="5" t="inlineStr">
        <is>
          <t>01a1212c-4c04-75ce-bbb2-e3322e18816e</t>
        </is>
      </c>
      <c r="M2336" t="inlineStr">
        <is>
          <t>UNKNOWN</t>
        </is>
      </c>
      <c r="N2336" t="inlineStr">
        <is>
          <t>DEFAULT</t>
        </is>
      </c>
      <c r="Q2336" t="n">
        <v>0</v>
      </c>
      <c r="R2336" t="inlineStr">
        <is>
          <t>AUD</t>
        </is>
      </c>
      <c r="S2336" t="n">
        <v>0</v>
      </c>
      <c r="T2336" t="inlineStr">
        <is>
          <t>AUD</t>
        </is>
      </c>
      <c r="U2336" t="n">
        <v>0</v>
      </c>
    </row>
    <row r="2337">
      <c r="A2337" s="5" t="inlineStr">
        <is>
          <t>01a1212c-67d2-7477-85de-6557bd6e48b7</t>
        </is>
      </c>
      <c r="C2337" s="5" t="inlineStr">
        <is>
          <t>01a1212c-4b57-70cf-80fd-c2192cb3bf81</t>
        </is>
      </c>
      <c r="D2337" s="4" t="n">
        <v>46304.624082442</v>
      </c>
      <c r="E2337" s="4" t="n">
        <v>46304.62408244208</v>
      </c>
      <c r="F2337" t="b">
        <v>1</v>
      </c>
      <c r="G2337" t="n">
        <v/>
      </c>
      <c r="H2337" t="inlineStr">
        <is>
          <t>OKJ</t>
        </is>
      </c>
      <c r="I2337" t="inlineStr">
        <is>
          <t>Oakajee Corporation Ltd</t>
        </is>
      </c>
      <c r="J2337" t="inlineStr">
        <is>
          <t>AUD</t>
        </is>
      </c>
      <c r="K2337" s="5" t="inlineStr">
        <is>
          <t>01a1212c-4c04-75ce-bbb2-e3322e18816e</t>
        </is>
      </c>
      <c r="M2337" t="inlineStr">
        <is>
          <t>UNKNOWN</t>
        </is>
      </c>
      <c r="N2337" t="inlineStr">
        <is>
          <t>DEFAULT</t>
        </is>
      </c>
      <c r="Q2337" t="n">
        <v>0</v>
      </c>
      <c r="R2337" t="inlineStr">
        <is>
          <t>AUD</t>
        </is>
      </c>
      <c r="S2337" t="n">
        <v>0</v>
      </c>
      <c r="T2337" t="inlineStr">
        <is>
          <t>AUD</t>
        </is>
      </c>
      <c r="U2337" t="n">
        <v>0</v>
      </c>
    </row>
    <row r="2338">
      <c r="A2338" s="5" t="inlineStr">
        <is>
          <t>01a1212c-67d5-7745-aaa9-4afd8b1f71df</t>
        </is>
      </c>
      <c r="C2338" s="5" t="inlineStr">
        <is>
          <t>01a1212c-4b57-70cf-80fd-c2192cb3bf81</t>
        </is>
      </c>
      <c r="D2338" s="4" t="n">
        <v>46304.6240824736</v>
      </c>
      <c r="E2338" s="4" t="n">
        <v>46304.62408247368</v>
      </c>
      <c r="F2338" t="b">
        <v>1</v>
      </c>
      <c r="G2338" t="n">
        <v/>
      </c>
      <c r="H2338" t="inlineStr">
        <is>
          <t>CHRCA</t>
        </is>
      </c>
      <c r="I2338" t="inlineStr">
        <is>
          <t>Charger Metals NL</t>
        </is>
      </c>
      <c r="J2338" t="inlineStr">
        <is>
          <t>AUD</t>
        </is>
      </c>
      <c r="K2338" s="5" t="inlineStr">
        <is>
          <t>01a1212c-4c04-75ce-bbb2-e3322e18816e</t>
        </is>
      </c>
      <c r="M2338" t="inlineStr">
        <is>
          <t>UNKNOWN</t>
        </is>
      </c>
      <c r="N2338" t="inlineStr">
        <is>
          <t>DEFAULT</t>
        </is>
      </c>
      <c r="Q2338" t="n">
        <v>0</v>
      </c>
      <c r="R2338" t="inlineStr">
        <is>
          <t>AUD</t>
        </is>
      </c>
      <c r="S2338" t="n">
        <v>0</v>
      </c>
      <c r="T2338" t="inlineStr">
        <is>
          <t>AUD</t>
        </is>
      </c>
      <c r="U2338" t="n">
        <v>0</v>
      </c>
    </row>
    <row r="2339">
      <c r="A2339" s="5" t="inlineStr">
        <is>
          <t>01a1212c-67d8-75d1-b808-f10d841f4575</t>
        </is>
      </c>
      <c r="C2339" s="5" t="inlineStr">
        <is>
          <t>01a1212c-4b57-70cf-80fd-c2192cb3bf81</t>
        </is>
      </c>
      <c r="D2339" s="4" t="n">
        <v>46304.62408250562</v>
      </c>
      <c r="E2339" s="4" t="n">
        <v>46304.6240825057</v>
      </c>
      <c r="F2339" t="b">
        <v>1</v>
      </c>
      <c r="G2339" t="n">
        <v/>
      </c>
      <c r="H2339" t="inlineStr">
        <is>
          <t>RPG</t>
        </is>
      </c>
      <c r="I2339" t="inlineStr">
        <is>
          <t>Raptis Group Ltd</t>
        </is>
      </c>
      <c r="J2339" t="inlineStr">
        <is>
          <t>AUD</t>
        </is>
      </c>
      <c r="K2339" s="5" t="inlineStr">
        <is>
          <t>01a1212c-4c04-75ce-bbb2-e3322e18816e</t>
        </is>
      </c>
      <c r="M2339" t="inlineStr">
        <is>
          <t>UNKNOWN</t>
        </is>
      </c>
      <c r="N2339" t="inlineStr">
        <is>
          <t>DEFAULT</t>
        </is>
      </c>
      <c r="Q2339" t="n">
        <v>0</v>
      </c>
      <c r="R2339" t="inlineStr">
        <is>
          <t>AUD</t>
        </is>
      </c>
      <c r="S2339" t="n">
        <v>0</v>
      </c>
      <c r="T2339" t="inlineStr">
        <is>
          <t>AUD</t>
        </is>
      </c>
      <c r="U2339" t="n">
        <v>0</v>
      </c>
    </row>
    <row r="2340">
      <c r="A2340" s="5" t="inlineStr">
        <is>
          <t>01a1212c-67db-74d1-8583-5a0c08b7064a</t>
        </is>
      </c>
      <c r="C2340" s="5" t="inlineStr">
        <is>
          <t>01a1212c-4b57-70cf-80fd-c2192cb3bf81</t>
        </is>
      </c>
      <c r="D2340" s="4" t="n">
        <v>46304.62408253685</v>
      </c>
      <c r="E2340" s="4" t="n">
        <v>46304.62408253693</v>
      </c>
      <c r="F2340" t="b">
        <v>1</v>
      </c>
      <c r="G2340" t="n">
        <v/>
      </c>
      <c r="H2340" t="inlineStr">
        <is>
          <t>ICU</t>
        </is>
      </c>
      <c r="I2340" t="inlineStr">
        <is>
          <t>Investor Centre Ltd</t>
        </is>
      </c>
      <c r="J2340" t="inlineStr">
        <is>
          <t>AUD</t>
        </is>
      </c>
      <c r="K2340" s="5" t="inlineStr">
        <is>
          <t>01a1212c-4c04-75ce-bbb2-e3322e18816e</t>
        </is>
      </c>
      <c r="M2340" t="inlineStr">
        <is>
          <t>UNKNOWN</t>
        </is>
      </c>
      <c r="N2340" t="inlineStr">
        <is>
          <t>DEFAULT</t>
        </is>
      </c>
      <c r="Q2340" t="n">
        <v>0</v>
      </c>
      <c r="R2340" t="inlineStr">
        <is>
          <t>AUD</t>
        </is>
      </c>
      <c r="S2340" t="n">
        <v>0</v>
      </c>
      <c r="T2340" t="inlineStr">
        <is>
          <t>AUD</t>
        </is>
      </c>
      <c r="U2340" t="n">
        <v>0</v>
      </c>
    </row>
    <row r="2341">
      <c r="A2341" s="5" t="inlineStr">
        <is>
          <t>01a1212c-67de-735e-ba08-05910d685bd2</t>
        </is>
      </c>
      <c r="C2341" s="5" t="inlineStr">
        <is>
          <t>01a1212c-4b57-70cf-80fd-c2192cb3bf81</t>
        </is>
      </c>
      <c r="D2341" s="4" t="n">
        <v>46304.6240825708</v>
      </c>
      <c r="E2341" s="4" t="n">
        <v>46304.62408257088</v>
      </c>
      <c r="F2341" t="b">
        <v>1</v>
      </c>
      <c r="G2341" t="n">
        <v/>
      </c>
      <c r="H2341" t="inlineStr">
        <is>
          <t>8VI</t>
        </is>
      </c>
      <c r="I2341" t="inlineStr">
        <is>
          <t>8VI Holdings Ltd</t>
        </is>
      </c>
      <c r="J2341" t="inlineStr">
        <is>
          <t>AUD</t>
        </is>
      </c>
      <c r="K2341" s="5" t="inlineStr">
        <is>
          <t>01a1212c-4c04-75ce-bbb2-e3322e18816e</t>
        </is>
      </c>
      <c r="M2341" t="inlineStr">
        <is>
          <t>UNKNOWN</t>
        </is>
      </c>
      <c r="N2341" t="inlineStr">
        <is>
          <t>DEFAULT</t>
        </is>
      </c>
      <c r="Q2341" t="n">
        <v>0</v>
      </c>
      <c r="R2341" t="inlineStr">
        <is>
          <t>AUD</t>
        </is>
      </c>
      <c r="S2341" t="n">
        <v>0</v>
      </c>
      <c r="T2341" t="inlineStr">
        <is>
          <t>AUD</t>
        </is>
      </c>
      <c r="U2341" t="n">
        <v>0</v>
      </c>
    </row>
    <row r="2342">
      <c r="A2342" s="5" t="inlineStr">
        <is>
          <t>01a1212c-67e0-7042-abc7-ec09ae5f3b2e</t>
        </is>
      </c>
      <c r="C2342" s="5" t="inlineStr">
        <is>
          <t>01a1212c-4b57-70cf-80fd-c2192cb3bf81</t>
        </is>
      </c>
      <c r="D2342" s="4" t="n">
        <v>46304.62408260233</v>
      </c>
      <c r="E2342" s="4" t="n">
        <v>46304.62408260242</v>
      </c>
      <c r="F2342" t="b">
        <v>1</v>
      </c>
      <c r="G2342" t="n">
        <v/>
      </c>
      <c r="H2342" t="inlineStr">
        <is>
          <t>MBX</t>
        </is>
      </c>
      <c r="I2342" t="inlineStr">
        <is>
          <t>My Foodie BOX Ltd</t>
        </is>
      </c>
      <c r="J2342" t="inlineStr">
        <is>
          <t>AUD</t>
        </is>
      </c>
      <c r="K2342" s="5" t="inlineStr">
        <is>
          <t>01a1212c-4c04-75ce-bbb2-e3322e18816e</t>
        </is>
      </c>
      <c r="M2342" t="inlineStr">
        <is>
          <t>UNKNOWN</t>
        </is>
      </c>
      <c r="N2342" t="inlineStr">
        <is>
          <t>DEFAULT</t>
        </is>
      </c>
      <c r="Q2342" t="n">
        <v>0</v>
      </c>
      <c r="R2342" t="inlineStr">
        <is>
          <t>AUD</t>
        </is>
      </c>
      <c r="S2342" t="n">
        <v>0</v>
      </c>
      <c r="T2342" t="inlineStr">
        <is>
          <t>AUD</t>
        </is>
      </c>
      <c r="U2342" t="n">
        <v>0</v>
      </c>
    </row>
    <row r="2343">
      <c r="A2343" s="5" t="inlineStr">
        <is>
          <t>01a1212c-67e3-723e-8785-8ec344713620</t>
        </is>
      </c>
      <c r="C2343" s="5" t="inlineStr">
        <is>
          <t>01a1212c-4b57-70cf-80fd-c2192cb3bf81</t>
        </is>
      </c>
      <c r="D2343" s="4" t="n">
        <v>46304.6240826334</v>
      </c>
      <c r="E2343" s="4" t="n">
        <v>46304.62408263348</v>
      </c>
      <c r="F2343" t="b">
        <v>1</v>
      </c>
      <c r="G2343" t="n">
        <v/>
      </c>
      <c r="H2343" t="inlineStr">
        <is>
          <t>BBAB</t>
        </is>
      </c>
      <c r="I2343" t="inlineStr">
        <is>
          <t>Betashares Geared Short Aus GOV Bond (Hedge Fund)</t>
        </is>
      </c>
      <c r="J2343" t="inlineStr">
        <is>
          <t>AUD</t>
        </is>
      </c>
      <c r="K2343" s="5" t="inlineStr">
        <is>
          <t>01a1212c-4c04-75ce-bbb2-e3322e18816e</t>
        </is>
      </c>
      <c r="M2343" t="inlineStr">
        <is>
          <t>UNKNOWN</t>
        </is>
      </c>
      <c r="N2343" t="inlineStr">
        <is>
          <t>DEFAULT</t>
        </is>
      </c>
      <c r="Q2343" t="n">
        <v>0</v>
      </c>
      <c r="R2343" t="inlineStr">
        <is>
          <t>AUD</t>
        </is>
      </c>
      <c r="S2343" t="n">
        <v>0</v>
      </c>
      <c r="T2343" t="inlineStr">
        <is>
          <t>AUD</t>
        </is>
      </c>
      <c r="U2343" t="n">
        <v>0</v>
      </c>
    </row>
    <row r="2344">
      <c r="A2344" s="5" t="inlineStr">
        <is>
          <t>01a1212c-67e6-7044-a62f-bb3d65f6fa55</t>
        </is>
      </c>
      <c r="C2344" s="5" t="inlineStr">
        <is>
          <t>01a1212c-4b57-70cf-80fd-c2192cb3bf81</t>
        </is>
      </c>
      <c r="D2344" s="4" t="n">
        <v>46304.62408266692</v>
      </c>
      <c r="E2344" s="4" t="n">
        <v>46304.62408266701</v>
      </c>
      <c r="F2344" t="b">
        <v>1</v>
      </c>
      <c r="G2344" t="n">
        <v/>
      </c>
      <c r="H2344" t="inlineStr">
        <is>
          <t>ALFA</t>
        </is>
      </c>
      <c r="I2344" t="inlineStr">
        <is>
          <t>Vaneck Australian Long Short Complex ETF</t>
        </is>
      </c>
      <c r="J2344" t="inlineStr">
        <is>
          <t>AUD</t>
        </is>
      </c>
      <c r="K2344" s="5" t="inlineStr">
        <is>
          <t>01a1212c-4c04-75ce-bbb2-e3322e18816e</t>
        </is>
      </c>
      <c r="M2344" t="inlineStr">
        <is>
          <t>UNKNOWN</t>
        </is>
      </c>
      <c r="N2344" t="inlineStr">
        <is>
          <t>DEFAULT</t>
        </is>
      </c>
      <c r="Q2344" t="n">
        <v>0</v>
      </c>
      <c r="R2344" t="inlineStr">
        <is>
          <t>AUD</t>
        </is>
      </c>
      <c r="S2344" t="n">
        <v>0</v>
      </c>
      <c r="T2344" t="inlineStr">
        <is>
          <t>AUD</t>
        </is>
      </c>
      <c r="U2344" t="n">
        <v>0</v>
      </c>
    </row>
    <row r="2345">
      <c r="A2345" s="5" t="inlineStr">
        <is>
          <t>01a1212c-67e9-72de-aea1-6ac80732ab41</t>
        </is>
      </c>
      <c r="C2345" s="5" t="inlineStr">
        <is>
          <t>01a1212c-4b57-70cf-80fd-c2192cb3bf81</t>
        </is>
      </c>
      <c r="D2345" s="4" t="n">
        <v>46304.62408269896</v>
      </c>
      <c r="E2345" s="4" t="n">
        <v>46304.62408269904</v>
      </c>
      <c r="F2345" t="b">
        <v>1</v>
      </c>
      <c r="G2345" t="n">
        <v/>
      </c>
      <c r="H2345" t="inlineStr">
        <is>
          <t>JAY</t>
        </is>
      </c>
      <c r="I2345" t="inlineStr">
        <is>
          <t>Jayride Group Ltd</t>
        </is>
      </c>
      <c r="J2345" t="inlineStr">
        <is>
          <t>AUD</t>
        </is>
      </c>
      <c r="K2345" s="5" t="inlineStr">
        <is>
          <t>01a1212c-4c04-75ce-bbb2-e3322e18816e</t>
        </is>
      </c>
      <c r="M2345" t="inlineStr">
        <is>
          <t>UNKNOWN</t>
        </is>
      </c>
      <c r="N2345" t="inlineStr">
        <is>
          <t>DEFAULT</t>
        </is>
      </c>
      <c r="Q2345" t="n">
        <v>0</v>
      </c>
      <c r="R2345" t="inlineStr">
        <is>
          <t>AUD</t>
        </is>
      </c>
      <c r="S2345" t="n">
        <v>0</v>
      </c>
      <c r="T2345" t="inlineStr">
        <is>
          <t>AUD</t>
        </is>
      </c>
      <c r="U2345" t="n">
        <v>0</v>
      </c>
    </row>
    <row r="2346">
      <c r="A2346" s="5" t="inlineStr">
        <is>
          <t>01a1212c-67eb-73df-a86b-e5248b0f061c</t>
        </is>
      </c>
      <c r="C2346" s="5" t="inlineStr">
        <is>
          <t>01a1212c-4b57-70cf-80fd-c2192cb3bf81</t>
        </is>
      </c>
      <c r="D2346" s="4" t="n">
        <v>46304.62408273255</v>
      </c>
      <c r="E2346" s="4" t="n">
        <v>46304.62408273262</v>
      </c>
      <c r="F2346" t="b">
        <v>1</v>
      </c>
      <c r="G2346" t="n">
        <v/>
      </c>
      <c r="H2346" t="inlineStr">
        <is>
          <t>TTA</t>
        </is>
      </c>
      <c r="I2346" t="inlineStr">
        <is>
          <t>TTA Holdings Ltd</t>
        </is>
      </c>
      <c r="J2346" t="inlineStr">
        <is>
          <t>AUD</t>
        </is>
      </c>
      <c r="K2346" s="5" t="inlineStr">
        <is>
          <t>01a1212c-4c04-75ce-bbb2-e3322e18816e</t>
        </is>
      </c>
      <c r="M2346" t="inlineStr">
        <is>
          <t>UNKNOWN</t>
        </is>
      </c>
      <c r="N2346" t="inlineStr">
        <is>
          <t>DEFAULT</t>
        </is>
      </c>
      <c r="Q2346" t="n">
        <v>0</v>
      </c>
      <c r="R2346" t="inlineStr">
        <is>
          <t>AUD</t>
        </is>
      </c>
      <c r="S2346" t="n">
        <v>0</v>
      </c>
      <c r="T2346" t="inlineStr">
        <is>
          <t>AUD</t>
        </is>
      </c>
      <c r="U2346" t="n">
        <v>0</v>
      </c>
    </row>
    <row r="2347">
      <c r="A2347" s="5" t="inlineStr">
        <is>
          <t>01a1212c-67ee-779b-abb8-ec80407b78ef</t>
        </is>
      </c>
      <c r="C2347" s="5" t="inlineStr">
        <is>
          <t>01a1212c-4b57-70cf-80fd-c2192cb3bf81</t>
        </is>
      </c>
      <c r="D2347" s="4" t="n">
        <v>46304.62408276364</v>
      </c>
      <c r="E2347" s="4" t="n">
        <v>46304.62408276373</v>
      </c>
      <c r="F2347" t="b">
        <v>1</v>
      </c>
      <c r="G2347" t="n">
        <v/>
      </c>
      <c r="H2347" t="inlineStr">
        <is>
          <t>LAW</t>
        </is>
      </c>
      <c r="I2347" t="inlineStr">
        <is>
          <t>Lawfinance Ltd</t>
        </is>
      </c>
      <c r="J2347" t="inlineStr">
        <is>
          <t>AUD</t>
        </is>
      </c>
      <c r="K2347" s="5" t="inlineStr">
        <is>
          <t>01a1212c-4c04-75ce-bbb2-e3322e18816e</t>
        </is>
      </c>
      <c r="M2347" t="inlineStr">
        <is>
          <t>UNKNOWN</t>
        </is>
      </c>
      <c r="N2347" t="inlineStr">
        <is>
          <t>DEFAULT</t>
        </is>
      </c>
      <c r="Q2347" t="n">
        <v>0</v>
      </c>
      <c r="R2347" t="inlineStr">
        <is>
          <t>AUD</t>
        </is>
      </c>
      <c r="S2347" t="n">
        <v>0</v>
      </c>
      <c r="T2347" t="inlineStr">
        <is>
          <t>AUD</t>
        </is>
      </c>
      <c r="U2347" t="n">
        <v>0</v>
      </c>
    </row>
    <row r="2348">
      <c r="A2348" s="5" t="inlineStr">
        <is>
          <t>01a1212c-67f1-77ef-b5f2-2752026d41f2</t>
        </is>
      </c>
      <c r="C2348" s="5" t="inlineStr">
        <is>
          <t>01a1212c-4b57-70cf-80fd-c2192cb3bf81</t>
        </is>
      </c>
      <c r="D2348" s="4" t="n">
        <v>46304.62408279639</v>
      </c>
      <c r="E2348" s="4" t="n">
        <v>46304.62408279647</v>
      </c>
      <c r="F2348" t="b">
        <v>1</v>
      </c>
      <c r="G2348" t="n">
        <v/>
      </c>
      <c r="H2348" t="inlineStr">
        <is>
          <t>CINPA</t>
        </is>
      </c>
      <c r="I2348" t="inlineStr">
        <is>
          <t>Carlton Investments Ltd</t>
        </is>
      </c>
      <c r="J2348" t="inlineStr">
        <is>
          <t>AUD</t>
        </is>
      </c>
      <c r="K2348" s="5" t="inlineStr">
        <is>
          <t>01a1212c-4c04-75ce-bbb2-e3322e18816e</t>
        </is>
      </c>
      <c r="M2348" t="inlineStr">
        <is>
          <t>UNKNOWN</t>
        </is>
      </c>
      <c r="N2348" t="inlineStr">
        <is>
          <t>DEFAULT</t>
        </is>
      </c>
      <c r="Q2348" t="n">
        <v>0</v>
      </c>
      <c r="R2348" t="inlineStr">
        <is>
          <t>AUD</t>
        </is>
      </c>
      <c r="S2348" t="n">
        <v>0</v>
      </c>
      <c r="T2348" t="inlineStr">
        <is>
          <t>AUD</t>
        </is>
      </c>
      <c r="U2348" t="n">
        <v>0</v>
      </c>
    </row>
    <row r="2349">
      <c r="A2349" s="5" t="inlineStr">
        <is>
          <t>01a1212c-67f4-7174-b5c8-589ed61187cf</t>
        </is>
      </c>
      <c r="C2349" s="5" t="inlineStr">
        <is>
          <t>01a1212c-4b57-70cf-80fd-c2192cb3bf81</t>
        </is>
      </c>
      <c r="D2349" s="4" t="n">
        <v>46304.62408282761</v>
      </c>
      <c r="E2349" s="4" t="n">
        <v>46304.62408282769</v>
      </c>
      <c r="F2349" t="b">
        <v>1</v>
      </c>
      <c r="G2349" t="n">
        <v/>
      </c>
      <c r="H2349" t="inlineStr">
        <is>
          <t>SSLPA</t>
        </is>
      </c>
      <c r="I2349" t="inlineStr">
        <is>
          <t>Sietel Ltd</t>
        </is>
      </c>
      <c r="J2349" t="inlineStr">
        <is>
          <t>AUD</t>
        </is>
      </c>
      <c r="K2349" s="5" t="inlineStr">
        <is>
          <t>01a1212c-4c04-75ce-bbb2-e3322e18816e</t>
        </is>
      </c>
      <c r="M2349" t="inlineStr">
        <is>
          <t>UNKNOWN</t>
        </is>
      </c>
      <c r="N2349" t="inlineStr">
        <is>
          <t>DEFAULT</t>
        </is>
      </c>
      <c r="Q2349" t="n">
        <v>0</v>
      </c>
      <c r="R2349" t="inlineStr">
        <is>
          <t>AUD</t>
        </is>
      </c>
      <c r="S2349" t="n">
        <v>0</v>
      </c>
      <c r="T2349" t="inlineStr">
        <is>
          <t>AUD</t>
        </is>
      </c>
      <c r="U2349" t="n">
        <v>0</v>
      </c>
    </row>
    <row r="2350">
      <c r="A2350" s="5" t="inlineStr">
        <is>
          <t>01a1212c-67f7-768d-b2a8-c15a6445414f</t>
        </is>
      </c>
      <c r="C2350" s="5" t="inlineStr">
        <is>
          <t>01a1212c-4b57-70cf-80fd-c2192cb3bf81</t>
        </is>
      </c>
      <c r="D2350" s="4" t="n">
        <v>46304.6240828635</v>
      </c>
      <c r="E2350" s="4" t="n">
        <v>46304.62408286358</v>
      </c>
      <c r="F2350" t="b">
        <v>1</v>
      </c>
      <c r="G2350" t="n">
        <v/>
      </c>
      <c r="H2350" t="inlineStr">
        <is>
          <t>WHFPA</t>
        </is>
      </c>
      <c r="I2350" t="inlineStr">
        <is>
          <t>Whitefield Industrials Ltd</t>
        </is>
      </c>
      <c r="J2350" t="inlineStr">
        <is>
          <t>AUD</t>
        </is>
      </c>
      <c r="K2350" s="5" t="inlineStr">
        <is>
          <t>01a1212c-4c04-75ce-bbb2-e3322e18816e</t>
        </is>
      </c>
      <c r="M2350" t="inlineStr">
        <is>
          <t>UNKNOWN</t>
        </is>
      </c>
      <c r="N2350" t="inlineStr">
        <is>
          <t>DEFAULT</t>
        </is>
      </c>
      <c r="Q2350" t="n">
        <v>0</v>
      </c>
      <c r="R2350" t="inlineStr">
        <is>
          <t>AUD</t>
        </is>
      </c>
      <c r="S2350" t="n">
        <v>0</v>
      </c>
      <c r="T2350" t="inlineStr">
        <is>
          <t>AUD</t>
        </is>
      </c>
      <c r="U2350" t="n">
        <v>0</v>
      </c>
    </row>
    <row r="2351">
      <c r="A2351" s="5" t="inlineStr">
        <is>
          <t>01a1212c-67fa-752d-b520-e06b98db1385</t>
        </is>
      </c>
      <c r="C2351" s="5" t="inlineStr">
        <is>
          <t>01a1212c-4b57-70cf-80fd-c2192cb3bf81</t>
        </is>
      </c>
      <c r="D2351" s="4" t="n">
        <v>46304.62408289481</v>
      </c>
      <c r="E2351" s="4" t="n">
        <v>46304.62427264236</v>
      </c>
      <c r="F2351" t="b">
        <v>1</v>
      </c>
      <c r="G2351" t="n">
        <v/>
      </c>
      <c r="H2351" t="inlineStr">
        <is>
          <t>MSFT</t>
        </is>
      </c>
      <c r="I2351" t="inlineStr">
        <is>
          <t>Microsoft Corp</t>
        </is>
      </c>
      <c r="J2351" t="inlineStr">
        <is>
          <t>USD</t>
        </is>
      </c>
      <c r="K2351" s="5" t="inlineStr">
        <is>
          <t>01a1212c-4c06-731e-87a0-0cbfb47392a7</t>
        </is>
      </c>
      <c r="M2351" t="inlineStr">
        <is>
          <t>UNKNOWN</t>
        </is>
      </c>
      <c r="N2351" t="inlineStr">
        <is>
          <t>DEFAULT</t>
        </is>
      </c>
      <c r="Q2351" t="n">
        <v>83</v>
      </c>
      <c r="R2351" t="inlineStr">
        <is>
          <t>USD</t>
        </is>
      </c>
      <c r="S2351" t="n">
        <v>0</v>
      </c>
      <c r="T2351" t="inlineStr">
        <is>
          <t>AUD</t>
        </is>
      </c>
      <c r="U2351" t="n">
        <v>0</v>
      </c>
    </row>
    <row r="2352">
      <c r="A2352" s="5" t="inlineStr">
        <is>
          <t>01a1212c-67ff-734d-ae8c-bfefd88749af</t>
        </is>
      </c>
      <c r="C2352" s="5" t="inlineStr">
        <is>
          <t>01a1212c-4b57-70cf-80fd-c2192cb3bf81</t>
        </is>
      </c>
      <c r="D2352" s="4" t="n">
        <v>46304.62408295303</v>
      </c>
      <c r="E2352" s="4" t="n">
        <v>46304.62421877107</v>
      </c>
      <c r="F2352" t="b">
        <v>1</v>
      </c>
      <c r="G2352" t="n">
        <v/>
      </c>
      <c r="H2352" t="inlineStr">
        <is>
          <t>AMZN</t>
        </is>
      </c>
      <c r="I2352" t="inlineStr">
        <is>
          <t>Amazon.com Inc</t>
        </is>
      </c>
      <c r="J2352" t="inlineStr">
        <is>
          <t>USD</t>
        </is>
      </c>
      <c r="K2352" s="5" t="inlineStr">
        <is>
          <t>01a1212c-4c06-731e-87a0-0cbfb47392a7</t>
        </is>
      </c>
      <c r="M2352" t="inlineStr">
        <is>
          <t>UNKNOWN</t>
        </is>
      </c>
      <c r="N2352" t="inlineStr">
        <is>
          <t>DEFAULT</t>
        </is>
      </c>
      <c r="Q2352" t="n">
        <v>304</v>
      </c>
      <c r="R2352" t="inlineStr">
        <is>
          <t>USD</t>
        </is>
      </c>
      <c r="S2352" t="n">
        <v>0</v>
      </c>
      <c r="T2352" t="inlineStr">
        <is>
          <t>AUD</t>
        </is>
      </c>
      <c r="U2352" t="n">
        <v>0</v>
      </c>
    </row>
    <row r="2353">
      <c r="A2353" s="5" t="inlineStr">
        <is>
          <t>01a1212c-6802-7701-a525-802cdecc0f67</t>
        </is>
      </c>
      <c r="C2353" s="5" t="inlineStr">
        <is>
          <t>01a1212c-4b57-70cf-80fd-c2192cb3bf81</t>
        </is>
      </c>
      <c r="D2353" s="4" t="n">
        <v>46304.62408299049</v>
      </c>
      <c r="E2353" s="4" t="n">
        <v>46304.62420493703</v>
      </c>
      <c r="F2353" t="b">
        <v>1</v>
      </c>
      <c r="G2353" t="n">
        <v/>
      </c>
      <c r="H2353" t="inlineStr">
        <is>
          <t>AAPL</t>
        </is>
      </c>
      <c r="I2353" t="inlineStr">
        <is>
          <t>Apple Inc</t>
        </is>
      </c>
      <c r="J2353" t="inlineStr">
        <is>
          <t>USD</t>
        </is>
      </c>
      <c r="K2353" s="5" t="inlineStr">
        <is>
          <t>01a1212c-4c06-731e-87a0-0cbfb47392a7</t>
        </is>
      </c>
      <c r="M2353" t="inlineStr">
        <is>
          <t>UNKNOWN</t>
        </is>
      </c>
      <c r="N2353" t="inlineStr">
        <is>
          <t>DEFAULT</t>
        </is>
      </c>
      <c r="Q2353" t="n">
        <v>172</v>
      </c>
      <c r="R2353" t="inlineStr">
        <is>
          <t>USD</t>
        </is>
      </c>
      <c r="S2353" t="n">
        <v>0</v>
      </c>
      <c r="T2353" t="inlineStr">
        <is>
          <t>AUD</t>
        </is>
      </c>
      <c r="U2353" t="n">
        <v>0</v>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Z348"/>
  <sheetViews>
    <sheetView workbookViewId="0">
      <pane ySplit="1" topLeftCell="A2" activePane="bottomLeft" state="frozen"/>
      <selection pane="bottomLeft" activeCell="A1" sqref="A1"/>
    </sheetView>
  </sheetViews>
  <sheetFormatPr baseColWidth="8" defaultRowHeight="15"/>
  <cols>
    <col width="38.2" customWidth="1" min="1" max="1"/>
    <col width="11.2" customWidth="1" min="2" max="2"/>
    <col width="38.2" customWidth="1" min="3" max="3"/>
    <col width="28.2" customWidth="1" min="4" max="4"/>
    <col width="28.2" customWidth="1" min="5" max="5"/>
    <col width="11.2" customWidth="1" min="6" max="6"/>
    <col width="63.2" customWidth="1" min="7" max="7"/>
    <col width="58.2" customWidth="1" min="8" max="8"/>
    <col width="18.2" customWidth="1" min="9" max="9"/>
    <col width="12.2" customWidth="1" min="10" max="10"/>
    <col width="10.2" customWidth="1" min="11" max="11"/>
    <col width="21.2" customWidth="1" min="12" max="12"/>
    <col width="12.2" customWidth="1" min="13" max="13"/>
    <col width="26.2" customWidth="1" min="14" max="14"/>
    <col width="17.2" customWidth="1" min="15" max="15"/>
    <col width="6.2" customWidth="1" min="16" max="16"/>
    <col width="30.2" customWidth="1" min="17" max="17"/>
    <col width="47.2" customWidth="1" min="18" max="18"/>
    <col width="38.2" customWidth="1" min="19" max="19"/>
    <col width="46.2" customWidth="1" min="20" max="20"/>
    <col width="37.2" customWidth="1" min="21" max="21"/>
    <col width="42.2" customWidth="1" min="22" max="22"/>
    <col width="33.2" customWidth="1" min="23" max="23"/>
    <col width="19.2" customWidth="1" min="24" max="24"/>
    <col width="82.2" customWidth="1" min="25" max="25"/>
    <col width="38.2" customWidth="1" min="26" max="26"/>
  </cols>
  <sheetData>
    <row r="1" ht="32" customHeight="1">
      <c r="A1" s="1" t="inlineStr">
        <is>
          <t>id</t>
        </is>
      </c>
      <c r="B1" s="1" t="inlineStr">
        <is>
          <t>legacy_id</t>
        </is>
      </c>
      <c r="C1" s="1" t="inlineStr">
        <is>
          <t>account_id</t>
        </is>
      </c>
      <c r="D1" s="1" t="inlineStr">
        <is>
          <t>created_at</t>
        </is>
      </c>
      <c r="E1" s="1" t="inlineStr">
        <is>
          <t>updated_at</t>
        </is>
      </c>
      <c r="F1" s="1" t="inlineStr">
        <is>
          <t>is_active</t>
        </is>
      </c>
      <c r="G1" s="1" t="inlineStr">
        <is>
          <t>notes</t>
        </is>
      </c>
      <c r="H1" s="1" t="inlineStr">
        <is>
          <t>description</t>
        </is>
      </c>
      <c r="I1" s="1" t="inlineStr">
        <is>
          <t>instrument__name</t>
        </is>
      </c>
      <c r="J1" s="1" t="inlineStr">
        <is>
          <t>date</t>
        </is>
      </c>
      <c r="K1" s="1" t="inlineStr">
        <is>
          <t>quantity</t>
        </is>
      </c>
      <c r="L1" s="1" t="inlineStr">
        <is>
          <t>unit_price_currency</t>
        </is>
      </c>
      <c r="M1" s="1" t="inlineStr">
        <is>
          <t>unit_price</t>
        </is>
      </c>
      <c r="N1" s="1" t="inlineStr">
        <is>
          <t>total_brokerage_currency</t>
        </is>
      </c>
      <c r="O1" s="1" t="inlineStr">
        <is>
          <t>total_brokerage</t>
        </is>
      </c>
      <c r="P1" s="1" t="inlineStr">
        <is>
          <t>file</t>
        </is>
      </c>
      <c r="Q1" s="1" t="inlineStr">
        <is>
          <t>calculated_fiscal_year__name</t>
        </is>
      </c>
      <c r="R1" s="1" t="inlineStr">
        <is>
          <t>calculated_total_brokerage_converted_currency</t>
        </is>
      </c>
      <c r="S1" s="1" t="inlineStr">
        <is>
          <t>calculated_total_brokerage_converted</t>
        </is>
      </c>
      <c r="T1" s="1" t="inlineStr">
        <is>
          <t>calculated_unit_brokerage_converted_currency</t>
        </is>
      </c>
      <c r="U1" s="1" t="inlineStr">
        <is>
          <t>calculated_unit_brokerage_converted</t>
        </is>
      </c>
      <c r="V1" s="1" t="inlineStr">
        <is>
          <t>calculated_unit_price_converted_currency</t>
        </is>
      </c>
      <c r="W1" s="1" t="inlineStr">
        <is>
          <t>calculated_unit_price_converted</t>
        </is>
      </c>
      <c r="X1" s="1" t="inlineStr">
        <is>
          <t>_creation_handled</t>
        </is>
      </c>
      <c r="Y1" s="1" t="inlineStr">
        <is>
          <t>calculated_related_parcels</t>
        </is>
      </c>
      <c r="Z1" s="1" t="inlineStr">
        <is>
          <t>exchange_rate_id</t>
        </is>
      </c>
    </row>
    <row r="2">
      <c r="A2" s="5" t="inlineStr">
        <is>
          <t>01a1212c-687b-75a4-b217-34b86b74fc16</t>
        </is>
      </c>
      <c r="B2" t="inlineStr">
        <is>
          <t>B001</t>
        </is>
      </c>
      <c r="C2" s="5" t="inlineStr">
        <is>
          <t>01a1212c-4b57-70cf-80fd-c2192cb3bf81</t>
        </is>
      </c>
      <c r="D2" s="4" t="n">
        <v>46304.62408441159</v>
      </c>
      <c r="E2" s="4" t="n">
        <v>46304.62408441169</v>
      </c>
      <c r="F2" t="b">
        <v>1</v>
      </c>
      <c r="G2" t="inlineStr">
        <is>
          <t>FAKE DATA - generated for demonstration, not a real portfolio</t>
        </is>
      </c>
      <c r="H2" t="inlineStr">
        <is>
          <t>2016-10-03 | Buy | VAS | 14.0000 unit @ A$70.75 / unit</t>
        </is>
      </c>
      <c r="I2" t="inlineStr">
        <is>
          <t>VAS</t>
        </is>
      </c>
      <c r="J2" s="6" t="n">
        <v>42646</v>
      </c>
      <c r="K2" t="n">
        <v>14</v>
      </c>
      <c r="L2" t="inlineStr">
        <is>
          <t>AUD</t>
        </is>
      </c>
      <c r="M2" t="n">
        <v>70.75</v>
      </c>
      <c r="N2" t="inlineStr">
        <is>
          <t>AUD</t>
        </is>
      </c>
      <c r="O2" t="n">
        <v>9.5</v>
      </c>
      <c r="P2" t="inlineStr"/>
      <c r="Q2" t="inlineStr">
        <is>
          <t>FY2016/17</t>
        </is>
      </c>
      <c r="R2" t="inlineStr">
        <is>
          <t>AUD</t>
        </is>
      </c>
      <c r="S2" t="n">
        <v>9.5</v>
      </c>
      <c r="T2" t="inlineStr">
        <is>
          <t>AUD</t>
        </is>
      </c>
      <c r="U2" t="n">
        <v>0.678571</v>
      </c>
      <c r="V2" t="inlineStr">
        <is>
          <t>AUD</t>
        </is>
      </c>
      <c r="W2" t="n">
        <v>70.75</v>
      </c>
      <c r="X2" t="b">
        <v>1</v>
      </c>
      <c r="Y2" s="3" t="inlineStr">
        <is>
          <t>2016-10-03 | PARCEL |  VAS | 14.0000 unit @ A$70.75 / unit | Total cost base = A$1,000.00 |</t>
        </is>
      </c>
      <c r="Z2" t="n">
        <v/>
      </c>
    </row>
    <row r="3">
      <c r="A3" s="5" t="inlineStr">
        <is>
          <t>01a1212c-6895-721d-9719-b36d8ab02a23</t>
        </is>
      </c>
      <c r="B3" t="inlineStr">
        <is>
          <t>B002</t>
        </is>
      </c>
      <c r="C3" s="5" t="inlineStr">
        <is>
          <t>01a1212c-4b57-70cf-80fd-c2192cb3bf81</t>
        </is>
      </c>
      <c r="D3" s="4" t="n">
        <v>46304.62408470582</v>
      </c>
      <c r="E3" s="4" t="n">
        <v>46304.6240847059</v>
      </c>
      <c r="F3" t="b">
        <v>1</v>
      </c>
      <c r="G3" t="n">
        <v/>
      </c>
      <c r="H3" t="inlineStr">
        <is>
          <t>2016-10-03 | Buy | VGS | 22.0000 unit @ A$55.95 / unit</t>
        </is>
      </c>
      <c r="I3" t="inlineStr">
        <is>
          <t>VGS</t>
        </is>
      </c>
      <c r="J3" s="6" t="n">
        <v>42646</v>
      </c>
      <c r="K3" t="n">
        <v>22</v>
      </c>
      <c r="L3" t="inlineStr">
        <is>
          <t>AUD</t>
        </is>
      </c>
      <c r="M3" t="n">
        <v>55.95</v>
      </c>
      <c r="N3" t="inlineStr">
        <is>
          <t>AUD</t>
        </is>
      </c>
      <c r="O3" t="n">
        <v>9.5</v>
      </c>
      <c r="P3" t="inlineStr"/>
      <c r="Q3" t="inlineStr">
        <is>
          <t>FY2016/17</t>
        </is>
      </c>
      <c r="R3" t="inlineStr">
        <is>
          <t>AUD</t>
        </is>
      </c>
      <c r="S3" t="n">
        <v>9.5</v>
      </c>
      <c r="T3" t="inlineStr">
        <is>
          <t>AUD</t>
        </is>
      </c>
      <c r="U3" t="n">
        <v>0.431818</v>
      </c>
      <c r="V3" t="inlineStr">
        <is>
          <t>AUD</t>
        </is>
      </c>
      <c r="W3" t="n">
        <v>55.95</v>
      </c>
      <c r="X3" t="b">
        <v>1</v>
      </c>
      <c r="Y3" s="3" t="inlineStr">
        <is>
          <t>2016-10-03 | PARCEL |  VGS | 22.0000 unit @ A$55.95 / unit | Total cost base = A$1,240.40 |</t>
        </is>
      </c>
      <c r="Z3" t="n">
        <v/>
      </c>
    </row>
    <row r="4">
      <c r="A4" s="5" t="inlineStr">
        <is>
          <t>01a1212c-68ab-70d0-97ff-b45ff3b385d9</t>
        </is>
      </c>
      <c r="B4" t="inlineStr">
        <is>
          <t>B003</t>
        </is>
      </c>
      <c r="C4" s="5" t="inlineStr">
        <is>
          <t>01a1212c-4b57-70cf-80fd-c2192cb3bf81</t>
        </is>
      </c>
      <c r="D4" s="4" t="n">
        <v>46304.62408495686</v>
      </c>
      <c r="E4" s="4" t="n">
        <v>46304.62408495693</v>
      </c>
      <c r="F4" t="b">
        <v>1</v>
      </c>
      <c r="G4" t="n">
        <v/>
      </c>
      <c r="H4" t="inlineStr">
        <is>
          <t>2016-11-02 | Buy | VAS | 24.0000 unit @ A$66.45 / unit</t>
        </is>
      </c>
      <c r="I4" t="inlineStr">
        <is>
          <t>VAS</t>
        </is>
      </c>
      <c r="J4" s="6" t="n">
        <v>42676</v>
      </c>
      <c r="K4" t="n">
        <v>24</v>
      </c>
      <c r="L4" t="inlineStr">
        <is>
          <t>AUD</t>
        </is>
      </c>
      <c r="M4" t="n">
        <v>66.45</v>
      </c>
      <c r="N4" t="inlineStr">
        <is>
          <t>AUD</t>
        </is>
      </c>
      <c r="O4" t="n">
        <v>9.5</v>
      </c>
      <c r="P4" t="inlineStr"/>
      <c r="Q4" t="inlineStr">
        <is>
          <t>FY2016/17</t>
        </is>
      </c>
      <c r="R4" t="inlineStr">
        <is>
          <t>AUD</t>
        </is>
      </c>
      <c r="S4" t="n">
        <v>9.5</v>
      </c>
      <c r="T4" t="inlineStr">
        <is>
          <t>AUD</t>
        </is>
      </c>
      <c r="U4" t="n">
        <v>0.395833</v>
      </c>
      <c r="V4" t="inlineStr">
        <is>
          <t>AUD</t>
        </is>
      </c>
      <c r="W4" t="n">
        <v>66.45</v>
      </c>
      <c r="X4" t="b">
        <v>1</v>
      </c>
      <c r="Y4" s="3" t="inlineStr">
        <is>
          <t>2016-11-02 | PARCEL |  VAS | 24.0000 unit @ A$66.45 / unit | Total cost base = A$1,604.30 |</t>
        </is>
      </c>
      <c r="Z4" t="n">
        <v/>
      </c>
    </row>
    <row r="5">
      <c r="A5" s="5" t="inlineStr">
        <is>
          <t>01a1212c-68c2-74eb-a158-cb79260709de</t>
        </is>
      </c>
      <c r="B5" t="inlineStr">
        <is>
          <t>B004</t>
        </is>
      </c>
      <c r="C5" s="5" t="inlineStr">
        <is>
          <t>01a1212c-4b57-70cf-80fd-c2192cb3bf81</t>
        </is>
      </c>
      <c r="D5" s="4" t="n">
        <v>46304.62408522656</v>
      </c>
      <c r="E5" s="4" t="n">
        <v>46304.62408522663</v>
      </c>
      <c r="F5" t="b">
        <v>1</v>
      </c>
      <c r="G5" t="n">
        <v/>
      </c>
      <c r="H5" t="inlineStr">
        <is>
          <t>2016-11-02 | Buy | VGS | 37.0000 unit @ A$54.19 / unit</t>
        </is>
      </c>
      <c r="I5" t="inlineStr">
        <is>
          <t>VGS</t>
        </is>
      </c>
      <c r="J5" s="6" t="n">
        <v>42676</v>
      </c>
      <c r="K5" t="n">
        <v>37</v>
      </c>
      <c r="L5" t="inlineStr">
        <is>
          <t>AUD</t>
        </is>
      </c>
      <c r="M5" t="n">
        <v>54.19</v>
      </c>
      <c r="N5" t="inlineStr">
        <is>
          <t>AUD</t>
        </is>
      </c>
      <c r="O5" t="n">
        <v>9.5</v>
      </c>
      <c r="P5" t="inlineStr"/>
      <c r="Q5" t="inlineStr">
        <is>
          <t>FY2016/17</t>
        </is>
      </c>
      <c r="R5" t="inlineStr">
        <is>
          <t>AUD</t>
        </is>
      </c>
      <c r="S5" t="n">
        <v>9.5</v>
      </c>
      <c r="T5" t="inlineStr">
        <is>
          <t>AUD</t>
        </is>
      </c>
      <c r="U5" t="n">
        <v>0.256757</v>
      </c>
      <c r="V5" t="inlineStr">
        <is>
          <t>AUD</t>
        </is>
      </c>
      <c r="W5" t="n">
        <v>54.19</v>
      </c>
      <c r="X5" t="b">
        <v>1</v>
      </c>
      <c r="Y5" s="3" t="inlineStr">
        <is>
          <t>2016-11-02 | PARCEL |  VGS | 37.0000 unit @ A$54.19 / unit | Total cost base = A$2,014.53 |</t>
        </is>
      </c>
      <c r="Z5" t="n">
        <v/>
      </c>
    </row>
    <row r="6">
      <c r="A6" s="5" t="inlineStr">
        <is>
          <t>01a1212c-68d8-72b7-ad3b-5872f0d088d4</t>
        </is>
      </c>
      <c r="B6" t="inlineStr">
        <is>
          <t>B005</t>
        </is>
      </c>
      <c r="C6" s="5" t="inlineStr">
        <is>
          <t>01a1212c-4b57-70cf-80fd-c2192cb3bf81</t>
        </is>
      </c>
      <c r="D6" s="4" t="n">
        <v>46304.62408548919</v>
      </c>
      <c r="E6" s="4" t="n">
        <v>46304.62408548928</v>
      </c>
      <c r="F6" t="b">
        <v>1</v>
      </c>
      <c r="G6" t="n">
        <v/>
      </c>
      <c r="H6" t="inlineStr">
        <is>
          <t>2016-12-06 | Buy | VAS | 18.0000 unit @ A$69.38 / unit</t>
        </is>
      </c>
      <c r="I6" t="inlineStr">
        <is>
          <t>VAS</t>
        </is>
      </c>
      <c r="J6" s="6" t="n">
        <v>42710</v>
      </c>
      <c r="K6" t="n">
        <v>18</v>
      </c>
      <c r="L6" t="inlineStr">
        <is>
          <t>AUD</t>
        </is>
      </c>
      <c r="M6" t="n">
        <v>69.38</v>
      </c>
      <c r="N6" t="inlineStr">
        <is>
          <t>AUD</t>
        </is>
      </c>
      <c r="O6" t="n">
        <v>9.5</v>
      </c>
      <c r="P6" t="inlineStr"/>
      <c r="Q6" t="inlineStr">
        <is>
          <t>FY2016/17</t>
        </is>
      </c>
      <c r="R6" t="inlineStr">
        <is>
          <t>AUD</t>
        </is>
      </c>
      <c r="S6" t="n">
        <v>9.5</v>
      </c>
      <c r="T6" t="inlineStr">
        <is>
          <t>AUD</t>
        </is>
      </c>
      <c r="U6" t="n">
        <v>0.527778</v>
      </c>
      <c r="V6" t="inlineStr">
        <is>
          <t>AUD</t>
        </is>
      </c>
      <c r="W6" t="n">
        <v>69.38</v>
      </c>
      <c r="X6" t="b">
        <v>1</v>
      </c>
      <c r="Y6" s="3" t="inlineStr">
        <is>
          <t>2016-12-06 | PARCEL |  VAS | 18.0000 unit @ A$69.38 / unit | Total cost base = A$1,258.34 |</t>
        </is>
      </c>
      <c r="Z6" t="n">
        <v/>
      </c>
    </row>
    <row r="7">
      <c r="A7" s="5" t="inlineStr">
        <is>
          <t>01a1212c-68ef-7004-a749-bf070b39227f</t>
        </is>
      </c>
      <c r="B7" t="inlineStr">
        <is>
          <t>B006</t>
        </is>
      </c>
      <c r="C7" s="5" t="inlineStr">
        <is>
          <t>01a1212c-4b57-70cf-80fd-c2192cb3bf81</t>
        </is>
      </c>
      <c r="D7" s="4" t="n">
        <v>46304.62408574616</v>
      </c>
      <c r="E7" s="4" t="n">
        <v>46304.62408574623</v>
      </c>
      <c r="F7" t="b">
        <v>1</v>
      </c>
      <c r="G7" t="n">
        <v/>
      </c>
      <c r="H7" t="inlineStr">
        <is>
          <t>2016-12-06 | Buy | VGS | 27.0000 unit @ A$57.06 / unit</t>
        </is>
      </c>
      <c r="I7" t="inlineStr">
        <is>
          <t>VGS</t>
        </is>
      </c>
      <c r="J7" s="6" t="n">
        <v>42710</v>
      </c>
      <c r="K7" t="n">
        <v>27</v>
      </c>
      <c r="L7" t="inlineStr">
        <is>
          <t>AUD</t>
        </is>
      </c>
      <c r="M7" t="n">
        <v>57.06</v>
      </c>
      <c r="N7" t="inlineStr">
        <is>
          <t>AUD</t>
        </is>
      </c>
      <c r="O7" t="n">
        <v>9.5</v>
      </c>
      <c r="P7" t="inlineStr"/>
      <c r="Q7" t="inlineStr">
        <is>
          <t>FY2016/17</t>
        </is>
      </c>
      <c r="R7" t="inlineStr">
        <is>
          <t>AUD</t>
        </is>
      </c>
      <c r="S7" t="n">
        <v>9.5</v>
      </c>
      <c r="T7" t="inlineStr">
        <is>
          <t>AUD</t>
        </is>
      </c>
      <c r="U7" t="n">
        <v>0.351852</v>
      </c>
      <c r="V7" t="inlineStr">
        <is>
          <t>AUD</t>
        </is>
      </c>
      <c r="W7" t="n">
        <v>57.06</v>
      </c>
      <c r="X7" t="b">
        <v>1</v>
      </c>
      <c r="Y7" s="3" t="inlineStr">
        <is>
          <t>2016-12-06 | PARCEL |  VGS | 27.0000 unit @ A$57.06 / unit | Total cost base = A$1,550.12 |</t>
        </is>
      </c>
      <c r="Z7" t="n">
        <v/>
      </c>
    </row>
    <row r="8">
      <c r="A8" s="5" t="inlineStr">
        <is>
          <t>01a1212c-6905-73a9-bec4-5da026d829a1</t>
        </is>
      </c>
      <c r="B8" t="inlineStr">
        <is>
          <t>B007</t>
        </is>
      </c>
      <c r="C8" s="5" t="inlineStr">
        <is>
          <t>01a1212c-4b57-70cf-80fd-c2192cb3bf81</t>
        </is>
      </c>
      <c r="D8" s="4" t="n">
        <v>46304.62408600252</v>
      </c>
      <c r="E8" s="4" t="n">
        <v>46304.6240860026</v>
      </c>
      <c r="F8" t="b">
        <v>1</v>
      </c>
      <c r="G8" t="n">
        <v/>
      </c>
      <c r="H8" t="inlineStr">
        <is>
          <t>2016-12-12 | Buy | TLS | 195.0000 unit @ A$4.95 / unit</t>
        </is>
      </c>
      <c r="I8" t="inlineStr">
        <is>
          <t>TLS</t>
        </is>
      </c>
      <c r="J8" s="6" t="n">
        <v>42716</v>
      </c>
      <c r="K8" t="n">
        <v>195</v>
      </c>
      <c r="L8" t="inlineStr">
        <is>
          <t>AUD</t>
        </is>
      </c>
      <c r="M8" t="n">
        <v>4.95</v>
      </c>
      <c r="N8" t="inlineStr">
        <is>
          <t>AUD</t>
        </is>
      </c>
      <c r="O8" t="n">
        <v>19.95</v>
      </c>
      <c r="P8" t="inlineStr"/>
      <c r="Q8" t="inlineStr">
        <is>
          <t>FY2016/17</t>
        </is>
      </c>
      <c r="R8" t="inlineStr">
        <is>
          <t>AUD</t>
        </is>
      </c>
      <c r="S8" t="n">
        <v>19.95</v>
      </c>
      <c r="T8" t="inlineStr">
        <is>
          <t>AUD</t>
        </is>
      </c>
      <c r="U8" t="n">
        <v>0.102308</v>
      </c>
      <c r="V8" t="inlineStr">
        <is>
          <t>AUD</t>
        </is>
      </c>
      <c r="W8" t="n">
        <v>4.95</v>
      </c>
      <c r="X8" t="b">
        <v>1</v>
      </c>
      <c r="Y8" s="3" t="inlineStr">
        <is>
          <t>2016-12-12 | PARCEL |  TLS | 195.0000 unit @ A$4.95 / unit | Total cost base = A$985.20 |</t>
        </is>
      </c>
      <c r="Z8" t="n">
        <v/>
      </c>
    </row>
    <row r="9">
      <c r="A9" s="5" t="inlineStr">
        <is>
          <t>01a1212c-6919-7787-8eb5-ab3d0e57a65d</t>
        </is>
      </c>
      <c r="B9" t="inlineStr">
        <is>
          <t>B008</t>
        </is>
      </c>
      <c r="C9" s="5" t="inlineStr">
        <is>
          <t>01a1212c-4b57-70cf-80fd-c2192cb3bf81</t>
        </is>
      </c>
      <c r="D9" s="4" t="n">
        <v>46304.62408623448</v>
      </c>
      <c r="E9" s="4" t="n">
        <v>46304.62408623455</v>
      </c>
      <c r="F9" t="b">
        <v>1</v>
      </c>
      <c r="G9" t="n">
        <v/>
      </c>
      <c r="H9" t="inlineStr">
        <is>
          <t>2017-01-06 | Buy | VAS | 21.0000 unit @ A$72.68 / unit</t>
        </is>
      </c>
      <c r="I9" t="inlineStr">
        <is>
          <t>VAS</t>
        </is>
      </c>
      <c r="J9" s="6" t="n">
        <v>42741</v>
      </c>
      <c r="K9" t="n">
        <v>21</v>
      </c>
      <c r="L9" t="inlineStr">
        <is>
          <t>AUD</t>
        </is>
      </c>
      <c r="M9" t="n">
        <v>72.68000000000001</v>
      </c>
      <c r="N9" t="inlineStr">
        <is>
          <t>AUD</t>
        </is>
      </c>
      <c r="O9" t="n">
        <v>9.5</v>
      </c>
      <c r="P9" t="inlineStr"/>
      <c r="Q9" t="inlineStr">
        <is>
          <t>FY2016/17</t>
        </is>
      </c>
      <c r="R9" t="inlineStr">
        <is>
          <t>AUD</t>
        </is>
      </c>
      <c r="S9" t="n">
        <v>9.5</v>
      </c>
      <c r="T9" t="inlineStr">
        <is>
          <t>AUD</t>
        </is>
      </c>
      <c r="U9" t="n">
        <v>0.452381</v>
      </c>
      <c r="V9" t="inlineStr">
        <is>
          <t>AUD</t>
        </is>
      </c>
      <c r="W9" t="n">
        <v>72.68000000000001</v>
      </c>
      <c r="X9" t="b">
        <v>1</v>
      </c>
      <c r="Y9" s="3" t="inlineStr">
        <is>
          <t>2017-01-06 | PARCEL |  VAS | 21.0000 unit @ A$72.68 / unit | Total cost base = A$1,535.78 |</t>
        </is>
      </c>
      <c r="Z9" t="n">
        <v/>
      </c>
    </row>
    <row r="10">
      <c r="A10" s="5" t="inlineStr">
        <is>
          <t>01a1212c-692e-73ac-a576-3f0d133e267b</t>
        </is>
      </c>
      <c r="B10" t="inlineStr">
        <is>
          <t>B009</t>
        </is>
      </c>
      <c r="C10" s="5" t="inlineStr">
        <is>
          <t>01a1212c-4b57-70cf-80fd-c2192cb3bf81</t>
        </is>
      </c>
      <c r="D10" s="4" t="n">
        <v>46304.62408647233</v>
      </c>
      <c r="E10" s="4" t="n">
        <v>46304.62408647239</v>
      </c>
      <c r="F10" t="b">
        <v>1</v>
      </c>
      <c r="G10" t="n">
        <v/>
      </c>
      <c r="H10" t="inlineStr">
        <is>
          <t>2017-01-06 | Buy | VGS | 32.0000 unit @ A$59.89 / unit</t>
        </is>
      </c>
      <c r="I10" t="inlineStr">
        <is>
          <t>VGS</t>
        </is>
      </c>
      <c r="J10" s="6" t="n">
        <v>42741</v>
      </c>
      <c r="K10" t="n">
        <v>32</v>
      </c>
      <c r="L10" t="inlineStr">
        <is>
          <t>AUD</t>
        </is>
      </c>
      <c r="M10" t="n">
        <v>59.89</v>
      </c>
      <c r="N10" t="inlineStr">
        <is>
          <t>AUD</t>
        </is>
      </c>
      <c r="O10" t="n">
        <v>9.5</v>
      </c>
      <c r="P10" t="inlineStr"/>
      <c r="Q10" t="inlineStr">
        <is>
          <t>FY2016/17</t>
        </is>
      </c>
      <c r="R10" t="inlineStr">
        <is>
          <t>AUD</t>
        </is>
      </c>
      <c r="S10" t="n">
        <v>9.5</v>
      </c>
      <c r="T10" t="inlineStr">
        <is>
          <t>AUD</t>
        </is>
      </c>
      <c r="U10" t="n">
        <v>0.296875</v>
      </c>
      <c r="V10" t="inlineStr">
        <is>
          <t>AUD</t>
        </is>
      </c>
      <c r="W10" t="n">
        <v>59.89</v>
      </c>
      <c r="X10" t="b">
        <v>1</v>
      </c>
      <c r="Y10" s="3" t="inlineStr">
        <is>
          <t>2017-01-06 | PARCEL |  VGS | 32.0000 unit @ A$59.89 / unit | Total cost base = A$1,925.98 |</t>
        </is>
      </c>
      <c r="Z10" t="n">
        <v/>
      </c>
    </row>
    <row r="11">
      <c r="A11" s="5" t="inlineStr">
        <is>
          <t>01a1212c-6942-7744-b214-a353f8423f46</t>
        </is>
      </c>
      <c r="B11" t="inlineStr">
        <is>
          <t>B010</t>
        </is>
      </c>
      <c r="C11" s="5" t="inlineStr">
        <is>
          <t>01a1212c-4b57-70cf-80fd-c2192cb3bf81</t>
        </is>
      </c>
      <c r="D11" s="4" t="n">
        <v>46304.62408672849</v>
      </c>
      <c r="E11" s="4" t="n">
        <v>46304.62408672855</v>
      </c>
      <c r="F11" t="b">
        <v>1</v>
      </c>
      <c r="G11" t="n">
        <v/>
      </c>
      <c r="H11" t="inlineStr">
        <is>
          <t>2017-01-20 | Buy | AMZN | 1.0000 unit @ $808.33 / unit</t>
        </is>
      </c>
      <c r="I11" t="inlineStr">
        <is>
          <t>AMZN</t>
        </is>
      </c>
      <c r="J11" s="6" t="n">
        <v>42755</v>
      </c>
      <c r="K11" t="n">
        <v>1</v>
      </c>
      <c r="L11" t="inlineStr">
        <is>
          <t>USD</t>
        </is>
      </c>
      <c r="M11" t="n">
        <v>808.33</v>
      </c>
      <c r="N11" t="inlineStr">
        <is>
          <t>USD</t>
        </is>
      </c>
      <c r="O11" t="n">
        <v>5</v>
      </c>
      <c r="P11" t="inlineStr"/>
      <c r="Q11" t="inlineStr">
        <is>
          <t>FY2016/17</t>
        </is>
      </c>
      <c r="R11" t="inlineStr">
        <is>
          <t>AUD</t>
        </is>
      </c>
      <c r="S11" t="n">
        <v>7.5</v>
      </c>
      <c r="T11" t="inlineStr">
        <is>
          <t>AUD</t>
        </is>
      </c>
      <c r="U11" t="n">
        <v>7.5</v>
      </c>
      <c r="V11" t="inlineStr">
        <is>
          <t>AUD</t>
        </is>
      </c>
      <c r="W11" t="n">
        <v>1212.495</v>
      </c>
      <c r="X11" t="b">
        <v>1</v>
      </c>
      <c r="Y11" s="3" t="inlineStr">
        <is>
          <t>2017-01-20 | PARCEL |  AMZN | 1.0000 unit @ A$1,212.50 / unit | Total cost base = A$1,220.00 |</t>
        </is>
      </c>
      <c r="Z11" s="5" t="inlineStr">
        <is>
          <t>01a1212c-6944-7440-80cf-35532b173034</t>
        </is>
      </c>
    </row>
    <row r="12">
      <c r="A12" s="5" t="inlineStr">
        <is>
          <t>01a1212c-6959-77d7-9162-5b68cf30d959</t>
        </is>
      </c>
      <c r="B12" t="inlineStr">
        <is>
          <t>B011</t>
        </is>
      </c>
      <c r="C12" s="5" t="inlineStr">
        <is>
          <t>01a1212c-4b57-70cf-80fd-c2192cb3bf81</t>
        </is>
      </c>
      <c r="D12" s="4" t="n">
        <v>46304.62408697155</v>
      </c>
      <c r="E12" s="4" t="n">
        <v>46304.62408697162</v>
      </c>
      <c r="F12" t="b">
        <v>1</v>
      </c>
      <c r="G12" t="n">
        <v/>
      </c>
      <c r="H12" t="inlineStr">
        <is>
          <t>2017-02-06 | Buy | VAS | 20.0000 unit @ A$70.93 / unit</t>
        </is>
      </c>
      <c r="I12" t="inlineStr">
        <is>
          <t>VAS</t>
        </is>
      </c>
      <c r="J12" s="6" t="n">
        <v>42772</v>
      </c>
      <c r="K12" t="n">
        <v>20</v>
      </c>
      <c r="L12" t="inlineStr">
        <is>
          <t>AUD</t>
        </is>
      </c>
      <c r="M12" t="n">
        <v>70.93000000000001</v>
      </c>
      <c r="N12" t="inlineStr">
        <is>
          <t>AUD</t>
        </is>
      </c>
      <c r="O12" t="n">
        <v>9.5</v>
      </c>
      <c r="P12" t="inlineStr"/>
      <c r="Q12" t="inlineStr">
        <is>
          <t>FY2016/17</t>
        </is>
      </c>
      <c r="R12" t="inlineStr">
        <is>
          <t>AUD</t>
        </is>
      </c>
      <c r="S12" t="n">
        <v>9.5</v>
      </c>
      <c r="T12" t="inlineStr">
        <is>
          <t>AUD</t>
        </is>
      </c>
      <c r="U12" t="n">
        <v>0.475</v>
      </c>
      <c r="V12" t="inlineStr">
        <is>
          <t>AUD</t>
        </is>
      </c>
      <c r="W12" t="n">
        <v>70.93000000000001</v>
      </c>
      <c r="X12" t="b">
        <v>1</v>
      </c>
      <c r="Y12" s="3" t="inlineStr">
        <is>
          <t>2017-02-06 | PARCEL |  VAS | 20.0000 unit @ A$70.93 / unit | Total cost base = A$1,428.10 |</t>
        </is>
      </c>
      <c r="Z12" t="n">
        <v/>
      </c>
    </row>
    <row r="13">
      <c r="A13" s="5" t="inlineStr">
        <is>
          <t>01a1212c-696d-7366-83f5-ce89f2b7305b</t>
        </is>
      </c>
      <c r="B13" t="inlineStr">
        <is>
          <t>B012</t>
        </is>
      </c>
      <c r="C13" s="5" t="inlineStr">
        <is>
          <t>01a1212c-4b57-70cf-80fd-c2192cb3bf81</t>
        </is>
      </c>
      <c r="D13" s="4" t="n">
        <v>46304.6240872052</v>
      </c>
      <c r="E13" s="4" t="n">
        <v>46304.62408720525</v>
      </c>
      <c r="F13" t="b">
        <v>1</v>
      </c>
      <c r="G13" t="n">
        <v/>
      </c>
      <c r="H13" t="inlineStr">
        <is>
          <t>2017-02-06 | Buy | VGS | 30.0000 unit @ A$57.95 / unit</t>
        </is>
      </c>
      <c r="I13" t="inlineStr">
        <is>
          <t>VGS</t>
        </is>
      </c>
      <c r="J13" s="6" t="n">
        <v>42772</v>
      </c>
      <c r="K13" t="n">
        <v>30</v>
      </c>
      <c r="L13" t="inlineStr">
        <is>
          <t>AUD</t>
        </is>
      </c>
      <c r="M13" t="n">
        <v>57.95</v>
      </c>
      <c r="N13" t="inlineStr">
        <is>
          <t>AUD</t>
        </is>
      </c>
      <c r="O13" t="n">
        <v>9.5</v>
      </c>
      <c r="P13" t="inlineStr"/>
      <c r="Q13" t="inlineStr">
        <is>
          <t>FY2016/17</t>
        </is>
      </c>
      <c r="R13" t="inlineStr">
        <is>
          <t>AUD</t>
        </is>
      </c>
      <c r="S13" t="n">
        <v>9.5</v>
      </c>
      <c r="T13" t="inlineStr">
        <is>
          <t>AUD</t>
        </is>
      </c>
      <c r="U13" t="n">
        <v>0.316667</v>
      </c>
      <c r="V13" t="inlineStr">
        <is>
          <t>AUD</t>
        </is>
      </c>
      <c r="W13" t="n">
        <v>57.95</v>
      </c>
      <c r="X13" t="b">
        <v>1</v>
      </c>
      <c r="Y13" s="3" t="inlineStr">
        <is>
          <t>2017-02-06 | PARCEL |  VGS | 30.0000 unit @ A$57.95 / unit | Total cost base = A$1,748.00 |</t>
        </is>
      </c>
      <c r="Z13" t="n">
        <v/>
      </c>
    </row>
    <row r="14">
      <c r="A14" s="5" t="inlineStr">
        <is>
          <t>01a1212c-6981-716a-96cb-51cbfb745065</t>
        </is>
      </c>
      <c r="B14" t="inlineStr">
        <is>
          <t>B013</t>
        </is>
      </c>
      <c r="C14" s="5" t="inlineStr">
        <is>
          <t>01a1212c-4b57-70cf-80fd-c2192cb3bf81</t>
        </is>
      </c>
      <c r="D14" s="4" t="n">
        <v>46304.62408743634</v>
      </c>
      <c r="E14" s="4" t="n">
        <v>46304.62408743641</v>
      </c>
      <c r="F14" t="b">
        <v>1</v>
      </c>
      <c r="G14" t="n">
        <v/>
      </c>
      <c r="H14" t="inlineStr">
        <is>
          <t>2017-03-03 | Buy | VAS | 8.0000 unit @ A$72.94 / unit</t>
        </is>
      </c>
      <c r="I14" t="inlineStr">
        <is>
          <t>VAS</t>
        </is>
      </c>
      <c r="J14" s="6" t="n">
        <v>42797</v>
      </c>
      <c r="K14" t="n">
        <v>8</v>
      </c>
      <c r="L14" t="inlineStr">
        <is>
          <t>AUD</t>
        </is>
      </c>
      <c r="M14" t="n">
        <v>72.94</v>
      </c>
      <c r="N14" t="inlineStr">
        <is>
          <t>AUD</t>
        </is>
      </c>
      <c r="O14" t="n">
        <v>9.5</v>
      </c>
      <c r="P14" t="inlineStr"/>
      <c r="Q14" t="inlineStr">
        <is>
          <t>FY2016/17</t>
        </is>
      </c>
      <c r="R14" t="inlineStr">
        <is>
          <t>AUD</t>
        </is>
      </c>
      <c r="S14" t="n">
        <v>9.5</v>
      </c>
      <c r="T14" t="inlineStr">
        <is>
          <t>AUD</t>
        </is>
      </c>
      <c r="U14" t="n">
        <v>1.1875</v>
      </c>
      <c r="V14" t="inlineStr">
        <is>
          <t>AUD</t>
        </is>
      </c>
      <c r="W14" t="n">
        <v>72.94</v>
      </c>
      <c r="X14" t="b">
        <v>1</v>
      </c>
      <c r="Y14" s="3" t="inlineStr">
        <is>
          <t>2017-03-03 | PARCEL |  VAS | 8.0000 unit @ A$72.94 / unit | Total cost base = A$593.02 |</t>
        </is>
      </c>
      <c r="Z14" t="n">
        <v/>
      </c>
    </row>
    <row r="15">
      <c r="A15" s="5" t="inlineStr">
        <is>
          <t>01a1212c-6997-77c7-87e9-0b2da4e0e71e</t>
        </is>
      </c>
      <c r="B15" t="inlineStr">
        <is>
          <t>B014</t>
        </is>
      </c>
      <c r="C15" s="5" t="inlineStr">
        <is>
          <t>01a1212c-4b57-70cf-80fd-c2192cb3bf81</t>
        </is>
      </c>
      <c r="D15" s="4" t="n">
        <v>46304.62408769339</v>
      </c>
      <c r="E15" s="4" t="n">
        <v>46304.62408769348</v>
      </c>
      <c r="F15" t="b">
        <v>1</v>
      </c>
      <c r="G15" t="n">
        <v/>
      </c>
      <c r="H15" t="inlineStr">
        <is>
          <t>2017-03-03 | Buy | VGS | 12.0000 unit @ A$60.00 / unit</t>
        </is>
      </c>
      <c r="I15" t="inlineStr">
        <is>
          <t>VGS</t>
        </is>
      </c>
      <c r="J15" s="6" t="n">
        <v>42797</v>
      </c>
      <c r="K15" t="n">
        <v>12</v>
      </c>
      <c r="L15" t="inlineStr">
        <is>
          <t>AUD</t>
        </is>
      </c>
      <c r="M15" t="n">
        <v>60</v>
      </c>
      <c r="N15" t="inlineStr">
        <is>
          <t>AUD</t>
        </is>
      </c>
      <c r="O15" t="n">
        <v>9.5</v>
      </c>
      <c r="P15" t="inlineStr"/>
      <c r="Q15" t="inlineStr">
        <is>
          <t>FY2016/17</t>
        </is>
      </c>
      <c r="R15" t="inlineStr">
        <is>
          <t>AUD</t>
        </is>
      </c>
      <c r="S15" t="n">
        <v>9.5</v>
      </c>
      <c r="T15" t="inlineStr">
        <is>
          <t>AUD</t>
        </is>
      </c>
      <c r="U15" t="n">
        <v>0.791667</v>
      </c>
      <c r="V15" t="inlineStr">
        <is>
          <t>AUD</t>
        </is>
      </c>
      <c r="W15" t="n">
        <v>60</v>
      </c>
      <c r="X15" t="b">
        <v>1</v>
      </c>
      <c r="Y15" s="3" t="inlineStr">
        <is>
          <t>2017-03-03 | PARCEL |  VGS | 12.0000 unit @ A$60.00 / unit | Total cost base = A$729.50 |</t>
        </is>
      </c>
      <c r="Z15" t="n">
        <v/>
      </c>
    </row>
    <row r="16">
      <c r="A16" s="5" t="inlineStr">
        <is>
          <t>01a1212c-69ac-7241-84ed-8fe8fe8eb84d</t>
        </is>
      </c>
      <c r="B16" t="inlineStr">
        <is>
          <t>B015</t>
        </is>
      </c>
      <c r="C16" s="5" t="inlineStr">
        <is>
          <t>01a1212c-4b57-70cf-80fd-c2192cb3bf81</t>
        </is>
      </c>
      <c r="D16" s="4" t="n">
        <v>46304.62408795069</v>
      </c>
      <c r="E16" s="4" t="n">
        <v>46304.62408795074</v>
      </c>
      <c r="F16" t="b">
        <v>1</v>
      </c>
      <c r="G16" t="n">
        <v/>
      </c>
      <c r="H16" t="inlineStr">
        <is>
          <t>2017-03-06 | Buy | AAPL | 4.0000 unit @ $139.34 / unit</t>
        </is>
      </c>
      <c r="I16" t="inlineStr">
        <is>
          <t>AAPL</t>
        </is>
      </c>
      <c r="J16" s="6" t="n">
        <v>42800</v>
      </c>
      <c r="K16" t="n">
        <v>4</v>
      </c>
      <c r="L16" t="inlineStr">
        <is>
          <t>USD</t>
        </is>
      </c>
      <c r="M16" t="n">
        <v>139.34</v>
      </c>
      <c r="N16" t="inlineStr">
        <is>
          <t>USD</t>
        </is>
      </c>
      <c r="O16" t="n">
        <v>5</v>
      </c>
      <c r="P16" t="inlineStr"/>
      <c r="Q16" t="inlineStr">
        <is>
          <t>FY2016/17</t>
        </is>
      </c>
      <c r="R16" t="inlineStr">
        <is>
          <t>AUD</t>
        </is>
      </c>
      <c r="S16" t="n">
        <v>7.5</v>
      </c>
      <c r="T16" t="inlineStr">
        <is>
          <t>AUD</t>
        </is>
      </c>
      <c r="U16" t="n">
        <v>1.875</v>
      </c>
      <c r="V16" t="inlineStr">
        <is>
          <t>AUD</t>
        </is>
      </c>
      <c r="W16" t="n">
        <v>209.01</v>
      </c>
      <c r="X16" t="b">
        <v>1</v>
      </c>
      <c r="Y16" s="3" t="inlineStr">
        <is>
          <t>2017-03-06 | PARCEL |  AAPL | 4.0000 unit @ A$209.01 / unit | Total cost base = A$843.54 |</t>
        </is>
      </c>
      <c r="Z16" s="5" t="inlineStr">
        <is>
          <t>01a1212c-69ae-71f1-9007-6c6dbe6e55d1</t>
        </is>
      </c>
    </row>
    <row r="17">
      <c r="A17" s="5" t="inlineStr">
        <is>
          <t>01a1212c-69c3-74bb-b2a2-9d06f9e1e8ef</t>
        </is>
      </c>
      <c r="B17" t="inlineStr">
        <is>
          <t>B016</t>
        </is>
      </c>
      <c r="C17" s="5" t="inlineStr">
        <is>
          <t>01a1212c-4b57-70cf-80fd-c2192cb3bf81</t>
        </is>
      </c>
      <c r="D17" s="4" t="n">
        <v>46304.62408820478</v>
      </c>
      <c r="E17" s="4" t="n">
        <v>46304.62408820485</v>
      </c>
      <c r="F17" t="b">
        <v>1</v>
      </c>
      <c r="G17" t="n">
        <v/>
      </c>
      <c r="H17" t="inlineStr">
        <is>
          <t>2017-03-17 | Buy | CBA | 10.0000 unit @ A$84.77 / unit</t>
        </is>
      </c>
      <c r="I17" t="inlineStr">
        <is>
          <t>CBA</t>
        </is>
      </c>
      <c r="J17" s="6" t="n">
        <v>42811</v>
      </c>
      <c r="K17" t="n">
        <v>10</v>
      </c>
      <c r="L17" t="inlineStr">
        <is>
          <t>AUD</t>
        </is>
      </c>
      <c r="M17" t="n">
        <v>84.77</v>
      </c>
      <c r="N17" t="inlineStr">
        <is>
          <t>AUD</t>
        </is>
      </c>
      <c r="O17" t="n">
        <v>19.95</v>
      </c>
      <c r="P17" t="inlineStr"/>
      <c r="Q17" t="inlineStr">
        <is>
          <t>FY2016/17</t>
        </is>
      </c>
      <c r="R17" t="inlineStr">
        <is>
          <t>AUD</t>
        </is>
      </c>
      <c r="S17" t="n">
        <v>19.95</v>
      </c>
      <c r="T17" t="inlineStr">
        <is>
          <t>AUD</t>
        </is>
      </c>
      <c r="U17" t="n">
        <v>1.995</v>
      </c>
      <c r="V17" t="inlineStr">
        <is>
          <t>AUD</t>
        </is>
      </c>
      <c r="W17" t="n">
        <v>84.77</v>
      </c>
      <c r="X17" t="b">
        <v>1</v>
      </c>
      <c r="Y17" s="3" t="inlineStr">
        <is>
          <t>2017-03-17 | PARCEL |  CBA | 10.0000 unit @ A$84.77 / unit | Total cost base = A$867.65 |</t>
        </is>
      </c>
      <c r="Z17" t="n">
        <v/>
      </c>
    </row>
    <row r="18">
      <c r="A18" s="5" t="inlineStr">
        <is>
          <t>01a1212c-69d7-7004-9626-bafda08ee86d</t>
        </is>
      </c>
      <c r="B18" t="inlineStr">
        <is>
          <t>B017</t>
        </is>
      </c>
      <c r="C18" s="5" t="inlineStr">
        <is>
          <t>01a1212c-4b57-70cf-80fd-c2192cb3bf81</t>
        </is>
      </c>
      <c r="D18" s="4" t="n">
        <v>46304.62408843078</v>
      </c>
      <c r="E18" s="4" t="n">
        <v>46304.62408843084</v>
      </c>
      <c r="F18" t="b">
        <v>1</v>
      </c>
      <c r="G18" t="n">
        <v/>
      </c>
      <c r="H18" t="inlineStr">
        <is>
          <t>2017-04-04 | Buy | VAS | 19.0000 unit @ A$74.31 / unit</t>
        </is>
      </c>
      <c r="I18" t="inlineStr">
        <is>
          <t>VAS</t>
        </is>
      </c>
      <c r="J18" s="6" t="n">
        <v>42829</v>
      </c>
      <c r="K18" t="n">
        <v>19</v>
      </c>
      <c r="L18" t="inlineStr">
        <is>
          <t>AUD</t>
        </is>
      </c>
      <c r="M18" t="n">
        <v>74.31</v>
      </c>
      <c r="N18" t="inlineStr">
        <is>
          <t>AUD</t>
        </is>
      </c>
      <c r="O18" t="n">
        <v>9.5</v>
      </c>
      <c r="P18" t="inlineStr"/>
      <c r="Q18" t="inlineStr">
        <is>
          <t>FY2016/17</t>
        </is>
      </c>
      <c r="R18" t="inlineStr">
        <is>
          <t>AUD</t>
        </is>
      </c>
      <c r="S18" t="n">
        <v>9.5</v>
      </c>
      <c r="T18" t="inlineStr">
        <is>
          <t>AUD</t>
        </is>
      </c>
      <c r="U18" t="n">
        <v>0.5</v>
      </c>
      <c r="V18" t="inlineStr">
        <is>
          <t>AUD</t>
        </is>
      </c>
      <c r="W18" t="n">
        <v>74.31</v>
      </c>
      <c r="X18" t="b">
        <v>1</v>
      </c>
      <c r="Y18" s="3" t="inlineStr">
        <is>
          <t>2017-04-04 | PARCEL |  VAS | 19.0000 unit @ A$74.31 / unit | Total cost base = A$1,421.39 |</t>
        </is>
      </c>
      <c r="Z18" t="n">
        <v/>
      </c>
    </row>
    <row r="19">
      <c r="A19" s="5" t="inlineStr">
        <is>
          <t>01a1212c-69eb-7185-ac16-fe0856a1cf98</t>
        </is>
      </c>
      <c r="B19" t="inlineStr">
        <is>
          <t>B018</t>
        </is>
      </c>
      <c r="C19" s="5" t="inlineStr">
        <is>
          <t>01a1212c-4b57-70cf-80fd-c2192cb3bf81</t>
        </is>
      </c>
      <c r="D19" s="4" t="n">
        <v>46304.62408867138</v>
      </c>
      <c r="E19" s="4" t="n">
        <v>46304.62408867144</v>
      </c>
      <c r="F19" t="b">
        <v>1</v>
      </c>
      <c r="G19" t="n">
        <v/>
      </c>
      <c r="H19" t="inlineStr">
        <is>
          <t>2017-04-04 | Buy | VGS | 30.0000 unit @ A$59.99 / unit</t>
        </is>
      </c>
      <c r="I19" t="inlineStr">
        <is>
          <t>VGS</t>
        </is>
      </c>
      <c r="J19" s="6" t="n">
        <v>42829</v>
      </c>
      <c r="K19" t="n">
        <v>30</v>
      </c>
      <c r="L19" t="inlineStr">
        <is>
          <t>AUD</t>
        </is>
      </c>
      <c r="M19" t="n">
        <v>59.99</v>
      </c>
      <c r="N19" t="inlineStr">
        <is>
          <t>AUD</t>
        </is>
      </c>
      <c r="O19" t="n">
        <v>9.5</v>
      </c>
      <c r="P19" t="inlineStr"/>
      <c r="Q19" t="inlineStr">
        <is>
          <t>FY2016/17</t>
        </is>
      </c>
      <c r="R19" t="inlineStr">
        <is>
          <t>AUD</t>
        </is>
      </c>
      <c r="S19" t="n">
        <v>9.5</v>
      </c>
      <c r="T19" t="inlineStr">
        <is>
          <t>AUD</t>
        </is>
      </c>
      <c r="U19" t="n">
        <v>0.316667</v>
      </c>
      <c r="V19" t="inlineStr">
        <is>
          <t>AUD</t>
        </is>
      </c>
      <c r="W19" t="n">
        <v>59.99</v>
      </c>
      <c r="X19" t="b">
        <v>1</v>
      </c>
      <c r="Y19" s="3" t="inlineStr">
        <is>
          <t>2017-04-04 | PARCEL |  VGS | 30.0000 unit @ A$59.99 / unit | Total cost base = A$1,809.20 |</t>
        </is>
      </c>
      <c r="Z19" t="n">
        <v/>
      </c>
    </row>
    <row r="20">
      <c r="A20" s="5" t="inlineStr">
        <is>
          <t>01a1212c-6a00-745f-b11b-65a4cd75ad77</t>
        </is>
      </c>
      <c r="B20" t="inlineStr">
        <is>
          <t>B019</t>
        </is>
      </c>
      <c r="C20" s="5" t="inlineStr">
        <is>
          <t>01a1212c-4b57-70cf-80fd-c2192cb3bf81</t>
        </is>
      </c>
      <c r="D20" s="4" t="n">
        <v>46304.62408892574</v>
      </c>
      <c r="E20" s="4" t="n">
        <v>46304.6240889258</v>
      </c>
      <c r="F20" t="b">
        <v>1</v>
      </c>
      <c r="G20" t="n">
        <v/>
      </c>
      <c r="H20" t="inlineStr">
        <is>
          <t>2017-05-04 | Buy | MSFT | 14.0000 unit @ $68.81 / unit</t>
        </is>
      </c>
      <c r="I20" t="inlineStr">
        <is>
          <t>MSFT</t>
        </is>
      </c>
      <c r="J20" s="6" t="n">
        <v>42859</v>
      </c>
      <c r="K20" t="n">
        <v>14</v>
      </c>
      <c r="L20" t="inlineStr">
        <is>
          <t>USD</t>
        </is>
      </c>
      <c r="M20" t="n">
        <v>68.81</v>
      </c>
      <c r="N20" t="inlineStr">
        <is>
          <t>USD</t>
        </is>
      </c>
      <c r="O20" t="n">
        <v>5</v>
      </c>
      <c r="P20" t="inlineStr"/>
      <c r="Q20" t="inlineStr">
        <is>
          <t>FY2016/17</t>
        </is>
      </c>
      <c r="R20" t="inlineStr">
        <is>
          <t>AUD</t>
        </is>
      </c>
      <c r="S20" t="n">
        <v>7.5</v>
      </c>
      <c r="T20" t="inlineStr">
        <is>
          <t>AUD</t>
        </is>
      </c>
      <c r="U20" t="n">
        <v>0.535714</v>
      </c>
      <c r="V20" t="inlineStr">
        <is>
          <t>AUD</t>
        </is>
      </c>
      <c r="W20" t="n">
        <v>103.215</v>
      </c>
      <c r="X20" t="b">
        <v>1</v>
      </c>
      <c r="Y20" s="3" t="inlineStr">
        <is>
          <t>2017-05-04 | PARCEL |  MSFT | 14.0000 unit @ A$103.22 / unit | Total cost base = A$1,452.51 |</t>
        </is>
      </c>
      <c r="Z20" s="5" t="inlineStr">
        <is>
          <t>01a1212c-6a02-77ca-b78d-495d87eca122</t>
        </is>
      </c>
    </row>
    <row r="21">
      <c r="A21" s="5" t="inlineStr">
        <is>
          <t>01a1212c-6a17-70bf-9991-6fcf2b47cdda</t>
        </is>
      </c>
      <c r="B21" t="inlineStr">
        <is>
          <t>B020</t>
        </is>
      </c>
      <c r="C21" s="5" t="inlineStr">
        <is>
          <t>01a1212c-4b57-70cf-80fd-c2192cb3bf81</t>
        </is>
      </c>
      <c r="D21" s="4" t="n">
        <v>46304.62408917627</v>
      </c>
      <c r="E21" s="4" t="n">
        <v>46304.62408917634</v>
      </c>
      <c r="F21" t="b">
        <v>1</v>
      </c>
      <c r="G21" t="n">
        <v/>
      </c>
      <c r="H21" t="inlineStr">
        <is>
          <t>2017-05-05 | Buy | VAS | 17.0000 unit @ A$74.29 / unit</t>
        </is>
      </c>
      <c r="I21" t="inlineStr">
        <is>
          <t>VAS</t>
        </is>
      </c>
      <c r="J21" s="6" t="n">
        <v>42860</v>
      </c>
      <c r="K21" t="n">
        <v>17</v>
      </c>
      <c r="L21" t="inlineStr">
        <is>
          <t>AUD</t>
        </is>
      </c>
      <c r="M21" t="n">
        <v>74.29000000000001</v>
      </c>
      <c r="N21" t="inlineStr">
        <is>
          <t>AUD</t>
        </is>
      </c>
      <c r="O21" t="n">
        <v>9.5</v>
      </c>
      <c r="P21" t="inlineStr"/>
      <c r="Q21" t="inlineStr">
        <is>
          <t>FY2016/17</t>
        </is>
      </c>
      <c r="R21" t="inlineStr">
        <is>
          <t>AUD</t>
        </is>
      </c>
      <c r="S21" t="n">
        <v>9.5</v>
      </c>
      <c r="T21" t="inlineStr">
        <is>
          <t>AUD</t>
        </is>
      </c>
      <c r="U21" t="n">
        <v>0.558824</v>
      </c>
      <c r="V21" t="inlineStr">
        <is>
          <t>AUD</t>
        </is>
      </c>
      <c r="W21" t="n">
        <v>74.29000000000001</v>
      </c>
      <c r="X21" t="b">
        <v>1</v>
      </c>
      <c r="Y21" s="3" t="inlineStr">
        <is>
          <t>2017-05-05 | PARCEL |  VAS | 17.0000 unit @ A$74.29 / unit | Total cost base = A$1,272.43 |</t>
        </is>
      </c>
      <c r="Z21" t="n">
        <v/>
      </c>
    </row>
    <row r="22">
      <c r="A22" s="5" t="inlineStr">
        <is>
          <t>01a1212c-6a2d-73bd-aa35-8c53a109b295</t>
        </is>
      </c>
      <c r="B22" t="inlineStr">
        <is>
          <t>B021</t>
        </is>
      </c>
      <c r="C22" s="5" t="inlineStr">
        <is>
          <t>01a1212c-4b57-70cf-80fd-c2192cb3bf81</t>
        </is>
      </c>
      <c r="D22" s="4" t="n">
        <v>46304.62408942402</v>
      </c>
      <c r="E22" s="4" t="n">
        <v>46304.6240894241</v>
      </c>
      <c r="F22" t="b">
        <v>1</v>
      </c>
      <c r="G22" t="n">
        <v/>
      </c>
      <c r="H22" t="inlineStr">
        <is>
          <t>2017-05-05 | Buy | VGS | 25.0000 unit @ A$63.02 / unit</t>
        </is>
      </c>
      <c r="I22" t="inlineStr">
        <is>
          <t>VGS</t>
        </is>
      </c>
      <c r="J22" s="6" t="n">
        <v>42860</v>
      </c>
      <c r="K22" t="n">
        <v>25</v>
      </c>
      <c r="L22" t="inlineStr">
        <is>
          <t>AUD</t>
        </is>
      </c>
      <c r="M22" t="n">
        <v>63.02</v>
      </c>
      <c r="N22" t="inlineStr">
        <is>
          <t>AUD</t>
        </is>
      </c>
      <c r="O22" t="n">
        <v>9.5</v>
      </c>
      <c r="P22" t="inlineStr"/>
      <c r="Q22" t="inlineStr">
        <is>
          <t>FY2016/17</t>
        </is>
      </c>
      <c r="R22" t="inlineStr">
        <is>
          <t>AUD</t>
        </is>
      </c>
      <c r="S22" t="n">
        <v>9.5</v>
      </c>
      <c r="T22" t="inlineStr">
        <is>
          <t>AUD</t>
        </is>
      </c>
      <c r="U22" t="n">
        <v>0.38</v>
      </c>
      <c r="V22" t="inlineStr">
        <is>
          <t>AUD</t>
        </is>
      </c>
      <c r="W22" t="n">
        <v>63.02</v>
      </c>
      <c r="X22" t="b">
        <v>1</v>
      </c>
      <c r="Y22" s="3" t="inlineStr">
        <is>
          <t>2017-05-05 | PARCEL |  VGS | 25.0000 unit @ A$63.02 / unit | Total cost base = A$1,585.00 |</t>
        </is>
      </c>
      <c r="Z22" t="n">
        <v/>
      </c>
    </row>
    <row r="23">
      <c r="A23" s="5" t="inlineStr">
        <is>
          <t>01a1212c-6a43-731c-a983-9cc342a0ebc2</t>
        </is>
      </c>
      <c r="B23" t="inlineStr">
        <is>
          <t>B022</t>
        </is>
      </c>
      <c r="C23" s="5" t="inlineStr">
        <is>
          <t>01a1212c-4b57-70cf-80fd-c2192cb3bf81</t>
        </is>
      </c>
      <c r="D23" s="4" t="n">
        <v>46304.62408968527</v>
      </c>
      <c r="E23" s="4" t="n">
        <v>46304.62408968533</v>
      </c>
      <c r="F23" t="b">
        <v>1</v>
      </c>
      <c r="G23" t="n">
        <v/>
      </c>
      <c r="H23" t="inlineStr">
        <is>
          <t>2017-05-15 | Buy | TLS | 299.0000 unit @ A$4.40 / unit</t>
        </is>
      </c>
      <c r="I23" t="inlineStr">
        <is>
          <t>TLS</t>
        </is>
      </c>
      <c r="J23" s="6" t="n">
        <v>42870</v>
      </c>
      <c r="K23" t="n">
        <v>299</v>
      </c>
      <c r="L23" t="inlineStr">
        <is>
          <t>AUD</t>
        </is>
      </c>
      <c r="M23" t="n">
        <v>4.4</v>
      </c>
      <c r="N23" t="inlineStr">
        <is>
          <t>AUD</t>
        </is>
      </c>
      <c r="O23" t="n">
        <v>19.95</v>
      </c>
      <c r="P23" t="inlineStr"/>
      <c r="Q23" t="inlineStr">
        <is>
          <t>FY2016/17</t>
        </is>
      </c>
      <c r="R23" t="inlineStr">
        <is>
          <t>AUD</t>
        </is>
      </c>
      <c r="S23" t="n">
        <v>19.95</v>
      </c>
      <c r="T23" t="inlineStr">
        <is>
          <t>AUD</t>
        </is>
      </c>
      <c r="U23" t="n">
        <v>0.066722</v>
      </c>
      <c r="V23" t="inlineStr">
        <is>
          <t>AUD</t>
        </is>
      </c>
      <c r="W23" t="n">
        <v>4.4</v>
      </c>
      <c r="X23" t="b">
        <v>1</v>
      </c>
      <c r="Y23" s="3" t="inlineStr">
        <is>
          <t>2017-05-15 | PARCEL |  TLS | 299.0000 unit @ A$4.40 / unit | Total cost base = A$1,335.55 |</t>
        </is>
      </c>
      <c r="Z23" t="n">
        <v/>
      </c>
    </row>
    <row r="24">
      <c r="A24" s="5" t="inlineStr">
        <is>
          <t>01a1212c-6a57-7475-abf5-8b726f12a96c</t>
        </is>
      </c>
      <c r="B24" t="inlineStr">
        <is>
          <t>B023</t>
        </is>
      </c>
      <c r="C24" s="5" t="inlineStr">
        <is>
          <t>01a1212c-4b57-70cf-80fd-c2192cb3bf81</t>
        </is>
      </c>
      <c r="D24" s="4" t="n">
        <v>46304.62408992372</v>
      </c>
      <c r="E24" s="4" t="n">
        <v>46304.62408992378</v>
      </c>
      <c r="F24" t="b">
        <v>1</v>
      </c>
      <c r="G24" t="n">
        <v/>
      </c>
      <c r="H24" t="inlineStr">
        <is>
          <t>2017-05-22 | Buy | AAPL | 6.0000 unit @ $153.99 / unit</t>
        </is>
      </c>
      <c r="I24" t="inlineStr">
        <is>
          <t>AAPL</t>
        </is>
      </c>
      <c r="J24" s="6" t="n">
        <v>42877</v>
      </c>
      <c r="K24" t="n">
        <v>6</v>
      </c>
      <c r="L24" t="inlineStr">
        <is>
          <t>USD</t>
        </is>
      </c>
      <c r="M24" t="n">
        <v>153.99</v>
      </c>
      <c r="N24" t="inlineStr">
        <is>
          <t>USD</t>
        </is>
      </c>
      <c r="O24" t="n">
        <v>5</v>
      </c>
      <c r="P24" t="inlineStr"/>
      <c r="Q24" t="inlineStr">
        <is>
          <t>FY2016/17</t>
        </is>
      </c>
      <c r="R24" t="inlineStr">
        <is>
          <t>AUD</t>
        </is>
      </c>
      <c r="S24" t="n">
        <v>7.5</v>
      </c>
      <c r="T24" t="inlineStr">
        <is>
          <t>AUD</t>
        </is>
      </c>
      <c r="U24" t="n">
        <v>1.25</v>
      </c>
      <c r="V24" t="inlineStr">
        <is>
          <t>AUD</t>
        </is>
      </c>
      <c r="W24" t="n">
        <v>230.985</v>
      </c>
      <c r="X24" t="b">
        <v>1</v>
      </c>
      <c r="Y24" s="3" t="inlineStr">
        <is>
          <t>2017-05-22 | PARCEL |  AAPL | 6.0000 unit @ A$230.98 / unit | Total cost base = A$1,393.41 |</t>
        </is>
      </c>
      <c r="Z24" s="5" t="inlineStr">
        <is>
          <t>01a1212c-6a58-7669-a189-9ebe8f5c6987</t>
        </is>
      </c>
    </row>
    <row r="25">
      <c r="A25" s="5" t="inlineStr">
        <is>
          <t>01a1212c-6a6d-77f2-87de-10443dcdbd5d</t>
        </is>
      </c>
      <c r="B25" t="inlineStr">
        <is>
          <t>B024</t>
        </is>
      </c>
      <c r="C25" s="5" t="inlineStr">
        <is>
          <t>01a1212c-4b57-70cf-80fd-c2192cb3bf81</t>
        </is>
      </c>
      <c r="D25" s="4" t="n">
        <v>46304.62409016612</v>
      </c>
      <c r="E25" s="4" t="n">
        <v>46304.62409016619</v>
      </c>
      <c r="F25" t="b">
        <v>1</v>
      </c>
      <c r="G25" t="n">
        <v/>
      </c>
      <c r="H25" t="inlineStr">
        <is>
          <t>2017-06-05 | Buy | VAS | 14.0000 unit @ A$73.47 / unit</t>
        </is>
      </c>
      <c r="I25" t="inlineStr">
        <is>
          <t>VAS</t>
        </is>
      </c>
      <c r="J25" s="6" t="n">
        <v>42891</v>
      </c>
      <c r="K25" t="n">
        <v>14</v>
      </c>
      <c r="L25" t="inlineStr">
        <is>
          <t>AUD</t>
        </is>
      </c>
      <c r="M25" t="n">
        <v>73.47</v>
      </c>
      <c r="N25" t="inlineStr">
        <is>
          <t>AUD</t>
        </is>
      </c>
      <c r="O25" t="n">
        <v>9.5</v>
      </c>
      <c r="P25" t="inlineStr"/>
      <c r="Q25" t="inlineStr">
        <is>
          <t>FY2016/17</t>
        </is>
      </c>
      <c r="R25" t="inlineStr">
        <is>
          <t>AUD</t>
        </is>
      </c>
      <c r="S25" t="n">
        <v>9.5</v>
      </c>
      <c r="T25" t="inlineStr">
        <is>
          <t>AUD</t>
        </is>
      </c>
      <c r="U25" t="n">
        <v>0.678571</v>
      </c>
      <c r="V25" t="inlineStr">
        <is>
          <t>AUD</t>
        </is>
      </c>
      <c r="W25" t="n">
        <v>73.47</v>
      </c>
      <c r="X25" t="b">
        <v>1</v>
      </c>
      <c r="Y25" s="3" t="inlineStr">
        <is>
          <t>2017-06-05 | PARCEL |  VAS | 14.0000 unit @ A$73.47 / unit | Total cost base = A$1,038.08 |</t>
        </is>
      </c>
      <c r="Z25" t="n">
        <v/>
      </c>
    </row>
    <row r="26">
      <c r="A26" s="5" t="inlineStr">
        <is>
          <t>01a1212c-6a82-7148-bbf5-d858a6b3eba6</t>
        </is>
      </c>
      <c r="B26" t="inlineStr">
        <is>
          <t>B025</t>
        </is>
      </c>
      <c r="C26" s="5" t="inlineStr">
        <is>
          <t>01a1212c-4b57-70cf-80fd-c2192cb3bf81</t>
        </is>
      </c>
      <c r="D26" s="4" t="n">
        <v>46304.62409040737</v>
      </c>
      <c r="E26" s="4" t="n">
        <v>46304.62409040747</v>
      </c>
      <c r="F26" t="b">
        <v>1</v>
      </c>
      <c r="G26" t="n">
        <v/>
      </c>
      <c r="H26" t="inlineStr">
        <is>
          <t>2017-06-05 | Buy | VGS | 20.0000 unit @ A$64.25 / unit</t>
        </is>
      </c>
      <c r="I26" t="inlineStr">
        <is>
          <t>VGS</t>
        </is>
      </c>
      <c r="J26" s="6" t="n">
        <v>42891</v>
      </c>
      <c r="K26" t="n">
        <v>20</v>
      </c>
      <c r="L26" t="inlineStr">
        <is>
          <t>AUD</t>
        </is>
      </c>
      <c r="M26" t="n">
        <v>64.25</v>
      </c>
      <c r="N26" t="inlineStr">
        <is>
          <t>AUD</t>
        </is>
      </c>
      <c r="O26" t="n">
        <v>9.5</v>
      </c>
      <c r="P26" t="inlineStr"/>
      <c r="Q26" t="inlineStr">
        <is>
          <t>FY2016/17</t>
        </is>
      </c>
      <c r="R26" t="inlineStr">
        <is>
          <t>AUD</t>
        </is>
      </c>
      <c r="S26" t="n">
        <v>9.5</v>
      </c>
      <c r="T26" t="inlineStr">
        <is>
          <t>AUD</t>
        </is>
      </c>
      <c r="U26" t="n">
        <v>0.475</v>
      </c>
      <c r="V26" t="inlineStr">
        <is>
          <t>AUD</t>
        </is>
      </c>
      <c r="W26" t="n">
        <v>64.25</v>
      </c>
      <c r="X26" t="b">
        <v>1</v>
      </c>
      <c r="Y26" s="3" t="inlineStr">
        <is>
          <t>2017-06-05 | PARCEL |  VGS | 20.0000 unit @ A$64.25 / unit | Total cost base = A$1,294.50 |</t>
        </is>
      </c>
      <c r="Z26" t="n">
        <v/>
      </c>
    </row>
    <row r="27">
      <c r="A27" s="5" t="inlineStr">
        <is>
          <t>01a1212c-6a96-75c0-828c-f2adeb894525</t>
        </is>
      </c>
      <c r="B27" t="inlineStr">
        <is>
          <t>B026</t>
        </is>
      </c>
      <c r="C27" s="5" t="inlineStr">
        <is>
          <t>01a1212c-4b57-70cf-80fd-c2192cb3bf81</t>
        </is>
      </c>
      <c r="D27" s="4" t="n">
        <v>46304.62409066163</v>
      </c>
      <c r="E27" s="4" t="n">
        <v>46304.62409066169</v>
      </c>
      <c r="F27" t="b">
        <v>1</v>
      </c>
      <c r="G27" t="n">
        <v/>
      </c>
      <c r="H27" t="inlineStr">
        <is>
          <t>2017-06-22 | Buy | AAPL | 4.0000 unit @ $145.63 / unit</t>
        </is>
      </c>
      <c r="I27" t="inlineStr">
        <is>
          <t>AAPL</t>
        </is>
      </c>
      <c r="J27" s="6" t="n">
        <v>42908</v>
      </c>
      <c r="K27" t="n">
        <v>4</v>
      </c>
      <c r="L27" t="inlineStr">
        <is>
          <t>USD</t>
        </is>
      </c>
      <c r="M27" t="n">
        <v>145.63</v>
      </c>
      <c r="N27" t="inlineStr">
        <is>
          <t>USD</t>
        </is>
      </c>
      <c r="O27" t="n">
        <v>5</v>
      </c>
      <c r="P27" t="inlineStr"/>
      <c r="Q27" t="inlineStr">
        <is>
          <t>FY2016/17</t>
        </is>
      </c>
      <c r="R27" t="inlineStr">
        <is>
          <t>AUD</t>
        </is>
      </c>
      <c r="S27" t="n">
        <v>7.5</v>
      </c>
      <c r="T27" t="inlineStr">
        <is>
          <t>AUD</t>
        </is>
      </c>
      <c r="U27" t="n">
        <v>1.875</v>
      </c>
      <c r="V27" t="inlineStr">
        <is>
          <t>AUD</t>
        </is>
      </c>
      <c r="W27" t="n">
        <v>218.445</v>
      </c>
      <c r="X27" t="b">
        <v>1</v>
      </c>
      <c r="Y27" s="3" t="inlineStr">
        <is>
          <t>2017-06-22 | PARCEL |  AAPL | 4.0000 unit @ A$218.44 / unit | Total cost base = A$881.28 |</t>
        </is>
      </c>
      <c r="Z27" s="5" t="inlineStr">
        <is>
          <t>01a1212c-6a98-72ec-b03b-62e893bca266</t>
        </is>
      </c>
    </row>
    <row r="28">
      <c r="A28" s="5" t="inlineStr">
        <is>
          <t>01a1212c-6aad-70b1-802d-21095f54f457</t>
        </is>
      </c>
      <c r="B28" t="inlineStr">
        <is>
          <t>B027</t>
        </is>
      </c>
      <c r="C28" s="5" t="inlineStr">
        <is>
          <t>01a1212c-4b57-70cf-80fd-c2192cb3bf81</t>
        </is>
      </c>
      <c r="D28" s="4" t="n">
        <v>46304.62409090595</v>
      </c>
      <c r="E28" s="4" t="n">
        <v>46304.62409090601</v>
      </c>
      <c r="F28" t="b">
        <v>1</v>
      </c>
      <c r="G28" t="n">
        <v/>
      </c>
      <c r="H28" t="inlineStr">
        <is>
          <t>2017-07-04 | Buy | VAS | 21.0000 unit @ A$73.59 / unit</t>
        </is>
      </c>
      <c r="I28" t="inlineStr">
        <is>
          <t>VAS</t>
        </is>
      </c>
      <c r="J28" s="6" t="n">
        <v>42920</v>
      </c>
      <c r="K28" t="n">
        <v>21</v>
      </c>
      <c r="L28" t="inlineStr">
        <is>
          <t>AUD</t>
        </is>
      </c>
      <c r="M28" t="n">
        <v>73.59</v>
      </c>
      <c r="N28" t="inlineStr">
        <is>
          <t>AUD</t>
        </is>
      </c>
      <c r="O28" t="n">
        <v>9.5</v>
      </c>
      <c r="P28" t="inlineStr"/>
      <c r="Q28" t="inlineStr">
        <is>
          <t>FY2017/18</t>
        </is>
      </c>
      <c r="R28" t="inlineStr">
        <is>
          <t>AUD</t>
        </is>
      </c>
      <c r="S28" t="n">
        <v>9.5</v>
      </c>
      <c r="T28" t="inlineStr">
        <is>
          <t>AUD</t>
        </is>
      </c>
      <c r="U28" t="n">
        <v>0.452381</v>
      </c>
      <c r="V28" t="inlineStr">
        <is>
          <t>AUD</t>
        </is>
      </c>
      <c r="W28" t="n">
        <v>73.59</v>
      </c>
      <c r="X28" t="b">
        <v>1</v>
      </c>
      <c r="Y28" s="3" t="inlineStr">
        <is>
          <t>2017-07-04 | PARCEL |  VAS | 21.0000 unit @ A$73.59 / unit | Total cost base = A$1,554.89 |</t>
        </is>
      </c>
      <c r="Z28" t="n">
        <v/>
      </c>
    </row>
    <row r="29">
      <c r="A29" s="5" t="inlineStr">
        <is>
          <t>01a1212c-6ac2-7291-af6e-65a0fa2a4d08</t>
        </is>
      </c>
      <c r="B29" t="inlineStr">
        <is>
          <t>B028</t>
        </is>
      </c>
      <c r="C29" s="5" t="inlineStr">
        <is>
          <t>01a1212c-4b57-70cf-80fd-c2192cb3bf81</t>
        </is>
      </c>
      <c r="D29" s="4" t="n">
        <v>46304.62409114869</v>
      </c>
      <c r="E29" s="4" t="n">
        <v>46304.62409114876</v>
      </c>
      <c r="F29" t="b">
        <v>1</v>
      </c>
      <c r="G29" t="n">
        <v/>
      </c>
      <c r="H29" t="inlineStr">
        <is>
          <t>2017-07-04 | Buy | VGS | 31.0000 unit @ A$61.50 / unit</t>
        </is>
      </c>
      <c r="I29" t="inlineStr">
        <is>
          <t>VGS</t>
        </is>
      </c>
      <c r="J29" s="6" t="n">
        <v>42920</v>
      </c>
      <c r="K29" t="n">
        <v>31</v>
      </c>
      <c r="L29" t="inlineStr">
        <is>
          <t>AUD</t>
        </is>
      </c>
      <c r="M29" t="n">
        <v>61.5</v>
      </c>
      <c r="N29" t="inlineStr">
        <is>
          <t>AUD</t>
        </is>
      </c>
      <c r="O29" t="n">
        <v>9.5</v>
      </c>
      <c r="P29" t="inlineStr"/>
      <c r="Q29" t="inlineStr">
        <is>
          <t>FY2017/18</t>
        </is>
      </c>
      <c r="R29" t="inlineStr">
        <is>
          <t>AUD</t>
        </is>
      </c>
      <c r="S29" t="n">
        <v>9.5</v>
      </c>
      <c r="T29" t="inlineStr">
        <is>
          <t>AUD</t>
        </is>
      </c>
      <c r="U29" t="n">
        <v>0.306452</v>
      </c>
      <c r="V29" t="inlineStr">
        <is>
          <t>AUD</t>
        </is>
      </c>
      <c r="W29" t="n">
        <v>61.5</v>
      </c>
      <c r="X29" t="b">
        <v>1</v>
      </c>
      <c r="Y29" s="3" t="inlineStr">
        <is>
          <t>2017-07-04 | PARCEL |  VGS | 31.0000 unit @ A$61.50 / unit | Total cost base = A$1,916.00 |</t>
        </is>
      </c>
      <c r="Z29" t="n">
        <v/>
      </c>
    </row>
    <row r="30">
      <c r="A30" s="5" t="inlineStr">
        <is>
          <t>01a1212c-6ad7-7023-b9a2-0c38d8421cef</t>
        </is>
      </c>
      <c r="B30" t="inlineStr">
        <is>
          <t>B029</t>
        </is>
      </c>
      <c r="C30" s="5" t="inlineStr">
        <is>
          <t>01a1212c-4b57-70cf-80fd-c2192cb3bf81</t>
        </is>
      </c>
      <c r="D30" s="4" t="n">
        <v>46304.62409141011</v>
      </c>
      <c r="E30" s="4" t="n">
        <v>46304.62409141017</v>
      </c>
      <c r="F30" t="b">
        <v>1</v>
      </c>
      <c r="G30" t="n">
        <v/>
      </c>
      <c r="H30" t="inlineStr">
        <is>
          <t>2017-07-10 | Buy | MSFT | 9.0000 unit @ $69.98 / unit</t>
        </is>
      </c>
      <c r="I30" t="inlineStr">
        <is>
          <t>MSFT</t>
        </is>
      </c>
      <c r="J30" s="6" t="n">
        <v>42926</v>
      </c>
      <c r="K30" t="n">
        <v>9</v>
      </c>
      <c r="L30" t="inlineStr">
        <is>
          <t>USD</t>
        </is>
      </c>
      <c r="M30" t="n">
        <v>69.98</v>
      </c>
      <c r="N30" t="inlineStr">
        <is>
          <t>USD</t>
        </is>
      </c>
      <c r="O30" t="n">
        <v>5</v>
      </c>
      <c r="P30" t="inlineStr"/>
      <c r="Q30" t="inlineStr">
        <is>
          <t>FY2017/18</t>
        </is>
      </c>
      <c r="R30" t="inlineStr">
        <is>
          <t>AUD</t>
        </is>
      </c>
      <c r="S30" t="n">
        <v>7.5</v>
      </c>
      <c r="T30" t="inlineStr">
        <is>
          <t>AUD</t>
        </is>
      </c>
      <c r="U30" t="n">
        <v>0.833333</v>
      </c>
      <c r="V30" t="inlineStr">
        <is>
          <t>AUD</t>
        </is>
      </c>
      <c r="W30" t="n">
        <v>104.97</v>
      </c>
      <c r="X30" t="b">
        <v>1</v>
      </c>
      <c r="Y30" s="3" t="inlineStr">
        <is>
          <t>2017-07-10 | PARCEL |  MSFT | 9.0000 unit @ A$104.97 / unit | Total cost base = A$952.23 |</t>
        </is>
      </c>
      <c r="Z30" s="5" t="inlineStr">
        <is>
          <t>01a1212c-6ad8-7356-82af-f81886a4a2b6</t>
        </is>
      </c>
    </row>
    <row r="31">
      <c r="A31" s="5" t="inlineStr">
        <is>
          <t>01a1212c-6aee-76b5-be9f-e479e5cb1dcf</t>
        </is>
      </c>
      <c r="B31" t="inlineStr">
        <is>
          <t>B030</t>
        </is>
      </c>
      <c r="C31" s="5" t="inlineStr">
        <is>
          <t>01a1212c-4b57-70cf-80fd-c2192cb3bf81</t>
        </is>
      </c>
      <c r="D31" s="4" t="n">
        <v>46304.62409167387</v>
      </c>
      <c r="E31" s="4" t="n">
        <v>46304.62409167393</v>
      </c>
      <c r="F31" t="b">
        <v>1</v>
      </c>
      <c r="G31" t="n">
        <v/>
      </c>
      <c r="H31" t="inlineStr">
        <is>
          <t>2017-07-28 | Buy | MSFT | 7.0000 unit @ $73.04 / unit</t>
        </is>
      </c>
      <c r="I31" t="inlineStr">
        <is>
          <t>MSFT</t>
        </is>
      </c>
      <c r="J31" s="6" t="n">
        <v>42944</v>
      </c>
      <c r="K31" t="n">
        <v>7</v>
      </c>
      <c r="L31" t="inlineStr">
        <is>
          <t>USD</t>
        </is>
      </c>
      <c r="M31" t="n">
        <v>73.04000000000001</v>
      </c>
      <c r="N31" t="inlineStr">
        <is>
          <t>USD</t>
        </is>
      </c>
      <c r="O31" t="n">
        <v>5</v>
      </c>
      <c r="P31" t="inlineStr"/>
      <c r="Q31" t="inlineStr">
        <is>
          <t>FY2017/18</t>
        </is>
      </c>
      <c r="R31" t="inlineStr">
        <is>
          <t>AUD</t>
        </is>
      </c>
      <c r="S31" t="n">
        <v>7.5</v>
      </c>
      <c r="T31" t="inlineStr">
        <is>
          <t>AUD</t>
        </is>
      </c>
      <c r="U31" t="n">
        <v>1.071429</v>
      </c>
      <c r="V31" t="inlineStr">
        <is>
          <t>AUD</t>
        </is>
      </c>
      <c r="W31" t="n">
        <v>109.56</v>
      </c>
      <c r="X31" t="b">
        <v>1</v>
      </c>
      <c r="Y31" s="3" t="inlineStr">
        <is>
          <t>2017-07-28 | PARCEL |  MSFT | 7.0000 unit @ A$109.56 / unit | Total cost base = A$774.42 |</t>
        </is>
      </c>
      <c r="Z31" s="5" t="inlineStr">
        <is>
          <t>01a1212c-6aef-75da-a331-6ee84ea413ac</t>
        </is>
      </c>
    </row>
    <row r="32">
      <c r="A32" s="5" t="inlineStr">
        <is>
          <t>01a1212c-6b04-74b6-a2d2-3e5df3d358f3</t>
        </is>
      </c>
      <c r="B32" t="inlineStr">
        <is>
          <t>B031</t>
        </is>
      </c>
      <c r="C32" s="5" t="inlineStr">
        <is>
          <t>01a1212c-4b57-70cf-80fd-c2192cb3bf81</t>
        </is>
      </c>
      <c r="D32" s="4" t="n">
        <v>46304.62409192153</v>
      </c>
      <c r="E32" s="4" t="n">
        <v>46304.62409192161</v>
      </c>
      <c r="F32" t="b">
        <v>1</v>
      </c>
      <c r="G32" t="n">
        <v/>
      </c>
      <c r="H32" t="inlineStr">
        <is>
          <t>2017-08-07 | Buy | VAS | 18.0000 unit @ A$73.45 / unit</t>
        </is>
      </c>
      <c r="I32" t="inlineStr">
        <is>
          <t>VAS</t>
        </is>
      </c>
      <c r="J32" s="6" t="n">
        <v>42954</v>
      </c>
      <c r="K32" t="n">
        <v>18</v>
      </c>
      <c r="L32" t="inlineStr">
        <is>
          <t>AUD</t>
        </is>
      </c>
      <c r="M32" t="n">
        <v>73.45</v>
      </c>
      <c r="N32" t="inlineStr">
        <is>
          <t>AUD</t>
        </is>
      </c>
      <c r="O32" t="n">
        <v>9.5</v>
      </c>
      <c r="P32" t="inlineStr"/>
      <c r="Q32" t="inlineStr">
        <is>
          <t>FY2017/18</t>
        </is>
      </c>
      <c r="R32" t="inlineStr">
        <is>
          <t>AUD</t>
        </is>
      </c>
      <c r="S32" t="n">
        <v>9.5</v>
      </c>
      <c r="T32" t="inlineStr">
        <is>
          <t>AUD</t>
        </is>
      </c>
      <c r="U32" t="n">
        <v>0.527778</v>
      </c>
      <c r="V32" t="inlineStr">
        <is>
          <t>AUD</t>
        </is>
      </c>
      <c r="W32" t="n">
        <v>73.45</v>
      </c>
      <c r="X32" t="b">
        <v>1</v>
      </c>
      <c r="Y32" s="3" t="inlineStr">
        <is>
          <t>2017-08-07 | PARCEL |  VAS | 18.0000 unit @ A$73.45 / unit | Total cost base = A$1,331.60 |</t>
        </is>
      </c>
      <c r="Z32" t="n">
        <v/>
      </c>
    </row>
    <row r="33">
      <c r="A33" s="5" t="inlineStr">
        <is>
          <t>01a1212c-6b19-7205-915e-47746b9f9f99</t>
        </is>
      </c>
      <c r="B33" t="inlineStr">
        <is>
          <t>B032</t>
        </is>
      </c>
      <c r="C33" s="5" t="inlineStr">
        <is>
          <t>01a1212c-4b57-70cf-80fd-c2192cb3bf81</t>
        </is>
      </c>
      <c r="D33" s="4" t="n">
        <v>46304.62409216277</v>
      </c>
      <c r="E33" s="4" t="n">
        <v>46304.62409216283</v>
      </c>
      <c r="F33" t="b">
        <v>1</v>
      </c>
      <c r="G33" t="n">
        <v/>
      </c>
      <c r="H33" t="inlineStr">
        <is>
          <t>2017-08-07 | Buy | VGS | 27.0000 unit @ A$61.00 / unit</t>
        </is>
      </c>
      <c r="I33" t="inlineStr">
        <is>
          <t>VGS</t>
        </is>
      </c>
      <c r="J33" s="6" t="n">
        <v>42954</v>
      </c>
      <c r="K33" t="n">
        <v>27</v>
      </c>
      <c r="L33" t="inlineStr">
        <is>
          <t>AUD</t>
        </is>
      </c>
      <c r="M33" t="n">
        <v>61</v>
      </c>
      <c r="N33" t="inlineStr">
        <is>
          <t>AUD</t>
        </is>
      </c>
      <c r="O33" t="n">
        <v>9.5</v>
      </c>
      <c r="P33" t="inlineStr"/>
      <c r="Q33" t="inlineStr">
        <is>
          <t>FY2017/18</t>
        </is>
      </c>
      <c r="R33" t="inlineStr">
        <is>
          <t>AUD</t>
        </is>
      </c>
      <c r="S33" t="n">
        <v>9.5</v>
      </c>
      <c r="T33" t="inlineStr">
        <is>
          <t>AUD</t>
        </is>
      </c>
      <c r="U33" t="n">
        <v>0.351852</v>
      </c>
      <c r="V33" t="inlineStr">
        <is>
          <t>AUD</t>
        </is>
      </c>
      <c r="W33" t="n">
        <v>61</v>
      </c>
      <c r="X33" t="b">
        <v>1</v>
      </c>
      <c r="Y33" s="3" t="inlineStr">
        <is>
          <t>2017-08-07 | PARCEL |  VGS | 27.0000 unit @ A$61.00 / unit | Total cost base = A$1,656.50 |</t>
        </is>
      </c>
      <c r="Z33" t="n">
        <v/>
      </c>
    </row>
    <row r="34">
      <c r="A34" s="5" t="inlineStr">
        <is>
          <t>01a1212c-6b2e-762b-b2d4-1925c074cd6f</t>
        </is>
      </c>
      <c r="B34" t="inlineStr">
        <is>
          <t>B033</t>
        </is>
      </c>
      <c r="C34" s="5" t="inlineStr">
        <is>
          <t>01a1212c-4b57-70cf-80fd-c2192cb3bf81</t>
        </is>
      </c>
      <c r="D34" s="4" t="n">
        <v>46304.62409240288</v>
      </c>
      <c r="E34" s="4" t="n">
        <v>46304.62409240295</v>
      </c>
      <c r="F34" t="b">
        <v>1</v>
      </c>
      <c r="G34" t="n">
        <v/>
      </c>
      <c r="H34" t="inlineStr">
        <is>
          <t>2017-09-04 | Buy | VAS | 16.0000 unit @ A$73.25 / unit</t>
        </is>
      </c>
      <c r="I34" t="inlineStr">
        <is>
          <t>VAS</t>
        </is>
      </c>
      <c r="J34" s="6" t="n">
        <v>42982</v>
      </c>
      <c r="K34" t="n">
        <v>16</v>
      </c>
      <c r="L34" t="inlineStr">
        <is>
          <t>AUD</t>
        </is>
      </c>
      <c r="M34" t="n">
        <v>73.25</v>
      </c>
      <c r="N34" t="inlineStr">
        <is>
          <t>AUD</t>
        </is>
      </c>
      <c r="O34" t="n">
        <v>9.5</v>
      </c>
      <c r="P34" t="inlineStr"/>
      <c r="Q34" t="inlineStr">
        <is>
          <t>FY2017/18</t>
        </is>
      </c>
      <c r="R34" t="inlineStr">
        <is>
          <t>AUD</t>
        </is>
      </c>
      <c r="S34" t="n">
        <v>9.5</v>
      </c>
      <c r="T34" t="inlineStr">
        <is>
          <t>AUD</t>
        </is>
      </c>
      <c r="U34" t="n">
        <v>0.59375</v>
      </c>
      <c r="V34" t="inlineStr">
        <is>
          <t>AUD</t>
        </is>
      </c>
      <c r="W34" t="n">
        <v>73.25</v>
      </c>
      <c r="X34" t="b">
        <v>1</v>
      </c>
      <c r="Y34" s="3" t="inlineStr">
        <is>
          <t>2017-09-04 | PARCEL |  VAS | 16.0000 unit @ A$73.25 / unit | Total cost base = A$1,181.50 |</t>
        </is>
      </c>
      <c r="Z34" t="n">
        <v/>
      </c>
    </row>
    <row r="35">
      <c r="A35" s="5" t="inlineStr">
        <is>
          <t>01a1212c-6b43-71a1-9b95-f4e018419485</t>
        </is>
      </c>
      <c r="B35" t="inlineStr">
        <is>
          <t>B034</t>
        </is>
      </c>
      <c r="C35" s="5" t="inlineStr">
        <is>
          <t>01a1212c-4b57-70cf-80fd-c2192cb3bf81</t>
        </is>
      </c>
      <c r="D35" s="4" t="n">
        <v>46304.62409264118</v>
      </c>
      <c r="E35" s="4" t="n">
        <v>46304.62409264125</v>
      </c>
      <c r="F35" t="b">
        <v>1</v>
      </c>
      <c r="G35" t="n">
        <v/>
      </c>
      <c r="H35" t="inlineStr">
        <is>
          <t>2017-09-04 | Buy | VGS | 24.0000 unit @ A$60.14 / unit</t>
        </is>
      </c>
      <c r="I35" t="inlineStr">
        <is>
          <t>VGS</t>
        </is>
      </c>
      <c r="J35" s="6" t="n">
        <v>42982</v>
      </c>
      <c r="K35" t="n">
        <v>24</v>
      </c>
      <c r="L35" t="inlineStr">
        <is>
          <t>AUD</t>
        </is>
      </c>
      <c r="M35" t="n">
        <v>60.14</v>
      </c>
      <c r="N35" t="inlineStr">
        <is>
          <t>AUD</t>
        </is>
      </c>
      <c r="O35" t="n">
        <v>9.5</v>
      </c>
      <c r="P35" t="inlineStr"/>
      <c r="Q35" t="inlineStr">
        <is>
          <t>FY2017/18</t>
        </is>
      </c>
      <c r="R35" t="inlineStr">
        <is>
          <t>AUD</t>
        </is>
      </c>
      <c r="S35" t="n">
        <v>9.5</v>
      </c>
      <c r="T35" t="inlineStr">
        <is>
          <t>AUD</t>
        </is>
      </c>
      <c r="U35" t="n">
        <v>0.395833</v>
      </c>
      <c r="V35" t="inlineStr">
        <is>
          <t>AUD</t>
        </is>
      </c>
      <c r="W35" t="n">
        <v>60.14</v>
      </c>
      <c r="X35" t="b">
        <v>1</v>
      </c>
      <c r="Y35" s="3" t="inlineStr">
        <is>
          <t>2017-09-04 | PARCEL |  VGS | 24.0000 unit @ A$60.14 / unit | Total cost base = A$1,452.86 |</t>
        </is>
      </c>
      <c r="Z35" t="n">
        <v/>
      </c>
    </row>
    <row r="36">
      <c r="A36" s="5" t="inlineStr">
        <is>
          <t>01a1212c-6b59-757d-83f8-44adb6a3f5cd</t>
        </is>
      </c>
      <c r="B36" t="inlineStr">
        <is>
          <t>B035</t>
        </is>
      </c>
      <c r="C36" s="5" t="inlineStr">
        <is>
          <t>01a1212c-4b57-70cf-80fd-c2192cb3bf81</t>
        </is>
      </c>
      <c r="D36" s="4" t="n">
        <v>46304.62409291559</v>
      </c>
      <c r="E36" s="4" t="n">
        <v>46304.62409291565</v>
      </c>
      <c r="F36" t="b">
        <v>1</v>
      </c>
      <c r="G36" t="n">
        <v/>
      </c>
      <c r="H36" t="inlineStr">
        <is>
          <t>2017-09-26 | Buy | AMZN | 1.0000 unit @ $938.60 / unit</t>
        </is>
      </c>
      <c r="I36" t="inlineStr">
        <is>
          <t>AMZN</t>
        </is>
      </c>
      <c r="J36" s="6" t="n">
        <v>43004</v>
      </c>
      <c r="K36" t="n">
        <v>1</v>
      </c>
      <c r="L36" t="inlineStr">
        <is>
          <t>USD</t>
        </is>
      </c>
      <c r="M36" t="n">
        <v>938.6</v>
      </c>
      <c r="N36" t="inlineStr">
        <is>
          <t>USD</t>
        </is>
      </c>
      <c r="O36" t="n">
        <v>5</v>
      </c>
      <c r="P36" t="inlineStr"/>
      <c r="Q36" t="inlineStr">
        <is>
          <t>FY2017/18</t>
        </is>
      </c>
      <c r="R36" t="inlineStr">
        <is>
          <t>AUD</t>
        </is>
      </c>
      <c r="S36" t="n">
        <v>7.5</v>
      </c>
      <c r="T36" t="inlineStr">
        <is>
          <t>AUD</t>
        </is>
      </c>
      <c r="U36" t="n">
        <v>7.5</v>
      </c>
      <c r="V36" t="inlineStr">
        <is>
          <t>AUD</t>
        </is>
      </c>
      <c r="W36" t="n">
        <v>1407.9</v>
      </c>
      <c r="X36" t="b">
        <v>1</v>
      </c>
      <c r="Y36" s="3" t="inlineStr">
        <is>
          <t>2017-09-26 | PARCEL |  AMZN | 1.0000 unit @ A$1,407.90 / unit | Total cost base = A$1,415.40 |</t>
        </is>
      </c>
      <c r="Z36" s="5" t="inlineStr">
        <is>
          <t>01a1212c-6b5a-7638-bc2a-941f08615f12</t>
        </is>
      </c>
    </row>
    <row r="37">
      <c r="A37" s="5" t="inlineStr">
        <is>
          <t>01a1212c-6b71-71a7-9a01-e47746f33307</t>
        </is>
      </c>
      <c r="B37" t="inlineStr">
        <is>
          <t>B036</t>
        </is>
      </c>
      <c r="C37" s="5" t="inlineStr">
        <is>
          <t>01a1212c-4b57-70cf-80fd-c2192cb3bf81</t>
        </is>
      </c>
      <c r="D37" s="4" t="n">
        <v>46304.62409317817</v>
      </c>
      <c r="E37" s="4" t="n">
        <v>46304.62409317824</v>
      </c>
      <c r="F37" t="b">
        <v>1</v>
      </c>
      <c r="G37" t="n">
        <v/>
      </c>
      <c r="H37" t="inlineStr">
        <is>
          <t>2017-10-05 | Buy | VAS | 11.0000 unit @ A$72.07 / unit</t>
        </is>
      </c>
      <c r="I37" t="inlineStr">
        <is>
          <t>VAS</t>
        </is>
      </c>
      <c r="J37" s="6" t="n">
        <v>43013</v>
      </c>
      <c r="K37" t="n">
        <v>11</v>
      </c>
      <c r="L37" t="inlineStr">
        <is>
          <t>AUD</t>
        </is>
      </c>
      <c r="M37" t="n">
        <v>72.06999999999999</v>
      </c>
      <c r="N37" t="inlineStr">
        <is>
          <t>AUD</t>
        </is>
      </c>
      <c r="O37" t="n">
        <v>9.5</v>
      </c>
      <c r="P37" t="inlineStr"/>
      <c r="Q37" t="inlineStr">
        <is>
          <t>FY2017/18</t>
        </is>
      </c>
      <c r="R37" t="inlineStr">
        <is>
          <t>AUD</t>
        </is>
      </c>
      <c r="S37" t="n">
        <v>9.5</v>
      </c>
      <c r="T37" t="inlineStr">
        <is>
          <t>AUD</t>
        </is>
      </c>
      <c r="U37" t="n">
        <v>0.863636</v>
      </c>
      <c r="V37" t="inlineStr">
        <is>
          <t>AUD</t>
        </is>
      </c>
      <c r="W37" t="n">
        <v>72.06999999999999</v>
      </c>
      <c r="X37" t="b">
        <v>1</v>
      </c>
      <c r="Y37" s="3" t="inlineStr">
        <is>
          <t>2017-10-05 | PARCEL |  VAS | 11.0000 unit @ A$72.07 / unit | Total cost base = A$802.27 |</t>
        </is>
      </c>
      <c r="Z37" t="n">
        <v/>
      </c>
    </row>
    <row r="38">
      <c r="A38" s="5" t="inlineStr">
        <is>
          <t>01a1212c-6b86-74b3-b655-440aae49147c</t>
        </is>
      </c>
      <c r="B38" t="inlineStr">
        <is>
          <t>B037</t>
        </is>
      </c>
      <c r="C38" s="5" t="inlineStr">
        <is>
          <t>01a1212c-4b57-70cf-80fd-c2192cb3bf81</t>
        </is>
      </c>
      <c r="D38" s="4" t="n">
        <v>46304.62409342493</v>
      </c>
      <c r="E38" s="4" t="n">
        <v>46304.624093425</v>
      </c>
      <c r="F38" t="b">
        <v>1</v>
      </c>
      <c r="G38" t="n">
        <v/>
      </c>
      <c r="H38" t="inlineStr">
        <is>
          <t>2017-10-05 | Buy | VGS | 15.0000 unit @ A$62.68 / unit</t>
        </is>
      </c>
      <c r="I38" t="inlineStr">
        <is>
          <t>VGS</t>
        </is>
      </c>
      <c r="J38" s="6" t="n">
        <v>43013</v>
      </c>
      <c r="K38" t="n">
        <v>15</v>
      </c>
      <c r="L38" t="inlineStr">
        <is>
          <t>AUD</t>
        </is>
      </c>
      <c r="M38" t="n">
        <v>62.68</v>
      </c>
      <c r="N38" t="inlineStr">
        <is>
          <t>AUD</t>
        </is>
      </c>
      <c r="O38" t="n">
        <v>9.5</v>
      </c>
      <c r="P38" t="inlineStr"/>
      <c r="Q38" t="inlineStr">
        <is>
          <t>FY2017/18</t>
        </is>
      </c>
      <c r="R38" t="inlineStr">
        <is>
          <t>AUD</t>
        </is>
      </c>
      <c r="S38" t="n">
        <v>9.5</v>
      </c>
      <c r="T38" t="inlineStr">
        <is>
          <t>AUD</t>
        </is>
      </c>
      <c r="U38" t="n">
        <v>0.633333</v>
      </c>
      <c r="V38" t="inlineStr">
        <is>
          <t>AUD</t>
        </is>
      </c>
      <c r="W38" t="n">
        <v>62.68</v>
      </c>
      <c r="X38" t="b">
        <v>1</v>
      </c>
      <c r="Y38" s="3" t="inlineStr">
        <is>
          <t>2017-10-05 | PARCEL |  VGS | 15.0000 unit @ A$62.68 / unit | Total cost base = A$949.70 |</t>
        </is>
      </c>
      <c r="Z38" t="n">
        <v/>
      </c>
    </row>
    <row r="39">
      <c r="A39" s="5" t="inlineStr">
        <is>
          <t>01a1212c-6b9b-712e-b85a-93d912723627</t>
        </is>
      </c>
      <c r="B39" t="inlineStr">
        <is>
          <t>B038</t>
        </is>
      </c>
      <c r="C39" s="5" t="inlineStr">
        <is>
          <t>01a1212c-4b57-70cf-80fd-c2192cb3bf81</t>
        </is>
      </c>
      <c r="D39" s="4" t="n">
        <v>46304.62409368467</v>
      </c>
      <c r="E39" s="4" t="n">
        <v>46304.62409368473</v>
      </c>
      <c r="F39" t="b">
        <v>1</v>
      </c>
      <c r="G39" t="n">
        <v/>
      </c>
      <c r="H39" t="inlineStr">
        <is>
          <t>2017-10-19 | Buy | MSFT | 8.0000 unit @ $77.91 / unit</t>
        </is>
      </c>
      <c r="I39" t="inlineStr">
        <is>
          <t>MSFT</t>
        </is>
      </c>
      <c r="J39" s="6" t="n">
        <v>43027</v>
      </c>
      <c r="K39" t="n">
        <v>8</v>
      </c>
      <c r="L39" t="inlineStr">
        <is>
          <t>USD</t>
        </is>
      </c>
      <c r="M39" t="n">
        <v>77.91</v>
      </c>
      <c r="N39" t="inlineStr">
        <is>
          <t>USD</t>
        </is>
      </c>
      <c r="O39" t="n">
        <v>5</v>
      </c>
      <c r="P39" t="inlineStr"/>
      <c r="Q39" t="inlineStr">
        <is>
          <t>FY2017/18</t>
        </is>
      </c>
      <c r="R39" t="inlineStr">
        <is>
          <t>AUD</t>
        </is>
      </c>
      <c r="S39" t="n">
        <v>7.5</v>
      </c>
      <c r="T39" t="inlineStr">
        <is>
          <t>AUD</t>
        </is>
      </c>
      <c r="U39" t="n">
        <v>0.9375</v>
      </c>
      <c r="V39" t="inlineStr">
        <is>
          <t>AUD</t>
        </is>
      </c>
      <c r="W39" t="n">
        <v>116.865</v>
      </c>
      <c r="X39" t="b">
        <v>1</v>
      </c>
      <c r="Y39" s="3" t="inlineStr">
        <is>
          <t>2017-10-19 | PARCEL |  MSFT | 8.0000 unit @ A$116.86 / unit | Total cost base = A$942.42 |</t>
        </is>
      </c>
      <c r="Z39" s="5" t="inlineStr">
        <is>
          <t>01a1212c-6b9d-75f4-8536-99fab7955506</t>
        </is>
      </c>
    </row>
    <row r="40">
      <c r="A40" s="5" t="inlineStr">
        <is>
          <t>01a1212c-6bb3-753d-80c0-35d9c65f12e8</t>
        </is>
      </c>
      <c r="B40" t="inlineStr">
        <is>
          <t>B039</t>
        </is>
      </c>
      <c r="C40" s="5" t="inlineStr">
        <is>
          <t>01a1212c-4b57-70cf-80fd-c2192cb3bf81</t>
        </is>
      </c>
      <c r="D40" s="4" t="n">
        <v>46304.62409393727</v>
      </c>
      <c r="E40" s="4" t="n">
        <v>46304.62409393734</v>
      </c>
      <c r="F40" t="b">
        <v>1</v>
      </c>
      <c r="G40" t="n">
        <v/>
      </c>
      <c r="H40" t="inlineStr">
        <is>
          <t>2017-11-06 | Buy | VAS | 13.0000 unit @ A$75.83 / unit</t>
        </is>
      </c>
      <c r="I40" t="inlineStr">
        <is>
          <t>VAS</t>
        </is>
      </c>
      <c r="J40" s="6" t="n">
        <v>43045</v>
      </c>
      <c r="K40" t="n">
        <v>13</v>
      </c>
      <c r="L40" t="inlineStr">
        <is>
          <t>AUD</t>
        </is>
      </c>
      <c r="M40" t="n">
        <v>75.83</v>
      </c>
      <c r="N40" t="inlineStr">
        <is>
          <t>AUD</t>
        </is>
      </c>
      <c r="O40" t="n">
        <v>9.5</v>
      </c>
      <c r="P40" t="inlineStr"/>
      <c r="Q40" t="inlineStr">
        <is>
          <t>FY2017/18</t>
        </is>
      </c>
      <c r="R40" t="inlineStr">
        <is>
          <t>AUD</t>
        </is>
      </c>
      <c r="S40" t="n">
        <v>9.5</v>
      </c>
      <c r="T40" t="inlineStr">
        <is>
          <t>AUD</t>
        </is>
      </c>
      <c r="U40" t="n">
        <v>0.730769</v>
      </c>
      <c r="V40" t="inlineStr">
        <is>
          <t>AUD</t>
        </is>
      </c>
      <c r="W40" t="n">
        <v>75.83</v>
      </c>
      <c r="X40" t="b">
        <v>1</v>
      </c>
      <c r="Y40" s="3" t="inlineStr">
        <is>
          <t>2017-11-06 | PARCEL |  VAS | 13.0000 unit @ A$75.83 / unit | Total cost base = A$995.29 |</t>
        </is>
      </c>
      <c r="Z40" t="n">
        <v/>
      </c>
    </row>
    <row r="41">
      <c r="A41" s="5" t="inlineStr">
        <is>
          <t>01a1212c-6bc7-77f2-906f-30ea06e2333f</t>
        </is>
      </c>
      <c r="B41" t="inlineStr">
        <is>
          <t>B040</t>
        </is>
      </c>
      <c r="C41" s="5" t="inlineStr">
        <is>
          <t>01a1212c-4b57-70cf-80fd-c2192cb3bf81</t>
        </is>
      </c>
      <c r="D41" s="4" t="n">
        <v>46304.62409417949</v>
      </c>
      <c r="E41" s="4" t="n">
        <v>46304.62409417956</v>
      </c>
      <c r="F41" t="b">
        <v>1</v>
      </c>
      <c r="G41" t="n">
        <v/>
      </c>
      <c r="H41" t="inlineStr">
        <is>
          <t>2017-11-06 | Buy | VGS | 19.0000 unit @ A$65.08 / unit</t>
        </is>
      </c>
      <c r="I41" t="inlineStr">
        <is>
          <t>VGS</t>
        </is>
      </c>
      <c r="J41" s="6" t="n">
        <v>43045</v>
      </c>
      <c r="K41" t="n">
        <v>19</v>
      </c>
      <c r="L41" t="inlineStr">
        <is>
          <t>AUD</t>
        </is>
      </c>
      <c r="M41" t="n">
        <v>65.08</v>
      </c>
      <c r="N41" t="inlineStr">
        <is>
          <t>AUD</t>
        </is>
      </c>
      <c r="O41" t="n">
        <v>9.5</v>
      </c>
      <c r="P41" t="inlineStr"/>
      <c r="Q41" t="inlineStr">
        <is>
          <t>FY2017/18</t>
        </is>
      </c>
      <c r="R41" t="inlineStr">
        <is>
          <t>AUD</t>
        </is>
      </c>
      <c r="S41" t="n">
        <v>9.5</v>
      </c>
      <c r="T41" t="inlineStr">
        <is>
          <t>AUD</t>
        </is>
      </c>
      <c r="U41" t="n">
        <v>0.5</v>
      </c>
      <c r="V41" t="inlineStr">
        <is>
          <t>AUD</t>
        </is>
      </c>
      <c r="W41" t="n">
        <v>65.08</v>
      </c>
      <c r="X41" t="b">
        <v>1</v>
      </c>
      <c r="Y41" s="3" t="inlineStr">
        <is>
          <t>2017-11-06 | PARCEL |  VGS | 19.0000 unit @ A$65.08 / unit | Total cost base = A$1,246.02 |</t>
        </is>
      </c>
      <c r="Z41" t="n">
        <v/>
      </c>
    </row>
    <row r="42">
      <c r="A42" s="5" t="inlineStr">
        <is>
          <t>01a1212c-6bdc-710a-8309-ec0bb69a73f4</t>
        </is>
      </c>
      <c r="B42" t="inlineStr">
        <is>
          <t>B041</t>
        </is>
      </c>
      <c r="C42" s="5" t="inlineStr">
        <is>
          <t>01a1212c-4b57-70cf-80fd-c2192cb3bf81</t>
        </is>
      </c>
      <c r="D42" s="4" t="n">
        <v>46304.62409442173</v>
      </c>
      <c r="E42" s="4" t="n">
        <v>46304.62409442179</v>
      </c>
      <c r="F42" t="b">
        <v>1</v>
      </c>
      <c r="G42" t="n">
        <v/>
      </c>
      <c r="H42" t="inlineStr">
        <is>
          <t>2017-12-04 | Buy | VAS | 13.0000 unit @ A$76.75 / unit</t>
        </is>
      </c>
      <c r="I42" t="inlineStr">
        <is>
          <t>VAS</t>
        </is>
      </c>
      <c r="J42" s="6" t="n">
        <v>43073</v>
      </c>
      <c r="K42" t="n">
        <v>13</v>
      </c>
      <c r="L42" t="inlineStr">
        <is>
          <t>AUD</t>
        </is>
      </c>
      <c r="M42" t="n">
        <v>76.75</v>
      </c>
      <c r="N42" t="inlineStr">
        <is>
          <t>AUD</t>
        </is>
      </c>
      <c r="O42" t="n">
        <v>9.5</v>
      </c>
      <c r="P42" t="inlineStr"/>
      <c r="Q42" t="inlineStr">
        <is>
          <t>FY2017/18</t>
        </is>
      </c>
      <c r="R42" t="inlineStr">
        <is>
          <t>AUD</t>
        </is>
      </c>
      <c r="S42" t="n">
        <v>9.5</v>
      </c>
      <c r="T42" t="inlineStr">
        <is>
          <t>AUD</t>
        </is>
      </c>
      <c r="U42" t="n">
        <v>0.730769</v>
      </c>
      <c r="V42" t="inlineStr">
        <is>
          <t>AUD</t>
        </is>
      </c>
      <c r="W42" t="n">
        <v>76.75</v>
      </c>
      <c r="X42" t="b">
        <v>1</v>
      </c>
      <c r="Y42" s="3" t="inlineStr">
        <is>
          <t>2017-12-04 | PARCEL |  VAS | 13.0000 unit @ A$76.75 / unit | Total cost base = A$1,007.25 |</t>
        </is>
      </c>
      <c r="Z42" t="n">
        <v/>
      </c>
    </row>
    <row r="43">
      <c r="A43" s="5" t="inlineStr">
        <is>
          <t>01a1212c-6bf1-7475-a18a-6814e65c8aba</t>
        </is>
      </c>
      <c r="B43" t="inlineStr">
        <is>
          <t>B042</t>
        </is>
      </c>
      <c r="C43" s="5" t="inlineStr">
        <is>
          <t>01a1212c-4b57-70cf-80fd-c2192cb3bf81</t>
        </is>
      </c>
      <c r="D43" s="4" t="n">
        <v>46304.62409466362</v>
      </c>
      <c r="E43" s="4" t="n">
        <v>46304.6240946637</v>
      </c>
      <c r="F43" t="b">
        <v>1</v>
      </c>
      <c r="G43" t="n">
        <v/>
      </c>
      <c r="H43" t="inlineStr">
        <is>
          <t>2017-12-04 | Buy | VGS | 18.0000 unit @ A$67.11 / unit</t>
        </is>
      </c>
      <c r="I43" t="inlineStr">
        <is>
          <t>VGS</t>
        </is>
      </c>
      <c r="J43" s="6" t="n">
        <v>43073</v>
      </c>
      <c r="K43" t="n">
        <v>18</v>
      </c>
      <c r="L43" t="inlineStr">
        <is>
          <t>AUD</t>
        </is>
      </c>
      <c r="M43" t="n">
        <v>67.11</v>
      </c>
      <c r="N43" t="inlineStr">
        <is>
          <t>AUD</t>
        </is>
      </c>
      <c r="O43" t="n">
        <v>9.5</v>
      </c>
      <c r="P43" t="inlineStr"/>
      <c r="Q43" t="inlineStr">
        <is>
          <t>FY2017/18</t>
        </is>
      </c>
      <c r="R43" t="inlineStr">
        <is>
          <t>AUD</t>
        </is>
      </c>
      <c r="S43" t="n">
        <v>9.5</v>
      </c>
      <c r="T43" t="inlineStr">
        <is>
          <t>AUD</t>
        </is>
      </c>
      <c r="U43" t="n">
        <v>0.527778</v>
      </c>
      <c r="V43" t="inlineStr">
        <is>
          <t>AUD</t>
        </is>
      </c>
      <c r="W43" t="n">
        <v>67.11</v>
      </c>
      <c r="X43" t="b">
        <v>1</v>
      </c>
      <c r="Y43" s="3" t="inlineStr">
        <is>
          <t>2017-12-04 | PARCEL |  VGS | 18.0000 unit @ A$67.11 / unit | Total cost base = A$1,217.48 |</t>
        </is>
      </c>
      <c r="Z43" t="n">
        <v/>
      </c>
    </row>
    <row r="44">
      <c r="A44" s="5" t="inlineStr">
        <is>
          <t>01a1212c-6c07-750c-a401-f832999b5bb4</t>
        </is>
      </c>
      <c r="B44" t="inlineStr">
        <is>
          <t>B043</t>
        </is>
      </c>
      <c r="C44" s="5" t="inlineStr">
        <is>
          <t>01a1212c-4b57-70cf-80fd-c2192cb3bf81</t>
        </is>
      </c>
      <c r="D44" s="4" t="n">
        <v>46304.62409491699</v>
      </c>
      <c r="E44" s="4" t="n">
        <v>46304.62409491706</v>
      </c>
      <c r="F44" t="b">
        <v>1</v>
      </c>
      <c r="G44" t="n">
        <v/>
      </c>
      <c r="H44" t="inlineStr">
        <is>
          <t>2018-01-05 | Buy | VAS | 20.0000 unit @ A$77.96 / unit</t>
        </is>
      </c>
      <c r="I44" t="inlineStr">
        <is>
          <t>VAS</t>
        </is>
      </c>
      <c r="J44" s="6" t="n">
        <v>43105</v>
      </c>
      <c r="K44" t="n">
        <v>20</v>
      </c>
      <c r="L44" t="inlineStr">
        <is>
          <t>AUD</t>
        </is>
      </c>
      <c r="M44" t="n">
        <v>77.95999999999999</v>
      </c>
      <c r="N44" t="inlineStr">
        <is>
          <t>AUD</t>
        </is>
      </c>
      <c r="O44" t="n">
        <v>9.5</v>
      </c>
      <c r="P44" t="inlineStr"/>
      <c r="Q44" t="inlineStr">
        <is>
          <t>FY2017/18</t>
        </is>
      </c>
      <c r="R44" t="inlineStr">
        <is>
          <t>AUD</t>
        </is>
      </c>
      <c r="S44" t="n">
        <v>9.5</v>
      </c>
      <c r="T44" t="inlineStr">
        <is>
          <t>AUD</t>
        </is>
      </c>
      <c r="U44" t="n">
        <v>0.475</v>
      </c>
      <c r="V44" t="inlineStr">
        <is>
          <t>AUD</t>
        </is>
      </c>
      <c r="W44" t="n">
        <v>77.95999999999999</v>
      </c>
      <c r="X44" t="b">
        <v>1</v>
      </c>
      <c r="Y44" s="3" t="inlineStr">
        <is>
          <t>2018-01-05 | PARCEL |  VAS | 20.0000 unit @ A$77.96 / unit | Total cost base = A$1,568.70 |</t>
        </is>
      </c>
      <c r="Z44" t="n">
        <v/>
      </c>
    </row>
    <row r="45">
      <c r="A45" s="5" t="inlineStr">
        <is>
          <t>01a1212c-6c1c-7409-9ad2-727d551ad853</t>
        </is>
      </c>
      <c r="B45" t="inlineStr">
        <is>
          <t>B044</t>
        </is>
      </c>
      <c r="C45" s="5" t="inlineStr">
        <is>
          <t>01a1212c-4b57-70cf-80fd-c2192cb3bf81</t>
        </is>
      </c>
      <c r="D45" s="4" t="n">
        <v>46304.62409515663</v>
      </c>
      <c r="E45" s="4" t="n">
        <v>46304.6240951567</v>
      </c>
      <c r="F45" t="b">
        <v>1</v>
      </c>
      <c r="G45" t="n">
        <v/>
      </c>
      <c r="H45" t="inlineStr">
        <is>
          <t>2018-01-05 | Buy | VGS | 28.0000 unit @ A$66.61 / unit</t>
        </is>
      </c>
      <c r="I45" t="inlineStr">
        <is>
          <t>VGS</t>
        </is>
      </c>
      <c r="J45" s="6" t="n">
        <v>43105</v>
      </c>
      <c r="K45" t="n">
        <v>28</v>
      </c>
      <c r="L45" t="inlineStr">
        <is>
          <t>AUD</t>
        </is>
      </c>
      <c r="M45" t="n">
        <v>66.61</v>
      </c>
      <c r="N45" t="inlineStr">
        <is>
          <t>AUD</t>
        </is>
      </c>
      <c r="O45" t="n">
        <v>9.5</v>
      </c>
      <c r="P45" t="inlineStr"/>
      <c r="Q45" t="inlineStr">
        <is>
          <t>FY2017/18</t>
        </is>
      </c>
      <c r="R45" t="inlineStr">
        <is>
          <t>AUD</t>
        </is>
      </c>
      <c r="S45" t="n">
        <v>9.5</v>
      </c>
      <c r="T45" t="inlineStr">
        <is>
          <t>AUD</t>
        </is>
      </c>
      <c r="U45" t="n">
        <v>0.339286</v>
      </c>
      <c r="V45" t="inlineStr">
        <is>
          <t>AUD</t>
        </is>
      </c>
      <c r="W45" t="n">
        <v>66.61</v>
      </c>
      <c r="X45" t="b">
        <v>1</v>
      </c>
      <c r="Y45" s="3" t="inlineStr">
        <is>
          <t>2018-01-05 | PARCEL |  VGS | 28.0000 unit @ A$66.61 / unit | Total cost base = A$1,874.58 |</t>
        </is>
      </c>
      <c r="Z45" t="n">
        <v/>
      </c>
    </row>
    <row r="46">
      <c r="A46" s="5" t="inlineStr">
        <is>
          <t>01a1212c-6c31-7765-b47f-d50d37cde967</t>
        </is>
      </c>
      <c r="B46" t="inlineStr">
        <is>
          <t>B045</t>
        </is>
      </c>
      <c r="C46" s="5" t="inlineStr">
        <is>
          <t>01a1212c-4b57-70cf-80fd-c2192cb3bf81</t>
        </is>
      </c>
      <c r="D46" s="4" t="n">
        <v>46304.62409541507</v>
      </c>
      <c r="E46" s="4" t="n">
        <v>46304.62409541513</v>
      </c>
      <c r="F46" t="b">
        <v>1</v>
      </c>
      <c r="G46" t="n">
        <v/>
      </c>
      <c r="H46" t="inlineStr">
        <is>
          <t>2018-01-19 | Buy | AMZN | 1.0000 unit @ $1,294.58 / unit</t>
        </is>
      </c>
      <c r="I46" t="inlineStr">
        <is>
          <t>AMZN</t>
        </is>
      </c>
      <c r="J46" s="6" t="n">
        <v>43119</v>
      </c>
      <c r="K46" t="n">
        <v>1</v>
      </c>
      <c r="L46" t="inlineStr">
        <is>
          <t>USD</t>
        </is>
      </c>
      <c r="M46" t="n">
        <v>1294.5799</v>
      </c>
      <c r="N46" t="inlineStr">
        <is>
          <t>USD</t>
        </is>
      </c>
      <c r="O46" t="n">
        <v>5</v>
      </c>
      <c r="P46" t="inlineStr"/>
      <c r="Q46" t="inlineStr">
        <is>
          <t>FY2017/18</t>
        </is>
      </c>
      <c r="R46" t="inlineStr">
        <is>
          <t>AUD</t>
        </is>
      </c>
      <c r="S46" t="n">
        <v>7.5</v>
      </c>
      <c r="T46" t="inlineStr">
        <is>
          <t>AUD</t>
        </is>
      </c>
      <c r="U46" t="n">
        <v>7.5</v>
      </c>
      <c r="V46" t="inlineStr">
        <is>
          <t>AUD</t>
        </is>
      </c>
      <c r="W46" t="n">
        <v>1941.86985</v>
      </c>
      <c r="X46" t="b">
        <v>1</v>
      </c>
      <c r="Y46" s="3" t="inlineStr">
        <is>
          <t>2018-01-19 | PARCEL |  AMZN | 1.0000 unit @ A$1,941.87 / unit | Total cost base = A$1,949.37 |</t>
        </is>
      </c>
      <c r="Z46" s="5" t="inlineStr">
        <is>
          <t>01a1212c-6c32-77a2-b72d-07c791fd6f71</t>
        </is>
      </c>
    </row>
    <row r="47">
      <c r="A47" s="5" t="inlineStr">
        <is>
          <t>01a1212c-6c48-717b-97a8-59c8a9172651</t>
        </is>
      </c>
      <c r="B47" t="inlineStr">
        <is>
          <t>B046</t>
        </is>
      </c>
      <c r="C47" s="5" t="inlineStr">
        <is>
          <t>01a1212c-4b57-70cf-80fd-c2192cb3bf81</t>
        </is>
      </c>
      <c r="D47" s="4" t="n">
        <v>46304.62409566386</v>
      </c>
      <c r="E47" s="4" t="n">
        <v>46304.62409566394</v>
      </c>
      <c r="F47" t="b">
        <v>1</v>
      </c>
      <c r="G47" t="n">
        <v/>
      </c>
      <c r="H47" t="inlineStr">
        <is>
          <t>2018-02-02 | Buy | VAS | 14.0000 unit @ A$77.97 / unit</t>
        </is>
      </c>
      <c r="I47" t="inlineStr">
        <is>
          <t>VAS</t>
        </is>
      </c>
      <c r="J47" s="6" t="n">
        <v>43133</v>
      </c>
      <c r="K47" t="n">
        <v>14</v>
      </c>
      <c r="L47" t="inlineStr">
        <is>
          <t>AUD</t>
        </is>
      </c>
      <c r="M47" t="n">
        <v>77.97</v>
      </c>
      <c r="N47" t="inlineStr">
        <is>
          <t>AUD</t>
        </is>
      </c>
      <c r="O47" t="n">
        <v>9.5</v>
      </c>
      <c r="P47" t="inlineStr"/>
      <c r="Q47" t="inlineStr">
        <is>
          <t>FY2017/18</t>
        </is>
      </c>
      <c r="R47" t="inlineStr">
        <is>
          <t>AUD</t>
        </is>
      </c>
      <c r="S47" t="n">
        <v>9.5</v>
      </c>
      <c r="T47" t="inlineStr">
        <is>
          <t>AUD</t>
        </is>
      </c>
      <c r="U47" t="n">
        <v>0.678571</v>
      </c>
      <c r="V47" t="inlineStr">
        <is>
          <t>AUD</t>
        </is>
      </c>
      <c r="W47" t="n">
        <v>77.97</v>
      </c>
      <c r="X47" t="b">
        <v>1</v>
      </c>
      <c r="Y47" s="3" t="inlineStr">
        <is>
          <t>2018-02-02 | PARCEL |  VAS | 14.0000 unit @ A$77.97 / unit | Total cost base = A$1,101.08 |</t>
        </is>
      </c>
      <c r="Z47" t="n">
        <v/>
      </c>
    </row>
    <row r="48">
      <c r="A48" s="5" t="inlineStr">
        <is>
          <t>01a1212c-6c5d-70b1-9a0b-45b1a075d0e4</t>
        </is>
      </c>
      <c r="B48" t="inlineStr">
        <is>
          <t>B047</t>
        </is>
      </c>
      <c r="C48" s="5" t="inlineStr">
        <is>
          <t>01a1212c-4b57-70cf-80fd-c2192cb3bf81</t>
        </is>
      </c>
      <c r="D48" s="4" t="n">
        <v>46304.62409590386</v>
      </c>
      <c r="E48" s="4" t="n">
        <v>46304.62409590391</v>
      </c>
      <c r="F48" t="b">
        <v>1</v>
      </c>
      <c r="G48" t="n">
        <v/>
      </c>
      <c r="H48" t="inlineStr">
        <is>
          <t>2018-02-02 | Buy | VGS | 20.0000 unit @ A$67.42 / unit</t>
        </is>
      </c>
      <c r="I48" t="inlineStr">
        <is>
          <t>VGS</t>
        </is>
      </c>
      <c r="J48" s="6" t="n">
        <v>43133</v>
      </c>
      <c r="K48" t="n">
        <v>20</v>
      </c>
      <c r="L48" t="inlineStr">
        <is>
          <t>AUD</t>
        </is>
      </c>
      <c r="M48" t="n">
        <v>67.42</v>
      </c>
      <c r="N48" t="inlineStr">
        <is>
          <t>AUD</t>
        </is>
      </c>
      <c r="O48" t="n">
        <v>9.5</v>
      </c>
      <c r="P48" t="inlineStr"/>
      <c r="Q48" t="inlineStr">
        <is>
          <t>FY2017/18</t>
        </is>
      </c>
      <c r="R48" t="inlineStr">
        <is>
          <t>AUD</t>
        </is>
      </c>
      <c r="S48" t="n">
        <v>9.5</v>
      </c>
      <c r="T48" t="inlineStr">
        <is>
          <t>AUD</t>
        </is>
      </c>
      <c r="U48" t="n">
        <v>0.475</v>
      </c>
      <c r="V48" t="inlineStr">
        <is>
          <t>AUD</t>
        </is>
      </c>
      <c r="W48" t="n">
        <v>67.42</v>
      </c>
      <c r="X48" t="b">
        <v>1</v>
      </c>
      <c r="Y48" s="3" t="inlineStr">
        <is>
          <t>2018-02-02 | PARCEL |  VGS | 20.0000 unit @ A$67.42 / unit | Total cost base = A$1,357.90 |</t>
        </is>
      </c>
      <c r="Z48" t="n">
        <v/>
      </c>
    </row>
    <row r="49">
      <c r="A49" s="5" t="inlineStr">
        <is>
          <t>01a1212c-6c71-7588-854f-9da9565ff4c3</t>
        </is>
      </c>
      <c r="B49" t="inlineStr">
        <is>
          <t>B048</t>
        </is>
      </c>
      <c r="C49" s="5" t="inlineStr">
        <is>
          <t>01a1212c-4b57-70cf-80fd-c2192cb3bf81</t>
        </is>
      </c>
      <c r="D49" s="4" t="n">
        <v>46304.62409614125</v>
      </c>
      <c r="E49" s="4" t="n">
        <v>46304.62409614133</v>
      </c>
      <c r="F49" t="b">
        <v>1</v>
      </c>
      <c r="G49" t="n">
        <v/>
      </c>
      <c r="H49" t="inlineStr">
        <is>
          <t>2018-02-08 | Buy | TLS | 315.0000 unit @ A$3.56 / unit</t>
        </is>
      </c>
      <c r="I49" t="inlineStr">
        <is>
          <t>TLS</t>
        </is>
      </c>
      <c r="J49" s="6" t="n">
        <v>43139</v>
      </c>
      <c r="K49" t="n">
        <v>315</v>
      </c>
      <c r="L49" t="inlineStr">
        <is>
          <t>AUD</t>
        </is>
      </c>
      <c r="M49" t="n">
        <v>3.56</v>
      </c>
      <c r="N49" t="inlineStr">
        <is>
          <t>AUD</t>
        </is>
      </c>
      <c r="O49" t="n">
        <v>19.95</v>
      </c>
      <c r="P49" t="inlineStr"/>
      <c r="Q49" t="inlineStr">
        <is>
          <t>FY2017/18</t>
        </is>
      </c>
      <c r="R49" t="inlineStr">
        <is>
          <t>AUD</t>
        </is>
      </c>
      <c r="S49" t="n">
        <v>19.95</v>
      </c>
      <c r="T49" t="inlineStr">
        <is>
          <t>AUD</t>
        </is>
      </c>
      <c r="U49" t="n">
        <v>0.063333</v>
      </c>
      <c r="V49" t="inlineStr">
        <is>
          <t>AUD</t>
        </is>
      </c>
      <c r="W49" t="n">
        <v>3.56</v>
      </c>
      <c r="X49" t="b">
        <v>1</v>
      </c>
      <c r="Y49" s="3" t="inlineStr">
        <is>
          <t>2018-02-08 | PARCEL |  TLS | 315.0000 unit @ A$3.56 / unit | Total cost base = A$1,141.35 |</t>
        </is>
      </c>
      <c r="Z49" t="n">
        <v/>
      </c>
    </row>
    <row r="50">
      <c r="A50" s="5" t="inlineStr">
        <is>
          <t>01a1212c-6c85-77e8-b9d2-30d95d91474f</t>
        </is>
      </c>
      <c r="B50" t="inlineStr">
        <is>
          <t>B049</t>
        </is>
      </c>
      <c r="C50" s="5" t="inlineStr">
        <is>
          <t>01a1212c-4b57-70cf-80fd-c2192cb3bf81</t>
        </is>
      </c>
      <c r="D50" s="4" t="n">
        <v>46304.62409638496</v>
      </c>
      <c r="E50" s="4" t="n">
        <v>46304.62409638502</v>
      </c>
      <c r="F50" t="b">
        <v>1</v>
      </c>
      <c r="G50" t="n">
        <v/>
      </c>
      <c r="H50" t="inlineStr">
        <is>
          <t>2018-03-05 | Buy | AMZN | 1.0000 unit @ $1,523.61 / unit</t>
        </is>
      </c>
      <c r="I50" t="inlineStr">
        <is>
          <t>AMZN</t>
        </is>
      </c>
      <c r="J50" s="6" t="n">
        <v>43164</v>
      </c>
      <c r="K50" t="n">
        <v>1</v>
      </c>
      <c r="L50" t="inlineStr">
        <is>
          <t>USD</t>
        </is>
      </c>
      <c r="M50" t="n">
        <v>1523.6099</v>
      </c>
      <c r="N50" t="inlineStr">
        <is>
          <t>USD</t>
        </is>
      </c>
      <c r="O50" t="n">
        <v>5</v>
      </c>
      <c r="P50" t="inlineStr"/>
      <c r="Q50" t="inlineStr">
        <is>
          <t>FY2017/18</t>
        </is>
      </c>
      <c r="R50" t="inlineStr">
        <is>
          <t>AUD</t>
        </is>
      </c>
      <c r="S50" t="n">
        <v>7.5</v>
      </c>
      <c r="T50" t="inlineStr">
        <is>
          <t>AUD</t>
        </is>
      </c>
      <c r="U50" t="n">
        <v>7.5</v>
      </c>
      <c r="V50" t="inlineStr">
        <is>
          <t>AUD</t>
        </is>
      </c>
      <c r="W50" t="n">
        <v>2285.41485</v>
      </c>
      <c r="X50" t="b">
        <v>1</v>
      </c>
      <c r="Y50" s="3" t="inlineStr">
        <is>
          <t>2018-03-05 | PARCEL |  AMZN | 1.0000 unit @ A$2,285.41 / unit | Total cost base = A$2,292.91 |</t>
        </is>
      </c>
      <c r="Z50" s="5" t="inlineStr">
        <is>
          <t>01a1212c-6c86-7753-8a4c-7e41768a887a</t>
        </is>
      </c>
    </row>
    <row r="51">
      <c r="A51" s="5" t="inlineStr">
        <is>
          <t>01a1212c-6c9d-7374-a73e-74951680eec3</t>
        </is>
      </c>
      <c r="B51" t="inlineStr">
        <is>
          <t>B050</t>
        </is>
      </c>
      <c r="C51" s="5" t="inlineStr">
        <is>
          <t>01a1212c-4b57-70cf-80fd-c2192cb3bf81</t>
        </is>
      </c>
      <c r="D51" s="4" t="n">
        <v>46304.62409664496</v>
      </c>
      <c r="E51" s="4" t="n">
        <v>46304.62409664504</v>
      </c>
      <c r="F51" t="b">
        <v>1</v>
      </c>
      <c r="G51" t="n">
        <v/>
      </c>
      <c r="H51" t="inlineStr">
        <is>
          <t>2018-03-06 | Buy | VAS | 20.0000 unit @ A$76.69 / unit</t>
        </is>
      </c>
      <c r="I51" t="inlineStr">
        <is>
          <t>VAS</t>
        </is>
      </c>
      <c r="J51" s="6" t="n">
        <v>43165</v>
      </c>
      <c r="K51" t="n">
        <v>20</v>
      </c>
      <c r="L51" t="inlineStr">
        <is>
          <t>AUD</t>
        </is>
      </c>
      <c r="M51" t="n">
        <v>76.69</v>
      </c>
      <c r="N51" t="inlineStr">
        <is>
          <t>AUD</t>
        </is>
      </c>
      <c r="O51" t="n">
        <v>9.5</v>
      </c>
      <c r="P51" t="inlineStr"/>
      <c r="Q51" t="inlineStr">
        <is>
          <t>FY2017/18</t>
        </is>
      </c>
      <c r="R51" t="inlineStr">
        <is>
          <t>AUD</t>
        </is>
      </c>
      <c r="S51" t="n">
        <v>9.5</v>
      </c>
      <c r="T51" t="inlineStr">
        <is>
          <t>AUD</t>
        </is>
      </c>
      <c r="U51" t="n">
        <v>0.475</v>
      </c>
      <c r="V51" t="inlineStr">
        <is>
          <t>AUD</t>
        </is>
      </c>
      <c r="W51" t="n">
        <v>76.69</v>
      </c>
      <c r="X51" t="b">
        <v>1</v>
      </c>
      <c r="Y51" s="3" t="inlineStr">
        <is>
          <t>2018-03-06 | PARCEL |  VAS | 20.0000 unit @ A$76.69 / unit | Total cost base = A$1,543.30 |</t>
        </is>
      </c>
      <c r="Z51" t="n">
        <v/>
      </c>
    </row>
    <row r="52">
      <c r="A52" s="5" t="inlineStr">
        <is>
          <t>01a1212c-6cb2-77e7-bf48-443d4eca89e5</t>
        </is>
      </c>
      <c r="B52" t="inlineStr">
        <is>
          <t>B051</t>
        </is>
      </c>
      <c r="C52" s="5" t="inlineStr">
        <is>
          <t>01a1212c-4b57-70cf-80fd-c2192cb3bf81</t>
        </is>
      </c>
      <c r="D52" s="4" t="n">
        <v>46304.624096896</v>
      </c>
      <c r="E52" s="4" t="n">
        <v>46304.62409689608</v>
      </c>
      <c r="F52" t="b">
        <v>1</v>
      </c>
      <c r="G52" t="n">
        <v/>
      </c>
      <c r="H52" t="inlineStr">
        <is>
          <t>2018-03-06 | Buy | VGS | 28.0000 unit @ A$66.37 / unit</t>
        </is>
      </c>
      <c r="I52" t="inlineStr">
        <is>
          <t>VGS</t>
        </is>
      </c>
      <c r="J52" s="6" t="n">
        <v>43165</v>
      </c>
      <c r="K52" t="n">
        <v>28</v>
      </c>
      <c r="L52" t="inlineStr">
        <is>
          <t>AUD</t>
        </is>
      </c>
      <c r="M52" t="n">
        <v>66.37</v>
      </c>
      <c r="N52" t="inlineStr">
        <is>
          <t>AUD</t>
        </is>
      </c>
      <c r="O52" t="n">
        <v>9.5</v>
      </c>
      <c r="P52" t="inlineStr"/>
      <c r="Q52" t="inlineStr">
        <is>
          <t>FY2017/18</t>
        </is>
      </c>
      <c r="R52" t="inlineStr">
        <is>
          <t>AUD</t>
        </is>
      </c>
      <c r="S52" t="n">
        <v>9.5</v>
      </c>
      <c r="T52" t="inlineStr">
        <is>
          <t>AUD</t>
        </is>
      </c>
      <c r="U52" t="n">
        <v>0.339286</v>
      </c>
      <c r="V52" t="inlineStr">
        <is>
          <t>AUD</t>
        </is>
      </c>
      <c r="W52" t="n">
        <v>66.37</v>
      </c>
      <c r="X52" t="b">
        <v>1</v>
      </c>
      <c r="Y52" s="3" t="inlineStr">
        <is>
          <t>2018-03-06 | PARCEL |  VGS | 28.0000 unit @ A$66.37 / unit | Total cost base = A$1,867.86 |</t>
        </is>
      </c>
      <c r="Z52" t="n">
        <v/>
      </c>
    </row>
    <row r="53">
      <c r="A53" s="5" t="inlineStr">
        <is>
          <t>01a1212c-6cc7-730a-9481-5e8018b54c12</t>
        </is>
      </c>
      <c r="B53" t="inlineStr">
        <is>
          <t>B052</t>
        </is>
      </c>
      <c r="C53" s="5" t="inlineStr">
        <is>
          <t>01a1212c-4b57-70cf-80fd-c2192cb3bf81</t>
        </is>
      </c>
      <c r="D53" s="4" t="n">
        <v>46304.62409714138</v>
      </c>
      <c r="E53" s="4" t="n">
        <v>46304.62409714144</v>
      </c>
      <c r="F53" t="b">
        <v>1</v>
      </c>
      <c r="G53" t="n">
        <v/>
      </c>
      <c r="H53" t="inlineStr">
        <is>
          <t>2018-04-06 | Buy | VAS | 12.0000 unit @ A$73.94 / unit</t>
        </is>
      </c>
      <c r="I53" t="inlineStr">
        <is>
          <t>VAS</t>
        </is>
      </c>
      <c r="J53" s="6" t="n">
        <v>43196</v>
      </c>
      <c r="K53" t="n">
        <v>12</v>
      </c>
      <c r="L53" t="inlineStr">
        <is>
          <t>AUD</t>
        </is>
      </c>
      <c r="M53" t="n">
        <v>73.94</v>
      </c>
      <c r="N53" t="inlineStr">
        <is>
          <t>AUD</t>
        </is>
      </c>
      <c r="O53" t="n">
        <v>9.5</v>
      </c>
      <c r="P53" t="inlineStr"/>
      <c r="Q53" t="inlineStr">
        <is>
          <t>FY2017/18</t>
        </is>
      </c>
      <c r="R53" t="inlineStr">
        <is>
          <t>AUD</t>
        </is>
      </c>
      <c r="S53" t="n">
        <v>9.5</v>
      </c>
      <c r="T53" t="inlineStr">
        <is>
          <t>AUD</t>
        </is>
      </c>
      <c r="U53" t="n">
        <v>0.791667</v>
      </c>
      <c r="V53" t="inlineStr">
        <is>
          <t>AUD</t>
        </is>
      </c>
      <c r="W53" t="n">
        <v>73.94</v>
      </c>
      <c r="X53" t="b">
        <v>1</v>
      </c>
      <c r="Y53" s="3" t="inlineStr">
        <is>
          <t>2018-04-06 | PARCEL |  VAS | 12.0000 unit @ A$73.94 / unit | Total cost base = A$896.78 |</t>
        </is>
      </c>
      <c r="Z53" t="n">
        <v/>
      </c>
    </row>
    <row r="54">
      <c r="A54" s="5" t="inlineStr">
        <is>
          <t>01a1212c-6cdd-72bb-8880-37a9c7457253</t>
        </is>
      </c>
      <c r="B54" t="inlineStr">
        <is>
          <t>B053</t>
        </is>
      </c>
      <c r="C54" s="5" t="inlineStr">
        <is>
          <t>01a1212c-4b57-70cf-80fd-c2192cb3bf81</t>
        </is>
      </c>
      <c r="D54" s="4" t="n">
        <v>46304.6240973917</v>
      </c>
      <c r="E54" s="4" t="n">
        <v>46304.62409739177</v>
      </c>
      <c r="F54" t="b">
        <v>1</v>
      </c>
      <c r="G54" t="n">
        <v/>
      </c>
      <c r="H54" t="inlineStr">
        <is>
          <t>2018-04-06 | Buy | VGS | 17.0000 unit @ A$65.64 / unit</t>
        </is>
      </c>
      <c r="I54" t="inlineStr">
        <is>
          <t>VGS</t>
        </is>
      </c>
      <c r="J54" s="6" t="n">
        <v>43196</v>
      </c>
      <c r="K54" t="n">
        <v>17</v>
      </c>
      <c r="L54" t="inlineStr">
        <is>
          <t>AUD</t>
        </is>
      </c>
      <c r="M54" t="n">
        <v>65.64</v>
      </c>
      <c r="N54" t="inlineStr">
        <is>
          <t>AUD</t>
        </is>
      </c>
      <c r="O54" t="n">
        <v>9.5</v>
      </c>
      <c r="P54" t="inlineStr"/>
      <c r="Q54" t="inlineStr">
        <is>
          <t>FY2017/18</t>
        </is>
      </c>
      <c r="R54" t="inlineStr">
        <is>
          <t>AUD</t>
        </is>
      </c>
      <c r="S54" t="n">
        <v>9.5</v>
      </c>
      <c r="T54" t="inlineStr">
        <is>
          <t>AUD</t>
        </is>
      </c>
      <c r="U54" t="n">
        <v>0.558824</v>
      </c>
      <c r="V54" t="inlineStr">
        <is>
          <t>AUD</t>
        </is>
      </c>
      <c r="W54" t="n">
        <v>65.64</v>
      </c>
      <c r="X54" t="b">
        <v>1</v>
      </c>
      <c r="Y54" s="3" t="inlineStr">
        <is>
          <t>2018-04-06 | PARCEL |  VGS | 17.0000 unit @ A$65.64 / unit | Total cost base = A$1,125.38 |</t>
        </is>
      </c>
      <c r="Z54" t="n">
        <v/>
      </c>
    </row>
    <row r="55">
      <c r="A55" s="5" t="inlineStr">
        <is>
          <t>01a1212c-6cf3-748a-890c-785209f3e62f</t>
        </is>
      </c>
      <c r="B55" t="inlineStr">
        <is>
          <t>B054</t>
        </is>
      </c>
      <c r="C55" s="5" t="inlineStr">
        <is>
          <t>01a1212c-4b57-70cf-80fd-c2192cb3bf81</t>
        </is>
      </c>
      <c r="D55" s="4" t="n">
        <v>46304.62409764478</v>
      </c>
      <c r="E55" s="4" t="n">
        <v>46304.62409764486</v>
      </c>
      <c r="F55" t="b">
        <v>1</v>
      </c>
      <c r="G55" t="n">
        <v/>
      </c>
      <c r="H55" t="inlineStr">
        <is>
          <t>2018-05-07 | Buy | VAS | 15.0000 unit @ A$77.74 / unit</t>
        </is>
      </c>
      <c r="I55" t="inlineStr">
        <is>
          <t>VAS</t>
        </is>
      </c>
      <c r="J55" s="6" t="n">
        <v>43227</v>
      </c>
      <c r="K55" t="n">
        <v>15</v>
      </c>
      <c r="L55" t="inlineStr">
        <is>
          <t>AUD</t>
        </is>
      </c>
      <c r="M55" t="n">
        <v>77.73999999999999</v>
      </c>
      <c r="N55" t="inlineStr">
        <is>
          <t>AUD</t>
        </is>
      </c>
      <c r="O55" t="n">
        <v>9.5</v>
      </c>
      <c r="P55" t="inlineStr"/>
      <c r="Q55" t="inlineStr">
        <is>
          <t>FY2017/18</t>
        </is>
      </c>
      <c r="R55" t="inlineStr">
        <is>
          <t>AUD</t>
        </is>
      </c>
      <c r="S55" t="n">
        <v>9.5</v>
      </c>
      <c r="T55" t="inlineStr">
        <is>
          <t>AUD</t>
        </is>
      </c>
      <c r="U55" t="n">
        <v>0.633333</v>
      </c>
      <c r="V55" t="inlineStr">
        <is>
          <t>AUD</t>
        </is>
      </c>
      <c r="W55" t="n">
        <v>77.73999999999999</v>
      </c>
      <c r="X55" t="b">
        <v>1</v>
      </c>
      <c r="Y55" s="3" t="inlineStr">
        <is>
          <t>2018-05-07 | PARCEL |  VAS | 15.0000 unit @ A$77.74 / unit | Total cost base = A$1,175.60 |</t>
        </is>
      </c>
      <c r="Z55" t="n">
        <v/>
      </c>
    </row>
    <row r="56">
      <c r="A56" s="5" t="inlineStr">
        <is>
          <t>01a1212c-6d09-7013-8ae0-bc611162d74d</t>
        </is>
      </c>
      <c r="B56" t="inlineStr">
        <is>
          <t>B055</t>
        </is>
      </c>
      <c r="C56" s="5" t="inlineStr">
        <is>
          <t>01a1212c-4b57-70cf-80fd-c2192cb3bf81</t>
        </is>
      </c>
      <c r="D56" s="4" t="n">
        <v>46304.62409789418</v>
      </c>
      <c r="E56" s="4" t="n">
        <v>46304.62409789424</v>
      </c>
      <c r="F56" t="b">
        <v>1</v>
      </c>
      <c r="G56" t="n">
        <v/>
      </c>
      <c r="H56" t="inlineStr">
        <is>
          <t>2018-05-07 | Buy | VGS | 22.0000 unit @ A$68.26 / unit</t>
        </is>
      </c>
      <c r="I56" t="inlineStr">
        <is>
          <t>VGS</t>
        </is>
      </c>
      <c r="J56" s="6" t="n">
        <v>43227</v>
      </c>
      <c r="K56" t="n">
        <v>22</v>
      </c>
      <c r="L56" t="inlineStr">
        <is>
          <t>AUD</t>
        </is>
      </c>
      <c r="M56" t="n">
        <v>68.26000000000001</v>
      </c>
      <c r="N56" t="inlineStr">
        <is>
          <t>AUD</t>
        </is>
      </c>
      <c r="O56" t="n">
        <v>9.5</v>
      </c>
      <c r="P56" t="inlineStr"/>
      <c r="Q56" t="inlineStr">
        <is>
          <t>FY2017/18</t>
        </is>
      </c>
      <c r="R56" t="inlineStr">
        <is>
          <t>AUD</t>
        </is>
      </c>
      <c r="S56" t="n">
        <v>9.5</v>
      </c>
      <c r="T56" t="inlineStr">
        <is>
          <t>AUD</t>
        </is>
      </c>
      <c r="U56" t="n">
        <v>0.431818</v>
      </c>
      <c r="V56" t="inlineStr">
        <is>
          <t>AUD</t>
        </is>
      </c>
      <c r="W56" t="n">
        <v>68.26000000000001</v>
      </c>
      <c r="X56" t="b">
        <v>1</v>
      </c>
      <c r="Y56" s="3" t="inlineStr">
        <is>
          <t>2018-05-07 | PARCEL |  VGS | 22.0000 unit @ A$68.26 / unit | Total cost base = A$1,511.22 |</t>
        </is>
      </c>
      <c r="Z56" t="n">
        <v/>
      </c>
    </row>
    <row r="57">
      <c r="A57" s="5" t="inlineStr">
        <is>
          <t>01a1212c-6d1f-7059-858a-1ff1ade57b5c</t>
        </is>
      </c>
      <c r="B57" t="inlineStr">
        <is>
          <t>B056</t>
        </is>
      </c>
      <c r="C57" s="5" t="inlineStr">
        <is>
          <t>01a1212c-4b57-70cf-80fd-c2192cb3bf81</t>
        </is>
      </c>
      <c r="D57" s="4" t="n">
        <v>46304.62409815221</v>
      </c>
      <c r="E57" s="4" t="n">
        <v>46304.62409815229</v>
      </c>
      <c r="F57" t="b">
        <v>1</v>
      </c>
      <c r="G57" t="n">
        <v/>
      </c>
      <c r="H57" t="inlineStr">
        <is>
          <t>2018-06-06 | Buy | A200 | 8.0000 unit @ A$99.92 / unit</t>
        </is>
      </c>
      <c r="I57" t="inlineStr">
        <is>
          <t>A200</t>
        </is>
      </c>
      <c r="J57" s="6" t="n">
        <v>43257</v>
      </c>
      <c r="K57" t="n">
        <v>8</v>
      </c>
      <c r="L57" t="inlineStr">
        <is>
          <t>AUD</t>
        </is>
      </c>
      <c r="M57" t="n">
        <v>99.92</v>
      </c>
      <c r="N57" t="inlineStr">
        <is>
          <t>AUD</t>
        </is>
      </c>
      <c r="O57" t="n">
        <v>9.5</v>
      </c>
      <c r="P57" t="inlineStr"/>
      <c r="Q57" t="inlineStr">
        <is>
          <t>FY2017/18</t>
        </is>
      </c>
      <c r="R57" t="inlineStr">
        <is>
          <t>AUD</t>
        </is>
      </c>
      <c r="S57" t="n">
        <v>9.5</v>
      </c>
      <c r="T57" t="inlineStr">
        <is>
          <t>AUD</t>
        </is>
      </c>
      <c r="U57" t="n">
        <v>1.1875</v>
      </c>
      <c r="V57" t="inlineStr">
        <is>
          <t>AUD</t>
        </is>
      </c>
      <c r="W57" t="n">
        <v>99.92</v>
      </c>
      <c r="X57" t="b">
        <v>1</v>
      </c>
      <c r="Y57" s="3" t="inlineStr">
        <is>
          <t>2018-06-06 | PARCEL |  A200 | 8.0000 unit @ A$99.92 / unit | Total cost base = A$808.86 |</t>
        </is>
      </c>
      <c r="Z57" t="n">
        <v/>
      </c>
    </row>
    <row r="58">
      <c r="A58" s="5" t="inlineStr">
        <is>
          <t>01a1212c-6d35-74f6-9e72-6d6515506a40</t>
        </is>
      </c>
      <c r="B58" t="inlineStr">
        <is>
          <t>B057</t>
        </is>
      </c>
      <c r="C58" s="5" t="inlineStr">
        <is>
          <t>01a1212c-4b57-70cf-80fd-c2192cb3bf81</t>
        </is>
      </c>
      <c r="D58" s="4" t="n">
        <v>46304.6240984156</v>
      </c>
      <c r="E58" s="4" t="n">
        <v>46304.62409841568</v>
      </c>
      <c r="F58" t="b">
        <v>1</v>
      </c>
      <c r="G58" t="n">
        <v/>
      </c>
      <c r="H58" t="inlineStr">
        <is>
          <t>2018-06-06 | Buy | VGS | 15.0000 unit @ A$68.28 / unit</t>
        </is>
      </c>
      <c r="I58" t="inlineStr">
        <is>
          <t>VGS</t>
        </is>
      </c>
      <c r="J58" s="6" t="n">
        <v>43257</v>
      </c>
      <c r="K58" t="n">
        <v>15</v>
      </c>
      <c r="L58" t="inlineStr">
        <is>
          <t>AUD</t>
        </is>
      </c>
      <c r="M58" t="n">
        <v>68.28</v>
      </c>
      <c r="N58" t="inlineStr">
        <is>
          <t>AUD</t>
        </is>
      </c>
      <c r="O58" t="n">
        <v>9.5</v>
      </c>
      <c r="P58" t="inlineStr"/>
      <c r="Q58" t="inlineStr">
        <is>
          <t>FY2017/18</t>
        </is>
      </c>
      <c r="R58" t="inlineStr">
        <is>
          <t>AUD</t>
        </is>
      </c>
      <c r="S58" t="n">
        <v>9.5</v>
      </c>
      <c r="T58" t="inlineStr">
        <is>
          <t>AUD</t>
        </is>
      </c>
      <c r="U58" t="n">
        <v>0.633333</v>
      </c>
      <c r="V58" t="inlineStr">
        <is>
          <t>AUD</t>
        </is>
      </c>
      <c r="W58" t="n">
        <v>68.28</v>
      </c>
      <c r="X58" t="b">
        <v>1</v>
      </c>
      <c r="Y58" s="3" t="inlineStr">
        <is>
          <t>2018-06-06 | PARCEL |  VGS | 15.0000 unit @ A$68.28 / unit | Total cost base = A$1,033.70 |</t>
        </is>
      </c>
      <c r="Z58" t="n">
        <v/>
      </c>
    </row>
    <row r="59">
      <c r="A59" s="5" t="inlineStr">
        <is>
          <t>01a1212c-6d4a-722b-9bf7-4b5792abb163</t>
        </is>
      </c>
      <c r="B59" t="inlineStr">
        <is>
          <t>B058</t>
        </is>
      </c>
      <c r="C59" s="5" t="inlineStr">
        <is>
          <t>01a1212c-4b57-70cf-80fd-c2192cb3bf81</t>
        </is>
      </c>
      <c r="D59" s="4" t="n">
        <v>46304.62409865803</v>
      </c>
      <c r="E59" s="4" t="n">
        <v>46304.62409865811</v>
      </c>
      <c r="F59" t="b">
        <v>1</v>
      </c>
      <c r="G59" t="n">
        <v/>
      </c>
      <c r="H59" t="inlineStr">
        <is>
          <t>2018-07-02 | Buy | A200 | 16.0000 unit @ A$102.60 / unit</t>
        </is>
      </c>
      <c r="I59" t="inlineStr">
        <is>
          <t>A200</t>
        </is>
      </c>
      <c r="J59" s="6" t="n">
        <v>43283</v>
      </c>
      <c r="K59" t="n">
        <v>16</v>
      </c>
      <c r="L59" t="inlineStr">
        <is>
          <t>AUD</t>
        </is>
      </c>
      <c r="M59" t="n">
        <v>102.6</v>
      </c>
      <c r="N59" t="inlineStr">
        <is>
          <t>AUD</t>
        </is>
      </c>
      <c r="O59" t="n">
        <v>9.5</v>
      </c>
      <c r="P59" t="inlineStr"/>
      <c r="Q59" t="inlineStr">
        <is>
          <t>FY2018/19</t>
        </is>
      </c>
      <c r="R59" t="inlineStr">
        <is>
          <t>AUD</t>
        </is>
      </c>
      <c r="S59" t="n">
        <v>9.5</v>
      </c>
      <c r="T59" t="inlineStr">
        <is>
          <t>AUD</t>
        </is>
      </c>
      <c r="U59" t="n">
        <v>0.59375</v>
      </c>
      <c r="V59" t="inlineStr">
        <is>
          <t>AUD</t>
        </is>
      </c>
      <c r="W59" t="n">
        <v>102.6</v>
      </c>
      <c r="X59" t="b">
        <v>1</v>
      </c>
      <c r="Y59" s="3" t="inlineStr">
        <is>
          <t>2018-07-02 | PARCEL |  A200 | 16.0000 unit @ A$102.60 / unit | Total cost base = A$1,651.10 |</t>
        </is>
      </c>
      <c r="Z59" t="n">
        <v/>
      </c>
    </row>
    <row r="60">
      <c r="A60" s="5" t="inlineStr">
        <is>
          <t>01a1212c-6d60-724f-b7e2-2195c7d44024</t>
        </is>
      </c>
      <c r="B60" t="inlineStr">
        <is>
          <t>B059</t>
        </is>
      </c>
      <c r="C60" s="5" t="inlineStr">
        <is>
          <t>01a1212c-4b57-70cf-80fd-c2192cb3bf81</t>
        </is>
      </c>
      <c r="D60" s="4" t="n">
        <v>46304.62409890529</v>
      </c>
      <c r="E60" s="4" t="n">
        <v>46304.62409890536</v>
      </c>
      <c r="F60" t="b">
        <v>1</v>
      </c>
      <c r="G60" t="n">
        <v/>
      </c>
      <c r="H60" t="inlineStr">
        <is>
          <t>2018-07-02 | Buy | VGS | 29.0000 unit @ A$68.14 / unit</t>
        </is>
      </c>
      <c r="I60" t="inlineStr">
        <is>
          <t>VGS</t>
        </is>
      </c>
      <c r="J60" s="6" t="n">
        <v>43283</v>
      </c>
      <c r="K60" t="n">
        <v>29</v>
      </c>
      <c r="L60" t="inlineStr">
        <is>
          <t>AUD</t>
        </is>
      </c>
      <c r="M60" t="n">
        <v>68.14</v>
      </c>
      <c r="N60" t="inlineStr">
        <is>
          <t>AUD</t>
        </is>
      </c>
      <c r="O60" t="n">
        <v>9.5</v>
      </c>
      <c r="P60" t="inlineStr"/>
      <c r="Q60" t="inlineStr">
        <is>
          <t>FY2018/19</t>
        </is>
      </c>
      <c r="R60" t="inlineStr">
        <is>
          <t>AUD</t>
        </is>
      </c>
      <c r="S60" t="n">
        <v>9.5</v>
      </c>
      <c r="T60" t="inlineStr">
        <is>
          <t>AUD</t>
        </is>
      </c>
      <c r="U60" t="n">
        <v>0.327586</v>
      </c>
      <c r="V60" t="inlineStr">
        <is>
          <t>AUD</t>
        </is>
      </c>
      <c r="W60" t="n">
        <v>68.14</v>
      </c>
      <c r="X60" t="b">
        <v>1</v>
      </c>
      <c r="Y60" s="3" t="inlineStr">
        <is>
          <t>2018-07-02 | PARCEL |  VGS | 29.0000 unit @ A$68.14 / unit | Total cost base = A$1,985.56 |</t>
        </is>
      </c>
      <c r="Z60" t="n">
        <v/>
      </c>
    </row>
    <row r="61">
      <c r="A61" s="5" t="inlineStr">
        <is>
          <t>01a1212c-6d74-72fc-b9de-f9354c5305c8</t>
        </is>
      </c>
      <c r="B61" t="inlineStr">
        <is>
          <t>B060</t>
        </is>
      </c>
      <c r="C61" s="5" t="inlineStr">
        <is>
          <t>01a1212c-4b57-70cf-80fd-c2192cb3bf81</t>
        </is>
      </c>
      <c r="D61" s="4" t="n">
        <v>46304.62409914272</v>
      </c>
      <c r="E61" s="4" t="n">
        <v>46304.62409914278</v>
      </c>
      <c r="F61" t="b">
        <v>1</v>
      </c>
      <c r="G61" t="n">
        <v/>
      </c>
      <c r="H61" t="inlineStr">
        <is>
          <t>2018-08-02 | Buy | A200 | 13.0000 unit @ A$103.68 / unit</t>
        </is>
      </c>
      <c r="I61" t="inlineStr">
        <is>
          <t>A200</t>
        </is>
      </c>
      <c r="J61" s="6" t="n">
        <v>43314</v>
      </c>
      <c r="K61" t="n">
        <v>13</v>
      </c>
      <c r="L61" t="inlineStr">
        <is>
          <t>AUD</t>
        </is>
      </c>
      <c r="M61" t="n">
        <v>103.68</v>
      </c>
      <c r="N61" t="inlineStr">
        <is>
          <t>AUD</t>
        </is>
      </c>
      <c r="O61" t="n">
        <v>9.5</v>
      </c>
      <c r="P61" t="inlineStr"/>
      <c r="Q61" t="inlineStr">
        <is>
          <t>FY2018/19</t>
        </is>
      </c>
      <c r="R61" t="inlineStr">
        <is>
          <t>AUD</t>
        </is>
      </c>
      <c r="S61" t="n">
        <v>9.5</v>
      </c>
      <c r="T61" t="inlineStr">
        <is>
          <t>AUD</t>
        </is>
      </c>
      <c r="U61" t="n">
        <v>0.730769</v>
      </c>
      <c r="V61" t="inlineStr">
        <is>
          <t>AUD</t>
        </is>
      </c>
      <c r="W61" t="n">
        <v>103.68</v>
      </c>
      <c r="X61" t="b">
        <v>1</v>
      </c>
      <c r="Y61" s="3" t="inlineStr">
        <is>
          <t>2018-08-02 | PARCEL |  A200 | 13.0000 unit @ A$103.68 / unit | Total cost base = A$1,357.34 |</t>
        </is>
      </c>
      <c r="Z61" t="n">
        <v/>
      </c>
    </row>
    <row r="62">
      <c r="A62" s="5" t="inlineStr">
        <is>
          <t>01a1212c-6d89-7186-bf5a-c9e5cb33183a</t>
        </is>
      </c>
      <c r="B62" t="inlineStr">
        <is>
          <t>B061</t>
        </is>
      </c>
      <c r="C62" s="5" t="inlineStr">
        <is>
          <t>01a1212c-4b57-70cf-80fd-c2192cb3bf81</t>
        </is>
      </c>
      <c r="D62" s="4" t="n">
        <v>46304.62409938463</v>
      </c>
      <c r="E62" s="4" t="n">
        <v>46304.62409938471</v>
      </c>
      <c r="F62" t="b">
        <v>1</v>
      </c>
      <c r="G62" t="n">
        <v/>
      </c>
      <c r="H62" t="inlineStr">
        <is>
          <t>2018-08-02 | Buy | VGS | 23.0000 unit @ A$70.39 / unit</t>
        </is>
      </c>
      <c r="I62" t="inlineStr">
        <is>
          <t>VGS</t>
        </is>
      </c>
      <c r="J62" s="6" t="n">
        <v>43314</v>
      </c>
      <c r="K62" t="n">
        <v>23</v>
      </c>
      <c r="L62" t="inlineStr">
        <is>
          <t>AUD</t>
        </is>
      </c>
      <c r="M62" t="n">
        <v>70.39</v>
      </c>
      <c r="N62" t="inlineStr">
        <is>
          <t>AUD</t>
        </is>
      </c>
      <c r="O62" t="n">
        <v>9.5</v>
      </c>
      <c r="P62" t="inlineStr"/>
      <c r="Q62" t="inlineStr">
        <is>
          <t>FY2018/19</t>
        </is>
      </c>
      <c r="R62" t="inlineStr">
        <is>
          <t>AUD</t>
        </is>
      </c>
      <c r="S62" t="n">
        <v>9.5</v>
      </c>
      <c r="T62" t="inlineStr">
        <is>
          <t>AUD</t>
        </is>
      </c>
      <c r="U62" t="n">
        <v>0.413043</v>
      </c>
      <c r="V62" t="inlineStr">
        <is>
          <t>AUD</t>
        </is>
      </c>
      <c r="W62" t="n">
        <v>70.39</v>
      </c>
      <c r="X62" t="b">
        <v>1</v>
      </c>
      <c r="Y62" s="3" t="inlineStr">
        <is>
          <t>2018-08-02 | PARCEL |  VGS | 23.0000 unit @ A$70.39 / unit | Total cost base = A$1,628.47 |</t>
        </is>
      </c>
      <c r="Z62" t="n">
        <v/>
      </c>
    </row>
    <row r="63">
      <c r="A63" s="5" t="inlineStr">
        <is>
          <t>01a1212c-6d9e-736e-bc03-2c681d46b9e4</t>
        </is>
      </c>
      <c r="B63" t="inlineStr">
        <is>
          <t>B062</t>
        </is>
      </c>
      <c r="C63" s="5" t="inlineStr">
        <is>
          <t>01a1212c-4b57-70cf-80fd-c2192cb3bf81</t>
        </is>
      </c>
      <c r="D63" s="4" t="n">
        <v>46304.62409963792</v>
      </c>
      <c r="E63" s="4" t="n">
        <v>46304.62409963797</v>
      </c>
      <c r="F63" t="b">
        <v>1</v>
      </c>
      <c r="G63" t="n">
        <v/>
      </c>
      <c r="H63" t="inlineStr">
        <is>
          <t>2018-08-27 | Buy | MSFT | 7.0000 unit @ $109.60 / unit</t>
        </is>
      </c>
      <c r="I63" t="inlineStr">
        <is>
          <t>MSFT</t>
        </is>
      </c>
      <c r="J63" s="6" t="n">
        <v>43339</v>
      </c>
      <c r="K63" t="n">
        <v>7</v>
      </c>
      <c r="L63" t="inlineStr">
        <is>
          <t>USD</t>
        </is>
      </c>
      <c r="M63" t="n">
        <v>109.6</v>
      </c>
      <c r="N63" t="inlineStr">
        <is>
          <t>USD</t>
        </is>
      </c>
      <c r="O63" t="n">
        <v>5</v>
      </c>
      <c r="P63" t="inlineStr"/>
      <c r="Q63" t="inlineStr">
        <is>
          <t>FY2018/19</t>
        </is>
      </c>
      <c r="R63" t="inlineStr">
        <is>
          <t>AUD</t>
        </is>
      </c>
      <c r="S63" t="n">
        <v>7.5</v>
      </c>
      <c r="T63" t="inlineStr">
        <is>
          <t>AUD</t>
        </is>
      </c>
      <c r="U63" t="n">
        <v>1.071429</v>
      </c>
      <c r="V63" t="inlineStr">
        <is>
          <t>AUD</t>
        </is>
      </c>
      <c r="W63" t="n">
        <v>164.4</v>
      </c>
      <c r="X63" t="b">
        <v>1</v>
      </c>
      <c r="Y63" s="3" t="inlineStr">
        <is>
          <t>2018-08-27 | PARCEL |  MSFT | 7.0000 unit @ A$164.40 / unit | Total cost base = A$1,158.30 |</t>
        </is>
      </c>
      <c r="Z63" s="5" t="inlineStr">
        <is>
          <t>01a1212c-6d9f-73b2-90ca-dc09a92c8d2a</t>
        </is>
      </c>
    </row>
    <row r="64">
      <c r="A64" s="5" t="inlineStr">
        <is>
          <t>01a1212c-6db4-779e-91a1-847df0e16747</t>
        </is>
      </c>
      <c r="B64" t="inlineStr">
        <is>
          <t>B063</t>
        </is>
      </c>
      <c r="C64" s="5" t="inlineStr">
        <is>
          <t>01a1212c-4b57-70cf-80fd-c2192cb3bf81</t>
        </is>
      </c>
      <c r="D64" s="4" t="n">
        <v>46304.62409988495</v>
      </c>
      <c r="E64" s="4" t="n">
        <v>46304.62409988503</v>
      </c>
      <c r="F64" t="b">
        <v>1</v>
      </c>
      <c r="G64" t="n">
        <v/>
      </c>
      <c r="H64" t="inlineStr">
        <is>
          <t>2018-09-03 | Buy | A200 | 10.0000 unit @ A$105.86 / unit</t>
        </is>
      </c>
      <c r="I64" t="inlineStr">
        <is>
          <t>A200</t>
        </is>
      </c>
      <c r="J64" s="6" t="n">
        <v>43346</v>
      </c>
      <c r="K64" t="n">
        <v>10</v>
      </c>
      <c r="L64" t="inlineStr">
        <is>
          <t>AUD</t>
        </is>
      </c>
      <c r="M64" t="n">
        <v>105.86</v>
      </c>
      <c r="N64" t="inlineStr">
        <is>
          <t>AUD</t>
        </is>
      </c>
      <c r="O64" t="n">
        <v>9.5</v>
      </c>
      <c r="P64" t="inlineStr"/>
      <c r="Q64" t="inlineStr">
        <is>
          <t>FY2018/19</t>
        </is>
      </c>
      <c r="R64" t="inlineStr">
        <is>
          <t>AUD</t>
        </is>
      </c>
      <c r="S64" t="n">
        <v>9.5</v>
      </c>
      <c r="T64" t="inlineStr">
        <is>
          <t>AUD</t>
        </is>
      </c>
      <c r="U64" t="n">
        <v>0.95</v>
      </c>
      <c r="V64" t="inlineStr">
        <is>
          <t>AUD</t>
        </is>
      </c>
      <c r="W64" t="n">
        <v>105.86</v>
      </c>
      <c r="X64" t="b">
        <v>1</v>
      </c>
      <c r="Y64" s="3" t="inlineStr">
        <is>
          <t>2018-09-03 | PARCEL |  A200 | 10.0000 unit @ A$105.86 / unit | Total cost base = A$1,068.10 |</t>
        </is>
      </c>
      <c r="Z64" t="n">
        <v/>
      </c>
    </row>
    <row r="65">
      <c r="A65" s="5" t="inlineStr">
        <is>
          <t>01a1212c-6dcb-7513-b28e-f9fdd3a745f5</t>
        </is>
      </c>
      <c r="B65" t="inlineStr">
        <is>
          <t>B064</t>
        </is>
      </c>
      <c r="C65" s="5" t="inlineStr">
        <is>
          <t>01a1212c-4b57-70cf-80fd-c2192cb3bf81</t>
        </is>
      </c>
      <c r="D65" s="4" t="n">
        <v>46304.62410014364</v>
      </c>
      <c r="E65" s="4" t="n">
        <v>46304.6241001437</v>
      </c>
      <c r="F65" t="b">
        <v>1</v>
      </c>
      <c r="G65" t="n">
        <v/>
      </c>
      <c r="H65" t="inlineStr">
        <is>
          <t>2018-09-03 | Buy | VGS | 18.0000 unit @ A$73.51 / unit</t>
        </is>
      </c>
      <c r="I65" t="inlineStr">
        <is>
          <t>VGS</t>
        </is>
      </c>
      <c r="J65" s="6" t="n">
        <v>43346</v>
      </c>
      <c r="K65" t="n">
        <v>18</v>
      </c>
      <c r="L65" t="inlineStr">
        <is>
          <t>AUD</t>
        </is>
      </c>
      <c r="M65" t="n">
        <v>73.51000000000001</v>
      </c>
      <c r="N65" t="inlineStr">
        <is>
          <t>AUD</t>
        </is>
      </c>
      <c r="O65" t="n">
        <v>9.5</v>
      </c>
      <c r="P65" t="inlineStr"/>
      <c r="Q65" t="inlineStr">
        <is>
          <t>FY2018/19</t>
        </is>
      </c>
      <c r="R65" t="inlineStr">
        <is>
          <t>AUD</t>
        </is>
      </c>
      <c r="S65" t="n">
        <v>9.5</v>
      </c>
      <c r="T65" t="inlineStr">
        <is>
          <t>AUD</t>
        </is>
      </c>
      <c r="U65" t="n">
        <v>0.527778</v>
      </c>
      <c r="V65" t="inlineStr">
        <is>
          <t>AUD</t>
        </is>
      </c>
      <c r="W65" t="n">
        <v>73.51000000000001</v>
      </c>
      <c r="X65" t="b">
        <v>1</v>
      </c>
      <c r="Y65" s="3" t="inlineStr">
        <is>
          <t>2018-09-03 | PARCEL |  VGS | 18.0000 unit @ A$73.51 / unit | Total cost base = A$1,332.68 |</t>
        </is>
      </c>
      <c r="Z65" t="n">
        <v/>
      </c>
    </row>
    <row r="66">
      <c r="A66" s="5" t="inlineStr">
        <is>
          <t>01a1212c-6de0-7126-9950-8804a7f17d71</t>
        </is>
      </c>
      <c r="B66" t="inlineStr">
        <is>
          <t>B065</t>
        </is>
      </c>
      <c r="C66" s="5" t="inlineStr">
        <is>
          <t>01a1212c-4b57-70cf-80fd-c2192cb3bf81</t>
        </is>
      </c>
      <c r="D66" s="4" t="n">
        <v>46304.62410040404</v>
      </c>
      <c r="E66" s="4" t="n">
        <v>46304.6241004041</v>
      </c>
      <c r="F66" t="b">
        <v>1</v>
      </c>
      <c r="G66" t="n">
        <v/>
      </c>
      <c r="H66" t="inlineStr">
        <is>
          <t>2018-09-04 | Buy | MSFT | 4.0000 unit @ $111.71 / unit</t>
        </is>
      </c>
      <c r="I66" t="inlineStr">
        <is>
          <t>MSFT</t>
        </is>
      </c>
      <c r="J66" s="6" t="n">
        <v>43347</v>
      </c>
      <c r="K66" t="n">
        <v>4</v>
      </c>
      <c r="L66" t="inlineStr">
        <is>
          <t>USD</t>
        </is>
      </c>
      <c r="M66" t="n">
        <v>111.71</v>
      </c>
      <c r="N66" t="inlineStr">
        <is>
          <t>USD</t>
        </is>
      </c>
      <c r="O66" t="n">
        <v>5</v>
      </c>
      <c r="P66" t="inlineStr"/>
      <c r="Q66" t="inlineStr">
        <is>
          <t>FY2018/19</t>
        </is>
      </c>
      <c r="R66" t="inlineStr">
        <is>
          <t>AUD</t>
        </is>
      </c>
      <c r="S66" t="n">
        <v>7.5</v>
      </c>
      <c r="T66" t="inlineStr">
        <is>
          <t>AUD</t>
        </is>
      </c>
      <c r="U66" t="n">
        <v>1.875</v>
      </c>
      <c r="V66" t="inlineStr">
        <is>
          <t>AUD</t>
        </is>
      </c>
      <c r="W66" t="n">
        <v>167.565</v>
      </c>
      <c r="X66" t="b">
        <v>1</v>
      </c>
      <c r="Y66" s="3" t="inlineStr">
        <is>
          <t>2018-09-04 | PARCEL |  MSFT | 4.0000 unit @ A$167.56 / unit | Total cost base = A$677.76 |</t>
        </is>
      </c>
      <c r="Z66" s="5" t="inlineStr">
        <is>
          <t>01a1212c-6de2-7731-96b4-9ea58ce320d8</t>
        </is>
      </c>
    </row>
    <row r="67">
      <c r="A67" s="5" t="inlineStr">
        <is>
          <t>01a1212c-6df7-70bb-96a1-7d37957c8e64</t>
        </is>
      </c>
      <c r="B67" t="inlineStr">
        <is>
          <t>B066</t>
        </is>
      </c>
      <c r="C67" s="5" t="inlineStr">
        <is>
          <t>01a1212c-4b57-70cf-80fd-c2192cb3bf81</t>
        </is>
      </c>
      <c r="D67" s="4" t="n">
        <v>46304.62410065172</v>
      </c>
      <c r="E67" s="4" t="n">
        <v>46304.62410065178</v>
      </c>
      <c r="F67" t="b">
        <v>1</v>
      </c>
      <c r="G67" t="n">
        <v/>
      </c>
      <c r="H67" t="inlineStr">
        <is>
          <t>2018-09-17 | Buy | BHP | 43.0000 unit @ A$28.15 / unit</t>
        </is>
      </c>
      <c r="I67" t="inlineStr">
        <is>
          <t>BHP</t>
        </is>
      </c>
      <c r="J67" s="6" t="n">
        <v>43360</v>
      </c>
      <c r="K67" t="n">
        <v>43</v>
      </c>
      <c r="L67" t="inlineStr">
        <is>
          <t>AUD</t>
        </is>
      </c>
      <c r="M67" t="n">
        <v>28.1458</v>
      </c>
      <c r="N67" t="inlineStr">
        <is>
          <t>AUD</t>
        </is>
      </c>
      <c r="O67" t="n">
        <v>19.95</v>
      </c>
      <c r="P67" t="inlineStr"/>
      <c r="Q67" t="inlineStr">
        <is>
          <t>FY2018/19</t>
        </is>
      </c>
      <c r="R67" t="inlineStr">
        <is>
          <t>AUD</t>
        </is>
      </c>
      <c r="S67" t="n">
        <v>19.95</v>
      </c>
      <c r="T67" t="inlineStr">
        <is>
          <t>AUD</t>
        </is>
      </c>
      <c r="U67" t="n">
        <v>0.463953</v>
      </c>
      <c r="V67" t="inlineStr">
        <is>
          <t>AUD</t>
        </is>
      </c>
      <c r="W67" t="n">
        <v>28.1458</v>
      </c>
      <c r="X67" t="b">
        <v>1</v>
      </c>
      <c r="Y67" s="3" t="inlineStr">
        <is>
          <t>2018-09-17 | PARCEL |  BHP | 43.0000 unit @ A$28.15 / unit | Total cost base = A$1,230.22 |</t>
        </is>
      </c>
      <c r="Z67" t="n">
        <v/>
      </c>
    </row>
    <row r="68">
      <c r="A68" s="5" t="inlineStr">
        <is>
          <t>01a1212c-6e0a-77eb-b498-ff178f8e067d</t>
        </is>
      </c>
      <c r="B68" t="inlineStr">
        <is>
          <t>B067</t>
        </is>
      </c>
      <c r="C68" s="5" t="inlineStr">
        <is>
          <t>01a1212c-4b57-70cf-80fd-c2192cb3bf81</t>
        </is>
      </c>
      <c r="D68" s="4" t="n">
        <v>46304.62410087764</v>
      </c>
      <c r="E68" s="4" t="n">
        <v>46304.62410087771</v>
      </c>
      <c r="F68" t="b">
        <v>1</v>
      </c>
      <c r="G68" t="n">
        <v/>
      </c>
      <c r="H68" t="inlineStr">
        <is>
          <t>2018-10-02 | Buy | A200 | 12.0000 unit @ A$102.02 / unit</t>
        </is>
      </c>
      <c r="I68" t="inlineStr">
        <is>
          <t>A200</t>
        </is>
      </c>
      <c r="J68" s="6" t="n">
        <v>43375</v>
      </c>
      <c r="K68" t="n">
        <v>12</v>
      </c>
      <c r="L68" t="inlineStr">
        <is>
          <t>AUD</t>
        </is>
      </c>
      <c r="M68" t="n">
        <v>102.02</v>
      </c>
      <c r="N68" t="inlineStr">
        <is>
          <t>AUD</t>
        </is>
      </c>
      <c r="O68" t="n">
        <v>9.5</v>
      </c>
      <c r="P68" t="inlineStr"/>
      <c r="Q68" t="inlineStr">
        <is>
          <t>FY2018/19</t>
        </is>
      </c>
      <c r="R68" t="inlineStr">
        <is>
          <t>AUD</t>
        </is>
      </c>
      <c r="S68" t="n">
        <v>9.5</v>
      </c>
      <c r="T68" t="inlineStr">
        <is>
          <t>AUD</t>
        </is>
      </c>
      <c r="U68" t="n">
        <v>0.791667</v>
      </c>
      <c r="V68" t="inlineStr">
        <is>
          <t>AUD</t>
        </is>
      </c>
      <c r="W68" t="n">
        <v>102.02</v>
      </c>
      <c r="X68" t="b">
        <v>1</v>
      </c>
      <c r="Y68" s="3" t="inlineStr">
        <is>
          <t>2018-10-02 | PARCEL |  A200 | 12.0000 unit @ A$102.02 / unit | Total cost base = A$1,233.74 |</t>
        </is>
      </c>
      <c r="Z68" t="n">
        <v/>
      </c>
    </row>
    <row r="69">
      <c r="A69" s="5" t="inlineStr">
        <is>
          <t>01a1212c-6e1f-70cf-b356-3645a818f013</t>
        </is>
      </c>
      <c r="B69" t="inlineStr">
        <is>
          <t>B068</t>
        </is>
      </c>
      <c r="C69" s="5" t="inlineStr">
        <is>
          <t>01a1212c-4b57-70cf-80fd-c2192cb3bf81</t>
        </is>
      </c>
      <c r="D69" s="4" t="n">
        <v>46304.62410111553</v>
      </c>
      <c r="E69" s="4" t="n">
        <v>46304.6241011156</v>
      </c>
      <c r="F69" t="b">
        <v>1</v>
      </c>
      <c r="G69" t="n">
        <v/>
      </c>
      <c r="H69" t="inlineStr">
        <is>
          <t>2018-10-02 | Buy | VGS | 21.0000 unit @ A$73.66 / unit</t>
        </is>
      </c>
      <c r="I69" t="inlineStr">
        <is>
          <t>VGS</t>
        </is>
      </c>
      <c r="J69" s="6" t="n">
        <v>43375</v>
      </c>
      <c r="K69" t="n">
        <v>21</v>
      </c>
      <c r="L69" t="inlineStr">
        <is>
          <t>AUD</t>
        </is>
      </c>
      <c r="M69" t="n">
        <v>73.66</v>
      </c>
      <c r="N69" t="inlineStr">
        <is>
          <t>AUD</t>
        </is>
      </c>
      <c r="O69" t="n">
        <v>9.5</v>
      </c>
      <c r="P69" t="inlineStr"/>
      <c r="Q69" t="inlineStr">
        <is>
          <t>FY2018/19</t>
        </is>
      </c>
      <c r="R69" t="inlineStr">
        <is>
          <t>AUD</t>
        </is>
      </c>
      <c r="S69" t="n">
        <v>9.5</v>
      </c>
      <c r="T69" t="inlineStr">
        <is>
          <t>AUD</t>
        </is>
      </c>
      <c r="U69" t="n">
        <v>0.452381</v>
      </c>
      <c r="V69" t="inlineStr">
        <is>
          <t>AUD</t>
        </is>
      </c>
      <c r="W69" t="n">
        <v>73.66</v>
      </c>
      <c r="X69" t="b">
        <v>1</v>
      </c>
      <c r="Y69" s="3" t="inlineStr">
        <is>
          <t>2018-10-02 | PARCEL |  VGS | 21.0000 unit @ A$73.66 / unit | Total cost base = A$1,556.36 |</t>
        </is>
      </c>
      <c r="Z69" t="n">
        <v/>
      </c>
    </row>
    <row r="70">
      <c r="A70" s="5" t="inlineStr">
        <is>
          <t>01a1212c-6e35-73d9-84f5-8c15ff01e4dc</t>
        </is>
      </c>
      <c r="B70" t="inlineStr">
        <is>
          <t>B069</t>
        </is>
      </c>
      <c r="C70" s="5" t="inlineStr">
        <is>
          <t>01a1212c-4b57-70cf-80fd-c2192cb3bf81</t>
        </is>
      </c>
      <c r="D70" s="4" t="n">
        <v>46304.62410138812</v>
      </c>
      <c r="E70" s="4" t="n">
        <v>46304.62410138818</v>
      </c>
      <c r="F70" t="b">
        <v>1</v>
      </c>
      <c r="G70" t="n">
        <v/>
      </c>
      <c r="H70" t="inlineStr">
        <is>
          <t>2018-10-11 | Buy | AAPL | 2.0000 unit @ $214.45 / unit</t>
        </is>
      </c>
      <c r="I70" t="inlineStr">
        <is>
          <t>AAPL</t>
        </is>
      </c>
      <c r="J70" s="6" t="n">
        <v>43384</v>
      </c>
      <c r="K70" t="n">
        <v>2</v>
      </c>
      <c r="L70" t="inlineStr">
        <is>
          <t>USD</t>
        </is>
      </c>
      <c r="M70" t="n">
        <v>214.45</v>
      </c>
      <c r="N70" t="inlineStr">
        <is>
          <t>USD</t>
        </is>
      </c>
      <c r="O70" t="n">
        <v>5</v>
      </c>
      <c r="P70" t="inlineStr"/>
      <c r="Q70" t="inlineStr">
        <is>
          <t>FY2018/19</t>
        </is>
      </c>
      <c r="R70" t="inlineStr">
        <is>
          <t>AUD</t>
        </is>
      </c>
      <c r="S70" t="n">
        <v>7.5</v>
      </c>
      <c r="T70" t="inlineStr">
        <is>
          <t>AUD</t>
        </is>
      </c>
      <c r="U70" t="n">
        <v>3.75</v>
      </c>
      <c r="V70" t="inlineStr">
        <is>
          <t>AUD</t>
        </is>
      </c>
      <c r="W70" t="n">
        <v>321.675</v>
      </c>
      <c r="X70" t="b">
        <v>1</v>
      </c>
      <c r="Y70" s="3" t="inlineStr">
        <is>
          <t>2018-10-11 | PARCEL |  AAPL | 2.0000 unit @ A$321.68 / unit | Total cost base = A$650.85 |</t>
        </is>
      </c>
      <c r="Z70" s="5" t="inlineStr">
        <is>
          <t>01a1212c-6e37-7795-b03f-a9a1bc42095b</t>
        </is>
      </c>
    </row>
    <row r="71">
      <c r="A71" s="5" t="inlineStr">
        <is>
          <t>01a1212c-6e4c-7767-9bcf-ee84390e7f60</t>
        </is>
      </c>
      <c r="B71" t="inlineStr">
        <is>
          <t>B070</t>
        </is>
      </c>
      <c r="C71" s="5" t="inlineStr">
        <is>
          <t>01a1212c-4b57-70cf-80fd-c2192cb3bf81</t>
        </is>
      </c>
      <c r="D71" s="4" t="n">
        <v>46304.62410165395</v>
      </c>
      <c r="E71" s="4" t="n">
        <v>46304.62410165401</v>
      </c>
      <c r="F71" t="b">
        <v>1</v>
      </c>
      <c r="G71" t="n">
        <v/>
      </c>
      <c r="H71" t="inlineStr">
        <is>
          <t>2018-10-12 | Buy | MSFT | 7.0000 unit @ $109.57 / unit</t>
        </is>
      </c>
      <c r="I71" t="inlineStr">
        <is>
          <t>MSFT</t>
        </is>
      </c>
      <c r="J71" s="6" t="n">
        <v>43385</v>
      </c>
      <c r="K71" t="n">
        <v>7</v>
      </c>
      <c r="L71" t="inlineStr">
        <is>
          <t>USD</t>
        </is>
      </c>
      <c r="M71" t="n">
        <v>109.57</v>
      </c>
      <c r="N71" t="inlineStr">
        <is>
          <t>USD</t>
        </is>
      </c>
      <c r="O71" t="n">
        <v>5</v>
      </c>
      <c r="P71" t="inlineStr"/>
      <c r="Q71" t="inlineStr">
        <is>
          <t>FY2018/19</t>
        </is>
      </c>
      <c r="R71" t="inlineStr">
        <is>
          <t>AUD</t>
        </is>
      </c>
      <c r="S71" t="n">
        <v>7.5</v>
      </c>
      <c r="T71" t="inlineStr">
        <is>
          <t>AUD</t>
        </is>
      </c>
      <c r="U71" t="n">
        <v>1.071429</v>
      </c>
      <c r="V71" t="inlineStr">
        <is>
          <t>AUD</t>
        </is>
      </c>
      <c r="W71" t="n">
        <v>164.355</v>
      </c>
      <c r="X71" t="b">
        <v>1</v>
      </c>
      <c r="Y71" s="3" t="inlineStr">
        <is>
          <t>2018-10-12 | PARCEL |  MSFT | 7.0000 unit @ A$164.36 / unit | Total cost base = A$1,157.98 |</t>
        </is>
      </c>
      <c r="Z71" s="5" t="inlineStr">
        <is>
          <t>01a1212c-6e4e-76f2-a4fe-07ca96a6fe9c</t>
        </is>
      </c>
    </row>
    <row r="72">
      <c r="A72" s="5" t="inlineStr">
        <is>
          <t>01a1212c-6e64-756c-a69c-d18093ffd988</t>
        </is>
      </c>
      <c r="B72" t="inlineStr">
        <is>
          <t>B071</t>
        </is>
      </c>
      <c r="C72" s="5" t="inlineStr">
        <is>
          <t>01a1212c-4b57-70cf-80fd-c2192cb3bf81</t>
        </is>
      </c>
      <c r="D72" s="4" t="n">
        <v>46304.62410192246</v>
      </c>
      <c r="E72" s="4" t="n">
        <v>46304.62410192255</v>
      </c>
      <c r="F72" t="b">
        <v>1</v>
      </c>
      <c r="G72" t="n">
        <v/>
      </c>
      <c r="H72" t="inlineStr">
        <is>
          <t>2018-11-05 | Buy | A200 | 15.0000 unit @ A$96.91 / unit</t>
        </is>
      </c>
      <c r="I72" t="inlineStr">
        <is>
          <t>A200</t>
        </is>
      </c>
      <c r="J72" s="6" t="n">
        <v>43409</v>
      </c>
      <c r="K72" t="n">
        <v>15</v>
      </c>
      <c r="L72" t="inlineStr">
        <is>
          <t>AUD</t>
        </is>
      </c>
      <c r="M72" t="n">
        <v>96.91</v>
      </c>
      <c r="N72" t="inlineStr">
        <is>
          <t>AUD</t>
        </is>
      </c>
      <c r="O72" t="n">
        <v>9.5</v>
      </c>
      <c r="P72" t="inlineStr"/>
      <c r="Q72" t="inlineStr">
        <is>
          <t>FY2018/19</t>
        </is>
      </c>
      <c r="R72" t="inlineStr">
        <is>
          <t>AUD</t>
        </is>
      </c>
      <c r="S72" t="n">
        <v>9.5</v>
      </c>
      <c r="T72" t="inlineStr">
        <is>
          <t>AUD</t>
        </is>
      </c>
      <c r="U72" t="n">
        <v>0.633333</v>
      </c>
      <c r="V72" t="inlineStr">
        <is>
          <t>AUD</t>
        </is>
      </c>
      <c r="W72" t="n">
        <v>96.91</v>
      </c>
      <c r="X72" t="b">
        <v>1</v>
      </c>
      <c r="Y72" s="3" t="inlineStr">
        <is>
          <t>2018-11-05 | PARCEL |  A200 | 15.0000 unit @ A$96.91 / unit | Total cost base = A$1,463.15 |</t>
        </is>
      </c>
      <c r="Z72" t="n">
        <v/>
      </c>
    </row>
    <row r="73">
      <c r="A73" s="5" t="inlineStr">
        <is>
          <t>01a1212c-6e7c-77ba-883d-d0609085103c</t>
        </is>
      </c>
      <c r="B73" t="inlineStr">
        <is>
          <t>B072</t>
        </is>
      </c>
      <c r="C73" s="5" t="inlineStr">
        <is>
          <t>01a1212c-4b57-70cf-80fd-c2192cb3bf81</t>
        </is>
      </c>
      <c r="D73" s="4" t="n">
        <v>46304.62410219118</v>
      </c>
      <c r="E73" s="4" t="n">
        <v>46304.62410219125</v>
      </c>
      <c r="F73" t="b">
        <v>1</v>
      </c>
      <c r="G73" t="n">
        <v/>
      </c>
      <c r="H73" t="inlineStr">
        <is>
          <t>2018-11-05 | Buy | VGS | 26.0000 unit @ A$68.72 / unit</t>
        </is>
      </c>
      <c r="I73" t="inlineStr">
        <is>
          <t>VGS</t>
        </is>
      </c>
      <c r="J73" s="6" t="n">
        <v>43409</v>
      </c>
      <c r="K73" t="n">
        <v>26</v>
      </c>
      <c r="L73" t="inlineStr">
        <is>
          <t>AUD</t>
        </is>
      </c>
      <c r="M73" t="n">
        <v>68.72</v>
      </c>
      <c r="N73" t="inlineStr">
        <is>
          <t>AUD</t>
        </is>
      </c>
      <c r="O73" t="n">
        <v>9.5</v>
      </c>
      <c r="P73" t="inlineStr"/>
      <c r="Q73" t="inlineStr">
        <is>
          <t>FY2018/19</t>
        </is>
      </c>
      <c r="R73" t="inlineStr">
        <is>
          <t>AUD</t>
        </is>
      </c>
      <c r="S73" t="n">
        <v>9.5</v>
      </c>
      <c r="T73" t="inlineStr">
        <is>
          <t>AUD</t>
        </is>
      </c>
      <c r="U73" t="n">
        <v>0.365385</v>
      </c>
      <c r="V73" t="inlineStr">
        <is>
          <t>AUD</t>
        </is>
      </c>
      <c r="W73" t="n">
        <v>68.72</v>
      </c>
      <c r="X73" t="b">
        <v>1</v>
      </c>
      <c r="Y73" s="3" t="inlineStr">
        <is>
          <t>2018-11-05 | PARCEL |  VGS | 26.0000 unit @ A$68.72 / unit | Total cost base = A$1,796.22 |</t>
        </is>
      </c>
      <c r="Z73" t="n">
        <v/>
      </c>
    </row>
    <row r="74">
      <c r="A74" s="5" t="inlineStr">
        <is>
          <t>01a1212c-6e91-7423-af4c-16718651c15d</t>
        </is>
      </c>
      <c r="B74" t="inlineStr">
        <is>
          <t>B073</t>
        </is>
      </c>
      <c r="C74" s="5" t="inlineStr">
        <is>
          <t>01a1212c-4b57-70cf-80fd-c2192cb3bf81</t>
        </is>
      </c>
      <c r="D74" s="4" t="n">
        <v>46304.62410243825</v>
      </c>
      <c r="E74" s="4" t="n">
        <v>46304.62410243832</v>
      </c>
      <c r="F74" t="b">
        <v>1</v>
      </c>
      <c r="G74" t="n">
        <v/>
      </c>
      <c r="H74" t="inlineStr">
        <is>
          <t>2018-11-12 | Buy | WES | 14.0000 unit @ A$33.89 / unit</t>
        </is>
      </c>
      <c r="I74" t="inlineStr">
        <is>
          <t>WES</t>
        </is>
      </c>
      <c r="J74" s="6" t="n">
        <v>43416</v>
      </c>
      <c r="K74" t="n">
        <v>14</v>
      </c>
      <c r="L74" t="inlineStr">
        <is>
          <t>AUD</t>
        </is>
      </c>
      <c r="M74" t="n">
        <v>33.8899</v>
      </c>
      <c r="N74" t="inlineStr">
        <is>
          <t>AUD</t>
        </is>
      </c>
      <c r="O74" t="n">
        <v>19.95</v>
      </c>
      <c r="P74" t="inlineStr"/>
      <c r="Q74" t="inlineStr">
        <is>
          <t>FY2018/19</t>
        </is>
      </c>
      <c r="R74" t="inlineStr">
        <is>
          <t>AUD</t>
        </is>
      </c>
      <c r="S74" t="n">
        <v>19.95</v>
      </c>
      <c r="T74" t="inlineStr">
        <is>
          <t>AUD</t>
        </is>
      </c>
      <c r="U74" t="n">
        <v>1.425</v>
      </c>
      <c r="V74" t="inlineStr">
        <is>
          <t>AUD</t>
        </is>
      </c>
      <c r="W74" t="n">
        <v>33.8899</v>
      </c>
      <c r="X74" t="b">
        <v>1</v>
      </c>
      <c r="Y74" s="3" t="inlineStr">
        <is>
          <t>2018-11-12 | PARCEL |  WES | 14.0000 unit @ A$33.89 / unit | Total cost base = A$494.41 |</t>
        </is>
      </c>
      <c r="Z74" t="n">
        <v/>
      </c>
    </row>
    <row r="75">
      <c r="A75" s="5" t="inlineStr">
        <is>
          <t>01a1212c-6ea5-762f-866b-24e9cc4ef986</t>
        </is>
      </c>
      <c r="B75" t="inlineStr">
        <is>
          <t>B074</t>
        </is>
      </c>
      <c r="C75" s="5" t="inlineStr">
        <is>
          <t>01a1212c-4b57-70cf-80fd-c2192cb3bf81</t>
        </is>
      </c>
      <c r="D75" s="4" t="n">
        <v>46304.62410268084</v>
      </c>
      <c r="E75" s="4" t="n">
        <v>46304.6241026809</v>
      </c>
      <c r="F75" t="b">
        <v>1</v>
      </c>
      <c r="G75" t="n">
        <v/>
      </c>
      <c r="H75" t="inlineStr">
        <is>
          <t>2018-11-21 | Buy | AAPL | 3.0000 unit @ $176.78 / unit</t>
        </is>
      </c>
      <c r="I75" t="inlineStr">
        <is>
          <t>AAPL</t>
        </is>
      </c>
      <c r="J75" s="6" t="n">
        <v>43425</v>
      </c>
      <c r="K75" t="n">
        <v>3</v>
      </c>
      <c r="L75" t="inlineStr">
        <is>
          <t>USD</t>
        </is>
      </c>
      <c r="M75" t="n">
        <v>176.78</v>
      </c>
      <c r="N75" t="inlineStr">
        <is>
          <t>USD</t>
        </is>
      </c>
      <c r="O75" t="n">
        <v>5</v>
      </c>
      <c r="P75" t="inlineStr"/>
      <c r="Q75" t="inlineStr">
        <is>
          <t>FY2018/19</t>
        </is>
      </c>
      <c r="R75" t="inlineStr">
        <is>
          <t>AUD</t>
        </is>
      </c>
      <c r="S75" t="n">
        <v>7.5</v>
      </c>
      <c r="T75" t="inlineStr">
        <is>
          <t>AUD</t>
        </is>
      </c>
      <c r="U75" t="n">
        <v>2.5</v>
      </c>
      <c r="V75" t="inlineStr">
        <is>
          <t>AUD</t>
        </is>
      </c>
      <c r="W75" t="n">
        <v>265.17</v>
      </c>
      <c r="X75" t="b">
        <v>1</v>
      </c>
      <c r="Y75" s="3" t="inlineStr">
        <is>
          <t>2018-11-21 | PARCEL |  AAPL | 3.0000 unit @ A$265.17 / unit | Total cost base = A$803.01 |</t>
        </is>
      </c>
      <c r="Z75" s="5" t="inlineStr">
        <is>
          <t>01a1212c-6ea6-7619-b8fe-0601d5b9b073</t>
        </is>
      </c>
    </row>
    <row r="76">
      <c r="A76" s="5" t="inlineStr">
        <is>
          <t>01a1212c-6ebb-73f9-851e-708b2f3e7810</t>
        </is>
      </c>
      <c r="B76" t="inlineStr">
        <is>
          <t>B075</t>
        </is>
      </c>
      <c r="C76" s="5" t="inlineStr">
        <is>
          <t>01a1212c-4b57-70cf-80fd-c2192cb3bf81</t>
        </is>
      </c>
      <c r="D76" s="4" t="n">
        <v>46304.62410292679</v>
      </c>
      <c r="E76" s="4" t="n">
        <v>46304.62410292685</v>
      </c>
      <c r="F76" t="b">
        <v>1</v>
      </c>
      <c r="G76" t="n">
        <v/>
      </c>
      <c r="H76" t="inlineStr">
        <is>
          <t>2018-12-06 | Buy | A200 | 9.0000 unit @ A$94.85 / unit</t>
        </is>
      </c>
      <c r="I76" t="inlineStr">
        <is>
          <t>A200</t>
        </is>
      </c>
      <c r="J76" s="6" t="n">
        <v>43440</v>
      </c>
      <c r="K76" t="n">
        <v>9</v>
      </c>
      <c r="L76" t="inlineStr">
        <is>
          <t>AUD</t>
        </is>
      </c>
      <c r="M76" t="n">
        <v>94.84999999999999</v>
      </c>
      <c r="N76" t="inlineStr">
        <is>
          <t>AUD</t>
        </is>
      </c>
      <c r="O76" t="n">
        <v>9.5</v>
      </c>
      <c r="P76" t="inlineStr"/>
      <c r="Q76" t="inlineStr">
        <is>
          <t>FY2018/19</t>
        </is>
      </c>
      <c r="R76" t="inlineStr">
        <is>
          <t>AUD</t>
        </is>
      </c>
      <c r="S76" t="n">
        <v>9.5</v>
      </c>
      <c r="T76" t="inlineStr">
        <is>
          <t>AUD</t>
        </is>
      </c>
      <c r="U76" t="n">
        <v>1.055556</v>
      </c>
      <c r="V76" t="inlineStr">
        <is>
          <t>AUD</t>
        </is>
      </c>
      <c r="W76" t="n">
        <v>94.84999999999999</v>
      </c>
      <c r="X76" t="b">
        <v>1</v>
      </c>
      <c r="Y76" s="3" t="inlineStr">
        <is>
          <t>2018-12-06 | PARCEL |  A200 | 9.0000 unit @ A$94.85 / unit | Total cost base = A$863.15 |</t>
        </is>
      </c>
      <c r="Z76" t="n">
        <v/>
      </c>
    </row>
    <row r="77">
      <c r="A77" s="5" t="inlineStr">
        <is>
          <t>01a1212c-6ed0-7438-9044-1148bb5966c5</t>
        </is>
      </c>
      <c r="B77" t="inlineStr">
        <is>
          <t>B076</t>
        </is>
      </c>
      <c r="C77" s="5" t="inlineStr">
        <is>
          <t>01a1212c-4b57-70cf-80fd-c2192cb3bf81</t>
        </is>
      </c>
      <c r="D77" s="4" t="n">
        <v>46304.62410316502</v>
      </c>
      <c r="E77" s="4" t="n">
        <v>46304.62410316509</v>
      </c>
      <c r="F77" t="b">
        <v>1</v>
      </c>
      <c r="G77" t="n">
        <v/>
      </c>
      <c r="H77" t="inlineStr">
        <is>
          <t>2018-12-06 | Buy | VGS | 16.0000 unit @ A$66.86 / unit</t>
        </is>
      </c>
      <c r="I77" t="inlineStr">
        <is>
          <t>VGS</t>
        </is>
      </c>
      <c r="J77" s="6" t="n">
        <v>43440</v>
      </c>
      <c r="K77" t="n">
        <v>16</v>
      </c>
      <c r="L77" t="inlineStr">
        <is>
          <t>AUD</t>
        </is>
      </c>
      <c r="M77" t="n">
        <v>66.86</v>
      </c>
      <c r="N77" t="inlineStr">
        <is>
          <t>AUD</t>
        </is>
      </c>
      <c r="O77" t="n">
        <v>9.5</v>
      </c>
      <c r="P77" t="inlineStr"/>
      <c r="Q77" t="inlineStr">
        <is>
          <t>FY2018/19</t>
        </is>
      </c>
      <c r="R77" t="inlineStr">
        <is>
          <t>AUD</t>
        </is>
      </c>
      <c r="S77" t="n">
        <v>9.5</v>
      </c>
      <c r="T77" t="inlineStr">
        <is>
          <t>AUD</t>
        </is>
      </c>
      <c r="U77" t="n">
        <v>0.59375</v>
      </c>
      <c r="V77" t="inlineStr">
        <is>
          <t>AUD</t>
        </is>
      </c>
      <c r="W77" t="n">
        <v>66.86</v>
      </c>
      <c r="X77" t="b">
        <v>1</v>
      </c>
      <c r="Y77" s="3" t="inlineStr">
        <is>
          <t>2018-12-06 | PARCEL |  VGS | 16.0000 unit @ A$66.86 / unit | Total cost base = A$1,079.26 |</t>
        </is>
      </c>
      <c r="Z77" t="n">
        <v/>
      </c>
    </row>
    <row r="78">
      <c r="A78" s="5" t="inlineStr">
        <is>
          <t>01a1212c-6ee4-76ec-9565-7a2884335908</t>
        </is>
      </c>
      <c r="B78" t="inlineStr">
        <is>
          <t>B077</t>
        </is>
      </c>
      <c r="C78" s="5" t="inlineStr">
        <is>
          <t>01a1212c-4b57-70cf-80fd-c2192cb3bf81</t>
        </is>
      </c>
      <c r="D78" s="4" t="n">
        <v>46304.6241034171</v>
      </c>
      <c r="E78" s="4" t="n">
        <v>46304.62410341716</v>
      </c>
      <c r="F78" t="b">
        <v>1</v>
      </c>
      <c r="G78" t="n">
        <v/>
      </c>
      <c r="H78" t="inlineStr">
        <is>
          <t>2018-12-17 | Buy | MSFT | 4.0000 unit @ $102.89 / unit</t>
        </is>
      </c>
      <c r="I78" t="inlineStr">
        <is>
          <t>MSFT</t>
        </is>
      </c>
      <c r="J78" s="6" t="n">
        <v>43451</v>
      </c>
      <c r="K78" t="n">
        <v>4</v>
      </c>
      <c r="L78" t="inlineStr">
        <is>
          <t>USD</t>
        </is>
      </c>
      <c r="M78" t="n">
        <v>102.89</v>
      </c>
      <c r="N78" t="inlineStr">
        <is>
          <t>USD</t>
        </is>
      </c>
      <c r="O78" t="n">
        <v>5</v>
      </c>
      <c r="P78" t="inlineStr"/>
      <c r="Q78" t="inlineStr">
        <is>
          <t>FY2018/19</t>
        </is>
      </c>
      <c r="R78" t="inlineStr">
        <is>
          <t>AUD</t>
        </is>
      </c>
      <c r="S78" t="n">
        <v>7.5</v>
      </c>
      <c r="T78" t="inlineStr">
        <is>
          <t>AUD</t>
        </is>
      </c>
      <c r="U78" t="n">
        <v>1.875</v>
      </c>
      <c r="V78" t="inlineStr">
        <is>
          <t>AUD</t>
        </is>
      </c>
      <c r="W78" t="n">
        <v>154.335</v>
      </c>
      <c r="X78" t="b">
        <v>1</v>
      </c>
      <c r="Y78" s="3" t="inlineStr">
        <is>
          <t>2018-12-17 | PARCEL |  MSFT | 4.0000 unit @ A$154.34 / unit | Total cost base = A$624.84 |</t>
        </is>
      </c>
      <c r="Z78" s="5" t="inlineStr">
        <is>
          <t>01a1212c-6ee6-71f9-b5cb-6bb70158d792</t>
        </is>
      </c>
    </row>
    <row r="79">
      <c r="A79" s="5" t="inlineStr">
        <is>
          <t>01a1212c-6efc-7025-a8fa-f64dee1d5081</t>
        </is>
      </c>
      <c r="B79" t="inlineStr">
        <is>
          <t>B078</t>
        </is>
      </c>
      <c r="C79" s="5" t="inlineStr">
        <is>
          <t>01a1212c-4b57-70cf-80fd-c2192cb3bf81</t>
        </is>
      </c>
      <c r="D79" s="4" t="n">
        <v>46304.62410367475</v>
      </c>
      <c r="E79" s="4" t="n">
        <v>46304.62410367482</v>
      </c>
      <c r="F79" t="b">
        <v>1</v>
      </c>
      <c r="G79" t="n">
        <v/>
      </c>
      <c r="H79" t="inlineStr">
        <is>
          <t>2019-01-04 | Buy | A200 | 13.0000 unit @ A$93.61 / unit</t>
        </is>
      </c>
      <c r="I79" t="inlineStr">
        <is>
          <t>A200</t>
        </is>
      </c>
      <c r="J79" s="6" t="n">
        <v>43469</v>
      </c>
      <c r="K79" t="n">
        <v>13</v>
      </c>
      <c r="L79" t="inlineStr">
        <is>
          <t>AUD</t>
        </is>
      </c>
      <c r="M79" t="n">
        <v>93.61</v>
      </c>
      <c r="N79" t="inlineStr">
        <is>
          <t>AUD</t>
        </is>
      </c>
      <c r="O79" t="n">
        <v>9.5</v>
      </c>
      <c r="P79" t="inlineStr"/>
      <c r="Q79" t="inlineStr">
        <is>
          <t>FY2018/19</t>
        </is>
      </c>
      <c r="R79" t="inlineStr">
        <is>
          <t>AUD</t>
        </is>
      </c>
      <c r="S79" t="n">
        <v>9.5</v>
      </c>
      <c r="T79" t="inlineStr">
        <is>
          <t>AUD</t>
        </is>
      </c>
      <c r="U79" t="n">
        <v>0.730769</v>
      </c>
      <c r="V79" t="inlineStr">
        <is>
          <t>AUD</t>
        </is>
      </c>
      <c r="W79" t="n">
        <v>93.61</v>
      </c>
      <c r="X79" t="b">
        <v>1</v>
      </c>
      <c r="Y79" s="3" t="inlineStr">
        <is>
          <t>2019-01-04 | PARCEL |  A200 | 13.0000 unit @ A$93.61 / unit | Total cost base = A$1,226.43 |</t>
        </is>
      </c>
      <c r="Z79" t="n">
        <v/>
      </c>
    </row>
    <row r="80">
      <c r="A80" s="5" t="inlineStr">
        <is>
          <t>01a1212c-6f12-75c6-bf14-a8dfed49a49b</t>
        </is>
      </c>
      <c r="B80" t="inlineStr">
        <is>
          <t>B079</t>
        </is>
      </c>
      <c r="C80" s="5" t="inlineStr">
        <is>
          <t>01a1212c-4b57-70cf-80fd-c2192cb3bf81</t>
        </is>
      </c>
      <c r="D80" s="4" t="n">
        <v>46304.62410393458</v>
      </c>
      <c r="E80" s="4" t="n">
        <v>46304.62410393465</v>
      </c>
      <c r="F80" t="b">
        <v>1</v>
      </c>
      <c r="G80" t="n">
        <v/>
      </c>
      <c r="H80" t="inlineStr">
        <is>
          <t>2019-01-04 | Buy | VGS | 23.0000 unit @ A$64.09 / unit</t>
        </is>
      </c>
      <c r="I80" t="inlineStr">
        <is>
          <t>VGS</t>
        </is>
      </c>
      <c r="J80" s="6" t="n">
        <v>43469</v>
      </c>
      <c r="K80" t="n">
        <v>23</v>
      </c>
      <c r="L80" t="inlineStr">
        <is>
          <t>AUD</t>
        </is>
      </c>
      <c r="M80" t="n">
        <v>64.09</v>
      </c>
      <c r="N80" t="inlineStr">
        <is>
          <t>AUD</t>
        </is>
      </c>
      <c r="O80" t="n">
        <v>9.5</v>
      </c>
      <c r="P80" t="inlineStr"/>
      <c r="Q80" t="inlineStr">
        <is>
          <t>FY2018/19</t>
        </is>
      </c>
      <c r="R80" t="inlineStr">
        <is>
          <t>AUD</t>
        </is>
      </c>
      <c r="S80" t="n">
        <v>9.5</v>
      </c>
      <c r="T80" t="inlineStr">
        <is>
          <t>AUD</t>
        </is>
      </c>
      <c r="U80" t="n">
        <v>0.413043</v>
      </c>
      <c r="V80" t="inlineStr">
        <is>
          <t>AUD</t>
        </is>
      </c>
      <c r="W80" t="n">
        <v>64.09</v>
      </c>
      <c r="X80" t="b">
        <v>1</v>
      </c>
      <c r="Y80" s="3" t="inlineStr">
        <is>
          <t>2019-01-04 | PARCEL |  VGS | 23.0000 unit @ A$64.09 / unit | Total cost base = A$1,483.57 |</t>
        </is>
      </c>
      <c r="Z80" t="n">
        <v/>
      </c>
    </row>
    <row r="81">
      <c r="A81" s="5" t="inlineStr">
        <is>
          <t>01a1212c-6f27-72f6-ae30-8e238e0b45b9</t>
        </is>
      </c>
      <c r="B81" t="inlineStr">
        <is>
          <t>B080</t>
        </is>
      </c>
      <c r="C81" s="5" t="inlineStr">
        <is>
          <t>01a1212c-4b57-70cf-80fd-c2192cb3bf81</t>
        </is>
      </c>
      <c r="D81" s="4" t="n">
        <v>46304.62410419327</v>
      </c>
      <c r="E81" s="4" t="n">
        <v>46304.62410419333</v>
      </c>
      <c r="F81" t="b">
        <v>1</v>
      </c>
      <c r="G81" t="n">
        <v/>
      </c>
      <c r="H81" t="inlineStr">
        <is>
          <t>2019-01-07 | Buy | AMZN | 1.0000 unit @ $1,629.51 / unit</t>
        </is>
      </c>
      <c r="I81" t="inlineStr">
        <is>
          <t>AMZN</t>
        </is>
      </c>
      <c r="J81" s="6" t="n">
        <v>43472</v>
      </c>
      <c r="K81" t="n">
        <v>1</v>
      </c>
      <c r="L81" t="inlineStr">
        <is>
          <t>USD</t>
        </is>
      </c>
      <c r="M81" t="n">
        <v>1629.51</v>
      </c>
      <c r="N81" t="inlineStr">
        <is>
          <t>USD</t>
        </is>
      </c>
      <c r="O81" t="n">
        <v>5</v>
      </c>
      <c r="P81" t="inlineStr"/>
      <c r="Q81" t="inlineStr">
        <is>
          <t>FY2018/19</t>
        </is>
      </c>
      <c r="R81" t="inlineStr">
        <is>
          <t>AUD</t>
        </is>
      </c>
      <c r="S81" t="n">
        <v>7.5</v>
      </c>
      <c r="T81" t="inlineStr">
        <is>
          <t>AUD</t>
        </is>
      </c>
      <c r="U81" t="n">
        <v>7.5</v>
      </c>
      <c r="V81" t="inlineStr">
        <is>
          <t>AUD</t>
        </is>
      </c>
      <c r="W81" t="n">
        <v>2444.265</v>
      </c>
      <c r="X81" t="b">
        <v>1</v>
      </c>
      <c r="Y81" s="3" t="inlineStr">
        <is>
          <t>2019-01-07 | PARCEL |  AMZN | 1.0000 unit @ A$2,444.26 / unit | Total cost base = A$2,451.76 |</t>
        </is>
      </c>
      <c r="Z81" s="5" t="inlineStr">
        <is>
          <t>01a1212c-6f29-7458-819a-b33272121fd6</t>
        </is>
      </c>
    </row>
    <row r="82">
      <c r="A82" s="5" t="inlineStr">
        <is>
          <t>01a1212c-6f3e-75ac-beb7-e60447870ff5</t>
        </is>
      </c>
      <c r="B82" t="inlineStr">
        <is>
          <t>B081</t>
        </is>
      </c>
      <c r="C82" s="5" t="inlineStr">
        <is>
          <t>01a1212c-4b57-70cf-80fd-c2192cb3bf81</t>
        </is>
      </c>
      <c r="D82" s="4" t="n">
        <v>46304.62410443861</v>
      </c>
      <c r="E82" s="4" t="n">
        <v>46304.62410443868</v>
      </c>
      <c r="F82" t="b">
        <v>1</v>
      </c>
      <c r="G82" t="n">
        <v/>
      </c>
      <c r="H82" t="inlineStr">
        <is>
          <t>2019-02-05 | Buy | A200 | 14.0000 unit @ A$100.39 / unit</t>
        </is>
      </c>
      <c r="I82" t="inlineStr">
        <is>
          <t>A200</t>
        </is>
      </c>
      <c r="J82" s="6" t="n">
        <v>43501</v>
      </c>
      <c r="K82" t="n">
        <v>14</v>
      </c>
      <c r="L82" t="inlineStr">
        <is>
          <t>AUD</t>
        </is>
      </c>
      <c r="M82" t="n">
        <v>100.39</v>
      </c>
      <c r="N82" t="inlineStr">
        <is>
          <t>AUD</t>
        </is>
      </c>
      <c r="O82" t="n">
        <v>9.5</v>
      </c>
      <c r="P82" t="inlineStr"/>
      <c r="Q82" t="inlineStr">
        <is>
          <t>FY2018/19</t>
        </is>
      </c>
      <c r="R82" t="inlineStr">
        <is>
          <t>AUD</t>
        </is>
      </c>
      <c r="S82" t="n">
        <v>9.5</v>
      </c>
      <c r="T82" t="inlineStr">
        <is>
          <t>AUD</t>
        </is>
      </c>
      <c r="U82" t="n">
        <v>0.678571</v>
      </c>
      <c r="V82" t="inlineStr">
        <is>
          <t>AUD</t>
        </is>
      </c>
      <c r="W82" t="n">
        <v>100.39</v>
      </c>
      <c r="X82" t="b">
        <v>1</v>
      </c>
      <c r="Y82" s="3" t="inlineStr">
        <is>
          <t>2019-02-05 | PARCEL |  A200 | 14.0000 unit @ A$100.39 / unit | Total cost base = A$1,414.96 |</t>
        </is>
      </c>
      <c r="Z82" t="n">
        <v/>
      </c>
    </row>
    <row r="83">
      <c r="A83" s="5" t="inlineStr">
        <is>
          <t>01a1212c-6f52-7268-9807-2b835fde3283</t>
        </is>
      </c>
      <c r="B83" t="inlineStr">
        <is>
          <t>B082</t>
        </is>
      </c>
      <c r="C83" s="5" t="inlineStr">
        <is>
          <t>01a1212c-4b57-70cf-80fd-c2192cb3bf81</t>
        </is>
      </c>
      <c r="D83" s="4" t="n">
        <v>46304.62410467391</v>
      </c>
      <c r="E83" s="4" t="n">
        <v>46304.62410467398</v>
      </c>
      <c r="F83" t="b">
        <v>1</v>
      </c>
      <c r="G83" t="n">
        <v/>
      </c>
      <c r="H83" t="inlineStr">
        <is>
          <t>2019-02-05 | Buy | VGS | 26.0000 unit @ A$68.00 / unit</t>
        </is>
      </c>
      <c r="I83" t="inlineStr">
        <is>
          <t>VGS</t>
        </is>
      </c>
      <c r="J83" s="6" t="n">
        <v>43501</v>
      </c>
      <c r="K83" t="n">
        <v>26</v>
      </c>
      <c r="L83" t="inlineStr">
        <is>
          <t>AUD</t>
        </is>
      </c>
      <c r="M83" t="n">
        <v>68</v>
      </c>
      <c r="N83" t="inlineStr">
        <is>
          <t>AUD</t>
        </is>
      </c>
      <c r="O83" t="n">
        <v>9.5</v>
      </c>
      <c r="P83" t="inlineStr"/>
      <c r="Q83" t="inlineStr">
        <is>
          <t>FY2018/19</t>
        </is>
      </c>
      <c r="R83" t="inlineStr">
        <is>
          <t>AUD</t>
        </is>
      </c>
      <c r="S83" t="n">
        <v>9.5</v>
      </c>
      <c r="T83" t="inlineStr">
        <is>
          <t>AUD</t>
        </is>
      </c>
      <c r="U83" t="n">
        <v>0.365385</v>
      </c>
      <c r="V83" t="inlineStr">
        <is>
          <t>AUD</t>
        </is>
      </c>
      <c r="W83" t="n">
        <v>68</v>
      </c>
      <c r="X83" t="b">
        <v>1</v>
      </c>
      <c r="Y83" s="3" t="inlineStr">
        <is>
          <t>2019-02-05 | PARCEL |  VGS | 26.0000 unit @ A$68.00 / unit | Total cost base = A$1,777.50 |</t>
        </is>
      </c>
      <c r="Z83" t="n">
        <v/>
      </c>
    </row>
    <row r="84">
      <c r="A84" s="5" t="inlineStr">
        <is>
          <t>01a1212c-6f67-7210-8b21-e20f1a8220e0</t>
        </is>
      </c>
      <c r="B84" t="inlineStr">
        <is>
          <t>B083</t>
        </is>
      </c>
      <c r="C84" s="5" t="inlineStr">
        <is>
          <t>01a1212c-4b57-70cf-80fd-c2192cb3bf81</t>
        </is>
      </c>
      <c r="D84" s="4" t="n">
        <v>46304.62410493094</v>
      </c>
      <c r="E84" s="4" t="n">
        <v>46304.62410493098</v>
      </c>
      <c r="F84" t="b">
        <v>1</v>
      </c>
      <c r="G84" t="n">
        <v/>
      </c>
      <c r="H84" t="inlineStr">
        <is>
          <t>2019-02-06 | Buy | AMZN | 1.0000 unit @ $1,640.26 / unit</t>
        </is>
      </c>
      <c r="I84" t="inlineStr">
        <is>
          <t>AMZN</t>
        </is>
      </c>
      <c r="J84" s="6" t="n">
        <v>43502</v>
      </c>
      <c r="K84" t="n">
        <v>1</v>
      </c>
      <c r="L84" t="inlineStr">
        <is>
          <t>USD</t>
        </is>
      </c>
      <c r="M84" t="n">
        <v>1640.26</v>
      </c>
      <c r="N84" t="inlineStr">
        <is>
          <t>USD</t>
        </is>
      </c>
      <c r="O84" t="n">
        <v>5</v>
      </c>
      <c r="P84" t="inlineStr"/>
      <c r="Q84" t="inlineStr">
        <is>
          <t>FY2018/19</t>
        </is>
      </c>
      <c r="R84" t="inlineStr">
        <is>
          <t>AUD</t>
        </is>
      </c>
      <c r="S84" t="n">
        <v>7.5</v>
      </c>
      <c r="T84" t="inlineStr">
        <is>
          <t>AUD</t>
        </is>
      </c>
      <c r="U84" t="n">
        <v>7.5</v>
      </c>
      <c r="V84" t="inlineStr">
        <is>
          <t>AUD</t>
        </is>
      </c>
      <c r="W84" t="n">
        <v>2460.39</v>
      </c>
      <c r="X84" t="b">
        <v>1</v>
      </c>
      <c r="Y84" s="3" t="inlineStr">
        <is>
          <t>2019-02-06 | PARCEL |  AMZN | 1.0000 unit @ A$2,460.39 / unit | Total cost base = A$2,467.89 |</t>
        </is>
      </c>
      <c r="Z84" s="5" t="inlineStr">
        <is>
          <t>01a1212c-6f69-74f1-9103-f869bbe55555</t>
        </is>
      </c>
    </row>
    <row r="85">
      <c r="A85" s="5" t="inlineStr">
        <is>
          <t>01a1212c-6f7e-70f1-941f-ca4b41bf3d1d</t>
        </is>
      </c>
      <c r="B85" t="inlineStr">
        <is>
          <t>B084</t>
        </is>
      </c>
      <c r="C85" s="5" t="inlineStr">
        <is>
          <t>01a1212c-4b57-70cf-80fd-c2192cb3bf81</t>
        </is>
      </c>
      <c r="D85" s="4" t="n">
        <v>46304.62410517468</v>
      </c>
      <c r="E85" s="4" t="n">
        <v>46304.62410517474</v>
      </c>
      <c r="F85" t="b">
        <v>1</v>
      </c>
      <c r="G85" t="n">
        <v/>
      </c>
      <c r="H85" t="inlineStr">
        <is>
          <t>2019-03-04 | Buy | A200 | 8.0000 unit @ A$104.63 / unit</t>
        </is>
      </c>
      <c r="I85" t="inlineStr">
        <is>
          <t>A200</t>
        </is>
      </c>
      <c r="J85" s="6" t="n">
        <v>43528</v>
      </c>
      <c r="K85" t="n">
        <v>8</v>
      </c>
      <c r="L85" t="inlineStr">
        <is>
          <t>AUD</t>
        </is>
      </c>
      <c r="M85" t="n">
        <v>104.63</v>
      </c>
      <c r="N85" t="inlineStr">
        <is>
          <t>AUD</t>
        </is>
      </c>
      <c r="O85" t="n">
        <v>9.5</v>
      </c>
      <c r="P85" t="inlineStr"/>
      <c r="Q85" t="inlineStr">
        <is>
          <t>FY2018/19</t>
        </is>
      </c>
      <c r="R85" t="inlineStr">
        <is>
          <t>AUD</t>
        </is>
      </c>
      <c r="S85" t="n">
        <v>9.5</v>
      </c>
      <c r="T85" t="inlineStr">
        <is>
          <t>AUD</t>
        </is>
      </c>
      <c r="U85" t="n">
        <v>1.1875</v>
      </c>
      <c r="V85" t="inlineStr">
        <is>
          <t>AUD</t>
        </is>
      </c>
      <c r="W85" t="n">
        <v>104.63</v>
      </c>
      <c r="X85" t="b">
        <v>1</v>
      </c>
      <c r="Y85" s="3" t="inlineStr">
        <is>
          <t>2019-03-04 | PARCEL |  A200 | 8.0000 unit @ A$104.63 / unit | Total cost base = A$846.54 |</t>
        </is>
      </c>
      <c r="Z85" t="n">
        <v/>
      </c>
    </row>
    <row r="86">
      <c r="A86" s="5" t="inlineStr">
        <is>
          <t>01a1212c-6f93-756c-95b1-32b318150d69</t>
        </is>
      </c>
      <c r="B86" t="inlineStr">
        <is>
          <t>B085</t>
        </is>
      </c>
      <c r="C86" s="5" t="inlineStr">
        <is>
          <t>01a1212c-4b57-70cf-80fd-c2192cb3bf81</t>
        </is>
      </c>
      <c r="D86" s="4" t="n">
        <v>46304.62410542212</v>
      </c>
      <c r="E86" s="4" t="n">
        <v>46304.62410542221</v>
      </c>
      <c r="F86" t="b">
        <v>1</v>
      </c>
      <c r="G86" t="n">
        <v/>
      </c>
      <c r="H86" t="inlineStr">
        <is>
          <t>2019-03-04 | Buy | VGS | 15.0000 unit @ A$72.14 / unit</t>
        </is>
      </c>
      <c r="I86" t="inlineStr">
        <is>
          <t>VGS</t>
        </is>
      </c>
      <c r="J86" s="6" t="n">
        <v>43528</v>
      </c>
      <c r="K86" t="n">
        <v>15</v>
      </c>
      <c r="L86" t="inlineStr">
        <is>
          <t>AUD</t>
        </is>
      </c>
      <c r="M86" t="n">
        <v>72.14</v>
      </c>
      <c r="N86" t="inlineStr">
        <is>
          <t>AUD</t>
        </is>
      </c>
      <c r="O86" t="n">
        <v>9.5</v>
      </c>
      <c r="P86" t="inlineStr"/>
      <c r="Q86" t="inlineStr">
        <is>
          <t>FY2018/19</t>
        </is>
      </c>
      <c r="R86" t="inlineStr">
        <is>
          <t>AUD</t>
        </is>
      </c>
      <c r="S86" t="n">
        <v>9.5</v>
      </c>
      <c r="T86" t="inlineStr">
        <is>
          <t>AUD</t>
        </is>
      </c>
      <c r="U86" t="n">
        <v>0.633333</v>
      </c>
      <c r="V86" t="inlineStr">
        <is>
          <t>AUD</t>
        </is>
      </c>
      <c r="W86" t="n">
        <v>72.14</v>
      </c>
      <c r="X86" t="b">
        <v>1</v>
      </c>
      <c r="Y86" s="3" t="inlineStr">
        <is>
          <t>2019-03-04 | PARCEL |  VGS | 15.0000 unit @ A$72.14 / unit | Total cost base = A$1,091.60 |</t>
        </is>
      </c>
      <c r="Z86" t="n">
        <v/>
      </c>
    </row>
    <row r="87">
      <c r="A87" s="5" t="inlineStr">
        <is>
          <t>01a1212c-6fa9-74e9-9167-1ccb66b3496e</t>
        </is>
      </c>
      <c r="B87" t="inlineStr">
        <is>
          <t>B086</t>
        </is>
      </c>
      <c r="C87" s="5" t="inlineStr">
        <is>
          <t>01a1212c-4b57-70cf-80fd-c2192cb3bf81</t>
        </is>
      </c>
      <c r="D87" s="4" t="n">
        <v>46304.6241056966</v>
      </c>
      <c r="E87" s="4" t="n">
        <v>46304.62410569665</v>
      </c>
      <c r="F87" t="b">
        <v>1</v>
      </c>
      <c r="G87" t="n">
        <v/>
      </c>
      <c r="H87" t="inlineStr">
        <is>
          <t>2019-03-11 | Buy | AAPL | 2.0000 unit @ $178.90 / unit</t>
        </is>
      </c>
      <c r="I87" t="inlineStr">
        <is>
          <t>AAPL</t>
        </is>
      </c>
      <c r="J87" s="6" t="n">
        <v>43535</v>
      </c>
      <c r="K87" t="n">
        <v>2</v>
      </c>
      <c r="L87" t="inlineStr">
        <is>
          <t>USD</t>
        </is>
      </c>
      <c r="M87" t="n">
        <v>178.9</v>
      </c>
      <c r="N87" t="inlineStr">
        <is>
          <t>USD</t>
        </is>
      </c>
      <c r="O87" t="n">
        <v>5</v>
      </c>
      <c r="P87" t="inlineStr"/>
      <c r="Q87" t="inlineStr">
        <is>
          <t>FY2018/19</t>
        </is>
      </c>
      <c r="R87" t="inlineStr">
        <is>
          <t>AUD</t>
        </is>
      </c>
      <c r="S87" t="n">
        <v>7.5</v>
      </c>
      <c r="T87" t="inlineStr">
        <is>
          <t>AUD</t>
        </is>
      </c>
      <c r="U87" t="n">
        <v>3.75</v>
      </c>
      <c r="V87" t="inlineStr">
        <is>
          <t>AUD</t>
        </is>
      </c>
      <c r="W87" t="n">
        <v>268.35</v>
      </c>
      <c r="X87" t="b">
        <v>1</v>
      </c>
      <c r="Y87" s="3" t="inlineStr">
        <is>
          <t>2019-03-11 | PARCEL |  AAPL | 2.0000 unit @ A$268.35 / unit | Total cost base = A$544.20 |</t>
        </is>
      </c>
      <c r="Z87" s="5" t="inlineStr">
        <is>
          <t>01a1212c-6fab-7721-b2f3-45197c381659</t>
        </is>
      </c>
    </row>
    <row r="88">
      <c r="A88" s="5" t="inlineStr">
        <is>
          <t>01a1212c-6fc1-7124-9802-0fb4b7e19ea5</t>
        </is>
      </c>
      <c r="B88" t="inlineStr">
        <is>
          <t>B087</t>
        </is>
      </c>
      <c r="C88" s="5" t="inlineStr">
        <is>
          <t>01a1212c-4b57-70cf-80fd-c2192cb3bf81</t>
        </is>
      </c>
      <c r="D88" s="4" t="n">
        <v>46304.62410595106</v>
      </c>
      <c r="E88" s="4" t="n">
        <v>46304.62410595114</v>
      </c>
      <c r="F88" t="b">
        <v>1</v>
      </c>
      <c r="G88" t="n">
        <v/>
      </c>
      <c r="H88" t="inlineStr">
        <is>
          <t>2019-04-02 | Buy | A200 | 8.0000 unit @ A$104.52 / unit</t>
        </is>
      </c>
      <c r="I88" t="inlineStr">
        <is>
          <t>A200</t>
        </is>
      </c>
      <c r="J88" s="6" t="n">
        <v>43557</v>
      </c>
      <c r="K88" t="n">
        <v>8</v>
      </c>
      <c r="L88" t="inlineStr">
        <is>
          <t>AUD</t>
        </is>
      </c>
      <c r="M88" t="n">
        <v>104.52</v>
      </c>
      <c r="N88" t="inlineStr">
        <is>
          <t>AUD</t>
        </is>
      </c>
      <c r="O88" t="n">
        <v>9.5</v>
      </c>
      <c r="P88" t="inlineStr"/>
      <c r="Q88" t="inlineStr">
        <is>
          <t>FY2018/19</t>
        </is>
      </c>
      <c r="R88" t="inlineStr">
        <is>
          <t>AUD</t>
        </is>
      </c>
      <c r="S88" t="n">
        <v>9.5</v>
      </c>
      <c r="T88" t="inlineStr">
        <is>
          <t>AUD</t>
        </is>
      </c>
      <c r="U88" t="n">
        <v>1.1875</v>
      </c>
      <c r="V88" t="inlineStr">
        <is>
          <t>AUD</t>
        </is>
      </c>
      <c r="W88" t="n">
        <v>104.52</v>
      </c>
      <c r="X88" t="b">
        <v>1</v>
      </c>
      <c r="Y88" s="3" t="inlineStr">
        <is>
          <t>2019-04-02 | PARCEL |  A200 | 8.0000 unit @ A$104.52 / unit | Total cost base = A$845.66 |</t>
        </is>
      </c>
      <c r="Z88" t="n">
        <v/>
      </c>
    </row>
    <row r="89">
      <c r="A89" s="5" t="inlineStr">
        <is>
          <t>01a1212c-6fd5-7352-a690-dca3e848be74</t>
        </is>
      </c>
      <c r="B89" t="inlineStr">
        <is>
          <t>B088</t>
        </is>
      </c>
      <c r="C89" s="5" t="inlineStr">
        <is>
          <t>01a1212c-4b57-70cf-80fd-c2192cb3bf81</t>
        </is>
      </c>
      <c r="D89" s="4" t="n">
        <v>46304.6241061912</v>
      </c>
      <c r="E89" s="4" t="n">
        <v>46304.62410619127</v>
      </c>
      <c r="F89" t="b">
        <v>1</v>
      </c>
      <c r="G89" t="n">
        <v/>
      </c>
      <c r="H89" t="inlineStr">
        <is>
          <t>2019-04-02 | Buy | VGS | 14.0000 unit @ A$72.72 / unit</t>
        </is>
      </c>
      <c r="I89" t="inlineStr">
        <is>
          <t>VGS</t>
        </is>
      </c>
      <c r="J89" s="6" t="n">
        <v>43557</v>
      </c>
      <c r="K89" t="n">
        <v>14</v>
      </c>
      <c r="L89" t="inlineStr">
        <is>
          <t>AUD</t>
        </is>
      </c>
      <c r="M89" t="n">
        <v>72.72</v>
      </c>
      <c r="N89" t="inlineStr">
        <is>
          <t>AUD</t>
        </is>
      </c>
      <c r="O89" t="n">
        <v>9.5</v>
      </c>
      <c r="P89" t="inlineStr"/>
      <c r="Q89" t="inlineStr">
        <is>
          <t>FY2018/19</t>
        </is>
      </c>
      <c r="R89" t="inlineStr">
        <is>
          <t>AUD</t>
        </is>
      </c>
      <c r="S89" t="n">
        <v>9.5</v>
      </c>
      <c r="T89" t="inlineStr">
        <is>
          <t>AUD</t>
        </is>
      </c>
      <c r="U89" t="n">
        <v>0.678571</v>
      </c>
      <c r="V89" t="inlineStr">
        <is>
          <t>AUD</t>
        </is>
      </c>
      <c r="W89" t="n">
        <v>72.72</v>
      </c>
      <c r="X89" t="b">
        <v>1</v>
      </c>
      <c r="Y89" s="3" t="inlineStr">
        <is>
          <t>2019-04-02 | PARCEL |  VGS | 14.0000 unit @ A$72.72 / unit | Total cost base = A$1,027.58 |</t>
        </is>
      </c>
      <c r="Z89" t="n">
        <v/>
      </c>
    </row>
    <row r="90">
      <c r="A90" s="5" t="inlineStr">
        <is>
          <t>01a1212c-6fea-70d1-b3a0-b83782053dba</t>
        </is>
      </c>
      <c r="B90" t="inlineStr">
        <is>
          <t>B089</t>
        </is>
      </c>
      <c r="C90" s="5" t="inlineStr">
        <is>
          <t>01a1212c-4b57-70cf-80fd-c2192cb3bf81</t>
        </is>
      </c>
      <c r="D90" s="4" t="n">
        <v>46304.62410643082</v>
      </c>
      <c r="E90" s="4" t="n">
        <v>46304.62410643088</v>
      </c>
      <c r="F90" t="b">
        <v>1</v>
      </c>
      <c r="G90" t="n">
        <v/>
      </c>
      <c r="H90" t="inlineStr">
        <is>
          <t>2019-05-06 | Buy | A200 | 14.0000 unit @ A$105.05 / unit</t>
        </is>
      </c>
      <c r="I90" t="inlineStr">
        <is>
          <t>A200</t>
        </is>
      </c>
      <c r="J90" s="6" t="n">
        <v>43591</v>
      </c>
      <c r="K90" t="n">
        <v>14</v>
      </c>
      <c r="L90" t="inlineStr">
        <is>
          <t>AUD</t>
        </is>
      </c>
      <c r="M90" t="n">
        <v>105.05</v>
      </c>
      <c r="N90" t="inlineStr">
        <is>
          <t>AUD</t>
        </is>
      </c>
      <c r="O90" t="n">
        <v>9.5</v>
      </c>
      <c r="P90" t="inlineStr"/>
      <c r="Q90" t="inlineStr">
        <is>
          <t>FY2018/19</t>
        </is>
      </c>
      <c r="R90" t="inlineStr">
        <is>
          <t>AUD</t>
        </is>
      </c>
      <c r="S90" t="n">
        <v>9.5</v>
      </c>
      <c r="T90" t="inlineStr">
        <is>
          <t>AUD</t>
        </is>
      </c>
      <c r="U90" t="n">
        <v>0.678571</v>
      </c>
      <c r="V90" t="inlineStr">
        <is>
          <t>AUD</t>
        </is>
      </c>
      <c r="W90" t="n">
        <v>105.05</v>
      </c>
      <c r="X90" t="b">
        <v>1</v>
      </c>
      <c r="Y90" s="3" t="inlineStr">
        <is>
          <t>2019-05-06 | PARCEL |  A200 | 14.0000 unit @ A$105.05 / unit | Total cost base = A$1,480.20 |</t>
        </is>
      </c>
      <c r="Z90" t="n">
        <v/>
      </c>
    </row>
    <row r="91">
      <c r="A91" s="5" t="inlineStr">
        <is>
          <t>01a1212c-6fff-7666-b7df-a4a3468e6852</t>
        </is>
      </c>
      <c r="B91" t="inlineStr">
        <is>
          <t>B090</t>
        </is>
      </c>
      <c r="C91" s="5" t="inlineStr">
        <is>
          <t>01a1212c-4b57-70cf-80fd-c2192cb3bf81</t>
        </is>
      </c>
      <c r="D91" s="4" t="n">
        <v>46304.62410666855</v>
      </c>
      <c r="E91" s="4" t="n">
        <v>46304.62410666862</v>
      </c>
      <c r="F91" t="b">
        <v>1</v>
      </c>
      <c r="G91" t="n">
        <v/>
      </c>
      <c r="H91" t="inlineStr">
        <is>
          <t>2019-05-06 | Buy | VGS | 25.0000 unit @ A$74.49 / unit</t>
        </is>
      </c>
      <c r="I91" t="inlineStr">
        <is>
          <t>VGS</t>
        </is>
      </c>
      <c r="J91" s="6" t="n">
        <v>43591</v>
      </c>
      <c r="K91" t="n">
        <v>25</v>
      </c>
      <c r="L91" t="inlineStr">
        <is>
          <t>AUD</t>
        </is>
      </c>
      <c r="M91" t="n">
        <v>74.48999999999999</v>
      </c>
      <c r="N91" t="inlineStr">
        <is>
          <t>AUD</t>
        </is>
      </c>
      <c r="O91" t="n">
        <v>9.5</v>
      </c>
      <c r="P91" t="inlineStr"/>
      <c r="Q91" t="inlineStr">
        <is>
          <t>FY2018/19</t>
        </is>
      </c>
      <c r="R91" t="inlineStr">
        <is>
          <t>AUD</t>
        </is>
      </c>
      <c r="S91" t="n">
        <v>9.5</v>
      </c>
      <c r="T91" t="inlineStr">
        <is>
          <t>AUD</t>
        </is>
      </c>
      <c r="U91" t="n">
        <v>0.38</v>
      </c>
      <c r="V91" t="inlineStr">
        <is>
          <t>AUD</t>
        </is>
      </c>
      <c r="W91" t="n">
        <v>74.48999999999999</v>
      </c>
      <c r="X91" t="b">
        <v>1</v>
      </c>
      <c r="Y91" s="3" t="inlineStr">
        <is>
          <t>2019-05-06 | PARCEL |  VGS | 25.0000 unit @ A$74.49 / unit | Total cost base = A$1,871.75 |</t>
        </is>
      </c>
      <c r="Z91" t="n">
        <v/>
      </c>
    </row>
    <row r="92">
      <c r="A92" s="5" t="inlineStr">
        <is>
          <t>01a1212c-7013-702a-bd5f-d5b235a1951a</t>
        </is>
      </c>
      <c r="B92" t="inlineStr">
        <is>
          <t>B091</t>
        </is>
      </c>
      <c r="C92" s="5" t="inlineStr">
        <is>
          <t>01a1212c-4b57-70cf-80fd-c2192cb3bf81</t>
        </is>
      </c>
      <c r="D92" s="4" t="n">
        <v>46304.62410690731</v>
      </c>
      <c r="E92" s="4" t="n">
        <v>46304.62410690739</v>
      </c>
      <c r="F92" t="b">
        <v>1</v>
      </c>
      <c r="G92" t="n">
        <v/>
      </c>
      <c r="H92" t="inlineStr">
        <is>
          <t>2019-05-20 | Buy | WES | 23.0000 unit @ A$36.71 / unit</t>
        </is>
      </c>
      <c r="I92" t="inlineStr">
        <is>
          <t>WES</t>
        </is>
      </c>
      <c r="J92" s="6" t="n">
        <v>43605</v>
      </c>
      <c r="K92" t="n">
        <v>23</v>
      </c>
      <c r="L92" t="inlineStr">
        <is>
          <t>AUD</t>
        </is>
      </c>
      <c r="M92" t="n">
        <v>36.71</v>
      </c>
      <c r="N92" t="inlineStr">
        <is>
          <t>AUD</t>
        </is>
      </c>
      <c r="O92" t="n">
        <v>19.95</v>
      </c>
      <c r="P92" t="inlineStr"/>
      <c r="Q92" t="inlineStr">
        <is>
          <t>FY2018/19</t>
        </is>
      </c>
      <c r="R92" t="inlineStr">
        <is>
          <t>AUD</t>
        </is>
      </c>
      <c r="S92" t="n">
        <v>19.95</v>
      </c>
      <c r="T92" t="inlineStr">
        <is>
          <t>AUD</t>
        </is>
      </c>
      <c r="U92" t="n">
        <v>0.867391</v>
      </c>
      <c r="V92" t="inlineStr">
        <is>
          <t>AUD</t>
        </is>
      </c>
      <c r="W92" t="n">
        <v>36.71</v>
      </c>
      <c r="X92" t="b">
        <v>1</v>
      </c>
      <c r="Y92" s="3" t="inlineStr">
        <is>
          <t>2019-05-20 | PARCEL |  WES | 23.0000 unit @ A$36.71 / unit | Total cost base = A$864.28 |</t>
        </is>
      </c>
      <c r="Z92" t="n">
        <v/>
      </c>
    </row>
    <row r="93">
      <c r="A93" s="5" t="inlineStr">
        <is>
          <t>01a1212c-7027-72ee-8c15-1eb67e5face5</t>
        </is>
      </c>
      <c r="B93" t="inlineStr">
        <is>
          <t>B092</t>
        </is>
      </c>
      <c r="C93" s="5" t="inlineStr">
        <is>
          <t>01a1212c-4b57-70cf-80fd-c2192cb3bf81</t>
        </is>
      </c>
      <c r="D93" s="4" t="n">
        <v>46304.62410713513</v>
      </c>
      <c r="E93" s="4" t="n">
        <v>46304.6241071352</v>
      </c>
      <c r="F93" t="b">
        <v>1</v>
      </c>
      <c r="G93" t="n">
        <v/>
      </c>
      <c r="H93" t="inlineStr">
        <is>
          <t>2019-06-04 | Buy | A200 | 14.0000 unit @ A$106.68 / unit</t>
        </is>
      </c>
      <c r="I93" t="inlineStr">
        <is>
          <t>A200</t>
        </is>
      </c>
      <c r="J93" s="6" t="n">
        <v>43620</v>
      </c>
      <c r="K93" t="n">
        <v>14</v>
      </c>
      <c r="L93" t="inlineStr">
        <is>
          <t>AUD</t>
        </is>
      </c>
      <c r="M93" t="n">
        <v>106.68</v>
      </c>
      <c r="N93" t="inlineStr">
        <is>
          <t>AUD</t>
        </is>
      </c>
      <c r="O93" t="n">
        <v>9.5</v>
      </c>
      <c r="P93" t="inlineStr"/>
      <c r="Q93" t="inlineStr">
        <is>
          <t>FY2018/19</t>
        </is>
      </c>
      <c r="R93" t="inlineStr">
        <is>
          <t>AUD</t>
        </is>
      </c>
      <c r="S93" t="n">
        <v>9.5</v>
      </c>
      <c r="T93" t="inlineStr">
        <is>
          <t>AUD</t>
        </is>
      </c>
      <c r="U93" t="n">
        <v>0.678571</v>
      </c>
      <c r="V93" t="inlineStr">
        <is>
          <t>AUD</t>
        </is>
      </c>
      <c r="W93" t="n">
        <v>106.68</v>
      </c>
      <c r="X93" t="b">
        <v>1</v>
      </c>
      <c r="Y93" s="3" t="inlineStr">
        <is>
          <t>2019-06-04 | PARCEL |  A200 | 14.0000 unit @ A$106.68 / unit | Total cost base = A$1,503.02 |</t>
        </is>
      </c>
      <c r="Z93" t="n">
        <v/>
      </c>
    </row>
    <row r="94">
      <c r="A94" s="5" t="inlineStr">
        <is>
          <t>01a1212c-703c-7165-b226-dab65be84f19</t>
        </is>
      </c>
      <c r="B94" t="inlineStr">
        <is>
          <t>B093</t>
        </is>
      </c>
      <c r="C94" s="5" t="inlineStr">
        <is>
          <t>01a1212c-4b57-70cf-80fd-c2192cb3bf81</t>
        </is>
      </c>
      <c r="D94" s="4" t="n">
        <v>46304.62410738342</v>
      </c>
      <c r="E94" s="4" t="n">
        <v>46304.6241073835</v>
      </c>
      <c r="F94" t="b">
        <v>1</v>
      </c>
      <c r="G94" t="n">
        <v/>
      </c>
      <c r="H94" t="inlineStr">
        <is>
          <t>2019-06-04 | Buy | VGS | 26.0000 unit @ A$71.45 / unit</t>
        </is>
      </c>
      <c r="I94" t="inlineStr">
        <is>
          <t>VGS</t>
        </is>
      </c>
      <c r="J94" s="6" t="n">
        <v>43620</v>
      </c>
      <c r="K94" t="n">
        <v>26</v>
      </c>
      <c r="L94" t="inlineStr">
        <is>
          <t>AUD</t>
        </is>
      </c>
      <c r="M94" t="n">
        <v>71.45</v>
      </c>
      <c r="N94" t="inlineStr">
        <is>
          <t>AUD</t>
        </is>
      </c>
      <c r="O94" t="n">
        <v>9.5</v>
      </c>
      <c r="P94" t="inlineStr"/>
      <c r="Q94" t="inlineStr">
        <is>
          <t>FY2018/19</t>
        </is>
      </c>
      <c r="R94" t="inlineStr">
        <is>
          <t>AUD</t>
        </is>
      </c>
      <c r="S94" t="n">
        <v>9.5</v>
      </c>
      <c r="T94" t="inlineStr">
        <is>
          <t>AUD</t>
        </is>
      </c>
      <c r="U94" t="n">
        <v>0.365385</v>
      </c>
      <c r="V94" t="inlineStr">
        <is>
          <t>AUD</t>
        </is>
      </c>
      <c r="W94" t="n">
        <v>71.45</v>
      </c>
      <c r="X94" t="b">
        <v>1</v>
      </c>
      <c r="Y94" s="3" t="inlineStr">
        <is>
          <t>2019-06-04 | PARCEL |  VGS | 26.0000 unit @ A$71.45 / unit | Total cost base = A$1,867.20 |</t>
        </is>
      </c>
      <c r="Z94" t="n">
        <v/>
      </c>
    </row>
    <row r="95">
      <c r="A95" s="5" t="inlineStr">
        <is>
          <t>01a1212c-7051-7001-9afd-a6e55d99c2a1</t>
        </is>
      </c>
      <c r="B95" t="inlineStr">
        <is>
          <t>B094</t>
        </is>
      </c>
      <c r="C95" s="5" t="inlineStr">
        <is>
          <t>01a1212c-4b57-70cf-80fd-c2192cb3bf81</t>
        </is>
      </c>
      <c r="D95" s="4" t="n">
        <v>46304.62410762715</v>
      </c>
      <c r="E95" s="4" t="n">
        <v>46304.62410762722</v>
      </c>
      <c r="F95" t="b">
        <v>1</v>
      </c>
      <c r="G95" t="n">
        <v/>
      </c>
      <c r="H95" t="inlineStr">
        <is>
          <t>2019-06-17 | Buy | CBA | 14.0000 unit @ A$80.19 / unit</t>
        </is>
      </c>
      <c r="I95" t="inlineStr">
        <is>
          <t>CBA</t>
        </is>
      </c>
      <c r="J95" s="6" t="n">
        <v>43633</v>
      </c>
      <c r="K95" t="n">
        <v>14</v>
      </c>
      <c r="L95" t="inlineStr">
        <is>
          <t>AUD</t>
        </is>
      </c>
      <c r="M95" t="n">
        <v>80.19</v>
      </c>
      <c r="N95" t="inlineStr">
        <is>
          <t>AUD</t>
        </is>
      </c>
      <c r="O95" t="n">
        <v>19.95</v>
      </c>
      <c r="P95" t="inlineStr"/>
      <c r="Q95" t="inlineStr">
        <is>
          <t>FY2018/19</t>
        </is>
      </c>
      <c r="R95" t="inlineStr">
        <is>
          <t>AUD</t>
        </is>
      </c>
      <c r="S95" t="n">
        <v>19.95</v>
      </c>
      <c r="T95" t="inlineStr">
        <is>
          <t>AUD</t>
        </is>
      </c>
      <c r="U95" t="n">
        <v>1.425</v>
      </c>
      <c r="V95" t="inlineStr">
        <is>
          <t>AUD</t>
        </is>
      </c>
      <c r="W95" t="n">
        <v>80.19</v>
      </c>
      <c r="X95" t="b">
        <v>1</v>
      </c>
      <c r="Y95" s="3" t="inlineStr">
        <is>
          <t>2019-06-17 | PARCEL |  CBA | 14.0000 unit @ A$80.19 / unit | Total cost base = A$1,142.61 |</t>
        </is>
      </c>
      <c r="Z95" t="n">
        <v/>
      </c>
    </row>
    <row r="96">
      <c r="A96" s="5" t="inlineStr">
        <is>
          <t>01a1212c-7065-7436-9e42-9091eaa047d9</t>
        </is>
      </c>
      <c r="B96" t="inlineStr">
        <is>
          <t>B095</t>
        </is>
      </c>
      <c r="C96" s="5" t="inlineStr">
        <is>
          <t>01a1212c-4b57-70cf-80fd-c2192cb3bf81</t>
        </is>
      </c>
      <c r="D96" s="4" t="n">
        <v>46304.62410785395</v>
      </c>
      <c r="E96" s="4" t="n">
        <v>46304.62410785402</v>
      </c>
      <c r="F96" t="b">
        <v>1</v>
      </c>
      <c r="G96" t="n">
        <v/>
      </c>
      <c r="H96" t="inlineStr">
        <is>
          <t>2019-07-05 | Buy | A200 | 10.0000 unit @ A$112.85 / unit</t>
        </is>
      </c>
      <c r="I96" t="inlineStr">
        <is>
          <t>A200</t>
        </is>
      </c>
      <c r="J96" s="6" t="n">
        <v>43651</v>
      </c>
      <c r="K96" t="n">
        <v>10</v>
      </c>
      <c r="L96" t="inlineStr">
        <is>
          <t>AUD</t>
        </is>
      </c>
      <c r="M96" t="n">
        <v>112.85</v>
      </c>
      <c r="N96" t="inlineStr">
        <is>
          <t>AUD</t>
        </is>
      </c>
      <c r="O96" t="n">
        <v>9.5</v>
      </c>
      <c r="P96" t="inlineStr"/>
      <c r="Q96" t="inlineStr">
        <is>
          <t>FY2019/20</t>
        </is>
      </c>
      <c r="R96" t="inlineStr">
        <is>
          <t>AUD</t>
        </is>
      </c>
      <c r="S96" t="n">
        <v>9.5</v>
      </c>
      <c r="T96" t="inlineStr">
        <is>
          <t>AUD</t>
        </is>
      </c>
      <c r="U96" t="n">
        <v>0.95</v>
      </c>
      <c r="V96" t="inlineStr">
        <is>
          <t>AUD</t>
        </is>
      </c>
      <c r="W96" t="n">
        <v>112.85</v>
      </c>
      <c r="X96" t="b">
        <v>1</v>
      </c>
      <c r="Y96" s="3" t="inlineStr">
        <is>
          <t>2019-07-05 | PARCEL |  A200 | 10.0000 unit @ A$112.85 / unit | Total cost base = A$1,138.00 |</t>
        </is>
      </c>
      <c r="Z96" t="n">
        <v/>
      </c>
    </row>
    <row r="97">
      <c r="A97" s="5" t="inlineStr">
        <is>
          <t>01a1212c-707a-7515-926e-4b2f01bff306</t>
        </is>
      </c>
      <c r="B97" t="inlineStr">
        <is>
          <t>B096</t>
        </is>
      </c>
      <c r="C97" s="5" t="inlineStr">
        <is>
          <t>01a1212c-4b57-70cf-80fd-c2192cb3bf81</t>
        </is>
      </c>
      <c r="D97" s="4" t="n">
        <v>46304.62410811148</v>
      </c>
      <c r="E97" s="4" t="n">
        <v>46304.62410811154</v>
      </c>
      <c r="F97" t="b">
        <v>1</v>
      </c>
      <c r="G97" t="n">
        <v/>
      </c>
      <c r="H97" t="inlineStr">
        <is>
          <t>2019-07-05 | Buy | MSFT | 6.0000 unit @ $137.06 / unit</t>
        </is>
      </c>
      <c r="I97" t="inlineStr">
        <is>
          <t>MSFT</t>
        </is>
      </c>
      <c r="J97" s="6" t="n">
        <v>43651</v>
      </c>
      <c r="K97" t="n">
        <v>6</v>
      </c>
      <c r="L97" t="inlineStr">
        <is>
          <t>USD</t>
        </is>
      </c>
      <c r="M97" t="n">
        <v>137.06</v>
      </c>
      <c r="N97" t="inlineStr">
        <is>
          <t>USD</t>
        </is>
      </c>
      <c r="O97" t="n">
        <v>5</v>
      </c>
      <c r="P97" t="inlineStr"/>
      <c r="Q97" t="inlineStr">
        <is>
          <t>FY2019/20</t>
        </is>
      </c>
      <c r="R97" t="inlineStr">
        <is>
          <t>AUD</t>
        </is>
      </c>
      <c r="S97" t="n">
        <v>7.5</v>
      </c>
      <c r="T97" t="inlineStr">
        <is>
          <t>AUD</t>
        </is>
      </c>
      <c r="U97" t="n">
        <v>1.25</v>
      </c>
      <c r="V97" t="inlineStr">
        <is>
          <t>AUD</t>
        </is>
      </c>
      <c r="W97" t="n">
        <v>205.59</v>
      </c>
      <c r="X97" t="b">
        <v>1</v>
      </c>
      <c r="Y97" s="3" t="inlineStr">
        <is>
          <t>2019-07-05 | PARCEL |  MSFT | 6.0000 unit @ A$205.59 / unit | Total cost base = A$1,241.04 |</t>
        </is>
      </c>
      <c r="Z97" s="5" t="inlineStr">
        <is>
          <t>01a1212c-707b-7730-883a-68990cdab9ad</t>
        </is>
      </c>
    </row>
    <row r="98">
      <c r="A98" s="5" t="inlineStr">
        <is>
          <t>01a1212c-7091-77a8-9f6f-4c7b7f2bb7ce</t>
        </is>
      </c>
      <c r="B98" t="inlineStr">
        <is>
          <t>B097</t>
        </is>
      </c>
      <c r="C98" s="5" t="inlineStr">
        <is>
          <t>01a1212c-4b57-70cf-80fd-c2192cb3bf81</t>
        </is>
      </c>
      <c r="D98" s="4" t="n">
        <v>46304.62410836744</v>
      </c>
      <c r="E98" s="4" t="n">
        <v>46304.62410836751</v>
      </c>
      <c r="F98" t="b">
        <v>1</v>
      </c>
      <c r="G98" t="n">
        <v/>
      </c>
      <c r="H98" t="inlineStr">
        <is>
          <t>2019-07-05 | Buy | VGS | 18.0000 unit @ A$76.13 / unit</t>
        </is>
      </c>
      <c r="I98" t="inlineStr">
        <is>
          <t>VGS</t>
        </is>
      </c>
      <c r="J98" s="6" t="n">
        <v>43651</v>
      </c>
      <c r="K98" t="n">
        <v>18</v>
      </c>
      <c r="L98" t="inlineStr">
        <is>
          <t>AUD</t>
        </is>
      </c>
      <c r="M98" t="n">
        <v>76.13</v>
      </c>
      <c r="N98" t="inlineStr">
        <is>
          <t>AUD</t>
        </is>
      </c>
      <c r="O98" t="n">
        <v>9.5</v>
      </c>
      <c r="P98" t="inlineStr"/>
      <c r="Q98" t="inlineStr">
        <is>
          <t>FY2019/20</t>
        </is>
      </c>
      <c r="R98" t="inlineStr">
        <is>
          <t>AUD</t>
        </is>
      </c>
      <c r="S98" t="n">
        <v>9.5</v>
      </c>
      <c r="T98" t="inlineStr">
        <is>
          <t>AUD</t>
        </is>
      </c>
      <c r="U98" t="n">
        <v>0.527778</v>
      </c>
      <c r="V98" t="inlineStr">
        <is>
          <t>AUD</t>
        </is>
      </c>
      <c r="W98" t="n">
        <v>76.13</v>
      </c>
      <c r="X98" t="b">
        <v>1</v>
      </c>
      <c r="Y98" s="3" t="inlineStr">
        <is>
          <t>2019-07-05 | PARCEL |  VGS | 18.0000 unit @ A$76.13 / unit | Total cost base = A$1,379.84 |</t>
        </is>
      </c>
      <c r="Z98" t="n">
        <v/>
      </c>
    </row>
    <row r="99">
      <c r="A99" s="5" t="inlineStr">
        <is>
          <t>01a1212c-70a6-743b-83db-89232ecb1b6e</t>
        </is>
      </c>
      <c r="B99" t="inlineStr">
        <is>
          <t>B098</t>
        </is>
      </c>
      <c r="C99" s="5" t="inlineStr">
        <is>
          <t>01a1212c-4b57-70cf-80fd-c2192cb3bf81</t>
        </is>
      </c>
      <c r="D99" s="4" t="n">
        <v>46304.62410862317</v>
      </c>
      <c r="E99" s="4" t="n">
        <v>46304.62410862323</v>
      </c>
      <c r="F99" t="b">
        <v>1</v>
      </c>
      <c r="G99" t="n">
        <v/>
      </c>
      <c r="H99" t="inlineStr">
        <is>
          <t>2019-07-12 | Buy | AMZN | 1.0000 unit @ $2,011.00 / unit</t>
        </is>
      </c>
      <c r="I99" t="inlineStr">
        <is>
          <t>AMZN</t>
        </is>
      </c>
      <c r="J99" s="6" t="n">
        <v>43658</v>
      </c>
      <c r="K99" t="n">
        <v>1</v>
      </c>
      <c r="L99" t="inlineStr">
        <is>
          <t>USD</t>
        </is>
      </c>
      <c r="M99" t="n">
        <v>2011.0001</v>
      </c>
      <c r="N99" t="inlineStr">
        <is>
          <t>USD</t>
        </is>
      </c>
      <c r="O99" t="n">
        <v>5</v>
      </c>
      <c r="P99" t="inlineStr"/>
      <c r="Q99" t="inlineStr">
        <is>
          <t>FY2019/20</t>
        </is>
      </c>
      <c r="R99" t="inlineStr">
        <is>
          <t>AUD</t>
        </is>
      </c>
      <c r="S99" t="n">
        <v>7.5</v>
      </c>
      <c r="T99" t="inlineStr">
        <is>
          <t>AUD</t>
        </is>
      </c>
      <c r="U99" t="n">
        <v>7.5</v>
      </c>
      <c r="V99" t="inlineStr">
        <is>
          <t>AUD</t>
        </is>
      </c>
      <c r="W99" t="n">
        <v>3016.50015</v>
      </c>
      <c r="X99" t="b">
        <v>1</v>
      </c>
      <c r="Y99" s="3" t="inlineStr">
        <is>
          <t>2019-07-12 | PARCEL |  AMZN | 1.0000 unit @ A$3,016.50 / unit | Total cost base = A$3,024.00 |</t>
        </is>
      </c>
      <c r="Z99" s="5" t="inlineStr">
        <is>
          <t>01a1212c-70a8-7533-af2e-06c72c4a7852</t>
        </is>
      </c>
    </row>
    <row r="100">
      <c r="A100" s="5" t="inlineStr">
        <is>
          <t>01a1212c-70bd-70db-bad8-0873db5612b4</t>
        </is>
      </c>
      <c r="B100" t="inlineStr">
        <is>
          <t>B099</t>
        </is>
      </c>
      <c r="C100" s="5" t="inlineStr">
        <is>
          <t>01a1212c-4b57-70cf-80fd-c2192cb3bf81</t>
        </is>
      </c>
      <c r="D100" s="4" t="n">
        <v>46304.62410889041</v>
      </c>
      <c r="E100" s="4" t="n">
        <v>46304.62410889047</v>
      </c>
      <c r="F100" t="b">
        <v>1</v>
      </c>
      <c r="G100" t="n">
        <v/>
      </c>
      <c r="H100" t="inlineStr">
        <is>
          <t>2019-07-15 | Buy | AMZN | 1.0000 unit @ $2,020.99 / unit</t>
        </is>
      </c>
      <c r="I100" t="inlineStr">
        <is>
          <t>AMZN</t>
        </is>
      </c>
      <c r="J100" s="6" t="n">
        <v>43661</v>
      </c>
      <c r="K100" t="n">
        <v>1</v>
      </c>
      <c r="L100" t="inlineStr">
        <is>
          <t>USD</t>
        </is>
      </c>
      <c r="M100" t="n">
        <v>2020.99</v>
      </c>
      <c r="N100" t="inlineStr">
        <is>
          <t>USD</t>
        </is>
      </c>
      <c r="O100" t="n">
        <v>5</v>
      </c>
      <c r="P100" t="inlineStr"/>
      <c r="Q100" t="inlineStr">
        <is>
          <t>FY2019/20</t>
        </is>
      </c>
      <c r="R100" t="inlineStr">
        <is>
          <t>AUD</t>
        </is>
      </c>
      <c r="S100" t="n">
        <v>7.5</v>
      </c>
      <c r="T100" t="inlineStr">
        <is>
          <t>AUD</t>
        </is>
      </c>
      <c r="U100" t="n">
        <v>7.5</v>
      </c>
      <c r="V100" t="inlineStr">
        <is>
          <t>AUD</t>
        </is>
      </c>
      <c r="W100" t="n">
        <v>3031.485</v>
      </c>
      <c r="X100" t="b">
        <v>1</v>
      </c>
      <c r="Y100" s="3" t="inlineStr">
        <is>
          <t>2019-07-15 | PARCEL |  AMZN | 1.0000 unit @ A$3,031.48 / unit | Total cost base = A$3,038.98 |</t>
        </is>
      </c>
      <c r="Z100" s="5" t="inlineStr">
        <is>
          <t>01a1212c-70bf-766e-816a-eb3165a0aac3</t>
        </is>
      </c>
    </row>
    <row r="101">
      <c r="A101" s="5" t="inlineStr">
        <is>
          <t>01a1212c-70d5-73c0-9356-5cd1c368c814</t>
        </is>
      </c>
      <c r="B101" t="inlineStr">
        <is>
          <t>B100</t>
        </is>
      </c>
      <c r="C101" s="5" t="inlineStr">
        <is>
          <t>01a1212c-4b57-70cf-80fd-c2192cb3bf81</t>
        </is>
      </c>
      <c r="D101" s="4" t="n">
        <v>46304.62410914917</v>
      </c>
      <c r="E101" s="4" t="n">
        <v>46304.62410914925</v>
      </c>
      <c r="F101" t="b">
        <v>1</v>
      </c>
      <c r="G101" t="n">
        <v/>
      </c>
      <c r="H101" t="inlineStr">
        <is>
          <t>2019-08-05 | Buy | A200 | 13.0000 unit @ A$113.04 / unit</t>
        </is>
      </c>
      <c r="I101" t="inlineStr">
        <is>
          <t>A200</t>
        </is>
      </c>
      <c r="J101" s="6" t="n">
        <v>43682</v>
      </c>
      <c r="K101" t="n">
        <v>13</v>
      </c>
      <c r="L101" t="inlineStr">
        <is>
          <t>AUD</t>
        </is>
      </c>
      <c r="M101" t="n">
        <v>113.04</v>
      </c>
      <c r="N101" t="inlineStr">
        <is>
          <t>AUD</t>
        </is>
      </c>
      <c r="O101" t="n">
        <v>9.5</v>
      </c>
      <c r="P101" t="inlineStr"/>
      <c r="Q101" t="inlineStr">
        <is>
          <t>FY2019/20</t>
        </is>
      </c>
      <c r="R101" t="inlineStr">
        <is>
          <t>AUD</t>
        </is>
      </c>
      <c r="S101" t="n">
        <v>9.5</v>
      </c>
      <c r="T101" t="inlineStr">
        <is>
          <t>AUD</t>
        </is>
      </c>
      <c r="U101" t="n">
        <v>0.730769</v>
      </c>
      <c r="V101" t="inlineStr">
        <is>
          <t>AUD</t>
        </is>
      </c>
      <c r="W101" t="n">
        <v>113.04</v>
      </c>
      <c r="X101" t="b">
        <v>1</v>
      </c>
      <c r="Y101" s="3" t="inlineStr">
        <is>
          <t>2019-08-05 | PARCEL |  A200 | 13.0000 unit @ A$113.04 / unit | Total cost base = A$1,479.02 |</t>
        </is>
      </c>
      <c r="Z101" t="n">
        <v/>
      </c>
    </row>
    <row r="102">
      <c r="A102" s="5" t="inlineStr">
        <is>
          <t>01a1212c-70ea-72c2-8e37-63b31a1865bd</t>
        </is>
      </c>
      <c r="B102" t="inlineStr">
        <is>
          <t>B101</t>
        </is>
      </c>
      <c r="C102" s="5" t="inlineStr">
        <is>
          <t>01a1212c-4b57-70cf-80fd-c2192cb3bf81</t>
        </is>
      </c>
      <c r="D102" s="4" t="n">
        <v>46304.62410940029</v>
      </c>
      <c r="E102" s="4" t="n">
        <v>46304.62410940036</v>
      </c>
      <c r="F102" t="b">
        <v>1</v>
      </c>
      <c r="G102" t="n">
        <v/>
      </c>
      <c r="H102" t="inlineStr">
        <is>
          <t>2019-08-05 | Buy | VGS | 24.0000 unit @ A$75.60 / unit</t>
        </is>
      </c>
      <c r="I102" t="inlineStr">
        <is>
          <t>VGS</t>
        </is>
      </c>
      <c r="J102" s="6" t="n">
        <v>43682</v>
      </c>
      <c r="K102" t="n">
        <v>24</v>
      </c>
      <c r="L102" t="inlineStr">
        <is>
          <t>AUD</t>
        </is>
      </c>
      <c r="M102" t="n">
        <v>75.59999999999999</v>
      </c>
      <c r="N102" t="inlineStr">
        <is>
          <t>AUD</t>
        </is>
      </c>
      <c r="O102" t="n">
        <v>9.5</v>
      </c>
      <c r="P102" t="inlineStr"/>
      <c r="Q102" t="inlineStr">
        <is>
          <t>FY2019/20</t>
        </is>
      </c>
      <c r="R102" t="inlineStr">
        <is>
          <t>AUD</t>
        </is>
      </c>
      <c r="S102" t="n">
        <v>9.5</v>
      </c>
      <c r="T102" t="inlineStr">
        <is>
          <t>AUD</t>
        </is>
      </c>
      <c r="U102" t="n">
        <v>0.395833</v>
      </c>
      <c r="V102" t="inlineStr">
        <is>
          <t>AUD</t>
        </is>
      </c>
      <c r="W102" t="n">
        <v>75.59999999999999</v>
      </c>
      <c r="X102" t="b">
        <v>1</v>
      </c>
      <c r="Y102" s="3" t="inlineStr">
        <is>
          <t>2019-08-05 | PARCEL |  VGS | 24.0000 unit @ A$75.60 / unit | Total cost base = A$1,823.90 |</t>
        </is>
      </c>
      <c r="Z102" t="n">
        <v/>
      </c>
    </row>
    <row r="103">
      <c r="A103" s="5" t="inlineStr">
        <is>
          <t>01a1212c-7101-7484-b285-4860ff913dfe</t>
        </is>
      </c>
      <c r="B103" t="inlineStr">
        <is>
          <t>B102</t>
        </is>
      </c>
      <c r="C103" s="5" t="inlineStr">
        <is>
          <t>01a1212c-4b57-70cf-80fd-c2192cb3bf81</t>
        </is>
      </c>
      <c r="D103" s="4" t="n">
        <v>46304.62410965476</v>
      </c>
      <c r="E103" s="4" t="n">
        <v>46304.62410965483</v>
      </c>
      <c r="F103" t="b">
        <v>1</v>
      </c>
      <c r="G103" t="n">
        <v/>
      </c>
      <c r="H103" t="inlineStr">
        <is>
          <t>2019-09-02 | Buy | A200 | 13.0000 unit @ A$110.71 / unit</t>
        </is>
      </c>
      <c r="I103" t="inlineStr">
        <is>
          <t>A200</t>
        </is>
      </c>
      <c r="J103" s="6" t="n">
        <v>43710</v>
      </c>
      <c r="K103" t="n">
        <v>13</v>
      </c>
      <c r="L103" t="inlineStr">
        <is>
          <t>AUD</t>
        </is>
      </c>
      <c r="M103" t="n">
        <v>110.71</v>
      </c>
      <c r="N103" t="inlineStr">
        <is>
          <t>AUD</t>
        </is>
      </c>
      <c r="O103" t="n">
        <v>9.5</v>
      </c>
      <c r="P103" t="inlineStr"/>
      <c r="Q103" t="inlineStr">
        <is>
          <t>FY2019/20</t>
        </is>
      </c>
      <c r="R103" t="inlineStr">
        <is>
          <t>AUD</t>
        </is>
      </c>
      <c r="S103" t="n">
        <v>9.5</v>
      </c>
      <c r="T103" t="inlineStr">
        <is>
          <t>AUD</t>
        </is>
      </c>
      <c r="U103" t="n">
        <v>0.730769</v>
      </c>
      <c r="V103" t="inlineStr">
        <is>
          <t>AUD</t>
        </is>
      </c>
      <c r="W103" t="n">
        <v>110.71</v>
      </c>
      <c r="X103" t="b">
        <v>1</v>
      </c>
      <c r="Y103" s="3" t="inlineStr">
        <is>
          <t>2019-09-02 | PARCEL |  A200 | 13.0000 unit @ A$110.71 / unit | Total cost base = A$1,448.73 |</t>
        </is>
      </c>
      <c r="Z103" t="n">
        <v/>
      </c>
    </row>
    <row r="104">
      <c r="A104" s="5" t="inlineStr">
        <is>
          <t>01a1212c-7116-71ea-9093-89566daac6d2</t>
        </is>
      </c>
      <c r="B104" t="inlineStr">
        <is>
          <t>B103</t>
        </is>
      </c>
      <c r="C104" s="5" t="inlineStr">
        <is>
          <t>01a1212c-4b57-70cf-80fd-c2192cb3bf81</t>
        </is>
      </c>
      <c r="D104" s="4" t="n">
        <v>46304.62410990144</v>
      </c>
      <c r="E104" s="4" t="n">
        <v>46304.6241099015</v>
      </c>
      <c r="F104" t="b">
        <v>1</v>
      </c>
      <c r="G104" t="n">
        <v/>
      </c>
      <c r="H104" t="inlineStr">
        <is>
          <t>2019-09-02 | Buy | VGS | 23.0000 unit @ A$76.63 / unit</t>
        </is>
      </c>
      <c r="I104" t="inlineStr">
        <is>
          <t>VGS</t>
        </is>
      </c>
      <c r="J104" s="6" t="n">
        <v>43710</v>
      </c>
      <c r="K104" t="n">
        <v>23</v>
      </c>
      <c r="L104" t="inlineStr">
        <is>
          <t>AUD</t>
        </is>
      </c>
      <c r="M104" t="n">
        <v>76.63</v>
      </c>
      <c r="N104" t="inlineStr">
        <is>
          <t>AUD</t>
        </is>
      </c>
      <c r="O104" t="n">
        <v>9.5</v>
      </c>
      <c r="P104" t="inlineStr"/>
      <c r="Q104" t="inlineStr">
        <is>
          <t>FY2019/20</t>
        </is>
      </c>
      <c r="R104" t="inlineStr">
        <is>
          <t>AUD</t>
        </is>
      </c>
      <c r="S104" t="n">
        <v>9.5</v>
      </c>
      <c r="T104" t="inlineStr">
        <is>
          <t>AUD</t>
        </is>
      </c>
      <c r="U104" t="n">
        <v>0.413043</v>
      </c>
      <c r="V104" t="inlineStr">
        <is>
          <t>AUD</t>
        </is>
      </c>
      <c r="W104" t="n">
        <v>76.63</v>
      </c>
      <c r="X104" t="b">
        <v>1</v>
      </c>
      <c r="Y104" s="3" t="inlineStr">
        <is>
          <t>2019-09-02 | PARCEL |  VGS | 23.0000 unit @ A$76.63 / unit | Total cost base = A$1,771.99 |</t>
        </is>
      </c>
      <c r="Z104" t="n">
        <v/>
      </c>
    </row>
    <row r="105">
      <c r="A105" s="5" t="inlineStr">
        <is>
          <t>01a1212c-712a-7112-aec0-e1f8195d4fb0</t>
        </is>
      </c>
      <c r="B105" t="inlineStr">
        <is>
          <t>B104</t>
        </is>
      </c>
      <c r="C105" s="5" t="inlineStr">
        <is>
          <t>01a1212c-4b57-70cf-80fd-c2192cb3bf81</t>
        </is>
      </c>
      <c r="D105" s="4" t="n">
        <v>46304.62411015225</v>
      </c>
      <c r="E105" s="4" t="n">
        <v>46304.62411015231</v>
      </c>
      <c r="F105" t="b">
        <v>1</v>
      </c>
      <c r="G105" t="n">
        <v/>
      </c>
      <c r="H105" t="inlineStr">
        <is>
          <t>2019-09-30 | Buy | MSFT | 6.0000 unit @ $139.03 / unit</t>
        </is>
      </c>
      <c r="I105" t="inlineStr">
        <is>
          <t>MSFT</t>
        </is>
      </c>
      <c r="J105" s="6" t="n">
        <v>43738</v>
      </c>
      <c r="K105" t="n">
        <v>6</v>
      </c>
      <c r="L105" t="inlineStr">
        <is>
          <t>USD</t>
        </is>
      </c>
      <c r="M105" t="n">
        <v>139.03</v>
      </c>
      <c r="N105" t="inlineStr">
        <is>
          <t>USD</t>
        </is>
      </c>
      <c r="O105" t="n">
        <v>5</v>
      </c>
      <c r="P105" t="inlineStr"/>
      <c r="Q105" t="inlineStr">
        <is>
          <t>FY2019/20</t>
        </is>
      </c>
      <c r="R105" t="inlineStr">
        <is>
          <t>AUD</t>
        </is>
      </c>
      <c r="S105" t="n">
        <v>7.5</v>
      </c>
      <c r="T105" t="inlineStr">
        <is>
          <t>AUD</t>
        </is>
      </c>
      <c r="U105" t="n">
        <v>1.25</v>
      </c>
      <c r="V105" t="inlineStr">
        <is>
          <t>AUD</t>
        </is>
      </c>
      <c r="W105" t="n">
        <v>208.545</v>
      </c>
      <c r="X105" t="b">
        <v>1</v>
      </c>
      <c r="Y105" s="3" t="inlineStr">
        <is>
          <t>2019-09-30 | PARCEL |  MSFT | 6.0000 unit @ A$208.54 / unit | Total cost base = A$1,258.77 |</t>
        </is>
      </c>
      <c r="Z105" s="5" t="inlineStr">
        <is>
          <t>01a1212c-712c-75a7-9b7e-4aa03d6473a2</t>
        </is>
      </c>
    </row>
    <row r="106">
      <c r="A106" s="5" t="inlineStr">
        <is>
          <t>01a1212c-7141-72ca-9626-5c3f49cdc4dc</t>
        </is>
      </c>
      <c r="B106" t="inlineStr">
        <is>
          <t>B105</t>
        </is>
      </c>
      <c r="C106" s="5" t="inlineStr">
        <is>
          <t>01a1212c-4b57-70cf-80fd-c2192cb3bf81</t>
        </is>
      </c>
      <c r="D106" s="4" t="n">
        <v>46304.62411040069</v>
      </c>
      <c r="E106" s="4" t="n">
        <v>46304.62411040076</v>
      </c>
      <c r="F106" t="b">
        <v>1</v>
      </c>
      <c r="G106" t="n">
        <v/>
      </c>
      <c r="H106" t="inlineStr">
        <is>
          <t>2019-10-02 | Buy | A200 | 10.0000 unit @ A$111.09 / unit</t>
        </is>
      </c>
      <c r="I106" t="inlineStr">
        <is>
          <t>A200</t>
        </is>
      </c>
      <c r="J106" s="6" t="n">
        <v>43740</v>
      </c>
      <c r="K106" t="n">
        <v>10</v>
      </c>
      <c r="L106" t="inlineStr">
        <is>
          <t>AUD</t>
        </is>
      </c>
      <c r="M106" t="n">
        <v>111.09</v>
      </c>
      <c r="N106" t="inlineStr">
        <is>
          <t>AUD</t>
        </is>
      </c>
      <c r="O106" t="n">
        <v>9.5</v>
      </c>
      <c r="P106" t="inlineStr"/>
      <c r="Q106" t="inlineStr">
        <is>
          <t>FY2019/20</t>
        </is>
      </c>
      <c r="R106" t="inlineStr">
        <is>
          <t>AUD</t>
        </is>
      </c>
      <c r="S106" t="n">
        <v>9.5</v>
      </c>
      <c r="T106" t="inlineStr">
        <is>
          <t>AUD</t>
        </is>
      </c>
      <c r="U106" t="n">
        <v>0.95</v>
      </c>
      <c r="V106" t="inlineStr">
        <is>
          <t>AUD</t>
        </is>
      </c>
      <c r="W106" t="n">
        <v>111.09</v>
      </c>
      <c r="X106" t="b">
        <v>1</v>
      </c>
      <c r="Y106" s="3" t="inlineStr">
        <is>
          <t>2019-10-02 | PARCEL |  A200 | 10.0000 unit @ A$111.09 / unit | Total cost base = A$1,120.40 |</t>
        </is>
      </c>
      <c r="Z106" t="n">
        <v/>
      </c>
    </row>
    <row r="107">
      <c r="A107" s="5" t="inlineStr">
        <is>
          <t>01a1212c-7156-71d7-9bd6-2fdf8d4dc7d2</t>
        </is>
      </c>
      <c r="B107" t="inlineStr">
        <is>
          <t>B106</t>
        </is>
      </c>
      <c r="C107" s="5" t="inlineStr">
        <is>
          <t>01a1212c-4b57-70cf-80fd-c2192cb3bf81</t>
        </is>
      </c>
      <c r="D107" s="4" t="n">
        <v>46304.62411064297</v>
      </c>
      <c r="E107" s="4" t="n">
        <v>46304.62411064305</v>
      </c>
      <c r="F107" t="b">
        <v>1</v>
      </c>
      <c r="G107" t="n">
        <v/>
      </c>
      <c r="H107" t="inlineStr">
        <is>
          <t>2019-10-02 | Buy | VGS | 17.0000 unit @ A$77.61 / unit</t>
        </is>
      </c>
      <c r="I107" t="inlineStr">
        <is>
          <t>VGS</t>
        </is>
      </c>
      <c r="J107" s="6" t="n">
        <v>43740</v>
      </c>
      <c r="K107" t="n">
        <v>17</v>
      </c>
      <c r="L107" t="inlineStr">
        <is>
          <t>AUD</t>
        </is>
      </c>
      <c r="M107" t="n">
        <v>77.61</v>
      </c>
      <c r="N107" t="inlineStr">
        <is>
          <t>AUD</t>
        </is>
      </c>
      <c r="O107" t="n">
        <v>9.5</v>
      </c>
      <c r="P107" t="inlineStr"/>
      <c r="Q107" t="inlineStr">
        <is>
          <t>FY2019/20</t>
        </is>
      </c>
      <c r="R107" t="inlineStr">
        <is>
          <t>AUD</t>
        </is>
      </c>
      <c r="S107" t="n">
        <v>9.5</v>
      </c>
      <c r="T107" t="inlineStr">
        <is>
          <t>AUD</t>
        </is>
      </c>
      <c r="U107" t="n">
        <v>0.558824</v>
      </c>
      <c r="V107" t="inlineStr">
        <is>
          <t>AUD</t>
        </is>
      </c>
      <c r="W107" t="n">
        <v>77.61</v>
      </c>
      <c r="X107" t="b">
        <v>1</v>
      </c>
      <c r="Y107" s="3" t="inlineStr">
        <is>
          <t>2019-10-02 | PARCEL |  VGS | 17.0000 unit @ A$77.61 / unit | Total cost base = A$1,328.87 |</t>
        </is>
      </c>
      <c r="Z107" t="n">
        <v/>
      </c>
    </row>
    <row r="108">
      <c r="A108" s="5" t="inlineStr">
        <is>
          <t>01a1212c-716c-762b-a8d4-46b155c77093</t>
        </is>
      </c>
      <c r="B108" t="inlineStr">
        <is>
          <t>B107</t>
        </is>
      </c>
      <c r="C108" s="5" t="inlineStr">
        <is>
          <t>01a1212c-4b57-70cf-80fd-c2192cb3bf81</t>
        </is>
      </c>
      <c r="D108" s="4" t="n">
        <v>46304.62411091529</v>
      </c>
      <c r="E108" s="4" t="n">
        <v>46304.62411091535</v>
      </c>
      <c r="F108" t="b">
        <v>1</v>
      </c>
      <c r="G108" t="n">
        <v/>
      </c>
      <c r="H108" t="inlineStr">
        <is>
          <t>2019-10-21 | Buy | AAPL | 3.0000 unit @ $240.51 / unit</t>
        </is>
      </c>
      <c r="I108" t="inlineStr">
        <is>
          <t>AAPL</t>
        </is>
      </c>
      <c r="J108" s="6" t="n">
        <v>43759</v>
      </c>
      <c r="K108" t="n">
        <v>3</v>
      </c>
      <c r="L108" t="inlineStr">
        <is>
          <t>USD</t>
        </is>
      </c>
      <c r="M108" t="n">
        <v>240.51</v>
      </c>
      <c r="N108" t="inlineStr">
        <is>
          <t>USD</t>
        </is>
      </c>
      <c r="O108" t="n">
        <v>5</v>
      </c>
      <c r="P108" t="inlineStr"/>
      <c r="Q108" t="inlineStr">
        <is>
          <t>FY2019/20</t>
        </is>
      </c>
      <c r="R108" t="inlineStr">
        <is>
          <t>AUD</t>
        </is>
      </c>
      <c r="S108" t="n">
        <v>7.5</v>
      </c>
      <c r="T108" t="inlineStr">
        <is>
          <t>AUD</t>
        </is>
      </c>
      <c r="U108" t="n">
        <v>2.5</v>
      </c>
      <c r="V108" t="inlineStr">
        <is>
          <t>AUD</t>
        </is>
      </c>
      <c r="W108" t="n">
        <v>360.765</v>
      </c>
      <c r="X108" t="b">
        <v>1</v>
      </c>
      <c r="Y108" s="3" t="inlineStr">
        <is>
          <t>2019-10-21 | PARCEL |  AAPL | 3.0000 unit @ A$360.76 / unit | Total cost base = A$1,089.80 |</t>
        </is>
      </c>
      <c r="Z108" s="5" t="inlineStr">
        <is>
          <t>01a1212c-716e-76fe-8bba-dbff6021061a</t>
        </is>
      </c>
    </row>
    <row r="109">
      <c r="A109" s="5" t="inlineStr">
        <is>
          <t>01a1212c-7183-744b-a739-39a1f89518cb</t>
        </is>
      </c>
      <c r="B109" t="inlineStr">
        <is>
          <t>B108</t>
        </is>
      </c>
      <c r="C109" s="5" t="inlineStr">
        <is>
          <t>01a1212c-4b57-70cf-80fd-c2192cb3bf81</t>
        </is>
      </c>
      <c r="D109" s="4" t="n">
        <v>46304.62411116951</v>
      </c>
      <c r="E109" s="4" t="n">
        <v>46304.62411116956</v>
      </c>
      <c r="F109" t="b">
        <v>1</v>
      </c>
      <c r="G109" t="n">
        <v/>
      </c>
      <c r="H109" t="inlineStr">
        <is>
          <t>2019-11-06 | Buy | A200 | 8.0000 unit @ A$111.39 / unit</t>
        </is>
      </c>
      <c r="I109" t="inlineStr">
        <is>
          <t>A200</t>
        </is>
      </c>
      <c r="J109" s="6" t="n">
        <v>43775</v>
      </c>
      <c r="K109" t="n">
        <v>8</v>
      </c>
      <c r="L109" t="inlineStr">
        <is>
          <t>AUD</t>
        </is>
      </c>
      <c r="M109" t="n">
        <v>111.39</v>
      </c>
      <c r="N109" t="inlineStr">
        <is>
          <t>AUD</t>
        </is>
      </c>
      <c r="O109" t="n">
        <v>9.5</v>
      </c>
      <c r="P109" t="inlineStr"/>
      <c r="Q109" t="inlineStr">
        <is>
          <t>FY2019/20</t>
        </is>
      </c>
      <c r="R109" t="inlineStr">
        <is>
          <t>AUD</t>
        </is>
      </c>
      <c r="S109" t="n">
        <v>9.5</v>
      </c>
      <c r="T109" t="inlineStr">
        <is>
          <t>AUD</t>
        </is>
      </c>
      <c r="U109" t="n">
        <v>1.1875</v>
      </c>
      <c r="V109" t="inlineStr">
        <is>
          <t>AUD</t>
        </is>
      </c>
      <c r="W109" t="n">
        <v>111.39</v>
      </c>
      <c r="X109" t="b">
        <v>1</v>
      </c>
      <c r="Y109" s="3" t="inlineStr">
        <is>
          <t>2019-11-06 | PARCEL |  A200 | 8.0000 unit @ A$111.39 / unit | Total cost base = A$900.62 |</t>
        </is>
      </c>
      <c r="Z109" t="n">
        <v/>
      </c>
    </row>
    <row r="110">
      <c r="A110" s="5" t="inlineStr">
        <is>
          <t>01a1212c-7198-70df-a770-24bd6aff6239</t>
        </is>
      </c>
      <c r="B110" t="inlineStr">
        <is>
          <t>B109</t>
        </is>
      </c>
      <c r="C110" s="5" t="inlineStr">
        <is>
          <t>01a1212c-4b57-70cf-80fd-c2192cb3bf81</t>
        </is>
      </c>
      <c r="D110" s="4" t="n">
        <v>46304.62411141064</v>
      </c>
      <c r="E110" s="4" t="n">
        <v>46304.6241114107</v>
      </c>
      <c r="F110" t="b">
        <v>1</v>
      </c>
      <c r="G110" t="n">
        <v/>
      </c>
      <c r="H110" t="inlineStr">
        <is>
          <t>2019-11-06 | Buy | VGS | 15.0000 unit @ A$79.08 / unit</t>
        </is>
      </c>
      <c r="I110" t="inlineStr">
        <is>
          <t>VGS</t>
        </is>
      </c>
      <c r="J110" s="6" t="n">
        <v>43775</v>
      </c>
      <c r="K110" t="n">
        <v>15</v>
      </c>
      <c r="L110" t="inlineStr">
        <is>
          <t>AUD</t>
        </is>
      </c>
      <c r="M110" t="n">
        <v>79.08</v>
      </c>
      <c r="N110" t="inlineStr">
        <is>
          <t>AUD</t>
        </is>
      </c>
      <c r="O110" t="n">
        <v>9.5</v>
      </c>
      <c r="P110" t="inlineStr"/>
      <c r="Q110" t="inlineStr">
        <is>
          <t>FY2019/20</t>
        </is>
      </c>
      <c r="R110" t="inlineStr">
        <is>
          <t>AUD</t>
        </is>
      </c>
      <c r="S110" t="n">
        <v>9.5</v>
      </c>
      <c r="T110" t="inlineStr">
        <is>
          <t>AUD</t>
        </is>
      </c>
      <c r="U110" t="n">
        <v>0.633333</v>
      </c>
      <c r="V110" t="inlineStr">
        <is>
          <t>AUD</t>
        </is>
      </c>
      <c r="W110" t="n">
        <v>79.08</v>
      </c>
      <c r="X110" t="b">
        <v>1</v>
      </c>
      <c r="Y110" s="3" t="inlineStr">
        <is>
          <t>2019-11-06 | PARCEL |  VGS | 15.0000 unit @ A$79.08 / unit | Total cost base = A$1,195.70 |</t>
        </is>
      </c>
      <c r="Z110" t="n">
        <v/>
      </c>
    </row>
    <row r="111">
      <c r="A111" s="5" t="inlineStr">
        <is>
          <t>01a1212c-71ad-71b5-b320-c8000fe32c05</t>
        </is>
      </c>
      <c r="B111" t="inlineStr">
        <is>
          <t>B110</t>
        </is>
      </c>
      <c r="C111" s="5" t="inlineStr">
        <is>
          <t>01a1212c-4b57-70cf-80fd-c2192cb3bf81</t>
        </is>
      </c>
      <c r="D111" s="4" t="n">
        <v>46304.62411164854</v>
      </c>
      <c r="E111" s="4" t="n">
        <v>46304.62411164861</v>
      </c>
      <c r="F111" t="b">
        <v>1</v>
      </c>
      <c r="G111" t="n">
        <v/>
      </c>
      <c r="H111" t="inlineStr">
        <is>
          <t>2019-12-03 | Buy | A200 | 15.0000 unit @ A$112.70 / unit</t>
        </is>
      </c>
      <c r="I111" t="inlineStr">
        <is>
          <t>A200</t>
        </is>
      </c>
      <c r="J111" s="6" t="n">
        <v>43802</v>
      </c>
      <c r="K111" t="n">
        <v>15</v>
      </c>
      <c r="L111" t="inlineStr">
        <is>
          <t>AUD</t>
        </is>
      </c>
      <c r="M111" t="n">
        <v>112.7</v>
      </c>
      <c r="N111" t="inlineStr">
        <is>
          <t>AUD</t>
        </is>
      </c>
      <c r="O111" t="n">
        <v>9.5</v>
      </c>
      <c r="P111" t="inlineStr"/>
      <c r="Q111" t="inlineStr">
        <is>
          <t>FY2019/20</t>
        </is>
      </c>
      <c r="R111" t="inlineStr">
        <is>
          <t>AUD</t>
        </is>
      </c>
      <c r="S111" t="n">
        <v>9.5</v>
      </c>
      <c r="T111" t="inlineStr">
        <is>
          <t>AUD</t>
        </is>
      </c>
      <c r="U111" t="n">
        <v>0.633333</v>
      </c>
      <c r="V111" t="inlineStr">
        <is>
          <t>AUD</t>
        </is>
      </c>
      <c r="W111" t="n">
        <v>112.7</v>
      </c>
      <c r="X111" t="b">
        <v>1</v>
      </c>
      <c r="Y111" s="3" t="inlineStr">
        <is>
          <t>2019-12-03 | PARCEL |  A200 | 15.0000 unit @ A$112.70 / unit | Total cost base = A$1,700.00 |</t>
        </is>
      </c>
      <c r="Z111" t="n">
        <v/>
      </c>
    </row>
    <row r="112">
      <c r="A112" s="5" t="inlineStr">
        <is>
          <t>01a1212c-71c2-73a9-bded-2383af738311</t>
        </is>
      </c>
      <c r="B112" t="inlineStr">
        <is>
          <t>B111</t>
        </is>
      </c>
      <c r="C112" s="5" t="inlineStr">
        <is>
          <t>01a1212c-4b57-70cf-80fd-c2192cb3bf81</t>
        </is>
      </c>
      <c r="D112" s="4" t="n">
        <v>46304.62411189141</v>
      </c>
      <c r="E112" s="4" t="n">
        <v>46304.62411189148</v>
      </c>
      <c r="F112" t="b">
        <v>1</v>
      </c>
      <c r="G112" t="n">
        <v/>
      </c>
      <c r="H112" t="inlineStr">
        <is>
          <t>2019-12-03 | Buy | VGS | 26.0000 unit @ A$80.67 / unit</t>
        </is>
      </c>
      <c r="I112" t="inlineStr">
        <is>
          <t>VGS</t>
        </is>
      </c>
      <c r="J112" s="6" t="n">
        <v>43802</v>
      </c>
      <c r="K112" t="n">
        <v>26</v>
      </c>
      <c r="L112" t="inlineStr">
        <is>
          <t>AUD</t>
        </is>
      </c>
      <c r="M112" t="n">
        <v>80.67</v>
      </c>
      <c r="N112" t="inlineStr">
        <is>
          <t>AUD</t>
        </is>
      </c>
      <c r="O112" t="n">
        <v>9.5</v>
      </c>
      <c r="P112" t="inlineStr"/>
      <c r="Q112" t="inlineStr">
        <is>
          <t>FY2019/20</t>
        </is>
      </c>
      <c r="R112" t="inlineStr">
        <is>
          <t>AUD</t>
        </is>
      </c>
      <c r="S112" t="n">
        <v>9.5</v>
      </c>
      <c r="T112" t="inlineStr">
        <is>
          <t>AUD</t>
        </is>
      </c>
      <c r="U112" t="n">
        <v>0.365385</v>
      </c>
      <c r="V112" t="inlineStr">
        <is>
          <t>AUD</t>
        </is>
      </c>
      <c r="W112" t="n">
        <v>80.67</v>
      </c>
      <c r="X112" t="b">
        <v>1</v>
      </c>
      <c r="Y112" s="3" t="inlineStr">
        <is>
          <t>2019-12-03 | PARCEL |  VGS | 26.0000 unit @ A$80.67 / unit | Total cost base = A$2,106.92 |</t>
        </is>
      </c>
      <c r="Z112" t="n">
        <v/>
      </c>
    </row>
    <row r="113">
      <c r="A113" s="5" t="inlineStr">
        <is>
          <t>01a1212c-71d7-7299-9254-0506c38b61a7</t>
        </is>
      </c>
      <c r="B113" t="inlineStr">
        <is>
          <t>B112</t>
        </is>
      </c>
      <c r="C113" s="5" t="inlineStr">
        <is>
          <t>01a1212c-4b57-70cf-80fd-c2192cb3bf81</t>
        </is>
      </c>
      <c r="D113" s="4" t="n">
        <v>46304.62411214119</v>
      </c>
      <c r="E113" s="4" t="n">
        <v>46304.62411214127</v>
      </c>
      <c r="F113" t="b">
        <v>1</v>
      </c>
      <c r="G113" t="n">
        <v/>
      </c>
      <c r="H113" t="inlineStr">
        <is>
          <t>2020-01-06 | Buy | A200 | 14.0000 unit @ A$112.35 / unit</t>
        </is>
      </c>
      <c r="I113" t="inlineStr">
        <is>
          <t>A200</t>
        </is>
      </c>
      <c r="J113" s="6" t="n">
        <v>43836</v>
      </c>
      <c r="K113" t="n">
        <v>14</v>
      </c>
      <c r="L113" t="inlineStr">
        <is>
          <t>AUD</t>
        </is>
      </c>
      <c r="M113" t="n">
        <v>112.35</v>
      </c>
      <c r="N113" t="inlineStr">
        <is>
          <t>AUD</t>
        </is>
      </c>
      <c r="O113" t="n">
        <v>9.5</v>
      </c>
      <c r="P113" t="inlineStr"/>
      <c r="Q113" t="inlineStr">
        <is>
          <t>FY2019/20</t>
        </is>
      </c>
      <c r="R113" t="inlineStr">
        <is>
          <t>AUD</t>
        </is>
      </c>
      <c r="S113" t="n">
        <v>9.5</v>
      </c>
      <c r="T113" t="inlineStr">
        <is>
          <t>AUD</t>
        </is>
      </c>
      <c r="U113" t="n">
        <v>0.678571</v>
      </c>
      <c r="V113" t="inlineStr">
        <is>
          <t>AUD</t>
        </is>
      </c>
      <c r="W113" t="n">
        <v>112.35</v>
      </c>
      <c r="X113" t="b">
        <v>1</v>
      </c>
      <c r="Y113" s="3" t="inlineStr">
        <is>
          <t>2020-01-06 | PARCEL |  A200 | 14.0000 unit @ A$112.35 / unit | Total cost base = A$1,582.40 |</t>
        </is>
      </c>
      <c r="Z113" t="n">
        <v/>
      </c>
    </row>
    <row r="114">
      <c r="A114" s="5" t="inlineStr">
        <is>
          <t>01a1212c-71ec-77c3-8390-16a4b943b959</t>
        </is>
      </c>
      <c r="B114" t="inlineStr">
        <is>
          <t>B113</t>
        </is>
      </c>
      <c r="C114" s="5" t="inlineStr">
        <is>
          <t>01a1212c-4b57-70cf-80fd-c2192cb3bf81</t>
        </is>
      </c>
      <c r="D114" s="4" t="n">
        <v>46304.62411238479</v>
      </c>
      <c r="E114" s="4" t="n">
        <v>46304.62411238487</v>
      </c>
      <c r="F114" t="b">
        <v>1</v>
      </c>
      <c r="G114" t="n">
        <v/>
      </c>
      <c r="H114" t="inlineStr">
        <is>
          <t>2020-01-06 | Buy | VGS | 24.0000 unit @ A$81.73 / unit</t>
        </is>
      </c>
      <c r="I114" t="inlineStr">
        <is>
          <t>VGS</t>
        </is>
      </c>
      <c r="J114" s="6" t="n">
        <v>43836</v>
      </c>
      <c r="K114" t="n">
        <v>24</v>
      </c>
      <c r="L114" t="inlineStr">
        <is>
          <t>AUD</t>
        </is>
      </c>
      <c r="M114" t="n">
        <v>81.73</v>
      </c>
      <c r="N114" t="inlineStr">
        <is>
          <t>AUD</t>
        </is>
      </c>
      <c r="O114" t="n">
        <v>9.5</v>
      </c>
      <c r="P114" t="inlineStr"/>
      <c r="Q114" t="inlineStr">
        <is>
          <t>FY2019/20</t>
        </is>
      </c>
      <c r="R114" t="inlineStr">
        <is>
          <t>AUD</t>
        </is>
      </c>
      <c r="S114" t="n">
        <v>9.5</v>
      </c>
      <c r="T114" t="inlineStr">
        <is>
          <t>AUD</t>
        </is>
      </c>
      <c r="U114" t="n">
        <v>0.395833</v>
      </c>
      <c r="V114" t="inlineStr">
        <is>
          <t>AUD</t>
        </is>
      </c>
      <c r="W114" t="n">
        <v>81.73</v>
      </c>
      <c r="X114" t="b">
        <v>1</v>
      </c>
      <c r="Y114" s="3" t="inlineStr">
        <is>
          <t>2020-01-06 | PARCEL |  VGS | 24.0000 unit @ A$81.73 / unit | Total cost base = A$1,971.02 |</t>
        </is>
      </c>
      <c r="Z114" t="n">
        <v/>
      </c>
    </row>
    <row r="115">
      <c r="A115" s="5" t="inlineStr">
        <is>
          <t>01a1212c-7202-76d7-8c9c-2a905ef3b8d1</t>
        </is>
      </c>
      <c r="B115" t="inlineStr">
        <is>
          <t>B114</t>
        </is>
      </c>
      <c r="C115" s="5" t="inlineStr">
        <is>
          <t>01a1212c-4b57-70cf-80fd-c2192cb3bf81</t>
        </is>
      </c>
      <c r="D115" s="4" t="n">
        <v>46304.62411265416</v>
      </c>
      <c r="E115" s="4" t="n">
        <v>46304.62411265422</v>
      </c>
      <c r="F115" t="b">
        <v>1</v>
      </c>
      <c r="G115" t="n">
        <v/>
      </c>
      <c r="H115" t="inlineStr">
        <is>
          <t>2020-01-16 | Buy | AAPL | 2.0000 unit @ $315.24 / unit</t>
        </is>
      </c>
      <c r="I115" t="inlineStr">
        <is>
          <t>AAPL</t>
        </is>
      </c>
      <c r="J115" s="6" t="n">
        <v>43846</v>
      </c>
      <c r="K115" t="n">
        <v>2</v>
      </c>
      <c r="L115" t="inlineStr">
        <is>
          <t>USD</t>
        </is>
      </c>
      <c r="M115" t="n">
        <v>315.24</v>
      </c>
      <c r="N115" t="inlineStr">
        <is>
          <t>USD</t>
        </is>
      </c>
      <c r="O115" t="n">
        <v>5</v>
      </c>
      <c r="P115" t="inlineStr"/>
      <c r="Q115" t="inlineStr">
        <is>
          <t>FY2019/20</t>
        </is>
      </c>
      <c r="R115" t="inlineStr">
        <is>
          <t>AUD</t>
        </is>
      </c>
      <c r="S115" t="n">
        <v>7.5</v>
      </c>
      <c r="T115" t="inlineStr">
        <is>
          <t>AUD</t>
        </is>
      </c>
      <c r="U115" t="n">
        <v>3.75</v>
      </c>
      <c r="V115" t="inlineStr">
        <is>
          <t>AUD</t>
        </is>
      </c>
      <c r="W115" t="n">
        <v>472.86</v>
      </c>
      <c r="X115" t="b">
        <v>1</v>
      </c>
      <c r="Y115" s="3" t="inlineStr">
        <is>
          <t>2020-01-16 | PARCEL |  AAPL | 2.0000 unit @ A$472.86 / unit | Total cost base = A$953.22 |</t>
        </is>
      </c>
      <c r="Z115" s="5" t="inlineStr">
        <is>
          <t>01a1212c-7204-71d8-b393-e3a7cabeb70a</t>
        </is>
      </c>
    </row>
    <row r="116">
      <c r="A116" s="5" t="inlineStr">
        <is>
          <t>01a1212c-7219-7219-b932-7b82f2b380e4</t>
        </is>
      </c>
      <c r="B116" t="inlineStr">
        <is>
          <t>B115</t>
        </is>
      </c>
      <c r="C116" s="5" t="inlineStr">
        <is>
          <t>01a1212c-4b57-70cf-80fd-c2192cb3bf81</t>
        </is>
      </c>
      <c r="D116" s="4" t="n">
        <v>46304.62411290299</v>
      </c>
      <c r="E116" s="4" t="n">
        <v>46304.62411290305</v>
      </c>
      <c r="F116" t="b">
        <v>1</v>
      </c>
      <c r="G116" t="n">
        <v/>
      </c>
      <c r="H116" t="inlineStr">
        <is>
          <t>2020-02-05 | Buy | A200 | 8.0000 unit @ A$116.29 / unit</t>
        </is>
      </c>
      <c r="I116" t="inlineStr">
        <is>
          <t>A200</t>
        </is>
      </c>
      <c r="J116" s="6" t="n">
        <v>43866</v>
      </c>
      <c r="K116" t="n">
        <v>8</v>
      </c>
      <c r="L116" t="inlineStr">
        <is>
          <t>AUD</t>
        </is>
      </c>
      <c r="M116" t="n">
        <v>116.29</v>
      </c>
      <c r="N116" t="inlineStr">
        <is>
          <t>AUD</t>
        </is>
      </c>
      <c r="O116" t="n">
        <v>9.5</v>
      </c>
      <c r="P116" t="inlineStr"/>
      <c r="Q116" t="inlineStr">
        <is>
          <t>FY2019/20</t>
        </is>
      </c>
      <c r="R116" t="inlineStr">
        <is>
          <t>AUD</t>
        </is>
      </c>
      <c r="S116" t="n">
        <v>9.5</v>
      </c>
      <c r="T116" t="inlineStr">
        <is>
          <t>AUD</t>
        </is>
      </c>
      <c r="U116" t="n">
        <v>1.1875</v>
      </c>
      <c r="V116" t="inlineStr">
        <is>
          <t>AUD</t>
        </is>
      </c>
      <c r="W116" t="n">
        <v>116.29</v>
      </c>
      <c r="X116" t="b">
        <v>1</v>
      </c>
      <c r="Y116" s="3" t="inlineStr">
        <is>
          <t>2020-02-05 | PARCEL |  A200 | 8.0000 unit @ A$116.29 / unit | Total cost base = A$939.82 |</t>
        </is>
      </c>
      <c r="Z116" t="n">
        <v/>
      </c>
    </row>
    <row r="117">
      <c r="A117" s="5" t="inlineStr">
        <is>
          <t>01a1212c-722f-71e1-a9f6-c38d6268bb35</t>
        </is>
      </c>
      <c r="B117" t="inlineStr">
        <is>
          <t>B116</t>
        </is>
      </c>
      <c r="C117" s="5" t="inlineStr">
        <is>
          <t>01a1212c-4b57-70cf-80fd-c2192cb3bf81</t>
        </is>
      </c>
      <c r="D117" s="4" t="n">
        <v>46304.62411314928</v>
      </c>
      <c r="E117" s="4" t="n">
        <v>46304.62411314935</v>
      </c>
      <c r="F117" t="b">
        <v>1</v>
      </c>
      <c r="G117" t="n">
        <v/>
      </c>
      <c r="H117" t="inlineStr">
        <is>
          <t>2020-02-05 | Buy | VGS | 14.0000 unit @ A$85.38 / unit</t>
        </is>
      </c>
      <c r="I117" t="inlineStr">
        <is>
          <t>VGS</t>
        </is>
      </c>
      <c r="J117" s="6" t="n">
        <v>43866</v>
      </c>
      <c r="K117" t="n">
        <v>14</v>
      </c>
      <c r="L117" t="inlineStr">
        <is>
          <t>AUD</t>
        </is>
      </c>
      <c r="M117" t="n">
        <v>85.38</v>
      </c>
      <c r="N117" t="inlineStr">
        <is>
          <t>AUD</t>
        </is>
      </c>
      <c r="O117" t="n">
        <v>9.5</v>
      </c>
      <c r="P117" t="inlineStr"/>
      <c r="Q117" t="inlineStr">
        <is>
          <t>FY2019/20</t>
        </is>
      </c>
      <c r="R117" t="inlineStr">
        <is>
          <t>AUD</t>
        </is>
      </c>
      <c r="S117" t="n">
        <v>9.5</v>
      </c>
      <c r="T117" t="inlineStr">
        <is>
          <t>AUD</t>
        </is>
      </c>
      <c r="U117" t="n">
        <v>0.678571</v>
      </c>
      <c r="V117" t="inlineStr">
        <is>
          <t>AUD</t>
        </is>
      </c>
      <c r="W117" t="n">
        <v>85.38</v>
      </c>
      <c r="X117" t="b">
        <v>1</v>
      </c>
      <c r="Y117" s="3" t="inlineStr">
        <is>
          <t>2020-02-05 | PARCEL |  VGS | 14.0000 unit @ A$85.38 / unit | Total cost base = A$1,204.82 |</t>
        </is>
      </c>
      <c r="Z117" t="n">
        <v/>
      </c>
    </row>
    <row r="118">
      <c r="A118" s="5" t="inlineStr">
        <is>
          <t>01a1212c-724a-76bf-8f70-517597612be1</t>
        </is>
      </c>
      <c r="B118" t="inlineStr">
        <is>
          <t>B117</t>
        </is>
      </c>
      <c r="C118" s="5" t="inlineStr">
        <is>
          <t>01a1212c-4b57-70cf-80fd-c2192cb3bf81</t>
        </is>
      </c>
      <c r="D118" s="4" t="n">
        <v>46304.62411348977</v>
      </c>
      <c r="E118" s="4" t="n">
        <v>46304.62411348985</v>
      </c>
      <c r="F118" t="b">
        <v>1</v>
      </c>
      <c r="G118" t="n">
        <v/>
      </c>
      <c r="H118" t="inlineStr">
        <is>
          <t>2020-02-18 | Buy | MSFT | 3.0000 unit @ $187.23 / unit</t>
        </is>
      </c>
      <c r="I118" t="inlineStr">
        <is>
          <t>MSFT</t>
        </is>
      </c>
      <c r="J118" s="6" t="n">
        <v>43879</v>
      </c>
      <c r="K118" t="n">
        <v>3</v>
      </c>
      <c r="L118" t="inlineStr">
        <is>
          <t>USD</t>
        </is>
      </c>
      <c r="M118" t="n">
        <v>187.23</v>
      </c>
      <c r="N118" t="inlineStr">
        <is>
          <t>USD</t>
        </is>
      </c>
      <c r="O118" t="n">
        <v>5</v>
      </c>
      <c r="P118" t="inlineStr"/>
      <c r="Q118" t="inlineStr">
        <is>
          <t>FY2019/20</t>
        </is>
      </c>
      <c r="R118" t="inlineStr">
        <is>
          <t>AUD</t>
        </is>
      </c>
      <c r="S118" t="n">
        <v>7.5</v>
      </c>
      <c r="T118" t="inlineStr">
        <is>
          <t>AUD</t>
        </is>
      </c>
      <c r="U118" t="n">
        <v>2.5</v>
      </c>
      <c r="V118" t="inlineStr">
        <is>
          <t>AUD</t>
        </is>
      </c>
      <c r="W118" t="n">
        <v>280.845</v>
      </c>
      <c r="X118" t="b">
        <v>1</v>
      </c>
      <c r="Y118" s="3" t="inlineStr">
        <is>
          <t>2020-02-18 | PARCEL |  MSFT | 3.0000 unit @ A$280.84 / unit | Total cost base = A$850.04 |</t>
        </is>
      </c>
      <c r="Z118" s="5" t="inlineStr">
        <is>
          <t>01a1212c-724c-747e-97ab-a918c560269a</t>
        </is>
      </c>
    </row>
    <row r="119">
      <c r="A119" s="5" t="inlineStr">
        <is>
          <t>01a1212c-7263-74b5-a377-422842977af3</t>
        </is>
      </c>
      <c r="B119" t="inlineStr">
        <is>
          <t>B118</t>
        </is>
      </c>
      <c r="C119" s="5" t="inlineStr">
        <is>
          <t>01a1212c-4b57-70cf-80fd-c2192cb3bf81</t>
        </is>
      </c>
      <c r="D119" s="4" t="n">
        <v>46304.62411375375</v>
      </c>
      <c r="E119" s="4" t="n">
        <v>46304.62411375382</v>
      </c>
      <c r="F119" t="b">
        <v>1</v>
      </c>
      <c r="G119" t="n">
        <v/>
      </c>
      <c r="H119" t="inlineStr">
        <is>
          <t>2020-03-05 | Buy | A200 | 8.0000 unit @ A$107.68 / unit</t>
        </is>
      </c>
      <c r="I119" t="inlineStr">
        <is>
          <t>A200</t>
        </is>
      </c>
      <c r="J119" s="6" t="n">
        <v>43895</v>
      </c>
      <c r="K119" t="n">
        <v>8</v>
      </c>
      <c r="L119" t="inlineStr">
        <is>
          <t>AUD</t>
        </is>
      </c>
      <c r="M119" t="n">
        <v>107.68</v>
      </c>
      <c r="N119" t="inlineStr">
        <is>
          <t>AUD</t>
        </is>
      </c>
      <c r="O119" t="n">
        <v>9.5</v>
      </c>
      <c r="P119" t="inlineStr"/>
      <c r="Q119" t="inlineStr">
        <is>
          <t>FY2019/20</t>
        </is>
      </c>
      <c r="R119" t="inlineStr">
        <is>
          <t>AUD</t>
        </is>
      </c>
      <c r="S119" t="n">
        <v>9.5</v>
      </c>
      <c r="T119" t="inlineStr">
        <is>
          <t>AUD</t>
        </is>
      </c>
      <c r="U119" t="n">
        <v>1.1875</v>
      </c>
      <c r="V119" t="inlineStr">
        <is>
          <t>AUD</t>
        </is>
      </c>
      <c r="W119" t="n">
        <v>107.68</v>
      </c>
      <c r="X119" t="b">
        <v>1</v>
      </c>
      <c r="Y119" s="3" t="inlineStr">
        <is>
          <t>2020-03-05 | PARCEL |  A200 | 8.0000 unit @ A$107.68 / unit | Total cost base = A$870.94 |</t>
        </is>
      </c>
      <c r="Z119" t="n">
        <v/>
      </c>
    </row>
    <row r="120">
      <c r="A120" s="5" t="inlineStr">
        <is>
          <t>01a1212c-7277-77ac-a7c7-2caaae94deee</t>
        </is>
      </c>
      <c r="B120" t="inlineStr">
        <is>
          <t>B119</t>
        </is>
      </c>
      <c r="C120" s="5" t="inlineStr">
        <is>
          <t>01a1212c-4b57-70cf-80fd-c2192cb3bf81</t>
        </is>
      </c>
      <c r="D120" s="4" t="n">
        <v>46304.62411399125</v>
      </c>
      <c r="E120" s="4" t="n">
        <v>46304.62411399132</v>
      </c>
      <c r="F120" t="b">
        <v>1</v>
      </c>
      <c r="G120" t="n">
        <v/>
      </c>
      <c r="H120" t="inlineStr">
        <is>
          <t>2020-03-05 | Buy | VGS | 12.0000 unit @ A$81.36 / unit</t>
        </is>
      </c>
      <c r="I120" t="inlineStr">
        <is>
          <t>VGS</t>
        </is>
      </c>
      <c r="J120" s="6" t="n">
        <v>43895</v>
      </c>
      <c r="K120" t="n">
        <v>12</v>
      </c>
      <c r="L120" t="inlineStr">
        <is>
          <t>AUD</t>
        </is>
      </c>
      <c r="M120" t="n">
        <v>81.36</v>
      </c>
      <c r="N120" t="inlineStr">
        <is>
          <t>AUD</t>
        </is>
      </c>
      <c r="O120" t="n">
        <v>9.5</v>
      </c>
      <c r="P120" t="inlineStr"/>
      <c r="Q120" t="inlineStr">
        <is>
          <t>FY2019/20</t>
        </is>
      </c>
      <c r="R120" t="inlineStr">
        <is>
          <t>AUD</t>
        </is>
      </c>
      <c r="S120" t="n">
        <v>9.5</v>
      </c>
      <c r="T120" t="inlineStr">
        <is>
          <t>AUD</t>
        </is>
      </c>
      <c r="U120" t="n">
        <v>0.791667</v>
      </c>
      <c r="V120" t="inlineStr">
        <is>
          <t>AUD</t>
        </is>
      </c>
      <c r="W120" t="n">
        <v>81.36</v>
      </c>
      <c r="X120" t="b">
        <v>1</v>
      </c>
      <c r="Y120" s="3" t="inlineStr">
        <is>
          <t>2020-03-05 | PARCEL |  VGS | 12.0000 unit @ A$81.36 / unit | Total cost base = A$985.82 |</t>
        </is>
      </c>
      <c r="Z120" t="n">
        <v/>
      </c>
    </row>
    <row r="121">
      <c r="A121" s="5" t="inlineStr">
        <is>
          <t>01a1212c-728d-7625-bfa8-626d2ea8da70</t>
        </is>
      </c>
      <c r="B121" t="inlineStr">
        <is>
          <t>B120</t>
        </is>
      </c>
      <c r="C121" s="5" t="inlineStr">
        <is>
          <t>01a1212c-4b57-70cf-80fd-c2192cb3bf81</t>
        </is>
      </c>
      <c r="D121" s="4" t="n">
        <v>46304.6241142406</v>
      </c>
      <c r="E121" s="4" t="n">
        <v>46304.62411424067</v>
      </c>
      <c r="F121" t="b">
        <v>1</v>
      </c>
      <c r="G121" t="n">
        <v/>
      </c>
      <c r="H121" t="inlineStr">
        <is>
          <t>2020-03-20 | Buy | WES | 28.0000 unit @ A$33.28 / unit</t>
        </is>
      </c>
      <c r="I121" t="inlineStr">
        <is>
          <t>WES</t>
        </is>
      </c>
      <c r="J121" s="6" t="n">
        <v>43910</v>
      </c>
      <c r="K121" t="n">
        <v>28</v>
      </c>
      <c r="L121" t="inlineStr">
        <is>
          <t>AUD</t>
        </is>
      </c>
      <c r="M121" t="n">
        <v>33.28</v>
      </c>
      <c r="N121" t="inlineStr">
        <is>
          <t>AUD</t>
        </is>
      </c>
      <c r="O121" t="n">
        <v>19.95</v>
      </c>
      <c r="P121" t="inlineStr"/>
      <c r="Q121" t="inlineStr">
        <is>
          <t>FY2019/20</t>
        </is>
      </c>
      <c r="R121" t="inlineStr">
        <is>
          <t>AUD</t>
        </is>
      </c>
      <c r="S121" t="n">
        <v>19.95</v>
      </c>
      <c r="T121" t="inlineStr">
        <is>
          <t>AUD</t>
        </is>
      </c>
      <c r="U121" t="n">
        <v>0.7125</v>
      </c>
      <c r="V121" t="inlineStr">
        <is>
          <t>AUD</t>
        </is>
      </c>
      <c r="W121" t="n">
        <v>33.28</v>
      </c>
      <c r="X121" t="b">
        <v>1</v>
      </c>
      <c r="Y121" s="3" t="inlineStr">
        <is>
          <t>2020-03-20 | PARCEL |  WES | 28.0000 unit @ A$33.28 / unit | Total cost base = A$951.79 |</t>
        </is>
      </c>
      <c r="Z121" t="n">
        <v/>
      </c>
    </row>
    <row r="122">
      <c r="A122" s="5" t="inlineStr">
        <is>
          <t>01a1212c-72a1-7718-908f-cd63536a850b</t>
        </is>
      </c>
      <c r="B122" t="inlineStr">
        <is>
          <t>B121</t>
        </is>
      </c>
      <c r="C122" s="5" t="inlineStr">
        <is>
          <t>01a1212c-4b57-70cf-80fd-c2192cb3bf81</t>
        </is>
      </c>
      <c r="D122" s="4" t="n">
        <v>46304.62411447763</v>
      </c>
      <c r="E122" s="4" t="n">
        <v>46304.62411447771</v>
      </c>
      <c r="F122" t="b">
        <v>1</v>
      </c>
      <c r="G122" t="n">
        <v/>
      </c>
      <c r="H122" t="inlineStr">
        <is>
          <t>2020-04-02 | Buy | A200 | 7.0000 unit @ A$86.75 / unit</t>
        </is>
      </c>
      <c r="I122" t="inlineStr">
        <is>
          <t>A200</t>
        </is>
      </c>
      <c r="J122" s="6" t="n">
        <v>43923</v>
      </c>
      <c r="K122" t="n">
        <v>7</v>
      </c>
      <c r="L122" t="inlineStr">
        <is>
          <t>AUD</t>
        </is>
      </c>
      <c r="M122" t="n">
        <v>86.75</v>
      </c>
      <c r="N122" t="inlineStr">
        <is>
          <t>AUD</t>
        </is>
      </c>
      <c r="O122" t="n">
        <v>9.5</v>
      </c>
      <c r="P122" t="inlineStr"/>
      <c r="Q122" t="inlineStr">
        <is>
          <t>FY2019/20</t>
        </is>
      </c>
      <c r="R122" t="inlineStr">
        <is>
          <t>AUD</t>
        </is>
      </c>
      <c r="S122" t="n">
        <v>9.5</v>
      </c>
      <c r="T122" t="inlineStr">
        <is>
          <t>AUD</t>
        </is>
      </c>
      <c r="U122" t="n">
        <v>1.357143</v>
      </c>
      <c r="V122" t="inlineStr">
        <is>
          <t>AUD</t>
        </is>
      </c>
      <c r="W122" t="n">
        <v>86.75</v>
      </c>
      <c r="X122" t="b">
        <v>1</v>
      </c>
      <c r="Y122" s="3" t="inlineStr">
        <is>
          <t>2020-04-02 | PARCEL |  A200 | 7.0000 unit @ A$86.75 / unit | Total cost base = A$616.75 |</t>
        </is>
      </c>
      <c r="Z122" t="n">
        <v/>
      </c>
    </row>
    <row r="123">
      <c r="A123" s="5" t="inlineStr">
        <is>
          <t>01a1212c-72b6-71c5-abec-88e52873d0b5</t>
        </is>
      </c>
      <c r="B123" t="inlineStr">
        <is>
          <t>B122</t>
        </is>
      </c>
      <c r="C123" s="5" t="inlineStr">
        <is>
          <t>01a1212c-4b57-70cf-80fd-c2192cb3bf81</t>
        </is>
      </c>
      <c r="D123" s="4" t="n">
        <v>46304.62411473289</v>
      </c>
      <c r="E123" s="4" t="n">
        <v>46304.62411473295</v>
      </c>
      <c r="F123" t="b">
        <v>1</v>
      </c>
      <c r="G123" t="n">
        <v/>
      </c>
      <c r="H123" t="inlineStr">
        <is>
          <t>2020-04-02 | Buy | MSFT | 2.0000 unit @ $155.26 / unit</t>
        </is>
      </c>
      <c r="I123" t="inlineStr">
        <is>
          <t>MSFT</t>
        </is>
      </c>
      <c r="J123" s="6" t="n">
        <v>43923</v>
      </c>
      <c r="K123" t="n">
        <v>2</v>
      </c>
      <c r="L123" t="inlineStr">
        <is>
          <t>USD</t>
        </is>
      </c>
      <c r="M123" t="n">
        <v>155.26</v>
      </c>
      <c r="N123" t="inlineStr">
        <is>
          <t>USD</t>
        </is>
      </c>
      <c r="O123" t="n">
        <v>5</v>
      </c>
      <c r="P123" t="inlineStr"/>
      <c r="Q123" t="inlineStr">
        <is>
          <t>FY2019/20</t>
        </is>
      </c>
      <c r="R123" t="inlineStr">
        <is>
          <t>AUD</t>
        </is>
      </c>
      <c r="S123" t="n">
        <v>7.5</v>
      </c>
      <c r="T123" t="inlineStr">
        <is>
          <t>AUD</t>
        </is>
      </c>
      <c r="U123" t="n">
        <v>3.75</v>
      </c>
      <c r="V123" t="inlineStr">
        <is>
          <t>AUD</t>
        </is>
      </c>
      <c r="W123" t="n">
        <v>232.89</v>
      </c>
      <c r="X123" t="b">
        <v>1</v>
      </c>
      <c r="Y123" s="3" t="inlineStr">
        <is>
          <t>2020-04-02 | PARCEL |  MSFT | 2.0000 unit @ A$232.89 / unit | Total cost base = A$473.28 |</t>
        </is>
      </c>
      <c r="Z123" s="5" t="inlineStr">
        <is>
          <t>01a1212c-72b8-739a-b1d8-848365353bda</t>
        </is>
      </c>
    </row>
    <row r="124">
      <c r="A124" s="5" t="inlineStr">
        <is>
          <t>01a1212c-72cd-7721-bc8b-7a072fb84859</t>
        </is>
      </c>
      <c r="B124" t="inlineStr">
        <is>
          <t>B123</t>
        </is>
      </c>
      <c r="C124" s="5" t="inlineStr">
        <is>
          <t>01a1212c-4b57-70cf-80fd-c2192cb3bf81</t>
        </is>
      </c>
      <c r="D124" s="4" t="n">
        <v>46304.62411498028</v>
      </c>
      <c r="E124" s="4" t="n">
        <v>46304.62411498035</v>
      </c>
      <c r="F124" t="b">
        <v>1</v>
      </c>
      <c r="G124" t="n">
        <v/>
      </c>
      <c r="H124" t="inlineStr">
        <is>
          <t>2020-04-02 | Buy | VGS | 11.0000 unit @ A$70.95 / unit</t>
        </is>
      </c>
      <c r="I124" t="inlineStr">
        <is>
          <t>VGS</t>
        </is>
      </c>
      <c r="J124" s="6" t="n">
        <v>43923</v>
      </c>
      <c r="K124" t="n">
        <v>11</v>
      </c>
      <c r="L124" t="inlineStr">
        <is>
          <t>AUD</t>
        </is>
      </c>
      <c r="M124" t="n">
        <v>70.95</v>
      </c>
      <c r="N124" t="inlineStr">
        <is>
          <t>AUD</t>
        </is>
      </c>
      <c r="O124" t="n">
        <v>9.5</v>
      </c>
      <c r="P124" t="inlineStr"/>
      <c r="Q124" t="inlineStr">
        <is>
          <t>FY2019/20</t>
        </is>
      </c>
      <c r="R124" t="inlineStr">
        <is>
          <t>AUD</t>
        </is>
      </c>
      <c r="S124" t="n">
        <v>9.5</v>
      </c>
      <c r="T124" t="inlineStr">
        <is>
          <t>AUD</t>
        </is>
      </c>
      <c r="U124" t="n">
        <v>0.863636</v>
      </c>
      <c r="V124" t="inlineStr">
        <is>
          <t>AUD</t>
        </is>
      </c>
      <c r="W124" t="n">
        <v>70.95</v>
      </c>
      <c r="X124" t="b">
        <v>1</v>
      </c>
      <c r="Y124" s="3" t="inlineStr">
        <is>
          <t>2020-04-02 | PARCEL |  VGS | 11.0000 unit @ A$70.95 / unit | Total cost base = A$789.95 |</t>
        </is>
      </c>
      <c r="Z124" t="n">
        <v/>
      </c>
    </row>
    <row r="125">
      <c r="A125" s="5" t="inlineStr">
        <is>
          <t>01a1212c-72e4-73c6-be90-730f7497600a</t>
        </is>
      </c>
      <c r="B125" t="inlineStr">
        <is>
          <t>B124</t>
        </is>
      </c>
      <c r="C125" s="5" t="inlineStr">
        <is>
          <t>01a1212c-4b57-70cf-80fd-c2192cb3bf81</t>
        </is>
      </c>
      <c r="D125" s="4" t="n">
        <v>46304.62411525508</v>
      </c>
      <c r="E125" s="4" t="n">
        <v>46304.62411525516</v>
      </c>
      <c r="F125" t="b">
        <v>1</v>
      </c>
      <c r="G125" t="n">
        <v/>
      </c>
      <c r="H125" t="inlineStr">
        <is>
          <t>2020-04-14 | Buy | BHP | 52.0000 unit @ A$28.19 / unit</t>
        </is>
      </c>
      <c r="I125" t="inlineStr">
        <is>
          <t>BHP</t>
        </is>
      </c>
      <c r="J125" s="6" t="n">
        <v>43935</v>
      </c>
      <c r="K125" t="n">
        <v>52</v>
      </c>
      <c r="L125" t="inlineStr">
        <is>
          <t>AUD</t>
        </is>
      </c>
      <c r="M125" t="n">
        <v>28.1903</v>
      </c>
      <c r="N125" t="inlineStr">
        <is>
          <t>AUD</t>
        </is>
      </c>
      <c r="O125" t="n">
        <v>19.95</v>
      </c>
      <c r="P125" t="inlineStr"/>
      <c r="Q125" t="inlineStr">
        <is>
          <t>FY2019/20</t>
        </is>
      </c>
      <c r="R125" t="inlineStr">
        <is>
          <t>AUD</t>
        </is>
      </c>
      <c r="S125" t="n">
        <v>19.95</v>
      </c>
      <c r="T125" t="inlineStr">
        <is>
          <t>AUD</t>
        </is>
      </c>
      <c r="U125" t="n">
        <v>0.383654</v>
      </c>
      <c r="V125" t="inlineStr">
        <is>
          <t>AUD</t>
        </is>
      </c>
      <c r="W125" t="n">
        <v>28.1903</v>
      </c>
      <c r="X125" t="b">
        <v>1</v>
      </c>
      <c r="Y125" s="3" t="inlineStr">
        <is>
          <t>2020-04-14 | PARCEL |  BHP | 52.0000 unit @ A$28.19 / unit | Total cost base = A$1,485.85 |</t>
        </is>
      </c>
      <c r="Z125" t="n">
        <v/>
      </c>
    </row>
    <row r="126">
      <c r="A126" s="5" t="inlineStr">
        <is>
          <t>01a1212c-72f9-77c8-8006-19b03a2d94a0</t>
        </is>
      </c>
      <c r="B126" t="inlineStr">
        <is>
          <t>B125</t>
        </is>
      </c>
      <c r="C126" s="5" t="inlineStr">
        <is>
          <t>01a1212c-4b57-70cf-80fd-c2192cb3bf81</t>
        </is>
      </c>
      <c r="D126" s="4" t="n">
        <v>46304.62411548811</v>
      </c>
      <c r="E126" s="4" t="n">
        <v>46304.62411548819</v>
      </c>
      <c r="F126" t="b">
        <v>1</v>
      </c>
      <c r="G126" t="n">
        <v/>
      </c>
      <c r="H126" t="inlineStr">
        <is>
          <t>2020-05-04 | Buy | A200 | 13.0000 unit @ A$89.43 / unit</t>
        </is>
      </c>
      <c r="I126" t="inlineStr">
        <is>
          <t>A200</t>
        </is>
      </c>
      <c r="J126" s="6" t="n">
        <v>43955</v>
      </c>
      <c r="K126" t="n">
        <v>13</v>
      </c>
      <c r="L126" t="inlineStr">
        <is>
          <t>AUD</t>
        </is>
      </c>
      <c r="M126" t="n">
        <v>89.43000000000001</v>
      </c>
      <c r="N126" t="inlineStr">
        <is>
          <t>AUD</t>
        </is>
      </c>
      <c r="O126" t="n">
        <v>9.5</v>
      </c>
      <c r="P126" t="inlineStr"/>
      <c r="Q126" t="inlineStr">
        <is>
          <t>FY2019/20</t>
        </is>
      </c>
      <c r="R126" t="inlineStr">
        <is>
          <t>AUD</t>
        </is>
      </c>
      <c r="S126" t="n">
        <v>9.5</v>
      </c>
      <c r="T126" t="inlineStr">
        <is>
          <t>AUD</t>
        </is>
      </c>
      <c r="U126" t="n">
        <v>0.730769</v>
      </c>
      <c r="V126" t="inlineStr">
        <is>
          <t>AUD</t>
        </is>
      </c>
      <c r="W126" t="n">
        <v>89.43000000000001</v>
      </c>
      <c r="X126" t="b">
        <v>1</v>
      </c>
      <c r="Y126" s="3" t="inlineStr">
        <is>
          <t>2020-05-04 | PARCEL |  A200 | 13.0000 unit @ A$89.43 / unit | Total cost base = A$1,172.09 |</t>
        </is>
      </c>
      <c r="Z126" t="n">
        <v/>
      </c>
    </row>
    <row r="127">
      <c r="A127" s="5" t="inlineStr">
        <is>
          <t>01a1212c-730e-72b8-a388-79ca267c7169</t>
        </is>
      </c>
      <c r="B127" t="inlineStr">
        <is>
          <t>B126</t>
        </is>
      </c>
      <c r="C127" s="5" t="inlineStr">
        <is>
          <t>01a1212c-4b57-70cf-80fd-c2192cb3bf81</t>
        </is>
      </c>
      <c r="D127" s="4" t="n">
        <v>46304.62411573883</v>
      </c>
      <c r="E127" s="4" t="n">
        <v>46304.6241157389</v>
      </c>
      <c r="F127" t="b">
        <v>1</v>
      </c>
      <c r="G127" t="n">
        <v/>
      </c>
      <c r="H127" t="inlineStr">
        <is>
          <t>2020-05-04 | Buy | VGS | 20.0000 unit @ A$74.75 / unit</t>
        </is>
      </c>
      <c r="I127" t="inlineStr">
        <is>
          <t>VGS</t>
        </is>
      </c>
      <c r="J127" s="6" t="n">
        <v>43955</v>
      </c>
      <c r="K127" t="n">
        <v>20</v>
      </c>
      <c r="L127" t="inlineStr">
        <is>
          <t>AUD</t>
        </is>
      </c>
      <c r="M127" t="n">
        <v>74.75</v>
      </c>
      <c r="N127" t="inlineStr">
        <is>
          <t>AUD</t>
        </is>
      </c>
      <c r="O127" t="n">
        <v>9.5</v>
      </c>
      <c r="P127" t="inlineStr"/>
      <c r="Q127" t="inlineStr">
        <is>
          <t>FY2019/20</t>
        </is>
      </c>
      <c r="R127" t="inlineStr">
        <is>
          <t>AUD</t>
        </is>
      </c>
      <c r="S127" t="n">
        <v>9.5</v>
      </c>
      <c r="T127" t="inlineStr">
        <is>
          <t>AUD</t>
        </is>
      </c>
      <c r="U127" t="n">
        <v>0.475</v>
      </c>
      <c r="V127" t="inlineStr">
        <is>
          <t>AUD</t>
        </is>
      </c>
      <c r="W127" t="n">
        <v>74.75</v>
      </c>
      <c r="X127" t="b">
        <v>1</v>
      </c>
      <c r="Y127" s="3" t="inlineStr">
        <is>
          <t>2020-05-04 | PARCEL |  VGS | 20.0000 unit @ A$74.75 / unit | Total cost base = A$1,504.50 |</t>
        </is>
      </c>
      <c r="Z127" t="n">
        <v/>
      </c>
    </row>
    <row r="128">
      <c r="A128" s="5" t="inlineStr">
        <is>
          <t>01a1212c-7325-7291-90d8-1a91a7136eae</t>
        </is>
      </c>
      <c r="B128" t="inlineStr">
        <is>
          <t>B127</t>
        </is>
      </c>
      <c r="C128" s="5" t="inlineStr">
        <is>
          <t>01a1212c-4b57-70cf-80fd-c2192cb3bf81</t>
        </is>
      </c>
      <c r="D128" s="4" t="n">
        <v>46304.6241160076</v>
      </c>
      <c r="E128" s="4" t="n">
        <v>46304.6241160077</v>
      </c>
      <c r="F128" t="b">
        <v>1</v>
      </c>
      <c r="G128" t="n">
        <v/>
      </c>
      <c r="H128" t="inlineStr">
        <is>
          <t>2020-06-02 | Buy | A200 | 13.0000 unit @ A$98.20 / unit</t>
        </is>
      </c>
      <c r="I128" t="inlineStr">
        <is>
          <t>A200</t>
        </is>
      </c>
      <c r="J128" s="6" t="n">
        <v>43984</v>
      </c>
      <c r="K128" t="n">
        <v>13</v>
      </c>
      <c r="L128" t="inlineStr">
        <is>
          <t>AUD</t>
        </is>
      </c>
      <c r="M128" t="n">
        <v>98.2</v>
      </c>
      <c r="N128" t="inlineStr">
        <is>
          <t>AUD</t>
        </is>
      </c>
      <c r="O128" t="n">
        <v>9.5</v>
      </c>
      <c r="P128" t="inlineStr"/>
      <c r="Q128" t="inlineStr">
        <is>
          <t>FY2019/20</t>
        </is>
      </c>
      <c r="R128" t="inlineStr">
        <is>
          <t>AUD</t>
        </is>
      </c>
      <c r="S128" t="n">
        <v>9.5</v>
      </c>
      <c r="T128" t="inlineStr">
        <is>
          <t>AUD</t>
        </is>
      </c>
      <c r="U128" t="n">
        <v>0.730769</v>
      </c>
      <c r="V128" t="inlineStr">
        <is>
          <t>AUD</t>
        </is>
      </c>
      <c r="W128" t="n">
        <v>98.2</v>
      </c>
      <c r="X128" t="b">
        <v>1</v>
      </c>
      <c r="Y128" s="3" t="inlineStr">
        <is>
          <t>2020-06-02 | PARCEL |  A200 | 13.0000 unit @ A$98.20 / unit | Total cost base = A$1,286.10 |</t>
        </is>
      </c>
      <c r="Z128" t="n">
        <v/>
      </c>
    </row>
    <row r="129">
      <c r="A129" s="5" t="inlineStr">
        <is>
          <t>01a1212c-733b-741e-8530-fb78ef346fbb</t>
        </is>
      </c>
      <c r="B129" t="inlineStr">
        <is>
          <t>B128</t>
        </is>
      </c>
      <c r="C129" s="5" t="inlineStr">
        <is>
          <t>01a1212c-4b57-70cf-80fd-c2192cb3bf81</t>
        </is>
      </c>
      <c r="D129" s="4" t="n">
        <v>46304.62411626207</v>
      </c>
      <c r="E129" s="4" t="n">
        <v>46304.62411626214</v>
      </c>
      <c r="F129" t="b">
        <v>1</v>
      </c>
      <c r="G129" t="n">
        <v/>
      </c>
      <c r="H129" t="inlineStr">
        <is>
          <t>2020-06-02 | Buy | VGS | 21.0000 unit @ A$77.23 / unit</t>
        </is>
      </c>
      <c r="I129" t="inlineStr">
        <is>
          <t>VGS</t>
        </is>
      </c>
      <c r="J129" s="6" t="n">
        <v>43984</v>
      </c>
      <c r="K129" t="n">
        <v>21</v>
      </c>
      <c r="L129" t="inlineStr">
        <is>
          <t>AUD</t>
        </is>
      </c>
      <c r="M129" t="n">
        <v>77.23</v>
      </c>
      <c r="N129" t="inlineStr">
        <is>
          <t>AUD</t>
        </is>
      </c>
      <c r="O129" t="n">
        <v>9.5</v>
      </c>
      <c r="P129" t="inlineStr"/>
      <c r="Q129" t="inlineStr">
        <is>
          <t>FY2019/20</t>
        </is>
      </c>
      <c r="R129" t="inlineStr">
        <is>
          <t>AUD</t>
        </is>
      </c>
      <c r="S129" t="n">
        <v>9.5</v>
      </c>
      <c r="T129" t="inlineStr">
        <is>
          <t>AUD</t>
        </is>
      </c>
      <c r="U129" t="n">
        <v>0.452381</v>
      </c>
      <c r="V129" t="inlineStr">
        <is>
          <t>AUD</t>
        </is>
      </c>
      <c r="W129" t="n">
        <v>77.23</v>
      </c>
      <c r="X129" t="b">
        <v>1</v>
      </c>
      <c r="Y129" s="3" t="inlineStr">
        <is>
          <t>2020-06-02 | PARCEL |  VGS | 21.0000 unit @ A$77.23 / unit | Total cost base = A$1,631.33 |</t>
        </is>
      </c>
      <c r="Z129" t="n">
        <v/>
      </c>
    </row>
    <row r="130">
      <c r="A130" s="5" t="inlineStr">
        <is>
          <t>01a1212c-7350-711b-8f5f-378ef181fb76</t>
        </is>
      </c>
      <c r="B130" t="inlineStr">
        <is>
          <t>B129</t>
        </is>
      </c>
      <c r="C130" s="5" t="inlineStr">
        <is>
          <t>01a1212c-4b57-70cf-80fd-c2192cb3bf81</t>
        </is>
      </c>
      <c r="D130" s="4" t="n">
        <v>46304.62411651929</v>
      </c>
      <c r="E130" s="4" t="n">
        <v>46304.62411651935</v>
      </c>
      <c r="F130" t="b">
        <v>1</v>
      </c>
      <c r="G130" t="n">
        <v/>
      </c>
      <c r="H130" t="inlineStr">
        <is>
          <t>2020-06-08 | Buy | MSFT | 4.0000 unit @ $188.36 / unit</t>
        </is>
      </c>
      <c r="I130" t="inlineStr">
        <is>
          <t>MSFT</t>
        </is>
      </c>
      <c r="J130" s="6" t="n">
        <v>43990</v>
      </c>
      <c r="K130" t="n">
        <v>4</v>
      </c>
      <c r="L130" t="inlineStr">
        <is>
          <t>USD</t>
        </is>
      </c>
      <c r="M130" t="n">
        <v>188.36</v>
      </c>
      <c r="N130" t="inlineStr">
        <is>
          <t>USD</t>
        </is>
      </c>
      <c r="O130" t="n">
        <v>5</v>
      </c>
      <c r="P130" t="inlineStr"/>
      <c r="Q130" t="inlineStr">
        <is>
          <t>FY2019/20</t>
        </is>
      </c>
      <c r="R130" t="inlineStr">
        <is>
          <t>AUD</t>
        </is>
      </c>
      <c r="S130" t="n">
        <v>7.5</v>
      </c>
      <c r="T130" t="inlineStr">
        <is>
          <t>AUD</t>
        </is>
      </c>
      <c r="U130" t="n">
        <v>1.875</v>
      </c>
      <c r="V130" t="inlineStr">
        <is>
          <t>AUD</t>
        </is>
      </c>
      <c r="W130" t="n">
        <v>282.54</v>
      </c>
      <c r="X130" t="b">
        <v>1</v>
      </c>
      <c r="Y130" s="3" t="inlineStr">
        <is>
          <t>2020-06-08 | PARCEL |  MSFT | 4.0000 unit @ A$282.54 / unit | Total cost base = A$1,137.66 |</t>
        </is>
      </c>
      <c r="Z130" s="5" t="inlineStr">
        <is>
          <t>01a1212c-7352-7636-b0d0-70ba468200f3</t>
        </is>
      </c>
    </row>
    <row r="131">
      <c r="A131" s="5" t="inlineStr">
        <is>
          <t>01a1212c-7368-712b-9d41-a7df8c7e4459</t>
        </is>
      </c>
      <c r="B131" t="inlineStr">
        <is>
          <t>B130</t>
        </is>
      </c>
      <c r="C131" s="5" t="inlineStr">
        <is>
          <t>01a1212c-4b57-70cf-80fd-c2192cb3bf81</t>
        </is>
      </c>
      <c r="D131" s="4" t="n">
        <v>46304.62411679629</v>
      </c>
      <c r="E131" s="4" t="n">
        <v>46304.62411679635</v>
      </c>
      <c r="F131" t="b">
        <v>1</v>
      </c>
      <c r="G131" t="n">
        <v/>
      </c>
      <c r="H131" t="inlineStr">
        <is>
          <t>2020-06-22 | Buy | AMZN | 1.0000 unit @ $2,713.82 / unit</t>
        </is>
      </c>
      <c r="I131" t="inlineStr">
        <is>
          <t>AMZN</t>
        </is>
      </c>
      <c r="J131" s="6" t="n">
        <v>44004</v>
      </c>
      <c r="K131" t="n">
        <v>1</v>
      </c>
      <c r="L131" t="inlineStr">
        <is>
          <t>USD</t>
        </is>
      </c>
      <c r="M131" t="n">
        <v>2713.8199</v>
      </c>
      <c r="N131" t="inlineStr">
        <is>
          <t>USD</t>
        </is>
      </c>
      <c r="O131" t="n">
        <v>5</v>
      </c>
      <c r="P131" t="inlineStr"/>
      <c r="Q131" t="inlineStr">
        <is>
          <t>FY2019/20</t>
        </is>
      </c>
      <c r="R131" t="inlineStr">
        <is>
          <t>AUD</t>
        </is>
      </c>
      <c r="S131" t="n">
        <v>7.5</v>
      </c>
      <c r="T131" t="inlineStr">
        <is>
          <t>AUD</t>
        </is>
      </c>
      <c r="U131" t="n">
        <v>7.5</v>
      </c>
      <c r="V131" t="inlineStr">
        <is>
          <t>AUD</t>
        </is>
      </c>
      <c r="W131" t="n">
        <v>4070.72985</v>
      </c>
      <c r="X131" t="b">
        <v>1</v>
      </c>
      <c r="Y131" s="3" t="inlineStr">
        <is>
          <t>2020-06-22 | PARCEL |  AMZN | 1.0000 unit @ A$4,070.73 / unit | Total cost base = A$4,078.23 |</t>
        </is>
      </c>
      <c r="Z131" s="5" t="inlineStr">
        <is>
          <t>01a1212c-736a-70b9-945e-b12f4e0f5fc7</t>
        </is>
      </c>
    </row>
    <row r="132">
      <c r="A132" s="5" t="inlineStr">
        <is>
          <t>01a1212c-7380-7361-b2c4-fdccc28184dd</t>
        </is>
      </c>
      <c r="B132" t="inlineStr">
        <is>
          <t>B131</t>
        </is>
      </c>
      <c r="C132" s="5" t="inlineStr">
        <is>
          <t>01a1212c-4b57-70cf-80fd-c2192cb3bf81</t>
        </is>
      </c>
      <c r="D132" s="4" t="n">
        <v>46304.62411704977</v>
      </c>
      <c r="E132" s="4" t="n">
        <v>46304.62411704984</v>
      </c>
      <c r="F132" t="b">
        <v>1</v>
      </c>
      <c r="G132" t="n">
        <v/>
      </c>
      <c r="H132" t="inlineStr">
        <is>
          <t>2020-07-06 | Buy | A200 | 13.0000 unit @ A$100.87 / unit</t>
        </is>
      </c>
      <c r="I132" t="inlineStr">
        <is>
          <t>A200</t>
        </is>
      </c>
      <c r="J132" s="6" t="n">
        <v>44018</v>
      </c>
      <c r="K132" t="n">
        <v>13</v>
      </c>
      <c r="L132" t="inlineStr">
        <is>
          <t>AUD</t>
        </is>
      </c>
      <c r="M132" t="n">
        <v>100.87</v>
      </c>
      <c r="N132" t="inlineStr">
        <is>
          <t>AUD</t>
        </is>
      </c>
      <c r="O132" t="n">
        <v>9.5</v>
      </c>
      <c r="P132" t="inlineStr"/>
      <c r="Q132" t="inlineStr">
        <is>
          <t>FY2020/21</t>
        </is>
      </c>
      <c r="R132" t="inlineStr">
        <is>
          <t>AUD</t>
        </is>
      </c>
      <c r="S132" t="n">
        <v>9.5</v>
      </c>
      <c r="T132" t="inlineStr">
        <is>
          <t>AUD</t>
        </is>
      </c>
      <c r="U132" t="n">
        <v>0.730769</v>
      </c>
      <c r="V132" t="inlineStr">
        <is>
          <t>AUD</t>
        </is>
      </c>
      <c r="W132" t="n">
        <v>100.87</v>
      </c>
      <c r="X132" t="b">
        <v>1</v>
      </c>
      <c r="Y132" s="3" t="inlineStr">
        <is>
          <t>2020-07-06 | PARCEL |  A200 | 13.0000 unit @ A$100.87 / unit | Total cost base = A$1,320.81 |</t>
        </is>
      </c>
      <c r="Z132" t="n">
        <v/>
      </c>
    </row>
    <row r="133">
      <c r="A133" s="5" t="inlineStr">
        <is>
          <t>01a1212c-7395-753d-8a0d-f54170016ba6</t>
        </is>
      </c>
      <c r="B133" t="inlineStr">
        <is>
          <t>B132</t>
        </is>
      </c>
      <c r="C133" s="5" t="inlineStr">
        <is>
          <t>01a1212c-4b57-70cf-80fd-c2192cb3bf81</t>
        </is>
      </c>
      <c r="D133" s="4" t="n">
        <v>46304.62411729979</v>
      </c>
      <c r="E133" s="4" t="n">
        <v>46304.62411729987</v>
      </c>
      <c r="F133" t="b">
        <v>1</v>
      </c>
      <c r="G133" t="n">
        <v/>
      </c>
      <c r="H133" t="inlineStr">
        <is>
          <t>2020-07-06 | Buy | VGS | 21.0000 unit @ A$77.89 / unit</t>
        </is>
      </c>
      <c r="I133" t="inlineStr">
        <is>
          <t>VGS</t>
        </is>
      </c>
      <c r="J133" s="6" t="n">
        <v>44018</v>
      </c>
      <c r="K133" t="n">
        <v>21</v>
      </c>
      <c r="L133" t="inlineStr">
        <is>
          <t>AUD</t>
        </is>
      </c>
      <c r="M133" t="n">
        <v>77.89</v>
      </c>
      <c r="N133" t="inlineStr">
        <is>
          <t>AUD</t>
        </is>
      </c>
      <c r="O133" t="n">
        <v>9.5</v>
      </c>
      <c r="P133" t="inlineStr"/>
      <c r="Q133" t="inlineStr">
        <is>
          <t>FY2020/21</t>
        </is>
      </c>
      <c r="R133" t="inlineStr">
        <is>
          <t>AUD</t>
        </is>
      </c>
      <c r="S133" t="n">
        <v>9.5</v>
      </c>
      <c r="T133" t="inlineStr">
        <is>
          <t>AUD</t>
        </is>
      </c>
      <c r="U133" t="n">
        <v>0.452381</v>
      </c>
      <c r="V133" t="inlineStr">
        <is>
          <t>AUD</t>
        </is>
      </c>
      <c r="W133" t="n">
        <v>77.89</v>
      </c>
      <c r="X133" t="b">
        <v>1</v>
      </c>
      <c r="Y133" s="3" t="inlineStr">
        <is>
          <t>2020-07-06 | PARCEL |  VGS | 21.0000 unit @ A$77.89 / unit | Total cost base = A$1,645.19 |</t>
        </is>
      </c>
      <c r="Z133" t="n">
        <v/>
      </c>
    </row>
    <row r="134">
      <c r="A134" s="5" t="inlineStr">
        <is>
          <t>01a1212c-73aa-72c8-978a-0b89b383ef95</t>
        </is>
      </c>
      <c r="B134" t="inlineStr">
        <is>
          <t>B133</t>
        </is>
      </c>
      <c r="C134" s="5" t="inlineStr">
        <is>
          <t>01a1212c-4b57-70cf-80fd-c2192cb3bf81</t>
        </is>
      </c>
      <c r="D134" s="4" t="n">
        <v>46304.62411756072</v>
      </c>
      <c r="E134" s="4" t="n">
        <v>46304.62411756077</v>
      </c>
      <c r="F134" t="b">
        <v>1</v>
      </c>
      <c r="G134" t="n">
        <v/>
      </c>
      <c r="H134" t="inlineStr">
        <is>
          <t>2020-07-13 | Buy | MSFT | 1.0000 unit @ $207.07 / unit</t>
        </is>
      </c>
      <c r="I134" t="inlineStr">
        <is>
          <t>MSFT</t>
        </is>
      </c>
      <c r="J134" s="6" t="n">
        <v>44025</v>
      </c>
      <c r="K134" t="n">
        <v>1</v>
      </c>
      <c r="L134" t="inlineStr">
        <is>
          <t>USD</t>
        </is>
      </c>
      <c r="M134" t="n">
        <v>207.07</v>
      </c>
      <c r="N134" t="inlineStr">
        <is>
          <t>USD</t>
        </is>
      </c>
      <c r="O134" t="n">
        <v>5</v>
      </c>
      <c r="P134" t="inlineStr"/>
      <c r="Q134" t="inlineStr">
        <is>
          <t>FY2020/21</t>
        </is>
      </c>
      <c r="R134" t="inlineStr">
        <is>
          <t>AUD</t>
        </is>
      </c>
      <c r="S134" t="n">
        <v>7.5</v>
      </c>
      <c r="T134" t="inlineStr">
        <is>
          <t>AUD</t>
        </is>
      </c>
      <c r="U134" t="n">
        <v>7.5</v>
      </c>
      <c r="V134" t="inlineStr">
        <is>
          <t>AUD</t>
        </is>
      </c>
      <c r="W134" t="n">
        <v>310.605</v>
      </c>
      <c r="X134" t="b">
        <v>1</v>
      </c>
      <c r="Y134" s="3" t="inlineStr">
        <is>
          <t>2020-07-13 | PARCEL |  MSFT | 1.0000 unit @ A$310.60 / unit | Total cost base = A$318.10 |</t>
        </is>
      </c>
      <c r="Z134" s="5" t="inlineStr">
        <is>
          <t>01a1212c-73ac-70a1-9e90-5fef491c115e</t>
        </is>
      </c>
    </row>
    <row r="135">
      <c r="A135" s="5" t="inlineStr">
        <is>
          <t>01a1212c-73c2-71bd-8928-ead4da41e250</t>
        </is>
      </c>
      <c r="B135" t="inlineStr">
        <is>
          <t>B134</t>
        </is>
      </c>
      <c r="C135" s="5" t="inlineStr">
        <is>
          <t>01a1212c-4b57-70cf-80fd-c2192cb3bf81</t>
        </is>
      </c>
      <c r="D135" s="4" t="n">
        <v>46304.62411784032</v>
      </c>
      <c r="E135" s="4" t="n">
        <v>46304.62411784039</v>
      </c>
      <c r="F135" t="b">
        <v>1</v>
      </c>
      <c r="G135" t="n">
        <v/>
      </c>
      <c r="H135" t="inlineStr">
        <is>
          <t>2020-07-27 | Buy | AAPL | 2.0000 unit @ $379.24 / unit</t>
        </is>
      </c>
      <c r="I135" t="inlineStr">
        <is>
          <t>AAPL</t>
        </is>
      </c>
      <c r="J135" s="6" t="n">
        <v>44039</v>
      </c>
      <c r="K135" t="n">
        <v>2</v>
      </c>
      <c r="L135" t="inlineStr">
        <is>
          <t>USD</t>
        </is>
      </c>
      <c r="M135" t="n">
        <v>379.24</v>
      </c>
      <c r="N135" t="inlineStr">
        <is>
          <t>USD</t>
        </is>
      </c>
      <c r="O135" t="n">
        <v>5</v>
      </c>
      <c r="P135" t="inlineStr"/>
      <c r="Q135" t="inlineStr">
        <is>
          <t>FY2020/21</t>
        </is>
      </c>
      <c r="R135" t="inlineStr">
        <is>
          <t>AUD</t>
        </is>
      </c>
      <c r="S135" t="n">
        <v>7.5</v>
      </c>
      <c r="T135" t="inlineStr">
        <is>
          <t>AUD</t>
        </is>
      </c>
      <c r="U135" t="n">
        <v>3.75</v>
      </c>
      <c r="V135" t="inlineStr">
        <is>
          <t>AUD</t>
        </is>
      </c>
      <c r="W135" t="n">
        <v>568.86</v>
      </c>
      <c r="X135" t="b">
        <v>1</v>
      </c>
      <c r="Y135" s="3" t="inlineStr">
        <is>
          <t>2020-07-27 | PARCEL |  AAPL | 2.0000 unit @ A$568.86 / unit | Total cost base = A$1,145.22 |</t>
        </is>
      </c>
      <c r="Z135" s="5" t="inlineStr">
        <is>
          <t>01a1212c-73c4-774b-8c2b-c6596f22cc3b</t>
        </is>
      </c>
    </row>
    <row r="136">
      <c r="A136" s="5" t="inlineStr">
        <is>
          <t>01a1212c-73d9-716a-a7c7-7c2131a7a41e</t>
        </is>
      </c>
      <c r="B136" t="inlineStr">
        <is>
          <t>B135</t>
        </is>
      </c>
      <c r="C136" s="5" t="inlineStr">
        <is>
          <t>01a1212c-4b57-70cf-80fd-c2192cb3bf81</t>
        </is>
      </c>
      <c r="D136" s="4" t="n">
        <v>46304.62411810433</v>
      </c>
      <c r="E136" s="4" t="n">
        <v>46304.62411810439</v>
      </c>
      <c r="F136" t="b">
        <v>1</v>
      </c>
      <c r="G136" t="n">
        <v/>
      </c>
      <c r="H136" t="inlineStr">
        <is>
          <t>2020-07-28 | Buy | AAPL | 1.0000 unit @ $373.01 / unit</t>
        </is>
      </c>
      <c r="I136" t="inlineStr">
        <is>
          <t>AAPL</t>
        </is>
      </c>
      <c r="J136" s="6" t="n">
        <v>44040</v>
      </c>
      <c r="K136" t="n">
        <v>1</v>
      </c>
      <c r="L136" t="inlineStr">
        <is>
          <t>USD</t>
        </is>
      </c>
      <c r="M136" t="n">
        <v>373.01</v>
      </c>
      <c r="N136" t="inlineStr">
        <is>
          <t>USD</t>
        </is>
      </c>
      <c r="O136" t="n">
        <v>5</v>
      </c>
      <c r="P136" t="inlineStr"/>
      <c r="Q136" t="inlineStr">
        <is>
          <t>FY2020/21</t>
        </is>
      </c>
      <c r="R136" t="inlineStr">
        <is>
          <t>AUD</t>
        </is>
      </c>
      <c r="S136" t="n">
        <v>7.5</v>
      </c>
      <c r="T136" t="inlineStr">
        <is>
          <t>AUD</t>
        </is>
      </c>
      <c r="U136" t="n">
        <v>7.5</v>
      </c>
      <c r="V136" t="inlineStr">
        <is>
          <t>AUD</t>
        </is>
      </c>
      <c r="W136" t="n">
        <v>559.515</v>
      </c>
      <c r="X136" t="b">
        <v>1</v>
      </c>
      <c r="Y136" s="3" t="inlineStr">
        <is>
          <t>2020-07-28 | PARCEL |  AAPL | 1.0000 unit @ A$559.52 / unit | Total cost base = A$567.02 |</t>
        </is>
      </c>
      <c r="Z136" s="5" t="inlineStr">
        <is>
          <t>01a1212c-73db-762d-bc12-16a2fd6ba976</t>
        </is>
      </c>
    </row>
    <row r="137">
      <c r="A137" s="5" t="inlineStr">
        <is>
          <t>01a1212c-73f0-74dd-addc-cf8de8d0c287</t>
        </is>
      </c>
      <c r="B137" t="inlineStr">
        <is>
          <t>B136</t>
        </is>
      </c>
      <c r="C137" s="5" t="inlineStr">
        <is>
          <t>01a1212c-4b57-70cf-80fd-c2192cb3bf81</t>
        </is>
      </c>
      <c r="D137" s="4" t="n">
        <v>46304.62411835199</v>
      </c>
      <c r="E137" s="4" t="n">
        <v>46304.62411835206</v>
      </c>
      <c r="F137" t="b">
        <v>1</v>
      </c>
      <c r="G137" t="n">
        <v/>
      </c>
      <c r="H137" t="inlineStr">
        <is>
          <t>2020-08-03 | Buy | A200 | 6.0000 unit @ A$99.07 / unit</t>
        </is>
      </c>
      <c r="I137" t="inlineStr">
        <is>
          <t>A200</t>
        </is>
      </c>
      <c r="J137" s="6" t="n">
        <v>44046</v>
      </c>
      <c r="K137" t="n">
        <v>6</v>
      </c>
      <c r="L137" t="inlineStr">
        <is>
          <t>AUD</t>
        </is>
      </c>
      <c r="M137" t="n">
        <v>99.06999999999999</v>
      </c>
      <c r="N137" t="inlineStr">
        <is>
          <t>AUD</t>
        </is>
      </c>
      <c r="O137" t="n">
        <v>9.5</v>
      </c>
      <c r="P137" t="inlineStr"/>
      <c r="Q137" t="inlineStr">
        <is>
          <t>FY2020/21</t>
        </is>
      </c>
      <c r="R137" t="inlineStr">
        <is>
          <t>AUD</t>
        </is>
      </c>
      <c r="S137" t="n">
        <v>9.5</v>
      </c>
      <c r="T137" t="inlineStr">
        <is>
          <t>AUD</t>
        </is>
      </c>
      <c r="U137" t="n">
        <v>1.583333</v>
      </c>
      <c r="V137" t="inlineStr">
        <is>
          <t>AUD</t>
        </is>
      </c>
      <c r="W137" t="n">
        <v>99.06999999999999</v>
      </c>
      <c r="X137" t="b">
        <v>1</v>
      </c>
      <c r="Y137" s="3" t="inlineStr">
        <is>
          <t>2020-08-03 | PARCEL |  A200 | 6.0000 unit @ A$99.07 / unit | Total cost base = A$603.92 |</t>
        </is>
      </c>
      <c r="Z137" t="n">
        <v/>
      </c>
    </row>
    <row r="138">
      <c r="A138" s="5" t="inlineStr">
        <is>
          <t>01a1212c-7405-7482-94ff-8e3d6dd968ee</t>
        </is>
      </c>
      <c r="B138" t="inlineStr">
        <is>
          <t>B137</t>
        </is>
      </c>
      <c r="C138" s="5" t="inlineStr">
        <is>
          <t>01a1212c-4b57-70cf-80fd-c2192cb3bf81</t>
        </is>
      </c>
      <c r="D138" s="4" t="n">
        <v>46304.62411859505</v>
      </c>
      <c r="E138" s="4" t="n">
        <v>46304.62411859511</v>
      </c>
      <c r="F138" t="b">
        <v>1</v>
      </c>
      <c r="G138" t="n">
        <v/>
      </c>
      <c r="H138" t="inlineStr">
        <is>
          <t>2020-08-03 | Buy | VGS | 10.0000 unit @ A$77.71 / unit</t>
        </is>
      </c>
      <c r="I138" t="inlineStr">
        <is>
          <t>VGS</t>
        </is>
      </c>
      <c r="J138" s="6" t="n">
        <v>44046</v>
      </c>
      <c r="K138" t="n">
        <v>10</v>
      </c>
      <c r="L138" t="inlineStr">
        <is>
          <t>AUD</t>
        </is>
      </c>
      <c r="M138" t="n">
        <v>77.70999999999999</v>
      </c>
      <c r="N138" t="inlineStr">
        <is>
          <t>AUD</t>
        </is>
      </c>
      <c r="O138" t="n">
        <v>9.5</v>
      </c>
      <c r="P138" t="inlineStr"/>
      <c r="Q138" t="inlineStr">
        <is>
          <t>FY2020/21</t>
        </is>
      </c>
      <c r="R138" t="inlineStr">
        <is>
          <t>AUD</t>
        </is>
      </c>
      <c r="S138" t="n">
        <v>9.5</v>
      </c>
      <c r="T138" t="inlineStr">
        <is>
          <t>AUD</t>
        </is>
      </c>
      <c r="U138" t="n">
        <v>0.95</v>
      </c>
      <c r="V138" t="inlineStr">
        <is>
          <t>AUD</t>
        </is>
      </c>
      <c r="W138" t="n">
        <v>77.70999999999999</v>
      </c>
      <c r="X138" t="b">
        <v>1</v>
      </c>
      <c r="Y138" s="3" t="inlineStr">
        <is>
          <t>2020-08-03 | PARCEL |  VGS | 10.0000 unit @ A$77.71 / unit | Total cost base = A$786.60 |</t>
        </is>
      </c>
      <c r="Z138" t="n">
        <v/>
      </c>
    </row>
    <row r="139">
      <c r="A139" s="5" t="inlineStr">
        <is>
          <t>01a1212c-741b-73ae-b060-f2aa104c063e</t>
        </is>
      </c>
      <c r="B139" t="inlineStr">
        <is>
          <t>B138</t>
        </is>
      </c>
      <c r="C139" s="5" t="inlineStr">
        <is>
          <t>01a1212c-4b57-70cf-80fd-c2192cb3bf81</t>
        </is>
      </c>
      <c r="D139" s="4" t="n">
        <v>46304.62411884429</v>
      </c>
      <c r="E139" s="4" t="n">
        <v>46304.62411884437</v>
      </c>
      <c r="F139" t="b">
        <v>1</v>
      </c>
      <c r="G139" t="n">
        <v/>
      </c>
      <c r="H139" t="inlineStr">
        <is>
          <t>2020-09-07 | Buy | A200 | 15.0000 unit @ A$99.95 / unit</t>
        </is>
      </c>
      <c r="I139" t="inlineStr">
        <is>
          <t>A200</t>
        </is>
      </c>
      <c r="J139" s="6" t="n">
        <v>44081</v>
      </c>
      <c r="K139" t="n">
        <v>15</v>
      </c>
      <c r="L139" t="inlineStr">
        <is>
          <t>AUD</t>
        </is>
      </c>
      <c r="M139" t="n">
        <v>99.95</v>
      </c>
      <c r="N139" t="inlineStr">
        <is>
          <t>AUD</t>
        </is>
      </c>
      <c r="O139" t="n">
        <v>9.5</v>
      </c>
      <c r="P139" t="inlineStr"/>
      <c r="Q139" t="inlineStr">
        <is>
          <t>FY2020/21</t>
        </is>
      </c>
      <c r="R139" t="inlineStr">
        <is>
          <t>AUD</t>
        </is>
      </c>
      <c r="S139" t="n">
        <v>9.5</v>
      </c>
      <c r="T139" t="inlineStr">
        <is>
          <t>AUD</t>
        </is>
      </c>
      <c r="U139" t="n">
        <v>0.633333</v>
      </c>
      <c r="V139" t="inlineStr">
        <is>
          <t>AUD</t>
        </is>
      </c>
      <c r="W139" t="n">
        <v>99.95</v>
      </c>
      <c r="X139" t="b">
        <v>1</v>
      </c>
      <c r="Y139" s="3" t="inlineStr">
        <is>
          <t>2020-09-07 | PARCEL |  A200 | 15.0000 unit @ A$99.95 / unit | Total cost base = A$1,508.75 |</t>
        </is>
      </c>
      <c r="Z139" t="n">
        <v/>
      </c>
    </row>
    <row r="140">
      <c r="A140" s="5" t="inlineStr">
        <is>
          <t>01a1212c-7430-7759-b2ad-cade70aca8c2</t>
        </is>
      </c>
      <c r="B140" t="inlineStr">
        <is>
          <t>B139</t>
        </is>
      </c>
      <c r="C140" s="5" t="inlineStr">
        <is>
          <t>01a1212c-4b57-70cf-80fd-c2192cb3bf81</t>
        </is>
      </c>
      <c r="D140" s="4" t="n">
        <v>46304.62411909396</v>
      </c>
      <c r="E140" s="4" t="n">
        <v>46304.62411909403</v>
      </c>
      <c r="F140" t="b">
        <v>1</v>
      </c>
      <c r="G140" t="n">
        <v/>
      </c>
      <c r="H140" t="inlineStr">
        <is>
          <t>2020-09-07 | Buy | VGS | 23.0000 unit @ A$79.28 / unit</t>
        </is>
      </c>
      <c r="I140" t="inlineStr">
        <is>
          <t>VGS</t>
        </is>
      </c>
      <c r="J140" s="6" t="n">
        <v>44081</v>
      </c>
      <c r="K140" t="n">
        <v>23</v>
      </c>
      <c r="L140" t="inlineStr">
        <is>
          <t>AUD</t>
        </is>
      </c>
      <c r="M140" t="n">
        <v>79.28</v>
      </c>
      <c r="N140" t="inlineStr">
        <is>
          <t>AUD</t>
        </is>
      </c>
      <c r="O140" t="n">
        <v>9.5</v>
      </c>
      <c r="P140" t="inlineStr"/>
      <c r="Q140" t="inlineStr">
        <is>
          <t>FY2020/21</t>
        </is>
      </c>
      <c r="R140" t="inlineStr">
        <is>
          <t>AUD</t>
        </is>
      </c>
      <c r="S140" t="n">
        <v>9.5</v>
      </c>
      <c r="T140" t="inlineStr">
        <is>
          <t>AUD</t>
        </is>
      </c>
      <c r="U140" t="n">
        <v>0.413043</v>
      </c>
      <c r="V140" t="inlineStr">
        <is>
          <t>AUD</t>
        </is>
      </c>
      <c r="W140" t="n">
        <v>79.28</v>
      </c>
      <c r="X140" t="b">
        <v>1</v>
      </c>
      <c r="Y140" s="3" t="inlineStr">
        <is>
          <t>2020-09-07 | PARCEL |  VGS | 23.0000 unit @ A$79.28 / unit | Total cost base = A$1,832.94 |</t>
        </is>
      </c>
      <c r="Z140" t="n">
        <v/>
      </c>
    </row>
    <row r="141">
      <c r="A141" s="5" t="inlineStr">
        <is>
          <t>01a1212c-7447-7042-b6a7-3dbe887ea9bc</t>
        </is>
      </c>
      <c r="B141" t="inlineStr">
        <is>
          <t>B140</t>
        </is>
      </c>
      <c r="C141" s="5" t="inlineStr">
        <is>
          <t>01a1212c-4b57-70cf-80fd-c2192cb3bf81</t>
        </is>
      </c>
      <c r="D141" s="4" t="n">
        <v>46304.6241193697</v>
      </c>
      <c r="E141" s="4" t="n">
        <v>46304.62411936976</v>
      </c>
      <c r="F141" t="b">
        <v>1</v>
      </c>
      <c r="G141" t="n">
        <v/>
      </c>
      <c r="H141" t="inlineStr">
        <is>
          <t>2020-09-09 | Buy | AMZN | 1.0000 unit @ $3,268.61 / unit</t>
        </is>
      </c>
      <c r="I141" t="inlineStr">
        <is>
          <t>AMZN</t>
        </is>
      </c>
      <c r="J141" s="6" t="n">
        <v>44083</v>
      </c>
      <c r="K141" t="n">
        <v>1</v>
      </c>
      <c r="L141" t="inlineStr">
        <is>
          <t>USD</t>
        </is>
      </c>
      <c r="M141" t="n">
        <v>3268.6099</v>
      </c>
      <c r="N141" t="inlineStr">
        <is>
          <t>USD</t>
        </is>
      </c>
      <c r="O141" t="n">
        <v>5</v>
      </c>
      <c r="P141" t="inlineStr"/>
      <c r="Q141" t="inlineStr">
        <is>
          <t>FY2020/21</t>
        </is>
      </c>
      <c r="R141" t="inlineStr">
        <is>
          <t>AUD</t>
        </is>
      </c>
      <c r="S141" t="n">
        <v>7.5</v>
      </c>
      <c r="T141" t="inlineStr">
        <is>
          <t>AUD</t>
        </is>
      </c>
      <c r="U141" t="n">
        <v>7.5</v>
      </c>
      <c r="V141" t="inlineStr">
        <is>
          <t>AUD</t>
        </is>
      </c>
      <c r="W141" t="n">
        <v>4902.91485</v>
      </c>
      <c r="X141" t="b">
        <v>1</v>
      </c>
      <c r="Y141" s="3" t="inlineStr">
        <is>
          <t>2020-09-09 | PARCEL |  AMZN | 1.0000 unit @ A$4,902.91 / unit | Total cost base = A$4,910.41 |</t>
        </is>
      </c>
      <c r="Z141" s="5" t="inlineStr">
        <is>
          <t>01a1212c-7448-71d5-8111-61fffc328e2c</t>
        </is>
      </c>
    </row>
    <row r="142">
      <c r="A142" s="5" t="inlineStr">
        <is>
          <t>01a1212c-7460-77e6-a93c-d345291bf4bd</t>
        </is>
      </c>
      <c r="B142" t="inlineStr">
        <is>
          <t>B141</t>
        </is>
      </c>
      <c r="C142" s="5" t="inlineStr">
        <is>
          <t>01a1212c-4b57-70cf-80fd-c2192cb3bf81</t>
        </is>
      </c>
      <c r="D142" s="4" t="n">
        <v>46304.62411964713</v>
      </c>
      <c r="E142" s="4" t="n">
        <v>46304.6241196472</v>
      </c>
      <c r="F142" t="b">
        <v>1</v>
      </c>
      <c r="G142" t="n">
        <v/>
      </c>
      <c r="H142" t="inlineStr">
        <is>
          <t>2020-10-05 | Buy | A200 | 14.0000 unit @ A$99.53 / unit</t>
        </is>
      </c>
      <c r="I142" t="inlineStr">
        <is>
          <t>A200</t>
        </is>
      </c>
      <c r="J142" s="6" t="n">
        <v>44109</v>
      </c>
      <c r="K142" t="n">
        <v>14</v>
      </c>
      <c r="L142" t="inlineStr">
        <is>
          <t>AUD</t>
        </is>
      </c>
      <c r="M142" t="n">
        <v>99.53</v>
      </c>
      <c r="N142" t="inlineStr">
        <is>
          <t>AUD</t>
        </is>
      </c>
      <c r="O142" t="n">
        <v>9.5</v>
      </c>
      <c r="P142" t="inlineStr"/>
      <c r="Q142" t="inlineStr">
        <is>
          <t>FY2020/21</t>
        </is>
      </c>
      <c r="R142" t="inlineStr">
        <is>
          <t>AUD</t>
        </is>
      </c>
      <c r="S142" t="n">
        <v>9.5</v>
      </c>
      <c r="T142" t="inlineStr">
        <is>
          <t>AUD</t>
        </is>
      </c>
      <c r="U142" t="n">
        <v>0.678571</v>
      </c>
      <c r="V142" t="inlineStr">
        <is>
          <t>AUD</t>
        </is>
      </c>
      <c r="W142" t="n">
        <v>99.53</v>
      </c>
      <c r="X142" t="b">
        <v>1</v>
      </c>
      <c r="Y142" s="3" t="inlineStr">
        <is>
          <t>2020-10-05 | PARCEL |  A200 | 14.0000 unit @ A$99.53 / unit | Total cost base = A$1,402.92 |</t>
        </is>
      </c>
      <c r="Z142" t="n">
        <v/>
      </c>
    </row>
    <row r="143">
      <c r="A143" s="5" t="inlineStr">
        <is>
          <t>01a1212c-7478-7078-b25e-94bc2eb2edfe</t>
        </is>
      </c>
      <c r="B143" t="inlineStr">
        <is>
          <t>B142</t>
        </is>
      </c>
      <c r="C143" s="5" t="inlineStr">
        <is>
          <t>01a1212c-4b57-70cf-80fd-c2192cb3bf81</t>
        </is>
      </c>
      <c r="D143" s="4" t="n">
        <v>46304.62411992368</v>
      </c>
      <c r="E143" s="4" t="n">
        <v>46304.62411992376</v>
      </c>
      <c r="F143" t="b">
        <v>1</v>
      </c>
      <c r="G143" t="n">
        <v/>
      </c>
      <c r="H143" t="inlineStr">
        <is>
          <t>2020-10-05 | Buy | VGS | 22.0000 unit @ A$79.66 / unit</t>
        </is>
      </c>
      <c r="I143" t="inlineStr">
        <is>
          <t>VGS</t>
        </is>
      </c>
      <c r="J143" s="6" t="n">
        <v>44109</v>
      </c>
      <c r="K143" t="n">
        <v>22</v>
      </c>
      <c r="L143" t="inlineStr">
        <is>
          <t>AUD</t>
        </is>
      </c>
      <c r="M143" t="n">
        <v>79.66</v>
      </c>
      <c r="N143" t="inlineStr">
        <is>
          <t>AUD</t>
        </is>
      </c>
      <c r="O143" t="n">
        <v>9.5</v>
      </c>
      <c r="P143" t="inlineStr"/>
      <c r="Q143" t="inlineStr">
        <is>
          <t>FY2020/21</t>
        </is>
      </c>
      <c r="R143" t="inlineStr">
        <is>
          <t>AUD</t>
        </is>
      </c>
      <c r="S143" t="n">
        <v>9.5</v>
      </c>
      <c r="T143" t="inlineStr">
        <is>
          <t>AUD</t>
        </is>
      </c>
      <c r="U143" t="n">
        <v>0.431818</v>
      </c>
      <c r="V143" t="inlineStr">
        <is>
          <t>AUD</t>
        </is>
      </c>
      <c r="W143" t="n">
        <v>79.66</v>
      </c>
      <c r="X143" t="b">
        <v>1</v>
      </c>
      <c r="Y143" s="3" t="inlineStr">
        <is>
          <t>2020-10-05 | PARCEL |  VGS | 22.0000 unit @ A$79.66 / unit | Total cost base = A$1,762.02 |</t>
        </is>
      </c>
      <c r="Z143" t="n">
        <v/>
      </c>
    </row>
    <row r="144">
      <c r="A144" s="5" t="inlineStr">
        <is>
          <t>01a1212c-748d-7794-bdeb-c4d72044bf98</t>
        </is>
      </c>
      <c r="B144" t="inlineStr">
        <is>
          <t>B143</t>
        </is>
      </c>
      <c r="C144" s="5" t="inlineStr">
        <is>
          <t>01a1212c-4b57-70cf-80fd-c2192cb3bf81</t>
        </is>
      </c>
      <c r="D144" s="4" t="n">
        <v>46304.62412018943</v>
      </c>
      <c r="E144" s="4" t="n">
        <v>46304.62412018949</v>
      </c>
      <c r="F144" t="b">
        <v>1</v>
      </c>
      <c r="G144" t="n">
        <v/>
      </c>
      <c r="H144" t="inlineStr">
        <is>
          <t>2020-10-12 | Buy | AAPL | 6.0000 unit @ $124.40 / unit</t>
        </is>
      </c>
      <c r="I144" t="inlineStr">
        <is>
          <t>AAPL</t>
        </is>
      </c>
      <c r="J144" s="6" t="n">
        <v>44116</v>
      </c>
      <c r="K144" t="n">
        <v>6</v>
      </c>
      <c r="L144" t="inlineStr">
        <is>
          <t>USD</t>
        </is>
      </c>
      <c r="M144" t="n">
        <v>124.4</v>
      </c>
      <c r="N144" t="inlineStr">
        <is>
          <t>USD</t>
        </is>
      </c>
      <c r="O144" t="n">
        <v>5</v>
      </c>
      <c r="P144" t="inlineStr"/>
      <c r="Q144" t="inlineStr">
        <is>
          <t>FY2020/21</t>
        </is>
      </c>
      <c r="R144" t="inlineStr">
        <is>
          <t>AUD</t>
        </is>
      </c>
      <c r="S144" t="n">
        <v>7.5</v>
      </c>
      <c r="T144" t="inlineStr">
        <is>
          <t>AUD</t>
        </is>
      </c>
      <c r="U144" t="n">
        <v>1.25</v>
      </c>
      <c r="V144" t="inlineStr">
        <is>
          <t>AUD</t>
        </is>
      </c>
      <c r="W144" t="n">
        <v>186.6</v>
      </c>
      <c r="X144" t="b">
        <v>1</v>
      </c>
      <c r="Y144" s="3" t="inlineStr">
        <is>
          <t>2020-10-12 | PARCEL |  AAPL | 6.0000 unit @ A$186.60 / unit | Total cost base = A$1,127.10 |</t>
        </is>
      </c>
      <c r="Z144" s="5" t="inlineStr">
        <is>
          <t>01a1212c-748f-70f0-97a9-24d8fdf0669a</t>
        </is>
      </c>
    </row>
    <row r="145">
      <c r="A145" s="5" t="inlineStr">
        <is>
          <t>01a1212c-74a4-76a4-8b8b-f3b8d29b1397</t>
        </is>
      </c>
      <c r="B145" t="inlineStr">
        <is>
          <t>B144</t>
        </is>
      </c>
      <c r="C145" s="5" t="inlineStr">
        <is>
          <t>01a1212c-4b57-70cf-80fd-c2192cb3bf81</t>
        </is>
      </c>
      <c r="D145" s="4" t="n">
        <v>46304.62412043649</v>
      </c>
      <c r="E145" s="4" t="n">
        <v>46304.62412043655</v>
      </c>
      <c r="F145" t="b">
        <v>1</v>
      </c>
      <c r="G145" t="n">
        <v/>
      </c>
      <c r="H145" t="inlineStr">
        <is>
          <t>2020-11-06 | Buy | A200 | 8.0000 unit @ A$103.72 / unit</t>
        </is>
      </c>
      <c r="I145" t="inlineStr">
        <is>
          <t>A200</t>
        </is>
      </c>
      <c r="J145" s="6" t="n">
        <v>44141</v>
      </c>
      <c r="K145" t="n">
        <v>8</v>
      </c>
      <c r="L145" t="inlineStr">
        <is>
          <t>AUD</t>
        </is>
      </c>
      <c r="M145" t="n">
        <v>103.72</v>
      </c>
      <c r="N145" t="inlineStr">
        <is>
          <t>AUD</t>
        </is>
      </c>
      <c r="O145" t="n">
        <v>9.5</v>
      </c>
      <c r="P145" t="inlineStr"/>
      <c r="Q145" t="inlineStr">
        <is>
          <t>FY2020/21</t>
        </is>
      </c>
      <c r="R145" t="inlineStr">
        <is>
          <t>AUD</t>
        </is>
      </c>
      <c r="S145" t="n">
        <v>9.5</v>
      </c>
      <c r="T145" t="inlineStr">
        <is>
          <t>AUD</t>
        </is>
      </c>
      <c r="U145" t="n">
        <v>1.1875</v>
      </c>
      <c r="V145" t="inlineStr">
        <is>
          <t>AUD</t>
        </is>
      </c>
      <c r="W145" t="n">
        <v>103.72</v>
      </c>
      <c r="X145" t="b">
        <v>1</v>
      </c>
      <c r="Y145" s="3" t="inlineStr">
        <is>
          <t>2020-11-06 | PARCEL |  A200 | 8.0000 unit @ A$103.72 / unit | Total cost base = A$839.26 |</t>
        </is>
      </c>
      <c r="Z145" t="n">
        <v/>
      </c>
    </row>
    <row r="146">
      <c r="A146" s="5" t="inlineStr">
        <is>
          <t>01a1212c-74ba-75d9-8d4a-96e6ec11ce73</t>
        </is>
      </c>
      <c r="B146" t="inlineStr">
        <is>
          <t>B145</t>
        </is>
      </c>
      <c r="C146" s="5" t="inlineStr">
        <is>
          <t>01a1212c-4b57-70cf-80fd-c2192cb3bf81</t>
        </is>
      </c>
      <c r="D146" s="4" t="n">
        <v>46304.62412068842</v>
      </c>
      <c r="E146" s="4" t="n">
        <v>46304.62412068848</v>
      </c>
      <c r="F146" t="b">
        <v>1</v>
      </c>
      <c r="G146" t="n">
        <v/>
      </c>
      <c r="H146" t="inlineStr">
        <is>
          <t>2020-11-06 | Buy | VGS | 13.0000 unit @ A$81.22 / unit</t>
        </is>
      </c>
      <c r="I146" t="inlineStr">
        <is>
          <t>VGS</t>
        </is>
      </c>
      <c r="J146" s="6" t="n">
        <v>44141</v>
      </c>
      <c r="K146" t="n">
        <v>13</v>
      </c>
      <c r="L146" t="inlineStr">
        <is>
          <t>AUD</t>
        </is>
      </c>
      <c r="M146" t="n">
        <v>81.22</v>
      </c>
      <c r="N146" t="inlineStr">
        <is>
          <t>AUD</t>
        </is>
      </c>
      <c r="O146" t="n">
        <v>9.5</v>
      </c>
      <c r="P146" t="inlineStr"/>
      <c r="Q146" t="inlineStr">
        <is>
          <t>FY2020/21</t>
        </is>
      </c>
      <c r="R146" t="inlineStr">
        <is>
          <t>AUD</t>
        </is>
      </c>
      <c r="S146" t="n">
        <v>9.5</v>
      </c>
      <c r="T146" t="inlineStr">
        <is>
          <t>AUD</t>
        </is>
      </c>
      <c r="U146" t="n">
        <v>0.730769</v>
      </c>
      <c r="V146" t="inlineStr">
        <is>
          <t>AUD</t>
        </is>
      </c>
      <c r="W146" t="n">
        <v>81.22</v>
      </c>
      <c r="X146" t="b">
        <v>1</v>
      </c>
      <c r="Y146" s="3" t="inlineStr">
        <is>
          <t>2020-11-06 | PARCEL |  VGS | 13.0000 unit @ A$81.22 / unit | Total cost base = A$1,065.36 |</t>
        </is>
      </c>
      <c r="Z146" t="n">
        <v/>
      </c>
    </row>
    <row r="147">
      <c r="A147" s="5" t="inlineStr">
        <is>
          <t>01a1212c-74cf-716e-a347-09fca48c72bf</t>
        </is>
      </c>
      <c r="B147" t="inlineStr">
        <is>
          <t>B146</t>
        </is>
      </c>
      <c r="C147" s="5" t="inlineStr">
        <is>
          <t>01a1212c-4b57-70cf-80fd-c2192cb3bf81</t>
        </is>
      </c>
      <c r="D147" s="4" t="n">
        <v>46304.62412092742</v>
      </c>
      <c r="E147" s="4" t="n">
        <v>46304.62412092749</v>
      </c>
      <c r="F147" t="b">
        <v>1</v>
      </c>
      <c r="G147" t="n">
        <v/>
      </c>
      <c r="H147" t="inlineStr">
        <is>
          <t>2020-12-07 | Buy | A200 | 13.0000 unit @ A$112.11 / unit</t>
        </is>
      </c>
      <c r="I147" t="inlineStr">
        <is>
          <t>A200</t>
        </is>
      </c>
      <c r="J147" s="6" t="n">
        <v>44172</v>
      </c>
      <c r="K147" t="n">
        <v>13</v>
      </c>
      <c r="L147" t="inlineStr">
        <is>
          <t>AUD</t>
        </is>
      </c>
      <c r="M147" t="n">
        <v>112.11</v>
      </c>
      <c r="N147" t="inlineStr">
        <is>
          <t>AUD</t>
        </is>
      </c>
      <c r="O147" t="n">
        <v>9.5</v>
      </c>
      <c r="P147" t="inlineStr"/>
      <c r="Q147" t="inlineStr">
        <is>
          <t>FY2020/21</t>
        </is>
      </c>
      <c r="R147" t="inlineStr">
        <is>
          <t>AUD</t>
        </is>
      </c>
      <c r="S147" t="n">
        <v>9.5</v>
      </c>
      <c r="T147" t="inlineStr">
        <is>
          <t>AUD</t>
        </is>
      </c>
      <c r="U147" t="n">
        <v>0.730769</v>
      </c>
      <c r="V147" t="inlineStr">
        <is>
          <t>AUD</t>
        </is>
      </c>
      <c r="W147" t="n">
        <v>112.11</v>
      </c>
      <c r="X147" t="b">
        <v>1</v>
      </c>
      <c r="Y147" s="3" t="inlineStr">
        <is>
          <t>2020-12-07 | PARCEL |  A200 | 13.0000 unit @ A$112.11 / unit | Total cost base = A$1,466.93 |</t>
        </is>
      </c>
      <c r="Z147" t="n">
        <v/>
      </c>
    </row>
    <row r="148">
      <c r="A148" s="5" t="inlineStr">
        <is>
          <t>01a1212c-74e4-737e-8237-1e9ed305172a</t>
        </is>
      </c>
      <c r="B148" t="inlineStr">
        <is>
          <t>B147</t>
        </is>
      </c>
      <c r="C148" s="5" t="inlineStr">
        <is>
          <t>01a1212c-4b57-70cf-80fd-c2192cb3bf81</t>
        </is>
      </c>
      <c r="D148" s="4" t="n">
        <v>46304.62412117647</v>
      </c>
      <c r="E148" s="4" t="n">
        <v>46304.62412117655</v>
      </c>
      <c r="F148" t="b">
        <v>1</v>
      </c>
      <c r="G148" t="n">
        <v/>
      </c>
      <c r="H148" t="inlineStr">
        <is>
          <t>2020-12-07 | Buy | VGS | 22.0000 unit @ A$85.37 / unit</t>
        </is>
      </c>
      <c r="I148" t="inlineStr">
        <is>
          <t>VGS</t>
        </is>
      </c>
      <c r="J148" s="6" t="n">
        <v>44172</v>
      </c>
      <c r="K148" t="n">
        <v>22</v>
      </c>
      <c r="L148" t="inlineStr">
        <is>
          <t>AUD</t>
        </is>
      </c>
      <c r="M148" t="n">
        <v>85.37</v>
      </c>
      <c r="N148" t="inlineStr">
        <is>
          <t>AUD</t>
        </is>
      </c>
      <c r="O148" t="n">
        <v>9.5</v>
      </c>
      <c r="P148" t="inlineStr"/>
      <c r="Q148" t="inlineStr">
        <is>
          <t>FY2020/21</t>
        </is>
      </c>
      <c r="R148" t="inlineStr">
        <is>
          <t>AUD</t>
        </is>
      </c>
      <c r="S148" t="n">
        <v>9.5</v>
      </c>
      <c r="T148" t="inlineStr">
        <is>
          <t>AUD</t>
        </is>
      </c>
      <c r="U148" t="n">
        <v>0.431818</v>
      </c>
      <c r="V148" t="inlineStr">
        <is>
          <t>AUD</t>
        </is>
      </c>
      <c r="W148" t="n">
        <v>85.37</v>
      </c>
      <c r="X148" t="b">
        <v>1</v>
      </c>
      <c r="Y148" s="3" t="inlineStr">
        <is>
          <t>2020-12-07 | PARCEL |  VGS | 22.0000 unit @ A$85.37 / unit | Total cost base = A$1,887.64 |</t>
        </is>
      </c>
      <c r="Z148" t="n">
        <v/>
      </c>
    </row>
    <row r="149">
      <c r="A149" s="5" t="inlineStr">
        <is>
          <t>01a1212c-74fd-759f-8c9c-28fdecd999ad</t>
        </is>
      </c>
      <c r="B149" t="inlineStr">
        <is>
          <t>B148</t>
        </is>
      </c>
      <c r="C149" s="5" t="inlineStr">
        <is>
          <t>01a1212c-4b57-70cf-80fd-c2192cb3bf81</t>
        </is>
      </c>
      <c r="D149" s="4" t="n">
        <v>46304.62412146961</v>
      </c>
      <c r="E149" s="4" t="n">
        <v>46304.62412146969</v>
      </c>
      <c r="F149" t="b">
        <v>1</v>
      </c>
      <c r="G149" t="n">
        <v/>
      </c>
      <c r="H149" t="inlineStr">
        <is>
          <t>2021-01-04 | Buy | A200 | 9.0000 unit @ A$111.66 / unit</t>
        </is>
      </c>
      <c r="I149" t="inlineStr">
        <is>
          <t>A200</t>
        </is>
      </c>
      <c r="J149" s="6" t="n">
        <v>44200</v>
      </c>
      <c r="K149" t="n">
        <v>9</v>
      </c>
      <c r="L149" t="inlineStr">
        <is>
          <t>AUD</t>
        </is>
      </c>
      <c r="M149" t="n">
        <v>111.66</v>
      </c>
      <c r="N149" t="inlineStr">
        <is>
          <t>AUD</t>
        </is>
      </c>
      <c r="O149" t="n">
        <v>9.5</v>
      </c>
      <c r="P149" t="inlineStr"/>
      <c r="Q149" t="inlineStr">
        <is>
          <t>FY2020/21</t>
        </is>
      </c>
      <c r="R149" t="inlineStr">
        <is>
          <t>AUD</t>
        </is>
      </c>
      <c r="S149" t="n">
        <v>9.5</v>
      </c>
      <c r="T149" t="inlineStr">
        <is>
          <t>AUD</t>
        </is>
      </c>
      <c r="U149" t="n">
        <v>1.055556</v>
      </c>
      <c r="V149" t="inlineStr">
        <is>
          <t>AUD</t>
        </is>
      </c>
      <c r="W149" t="n">
        <v>111.66</v>
      </c>
      <c r="X149" t="b">
        <v>1</v>
      </c>
      <c r="Y149" s="3" t="inlineStr">
        <is>
          <t>2021-01-04 | PARCEL |  A200 | 9.0000 unit @ A$111.66 / unit | Total cost base = A$1,014.44 |</t>
        </is>
      </c>
      <c r="Z149" t="n">
        <v/>
      </c>
    </row>
    <row r="150">
      <c r="A150" s="5" t="inlineStr">
        <is>
          <t>01a1212c-7513-75a9-bbaa-ab89af5ddf21</t>
        </is>
      </c>
      <c r="B150" t="inlineStr">
        <is>
          <t>B149</t>
        </is>
      </c>
      <c r="C150" s="5" t="inlineStr">
        <is>
          <t>01a1212c-4b57-70cf-80fd-c2192cb3bf81</t>
        </is>
      </c>
      <c r="D150" s="4" t="n">
        <v>46304.62412172537</v>
      </c>
      <c r="E150" s="4" t="n">
        <v>46304.62412172544</v>
      </c>
      <c r="F150" t="b">
        <v>1</v>
      </c>
      <c r="G150" t="n">
        <v/>
      </c>
      <c r="H150" t="inlineStr">
        <is>
          <t>2021-01-04 | Buy | VGS | 15.0000 unit @ A$83.83 / unit</t>
        </is>
      </c>
      <c r="I150" t="inlineStr">
        <is>
          <t>VGS</t>
        </is>
      </c>
      <c r="J150" s="6" t="n">
        <v>44200</v>
      </c>
      <c r="K150" t="n">
        <v>15</v>
      </c>
      <c r="L150" t="inlineStr">
        <is>
          <t>AUD</t>
        </is>
      </c>
      <c r="M150" t="n">
        <v>83.83</v>
      </c>
      <c r="N150" t="inlineStr">
        <is>
          <t>AUD</t>
        </is>
      </c>
      <c r="O150" t="n">
        <v>9.5</v>
      </c>
      <c r="P150" t="inlineStr"/>
      <c r="Q150" t="inlineStr">
        <is>
          <t>FY2020/21</t>
        </is>
      </c>
      <c r="R150" t="inlineStr">
        <is>
          <t>AUD</t>
        </is>
      </c>
      <c r="S150" t="n">
        <v>9.5</v>
      </c>
      <c r="T150" t="inlineStr">
        <is>
          <t>AUD</t>
        </is>
      </c>
      <c r="U150" t="n">
        <v>0.633333</v>
      </c>
      <c r="V150" t="inlineStr">
        <is>
          <t>AUD</t>
        </is>
      </c>
      <c r="W150" t="n">
        <v>83.83</v>
      </c>
      <c r="X150" t="b">
        <v>1</v>
      </c>
      <c r="Y150" s="3" t="inlineStr">
        <is>
          <t>2021-01-04 | PARCEL |  VGS | 15.0000 unit @ A$83.83 / unit | Total cost base = A$1,266.95 |</t>
        </is>
      </c>
      <c r="Z150" t="n">
        <v/>
      </c>
    </row>
    <row r="151">
      <c r="A151" s="5" t="inlineStr">
        <is>
          <t>01a1212c-7528-770f-81ac-912a6a8dd8db</t>
        </is>
      </c>
      <c r="B151" t="inlineStr">
        <is>
          <t>B150</t>
        </is>
      </c>
      <c r="C151" s="5" t="inlineStr">
        <is>
          <t>01a1212c-4b57-70cf-80fd-c2192cb3bf81</t>
        </is>
      </c>
      <c r="D151" s="4" t="n">
        <v>46304.62412196719</v>
      </c>
      <c r="E151" s="4" t="n">
        <v>46304.62412196726</v>
      </c>
      <c r="F151" t="b">
        <v>1</v>
      </c>
      <c r="G151" t="n">
        <v/>
      </c>
      <c r="H151" t="inlineStr">
        <is>
          <t>2021-02-03 | Buy | A200 | 13.0000 unit @ A$114.51 / unit</t>
        </is>
      </c>
      <c r="I151" t="inlineStr">
        <is>
          <t>A200</t>
        </is>
      </c>
      <c r="J151" s="6" t="n">
        <v>44230</v>
      </c>
      <c r="K151" t="n">
        <v>13</v>
      </c>
      <c r="L151" t="inlineStr">
        <is>
          <t>AUD</t>
        </is>
      </c>
      <c r="M151" t="n">
        <v>114.51</v>
      </c>
      <c r="N151" t="inlineStr">
        <is>
          <t>AUD</t>
        </is>
      </c>
      <c r="O151" t="n">
        <v>9.5</v>
      </c>
      <c r="P151" t="inlineStr"/>
      <c r="Q151" t="inlineStr">
        <is>
          <t>FY2020/21</t>
        </is>
      </c>
      <c r="R151" t="inlineStr">
        <is>
          <t>AUD</t>
        </is>
      </c>
      <c r="S151" t="n">
        <v>9.5</v>
      </c>
      <c r="T151" t="inlineStr">
        <is>
          <t>AUD</t>
        </is>
      </c>
      <c r="U151" t="n">
        <v>0.730769</v>
      </c>
      <c r="V151" t="inlineStr">
        <is>
          <t>AUD</t>
        </is>
      </c>
      <c r="W151" t="n">
        <v>114.51</v>
      </c>
      <c r="X151" t="b">
        <v>1</v>
      </c>
      <c r="Y151" s="3" t="inlineStr">
        <is>
          <t>2021-02-03 | PARCEL |  A200 | 13.0000 unit @ A$114.51 / unit | Total cost base = A$1,498.13 |</t>
        </is>
      </c>
      <c r="Z151" t="n">
        <v/>
      </c>
    </row>
    <row r="152">
      <c r="A152" s="5" t="inlineStr">
        <is>
          <t>01a1212c-753d-7406-b7bf-a3ee888256aa</t>
        </is>
      </c>
      <c r="B152" t="inlineStr">
        <is>
          <t>B151</t>
        </is>
      </c>
      <c r="C152" s="5" t="inlineStr">
        <is>
          <t>01a1212c-4b57-70cf-80fd-c2192cb3bf81</t>
        </is>
      </c>
      <c r="D152" s="4" t="n">
        <v>46304.62412221154</v>
      </c>
      <c r="E152" s="4" t="n">
        <v>46304.62412221161</v>
      </c>
      <c r="F152" t="b">
        <v>1</v>
      </c>
      <c r="G152" t="n">
        <v/>
      </c>
      <c r="H152" t="inlineStr">
        <is>
          <t>2021-02-03 | Buy | VGS | 21.0000 unit @ A$86.47 / unit</t>
        </is>
      </c>
      <c r="I152" t="inlineStr">
        <is>
          <t>VGS</t>
        </is>
      </c>
      <c r="J152" s="6" t="n">
        <v>44230</v>
      </c>
      <c r="K152" t="n">
        <v>21</v>
      </c>
      <c r="L152" t="inlineStr">
        <is>
          <t>AUD</t>
        </is>
      </c>
      <c r="M152" t="n">
        <v>86.47</v>
      </c>
      <c r="N152" t="inlineStr">
        <is>
          <t>AUD</t>
        </is>
      </c>
      <c r="O152" t="n">
        <v>9.5</v>
      </c>
      <c r="P152" t="inlineStr"/>
      <c r="Q152" t="inlineStr">
        <is>
          <t>FY2020/21</t>
        </is>
      </c>
      <c r="R152" t="inlineStr">
        <is>
          <t>AUD</t>
        </is>
      </c>
      <c r="S152" t="n">
        <v>9.5</v>
      </c>
      <c r="T152" t="inlineStr">
        <is>
          <t>AUD</t>
        </is>
      </c>
      <c r="U152" t="n">
        <v>0.452381</v>
      </c>
      <c r="V152" t="inlineStr">
        <is>
          <t>AUD</t>
        </is>
      </c>
      <c r="W152" t="n">
        <v>86.47</v>
      </c>
      <c r="X152" t="b">
        <v>1</v>
      </c>
      <c r="Y152" s="3" t="inlineStr">
        <is>
          <t>2021-02-03 | PARCEL |  VGS | 21.0000 unit @ A$86.47 / unit | Total cost base = A$1,825.37 |</t>
        </is>
      </c>
      <c r="Z152" t="n">
        <v/>
      </c>
    </row>
    <row r="153">
      <c r="A153" s="5" t="inlineStr">
        <is>
          <t>01a1212c-7553-7647-a294-73ede01fb439</t>
        </is>
      </c>
      <c r="B153" t="inlineStr">
        <is>
          <t>B152</t>
        </is>
      </c>
      <c r="C153" s="5" t="inlineStr">
        <is>
          <t>01a1212c-4b57-70cf-80fd-c2192cb3bf81</t>
        </is>
      </c>
      <c r="D153" s="4" t="n">
        <v>46304.62412245994</v>
      </c>
      <c r="E153" s="4" t="n">
        <v>46304.62412246001</v>
      </c>
      <c r="F153" t="b">
        <v>1</v>
      </c>
      <c r="G153" t="n">
        <v/>
      </c>
      <c r="H153" t="inlineStr">
        <is>
          <t>2021-02-16 | Buy | CBA | 7.0000 unit @ A$85.91 / unit</t>
        </is>
      </c>
      <c r="I153" t="inlineStr">
        <is>
          <t>CBA</t>
        </is>
      </c>
      <c r="J153" s="6" t="n">
        <v>44243</v>
      </c>
      <c r="K153" t="n">
        <v>7</v>
      </c>
      <c r="L153" t="inlineStr">
        <is>
          <t>AUD</t>
        </is>
      </c>
      <c r="M153" t="n">
        <v>85.91</v>
      </c>
      <c r="N153" t="inlineStr">
        <is>
          <t>AUD</t>
        </is>
      </c>
      <c r="O153" t="n">
        <v>19.95</v>
      </c>
      <c r="P153" t="inlineStr"/>
      <c r="Q153" t="inlineStr">
        <is>
          <t>FY2020/21</t>
        </is>
      </c>
      <c r="R153" t="inlineStr">
        <is>
          <t>AUD</t>
        </is>
      </c>
      <c r="S153" t="n">
        <v>19.95</v>
      </c>
      <c r="T153" t="inlineStr">
        <is>
          <t>AUD</t>
        </is>
      </c>
      <c r="U153" t="n">
        <v>2.85</v>
      </c>
      <c r="V153" t="inlineStr">
        <is>
          <t>AUD</t>
        </is>
      </c>
      <c r="W153" t="n">
        <v>85.91</v>
      </c>
      <c r="X153" t="b">
        <v>1</v>
      </c>
      <c r="Y153" s="3" t="inlineStr">
        <is>
          <t>2021-02-16 | PARCEL |  CBA | 7.0000 unit @ A$85.91 / unit | Total cost base = A$621.32 |</t>
        </is>
      </c>
      <c r="Z153" t="n">
        <v/>
      </c>
    </row>
    <row r="154">
      <c r="A154" s="5" t="inlineStr">
        <is>
          <t>01a1212c-7567-754a-b899-89620281e09b</t>
        </is>
      </c>
      <c r="B154" t="inlineStr">
        <is>
          <t>B153</t>
        </is>
      </c>
      <c r="C154" s="5" t="inlineStr">
        <is>
          <t>01a1212c-4b57-70cf-80fd-c2192cb3bf81</t>
        </is>
      </c>
      <c r="D154" s="4" t="n">
        <v>46304.62412269183</v>
      </c>
      <c r="E154" s="4" t="n">
        <v>46304.6241226919</v>
      </c>
      <c r="F154" t="b">
        <v>1</v>
      </c>
      <c r="G154" t="n">
        <v/>
      </c>
      <c r="H154" t="inlineStr">
        <is>
          <t>2021-03-04 | Buy | A200 | 10.0000 unit @ A$113.99 / unit</t>
        </is>
      </c>
      <c r="I154" t="inlineStr">
        <is>
          <t>A200</t>
        </is>
      </c>
      <c r="J154" s="6" t="n">
        <v>44259</v>
      </c>
      <c r="K154" t="n">
        <v>10</v>
      </c>
      <c r="L154" t="inlineStr">
        <is>
          <t>AUD</t>
        </is>
      </c>
      <c r="M154" t="n">
        <v>113.99</v>
      </c>
      <c r="N154" t="inlineStr">
        <is>
          <t>AUD</t>
        </is>
      </c>
      <c r="O154" t="n">
        <v>9.5</v>
      </c>
      <c r="P154" t="inlineStr"/>
      <c r="Q154" t="inlineStr">
        <is>
          <t>FY2020/21</t>
        </is>
      </c>
      <c r="R154" t="inlineStr">
        <is>
          <t>AUD</t>
        </is>
      </c>
      <c r="S154" t="n">
        <v>9.5</v>
      </c>
      <c r="T154" t="inlineStr">
        <is>
          <t>AUD</t>
        </is>
      </c>
      <c r="U154" t="n">
        <v>0.95</v>
      </c>
      <c r="V154" t="inlineStr">
        <is>
          <t>AUD</t>
        </is>
      </c>
      <c r="W154" t="n">
        <v>113.99</v>
      </c>
      <c r="X154" t="b">
        <v>1</v>
      </c>
      <c r="Y154" s="3" t="inlineStr">
        <is>
          <t>2021-03-04 | PARCEL |  A200 | 10.0000 unit @ A$113.99 / unit | Total cost base = A$1,149.40 |</t>
        </is>
      </c>
      <c r="Z154" t="n">
        <v/>
      </c>
    </row>
    <row r="155">
      <c r="A155" s="5" t="inlineStr">
        <is>
          <t>01a1212c-757d-77a2-8145-84f694fc6d75</t>
        </is>
      </c>
      <c r="B155" t="inlineStr">
        <is>
          <t>B154</t>
        </is>
      </c>
      <c r="C155" s="5" t="inlineStr">
        <is>
          <t>01a1212c-4b57-70cf-80fd-c2192cb3bf81</t>
        </is>
      </c>
      <c r="D155" s="4" t="n">
        <v>46304.62412295004</v>
      </c>
      <c r="E155" s="4" t="n">
        <v>46304.62412295012</v>
      </c>
      <c r="F155" t="b">
        <v>1</v>
      </c>
      <c r="G155" t="n">
        <v/>
      </c>
      <c r="H155" t="inlineStr">
        <is>
          <t>2021-03-04 | Buy | VGS | 16.0000 unit @ A$83.81 / unit</t>
        </is>
      </c>
      <c r="I155" t="inlineStr">
        <is>
          <t>VGS</t>
        </is>
      </c>
      <c r="J155" s="6" t="n">
        <v>44259</v>
      </c>
      <c r="K155" t="n">
        <v>16</v>
      </c>
      <c r="L155" t="inlineStr">
        <is>
          <t>AUD</t>
        </is>
      </c>
      <c r="M155" t="n">
        <v>83.81</v>
      </c>
      <c r="N155" t="inlineStr">
        <is>
          <t>AUD</t>
        </is>
      </c>
      <c r="O155" t="n">
        <v>9.5</v>
      </c>
      <c r="P155" t="inlineStr"/>
      <c r="Q155" t="inlineStr">
        <is>
          <t>FY2020/21</t>
        </is>
      </c>
      <c r="R155" t="inlineStr">
        <is>
          <t>AUD</t>
        </is>
      </c>
      <c r="S155" t="n">
        <v>9.5</v>
      </c>
      <c r="T155" t="inlineStr">
        <is>
          <t>AUD</t>
        </is>
      </c>
      <c r="U155" t="n">
        <v>0.59375</v>
      </c>
      <c r="V155" t="inlineStr">
        <is>
          <t>AUD</t>
        </is>
      </c>
      <c r="W155" t="n">
        <v>83.81</v>
      </c>
      <c r="X155" t="b">
        <v>1</v>
      </c>
      <c r="Y155" s="3" t="inlineStr">
        <is>
          <t>2021-03-04 | PARCEL |  VGS | 16.0000 unit @ A$83.81 / unit | Total cost base = A$1,350.46 |</t>
        </is>
      </c>
      <c r="Z155" t="n">
        <v/>
      </c>
    </row>
    <row r="156">
      <c r="A156" s="5" t="inlineStr">
        <is>
          <t>01a1212c-7594-7590-8f7f-091de9a25e88</t>
        </is>
      </c>
      <c r="B156" t="inlineStr">
        <is>
          <t>B155</t>
        </is>
      </c>
      <c r="C156" s="5" t="inlineStr">
        <is>
          <t>01a1212c-4b57-70cf-80fd-c2192cb3bf81</t>
        </is>
      </c>
      <c r="D156" s="4" t="n">
        <v>46304.62412320879</v>
      </c>
      <c r="E156" s="4" t="n">
        <v>46304.62412320886</v>
      </c>
      <c r="F156" t="b">
        <v>1</v>
      </c>
      <c r="G156" t="n">
        <v/>
      </c>
      <c r="H156" t="inlineStr">
        <is>
          <t>2021-04-06 | Buy | A200 | 9.0000 unit @ A$116.00 / unit</t>
        </is>
      </c>
      <c r="I156" t="inlineStr">
        <is>
          <t>A200</t>
        </is>
      </c>
      <c r="J156" s="6" t="n">
        <v>44292</v>
      </c>
      <c r="K156" t="n">
        <v>9</v>
      </c>
      <c r="L156" t="inlineStr">
        <is>
          <t>AUD</t>
        </is>
      </c>
      <c r="M156" t="n">
        <v>116</v>
      </c>
      <c r="N156" t="inlineStr">
        <is>
          <t>AUD</t>
        </is>
      </c>
      <c r="O156" t="n">
        <v>9.5</v>
      </c>
      <c r="P156" t="inlineStr"/>
      <c r="Q156" t="inlineStr">
        <is>
          <t>FY2020/21</t>
        </is>
      </c>
      <c r="R156" t="inlineStr">
        <is>
          <t>AUD</t>
        </is>
      </c>
      <c r="S156" t="n">
        <v>9.5</v>
      </c>
      <c r="T156" t="inlineStr">
        <is>
          <t>AUD</t>
        </is>
      </c>
      <c r="U156" t="n">
        <v>1.055556</v>
      </c>
      <c r="V156" t="inlineStr">
        <is>
          <t>AUD</t>
        </is>
      </c>
      <c r="W156" t="n">
        <v>116</v>
      </c>
      <c r="X156" t="b">
        <v>1</v>
      </c>
      <c r="Y156" s="3" t="inlineStr">
        <is>
          <t>2021-04-06 | PARCEL |  A200 | 9.0000 unit @ A$116.00 / unit | Total cost base = A$1,053.50 |</t>
        </is>
      </c>
      <c r="Z156" t="n">
        <v/>
      </c>
    </row>
    <row r="157">
      <c r="A157" s="5" t="inlineStr">
        <is>
          <t>01a1212c-75a9-73f7-951e-5e83dede2069</t>
        </is>
      </c>
      <c r="B157" t="inlineStr">
        <is>
          <t>B156</t>
        </is>
      </c>
      <c r="C157" s="5" t="inlineStr">
        <is>
          <t>01a1212c-4b57-70cf-80fd-c2192cb3bf81</t>
        </is>
      </c>
      <c r="D157" s="4" t="n">
        <v>46304.62412345569</v>
      </c>
      <c r="E157" s="4" t="n">
        <v>46304.62412345577</v>
      </c>
      <c r="F157" t="b">
        <v>1</v>
      </c>
      <c r="G157" t="n">
        <v/>
      </c>
      <c r="H157" t="inlineStr">
        <is>
          <t>2021-04-06 | Buy | VGS | 15.0000 unit @ A$90.07 / unit</t>
        </is>
      </c>
      <c r="I157" t="inlineStr">
        <is>
          <t>VGS</t>
        </is>
      </c>
      <c r="J157" s="6" t="n">
        <v>44292</v>
      </c>
      <c r="K157" t="n">
        <v>15</v>
      </c>
      <c r="L157" t="inlineStr">
        <is>
          <t>AUD</t>
        </is>
      </c>
      <c r="M157" t="n">
        <v>90.06999999999999</v>
      </c>
      <c r="N157" t="inlineStr">
        <is>
          <t>AUD</t>
        </is>
      </c>
      <c r="O157" t="n">
        <v>9.5</v>
      </c>
      <c r="P157" t="inlineStr"/>
      <c r="Q157" t="inlineStr">
        <is>
          <t>FY2020/21</t>
        </is>
      </c>
      <c r="R157" t="inlineStr">
        <is>
          <t>AUD</t>
        </is>
      </c>
      <c r="S157" t="n">
        <v>9.5</v>
      </c>
      <c r="T157" t="inlineStr">
        <is>
          <t>AUD</t>
        </is>
      </c>
      <c r="U157" t="n">
        <v>0.633333</v>
      </c>
      <c r="V157" t="inlineStr">
        <is>
          <t>AUD</t>
        </is>
      </c>
      <c r="W157" t="n">
        <v>90.06999999999999</v>
      </c>
      <c r="X157" t="b">
        <v>1</v>
      </c>
      <c r="Y157" s="3" t="inlineStr">
        <is>
          <t>2021-04-06 | PARCEL |  VGS | 15.0000 unit @ A$90.07 / unit | Total cost base = A$1,360.55 |</t>
        </is>
      </c>
      <c r="Z157" t="n">
        <v/>
      </c>
    </row>
    <row r="158">
      <c r="A158" s="5" t="inlineStr">
        <is>
          <t>01a1212c-75be-728c-9a26-a7515313e517</t>
        </is>
      </c>
      <c r="B158" t="inlineStr">
        <is>
          <t>B157</t>
        </is>
      </c>
      <c r="C158" s="5" t="inlineStr">
        <is>
          <t>01a1212c-4b57-70cf-80fd-c2192cb3bf81</t>
        </is>
      </c>
      <c r="D158" s="4" t="n">
        <v>46304.624123717</v>
      </c>
      <c r="E158" s="4" t="n">
        <v>46304.62412371707</v>
      </c>
      <c r="F158" t="b">
        <v>1</v>
      </c>
      <c r="G158" t="n">
        <v/>
      </c>
      <c r="H158" t="inlineStr">
        <is>
          <t>2021-04-26 | Buy | MSFT | 3.0000 unit @ $261.55 / unit</t>
        </is>
      </c>
      <c r="I158" t="inlineStr">
        <is>
          <t>MSFT</t>
        </is>
      </c>
      <c r="J158" s="6" t="n">
        <v>44312</v>
      </c>
      <c r="K158" t="n">
        <v>3</v>
      </c>
      <c r="L158" t="inlineStr">
        <is>
          <t>USD</t>
        </is>
      </c>
      <c r="M158" t="n">
        <v>261.55</v>
      </c>
      <c r="N158" t="inlineStr">
        <is>
          <t>USD</t>
        </is>
      </c>
      <c r="O158" t="n">
        <v>5</v>
      </c>
      <c r="P158" t="inlineStr"/>
      <c r="Q158" t="inlineStr">
        <is>
          <t>FY2020/21</t>
        </is>
      </c>
      <c r="R158" t="inlineStr">
        <is>
          <t>AUD</t>
        </is>
      </c>
      <c r="S158" t="n">
        <v>7.5</v>
      </c>
      <c r="T158" t="inlineStr">
        <is>
          <t>AUD</t>
        </is>
      </c>
      <c r="U158" t="n">
        <v>2.5</v>
      </c>
      <c r="V158" t="inlineStr">
        <is>
          <t>AUD</t>
        </is>
      </c>
      <c r="W158" t="n">
        <v>392.325</v>
      </c>
      <c r="X158" t="b">
        <v>1</v>
      </c>
      <c r="Y158" s="3" t="inlineStr">
        <is>
          <t>2021-04-26 | PARCEL |  MSFT | 3.0000 unit @ A$392.32 / unit | Total cost base = A$1,184.48 |</t>
        </is>
      </c>
      <c r="Z158" s="5" t="inlineStr">
        <is>
          <t>01a1212c-75c0-7194-a39c-6cfe6a20539f</t>
        </is>
      </c>
    </row>
    <row r="159">
      <c r="A159" s="5" t="inlineStr">
        <is>
          <t>01a1212c-75d5-76de-a489-24cffd170fb4</t>
        </is>
      </c>
      <c r="B159" t="inlineStr">
        <is>
          <t>B158</t>
        </is>
      </c>
      <c r="C159" s="5" t="inlineStr">
        <is>
          <t>01a1212c-4b57-70cf-80fd-c2192cb3bf81</t>
        </is>
      </c>
      <c r="D159" s="4" t="n">
        <v>46304.62412397053</v>
      </c>
      <c r="E159" s="4" t="n">
        <v>46304.62412397061</v>
      </c>
      <c r="F159" t="b">
        <v>1</v>
      </c>
      <c r="G159" t="n">
        <v/>
      </c>
      <c r="H159" t="inlineStr">
        <is>
          <t>2021-05-03 | Buy | A200 | 13.0000 unit @ A$118.52 / unit</t>
        </is>
      </c>
      <c r="I159" t="inlineStr">
        <is>
          <t>A200</t>
        </is>
      </c>
      <c r="J159" s="6" t="n">
        <v>44319</v>
      </c>
      <c r="K159" t="n">
        <v>13</v>
      </c>
      <c r="L159" t="inlineStr">
        <is>
          <t>AUD</t>
        </is>
      </c>
      <c r="M159" t="n">
        <v>118.52</v>
      </c>
      <c r="N159" t="inlineStr">
        <is>
          <t>AUD</t>
        </is>
      </c>
      <c r="O159" t="n">
        <v>9.5</v>
      </c>
      <c r="P159" t="inlineStr"/>
      <c r="Q159" t="inlineStr">
        <is>
          <t>FY2020/21</t>
        </is>
      </c>
      <c r="R159" t="inlineStr">
        <is>
          <t>AUD</t>
        </is>
      </c>
      <c r="S159" t="n">
        <v>9.5</v>
      </c>
      <c r="T159" t="inlineStr">
        <is>
          <t>AUD</t>
        </is>
      </c>
      <c r="U159" t="n">
        <v>0.730769</v>
      </c>
      <c r="V159" t="inlineStr">
        <is>
          <t>AUD</t>
        </is>
      </c>
      <c r="W159" t="n">
        <v>118.52</v>
      </c>
      <c r="X159" t="b">
        <v>1</v>
      </c>
      <c r="Y159" s="3" t="inlineStr">
        <is>
          <t>2021-05-03 | PARCEL |  A200 | 13.0000 unit @ A$118.52 / unit | Total cost base = A$1,550.26 |</t>
        </is>
      </c>
      <c r="Z159" t="n">
        <v/>
      </c>
    </row>
    <row r="160">
      <c r="A160" s="5" t="inlineStr">
        <is>
          <t>01a1212c-75ea-7086-aaf0-0071ac16db12</t>
        </is>
      </c>
      <c r="B160" t="inlineStr">
        <is>
          <t>B159</t>
        </is>
      </c>
      <c r="C160" s="5" t="inlineStr">
        <is>
          <t>01a1212c-4b57-70cf-80fd-c2192cb3bf81</t>
        </is>
      </c>
      <c r="D160" s="4" t="n">
        <v>46304.62412421279</v>
      </c>
      <c r="E160" s="4" t="n">
        <v>46304.62412421286</v>
      </c>
      <c r="F160" t="b">
        <v>1</v>
      </c>
      <c r="G160" t="n">
        <v/>
      </c>
      <c r="H160" t="inlineStr">
        <is>
          <t>2021-05-03 | Buy | VGS | 21.0000 unit @ A$91.69 / unit</t>
        </is>
      </c>
      <c r="I160" t="inlineStr">
        <is>
          <t>VGS</t>
        </is>
      </c>
      <c r="J160" s="6" t="n">
        <v>44319</v>
      </c>
      <c r="K160" t="n">
        <v>21</v>
      </c>
      <c r="L160" t="inlineStr">
        <is>
          <t>AUD</t>
        </is>
      </c>
      <c r="M160" t="n">
        <v>91.69</v>
      </c>
      <c r="N160" t="inlineStr">
        <is>
          <t>AUD</t>
        </is>
      </c>
      <c r="O160" t="n">
        <v>9.5</v>
      </c>
      <c r="P160" t="inlineStr"/>
      <c r="Q160" t="inlineStr">
        <is>
          <t>FY2020/21</t>
        </is>
      </c>
      <c r="R160" t="inlineStr">
        <is>
          <t>AUD</t>
        </is>
      </c>
      <c r="S160" t="n">
        <v>9.5</v>
      </c>
      <c r="T160" t="inlineStr">
        <is>
          <t>AUD</t>
        </is>
      </c>
      <c r="U160" t="n">
        <v>0.452381</v>
      </c>
      <c r="V160" t="inlineStr">
        <is>
          <t>AUD</t>
        </is>
      </c>
      <c r="W160" t="n">
        <v>91.69</v>
      </c>
      <c r="X160" t="b">
        <v>1</v>
      </c>
      <c r="Y160" s="3" t="inlineStr">
        <is>
          <t>2021-05-03 | PARCEL |  VGS | 21.0000 unit @ A$91.69 / unit | Total cost base = A$1,934.99 |</t>
        </is>
      </c>
      <c r="Z160" t="n">
        <v/>
      </c>
    </row>
    <row r="161">
      <c r="A161" s="5" t="inlineStr">
        <is>
          <t>01a1212c-7600-7598-987b-823775dd3c6e</t>
        </is>
      </c>
      <c r="B161" t="inlineStr">
        <is>
          <t>B160</t>
        </is>
      </c>
      <c r="C161" s="5" t="inlineStr">
        <is>
          <t>01a1212c-4b57-70cf-80fd-c2192cb3bf81</t>
        </is>
      </c>
      <c r="D161" s="4" t="n">
        <v>46304.62412447574</v>
      </c>
      <c r="E161" s="4" t="n">
        <v>46304.6241244758</v>
      </c>
      <c r="F161" t="b">
        <v>1</v>
      </c>
      <c r="G161" t="n">
        <v/>
      </c>
      <c r="H161" t="inlineStr">
        <is>
          <t>2021-05-19 | Buy | AMZN | 1.0000 unit @ $3,231.80 / unit</t>
        </is>
      </c>
      <c r="I161" t="inlineStr">
        <is>
          <t>AMZN</t>
        </is>
      </c>
      <c r="J161" s="6" t="n">
        <v>44335</v>
      </c>
      <c r="K161" t="n">
        <v>1</v>
      </c>
      <c r="L161" t="inlineStr">
        <is>
          <t>USD</t>
        </is>
      </c>
      <c r="M161" t="n">
        <v>3231.7999</v>
      </c>
      <c r="N161" t="inlineStr">
        <is>
          <t>USD</t>
        </is>
      </c>
      <c r="O161" t="n">
        <v>5</v>
      </c>
      <c r="P161" t="inlineStr"/>
      <c r="Q161" t="inlineStr">
        <is>
          <t>FY2020/21</t>
        </is>
      </c>
      <c r="R161" t="inlineStr">
        <is>
          <t>AUD</t>
        </is>
      </c>
      <c r="S161" t="n">
        <v>7.5</v>
      </c>
      <c r="T161" t="inlineStr">
        <is>
          <t>AUD</t>
        </is>
      </c>
      <c r="U161" t="n">
        <v>7.5</v>
      </c>
      <c r="V161" t="inlineStr">
        <is>
          <t>AUD</t>
        </is>
      </c>
      <c r="W161" t="n">
        <v>4847.69985</v>
      </c>
      <c r="X161" t="b">
        <v>1</v>
      </c>
      <c r="Y161" s="3" t="inlineStr">
        <is>
          <t>2021-05-19 | PARCEL |  AMZN | 1.0000 unit @ A$4,847.70 / unit | Total cost base = A$4,855.20 |</t>
        </is>
      </c>
      <c r="Z161" s="5" t="inlineStr">
        <is>
          <t>01a1212c-7601-728f-a2a6-9f4d2e09a080</t>
        </is>
      </c>
    </row>
    <row r="162">
      <c r="A162" s="5" t="inlineStr">
        <is>
          <t>01a1212c-7618-745f-ba74-e1e0af984930</t>
        </is>
      </c>
      <c r="B162" t="inlineStr">
        <is>
          <t>B161</t>
        </is>
      </c>
      <c r="C162" s="5" t="inlineStr">
        <is>
          <t>01a1212c-4b57-70cf-80fd-c2192cb3bf81</t>
        </is>
      </c>
      <c r="D162" s="4" t="n">
        <v>46304.62412474181</v>
      </c>
      <c r="E162" s="4" t="n">
        <v>46304.62412474187</v>
      </c>
      <c r="F162" t="b">
        <v>1</v>
      </c>
      <c r="G162" t="n">
        <v/>
      </c>
      <c r="H162" t="inlineStr">
        <is>
          <t>2021-06-02 | Buy | A200 | 5.0000 unit @ A$122.30 / unit</t>
        </is>
      </c>
      <c r="I162" t="inlineStr">
        <is>
          <t>A200</t>
        </is>
      </c>
      <c r="J162" s="6" t="n">
        <v>44349</v>
      </c>
      <c r="K162" t="n">
        <v>5</v>
      </c>
      <c r="L162" t="inlineStr">
        <is>
          <t>AUD</t>
        </is>
      </c>
      <c r="M162" t="n">
        <v>122.3</v>
      </c>
      <c r="N162" t="inlineStr">
        <is>
          <t>AUD</t>
        </is>
      </c>
      <c r="O162" t="n">
        <v>9.5</v>
      </c>
      <c r="P162" t="inlineStr"/>
      <c r="Q162" t="inlineStr">
        <is>
          <t>FY2020/21</t>
        </is>
      </c>
      <c r="R162" t="inlineStr">
        <is>
          <t>AUD</t>
        </is>
      </c>
      <c r="S162" t="n">
        <v>9.5</v>
      </c>
      <c r="T162" t="inlineStr">
        <is>
          <t>AUD</t>
        </is>
      </c>
      <c r="U162" t="n">
        <v>1.9</v>
      </c>
      <c r="V162" t="inlineStr">
        <is>
          <t>AUD</t>
        </is>
      </c>
      <c r="W162" t="n">
        <v>122.3</v>
      </c>
      <c r="X162" t="b">
        <v>1</v>
      </c>
      <c r="Y162" s="3" t="inlineStr">
        <is>
          <t>2021-06-02 | PARCEL |  A200 | 5.0000 unit @ A$122.30 / unit | Total cost base = A$621.00 |</t>
        </is>
      </c>
      <c r="Z162" t="n">
        <v/>
      </c>
    </row>
    <row r="163">
      <c r="A163" s="5" t="inlineStr">
        <is>
          <t>01a1212c-762e-77a1-98ff-4a828c736ab2</t>
        </is>
      </c>
      <c r="B163" t="inlineStr">
        <is>
          <t>B162</t>
        </is>
      </c>
      <c r="C163" s="5" t="inlineStr">
        <is>
          <t>01a1212c-4b57-70cf-80fd-c2192cb3bf81</t>
        </is>
      </c>
      <c r="D163" s="4" t="n">
        <v>46304.62412499425</v>
      </c>
      <c r="E163" s="4" t="n">
        <v>46304.62412499432</v>
      </c>
      <c r="F163" t="b">
        <v>1</v>
      </c>
      <c r="G163" t="n">
        <v/>
      </c>
      <c r="H163" t="inlineStr">
        <is>
          <t>2021-06-02 | Buy | VGS | 9.0000 unit @ A$92.70 / unit</t>
        </is>
      </c>
      <c r="I163" t="inlineStr">
        <is>
          <t>VGS</t>
        </is>
      </c>
      <c r="J163" s="6" t="n">
        <v>44349</v>
      </c>
      <c r="K163" t="n">
        <v>9</v>
      </c>
      <c r="L163" t="inlineStr">
        <is>
          <t>AUD</t>
        </is>
      </c>
      <c r="M163" t="n">
        <v>92.7</v>
      </c>
      <c r="N163" t="inlineStr">
        <is>
          <t>AUD</t>
        </is>
      </c>
      <c r="O163" t="n">
        <v>9.5</v>
      </c>
      <c r="P163" t="inlineStr"/>
      <c r="Q163" t="inlineStr">
        <is>
          <t>FY2020/21</t>
        </is>
      </c>
      <c r="R163" t="inlineStr">
        <is>
          <t>AUD</t>
        </is>
      </c>
      <c r="S163" t="n">
        <v>9.5</v>
      </c>
      <c r="T163" t="inlineStr">
        <is>
          <t>AUD</t>
        </is>
      </c>
      <c r="U163" t="n">
        <v>1.055556</v>
      </c>
      <c r="V163" t="inlineStr">
        <is>
          <t>AUD</t>
        </is>
      </c>
      <c r="W163" t="n">
        <v>92.7</v>
      </c>
      <c r="X163" t="b">
        <v>1</v>
      </c>
      <c r="Y163" s="3" t="inlineStr">
        <is>
          <t>2021-06-02 | PARCEL |  VGS | 9.0000 unit @ A$92.70 / unit | Total cost base = A$843.80 |</t>
        </is>
      </c>
      <c r="Z163" t="n">
        <v/>
      </c>
    </row>
    <row r="164">
      <c r="A164" s="5" t="inlineStr">
        <is>
          <t>01a1212c-7643-74d3-91e1-5baf4dad83d2</t>
        </is>
      </c>
      <c r="B164" t="inlineStr">
        <is>
          <t>B163</t>
        </is>
      </c>
      <c r="C164" s="5" t="inlineStr">
        <is>
          <t>01a1212c-4b57-70cf-80fd-c2192cb3bf81</t>
        </is>
      </c>
      <c r="D164" s="4" t="n">
        <v>46304.62412524307</v>
      </c>
      <c r="E164" s="4" t="n">
        <v>46304.62412524313</v>
      </c>
      <c r="F164" t="b">
        <v>1</v>
      </c>
      <c r="G164" t="n">
        <v/>
      </c>
      <c r="H164" t="inlineStr">
        <is>
          <t>2021-07-05 | Buy | A200 | 13.0000 unit @ A$123.43 / unit</t>
        </is>
      </c>
      <c r="I164" t="inlineStr">
        <is>
          <t>A200</t>
        </is>
      </c>
      <c r="J164" s="6" t="n">
        <v>44382</v>
      </c>
      <c r="K164" t="n">
        <v>13</v>
      </c>
      <c r="L164" t="inlineStr">
        <is>
          <t>AUD</t>
        </is>
      </c>
      <c r="M164" t="n">
        <v>123.43</v>
      </c>
      <c r="N164" t="inlineStr">
        <is>
          <t>AUD</t>
        </is>
      </c>
      <c r="O164" t="n">
        <v>9.5</v>
      </c>
      <c r="P164" t="inlineStr"/>
      <c r="Q164" t="inlineStr">
        <is>
          <t>FY2021/22</t>
        </is>
      </c>
      <c r="R164" t="inlineStr">
        <is>
          <t>AUD</t>
        </is>
      </c>
      <c r="S164" t="n">
        <v>9.5</v>
      </c>
      <c r="T164" t="inlineStr">
        <is>
          <t>AUD</t>
        </is>
      </c>
      <c r="U164" t="n">
        <v>0.730769</v>
      </c>
      <c r="V164" t="inlineStr">
        <is>
          <t>AUD</t>
        </is>
      </c>
      <c r="W164" t="n">
        <v>123.43</v>
      </c>
      <c r="X164" t="b">
        <v>1</v>
      </c>
      <c r="Y164" s="3" t="inlineStr">
        <is>
          <t>2021-07-05 | PARCEL |  A200 | 13.0000 unit @ A$123.43 / unit | Total cost base = A$1,614.09 |</t>
        </is>
      </c>
      <c r="Z164" t="n">
        <v/>
      </c>
    </row>
    <row r="165">
      <c r="A165" s="5" t="inlineStr">
        <is>
          <t>01a1212c-7659-75b1-8e66-f173033701ab</t>
        </is>
      </c>
      <c r="B165" t="inlineStr">
        <is>
          <t>B164</t>
        </is>
      </c>
      <c r="C165" s="5" t="inlineStr">
        <is>
          <t>01a1212c-4b57-70cf-80fd-c2192cb3bf81</t>
        </is>
      </c>
      <c r="D165" s="4" t="n">
        <v>46304.6241254988</v>
      </c>
      <c r="E165" s="4" t="n">
        <v>46304.62412549886</v>
      </c>
      <c r="F165" t="b">
        <v>1</v>
      </c>
      <c r="G165" t="n">
        <v/>
      </c>
      <c r="H165" t="inlineStr">
        <is>
          <t>2021-07-05 | Buy | VGS | 21.0000 unit @ A$96.85 / unit</t>
        </is>
      </c>
      <c r="I165" t="inlineStr">
        <is>
          <t>VGS</t>
        </is>
      </c>
      <c r="J165" s="6" t="n">
        <v>44382</v>
      </c>
      <c r="K165" t="n">
        <v>21</v>
      </c>
      <c r="L165" t="inlineStr">
        <is>
          <t>AUD</t>
        </is>
      </c>
      <c r="M165" t="n">
        <v>96.84999999999999</v>
      </c>
      <c r="N165" t="inlineStr">
        <is>
          <t>AUD</t>
        </is>
      </c>
      <c r="O165" t="n">
        <v>9.5</v>
      </c>
      <c r="P165" t="inlineStr"/>
      <c r="Q165" t="inlineStr">
        <is>
          <t>FY2021/22</t>
        </is>
      </c>
      <c r="R165" t="inlineStr">
        <is>
          <t>AUD</t>
        </is>
      </c>
      <c r="S165" t="n">
        <v>9.5</v>
      </c>
      <c r="T165" t="inlineStr">
        <is>
          <t>AUD</t>
        </is>
      </c>
      <c r="U165" t="n">
        <v>0.452381</v>
      </c>
      <c r="V165" t="inlineStr">
        <is>
          <t>AUD</t>
        </is>
      </c>
      <c r="W165" t="n">
        <v>96.84999999999999</v>
      </c>
      <c r="X165" t="b">
        <v>1</v>
      </c>
      <c r="Y165" s="3" t="inlineStr">
        <is>
          <t>2021-07-05 | PARCEL |  VGS | 21.0000 unit @ A$96.85 / unit | Total cost base = A$2,043.35 |</t>
        </is>
      </c>
      <c r="Z165" t="n">
        <v/>
      </c>
    </row>
    <row r="166">
      <c r="A166" s="5" t="inlineStr">
        <is>
          <t>01a1212c-766f-74a4-9043-81d59a135736</t>
        </is>
      </c>
      <c r="B166" t="inlineStr">
        <is>
          <t>B165</t>
        </is>
      </c>
      <c r="C166" s="5" t="inlineStr">
        <is>
          <t>01a1212c-4b57-70cf-80fd-c2192cb3bf81</t>
        </is>
      </c>
      <c r="D166" s="4" t="n">
        <v>46304.62412575656</v>
      </c>
      <c r="E166" s="4" t="n">
        <v>46304.62412575662</v>
      </c>
      <c r="F166" t="b">
        <v>1</v>
      </c>
      <c r="G166" t="n">
        <v/>
      </c>
      <c r="H166" t="inlineStr">
        <is>
          <t>2021-07-19 | Buy | AMZN | 1.0000 unit @ $3,549.59 / unit</t>
        </is>
      </c>
      <c r="I166" t="inlineStr">
        <is>
          <t>AMZN</t>
        </is>
      </c>
      <c r="J166" s="6" t="n">
        <v>44396</v>
      </c>
      <c r="K166" t="n">
        <v>1</v>
      </c>
      <c r="L166" t="inlineStr">
        <is>
          <t>USD</t>
        </is>
      </c>
      <c r="M166" t="n">
        <v>3549.5901</v>
      </c>
      <c r="N166" t="inlineStr">
        <is>
          <t>USD</t>
        </is>
      </c>
      <c r="O166" t="n">
        <v>5</v>
      </c>
      <c r="P166" t="inlineStr"/>
      <c r="Q166" t="inlineStr">
        <is>
          <t>FY2021/22</t>
        </is>
      </c>
      <c r="R166" t="inlineStr">
        <is>
          <t>AUD</t>
        </is>
      </c>
      <c r="S166" t="n">
        <v>7.5</v>
      </c>
      <c r="T166" t="inlineStr">
        <is>
          <t>AUD</t>
        </is>
      </c>
      <c r="U166" t="n">
        <v>7.5</v>
      </c>
      <c r="V166" t="inlineStr">
        <is>
          <t>AUD</t>
        </is>
      </c>
      <c r="W166" t="n">
        <v>5324.38515</v>
      </c>
      <c r="X166" t="b">
        <v>1</v>
      </c>
      <c r="Y166" s="3" t="inlineStr">
        <is>
          <t>2021-07-19 | PARCEL |  AMZN | 1.0000 unit @ A$5,324.39 / unit | Total cost base = A$5,331.89 |</t>
        </is>
      </c>
      <c r="Z166" s="5" t="inlineStr">
        <is>
          <t>01a1212c-7670-7428-80bb-8d09c164fd87</t>
        </is>
      </c>
    </row>
    <row r="167">
      <c r="A167" s="5" t="inlineStr">
        <is>
          <t>01a1212c-7685-72cd-95c6-1575b59d664f</t>
        </is>
      </c>
      <c r="B167" t="inlineStr">
        <is>
          <t>B166</t>
        </is>
      </c>
      <c r="C167" s="5" t="inlineStr">
        <is>
          <t>01a1212c-4b57-70cf-80fd-c2192cb3bf81</t>
        </is>
      </c>
      <c r="D167" s="4" t="n">
        <v>46304.62412600586</v>
      </c>
      <c r="E167" s="4" t="n">
        <v>46304.62412600593</v>
      </c>
      <c r="F167" t="b">
        <v>1</v>
      </c>
      <c r="G167" t="n">
        <v/>
      </c>
      <c r="H167" t="inlineStr">
        <is>
          <t>2021-08-02 | Buy | A200 | 9.0000 unit @ A$126.50 / unit</t>
        </is>
      </c>
      <c r="I167" t="inlineStr">
        <is>
          <t>A200</t>
        </is>
      </c>
      <c r="J167" s="6" t="n">
        <v>44410</v>
      </c>
      <c r="K167" t="n">
        <v>9</v>
      </c>
      <c r="L167" t="inlineStr">
        <is>
          <t>AUD</t>
        </is>
      </c>
      <c r="M167" t="n">
        <v>126.5</v>
      </c>
      <c r="N167" t="inlineStr">
        <is>
          <t>AUD</t>
        </is>
      </c>
      <c r="O167" t="n">
        <v>9.5</v>
      </c>
      <c r="P167" t="inlineStr"/>
      <c r="Q167" t="inlineStr">
        <is>
          <t>FY2021/22</t>
        </is>
      </c>
      <c r="R167" t="inlineStr">
        <is>
          <t>AUD</t>
        </is>
      </c>
      <c r="S167" t="n">
        <v>9.5</v>
      </c>
      <c r="T167" t="inlineStr">
        <is>
          <t>AUD</t>
        </is>
      </c>
      <c r="U167" t="n">
        <v>1.055556</v>
      </c>
      <c r="V167" t="inlineStr">
        <is>
          <t>AUD</t>
        </is>
      </c>
      <c r="W167" t="n">
        <v>126.5</v>
      </c>
      <c r="X167" t="b">
        <v>1</v>
      </c>
      <c r="Y167" s="3" t="inlineStr">
        <is>
          <t>2021-08-02 | PARCEL |  A200 | 9.0000 unit @ A$126.50 / unit | Total cost base = A$1,148.00 |</t>
        </is>
      </c>
      <c r="Z167" t="n">
        <v/>
      </c>
    </row>
    <row r="168">
      <c r="A168" s="5" t="inlineStr">
        <is>
          <t>01a1212c-769a-7682-9ca9-11846730b719</t>
        </is>
      </c>
      <c r="B168" t="inlineStr">
        <is>
          <t>B167</t>
        </is>
      </c>
      <c r="C168" s="5" t="inlineStr">
        <is>
          <t>01a1212c-4b57-70cf-80fd-c2192cb3bf81</t>
        </is>
      </c>
      <c r="D168" s="4" t="n">
        <v>46304.62412624896</v>
      </c>
      <c r="E168" s="4" t="n">
        <v>46304.62412624903</v>
      </c>
      <c r="F168" t="b">
        <v>1</v>
      </c>
      <c r="G168" t="n">
        <v/>
      </c>
      <c r="H168" t="inlineStr">
        <is>
          <t>2021-08-02 | Buy | VGS | 14.0000 unit @ A$100.68 / unit</t>
        </is>
      </c>
      <c r="I168" t="inlineStr">
        <is>
          <t>VGS</t>
        </is>
      </c>
      <c r="J168" s="6" t="n">
        <v>44410</v>
      </c>
      <c r="K168" t="n">
        <v>14</v>
      </c>
      <c r="L168" t="inlineStr">
        <is>
          <t>AUD</t>
        </is>
      </c>
      <c r="M168" t="n">
        <v>100.68</v>
      </c>
      <c r="N168" t="inlineStr">
        <is>
          <t>AUD</t>
        </is>
      </c>
      <c r="O168" t="n">
        <v>9.5</v>
      </c>
      <c r="P168" t="inlineStr"/>
      <c r="Q168" t="inlineStr">
        <is>
          <t>FY2021/22</t>
        </is>
      </c>
      <c r="R168" t="inlineStr">
        <is>
          <t>AUD</t>
        </is>
      </c>
      <c r="S168" t="n">
        <v>9.5</v>
      </c>
      <c r="T168" t="inlineStr">
        <is>
          <t>AUD</t>
        </is>
      </c>
      <c r="U168" t="n">
        <v>0.678571</v>
      </c>
      <c r="V168" t="inlineStr">
        <is>
          <t>AUD</t>
        </is>
      </c>
      <c r="W168" t="n">
        <v>100.68</v>
      </c>
      <c r="X168" t="b">
        <v>1</v>
      </c>
      <c r="Y168" s="3" t="inlineStr">
        <is>
          <t>2021-08-02 | PARCEL |  VGS | 14.0000 unit @ A$100.68 / unit | Total cost base = A$1,419.02 |</t>
        </is>
      </c>
      <c r="Z168" t="n">
        <v/>
      </c>
    </row>
    <row r="169">
      <c r="A169" s="5" t="inlineStr">
        <is>
          <t>01a1212c-76b0-77fb-a2a1-2cdc9abaf206</t>
        </is>
      </c>
      <c r="B169" t="inlineStr">
        <is>
          <t>B168</t>
        </is>
      </c>
      <c r="C169" s="5" t="inlineStr">
        <is>
          <t>01a1212c-4b57-70cf-80fd-c2192cb3bf81</t>
        </is>
      </c>
      <c r="D169" s="4" t="n">
        <v>46304.6241265057</v>
      </c>
      <c r="E169" s="4" t="n">
        <v>46304.62412650578</v>
      </c>
      <c r="F169" t="b">
        <v>1</v>
      </c>
      <c r="G169" t="n">
        <v/>
      </c>
      <c r="H169" t="inlineStr">
        <is>
          <t>2021-09-06 | Buy | A200 | 9.0000 unit @ A$128.64 / unit</t>
        </is>
      </c>
      <c r="I169" t="inlineStr">
        <is>
          <t>A200</t>
        </is>
      </c>
      <c r="J169" s="6" t="n">
        <v>44445</v>
      </c>
      <c r="K169" t="n">
        <v>9</v>
      </c>
      <c r="L169" t="inlineStr">
        <is>
          <t>AUD</t>
        </is>
      </c>
      <c r="M169" t="n">
        <v>128.64</v>
      </c>
      <c r="N169" t="inlineStr">
        <is>
          <t>AUD</t>
        </is>
      </c>
      <c r="O169" t="n">
        <v>9.5</v>
      </c>
      <c r="P169" t="inlineStr"/>
      <c r="Q169" t="inlineStr">
        <is>
          <t>FY2021/22</t>
        </is>
      </c>
      <c r="R169" t="inlineStr">
        <is>
          <t>AUD</t>
        </is>
      </c>
      <c r="S169" t="n">
        <v>9.5</v>
      </c>
      <c r="T169" t="inlineStr">
        <is>
          <t>AUD</t>
        </is>
      </c>
      <c r="U169" t="n">
        <v>1.055556</v>
      </c>
      <c r="V169" t="inlineStr">
        <is>
          <t>AUD</t>
        </is>
      </c>
      <c r="W169" t="n">
        <v>128.64</v>
      </c>
      <c r="X169" t="b">
        <v>1</v>
      </c>
      <c r="Y169" s="3" t="inlineStr">
        <is>
          <t>2021-09-06 | PARCEL |  A200 | 9.0000 unit @ A$128.64 / unit | Total cost base = A$1,167.26 |</t>
        </is>
      </c>
      <c r="Z169" t="n">
        <v/>
      </c>
    </row>
    <row r="170">
      <c r="A170" s="5" t="inlineStr">
        <is>
          <t>01a1212c-76c6-74da-a75a-da5ce32c0e60</t>
        </is>
      </c>
      <c r="B170" t="inlineStr">
        <is>
          <t>B169</t>
        </is>
      </c>
      <c r="C170" s="5" t="inlineStr">
        <is>
          <t>01a1212c-4b57-70cf-80fd-c2192cb3bf81</t>
        </is>
      </c>
      <c r="D170" s="4" t="n">
        <v>46304.62412675934</v>
      </c>
      <c r="E170" s="4" t="n">
        <v>46304.62412675941</v>
      </c>
      <c r="F170" t="b">
        <v>1</v>
      </c>
      <c r="G170" t="n">
        <v/>
      </c>
      <c r="H170" t="inlineStr">
        <is>
          <t>2021-09-06 | Buy | VGS | 14.0000 unit @ A$102.20 / unit</t>
        </is>
      </c>
      <c r="I170" t="inlineStr">
        <is>
          <t>VGS</t>
        </is>
      </c>
      <c r="J170" s="6" t="n">
        <v>44445</v>
      </c>
      <c r="K170" t="n">
        <v>14</v>
      </c>
      <c r="L170" t="inlineStr">
        <is>
          <t>AUD</t>
        </is>
      </c>
      <c r="M170" t="n">
        <v>102.2</v>
      </c>
      <c r="N170" t="inlineStr">
        <is>
          <t>AUD</t>
        </is>
      </c>
      <c r="O170" t="n">
        <v>9.5</v>
      </c>
      <c r="P170" t="inlineStr"/>
      <c r="Q170" t="inlineStr">
        <is>
          <t>FY2021/22</t>
        </is>
      </c>
      <c r="R170" t="inlineStr">
        <is>
          <t>AUD</t>
        </is>
      </c>
      <c r="S170" t="n">
        <v>9.5</v>
      </c>
      <c r="T170" t="inlineStr">
        <is>
          <t>AUD</t>
        </is>
      </c>
      <c r="U170" t="n">
        <v>0.678571</v>
      </c>
      <c r="V170" t="inlineStr">
        <is>
          <t>AUD</t>
        </is>
      </c>
      <c r="W170" t="n">
        <v>102.2</v>
      </c>
      <c r="X170" t="b">
        <v>1</v>
      </c>
      <c r="Y170" s="3" t="inlineStr">
        <is>
          <t>2021-09-06 | PARCEL |  VGS | 14.0000 unit @ A$102.20 / unit | Total cost base = A$1,440.30 |</t>
        </is>
      </c>
      <c r="Z170" t="n">
        <v/>
      </c>
    </row>
    <row r="171">
      <c r="A171" s="5" t="inlineStr">
        <is>
          <t>01a1212c-76db-759f-9806-43cb5ea28a36</t>
        </is>
      </c>
      <c r="B171" t="inlineStr">
        <is>
          <t>B170</t>
        </is>
      </c>
      <c r="C171" s="5" t="inlineStr">
        <is>
          <t>01a1212c-4b57-70cf-80fd-c2192cb3bf81</t>
        </is>
      </c>
      <c r="D171" s="4" t="n">
        <v>46304.62412700232</v>
      </c>
      <c r="E171" s="4" t="n">
        <v>46304.62412700238</v>
      </c>
      <c r="F171" t="b">
        <v>1</v>
      </c>
      <c r="G171" t="n">
        <v/>
      </c>
      <c r="H171" t="inlineStr">
        <is>
          <t>2021-10-05 | Buy | A200 | 13.0000 unit @ A$122.28 / unit</t>
        </is>
      </c>
      <c r="I171" t="inlineStr">
        <is>
          <t>A200</t>
        </is>
      </c>
      <c r="J171" s="6" t="n">
        <v>44474</v>
      </c>
      <c r="K171" t="n">
        <v>13</v>
      </c>
      <c r="L171" t="inlineStr">
        <is>
          <t>AUD</t>
        </is>
      </c>
      <c r="M171" t="n">
        <v>122.28</v>
      </c>
      <c r="N171" t="inlineStr">
        <is>
          <t>AUD</t>
        </is>
      </c>
      <c r="O171" t="n">
        <v>9.5</v>
      </c>
      <c r="P171" t="inlineStr"/>
      <c r="Q171" t="inlineStr">
        <is>
          <t>FY2021/22</t>
        </is>
      </c>
      <c r="R171" t="inlineStr">
        <is>
          <t>AUD</t>
        </is>
      </c>
      <c r="S171" t="n">
        <v>9.5</v>
      </c>
      <c r="T171" t="inlineStr">
        <is>
          <t>AUD</t>
        </is>
      </c>
      <c r="U171" t="n">
        <v>0.730769</v>
      </c>
      <c r="V171" t="inlineStr">
        <is>
          <t>AUD</t>
        </is>
      </c>
      <c r="W171" t="n">
        <v>122.28</v>
      </c>
      <c r="X171" t="b">
        <v>1</v>
      </c>
      <c r="Y171" s="3" t="inlineStr">
        <is>
          <t>2021-10-05 | PARCEL |  A200 | 13.0000 unit @ A$122.28 / unit | Total cost base = A$1,599.14 |</t>
        </is>
      </c>
      <c r="Z171" t="n">
        <v/>
      </c>
    </row>
    <row r="172">
      <c r="A172" s="5" t="inlineStr">
        <is>
          <t>01a1212c-76f1-7402-b5ad-3c9ad1e61920</t>
        </is>
      </c>
      <c r="B172" t="inlineStr">
        <is>
          <t>B171</t>
        </is>
      </c>
      <c r="C172" s="5" t="inlineStr">
        <is>
          <t>01a1212c-4b57-70cf-80fd-c2192cb3bf81</t>
        </is>
      </c>
      <c r="D172" s="4" t="n">
        <v>46304.62412726168</v>
      </c>
      <c r="E172" s="4" t="n">
        <v>46304.62412726173</v>
      </c>
      <c r="F172" t="b">
        <v>1</v>
      </c>
      <c r="G172" t="n">
        <v/>
      </c>
      <c r="H172" t="inlineStr">
        <is>
          <t>2021-10-05 | Buy | MSFT | 3.0000 unit @ $288.76 / unit</t>
        </is>
      </c>
      <c r="I172" t="inlineStr">
        <is>
          <t>MSFT</t>
        </is>
      </c>
      <c r="J172" s="6" t="n">
        <v>44474</v>
      </c>
      <c r="K172" t="n">
        <v>3</v>
      </c>
      <c r="L172" t="inlineStr">
        <is>
          <t>USD</t>
        </is>
      </c>
      <c r="M172" t="n">
        <v>288.76</v>
      </c>
      <c r="N172" t="inlineStr">
        <is>
          <t>USD</t>
        </is>
      </c>
      <c r="O172" t="n">
        <v>5</v>
      </c>
      <c r="P172" t="inlineStr"/>
      <c r="Q172" t="inlineStr">
        <is>
          <t>FY2021/22</t>
        </is>
      </c>
      <c r="R172" t="inlineStr">
        <is>
          <t>AUD</t>
        </is>
      </c>
      <c r="S172" t="n">
        <v>7.5</v>
      </c>
      <c r="T172" t="inlineStr">
        <is>
          <t>AUD</t>
        </is>
      </c>
      <c r="U172" t="n">
        <v>2.5</v>
      </c>
      <c r="V172" t="inlineStr">
        <is>
          <t>AUD</t>
        </is>
      </c>
      <c r="W172" t="n">
        <v>433.14</v>
      </c>
      <c r="X172" t="b">
        <v>1</v>
      </c>
      <c r="Y172" s="3" t="inlineStr">
        <is>
          <t>2021-10-05 | PARCEL |  MSFT | 3.0000 unit @ A$433.14 / unit | Total cost base = A$1,306.92 |</t>
        </is>
      </c>
      <c r="Z172" s="5" t="inlineStr">
        <is>
          <t>01a1212c-76f2-7058-a3ee-29880ff39e3d</t>
        </is>
      </c>
    </row>
    <row r="173">
      <c r="A173" s="5" t="inlineStr">
        <is>
          <t>01a1212c-7708-74f9-9be1-2fb7361f79f6</t>
        </is>
      </c>
      <c r="B173" t="inlineStr">
        <is>
          <t>B172</t>
        </is>
      </c>
      <c r="C173" s="5" t="inlineStr">
        <is>
          <t>01a1212c-4b57-70cf-80fd-c2192cb3bf81</t>
        </is>
      </c>
      <c r="D173" s="4" t="n">
        <v>46304.62412751579</v>
      </c>
      <c r="E173" s="4" t="n">
        <v>46304.62412751585</v>
      </c>
      <c r="F173" t="b">
        <v>1</v>
      </c>
      <c r="G173" t="n">
        <v/>
      </c>
      <c r="H173" t="inlineStr">
        <is>
          <t>2021-10-05 | Buy | VGS | 20.0000 unit @ A$98.52 / unit</t>
        </is>
      </c>
      <c r="I173" t="inlineStr">
        <is>
          <t>VGS</t>
        </is>
      </c>
      <c r="J173" s="6" t="n">
        <v>44474</v>
      </c>
      <c r="K173" t="n">
        <v>20</v>
      </c>
      <c r="L173" t="inlineStr">
        <is>
          <t>AUD</t>
        </is>
      </c>
      <c r="M173" t="n">
        <v>98.52</v>
      </c>
      <c r="N173" t="inlineStr">
        <is>
          <t>AUD</t>
        </is>
      </c>
      <c r="O173" t="n">
        <v>9.5</v>
      </c>
      <c r="P173" t="inlineStr"/>
      <c r="Q173" t="inlineStr">
        <is>
          <t>FY2021/22</t>
        </is>
      </c>
      <c r="R173" t="inlineStr">
        <is>
          <t>AUD</t>
        </is>
      </c>
      <c r="S173" t="n">
        <v>9.5</v>
      </c>
      <c r="T173" t="inlineStr">
        <is>
          <t>AUD</t>
        </is>
      </c>
      <c r="U173" t="n">
        <v>0.475</v>
      </c>
      <c r="V173" t="inlineStr">
        <is>
          <t>AUD</t>
        </is>
      </c>
      <c r="W173" t="n">
        <v>98.52</v>
      </c>
      <c r="X173" t="b">
        <v>1</v>
      </c>
      <c r="Y173" s="3" t="inlineStr">
        <is>
          <t>2021-10-05 | PARCEL |  VGS | 20.0000 unit @ A$98.52 / unit | Total cost base = A$1,979.90 |</t>
        </is>
      </c>
      <c r="Z173" t="n">
        <v/>
      </c>
    </row>
    <row r="174">
      <c r="A174" s="5" t="inlineStr">
        <is>
          <t>01a1212c-771d-706c-bf3c-f4dbc11dfcbe</t>
        </is>
      </c>
      <c r="B174" t="inlineStr">
        <is>
          <t>B173</t>
        </is>
      </c>
      <c r="C174" s="5" t="inlineStr">
        <is>
          <t>01a1212c-4b57-70cf-80fd-c2192cb3bf81</t>
        </is>
      </c>
      <c r="D174" s="4" t="n">
        <v>46304.62412775945</v>
      </c>
      <c r="E174" s="4" t="n">
        <v>46304.62412775953</v>
      </c>
      <c r="F174" t="b">
        <v>1</v>
      </c>
      <c r="G174" t="n">
        <v/>
      </c>
      <c r="H174" t="inlineStr">
        <is>
          <t>2021-11-03 | Buy | A200 | 6.0000 unit @ A$125.01 / unit</t>
        </is>
      </c>
      <c r="I174" t="inlineStr">
        <is>
          <t>A200</t>
        </is>
      </c>
      <c r="J174" s="6" t="n">
        <v>44503</v>
      </c>
      <c r="K174" t="n">
        <v>6</v>
      </c>
      <c r="L174" t="inlineStr">
        <is>
          <t>AUD</t>
        </is>
      </c>
      <c r="M174" t="n">
        <v>125.01</v>
      </c>
      <c r="N174" t="inlineStr">
        <is>
          <t>AUD</t>
        </is>
      </c>
      <c r="O174" t="n">
        <v>9.5</v>
      </c>
      <c r="P174" t="inlineStr"/>
      <c r="Q174" t="inlineStr">
        <is>
          <t>FY2021/22</t>
        </is>
      </c>
      <c r="R174" t="inlineStr">
        <is>
          <t>AUD</t>
        </is>
      </c>
      <c r="S174" t="n">
        <v>9.5</v>
      </c>
      <c r="T174" t="inlineStr">
        <is>
          <t>AUD</t>
        </is>
      </c>
      <c r="U174" t="n">
        <v>1.583333</v>
      </c>
      <c r="V174" t="inlineStr">
        <is>
          <t>AUD</t>
        </is>
      </c>
      <c r="W174" t="n">
        <v>125.01</v>
      </c>
      <c r="X174" t="b">
        <v>1</v>
      </c>
      <c r="Y174" s="3" t="inlineStr">
        <is>
          <t>2021-11-03 | PARCEL |  A200 | 6.0000 unit @ A$125.01 / unit | Total cost base = A$759.56 |</t>
        </is>
      </c>
      <c r="Z174" t="n">
        <v/>
      </c>
    </row>
    <row r="175">
      <c r="A175" s="5" t="inlineStr">
        <is>
          <t>01a1212c-7733-7237-9c92-96b6c93abb1e</t>
        </is>
      </c>
      <c r="B175" t="inlineStr">
        <is>
          <t>B174</t>
        </is>
      </c>
      <c r="C175" s="5" t="inlineStr">
        <is>
          <t>01a1212c-4b57-70cf-80fd-c2192cb3bf81</t>
        </is>
      </c>
      <c r="D175" s="4" t="n">
        <v>46304.62412801188</v>
      </c>
      <c r="E175" s="4" t="n">
        <v>46304.62412801196</v>
      </c>
      <c r="F175" t="b">
        <v>1</v>
      </c>
      <c r="G175" t="n">
        <v/>
      </c>
      <c r="H175" t="inlineStr">
        <is>
          <t>2021-11-03 | Buy | VGS | 9.0000 unit @ A$102.76 / unit</t>
        </is>
      </c>
      <c r="I175" t="inlineStr">
        <is>
          <t>VGS</t>
        </is>
      </c>
      <c r="J175" s="6" t="n">
        <v>44503</v>
      </c>
      <c r="K175" t="n">
        <v>9</v>
      </c>
      <c r="L175" t="inlineStr">
        <is>
          <t>AUD</t>
        </is>
      </c>
      <c r="M175" t="n">
        <v>102.76</v>
      </c>
      <c r="N175" t="inlineStr">
        <is>
          <t>AUD</t>
        </is>
      </c>
      <c r="O175" t="n">
        <v>9.5</v>
      </c>
      <c r="P175" t="inlineStr"/>
      <c r="Q175" t="inlineStr">
        <is>
          <t>FY2021/22</t>
        </is>
      </c>
      <c r="R175" t="inlineStr">
        <is>
          <t>AUD</t>
        </is>
      </c>
      <c r="S175" t="n">
        <v>9.5</v>
      </c>
      <c r="T175" t="inlineStr">
        <is>
          <t>AUD</t>
        </is>
      </c>
      <c r="U175" t="n">
        <v>1.055556</v>
      </c>
      <c r="V175" t="inlineStr">
        <is>
          <t>AUD</t>
        </is>
      </c>
      <c r="W175" t="n">
        <v>102.76</v>
      </c>
      <c r="X175" t="b">
        <v>1</v>
      </c>
      <c r="Y175" s="3" t="inlineStr">
        <is>
          <t>2021-11-03 | PARCEL |  VGS | 9.0000 unit @ A$102.76 / unit | Total cost base = A$934.34 |</t>
        </is>
      </c>
      <c r="Z175" t="n">
        <v/>
      </c>
    </row>
    <row r="176">
      <c r="A176" s="5" t="inlineStr">
        <is>
          <t>01a1212c-774a-7484-a927-a997cd0553a1</t>
        </is>
      </c>
      <c r="B176" t="inlineStr">
        <is>
          <t>B175</t>
        </is>
      </c>
      <c r="C176" s="5" t="inlineStr">
        <is>
          <t>01a1212c-4b57-70cf-80fd-c2192cb3bf81</t>
        </is>
      </c>
      <c r="D176" s="4" t="n">
        <v>46304.62412829772</v>
      </c>
      <c r="E176" s="4" t="n">
        <v>46304.62412829778</v>
      </c>
      <c r="F176" t="b">
        <v>1</v>
      </c>
      <c r="G176" t="n">
        <v/>
      </c>
      <c r="H176" t="inlineStr">
        <is>
          <t>2021-11-26 | Buy | AAPL | 5.0000 unit @ $156.81 / unit</t>
        </is>
      </c>
      <c r="I176" t="inlineStr">
        <is>
          <t>AAPL</t>
        </is>
      </c>
      <c r="J176" s="6" t="n">
        <v>44526</v>
      </c>
      <c r="K176" t="n">
        <v>5</v>
      </c>
      <c r="L176" t="inlineStr">
        <is>
          <t>USD</t>
        </is>
      </c>
      <c r="M176" t="n">
        <v>156.81</v>
      </c>
      <c r="N176" t="inlineStr">
        <is>
          <t>USD</t>
        </is>
      </c>
      <c r="O176" t="n">
        <v>5</v>
      </c>
      <c r="P176" t="inlineStr"/>
      <c r="Q176" t="inlineStr">
        <is>
          <t>FY2021/22</t>
        </is>
      </c>
      <c r="R176" t="inlineStr">
        <is>
          <t>AUD</t>
        </is>
      </c>
      <c r="S176" t="n">
        <v>7.5</v>
      </c>
      <c r="T176" t="inlineStr">
        <is>
          <t>AUD</t>
        </is>
      </c>
      <c r="U176" t="n">
        <v>1.5</v>
      </c>
      <c r="V176" t="inlineStr">
        <is>
          <t>AUD</t>
        </is>
      </c>
      <c r="W176" t="n">
        <v>235.215</v>
      </c>
      <c r="X176" t="b">
        <v>1</v>
      </c>
      <c r="Y176" s="3" t="inlineStr">
        <is>
          <t>2021-11-26 | PARCEL |  AAPL | 5.0000 unit @ A$235.22 / unit | Total cost base = A$1,183.58 |</t>
        </is>
      </c>
      <c r="Z176" s="5" t="inlineStr">
        <is>
          <t>01a1212c-774b-70ef-aac5-a42eb51047b1</t>
        </is>
      </c>
    </row>
    <row r="177">
      <c r="A177" s="5" t="inlineStr">
        <is>
          <t>01a1212c-7762-7508-a3a3-ae20d1ed8cf1</t>
        </is>
      </c>
      <c r="B177" t="inlineStr">
        <is>
          <t>B176</t>
        </is>
      </c>
      <c r="C177" s="5" t="inlineStr">
        <is>
          <t>01a1212c-4b57-70cf-80fd-c2192cb3bf81</t>
        </is>
      </c>
      <c r="D177" s="4" t="n">
        <v>46304.62412855613</v>
      </c>
      <c r="E177" s="4" t="n">
        <v>46304.62412855621</v>
      </c>
      <c r="F177" t="b">
        <v>1</v>
      </c>
      <c r="G177" t="n">
        <v/>
      </c>
      <c r="H177" t="inlineStr">
        <is>
          <t>2021-12-06 | Buy | A200 | 10.0000 unit @ A$123.14 / unit</t>
        </is>
      </c>
      <c r="I177" t="inlineStr">
        <is>
          <t>A200</t>
        </is>
      </c>
      <c r="J177" s="6" t="n">
        <v>44536</v>
      </c>
      <c r="K177" t="n">
        <v>10</v>
      </c>
      <c r="L177" t="inlineStr">
        <is>
          <t>AUD</t>
        </is>
      </c>
      <c r="M177" t="n">
        <v>123.14</v>
      </c>
      <c r="N177" t="inlineStr">
        <is>
          <t>AUD</t>
        </is>
      </c>
      <c r="O177" t="n">
        <v>9.5</v>
      </c>
      <c r="P177" t="inlineStr"/>
      <c r="Q177" t="inlineStr">
        <is>
          <t>FY2021/22</t>
        </is>
      </c>
      <c r="R177" t="inlineStr">
        <is>
          <t>AUD</t>
        </is>
      </c>
      <c r="S177" t="n">
        <v>9.5</v>
      </c>
      <c r="T177" t="inlineStr">
        <is>
          <t>AUD</t>
        </is>
      </c>
      <c r="U177" t="n">
        <v>0.95</v>
      </c>
      <c r="V177" t="inlineStr">
        <is>
          <t>AUD</t>
        </is>
      </c>
      <c r="W177" t="n">
        <v>123.14</v>
      </c>
      <c r="X177" t="b">
        <v>1</v>
      </c>
      <c r="Y177" s="3" t="inlineStr">
        <is>
          <t>2021-12-06 | PARCEL |  A200 | 10.0000 unit @ A$123.14 / unit | Total cost base = A$1,240.90 |</t>
        </is>
      </c>
      <c r="Z177" t="n">
        <v/>
      </c>
    </row>
    <row r="178">
      <c r="A178" s="5" t="inlineStr">
        <is>
          <t>01a1212c-7778-70d7-a760-f30166ed8fcd</t>
        </is>
      </c>
      <c r="B178" t="inlineStr">
        <is>
          <t>B177</t>
        </is>
      </c>
      <c r="C178" s="5" t="inlineStr">
        <is>
          <t>01a1212c-4b57-70cf-80fd-c2192cb3bf81</t>
        </is>
      </c>
      <c r="D178" s="4" t="n">
        <v>46304.62412882101</v>
      </c>
      <c r="E178" s="4" t="n">
        <v>46304.62412882107</v>
      </c>
      <c r="F178" t="b">
        <v>1</v>
      </c>
      <c r="G178" t="n">
        <v/>
      </c>
      <c r="H178" t="inlineStr">
        <is>
          <t>2021-12-06 | Buy | VGS | 14.0000 unit @ A$105.94 / unit</t>
        </is>
      </c>
      <c r="I178" t="inlineStr">
        <is>
          <t>VGS</t>
        </is>
      </c>
      <c r="J178" s="6" t="n">
        <v>44536</v>
      </c>
      <c r="K178" t="n">
        <v>14</v>
      </c>
      <c r="L178" t="inlineStr">
        <is>
          <t>AUD</t>
        </is>
      </c>
      <c r="M178" t="n">
        <v>105.94</v>
      </c>
      <c r="N178" t="inlineStr">
        <is>
          <t>AUD</t>
        </is>
      </c>
      <c r="O178" t="n">
        <v>9.5</v>
      </c>
      <c r="P178" t="inlineStr"/>
      <c r="Q178" t="inlineStr">
        <is>
          <t>FY2021/22</t>
        </is>
      </c>
      <c r="R178" t="inlineStr">
        <is>
          <t>AUD</t>
        </is>
      </c>
      <c r="S178" t="n">
        <v>9.5</v>
      </c>
      <c r="T178" t="inlineStr">
        <is>
          <t>AUD</t>
        </is>
      </c>
      <c r="U178" t="n">
        <v>0.678571</v>
      </c>
      <c r="V178" t="inlineStr">
        <is>
          <t>AUD</t>
        </is>
      </c>
      <c r="W178" t="n">
        <v>105.94</v>
      </c>
      <c r="X178" t="b">
        <v>1</v>
      </c>
      <c r="Y178" s="3" t="inlineStr">
        <is>
          <t>2021-12-06 | PARCEL |  VGS | 14.0000 unit @ A$105.94 / unit | Total cost base = A$1,492.66 |</t>
        </is>
      </c>
      <c r="Z178" t="n">
        <v/>
      </c>
    </row>
    <row r="179">
      <c r="A179" s="5" t="inlineStr">
        <is>
          <t>01a1212c-778e-71f8-96b1-d3357fb88956</t>
        </is>
      </c>
      <c r="B179" t="inlineStr">
        <is>
          <t>B178</t>
        </is>
      </c>
      <c r="C179" s="5" t="inlineStr">
        <is>
          <t>01a1212c-4b57-70cf-80fd-c2192cb3bf81</t>
        </is>
      </c>
      <c r="D179" s="4" t="n">
        <v>46304.62412908604</v>
      </c>
      <c r="E179" s="4" t="n">
        <v>46304.6241290861</v>
      </c>
      <c r="F179" t="b">
        <v>1</v>
      </c>
      <c r="G179" t="n">
        <v/>
      </c>
      <c r="H179" t="inlineStr">
        <is>
          <t>2021-12-13 | Buy | AAPL | 4.0000 unit @ $175.74 / unit</t>
        </is>
      </c>
      <c r="I179" t="inlineStr">
        <is>
          <t>AAPL</t>
        </is>
      </c>
      <c r="J179" s="6" t="n">
        <v>44543</v>
      </c>
      <c r="K179" t="n">
        <v>4</v>
      </c>
      <c r="L179" t="inlineStr">
        <is>
          <t>USD</t>
        </is>
      </c>
      <c r="M179" t="n">
        <v>175.74</v>
      </c>
      <c r="N179" t="inlineStr">
        <is>
          <t>USD</t>
        </is>
      </c>
      <c r="O179" t="n">
        <v>5</v>
      </c>
      <c r="P179" t="inlineStr"/>
      <c r="Q179" t="inlineStr">
        <is>
          <t>FY2021/22</t>
        </is>
      </c>
      <c r="R179" t="inlineStr">
        <is>
          <t>AUD</t>
        </is>
      </c>
      <c r="S179" t="n">
        <v>7.5</v>
      </c>
      <c r="T179" t="inlineStr">
        <is>
          <t>AUD</t>
        </is>
      </c>
      <c r="U179" t="n">
        <v>1.875</v>
      </c>
      <c r="V179" t="inlineStr">
        <is>
          <t>AUD</t>
        </is>
      </c>
      <c r="W179" t="n">
        <v>263.61</v>
      </c>
      <c r="X179" t="b">
        <v>1</v>
      </c>
      <c r="Y179" s="3" t="inlineStr">
        <is>
          <t>2021-12-13 | PARCEL |  AAPL | 4.0000 unit @ A$263.61 / unit | Total cost base = A$1,061.94 |</t>
        </is>
      </c>
      <c r="Z179" s="5" t="inlineStr">
        <is>
          <t>01a1212c-7790-7130-b928-baf41de27258</t>
        </is>
      </c>
    </row>
    <row r="180">
      <c r="A180" s="5" t="inlineStr">
        <is>
          <t>01a1212c-77a5-7706-aab7-9cc4d7431f07</t>
        </is>
      </c>
      <c r="B180" t="inlineStr">
        <is>
          <t>B179</t>
        </is>
      </c>
      <c r="C180" s="5" t="inlineStr">
        <is>
          <t>01a1212c-4b57-70cf-80fd-c2192cb3bf81</t>
        </is>
      </c>
      <c r="D180" s="4" t="n">
        <v>46304.62412935264</v>
      </c>
      <c r="E180" s="4" t="n">
        <v>46304.6241293527</v>
      </c>
      <c r="F180" t="b">
        <v>1</v>
      </c>
      <c r="G180" t="n">
        <v/>
      </c>
      <c r="H180" t="inlineStr">
        <is>
          <t>2021-12-20 | Buy | AAPL | 3.0000 unit @ $169.75 / unit</t>
        </is>
      </c>
      <c r="I180" t="inlineStr">
        <is>
          <t>AAPL</t>
        </is>
      </c>
      <c r="J180" s="6" t="n">
        <v>44550</v>
      </c>
      <c r="K180" t="n">
        <v>3</v>
      </c>
      <c r="L180" t="inlineStr">
        <is>
          <t>USD</t>
        </is>
      </c>
      <c r="M180" t="n">
        <v>169.75</v>
      </c>
      <c r="N180" t="inlineStr">
        <is>
          <t>USD</t>
        </is>
      </c>
      <c r="O180" t="n">
        <v>5</v>
      </c>
      <c r="P180" t="inlineStr"/>
      <c r="Q180" t="inlineStr">
        <is>
          <t>FY2021/22</t>
        </is>
      </c>
      <c r="R180" t="inlineStr">
        <is>
          <t>AUD</t>
        </is>
      </c>
      <c r="S180" t="n">
        <v>7.5</v>
      </c>
      <c r="T180" t="inlineStr">
        <is>
          <t>AUD</t>
        </is>
      </c>
      <c r="U180" t="n">
        <v>2.5</v>
      </c>
      <c r="V180" t="inlineStr">
        <is>
          <t>AUD</t>
        </is>
      </c>
      <c r="W180" t="n">
        <v>254.625</v>
      </c>
      <c r="X180" t="b">
        <v>1</v>
      </c>
      <c r="Y180" s="3" t="inlineStr">
        <is>
          <t>2021-12-20 | PARCEL |  AAPL | 3.0000 unit @ A$254.62 / unit | Total cost base = A$771.38 |</t>
        </is>
      </c>
      <c r="Z180" s="5" t="inlineStr">
        <is>
          <t>01a1212c-77a7-733e-a0c2-a0fed13aac30</t>
        </is>
      </c>
    </row>
    <row r="181">
      <c r="A181" s="5" t="inlineStr">
        <is>
          <t>01a1212c-77bc-70b4-9952-b6241acea746</t>
        </is>
      </c>
      <c r="B181" t="inlineStr">
        <is>
          <t>B180</t>
        </is>
      </c>
      <c r="C181" s="5" t="inlineStr">
        <is>
          <t>01a1212c-4b57-70cf-80fd-c2192cb3bf81</t>
        </is>
      </c>
      <c r="D181" s="4" t="n">
        <v>46304.62412959863</v>
      </c>
      <c r="E181" s="4" t="n">
        <v>46304.62412959871</v>
      </c>
      <c r="F181" t="b">
        <v>1</v>
      </c>
      <c r="G181" t="n">
        <v/>
      </c>
      <c r="H181" t="inlineStr">
        <is>
          <t>2022-01-04 | Buy | A200 | 9.0000 unit @ A$128.37 / unit</t>
        </is>
      </c>
      <c r="I181" t="inlineStr">
        <is>
          <t>A200</t>
        </is>
      </c>
      <c r="J181" s="6" t="n">
        <v>44565</v>
      </c>
      <c r="K181" t="n">
        <v>9</v>
      </c>
      <c r="L181" t="inlineStr">
        <is>
          <t>AUD</t>
        </is>
      </c>
      <c r="M181" t="n">
        <v>128.37</v>
      </c>
      <c r="N181" t="inlineStr">
        <is>
          <t>AUD</t>
        </is>
      </c>
      <c r="O181" t="n">
        <v>9.5</v>
      </c>
      <c r="P181" t="inlineStr"/>
      <c r="Q181" t="inlineStr">
        <is>
          <t>FY2021/22</t>
        </is>
      </c>
      <c r="R181" t="inlineStr">
        <is>
          <t>AUD</t>
        </is>
      </c>
      <c r="S181" t="n">
        <v>9.5</v>
      </c>
      <c r="T181" t="inlineStr">
        <is>
          <t>AUD</t>
        </is>
      </c>
      <c r="U181" t="n">
        <v>1.055556</v>
      </c>
      <c r="V181" t="inlineStr">
        <is>
          <t>AUD</t>
        </is>
      </c>
      <c r="W181" t="n">
        <v>128.37</v>
      </c>
      <c r="X181" t="b">
        <v>1</v>
      </c>
      <c r="Y181" s="3" t="inlineStr">
        <is>
          <t>2022-01-04 | PARCEL |  A200 | 9.0000 unit @ A$128.37 / unit | Total cost base = A$1,164.83 |</t>
        </is>
      </c>
      <c r="Z181" t="n">
        <v/>
      </c>
    </row>
    <row r="182">
      <c r="A182" s="5" t="inlineStr">
        <is>
          <t>01a1212c-77d2-72da-94e3-4cc57826cd7e</t>
        </is>
      </c>
      <c r="B182" t="inlineStr">
        <is>
          <t>B181</t>
        </is>
      </c>
      <c r="C182" s="5" t="inlineStr">
        <is>
          <t>01a1212c-4b57-70cf-80fd-c2192cb3bf81</t>
        </is>
      </c>
      <c r="D182" s="4" t="n">
        <v>46304.62412985924</v>
      </c>
      <c r="E182" s="4" t="n">
        <v>46304.62412985934</v>
      </c>
      <c r="F182" t="b">
        <v>1</v>
      </c>
      <c r="G182" t="n">
        <v/>
      </c>
      <c r="H182" t="inlineStr">
        <is>
          <t>2022-01-04 | Buy | VGS | 14.0000 unit @ A$107.94 / unit</t>
        </is>
      </c>
      <c r="I182" t="inlineStr">
        <is>
          <t>VGS</t>
        </is>
      </c>
      <c r="J182" s="6" t="n">
        <v>44565</v>
      </c>
      <c r="K182" t="n">
        <v>14</v>
      </c>
      <c r="L182" t="inlineStr">
        <is>
          <t>AUD</t>
        </is>
      </c>
      <c r="M182" t="n">
        <v>107.94</v>
      </c>
      <c r="N182" t="inlineStr">
        <is>
          <t>AUD</t>
        </is>
      </c>
      <c r="O182" t="n">
        <v>9.5</v>
      </c>
      <c r="P182" t="inlineStr"/>
      <c r="Q182" t="inlineStr">
        <is>
          <t>FY2021/22</t>
        </is>
      </c>
      <c r="R182" t="inlineStr">
        <is>
          <t>AUD</t>
        </is>
      </c>
      <c r="S182" t="n">
        <v>9.5</v>
      </c>
      <c r="T182" t="inlineStr">
        <is>
          <t>AUD</t>
        </is>
      </c>
      <c r="U182" t="n">
        <v>0.678571</v>
      </c>
      <c r="V182" t="inlineStr">
        <is>
          <t>AUD</t>
        </is>
      </c>
      <c r="W182" t="n">
        <v>107.94</v>
      </c>
      <c r="X182" t="b">
        <v>1</v>
      </c>
      <c r="Y182" s="3" t="inlineStr">
        <is>
          <t>2022-01-04 | PARCEL |  VGS | 14.0000 unit @ A$107.94 / unit | Total cost base = A$1,520.66 |</t>
        </is>
      </c>
      <c r="Z182" t="n">
        <v/>
      </c>
    </row>
    <row r="183">
      <c r="A183" s="5" t="inlineStr">
        <is>
          <t>01a1212c-77e8-722e-aafe-cb106ba67592</t>
        </is>
      </c>
      <c r="B183" t="inlineStr">
        <is>
          <t>B182</t>
        </is>
      </c>
      <c r="C183" s="5" t="inlineStr">
        <is>
          <t>01a1212c-4b57-70cf-80fd-c2192cb3bf81</t>
        </is>
      </c>
      <c r="D183" s="4" t="n">
        <v>46304.62413013232</v>
      </c>
      <c r="E183" s="4" t="n">
        <v>46304.62413013238</v>
      </c>
      <c r="F183" t="b">
        <v>1</v>
      </c>
      <c r="G183" t="n">
        <v/>
      </c>
      <c r="H183" t="inlineStr">
        <is>
          <t>2022-01-27 | Buy | MSFT | 2.0000 unit @ $299.84 / unit</t>
        </is>
      </c>
      <c r="I183" t="inlineStr">
        <is>
          <t>MSFT</t>
        </is>
      </c>
      <c r="J183" s="6" t="n">
        <v>44588</v>
      </c>
      <c r="K183" t="n">
        <v>2</v>
      </c>
      <c r="L183" t="inlineStr">
        <is>
          <t>USD</t>
        </is>
      </c>
      <c r="M183" t="n">
        <v>299.84</v>
      </c>
      <c r="N183" t="inlineStr">
        <is>
          <t>USD</t>
        </is>
      </c>
      <c r="O183" t="n">
        <v>5</v>
      </c>
      <c r="P183" t="inlineStr"/>
      <c r="Q183" t="inlineStr">
        <is>
          <t>FY2021/22</t>
        </is>
      </c>
      <c r="R183" t="inlineStr">
        <is>
          <t>AUD</t>
        </is>
      </c>
      <c r="S183" t="n">
        <v>7.5</v>
      </c>
      <c r="T183" t="inlineStr">
        <is>
          <t>AUD</t>
        </is>
      </c>
      <c r="U183" t="n">
        <v>3.75</v>
      </c>
      <c r="V183" t="inlineStr">
        <is>
          <t>AUD</t>
        </is>
      </c>
      <c r="W183" t="n">
        <v>449.76</v>
      </c>
      <c r="X183" t="b">
        <v>1</v>
      </c>
      <c r="Y183" s="3" t="inlineStr">
        <is>
          <t>2022-01-27 | PARCEL |  MSFT | 2.0000 unit @ A$449.76 / unit | Total cost base = A$907.02 |</t>
        </is>
      </c>
      <c r="Z183" s="5" t="inlineStr">
        <is>
          <t>01a1212c-77ea-74fd-b4cb-890209f7bbf0</t>
        </is>
      </c>
    </row>
    <row r="184">
      <c r="A184" s="5" t="inlineStr">
        <is>
          <t>01a1212c-77ff-75fb-8a00-e0d94b1031eb</t>
        </is>
      </c>
      <c r="B184" t="inlineStr">
        <is>
          <t>B183</t>
        </is>
      </c>
      <c r="C184" s="5" t="inlineStr">
        <is>
          <t>01a1212c-4b57-70cf-80fd-c2192cb3bf81</t>
        </is>
      </c>
      <c r="D184" s="4" t="n">
        <v>46304.62413039089</v>
      </c>
      <c r="E184" s="4" t="n">
        <v>46304.62413039094</v>
      </c>
      <c r="F184" t="b">
        <v>1</v>
      </c>
      <c r="G184" t="n">
        <v/>
      </c>
      <c r="H184" t="inlineStr">
        <is>
          <t>2022-02-04 | Buy | AAPL | 2.0000 unit @ $172.39 / unit</t>
        </is>
      </c>
      <c r="I184" t="inlineStr">
        <is>
          <t>AAPL</t>
        </is>
      </c>
      <c r="J184" s="6" t="n">
        <v>44596</v>
      </c>
      <c r="K184" t="n">
        <v>2</v>
      </c>
      <c r="L184" t="inlineStr">
        <is>
          <t>USD</t>
        </is>
      </c>
      <c r="M184" t="n">
        <v>172.39</v>
      </c>
      <c r="N184" t="inlineStr">
        <is>
          <t>USD</t>
        </is>
      </c>
      <c r="O184" t="n">
        <v>5</v>
      </c>
      <c r="P184" t="inlineStr"/>
      <c r="Q184" t="inlineStr">
        <is>
          <t>FY2021/22</t>
        </is>
      </c>
      <c r="R184" t="inlineStr">
        <is>
          <t>AUD</t>
        </is>
      </c>
      <c r="S184" t="n">
        <v>7.5</v>
      </c>
      <c r="T184" t="inlineStr">
        <is>
          <t>AUD</t>
        </is>
      </c>
      <c r="U184" t="n">
        <v>3.75</v>
      </c>
      <c r="V184" t="inlineStr">
        <is>
          <t>AUD</t>
        </is>
      </c>
      <c r="W184" t="n">
        <v>258.585</v>
      </c>
      <c r="X184" t="b">
        <v>1</v>
      </c>
      <c r="Y184" s="3" t="inlineStr">
        <is>
          <t>2022-02-04 | PARCEL |  AAPL | 2.0000 unit @ A$258.58 / unit | Total cost base = A$524.67 |</t>
        </is>
      </c>
      <c r="Z184" s="5" t="inlineStr">
        <is>
          <t>01a1212c-7800-7022-8374-0bf0a2ade492</t>
        </is>
      </c>
    </row>
    <row r="185">
      <c r="A185" s="5" t="inlineStr">
        <is>
          <t>01a1212c-7816-7737-adbc-4568d188637f</t>
        </is>
      </c>
      <c r="B185" t="inlineStr">
        <is>
          <t>B184</t>
        </is>
      </c>
      <c r="C185" s="5" t="inlineStr">
        <is>
          <t>01a1212c-4b57-70cf-80fd-c2192cb3bf81</t>
        </is>
      </c>
      <c r="D185" s="4" t="n">
        <v>46304.62413064368</v>
      </c>
      <c r="E185" s="4" t="n">
        <v>46304.62413064375</v>
      </c>
      <c r="F185" t="b">
        <v>1</v>
      </c>
      <c r="G185" t="n">
        <v/>
      </c>
      <c r="H185" t="inlineStr">
        <is>
          <t>2022-02-07 | Buy | A200 | 5.0000 unit @ A$120.45 / unit</t>
        </is>
      </c>
      <c r="I185" t="inlineStr">
        <is>
          <t>A200</t>
        </is>
      </c>
      <c r="J185" s="6" t="n">
        <v>44599</v>
      </c>
      <c r="K185" t="n">
        <v>5</v>
      </c>
      <c r="L185" t="inlineStr">
        <is>
          <t>AUD</t>
        </is>
      </c>
      <c r="M185" t="n">
        <v>120.45</v>
      </c>
      <c r="N185" t="inlineStr">
        <is>
          <t>AUD</t>
        </is>
      </c>
      <c r="O185" t="n">
        <v>9.5</v>
      </c>
      <c r="P185" t="inlineStr"/>
      <c r="Q185" t="inlineStr">
        <is>
          <t>FY2021/22</t>
        </is>
      </c>
      <c r="R185" t="inlineStr">
        <is>
          <t>AUD</t>
        </is>
      </c>
      <c r="S185" t="n">
        <v>9.5</v>
      </c>
      <c r="T185" t="inlineStr">
        <is>
          <t>AUD</t>
        </is>
      </c>
      <c r="U185" t="n">
        <v>1.9</v>
      </c>
      <c r="V185" t="inlineStr">
        <is>
          <t>AUD</t>
        </is>
      </c>
      <c r="W185" t="n">
        <v>120.45</v>
      </c>
      <c r="X185" t="b">
        <v>1</v>
      </c>
      <c r="Y185" s="3" t="inlineStr">
        <is>
          <t>2022-02-07 | PARCEL |  A200 | 5.0000 unit @ A$120.45 / unit | Total cost base = A$611.75 |</t>
        </is>
      </c>
      <c r="Z185" t="n">
        <v/>
      </c>
    </row>
    <row r="186">
      <c r="A186" s="5" t="inlineStr">
        <is>
          <t>01a1212c-782a-7641-b243-58dfddb6d693</t>
        </is>
      </c>
      <c r="B186" t="inlineStr">
        <is>
          <t>B185</t>
        </is>
      </c>
      <c r="C186" s="5" t="inlineStr">
        <is>
          <t>01a1212c-4b57-70cf-80fd-c2192cb3bf81</t>
        </is>
      </c>
      <c r="D186" s="4" t="n">
        <v>46304.62413087941</v>
      </c>
      <c r="E186" s="4" t="n">
        <v>46304.62413087948</v>
      </c>
      <c r="F186" t="b">
        <v>1</v>
      </c>
      <c r="G186" t="n">
        <v/>
      </c>
      <c r="H186" t="inlineStr">
        <is>
          <t>2022-02-07 | Buy | VGS | 8.0000 unit @ A$103.43 / unit</t>
        </is>
      </c>
      <c r="I186" t="inlineStr">
        <is>
          <t>VGS</t>
        </is>
      </c>
      <c r="J186" s="6" t="n">
        <v>44599</v>
      </c>
      <c r="K186" t="n">
        <v>8</v>
      </c>
      <c r="L186" t="inlineStr">
        <is>
          <t>AUD</t>
        </is>
      </c>
      <c r="M186" t="n">
        <v>103.43</v>
      </c>
      <c r="N186" t="inlineStr">
        <is>
          <t>AUD</t>
        </is>
      </c>
      <c r="O186" t="n">
        <v>9.5</v>
      </c>
      <c r="P186" t="inlineStr"/>
      <c r="Q186" t="inlineStr">
        <is>
          <t>FY2021/22</t>
        </is>
      </c>
      <c r="R186" t="inlineStr">
        <is>
          <t>AUD</t>
        </is>
      </c>
      <c r="S186" t="n">
        <v>9.5</v>
      </c>
      <c r="T186" t="inlineStr">
        <is>
          <t>AUD</t>
        </is>
      </c>
      <c r="U186" t="n">
        <v>1.1875</v>
      </c>
      <c r="V186" t="inlineStr">
        <is>
          <t>AUD</t>
        </is>
      </c>
      <c r="W186" t="n">
        <v>103.43</v>
      </c>
      <c r="X186" t="b">
        <v>1</v>
      </c>
      <c r="Y186" s="3" t="inlineStr">
        <is>
          <t>2022-02-07 | PARCEL |  VGS | 8.0000 unit @ A$103.43 / unit | Total cost base = A$836.94 |</t>
        </is>
      </c>
      <c r="Z186" t="n">
        <v/>
      </c>
    </row>
    <row r="187">
      <c r="A187" s="5" t="inlineStr">
        <is>
          <t>01a1212c-783f-77d7-8234-c669b5136a5f</t>
        </is>
      </c>
      <c r="B187" t="inlineStr">
        <is>
          <t>B186</t>
        </is>
      </c>
      <c r="C187" s="5" t="inlineStr">
        <is>
          <t>01a1212c-4b57-70cf-80fd-c2192cb3bf81</t>
        </is>
      </c>
      <c r="D187" s="4" t="n">
        <v>46304.62413111867</v>
      </c>
      <c r="E187" s="4" t="n">
        <v>46304.62413111874</v>
      </c>
      <c r="F187" t="b">
        <v>1</v>
      </c>
      <c r="G187" t="n">
        <v/>
      </c>
      <c r="H187" t="inlineStr">
        <is>
          <t>2022-02-15 | Buy | BHP | 26.0000 unit @ A$42.90 / unit</t>
        </is>
      </c>
      <c r="I187" t="inlineStr">
        <is>
          <t>BHP</t>
        </is>
      </c>
      <c r="J187" s="6" t="n">
        <v>44607</v>
      </c>
      <c r="K187" t="n">
        <v>26</v>
      </c>
      <c r="L187" t="inlineStr">
        <is>
          <t>AUD</t>
        </is>
      </c>
      <c r="M187" t="n">
        <v>42.8998</v>
      </c>
      <c r="N187" t="inlineStr">
        <is>
          <t>AUD</t>
        </is>
      </c>
      <c r="O187" t="n">
        <v>19.95</v>
      </c>
      <c r="P187" t="inlineStr"/>
      <c r="Q187" t="inlineStr">
        <is>
          <t>FY2021/22</t>
        </is>
      </c>
      <c r="R187" t="inlineStr">
        <is>
          <t>AUD</t>
        </is>
      </c>
      <c r="S187" t="n">
        <v>19.95</v>
      </c>
      <c r="T187" t="inlineStr">
        <is>
          <t>AUD</t>
        </is>
      </c>
      <c r="U187" t="n">
        <v>0.767308</v>
      </c>
      <c r="V187" t="inlineStr">
        <is>
          <t>AUD</t>
        </is>
      </c>
      <c r="W187" t="n">
        <v>42.8998</v>
      </c>
      <c r="X187" t="b">
        <v>1</v>
      </c>
      <c r="Y187" s="3" t="inlineStr">
        <is>
          <t>2022-02-15 | PARCEL |  BHP | 26.0000 unit @ A$42.90 / unit | Total cost base = A$1,135.34 |</t>
        </is>
      </c>
      <c r="Z187" t="n">
        <v/>
      </c>
    </row>
    <row r="188">
      <c r="A188" s="5" t="inlineStr">
        <is>
          <t>01a1212c-7853-7732-8a67-c1321e1506a0</t>
        </is>
      </c>
      <c r="B188" t="inlineStr">
        <is>
          <t>B187</t>
        </is>
      </c>
      <c r="C188" s="5" t="inlineStr">
        <is>
          <t>01a1212c-4b57-70cf-80fd-c2192cb3bf81</t>
        </is>
      </c>
      <c r="D188" s="4" t="n">
        <v>46304.62413134831</v>
      </c>
      <c r="E188" s="4" t="n">
        <v>46304.62413134839</v>
      </c>
      <c r="F188" t="b">
        <v>1</v>
      </c>
      <c r="G188" t="n">
        <v/>
      </c>
      <c r="H188" t="inlineStr">
        <is>
          <t>2022-03-03 | Buy | A200 | 5.0000 unit @ A$122.61 / unit</t>
        </is>
      </c>
      <c r="I188" t="inlineStr">
        <is>
          <t>A200</t>
        </is>
      </c>
      <c r="J188" s="6" t="n">
        <v>44623</v>
      </c>
      <c r="K188" t="n">
        <v>5</v>
      </c>
      <c r="L188" t="inlineStr">
        <is>
          <t>AUD</t>
        </is>
      </c>
      <c r="M188" t="n">
        <v>122.61</v>
      </c>
      <c r="N188" t="inlineStr">
        <is>
          <t>AUD</t>
        </is>
      </c>
      <c r="O188" t="n">
        <v>9.5</v>
      </c>
      <c r="P188" t="inlineStr"/>
      <c r="Q188" t="inlineStr">
        <is>
          <t>FY2021/22</t>
        </is>
      </c>
      <c r="R188" t="inlineStr">
        <is>
          <t>AUD</t>
        </is>
      </c>
      <c r="S188" t="n">
        <v>9.5</v>
      </c>
      <c r="T188" t="inlineStr">
        <is>
          <t>AUD</t>
        </is>
      </c>
      <c r="U188" t="n">
        <v>1.9</v>
      </c>
      <c r="V188" t="inlineStr">
        <is>
          <t>AUD</t>
        </is>
      </c>
      <c r="W188" t="n">
        <v>122.61</v>
      </c>
      <c r="X188" t="b">
        <v>1</v>
      </c>
      <c r="Y188" s="3" t="inlineStr">
        <is>
          <t>2022-03-03 | PARCEL |  A200 | 5.0000 unit @ A$122.61 / unit | Total cost base = A$622.55 |</t>
        </is>
      </c>
      <c r="Z188" t="n">
        <v/>
      </c>
    </row>
    <row r="189">
      <c r="A189" s="5" t="inlineStr">
        <is>
          <t>01a1212c-7869-73c8-942d-7b72c7656cf1</t>
        </is>
      </c>
      <c r="B189" t="inlineStr">
        <is>
          <t>B188</t>
        </is>
      </c>
      <c r="C189" s="5" t="inlineStr">
        <is>
          <t>01a1212c-4b57-70cf-80fd-c2192cb3bf81</t>
        </is>
      </c>
      <c r="D189" s="4" t="n">
        <v>46304.6241316041</v>
      </c>
      <c r="E189" s="4" t="n">
        <v>46304.62413160418</v>
      </c>
      <c r="F189" t="b">
        <v>1</v>
      </c>
      <c r="G189" t="n">
        <v/>
      </c>
      <c r="H189" t="inlineStr">
        <is>
          <t>2022-03-03 | Buy | VGS | 9.0000 unit @ A$97.41 / unit</t>
        </is>
      </c>
      <c r="I189" t="inlineStr">
        <is>
          <t>VGS</t>
        </is>
      </c>
      <c r="J189" s="6" t="n">
        <v>44623</v>
      </c>
      <c r="K189" t="n">
        <v>9</v>
      </c>
      <c r="L189" t="inlineStr">
        <is>
          <t>AUD</t>
        </is>
      </c>
      <c r="M189" t="n">
        <v>97.41</v>
      </c>
      <c r="N189" t="inlineStr">
        <is>
          <t>AUD</t>
        </is>
      </c>
      <c r="O189" t="n">
        <v>9.5</v>
      </c>
      <c r="P189" t="inlineStr"/>
      <c r="Q189" t="inlineStr">
        <is>
          <t>FY2021/22</t>
        </is>
      </c>
      <c r="R189" t="inlineStr">
        <is>
          <t>AUD</t>
        </is>
      </c>
      <c r="S189" t="n">
        <v>9.5</v>
      </c>
      <c r="T189" t="inlineStr">
        <is>
          <t>AUD</t>
        </is>
      </c>
      <c r="U189" t="n">
        <v>1.055556</v>
      </c>
      <c r="V189" t="inlineStr">
        <is>
          <t>AUD</t>
        </is>
      </c>
      <c r="W189" t="n">
        <v>97.41</v>
      </c>
      <c r="X189" t="b">
        <v>1</v>
      </c>
      <c r="Y189" s="3" t="inlineStr">
        <is>
          <t>2022-03-03 | PARCEL |  VGS | 9.0000 unit @ A$97.41 / unit | Total cost base = A$886.19 |</t>
        </is>
      </c>
      <c r="Z189" t="n">
        <v/>
      </c>
    </row>
    <row r="190">
      <c r="A190" s="5" t="inlineStr">
        <is>
          <t>01a1212c-787e-714b-a7ef-6ee488bf66de</t>
        </is>
      </c>
      <c r="B190" t="inlineStr">
        <is>
          <t>B189</t>
        </is>
      </c>
      <c r="C190" s="5" t="inlineStr">
        <is>
          <t>01a1212c-4b57-70cf-80fd-c2192cb3bf81</t>
        </is>
      </c>
      <c r="D190" s="4" t="n">
        <v>46304.62413186192</v>
      </c>
      <c r="E190" s="4" t="n">
        <v>46304.62413186198</v>
      </c>
      <c r="F190" t="b">
        <v>1</v>
      </c>
      <c r="G190" t="n">
        <v/>
      </c>
      <c r="H190" t="inlineStr">
        <is>
          <t>2022-03-07 | Buy | AMZN | 1.0000 unit @ $2,749.06 / unit</t>
        </is>
      </c>
      <c r="I190" t="inlineStr">
        <is>
          <t>AMZN</t>
        </is>
      </c>
      <c r="J190" s="6" t="n">
        <v>44627</v>
      </c>
      <c r="K190" t="n">
        <v>1</v>
      </c>
      <c r="L190" t="inlineStr">
        <is>
          <t>USD</t>
        </is>
      </c>
      <c r="M190" t="n">
        <v>2749.0601</v>
      </c>
      <c r="N190" t="inlineStr">
        <is>
          <t>USD</t>
        </is>
      </c>
      <c r="O190" t="n">
        <v>5</v>
      </c>
      <c r="P190" t="inlineStr"/>
      <c r="Q190" t="inlineStr">
        <is>
          <t>FY2021/22</t>
        </is>
      </c>
      <c r="R190" t="inlineStr">
        <is>
          <t>AUD</t>
        </is>
      </c>
      <c r="S190" t="n">
        <v>7.5</v>
      </c>
      <c r="T190" t="inlineStr">
        <is>
          <t>AUD</t>
        </is>
      </c>
      <c r="U190" t="n">
        <v>7.5</v>
      </c>
      <c r="V190" t="inlineStr">
        <is>
          <t>AUD</t>
        </is>
      </c>
      <c r="W190" t="n">
        <v>4123.59015</v>
      </c>
      <c r="X190" t="b">
        <v>1</v>
      </c>
      <c r="Y190" s="3" t="inlineStr">
        <is>
          <t>2022-03-07 | PARCEL |  AMZN | 1.0000 unit @ A$4,123.59 / unit | Total cost base = A$4,131.09 |</t>
        </is>
      </c>
      <c r="Z190" s="5" t="inlineStr">
        <is>
          <t>01a1212c-7880-72c6-80e6-07cb4028a963</t>
        </is>
      </c>
    </row>
    <row r="191">
      <c r="A191" s="5" t="inlineStr">
        <is>
          <t>01a1212c-7895-72df-a62c-3ab35478ed73</t>
        </is>
      </c>
      <c r="B191" t="inlineStr">
        <is>
          <t>B190</t>
        </is>
      </c>
      <c r="C191" s="5" t="inlineStr">
        <is>
          <t>01a1212c-4b57-70cf-80fd-c2192cb3bf81</t>
        </is>
      </c>
      <c r="D191" s="4" t="n">
        <v>46304.62413211422</v>
      </c>
      <c r="E191" s="4" t="n">
        <v>46304.6241321143</v>
      </c>
      <c r="F191" t="b">
        <v>1</v>
      </c>
      <c r="G191" t="n">
        <v/>
      </c>
      <c r="H191" t="inlineStr">
        <is>
          <t>2022-04-04 | Buy | A200 | 9.0000 unit @ A$127.85 / unit</t>
        </is>
      </c>
      <c r="I191" t="inlineStr">
        <is>
          <t>A200</t>
        </is>
      </c>
      <c r="J191" s="6" t="n">
        <v>44655</v>
      </c>
      <c r="K191" t="n">
        <v>9</v>
      </c>
      <c r="L191" t="inlineStr">
        <is>
          <t>AUD</t>
        </is>
      </c>
      <c r="M191" t="n">
        <v>127.85</v>
      </c>
      <c r="N191" t="inlineStr">
        <is>
          <t>AUD</t>
        </is>
      </c>
      <c r="O191" t="n">
        <v>9.5</v>
      </c>
      <c r="P191" t="inlineStr"/>
      <c r="Q191" t="inlineStr">
        <is>
          <t>FY2021/22</t>
        </is>
      </c>
      <c r="R191" t="inlineStr">
        <is>
          <t>AUD</t>
        </is>
      </c>
      <c r="S191" t="n">
        <v>9.5</v>
      </c>
      <c r="T191" t="inlineStr">
        <is>
          <t>AUD</t>
        </is>
      </c>
      <c r="U191" t="n">
        <v>1.055556</v>
      </c>
      <c r="V191" t="inlineStr">
        <is>
          <t>AUD</t>
        </is>
      </c>
      <c r="W191" t="n">
        <v>127.85</v>
      </c>
      <c r="X191" t="b">
        <v>1</v>
      </c>
      <c r="Y191" s="3" t="inlineStr">
        <is>
          <t>2022-04-04 | PARCEL |  A200 | 9.0000 unit @ A$127.85 / unit | Total cost base = A$1,160.15 |</t>
        </is>
      </c>
      <c r="Z191" t="n">
        <v/>
      </c>
    </row>
    <row r="192">
      <c r="A192" s="5" t="inlineStr">
        <is>
          <t>01a1212c-78aa-74d7-9932-770742608162</t>
        </is>
      </c>
      <c r="B192" t="inlineStr">
        <is>
          <t>B191</t>
        </is>
      </c>
      <c r="C192" s="5" t="inlineStr">
        <is>
          <t>01a1212c-4b57-70cf-80fd-c2192cb3bf81</t>
        </is>
      </c>
      <c r="D192" s="4" t="n">
        <v>46304.62413237578</v>
      </c>
      <c r="E192" s="4" t="n">
        <v>46304.62413237584</v>
      </c>
      <c r="F192" t="b">
        <v>1</v>
      </c>
      <c r="G192" t="n">
        <v/>
      </c>
      <c r="H192" t="inlineStr">
        <is>
          <t>2022-04-04 | Buy | AAPL | 4.0000 unit @ $178.44 / unit</t>
        </is>
      </c>
      <c r="I192" t="inlineStr">
        <is>
          <t>AAPL</t>
        </is>
      </c>
      <c r="J192" s="6" t="n">
        <v>44655</v>
      </c>
      <c r="K192" t="n">
        <v>4</v>
      </c>
      <c r="L192" t="inlineStr">
        <is>
          <t>USD</t>
        </is>
      </c>
      <c r="M192" t="n">
        <v>178.44</v>
      </c>
      <c r="N192" t="inlineStr">
        <is>
          <t>USD</t>
        </is>
      </c>
      <c r="O192" t="n">
        <v>5</v>
      </c>
      <c r="P192" t="inlineStr"/>
      <c r="Q192" t="inlineStr">
        <is>
          <t>FY2021/22</t>
        </is>
      </c>
      <c r="R192" t="inlineStr">
        <is>
          <t>AUD</t>
        </is>
      </c>
      <c r="S192" t="n">
        <v>7.5</v>
      </c>
      <c r="T192" t="inlineStr">
        <is>
          <t>AUD</t>
        </is>
      </c>
      <c r="U192" t="n">
        <v>1.875</v>
      </c>
      <c r="V192" t="inlineStr">
        <is>
          <t>AUD</t>
        </is>
      </c>
      <c r="W192" t="n">
        <v>267.66</v>
      </c>
      <c r="X192" t="b">
        <v>1</v>
      </c>
      <c r="Y192" s="3" t="inlineStr">
        <is>
          <t>2022-04-04 | PARCEL |  AAPL | 4.0000 unit @ A$267.66 / unit | Total cost base = A$1,078.14 |</t>
        </is>
      </c>
      <c r="Z192" s="5" t="inlineStr">
        <is>
          <t>01a1212c-78ac-72b5-ba1c-84a5c7545ac5</t>
        </is>
      </c>
    </row>
    <row r="193">
      <c r="A193" s="5" t="inlineStr">
        <is>
          <t>01a1212c-78c1-76af-95bb-d9bf1ef9683b</t>
        </is>
      </c>
      <c r="B193" t="inlineStr">
        <is>
          <t>B192</t>
        </is>
      </c>
      <c r="C193" s="5" t="inlineStr">
        <is>
          <t>01a1212c-4b57-70cf-80fd-c2192cb3bf81</t>
        </is>
      </c>
      <c r="D193" s="4" t="n">
        <v>46304.62413263098</v>
      </c>
      <c r="E193" s="4" t="n">
        <v>46304.62413263104</v>
      </c>
      <c r="F193" t="b">
        <v>1</v>
      </c>
      <c r="G193" t="n">
        <v/>
      </c>
      <c r="H193" t="inlineStr">
        <is>
          <t>2022-04-04 | Buy | VGS | 14.0000 unit @ A$97.23 / unit</t>
        </is>
      </c>
      <c r="I193" t="inlineStr">
        <is>
          <t>VGS</t>
        </is>
      </c>
      <c r="J193" s="6" t="n">
        <v>44655</v>
      </c>
      <c r="K193" t="n">
        <v>14</v>
      </c>
      <c r="L193" t="inlineStr">
        <is>
          <t>AUD</t>
        </is>
      </c>
      <c r="M193" t="n">
        <v>97.23</v>
      </c>
      <c r="N193" t="inlineStr">
        <is>
          <t>AUD</t>
        </is>
      </c>
      <c r="O193" t="n">
        <v>9.5</v>
      </c>
      <c r="P193" t="inlineStr"/>
      <c r="Q193" t="inlineStr">
        <is>
          <t>FY2021/22</t>
        </is>
      </c>
      <c r="R193" t="inlineStr">
        <is>
          <t>AUD</t>
        </is>
      </c>
      <c r="S193" t="n">
        <v>9.5</v>
      </c>
      <c r="T193" t="inlineStr">
        <is>
          <t>AUD</t>
        </is>
      </c>
      <c r="U193" t="n">
        <v>0.678571</v>
      </c>
      <c r="V193" t="inlineStr">
        <is>
          <t>AUD</t>
        </is>
      </c>
      <c r="W193" t="n">
        <v>97.23</v>
      </c>
      <c r="X193" t="b">
        <v>1</v>
      </c>
      <c r="Y193" s="3" t="inlineStr">
        <is>
          <t>2022-04-04 | PARCEL |  VGS | 14.0000 unit @ A$97.23 / unit | Total cost base = A$1,370.72 |</t>
        </is>
      </c>
      <c r="Z193" t="n">
        <v/>
      </c>
    </row>
    <row r="194">
      <c r="A194" s="5" t="inlineStr">
        <is>
          <t>01a1212c-78d7-740c-b487-734873251fb6</t>
        </is>
      </c>
      <c r="B194" t="inlineStr">
        <is>
          <t>B193</t>
        </is>
      </c>
      <c r="C194" s="5" t="inlineStr">
        <is>
          <t>01a1212c-4b57-70cf-80fd-c2192cb3bf81</t>
        </is>
      </c>
      <c r="D194" s="4" t="n">
        <v>46304.62413287714</v>
      </c>
      <c r="E194" s="4" t="n">
        <v>46304.62413287721</v>
      </c>
      <c r="F194" t="b">
        <v>1</v>
      </c>
      <c r="G194" t="n">
        <v/>
      </c>
      <c r="H194" t="inlineStr">
        <is>
          <t>2022-05-03 | Buy | A200 | 9.0000 unit @ A$124.85 / unit</t>
        </is>
      </c>
      <c r="I194" t="inlineStr">
        <is>
          <t>A200</t>
        </is>
      </c>
      <c r="J194" s="6" t="n">
        <v>44684</v>
      </c>
      <c r="K194" t="n">
        <v>9</v>
      </c>
      <c r="L194" t="inlineStr">
        <is>
          <t>AUD</t>
        </is>
      </c>
      <c r="M194" t="n">
        <v>124.85</v>
      </c>
      <c r="N194" t="inlineStr">
        <is>
          <t>AUD</t>
        </is>
      </c>
      <c r="O194" t="n">
        <v>9.5</v>
      </c>
      <c r="P194" t="inlineStr"/>
      <c r="Q194" t="inlineStr">
        <is>
          <t>FY2021/22</t>
        </is>
      </c>
      <c r="R194" t="inlineStr">
        <is>
          <t>AUD</t>
        </is>
      </c>
      <c r="S194" t="n">
        <v>9.5</v>
      </c>
      <c r="T194" t="inlineStr">
        <is>
          <t>AUD</t>
        </is>
      </c>
      <c r="U194" t="n">
        <v>1.055556</v>
      </c>
      <c r="V194" t="inlineStr">
        <is>
          <t>AUD</t>
        </is>
      </c>
      <c r="W194" t="n">
        <v>124.85</v>
      </c>
      <c r="X194" t="b">
        <v>1</v>
      </c>
      <c r="Y194" s="3" t="inlineStr">
        <is>
          <t>2022-05-03 | PARCEL |  A200 | 9.0000 unit @ A$124.85 / unit | Total cost base = A$1,133.15 |</t>
        </is>
      </c>
      <c r="Z194" t="n">
        <v/>
      </c>
    </row>
    <row r="195">
      <c r="A195" s="5" t="inlineStr">
        <is>
          <t>01a1212c-7910-7240-a48c-31b5ebab810d</t>
        </is>
      </c>
      <c r="B195" t="inlineStr">
        <is>
          <t>B194</t>
        </is>
      </c>
      <c r="C195" s="5" t="inlineStr">
        <is>
          <t>01a1212c-4b57-70cf-80fd-c2192cb3bf81</t>
        </is>
      </c>
      <c r="D195" s="4" t="n">
        <v>46304.62413353221</v>
      </c>
      <c r="E195" s="4" t="n">
        <v>46304.62413353229</v>
      </c>
      <c r="F195" t="b">
        <v>1</v>
      </c>
      <c r="G195" t="n">
        <v/>
      </c>
      <c r="H195" t="inlineStr">
        <is>
          <t>2022-05-03 | Buy | VGS | 15.0000 unit @ A$93.89 / unit</t>
        </is>
      </c>
      <c r="I195" t="inlineStr">
        <is>
          <t>VGS</t>
        </is>
      </c>
      <c r="J195" s="6" t="n">
        <v>44684</v>
      </c>
      <c r="K195" t="n">
        <v>15</v>
      </c>
      <c r="L195" t="inlineStr">
        <is>
          <t>AUD</t>
        </is>
      </c>
      <c r="M195" t="n">
        <v>93.89</v>
      </c>
      <c r="N195" t="inlineStr">
        <is>
          <t>AUD</t>
        </is>
      </c>
      <c r="O195" t="n">
        <v>9.5</v>
      </c>
      <c r="P195" t="inlineStr"/>
      <c r="Q195" t="inlineStr">
        <is>
          <t>FY2021/22</t>
        </is>
      </c>
      <c r="R195" t="inlineStr">
        <is>
          <t>AUD</t>
        </is>
      </c>
      <c r="S195" t="n">
        <v>9.5</v>
      </c>
      <c r="T195" t="inlineStr">
        <is>
          <t>AUD</t>
        </is>
      </c>
      <c r="U195" t="n">
        <v>0.633333</v>
      </c>
      <c r="V195" t="inlineStr">
        <is>
          <t>AUD</t>
        </is>
      </c>
      <c r="W195" t="n">
        <v>93.89</v>
      </c>
      <c r="X195" t="b">
        <v>1</v>
      </c>
      <c r="Y195" s="3" t="inlineStr">
        <is>
          <t>2022-05-03 | PARCEL |  VGS | 15.0000 unit @ A$93.89 / unit | Total cost base = A$1,417.85 |</t>
        </is>
      </c>
      <c r="Z195" t="n">
        <v/>
      </c>
    </row>
    <row r="196">
      <c r="A196" s="5" t="inlineStr">
        <is>
          <t>01a1212c-7926-760c-b1bf-02eb3715722b</t>
        </is>
      </c>
      <c r="B196" t="inlineStr">
        <is>
          <t>B195</t>
        </is>
      </c>
      <c r="C196" s="5" t="inlineStr">
        <is>
          <t>01a1212c-4b57-70cf-80fd-c2192cb3bf81</t>
        </is>
      </c>
      <c r="D196" s="4" t="n">
        <v>46304.62413379057</v>
      </c>
      <c r="E196" s="4" t="n">
        <v>46304.62413379065</v>
      </c>
      <c r="F196" t="b">
        <v>1</v>
      </c>
      <c r="G196" t="n">
        <v/>
      </c>
      <c r="H196" t="inlineStr">
        <is>
          <t>2022-06-02 | Buy | A200 | 6.0000 unit @ A$122.85 / unit</t>
        </is>
      </c>
      <c r="I196" t="inlineStr">
        <is>
          <t>A200</t>
        </is>
      </c>
      <c r="J196" s="6" t="n">
        <v>44714</v>
      </c>
      <c r="K196" t="n">
        <v>6</v>
      </c>
      <c r="L196" t="inlineStr">
        <is>
          <t>AUD</t>
        </is>
      </c>
      <c r="M196" t="n">
        <v>122.85</v>
      </c>
      <c r="N196" t="inlineStr">
        <is>
          <t>AUD</t>
        </is>
      </c>
      <c r="O196" t="n">
        <v>9.5</v>
      </c>
      <c r="P196" t="inlineStr"/>
      <c r="Q196" t="inlineStr">
        <is>
          <t>FY2021/22</t>
        </is>
      </c>
      <c r="R196" t="inlineStr">
        <is>
          <t>AUD</t>
        </is>
      </c>
      <c r="S196" t="n">
        <v>9.5</v>
      </c>
      <c r="T196" t="inlineStr">
        <is>
          <t>AUD</t>
        </is>
      </c>
      <c r="U196" t="n">
        <v>1.583333</v>
      </c>
      <c r="V196" t="inlineStr">
        <is>
          <t>AUD</t>
        </is>
      </c>
      <c r="W196" t="n">
        <v>122.85</v>
      </c>
      <c r="X196" t="b">
        <v>1</v>
      </c>
      <c r="Y196" s="3" t="inlineStr">
        <is>
          <t>2022-06-02 | PARCEL |  A200 | 6.0000 unit @ A$122.85 / unit | Total cost base = A$746.60 |</t>
        </is>
      </c>
      <c r="Z196" t="n">
        <v/>
      </c>
    </row>
    <row r="197">
      <c r="A197" s="5" t="inlineStr">
        <is>
          <t>01a1212c-793c-7087-937c-c2e93c959286</t>
        </is>
      </c>
      <c r="B197" t="inlineStr">
        <is>
          <t>B196</t>
        </is>
      </c>
      <c r="C197" s="5" t="inlineStr">
        <is>
          <t>01a1212c-4b57-70cf-80fd-c2192cb3bf81</t>
        </is>
      </c>
      <c r="D197" s="4" t="n">
        <v>46304.62413404377</v>
      </c>
      <c r="E197" s="4" t="n">
        <v>46304.62413404384</v>
      </c>
      <c r="F197" t="b">
        <v>1</v>
      </c>
      <c r="G197" t="n">
        <v/>
      </c>
      <c r="H197" t="inlineStr">
        <is>
          <t>2022-06-02 | Buy | VGS | 10.0000 unit @ A$92.56 / unit</t>
        </is>
      </c>
      <c r="I197" t="inlineStr">
        <is>
          <t>VGS</t>
        </is>
      </c>
      <c r="J197" s="6" t="n">
        <v>44714</v>
      </c>
      <c r="K197" t="n">
        <v>10</v>
      </c>
      <c r="L197" t="inlineStr">
        <is>
          <t>AUD</t>
        </is>
      </c>
      <c r="M197" t="n">
        <v>92.56</v>
      </c>
      <c r="N197" t="inlineStr">
        <is>
          <t>AUD</t>
        </is>
      </c>
      <c r="O197" t="n">
        <v>9.5</v>
      </c>
      <c r="P197" t="inlineStr"/>
      <c r="Q197" t="inlineStr">
        <is>
          <t>FY2021/22</t>
        </is>
      </c>
      <c r="R197" t="inlineStr">
        <is>
          <t>AUD</t>
        </is>
      </c>
      <c r="S197" t="n">
        <v>9.5</v>
      </c>
      <c r="T197" t="inlineStr">
        <is>
          <t>AUD</t>
        </is>
      </c>
      <c r="U197" t="n">
        <v>0.95</v>
      </c>
      <c r="V197" t="inlineStr">
        <is>
          <t>AUD</t>
        </is>
      </c>
      <c r="W197" t="n">
        <v>92.56</v>
      </c>
      <c r="X197" t="b">
        <v>1</v>
      </c>
      <c r="Y197" s="3" t="inlineStr">
        <is>
          <t>2022-06-02 | PARCEL |  VGS | 10.0000 unit @ A$92.56 / unit | Total cost base = A$935.10 |</t>
        </is>
      </c>
      <c r="Z197" t="n">
        <v/>
      </c>
    </row>
    <row r="198">
      <c r="A198" s="5" t="inlineStr">
        <is>
          <t>01a1212c-7953-73a4-b714-ee50a595e16c</t>
        </is>
      </c>
      <c r="B198" t="inlineStr">
        <is>
          <t>B197</t>
        </is>
      </c>
      <c r="C198" s="5" t="inlineStr">
        <is>
          <t>01a1212c-4b57-70cf-80fd-c2192cb3bf81</t>
        </is>
      </c>
      <c r="D198" s="4" t="n">
        <v>46304.62413433247</v>
      </c>
      <c r="E198" s="4" t="n">
        <v>46304.62413433252</v>
      </c>
      <c r="F198" t="b">
        <v>1</v>
      </c>
      <c r="G198" t="n">
        <v/>
      </c>
      <c r="H198" t="inlineStr">
        <is>
          <t>2022-06-23 | Buy | AAPL | 3.0000 unit @ $138.27 / unit</t>
        </is>
      </c>
      <c r="I198" t="inlineStr">
        <is>
          <t>AAPL</t>
        </is>
      </c>
      <c r="J198" s="6" t="n">
        <v>44735</v>
      </c>
      <c r="K198" t="n">
        <v>3</v>
      </c>
      <c r="L198" t="inlineStr">
        <is>
          <t>USD</t>
        </is>
      </c>
      <c r="M198" t="n">
        <v>138.27</v>
      </c>
      <c r="N198" t="inlineStr">
        <is>
          <t>USD</t>
        </is>
      </c>
      <c r="O198" t="n">
        <v>5</v>
      </c>
      <c r="P198" t="inlineStr"/>
      <c r="Q198" t="inlineStr">
        <is>
          <t>FY2021/22</t>
        </is>
      </c>
      <c r="R198" t="inlineStr">
        <is>
          <t>AUD</t>
        </is>
      </c>
      <c r="S198" t="n">
        <v>7.5</v>
      </c>
      <c r="T198" t="inlineStr">
        <is>
          <t>AUD</t>
        </is>
      </c>
      <c r="U198" t="n">
        <v>2.5</v>
      </c>
      <c r="V198" t="inlineStr">
        <is>
          <t>AUD</t>
        </is>
      </c>
      <c r="W198" t="n">
        <v>207.405</v>
      </c>
      <c r="X198" t="b">
        <v>1</v>
      </c>
      <c r="Y198" s="3" t="inlineStr">
        <is>
          <t>2022-06-23 | PARCEL |  AAPL | 3.0000 unit @ A$207.40 / unit | Total cost base = A$629.72 |</t>
        </is>
      </c>
      <c r="Z198" s="5" t="inlineStr">
        <is>
          <t>01a1212c-7955-705a-ac8a-b5b06fed1a75</t>
        </is>
      </c>
    </row>
    <row r="199">
      <c r="A199" s="5" t="inlineStr">
        <is>
          <t>01a1212c-796c-709d-be3f-2a98d0509900</t>
        </is>
      </c>
      <c r="B199" t="inlineStr">
        <is>
          <t>B198</t>
        </is>
      </c>
      <c r="C199" s="5" t="inlineStr">
        <is>
          <t>01a1212c-4b57-70cf-80fd-c2192cb3bf81</t>
        </is>
      </c>
      <c r="D199" s="4" t="n">
        <v>46304.6241346056</v>
      </c>
      <c r="E199" s="4" t="n">
        <v>46304.62413460567</v>
      </c>
      <c r="F199" t="b">
        <v>1</v>
      </c>
      <c r="G199" t="n">
        <v/>
      </c>
      <c r="H199" t="inlineStr">
        <is>
          <t>2022-07-06 | Buy | A200 | 13.0000 unit @ A$109.69 / unit</t>
        </is>
      </c>
      <c r="I199" t="inlineStr">
        <is>
          <t>A200</t>
        </is>
      </c>
      <c r="J199" s="6" t="n">
        <v>44748</v>
      </c>
      <c r="K199" t="n">
        <v>13</v>
      </c>
      <c r="L199" t="inlineStr">
        <is>
          <t>AUD</t>
        </is>
      </c>
      <c r="M199" t="n">
        <v>109.69</v>
      </c>
      <c r="N199" t="inlineStr">
        <is>
          <t>AUD</t>
        </is>
      </c>
      <c r="O199" t="n">
        <v>9.5</v>
      </c>
      <c r="P199" t="inlineStr"/>
      <c r="Q199" t="inlineStr">
        <is>
          <t>FY2022/23</t>
        </is>
      </c>
      <c r="R199" t="inlineStr">
        <is>
          <t>AUD</t>
        </is>
      </c>
      <c r="S199" t="n">
        <v>9.5</v>
      </c>
      <c r="T199" t="inlineStr">
        <is>
          <t>AUD</t>
        </is>
      </c>
      <c r="U199" t="n">
        <v>0.730769</v>
      </c>
      <c r="V199" t="inlineStr">
        <is>
          <t>AUD</t>
        </is>
      </c>
      <c r="W199" t="n">
        <v>109.69</v>
      </c>
      <c r="X199" t="b">
        <v>1</v>
      </c>
      <c r="Y199" s="3" t="inlineStr">
        <is>
          <t>2022-07-06 | PARCEL |  A200 | 13.0000 unit @ A$109.69 / unit | Total cost base = A$1,435.47 |</t>
        </is>
      </c>
      <c r="Z199" t="n">
        <v/>
      </c>
    </row>
    <row r="200">
      <c r="A200" s="5" t="inlineStr">
        <is>
          <t>01a1212c-7983-73aa-9f94-421978ac9e98</t>
        </is>
      </c>
      <c r="B200" t="inlineStr">
        <is>
          <t>B199</t>
        </is>
      </c>
      <c r="C200" s="5" t="inlineStr">
        <is>
          <t>01a1212c-4b57-70cf-80fd-c2192cb3bf81</t>
        </is>
      </c>
      <c r="D200" s="4" t="n">
        <v>46304.6241348625</v>
      </c>
      <c r="E200" s="4" t="n">
        <v>46304.62413486257</v>
      </c>
      <c r="F200" t="b">
        <v>1</v>
      </c>
      <c r="G200" t="n">
        <v/>
      </c>
      <c r="H200" t="inlineStr">
        <is>
          <t>2022-07-06 | Buy | VGS | 20.0000 unit @ A$89.43 / unit</t>
        </is>
      </c>
      <c r="I200" t="inlineStr">
        <is>
          <t>VGS</t>
        </is>
      </c>
      <c r="J200" s="6" t="n">
        <v>44748</v>
      </c>
      <c r="K200" t="n">
        <v>20</v>
      </c>
      <c r="L200" t="inlineStr">
        <is>
          <t>AUD</t>
        </is>
      </c>
      <c r="M200" t="n">
        <v>89.43000000000001</v>
      </c>
      <c r="N200" t="inlineStr">
        <is>
          <t>AUD</t>
        </is>
      </c>
      <c r="O200" t="n">
        <v>9.5</v>
      </c>
      <c r="P200" t="inlineStr"/>
      <c r="Q200" t="inlineStr">
        <is>
          <t>FY2022/23</t>
        </is>
      </c>
      <c r="R200" t="inlineStr">
        <is>
          <t>AUD</t>
        </is>
      </c>
      <c r="S200" t="n">
        <v>9.5</v>
      </c>
      <c r="T200" t="inlineStr">
        <is>
          <t>AUD</t>
        </is>
      </c>
      <c r="U200" t="n">
        <v>0.475</v>
      </c>
      <c r="V200" t="inlineStr">
        <is>
          <t>AUD</t>
        </is>
      </c>
      <c r="W200" t="n">
        <v>89.43000000000001</v>
      </c>
      <c r="X200" t="b">
        <v>1</v>
      </c>
      <c r="Y200" s="3" t="inlineStr">
        <is>
          <t>2022-07-06 | PARCEL |  VGS | 20.0000 unit @ A$89.43 / unit | Total cost base = A$1,798.10 |</t>
        </is>
      </c>
      <c r="Z200" t="n">
        <v/>
      </c>
    </row>
    <row r="201">
      <c r="A201" s="5" t="inlineStr">
        <is>
          <t>01a1212c-7998-7218-a6b5-2cae7952f598</t>
        </is>
      </c>
      <c r="B201" t="inlineStr">
        <is>
          <t>B200</t>
        </is>
      </c>
      <c r="C201" s="5" t="inlineStr">
        <is>
          <t>01a1212c-4b57-70cf-80fd-c2192cb3bf81</t>
        </is>
      </c>
      <c r="D201" s="4" t="n">
        <v>46304.62413512272</v>
      </c>
      <c r="E201" s="4" t="n">
        <v>46304.62413512278</v>
      </c>
      <c r="F201" t="b">
        <v>1</v>
      </c>
      <c r="G201" t="n">
        <v/>
      </c>
      <c r="H201" t="inlineStr">
        <is>
          <t>2022-07-25 | Buy | MSFT | 3.0000 unit @ $258.83 / unit</t>
        </is>
      </c>
      <c r="I201" t="inlineStr">
        <is>
          <t>MSFT</t>
        </is>
      </c>
      <c r="J201" s="6" t="n">
        <v>44767</v>
      </c>
      <c r="K201" t="n">
        <v>3</v>
      </c>
      <c r="L201" t="inlineStr">
        <is>
          <t>USD</t>
        </is>
      </c>
      <c r="M201" t="n">
        <v>258.83</v>
      </c>
      <c r="N201" t="inlineStr">
        <is>
          <t>USD</t>
        </is>
      </c>
      <c r="O201" t="n">
        <v>5</v>
      </c>
      <c r="P201" t="inlineStr"/>
      <c r="Q201" t="inlineStr">
        <is>
          <t>FY2022/23</t>
        </is>
      </c>
      <c r="R201" t="inlineStr">
        <is>
          <t>AUD</t>
        </is>
      </c>
      <c r="S201" t="n">
        <v>7.5</v>
      </c>
      <c r="T201" t="inlineStr">
        <is>
          <t>AUD</t>
        </is>
      </c>
      <c r="U201" t="n">
        <v>2.5</v>
      </c>
      <c r="V201" t="inlineStr">
        <is>
          <t>AUD</t>
        </is>
      </c>
      <c r="W201" t="n">
        <v>388.245</v>
      </c>
      <c r="X201" t="b">
        <v>1</v>
      </c>
      <c r="Y201" s="3" t="inlineStr">
        <is>
          <t>2022-07-25 | PARCEL |  MSFT | 3.0000 unit @ A$388.24 / unit | Total cost base = A$1,172.24 |</t>
        </is>
      </c>
      <c r="Z201" s="5" t="inlineStr">
        <is>
          <t>01a1212c-7999-74ee-b252-1b01ad7d3c10</t>
        </is>
      </c>
    </row>
    <row r="202">
      <c r="A202" s="5" t="inlineStr">
        <is>
          <t>01a1212c-79b0-74eb-8c36-cfb25b1f412d</t>
        </is>
      </c>
      <c r="B202" t="inlineStr">
        <is>
          <t>B201</t>
        </is>
      </c>
      <c r="C202" s="5" t="inlineStr">
        <is>
          <t>01a1212c-4b57-70cf-80fd-c2192cb3bf81</t>
        </is>
      </c>
      <c r="D202" s="4" t="n">
        <v>46304.62413541078</v>
      </c>
      <c r="E202" s="4" t="n">
        <v>46304.62413541086</v>
      </c>
      <c r="F202" t="b">
        <v>1</v>
      </c>
      <c r="G202" t="n">
        <v/>
      </c>
      <c r="H202" t="inlineStr">
        <is>
          <t>2022-07-28 | Buy | AAPL | 3.0000 unit @ $157.35 / unit</t>
        </is>
      </c>
      <c r="I202" t="inlineStr">
        <is>
          <t>AAPL</t>
        </is>
      </c>
      <c r="J202" s="6" t="n">
        <v>44770</v>
      </c>
      <c r="K202" t="n">
        <v>3</v>
      </c>
      <c r="L202" t="inlineStr">
        <is>
          <t>USD</t>
        </is>
      </c>
      <c r="M202" t="n">
        <v>157.35</v>
      </c>
      <c r="N202" t="inlineStr">
        <is>
          <t>USD</t>
        </is>
      </c>
      <c r="O202" t="n">
        <v>5</v>
      </c>
      <c r="P202" t="inlineStr"/>
      <c r="Q202" t="inlineStr">
        <is>
          <t>FY2022/23</t>
        </is>
      </c>
      <c r="R202" t="inlineStr">
        <is>
          <t>AUD</t>
        </is>
      </c>
      <c r="S202" t="n">
        <v>7.5</v>
      </c>
      <c r="T202" t="inlineStr">
        <is>
          <t>AUD</t>
        </is>
      </c>
      <c r="U202" t="n">
        <v>2.5</v>
      </c>
      <c r="V202" t="inlineStr">
        <is>
          <t>AUD</t>
        </is>
      </c>
      <c r="W202" t="n">
        <v>236.025</v>
      </c>
      <c r="X202" t="b">
        <v>1</v>
      </c>
      <c r="Y202" s="3" t="inlineStr">
        <is>
          <t>2022-07-28 | PARCEL |  AAPL | 3.0000 unit @ A$236.02 / unit | Total cost base = A$715.58 |</t>
        </is>
      </c>
      <c r="Z202" s="5" t="inlineStr">
        <is>
          <t>01a1212c-79b2-741c-8e81-a4aededa9485</t>
        </is>
      </c>
    </row>
    <row r="203">
      <c r="A203" s="5" t="inlineStr">
        <is>
          <t>01a1212c-79c8-7046-8e01-c220f1b02ade</t>
        </is>
      </c>
      <c r="B203" t="inlineStr">
        <is>
          <t>B202</t>
        </is>
      </c>
      <c r="C203" s="5" t="inlineStr">
        <is>
          <t>01a1212c-4b57-70cf-80fd-c2192cb3bf81</t>
        </is>
      </c>
      <c r="D203" s="4" t="n">
        <v>46304.62413566541</v>
      </c>
      <c r="E203" s="4" t="n">
        <v>46304.62413566549</v>
      </c>
      <c r="F203" t="b">
        <v>1</v>
      </c>
      <c r="G203" t="n">
        <v/>
      </c>
      <c r="H203" t="inlineStr">
        <is>
          <t>2022-08-03 | Buy | A200 | 9.0000 unit @ A$115.78 / unit</t>
        </is>
      </c>
      <c r="I203" t="inlineStr">
        <is>
          <t>A200</t>
        </is>
      </c>
      <c r="J203" s="6" t="n">
        <v>44776</v>
      </c>
      <c r="K203" t="n">
        <v>9</v>
      </c>
      <c r="L203" t="inlineStr">
        <is>
          <t>AUD</t>
        </is>
      </c>
      <c r="M203" t="n">
        <v>115.78</v>
      </c>
      <c r="N203" t="inlineStr">
        <is>
          <t>AUD</t>
        </is>
      </c>
      <c r="O203" t="n">
        <v>9.5</v>
      </c>
      <c r="P203" t="inlineStr"/>
      <c r="Q203" t="inlineStr">
        <is>
          <t>FY2022/23</t>
        </is>
      </c>
      <c r="R203" t="inlineStr">
        <is>
          <t>AUD</t>
        </is>
      </c>
      <c r="S203" t="n">
        <v>9.5</v>
      </c>
      <c r="T203" t="inlineStr">
        <is>
          <t>AUD</t>
        </is>
      </c>
      <c r="U203" t="n">
        <v>1.055556</v>
      </c>
      <c r="V203" t="inlineStr">
        <is>
          <t>AUD</t>
        </is>
      </c>
      <c r="W203" t="n">
        <v>115.78</v>
      </c>
      <c r="X203" t="b">
        <v>1</v>
      </c>
      <c r="Y203" s="3" t="inlineStr">
        <is>
          <t>2022-08-03 | PARCEL |  A200 | 9.0000 unit @ A$115.78 / unit | Total cost base = A$1,051.52 |</t>
        </is>
      </c>
      <c r="Z203" t="n">
        <v/>
      </c>
    </row>
    <row r="204">
      <c r="A204" s="5" t="inlineStr">
        <is>
          <t>01a1212c-79dd-7781-883e-2e737048b924</t>
        </is>
      </c>
      <c r="B204" t="inlineStr">
        <is>
          <t>B203</t>
        </is>
      </c>
      <c r="C204" s="5" t="inlineStr">
        <is>
          <t>01a1212c-4b57-70cf-80fd-c2192cb3bf81</t>
        </is>
      </c>
      <c r="D204" s="4" t="n">
        <v>46304.62413591156</v>
      </c>
      <c r="E204" s="4" t="n">
        <v>46304.62413591163</v>
      </c>
      <c r="F204" t="b">
        <v>1</v>
      </c>
      <c r="G204" t="n">
        <v/>
      </c>
      <c r="H204" t="inlineStr">
        <is>
          <t>2022-08-03 | Buy | VGS | 13.0000 unit @ A$93.98 / unit</t>
        </is>
      </c>
      <c r="I204" t="inlineStr">
        <is>
          <t>VGS</t>
        </is>
      </c>
      <c r="J204" s="6" t="n">
        <v>44776</v>
      </c>
      <c r="K204" t="n">
        <v>13</v>
      </c>
      <c r="L204" t="inlineStr">
        <is>
          <t>AUD</t>
        </is>
      </c>
      <c r="M204" t="n">
        <v>93.98</v>
      </c>
      <c r="N204" t="inlineStr">
        <is>
          <t>AUD</t>
        </is>
      </c>
      <c r="O204" t="n">
        <v>9.5</v>
      </c>
      <c r="P204" t="inlineStr"/>
      <c r="Q204" t="inlineStr">
        <is>
          <t>FY2022/23</t>
        </is>
      </c>
      <c r="R204" t="inlineStr">
        <is>
          <t>AUD</t>
        </is>
      </c>
      <c r="S204" t="n">
        <v>9.5</v>
      </c>
      <c r="T204" t="inlineStr">
        <is>
          <t>AUD</t>
        </is>
      </c>
      <c r="U204" t="n">
        <v>0.730769</v>
      </c>
      <c r="V204" t="inlineStr">
        <is>
          <t>AUD</t>
        </is>
      </c>
      <c r="W204" t="n">
        <v>93.98</v>
      </c>
      <c r="X204" t="b">
        <v>1</v>
      </c>
      <c r="Y204" s="3" t="inlineStr">
        <is>
          <t>2022-08-03 | PARCEL |  VGS | 13.0000 unit @ A$93.98 / unit | Total cost base = A$1,231.24 |</t>
        </is>
      </c>
      <c r="Z204" t="n">
        <v/>
      </c>
    </row>
    <row r="205">
      <c r="A205" s="5" t="inlineStr">
        <is>
          <t>01a1212c-79f2-7768-9ef8-96a2dfc4ced5</t>
        </is>
      </c>
      <c r="B205" t="inlineStr">
        <is>
          <t>B204</t>
        </is>
      </c>
      <c r="C205" s="5" t="inlineStr">
        <is>
          <t>01a1212c-4b57-70cf-80fd-c2192cb3bf81</t>
        </is>
      </c>
      <c r="D205" s="4" t="n">
        <v>46304.62413614949</v>
      </c>
      <c r="E205" s="4" t="n">
        <v>46304.62413614956</v>
      </c>
      <c r="F205" t="b">
        <v>1</v>
      </c>
      <c r="G205" t="n">
        <v/>
      </c>
      <c r="H205" t="inlineStr">
        <is>
          <t>2022-09-05 | Buy | A200 | 13.0000 unit @ A$115.35 / unit</t>
        </is>
      </c>
      <c r="I205" t="inlineStr">
        <is>
          <t>A200</t>
        </is>
      </c>
      <c r="J205" s="6" t="n">
        <v>44809</v>
      </c>
      <c r="K205" t="n">
        <v>13</v>
      </c>
      <c r="L205" t="inlineStr">
        <is>
          <t>AUD</t>
        </is>
      </c>
      <c r="M205" t="n">
        <v>115.35</v>
      </c>
      <c r="N205" t="inlineStr">
        <is>
          <t>AUD</t>
        </is>
      </c>
      <c r="O205" t="n">
        <v>9.5</v>
      </c>
      <c r="P205" t="inlineStr"/>
      <c r="Q205" t="inlineStr">
        <is>
          <t>FY2022/23</t>
        </is>
      </c>
      <c r="R205" t="inlineStr">
        <is>
          <t>AUD</t>
        </is>
      </c>
      <c r="S205" t="n">
        <v>9.5</v>
      </c>
      <c r="T205" t="inlineStr">
        <is>
          <t>AUD</t>
        </is>
      </c>
      <c r="U205" t="n">
        <v>0.730769</v>
      </c>
      <c r="V205" t="inlineStr">
        <is>
          <t>AUD</t>
        </is>
      </c>
      <c r="W205" t="n">
        <v>115.35</v>
      </c>
      <c r="X205" t="b">
        <v>1</v>
      </c>
      <c r="Y205" s="3" t="inlineStr">
        <is>
          <t>2022-09-05 | PARCEL |  A200 | 13.0000 unit @ A$115.35 / unit | Total cost base = A$1,509.05 |</t>
        </is>
      </c>
      <c r="Z205" t="n">
        <v/>
      </c>
    </row>
    <row r="206">
      <c r="A206" s="5" t="inlineStr">
        <is>
          <t>01a1212c-7a07-74e9-b251-47872f1f3112</t>
        </is>
      </c>
      <c r="B206" t="inlineStr">
        <is>
          <t>B205</t>
        </is>
      </c>
      <c r="C206" s="5" t="inlineStr">
        <is>
          <t>01a1212c-4b57-70cf-80fd-c2192cb3bf81</t>
        </is>
      </c>
      <c r="D206" s="4" t="n">
        <v>46304.62413639287</v>
      </c>
      <c r="E206" s="4" t="n">
        <v>46304.62413639295</v>
      </c>
      <c r="F206" t="b">
        <v>1</v>
      </c>
      <c r="G206" t="n">
        <v/>
      </c>
      <c r="H206" t="inlineStr">
        <is>
          <t>2022-09-05 | Buy | VGS | 20.0000 unit @ A$91.06 / unit</t>
        </is>
      </c>
      <c r="I206" t="inlineStr">
        <is>
          <t>VGS</t>
        </is>
      </c>
      <c r="J206" s="6" t="n">
        <v>44809</v>
      </c>
      <c r="K206" t="n">
        <v>20</v>
      </c>
      <c r="L206" t="inlineStr">
        <is>
          <t>AUD</t>
        </is>
      </c>
      <c r="M206" t="n">
        <v>91.06</v>
      </c>
      <c r="N206" t="inlineStr">
        <is>
          <t>AUD</t>
        </is>
      </c>
      <c r="O206" t="n">
        <v>9.5</v>
      </c>
      <c r="P206" t="inlineStr"/>
      <c r="Q206" t="inlineStr">
        <is>
          <t>FY2022/23</t>
        </is>
      </c>
      <c r="R206" t="inlineStr">
        <is>
          <t>AUD</t>
        </is>
      </c>
      <c r="S206" t="n">
        <v>9.5</v>
      </c>
      <c r="T206" t="inlineStr">
        <is>
          <t>AUD</t>
        </is>
      </c>
      <c r="U206" t="n">
        <v>0.475</v>
      </c>
      <c r="V206" t="inlineStr">
        <is>
          <t>AUD</t>
        </is>
      </c>
      <c r="W206" t="n">
        <v>91.06</v>
      </c>
      <c r="X206" t="b">
        <v>1</v>
      </c>
      <c r="Y206" s="3" t="inlineStr">
        <is>
          <t>2022-09-05 | PARCEL |  VGS | 20.0000 unit @ A$91.06 / unit | Total cost base = A$1,830.70 |</t>
        </is>
      </c>
      <c r="Z206" t="n">
        <v/>
      </c>
    </row>
    <row r="207">
      <c r="A207" s="5" t="inlineStr">
        <is>
          <t>01a1212c-7a1c-7714-bd3d-d3afb32453eb</t>
        </is>
      </c>
      <c r="B207" t="inlineStr">
        <is>
          <t>B206</t>
        </is>
      </c>
      <c r="C207" s="5" t="inlineStr">
        <is>
          <t>01a1212c-4b57-70cf-80fd-c2192cb3bf81</t>
        </is>
      </c>
      <c r="D207" s="4" t="n">
        <v>46304.62413664893</v>
      </c>
      <c r="E207" s="4" t="n">
        <v>46304.62413664899</v>
      </c>
      <c r="F207" t="b">
        <v>1</v>
      </c>
      <c r="G207" t="n">
        <v/>
      </c>
      <c r="H207" t="inlineStr">
        <is>
          <t>2022-09-06 | Buy | AMZN | 3.0000 unit @ $126.11 / unit</t>
        </is>
      </c>
      <c r="I207" t="inlineStr">
        <is>
          <t>AMZN</t>
        </is>
      </c>
      <c r="J207" s="6" t="n">
        <v>44810</v>
      </c>
      <c r="K207" t="n">
        <v>3</v>
      </c>
      <c r="L207" t="inlineStr">
        <is>
          <t>USD</t>
        </is>
      </c>
      <c r="M207" t="n">
        <v>126.11</v>
      </c>
      <c r="N207" t="inlineStr">
        <is>
          <t>USD</t>
        </is>
      </c>
      <c r="O207" t="n">
        <v>5</v>
      </c>
      <c r="P207" t="inlineStr"/>
      <c r="Q207" t="inlineStr">
        <is>
          <t>FY2022/23</t>
        </is>
      </c>
      <c r="R207" t="inlineStr">
        <is>
          <t>AUD</t>
        </is>
      </c>
      <c r="S207" t="n">
        <v>7.5</v>
      </c>
      <c r="T207" t="inlineStr">
        <is>
          <t>AUD</t>
        </is>
      </c>
      <c r="U207" t="n">
        <v>2.5</v>
      </c>
      <c r="V207" t="inlineStr">
        <is>
          <t>AUD</t>
        </is>
      </c>
      <c r="W207" t="n">
        <v>189.165</v>
      </c>
      <c r="X207" t="b">
        <v>1</v>
      </c>
      <c r="Y207" s="3" t="inlineStr">
        <is>
          <t>2022-09-06 | PARCEL |  AMZN | 3.0000 unit @ A$189.16 / unit | Total cost base = A$575.00 |</t>
        </is>
      </c>
      <c r="Z207" s="5" t="inlineStr">
        <is>
          <t>01a1212c-7a1d-76c9-9c25-bf11df9a9999</t>
        </is>
      </c>
    </row>
    <row r="208">
      <c r="A208" s="5" t="inlineStr">
        <is>
          <t>01a1212c-7a33-73de-87a1-1c9821949ef7</t>
        </is>
      </c>
      <c r="B208" t="inlineStr">
        <is>
          <t>B207</t>
        </is>
      </c>
      <c r="C208" s="5" t="inlineStr">
        <is>
          <t>01a1212c-4b57-70cf-80fd-c2192cb3bf81</t>
        </is>
      </c>
      <c r="D208" s="4" t="n">
        <v>46304.62413692552</v>
      </c>
      <c r="E208" s="4" t="n">
        <v>46304.62413692558</v>
      </c>
      <c r="F208" t="b">
        <v>1</v>
      </c>
      <c r="G208" t="n">
        <v/>
      </c>
      <c r="H208" t="inlineStr">
        <is>
          <t>2022-09-19 | Buy | AMZN | 4.0000 unit @ $124.66 / unit</t>
        </is>
      </c>
      <c r="I208" t="inlineStr">
        <is>
          <t>AMZN</t>
        </is>
      </c>
      <c r="J208" s="6" t="n">
        <v>44823</v>
      </c>
      <c r="K208" t="n">
        <v>4</v>
      </c>
      <c r="L208" t="inlineStr">
        <is>
          <t>USD</t>
        </is>
      </c>
      <c r="M208" t="n">
        <v>124.66</v>
      </c>
      <c r="N208" t="inlineStr">
        <is>
          <t>USD</t>
        </is>
      </c>
      <c r="O208" t="n">
        <v>5</v>
      </c>
      <c r="P208" t="inlineStr"/>
      <c r="Q208" t="inlineStr">
        <is>
          <t>FY2022/23</t>
        </is>
      </c>
      <c r="R208" t="inlineStr">
        <is>
          <t>AUD</t>
        </is>
      </c>
      <c r="S208" t="n">
        <v>7.5</v>
      </c>
      <c r="T208" t="inlineStr">
        <is>
          <t>AUD</t>
        </is>
      </c>
      <c r="U208" t="n">
        <v>1.875</v>
      </c>
      <c r="V208" t="inlineStr">
        <is>
          <t>AUD</t>
        </is>
      </c>
      <c r="W208" t="n">
        <v>186.99</v>
      </c>
      <c r="X208" t="b">
        <v>1</v>
      </c>
      <c r="Y208" s="3" t="inlineStr">
        <is>
          <t>2022-09-19 | PARCEL |  AMZN | 4.0000 unit @ A$186.99 / unit | Total cost base = A$755.46 |</t>
        </is>
      </c>
      <c r="Z208" s="5" t="inlineStr">
        <is>
          <t>01a1212c-7a35-76c2-b635-45ea5fb1e463</t>
        </is>
      </c>
    </row>
    <row r="209">
      <c r="A209" s="5" t="inlineStr">
        <is>
          <t>01a1212c-7a4d-71a8-bb5d-9352bc980410</t>
        </is>
      </c>
      <c r="B209" t="inlineStr">
        <is>
          <t>B208</t>
        </is>
      </c>
      <c r="C209" s="5" t="inlineStr">
        <is>
          <t>01a1212c-4b57-70cf-80fd-c2192cb3bf81</t>
        </is>
      </c>
      <c r="D209" s="4" t="n">
        <v>46304.62413720519</v>
      </c>
      <c r="E209" s="4" t="n">
        <v>46304.62413720525</v>
      </c>
      <c r="F209" t="b">
        <v>1</v>
      </c>
      <c r="G209" t="n">
        <v/>
      </c>
      <c r="H209" t="inlineStr">
        <is>
          <t>2022-10-03 | Buy | A200 | 9.0000 unit @ A$107.32 / unit</t>
        </is>
      </c>
      <c r="I209" t="inlineStr">
        <is>
          <t>A200</t>
        </is>
      </c>
      <c r="J209" s="6" t="n">
        <v>44837</v>
      </c>
      <c r="K209" t="n">
        <v>9</v>
      </c>
      <c r="L209" t="inlineStr">
        <is>
          <t>AUD</t>
        </is>
      </c>
      <c r="M209" t="n">
        <v>107.32</v>
      </c>
      <c r="N209" t="inlineStr">
        <is>
          <t>AUD</t>
        </is>
      </c>
      <c r="O209" t="n">
        <v>9.5</v>
      </c>
      <c r="P209" t="inlineStr"/>
      <c r="Q209" t="inlineStr">
        <is>
          <t>FY2022/23</t>
        </is>
      </c>
      <c r="R209" t="inlineStr">
        <is>
          <t>AUD</t>
        </is>
      </c>
      <c r="S209" t="n">
        <v>9.5</v>
      </c>
      <c r="T209" t="inlineStr">
        <is>
          <t>AUD</t>
        </is>
      </c>
      <c r="U209" t="n">
        <v>1.055556</v>
      </c>
      <c r="V209" t="inlineStr">
        <is>
          <t>AUD</t>
        </is>
      </c>
      <c r="W209" t="n">
        <v>107.32</v>
      </c>
      <c r="X209" t="b">
        <v>1</v>
      </c>
      <c r="Y209" s="3" t="inlineStr">
        <is>
          <t>2022-10-03 | PARCEL |  A200 | 9.0000 unit @ A$107.32 / unit | Total cost base = A$975.38 |</t>
        </is>
      </c>
      <c r="Z209" t="n">
        <v/>
      </c>
    </row>
    <row r="210">
      <c r="A210" s="5" t="inlineStr">
        <is>
          <t>01a1212c-7a62-741e-a808-eb27f5610387</t>
        </is>
      </c>
      <c r="B210" t="inlineStr">
        <is>
          <t>B209</t>
        </is>
      </c>
      <c r="C210" s="5" t="inlineStr">
        <is>
          <t>01a1212c-4b57-70cf-80fd-c2192cb3bf81</t>
        </is>
      </c>
      <c r="D210" s="4" t="n">
        <v>46304.62413745481</v>
      </c>
      <c r="E210" s="4" t="n">
        <v>46304.62413745488</v>
      </c>
      <c r="F210" t="b">
        <v>1</v>
      </c>
      <c r="G210" t="n">
        <v/>
      </c>
      <c r="H210" t="inlineStr">
        <is>
          <t>2022-10-03 | Buy | VGS | 13.0000 unit @ A$87.88 / unit</t>
        </is>
      </c>
      <c r="I210" t="inlineStr">
        <is>
          <t>VGS</t>
        </is>
      </c>
      <c r="J210" s="6" t="n">
        <v>44837</v>
      </c>
      <c r="K210" t="n">
        <v>13</v>
      </c>
      <c r="L210" t="inlineStr">
        <is>
          <t>AUD</t>
        </is>
      </c>
      <c r="M210" t="n">
        <v>87.88</v>
      </c>
      <c r="N210" t="inlineStr">
        <is>
          <t>AUD</t>
        </is>
      </c>
      <c r="O210" t="n">
        <v>9.5</v>
      </c>
      <c r="P210" t="inlineStr"/>
      <c r="Q210" t="inlineStr">
        <is>
          <t>FY2022/23</t>
        </is>
      </c>
      <c r="R210" t="inlineStr">
        <is>
          <t>AUD</t>
        </is>
      </c>
      <c r="S210" t="n">
        <v>9.5</v>
      </c>
      <c r="T210" t="inlineStr">
        <is>
          <t>AUD</t>
        </is>
      </c>
      <c r="U210" t="n">
        <v>0.730769</v>
      </c>
      <c r="V210" t="inlineStr">
        <is>
          <t>AUD</t>
        </is>
      </c>
      <c r="W210" t="n">
        <v>87.88</v>
      </c>
      <c r="X210" t="b">
        <v>1</v>
      </c>
      <c r="Y210" s="3" t="inlineStr">
        <is>
          <t>2022-10-03 | PARCEL |  VGS | 13.0000 unit @ A$87.88 / unit | Total cost base = A$1,151.94 |</t>
        </is>
      </c>
      <c r="Z210" t="n">
        <v/>
      </c>
    </row>
    <row r="211">
      <c r="A211" s="5" t="inlineStr">
        <is>
          <t>01a1212c-7a78-76a8-ab7f-f97e592a8516</t>
        </is>
      </c>
      <c r="B211" t="inlineStr">
        <is>
          <t>B210</t>
        </is>
      </c>
      <c r="C211" s="5" t="inlineStr">
        <is>
          <t>01a1212c-4b57-70cf-80fd-c2192cb3bf81</t>
        </is>
      </c>
      <c r="D211" s="4" t="n">
        <v>46304.62413771258</v>
      </c>
      <c r="E211" s="4" t="n">
        <v>46304.62413771264</v>
      </c>
      <c r="F211" t="b">
        <v>1</v>
      </c>
      <c r="G211" t="n">
        <v/>
      </c>
      <c r="H211" t="inlineStr">
        <is>
          <t>2022-10-25 | Buy | MSFT | 2.0000 unit @ $250.66 / unit</t>
        </is>
      </c>
      <c r="I211" t="inlineStr">
        <is>
          <t>MSFT</t>
        </is>
      </c>
      <c r="J211" s="6" t="n">
        <v>44859</v>
      </c>
      <c r="K211" t="n">
        <v>2</v>
      </c>
      <c r="L211" t="inlineStr">
        <is>
          <t>USD</t>
        </is>
      </c>
      <c r="M211" t="n">
        <v>250.66</v>
      </c>
      <c r="N211" t="inlineStr">
        <is>
          <t>USD</t>
        </is>
      </c>
      <c r="O211" t="n">
        <v>5</v>
      </c>
      <c r="P211" t="inlineStr"/>
      <c r="Q211" t="inlineStr">
        <is>
          <t>FY2022/23</t>
        </is>
      </c>
      <c r="R211" t="inlineStr">
        <is>
          <t>AUD</t>
        </is>
      </c>
      <c r="S211" t="n">
        <v>7.5</v>
      </c>
      <c r="T211" t="inlineStr">
        <is>
          <t>AUD</t>
        </is>
      </c>
      <c r="U211" t="n">
        <v>3.75</v>
      </c>
      <c r="V211" t="inlineStr">
        <is>
          <t>AUD</t>
        </is>
      </c>
      <c r="W211" t="n">
        <v>375.99</v>
      </c>
      <c r="X211" t="b">
        <v>1</v>
      </c>
      <c r="Y211" s="3" t="inlineStr">
        <is>
          <t>2022-10-25 | PARCEL |  MSFT | 2.0000 unit @ A$375.99 / unit | Total cost base = A$759.48 |</t>
        </is>
      </c>
      <c r="Z211" s="5" t="inlineStr">
        <is>
          <t>01a1212c-7a79-703e-ba12-809e56daee14</t>
        </is>
      </c>
    </row>
    <row r="212">
      <c r="A212" s="5" t="inlineStr">
        <is>
          <t>01a1212c-7a8e-76fd-ae67-834a5a1e1b81</t>
        </is>
      </c>
      <c r="B212" t="inlineStr">
        <is>
          <t>B211</t>
        </is>
      </c>
      <c r="C212" s="5" t="inlineStr">
        <is>
          <t>01a1212c-4b57-70cf-80fd-c2192cb3bf81</t>
        </is>
      </c>
      <c r="D212" s="4" t="n">
        <v>46304.62413796148</v>
      </c>
      <c r="E212" s="4" t="n">
        <v>46304.62413796155</v>
      </c>
      <c r="F212" t="b">
        <v>1</v>
      </c>
      <c r="G212" t="n">
        <v/>
      </c>
      <c r="H212" t="inlineStr">
        <is>
          <t>2022-11-07 | Buy | A200 | 15.0000 unit @ A$115.49 / unit</t>
        </is>
      </c>
      <c r="I212" t="inlineStr">
        <is>
          <t>A200</t>
        </is>
      </c>
      <c r="J212" s="6" t="n">
        <v>44872</v>
      </c>
      <c r="K212" t="n">
        <v>15</v>
      </c>
      <c r="L212" t="inlineStr">
        <is>
          <t>AUD</t>
        </is>
      </c>
      <c r="M212" t="n">
        <v>115.49</v>
      </c>
      <c r="N212" t="inlineStr">
        <is>
          <t>AUD</t>
        </is>
      </c>
      <c r="O212" t="n">
        <v>9.5</v>
      </c>
      <c r="P212" t="inlineStr"/>
      <c r="Q212" t="inlineStr">
        <is>
          <t>FY2022/23</t>
        </is>
      </c>
      <c r="R212" t="inlineStr">
        <is>
          <t>AUD</t>
        </is>
      </c>
      <c r="S212" t="n">
        <v>9.5</v>
      </c>
      <c r="T212" t="inlineStr">
        <is>
          <t>AUD</t>
        </is>
      </c>
      <c r="U212" t="n">
        <v>0.633333</v>
      </c>
      <c r="V212" t="inlineStr">
        <is>
          <t>AUD</t>
        </is>
      </c>
      <c r="W212" t="n">
        <v>115.49</v>
      </c>
      <c r="X212" t="b">
        <v>1</v>
      </c>
      <c r="Y212" s="3" t="inlineStr">
        <is>
          <t>2022-11-07 | PARCEL |  A200 | 15.0000 unit @ A$115.49 / unit | Total cost base = A$1,741.85 |</t>
        </is>
      </c>
      <c r="Z212" t="n">
        <v/>
      </c>
    </row>
    <row r="213">
      <c r="A213" s="5" t="inlineStr">
        <is>
          <t>01a1212c-7aa3-7777-8559-7ed81aba4a52</t>
        </is>
      </c>
      <c r="B213" t="inlineStr">
        <is>
          <t>B212</t>
        </is>
      </c>
      <c r="C213" s="5" t="inlineStr">
        <is>
          <t>01a1212c-4b57-70cf-80fd-c2192cb3bf81</t>
        </is>
      </c>
      <c r="D213" s="4" t="n">
        <v>46304.62413820527</v>
      </c>
      <c r="E213" s="4" t="n">
        <v>46304.62413820533</v>
      </c>
      <c r="F213" t="b">
        <v>1</v>
      </c>
      <c r="G213" t="n">
        <v/>
      </c>
      <c r="H213" t="inlineStr">
        <is>
          <t>2022-11-07 | Buy | VGS | 23.0000 unit @ A$92.98 / unit</t>
        </is>
      </c>
      <c r="I213" t="inlineStr">
        <is>
          <t>VGS</t>
        </is>
      </c>
      <c r="J213" s="6" t="n">
        <v>44872</v>
      </c>
      <c r="K213" t="n">
        <v>23</v>
      </c>
      <c r="L213" t="inlineStr">
        <is>
          <t>AUD</t>
        </is>
      </c>
      <c r="M213" t="n">
        <v>92.98</v>
      </c>
      <c r="N213" t="inlineStr">
        <is>
          <t>AUD</t>
        </is>
      </c>
      <c r="O213" t="n">
        <v>9.5</v>
      </c>
      <c r="P213" t="inlineStr"/>
      <c r="Q213" t="inlineStr">
        <is>
          <t>FY2022/23</t>
        </is>
      </c>
      <c r="R213" t="inlineStr">
        <is>
          <t>AUD</t>
        </is>
      </c>
      <c r="S213" t="n">
        <v>9.5</v>
      </c>
      <c r="T213" t="inlineStr">
        <is>
          <t>AUD</t>
        </is>
      </c>
      <c r="U213" t="n">
        <v>0.413043</v>
      </c>
      <c r="V213" t="inlineStr">
        <is>
          <t>AUD</t>
        </is>
      </c>
      <c r="W213" t="n">
        <v>92.98</v>
      </c>
      <c r="X213" t="b">
        <v>1</v>
      </c>
      <c r="Y213" s="3" t="inlineStr">
        <is>
          <t>2022-11-07 | PARCEL |  VGS | 23.0000 unit @ A$92.98 / unit | Total cost base = A$2,148.04 |</t>
        </is>
      </c>
      <c r="Z213" t="n">
        <v/>
      </c>
    </row>
    <row r="214">
      <c r="A214" s="5" t="inlineStr">
        <is>
          <t>01a1212c-7ab8-769c-91f1-5b23b956e84f</t>
        </is>
      </c>
      <c r="B214" t="inlineStr">
        <is>
          <t>B213</t>
        </is>
      </c>
      <c r="C214" s="5" t="inlineStr">
        <is>
          <t>01a1212c-4b57-70cf-80fd-c2192cb3bf81</t>
        </is>
      </c>
      <c r="D214" s="4" t="n">
        <v>46304.62413844756</v>
      </c>
      <c r="E214" s="4" t="n">
        <v>46304.62413844763</v>
      </c>
      <c r="F214" t="b">
        <v>1</v>
      </c>
      <c r="G214" t="n">
        <v/>
      </c>
      <c r="H214" t="inlineStr">
        <is>
          <t>2022-12-05 | Buy | A200 | 9.0000 unit @ A$122.27 / unit</t>
        </is>
      </c>
      <c r="I214" t="inlineStr">
        <is>
          <t>A200</t>
        </is>
      </c>
      <c r="J214" s="6" t="n">
        <v>44900</v>
      </c>
      <c r="K214" t="n">
        <v>9</v>
      </c>
      <c r="L214" t="inlineStr">
        <is>
          <t>AUD</t>
        </is>
      </c>
      <c r="M214" t="n">
        <v>122.27</v>
      </c>
      <c r="N214" t="inlineStr">
        <is>
          <t>AUD</t>
        </is>
      </c>
      <c r="O214" t="n">
        <v>9.5</v>
      </c>
      <c r="P214" t="inlineStr"/>
      <c r="Q214" t="inlineStr">
        <is>
          <t>FY2022/23</t>
        </is>
      </c>
      <c r="R214" t="inlineStr">
        <is>
          <t>AUD</t>
        </is>
      </c>
      <c r="S214" t="n">
        <v>9.5</v>
      </c>
      <c r="T214" t="inlineStr">
        <is>
          <t>AUD</t>
        </is>
      </c>
      <c r="U214" t="n">
        <v>1.055556</v>
      </c>
      <c r="V214" t="inlineStr">
        <is>
          <t>AUD</t>
        </is>
      </c>
      <c r="W214" t="n">
        <v>122.27</v>
      </c>
      <c r="X214" t="b">
        <v>1</v>
      </c>
      <c r="Y214" s="3" t="inlineStr">
        <is>
          <t>2022-12-05 | PARCEL |  A200 | 9.0000 unit @ A$122.27 / unit | Total cost base = A$1,109.93 |</t>
        </is>
      </c>
      <c r="Z214" t="n">
        <v/>
      </c>
    </row>
    <row r="215">
      <c r="A215" s="5" t="inlineStr">
        <is>
          <t>01a1212c-7ace-7538-a2ea-2faa72a326b1</t>
        </is>
      </c>
      <c r="B215" t="inlineStr">
        <is>
          <t>B214</t>
        </is>
      </c>
      <c r="C215" s="5" t="inlineStr">
        <is>
          <t>01a1212c-4b57-70cf-80fd-c2192cb3bf81</t>
        </is>
      </c>
      <c r="D215" s="4" t="n">
        <v>46304.62413869888</v>
      </c>
      <c r="E215" s="4" t="n">
        <v>46304.62413869895</v>
      </c>
      <c r="F215" t="b">
        <v>1</v>
      </c>
      <c r="G215" t="n">
        <v/>
      </c>
      <c r="H215" t="inlineStr">
        <is>
          <t>2022-12-05 | Buy | VGS | 14.0000 unit @ A$95.47 / unit</t>
        </is>
      </c>
      <c r="I215" t="inlineStr">
        <is>
          <t>VGS</t>
        </is>
      </c>
      <c r="J215" s="6" t="n">
        <v>44900</v>
      </c>
      <c r="K215" t="n">
        <v>14</v>
      </c>
      <c r="L215" t="inlineStr">
        <is>
          <t>AUD</t>
        </is>
      </c>
      <c r="M215" t="n">
        <v>95.47</v>
      </c>
      <c r="N215" t="inlineStr">
        <is>
          <t>AUD</t>
        </is>
      </c>
      <c r="O215" t="n">
        <v>9.5</v>
      </c>
      <c r="P215" t="inlineStr"/>
      <c r="Q215" t="inlineStr">
        <is>
          <t>FY2022/23</t>
        </is>
      </c>
      <c r="R215" t="inlineStr">
        <is>
          <t>AUD</t>
        </is>
      </c>
      <c r="S215" t="n">
        <v>9.5</v>
      </c>
      <c r="T215" t="inlineStr">
        <is>
          <t>AUD</t>
        </is>
      </c>
      <c r="U215" t="n">
        <v>0.678571</v>
      </c>
      <c r="V215" t="inlineStr">
        <is>
          <t>AUD</t>
        </is>
      </c>
      <c r="W215" t="n">
        <v>95.47</v>
      </c>
      <c r="X215" t="b">
        <v>1</v>
      </c>
      <c r="Y215" s="3" t="inlineStr">
        <is>
          <t>2022-12-05 | PARCEL |  VGS | 14.0000 unit @ A$95.47 / unit | Total cost base = A$1,346.08 |</t>
        </is>
      </c>
      <c r="Z215" t="n">
        <v/>
      </c>
    </row>
    <row r="216">
      <c r="A216" s="5" t="inlineStr">
        <is>
          <t>01a1212c-7ae4-70ee-a6ff-2138c5d10099</t>
        </is>
      </c>
      <c r="B216" t="inlineStr">
        <is>
          <t>B215</t>
        </is>
      </c>
      <c r="C216" s="5" t="inlineStr">
        <is>
          <t>01a1212c-4b57-70cf-80fd-c2192cb3bf81</t>
        </is>
      </c>
      <c r="D216" s="4" t="n">
        <v>46304.62413895862</v>
      </c>
      <c r="E216" s="4" t="n">
        <v>46304.6241389587</v>
      </c>
      <c r="F216" t="b">
        <v>1</v>
      </c>
      <c r="G216" t="n">
        <v/>
      </c>
      <c r="H216" t="inlineStr">
        <is>
          <t>2023-01-05 | Buy | A200 | 9.0000 unit @ A$116.98 / unit</t>
        </is>
      </c>
      <c r="I216" t="inlineStr">
        <is>
          <t>A200</t>
        </is>
      </c>
      <c r="J216" s="6" t="n">
        <v>44931</v>
      </c>
      <c r="K216" t="n">
        <v>9</v>
      </c>
      <c r="L216" t="inlineStr">
        <is>
          <t>AUD</t>
        </is>
      </c>
      <c r="M216" t="n">
        <v>116.98</v>
      </c>
      <c r="N216" t="inlineStr">
        <is>
          <t>AUD</t>
        </is>
      </c>
      <c r="O216" t="n">
        <v>9.5</v>
      </c>
      <c r="P216" t="inlineStr"/>
      <c r="Q216" t="inlineStr">
        <is>
          <t>FY2022/23</t>
        </is>
      </c>
      <c r="R216" t="inlineStr">
        <is>
          <t>AUD</t>
        </is>
      </c>
      <c r="S216" t="n">
        <v>9.5</v>
      </c>
      <c r="T216" t="inlineStr">
        <is>
          <t>AUD</t>
        </is>
      </c>
      <c r="U216" t="n">
        <v>1.055556</v>
      </c>
      <c r="V216" t="inlineStr">
        <is>
          <t>AUD</t>
        </is>
      </c>
      <c r="W216" t="n">
        <v>116.98</v>
      </c>
      <c r="X216" t="b">
        <v>1</v>
      </c>
      <c r="Y216" s="3" t="inlineStr">
        <is>
          <t>2023-01-05 | PARCEL |  A200 | 9.0000 unit @ A$116.98 / unit | Total cost base = A$1,062.32 |</t>
        </is>
      </c>
      <c r="Z216" t="n">
        <v/>
      </c>
    </row>
    <row r="217">
      <c r="A217" s="5" t="inlineStr">
        <is>
          <t>01a1212c-7afa-77e2-a4e2-d8950f5d34d1</t>
        </is>
      </c>
      <c r="B217" t="inlineStr">
        <is>
          <t>B216</t>
        </is>
      </c>
      <c r="C217" s="5" t="inlineStr">
        <is>
          <t>01a1212c-4b57-70cf-80fd-c2192cb3bf81</t>
        </is>
      </c>
      <c r="D217" s="4" t="n">
        <v>46304.62413920688</v>
      </c>
      <c r="E217" s="4" t="n">
        <v>46304.62413920694</v>
      </c>
      <c r="F217" t="b">
        <v>1</v>
      </c>
      <c r="G217" t="n">
        <v/>
      </c>
      <c r="H217" t="inlineStr">
        <is>
          <t>2023-01-05 | Buy | VGS | 15.0000 unit @ A$91.56 / unit</t>
        </is>
      </c>
      <c r="I217" t="inlineStr">
        <is>
          <t>VGS</t>
        </is>
      </c>
      <c r="J217" s="6" t="n">
        <v>44931</v>
      </c>
      <c r="K217" t="n">
        <v>15</v>
      </c>
      <c r="L217" t="inlineStr">
        <is>
          <t>AUD</t>
        </is>
      </c>
      <c r="M217" t="n">
        <v>91.56</v>
      </c>
      <c r="N217" t="inlineStr">
        <is>
          <t>AUD</t>
        </is>
      </c>
      <c r="O217" t="n">
        <v>9.5</v>
      </c>
      <c r="P217" t="inlineStr"/>
      <c r="Q217" t="inlineStr">
        <is>
          <t>FY2022/23</t>
        </is>
      </c>
      <c r="R217" t="inlineStr">
        <is>
          <t>AUD</t>
        </is>
      </c>
      <c r="S217" t="n">
        <v>9.5</v>
      </c>
      <c r="T217" t="inlineStr">
        <is>
          <t>AUD</t>
        </is>
      </c>
      <c r="U217" t="n">
        <v>0.633333</v>
      </c>
      <c r="V217" t="inlineStr">
        <is>
          <t>AUD</t>
        </is>
      </c>
      <c r="W217" t="n">
        <v>91.56</v>
      </c>
      <c r="X217" t="b">
        <v>1</v>
      </c>
      <c r="Y217" s="3" t="inlineStr">
        <is>
          <t>2023-01-05 | PARCEL |  VGS | 15.0000 unit @ A$91.56 / unit | Total cost base = A$1,382.90 |</t>
        </is>
      </c>
      <c r="Z217" t="n">
        <v/>
      </c>
    </row>
    <row r="218">
      <c r="A218" s="5" t="inlineStr">
        <is>
          <t>01a1212c-7b0f-7607-8337-0abd70fd5b30</t>
        </is>
      </c>
      <c r="B218" t="inlineStr">
        <is>
          <t>B217</t>
        </is>
      </c>
      <c r="C218" s="5" t="inlineStr">
        <is>
          <t>01a1212c-4b57-70cf-80fd-c2192cb3bf81</t>
        </is>
      </c>
      <c r="D218" s="4" t="n">
        <v>46304.62413945391</v>
      </c>
      <c r="E218" s="4" t="n">
        <v>46304.62413945399</v>
      </c>
      <c r="F218" t="b">
        <v>1</v>
      </c>
      <c r="G218" t="n">
        <v/>
      </c>
      <c r="H218" t="inlineStr">
        <is>
          <t>2023-02-06 | Buy | A200 | 12.0000 unit @ A$124.90 / unit</t>
        </is>
      </c>
      <c r="I218" t="inlineStr">
        <is>
          <t>A200</t>
        </is>
      </c>
      <c r="J218" s="6" t="n">
        <v>44963</v>
      </c>
      <c r="K218" t="n">
        <v>12</v>
      </c>
      <c r="L218" t="inlineStr">
        <is>
          <t>AUD</t>
        </is>
      </c>
      <c r="M218" t="n">
        <v>124.9</v>
      </c>
      <c r="N218" t="inlineStr">
        <is>
          <t>AUD</t>
        </is>
      </c>
      <c r="O218" t="n">
        <v>9.5</v>
      </c>
      <c r="P218" t="inlineStr"/>
      <c r="Q218" t="inlineStr">
        <is>
          <t>FY2022/23</t>
        </is>
      </c>
      <c r="R218" t="inlineStr">
        <is>
          <t>AUD</t>
        </is>
      </c>
      <c r="S218" t="n">
        <v>9.5</v>
      </c>
      <c r="T218" t="inlineStr">
        <is>
          <t>AUD</t>
        </is>
      </c>
      <c r="U218" t="n">
        <v>0.791667</v>
      </c>
      <c r="V218" t="inlineStr">
        <is>
          <t>AUD</t>
        </is>
      </c>
      <c r="W218" t="n">
        <v>124.9</v>
      </c>
      <c r="X218" t="b">
        <v>1</v>
      </c>
      <c r="Y218" s="3" t="inlineStr">
        <is>
          <t>2023-02-06 | PARCEL |  A200 | 12.0000 unit @ A$124.90 / unit | Total cost base = A$1,508.30 |</t>
        </is>
      </c>
      <c r="Z218" t="n">
        <v/>
      </c>
    </row>
    <row r="219">
      <c r="A219" s="5" t="inlineStr">
        <is>
          <t>01a1212c-7b24-7183-9ecd-f8c152be699a</t>
        </is>
      </c>
      <c r="B219" t="inlineStr">
        <is>
          <t>B218</t>
        </is>
      </c>
      <c r="C219" s="5" t="inlineStr">
        <is>
          <t>01a1212c-4b57-70cf-80fd-c2192cb3bf81</t>
        </is>
      </c>
      <c r="D219" s="4" t="n">
        <v>46304.62413969784</v>
      </c>
      <c r="E219" s="4" t="n">
        <v>46304.6241396979</v>
      </c>
      <c r="F219" t="b">
        <v>1</v>
      </c>
      <c r="G219" t="n">
        <v/>
      </c>
      <c r="H219" t="inlineStr">
        <is>
          <t>2023-02-06 | Buy | VGS | 19.0000 unit @ A$96.29 / unit</t>
        </is>
      </c>
      <c r="I219" t="inlineStr">
        <is>
          <t>VGS</t>
        </is>
      </c>
      <c r="J219" s="6" t="n">
        <v>44963</v>
      </c>
      <c r="K219" t="n">
        <v>19</v>
      </c>
      <c r="L219" t="inlineStr">
        <is>
          <t>AUD</t>
        </is>
      </c>
      <c r="M219" t="n">
        <v>96.29000000000001</v>
      </c>
      <c r="N219" t="inlineStr">
        <is>
          <t>AUD</t>
        </is>
      </c>
      <c r="O219" t="n">
        <v>9.5</v>
      </c>
      <c r="P219" t="inlineStr"/>
      <c r="Q219" t="inlineStr">
        <is>
          <t>FY2022/23</t>
        </is>
      </c>
      <c r="R219" t="inlineStr">
        <is>
          <t>AUD</t>
        </is>
      </c>
      <c r="S219" t="n">
        <v>9.5</v>
      </c>
      <c r="T219" t="inlineStr">
        <is>
          <t>AUD</t>
        </is>
      </c>
      <c r="U219" t="n">
        <v>0.5</v>
      </c>
      <c r="V219" t="inlineStr">
        <is>
          <t>AUD</t>
        </is>
      </c>
      <c r="W219" t="n">
        <v>96.29000000000001</v>
      </c>
      <c r="X219" t="b">
        <v>1</v>
      </c>
      <c r="Y219" s="3" t="inlineStr">
        <is>
          <t>2023-02-06 | PARCEL |  VGS | 19.0000 unit @ A$96.29 / unit | Total cost base = A$1,839.01 |</t>
        </is>
      </c>
      <c r="Z219" t="n">
        <v/>
      </c>
    </row>
    <row r="220">
      <c r="A220" s="5" t="inlineStr">
        <is>
          <t>01a1212c-7b39-7441-ba26-9a102d336136</t>
        </is>
      </c>
      <c r="B220" t="inlineStr">
        <is>
          <t>B219</t>
        </is>
      </c>
      <c r="C220" s="5" t="inlineStr">
        <is>
          <t>01a1212c-4b57-70cf-80fd-c2192cb3bf81</t>
        </is>
      </c>
      <c r="D220" s="4" t="n">
        <v>46304.62413995646</v>
      </c>
      <c r="E220" s="4" t="n">
        <v>46304.62413995652</v>
      </c>
      <c r="F220" t="b">
        <v>1</v>
      </c>
      <c r="G220" t="n">
        <v/>
      </c>
      <c r="H220" t="inlineStr">
        <is>
          <t>2023-02-16 | Buy | AMZN | 3.0000 unit @ $98.15 / unit</t>
        </is>
      </c>
      <c r="I220" t="inlineStr">
        <is>
          <t>AMZN</t>
        </is>
      </c>
      <c r="J220" s="6" t="n">
        <v>44973</v>
      </c>
      <c r="K220" t="n">
        <v>3</v>
      </c>
      <c r="L220" t="inlineStr">
        <is>
          <t>USD</t>
        </is>
      </c>
      <c r="M220" t="n">
        <v>98.15000000000001</v>
      </c>
      <c r="N220" t="inlineStr">
        <is>
          <t>USD</t>
        </is>
      </c>
      <c r="O220" t="n">
        <v>5</v>
      </c>
      <c r="P220" t="inlineStr"/>
      <c r="Q220" t="inlineStr">
        <is>
          <t>FY2022/23</t>
        </is>
      </c>
      <c r="R220" t="inlineStr">
        <is>
          <t>AUD</t>
        </is>
      </c>
      <c r="S220" t="n">
        <v>7.5</v>
      </c>
      <c r="T220" t="inlineStr">
        <is>
          <t>AUD</t>
        </is>
      </c>
      <c r="U220" t="n">
        <v>2.5</v>
      </c>
      <c r="V220" t="inlineStr">
        <is>
          <t>AUD</t>
        </is>
      </c>
      <c r="W220" t="n">
        <v>147.225</v>
      </c>
      <c r="X220" t="b">
        <v>1</v>
      </c>
      <c r="Y220" s="3" t="inlineStr">
        <is>
          <t>2023-02-16 | PARCEL |  AMZN | 3.0000 unit @ A$147.22 / unit | Total cost base = A$449.18 |</t>
        </is>
      </c>
      <c r="Z220" s="5" t="inlineStr">
        <is>
          <t>01a1212c-7b3b-748a-8673-fcf65cf601c5</t>
        </is>
      </c>
    </row>
    <row r="221">
      <c r="A221" s="5" t="inlineStr">
        <is>
          <t>01a1212c-7b50-720d-bb1b-f07ce36842fd</t>
        </is>
      </c>
      <c r="B221" t="inlineStr">
        <is>
          <t>B220</t>
        </is>
      </c>
      <c r="C221" s="5" t="inlineStr">
        <is>
          <t>01a1212c-4b57-70cf-80fd-c2192cb3bf81</t>
        </is>
      </c>
      <c r="D221" s="4" t="n">
        <v>46304.62414021764</v>
      </c>
      <c r="E221" s="4" t="n">
        <v>46304.6241402177</v>
      </c>
      <c r="F221" t="b">
        <v>1</v>
      </c>
      <c r="G221" t="n">
        <v/>
      </c>
      <c r="H221" t="inlineStr">
        <is>
          <t>2023-02-27 | Buy | MSFT | 1.0000 unit @ $250.16 / unit</t>
        </is>
      </c>
      <c r="I221" t="inlineStr">
        <is>
          <t>MSFT</t>
        </is>
      </c>
      <c r="J221" s="6" t="n">
        <v>44984</v>
      </c>
      <c r="K221" t="n">
        <v>1</v>
      </c>
      <c r="L221" t="inlineStr">
        <is>
          <t>USD</t>
        </is>
      </c>
      <c r="M221" t="n">
        <v>250.16</v>
      </c>
      <c r="N221" t="inlineStr">
        <is>
          <t>USD</t>
        </is>
      </c>
      <c r="O221" t="n">
        <v>5</v>
      </c>
      <c r="P221" t="inlineStr"/>
      <c r="Q221" t="inlineStr">
        <is>
          <t>FY2022/23</t>
        </is>
      </c>
      <c r="R221" t="inlineStr">
        <is>
          <t>AUD</t>
        </is>
      </c>
      <c r="S221" t="n">
        <v>7.5</v>
      </c>
      <c r="T221" t="inlineStr">
        <is>
          <t>AUD</t>
        </is>
      </c>
      <c r="U221" t="n">
        <v>7.5</v>
      </c>
      <c r="V221" t="inlineStr">
        <is>
          <t>AUD</t>
        </is>
      </c>
      <c r="W221" t="n">
        <v>375.24</v>
      </c>
      <c r="X221" t="b">
        <v>1</v>
      </c>
      <c r="Y221" s="3" t="inlineStr">
        <is>
          <t>2023-02-27 | PARCEL |  MSFT | 1.0000 unit @ A$375.24 / unit | Total cost base = A$382.74 |</t>
        </is>
      </c>
      <c r="Z221" s="5" t="inlineStr">
        <is>
          <t>01a1212c-7b51-7272-9014-8df3344f3ed5</t>
        </is>
      </c>
    </row>
    <row r="222">
      <c r="A222" s="5" t="inlineStr">
        <is>
          <t>01a1212c-7b68-77f2-8e0b-c7d09517dfde</t>
        </is>
      </c>
      <c r="B222" t="inlineStr">
        <is>
          <t>B221</t>
        </is>
      </c>
      <c r="C222" s="5" t="inlineStr">
        <is>
          <t>01a1212c-4b57-70cf-80fd-c2192cb3bf81</t>
        </is>
      </c>
      <c r="D222" s="4" t="n">
        <v>46304.62414048392</v>
      </c>
      <c r="E222" s="4" t="n">
        <v>46304.624140484</v>
      </c>
      <c r="F222" t="b">
        <v>1</v>
      </c>
      <c r="G222" t="n">
        <v/>
      </c>
      <c r="H222" t="inlineStr">
        <is>
          <t>2023-03-03 | Buy | A200 | 7.0000 unit @ A$121.30 / unit</t>
        </is>
      </c>
      <c r="I222" t="inlineStr">
        <is>
          <t>A200</t>
        </is>
      </c>
      <c r="J222" s="6" t="n">
        <v>44988</v>
      </c>
      <c r="K222" t="n">
        <v>7</v>
      </c>
      <c r="L222" t="inlineStr">
        <is>
          <t>AUD</t>
        </is>
      </c>
      <c r="M222" t="n">
        <v>121.3</v>
      </c>
      <c r="N222" t="inlineStr">
        <is>
          <t>AUD</t>
        </is>
      </c>
      <c r="O222" t="n">
        <v>9.5</v>
      </c>
      <c r="P222" t="inlineStr"/>
      <c r="Q222" t="inlineStr">
        <is>
          <t>FY2022/23</t>
        </is>
      </c>
      <c r="R222" t="inlineStr">
        <is>
          <t>AUD</t>
        </is>
      </c>
      <c r="S222" t="n">
        <v>9.5</v>
      </c>
      <c r="T222" t="inlineStr">
        <is>
          <t>AUD</t>
        </is>
      </c>
      <c r="U222" t="n">
        <v>1.357143</v>
      </c>
      <c r="V222" t="inlineStr">
        <is>
          <t>AUD</t>
        </is>
      </c>
      <c r="W222" t="n">
        <v>121.3</v>
      </c>
      <c r="X222" t="b">
        <v>1</v>
      </c>
      <c r="Y222" s="3" t="inlineStr">
        <is>
          <t>2023-03-03 | PARCEL |  A200 | 7.0000 unit @ A$121.30 / unit | Total cost base = A$858.60 |</t>
        </is>
      </c>
      <c r="Z222" t="n">
        <v/>
      </c>
    </row>
    <row r="223">
      <c r="A223" s="5" t="inlineStr">
        <is>
          <t>01a1212c-7b7e-70bc-a8e9-778565ad1d78</t>
        </is>
      </c>
      <c r="B223" t="inlineStr">
        <is>
          <t>B222</t>
        </is>
      </c>
      <c r="C223" s="5" t="inlineStr">
        <is>
          <t>01a1212c-4b57-70cf-80fd-c2192cb3bf81</t>
        </is>
      </c>
      <c r="D223" s="4" t="n">
        <v>46304.62414073809</v>
      </c>
      <c r="E223" s="4" t="n">
        <v>46304.62414073816</v>
      </c>
      <c r="F223" t="b">
        <v>1</v>
      </c>
      <c r="G223" t="n">
        <v/>
      </c>
      <c r="H223" t="inlineStr">
        <is>
          <t>2023-03-03 | Buy | VGS | 12.0000 unit @ A$96.29 / unit</t>
        </is>
      </c>
      <c r="I223" t="inlineStr">
        <is>
          <t>VGS</t>
        </is>
      </c>
      <c r="J223" s="6" t="n">
        <v>44988</v>
      </c>
      <c r="K223" t="n">
        <v>12</v>
      </c>
      <c r="L223" t="inlineStr">
        <is>
          <t>AUD</t>
        </is>
      </c>
      <c r="M223" t="n">
        <v>96.29000000000001</v>
      </c>
      <c r="N223" t="inlineStr">
        <is>
          <t>AUD</t>
        </is>
      </c>
      <c r="O223" t="n">
        <v>9.5</v>
      </c>
      <c r="P223" t="inlineStr"/>
      <c r="Q223" t="inlineStr">
        <is>
          <t>FY2022/23</t>
        </is>
      </c>
      <c r="R223" t="inlineStr">
        <is>
          <t>AUD</t>
        </is>
      </c>
      <c r="S223" t="n">
        <v>9.5</v>
      </c>
      <c r="T223" t="inlineStr">
        <is>
          <t>AUD</t>
        </is>
      </c>
      <c r="U223" t="n">
        <v>0.791667</v>
      </c>
      <c r="V223" t="inlineStr">
        <is>
          <t>AUD</t>
        </is>
      </c>
      <c r="W223" t="n">
        <v>96.29000000000001</v>
      </c>
      <c r="X223" t="b">
        <v>1</v>
      </c>
      <c r="Y223" s="3" t="inlineStr">
        <is>
          <t>2023-03-03 | PARCEL |  VGS | 12.0000 unit @ A$96.29 / unit | Total cost base = A$1,164.98 |</t>
        </is>
      </c>
      <c r="Z223" t="n">
        <v/>
      </c>
    </row>
    <row r="224">
      <c r="A224" s="5" t="inlineStr">
        <is>
          <t>01a1212c-7b93-71a5-a3a5-7f225259cb1d</t>
        </is>
      </c>
      <c r="B224" t="inlineStr">
        <is>
          <t>B223</t>
        </is>
      </c>
      <c r="C224" s="5" t="inlineStr">
        <is>
          <t>01a1212c-4b57-70cf-80fd-c2192cb3bf81</t>
        </is>
      </c>
      <c r="D224" s="4" t="n">
        <v>46304.62414099464</v>
      </c>
      <c r="E224" s="4" t="n">
        <v>46304.6241409947</v>
      </c>
      <c r="F224" t="b">
        <v>1</v>
      </c>
      <c r="G224" t="n">
        <v/>
      </c>
      <c r="H224" t="inlineStr">
        <is>
          <t>2023-03-27 | Buy | MSFT | 2.0000 unit @ $276.38 / unit</t>
        </is>
      </c>
      <c r="I224" t="inlineStr">
        <is>
          <t>MSFT</t>
        </is>
      </c>
      <c r="J224" s="6" t="n">
        <v>45012</v>
      </c>
      <c r="K224" t="n">
        <v>2</v>
      </c>
      <c r="L224" t="inlineStr">
        <is>
          <t>USD</t>
        </is>
      </c>
      <c r="M224" t="n">
        <v>276.38</v>
      </c>
      <c r="N224" t="inlineStr">
        <is>
          <t>USD</t>
        </is>
      </c>
      <c r="O224" t="n">
        <v>5</v>
      </c>
      <c r="P224" t="inlineStr"/>
      <c r="Q224" t="inlineStr">
        <is>
          <t>FY2022/23</t>
        </is>
      </c>
      <c r="R224" t="inlineStr">
        <is>
          <t>AUD</t>
        </is>
      </c>
      <c r="S224" t="n">
        <v>7.5</v>
      </c>
      <c r="T224" t="inlineStr">
        <is>
          <t>AUD</t>
        </is>
      </c>
      <c r="U224" t="n">
        <v>3.75</v>
      </c>
      <c r="V224" t="inlineStr">
        <is>
          <t>AUD</t>
        </is>
      </c>
      <c r="W224" t="n">
        <v>414.57</v>
      </c>
      <c r="X224" t="b">
        <v>1</v>
      </c>
      <c r="Y224" s="3" t="inlineStr">
        <is>
          <t>2023-03-27 | PARCEL |  MSFT | 2.0000 unit @ A$414.57 / unit | Total cost base = A$836.64 |</t>
        </is>
      </c>
      <c r="Z224" s="5" t="inlineStr">
        <is>
          <t>01a1212c-7b95-7244-8185-2a0e39fe92ef</t>
        </is>
      </c>
    </row>
    <row r="225">
      <c r="A225" s="5" t="inlineStr">
        <is>
          <t>01a1212c-7baa-7439-99b8-7ed154e71fad</t>
        </is>
      </c>
      <c r="B225" t="inlineStr">
        <is>
          <t>B224</t>
        </is>
      </c>
      <c r="C225" s="5" t="inlineStr">
        <is>
          <t>01a1212c-4b57-70cf-80fd-c2192cb3bf81</t>
        </is>
      </c>
      <c r="D225" s="4" t="n">
        <v>46304.62414123919</v>
      </c>
      <c r="E225" s="4" t="n">
        <v>46304.62414123926</v>
      </c>
      <c r="F225" t="b">
        <v>1</v>
      </c>
      <c r="G225" t="n">
        <v/>
      </c>
      <c r="H225" t="inlineStr">
        <is>
          <t>2023-04-05 | Buy | A200 | 10.0000 unit @ A$120.36 / unit</t>
        </is>
      </c>
      <c r="I225" t="inlineStr">
        <is>
          <t>A200</t>
        </is>
      </c>
      <c r="J225" s="6" t="n">
        <v>45021</v>
      </c>
      <c r="K225" t="n">
        <v>10</v>
      </c>
      <c r="L225" t="inlineStr">
        <is>
          <t>AUD</t>
        </is>
      </c>
      <c r="M225" t="n">
        <v>120.36</v>
      </c>
      <c r="N225" t="inlineStr">
        <is>
          <t>AUD</t>
        </is>
      </c>
      <c r="O225" t="n">
        <v>9.5</v>
      </c>
      <c r="P225" t="inlineStr"/>
      <c r="Q225" t="inlineStr">
        <is>
          <t>FY2022/23</t>
        </is>
      </c>
      <c r="R225" t="inlineStr">
        <is>
          <t>AUD</t>
        </is>
      </c>
      <c r="S225" t="n">
        <v>9.5</v>
      </c>
      <c r="T225" t="inlineStr">
        <is>
          <t>AUD</t>
        </is>
      </c>
      <c r="U225" t="n">
        <v>0.95</v>
      </c>
      <c r="V225" t="inlineStr">
        <is>
          <t>AUD</t>
        </is>
      </c>
      <c r="W225" t="n">
        <v>120.36</v>
      </c>
      <c r="X225" t="b">
        <v>1</v>
      </c>
      <c r="Y225" s="3" t="inlineStr">
        <is>
          <t>2023-04-05 | PARCEL |  A200 | 10.0000 unit @ A$120.36 / unit | Total cost base = A$1,213.10 |</t>
        </is>
      </c>
      <c r="Z225" t="n">
        <v/>
      </c>
    </row>
    <row r="226">
      <c r="A226" s="5" t="inlineStr">
        <is>
          <t>01a1212c-7bbe-7184-93f9-737049acb75b</t>
        </is>
      </c>
      <c r="B226" t="inlineStr">
        <is>
          <t>B225</t>
        </is>
      </c>
      <c r="C226" s="5" t="inlineStr">
        <is>
          <t>01a1212c-4b57-70cf-80fd-c2192cb3bf81</t>
        </is>
      </c>
      <c r="D226" s="4" t="n">
        <v>46304.62414147789</v>
      </c>
      <c r="E226" s="4" t="n">
        <v>46304.62414147794</v>
      </c>
      <c r="F226" t="b">
        <v>1</v>
      </c>
      <c r="G226" t="n">
        <v/>
      </c>
      <c r="H226" t="inlineStr">
        <is>
          <t>2023-04-05 | Buy | VGS | 16.0000 unit @ A$99.01 / unit</t>
        </is>
      </c>
      <c r="I226" t="inlineStr">
        <is>
          <t>VGS</t>
        </is>
      </c>
      <c r="J226" s="6" t="n">
        <v>45021</v>
      </c>
      <c r="K226" t="n">
        <v>16</v>
      </c>
      <c r="L226" t="inlineStr">
        <is>
          <t>AUD</t>
        </is>
      </c>
      <c r="M226" t="n">
        <v>99.01000000000001</v>
      </c>
      <c r="N226" t="inlineStr">
        <is>
          <t>AUD</t>
        </is>
      </c>
      <c r="O226" t="n">
        <v>9.5</v>
      </c>
      <c r="P226" t="inlineStr"/>
      <c r="Q226" t="inlineStr">
        <is>
          <t>FY2022/23</t>
        </is>
      </c>
      <c r="R226" t="inlineStr">
        <is>
          <t>AUD</t>
        </is>
      </c>
      <c r="S226" t="n">
        <v>9.5</v>
      </c>
      <c r="T226" t="inlineStr">
        <is>
          <t>AUD</t>
        </is>
      </c>
      <c r="U226" t="n">
        <v>0.59375</v>
      </c>
      <c r="V226" t="inlineStr">
        <is>
          <t>AUD</t>
        </is>
      </c>
      <c r="W226" t="n">
        <v>99.01000000000001</v>
      </c>
      <c r="X226" t="b">
        <v>1</v>
      </c>
      <c r="Y226" s="3" t="inlineStr">
        <is>
          <t>2023-04-05 | PARCEL |  VGS | 16.0000 unit @ A$99.01 / unit | Total cost base = A$1,593.66 |</t>
        </is>
      </c>
      <c r="Z226" t="n">
        <v/>
      </c>
    </row>
    <row r="227">
      <c r="A227" s="5" t="inlineStr">
        <is>
          <t>01a1212c-7bd3-7757-963d-962ac1b60d60</t>
        </is>
      </c>
      <c r="B227" t="inlineStr">
        <is>
          <t>B226</t>
        </is>
      </c>
      <c r="C227" s="5" t="inlineStr">
        <is>
          <t>01a1212c-4b57-70cf-80fd-c2192cb3bf81</t>
        </is>
      </c>
      <c r="D227" s="4" t="n">
        <v>46304.62414171835</v>
      </c>
      <c r="E227" s="4" t="n">
        <v>46304.62414171841</v>
      </c>
      <c r="F227" t="b">
        <v>1</v>
      </c>
      <c r="G227" t="n">
        <v/>
      </c>
      <c r="H227" t="inlineStr">
        <is>
          <t>2023-05-03 | Buy | A200 | 13.0000 unit @ A$119.66 / unit</t>
        </is>
      </c>
      <c r="I227" t="inlineStr">
        <is>
          <t>A200</t>
        </is>
      </c>
      <c r="J227" s="6" t="n">
        <v>45049</v>
      </c>
      <c r="K227" t="n">
        <v>13</v>
      </c>
      <c r="L227" t="inlineStr">
        <is>
          <t>AUD</t>
        </is>
      </c>
      <c r="M227" t="n">
        <v>119.66</v>
      </c>
      <c r="N227" t="inlineStr">
        <is>
          <t>AUD</t>
        </is>
      </c>
      <c r="O227" t="n">
        <v>9.5</v>
      </c>
      <c r="P227" t="inlineStr"/>
      <c r="Q227" t="inlineStr">
        <is>
          <t>FY2022/23</t>
        </is>
      </c>
      <c r="R227" t="inlineStr">
        <is>
          <t>AUD</t>
        </is>
      </c>
      <c r="S227" t="n">
        <v>9.5</v>
      </c>
      <c r="T227" t="inlineStr">
        <is>
          <t>AUD</t>
        </is>
      </c>
      <c r="U227" t="n">
        <v>0.730769</v>
      </c>
      <c r="V227" t="inlineStr">
        <is>
          <t>AUD</t>
        </is>
      </c>
      <c r="W227" t="n">
        <v>119.66</v>
      </c>
      <c r="X227" t="b">
        <v>1</v>
      </c>
      <c r="Y227" s="3" t="inlineStr">
        <is>
          <t>2023-05-03 | PARCEL |  A200 | 13.0000 unit @ A$119.66 / unit | Total cost base = A$1,565.08 |</t>
        </is>
      </c>
      <c r="Z227" t="n">
        <v/>
      </c>
    </row>
    <row r="228">
      <c r="A228" s="5" t="inlineStr">
        <is>
          <t>01a1212c-7be8-71af-bf3a-11d4323f9e03</t>
        </is>
      </c>
      <c r="B228" t="inlineStr">
        <is>
          <t>B227</t>
        </is>
      </c>
      <c r="C228" s="5" t="inlineStr">
        <is>
          <t>01a1212c-4b57-70cf-80fd-c2192cb3bf81</t>
        </is>
      </c>
      <c r="D228" s="4" t="n">
        <v>46304.62414196093</v>
      </c>
      <c r="E228" s="4" t="n">
        <v>46304.62414196099</v>
      </c>
      <c r="F228" t="b">
        <v>1</v>
      </c>
      <c r="G228" t="n">
        <v/>
      </c>
      <c r="H228" t="inlineStr">
        <is>
          <t>2023-05-03 | Buy | VGS | 19.0000 unit @ A$100.96 / unit</t>
        </is>
      </c>
      <c r="I228" t="inlineStr">
        <is>
          <t>VGS</t>
        </is>
      </c>
      <c r="J228" s="6" t="n">
        <v>45049</v>
      </c>
      <c r="K228" t="n">
        <v>19</v>
      </c>
      <c r="L228" t="inlineStr">
        <is>
          <t>AUD</t>
        </is>
      </c>
      <c r="M228" t="n">
        <v>100.96</v>
      </c>
      <c r="N228" t="inlineStr">
        <is>
          <t>AUD</t>
        </is>
      </c>
      <c r="O228" t="n">
        <v>9.5</v>
      </c>
      <c r="P228" t="inlineStr"/>
      <c r="Q228" t="inlineStr">
        <is>
          <t>FY2022/23</t>
        </is>
      </c>
      <c r="R228" t="inlineStr">
        <is>
          <t>AUD</t>
        </is>
      </c>
      <c r="S228" t="n">
        <v>9.5</v>
      </c>
      <c r="T228" t="inlineStr">
        <is>
          <t>AUD</t>
        </is>
      </c>
      <c r="U228" t="n">
        <v>0.5</v>
      </c>
      <c r="V228" t="inlineStr">
        <is>
          <t>AUD</t>
        </is>
      </c>
      <c r="W228" t="n">
        <v>100.96</v>
      </c>
      <c r="X228" t="b">
        <v>1</v>
      </c>
      <c r="Y228" s="3" t="inlineStr">
        <is>
          <t>2023-05-03 | PARCEL |  VGS | 19.0000 unit @ A$100.96 / unit | Total cost base = A$1,927.74 |</t>
        </is>
      </c>
      <c r="Z228" t="n">
        <v/>
      </c>
    </row>
    <row r="229">
      <c r="A229" s="5" t="inlineStr">
        <is>
          <t>01a1212c-7bfd-71b0-86b0-1bc903a1d1cf</t>
        </is>
      </c>
      <c r="B229" t="inlineStr">
        <is>
          <t>B228</t>
        </is>
      </c>
      <c r="C229" s="5" t="inlineStr">
        <is>
          <t>01a1212c-4b57-70cf-80fd-c2192cb3bf81</t>
        </is>
      </c>
      <c r="D229" s="4" t="n">
        <v>46304.62414220124</v>
      </c>
      <c r="E229" s="4" t="n">
        <v>46304.62414220132</v>
      </c>
      <c r="F229" t="b">
        <v>1</v>
      </c>
      <c r="G229" t="n">
        <v/>
      </c>
      <c r="H229" t="inlineStr">
        <is>
          <t>2023-05-08 | Buy | CBA | 7.0000 unit @ A$97.12 / unit</t>
        </is>
      </c>
      <c r="I229" t="inlineStr">
        <is>
          <t>CBA</t>
        </is>
      </c>
      <c r="J229" s="6" t="n">
        <v>45054</v>
      </c>
      <c r="K229" t="n">
        <v>7</v>
      </c>
      <c r="L229" t="inlineStr">
        <is>
          <t>AUD</t>
        </is>
      </c>
      <c r="M229" t="n">
        <v>97.12</v>
      </c>
      <c r="N229" t="inlineStr">
        <is>
          <t>AUD</t>
        </is>
      </c>
      <c r="O229" t="n">
        <v>19.95</v>
      </c>
      <c r="P229" t="inlineStr"/>
      <c r="Q229" t="inlineStr">
        <is>
          <t>FY2022/23</t>
        </is>
      </c>
      <c r="R229" t="inlineStr">
        <is>
          <t>AUD</t>
        </is>
      </c>
      <c r="S229" t="n">
        <v>19.95</v>
      </c>
      <c r="T229" t="inlineStr">
        <is>
          <t>AUD</t>
        </is>
      </c>
      <c r="U229" t="n">
        <v>2.85</v>
      </c>
      <c r="V229" t="inlineStr">
        <is>
          <t>AUD</t>
        </is>
      </c>
      <c r="W229" t="n">
        <v>97.12</v>
      </c>
      <c r="X229" t="b">
        <v>1</v>
      </c>
      <c r="Y229" s="3" t="inlineStr">
        <is>
          <t>2023-05-08 | PARCEL |  CBA | 7.0000 unit @ A$97.12 / unit | Total cost base = A$699.79 |</t>
        </is>
      </c>
      <c r="Z229" t="n">
        <v/>
      </c>
    </row>
    <row r="230">
      <c r="A230" s="5" t="inlineStr">
        <is>
          <t>01a1212c-7c11-7496-95e2-1cc467e41cd7</t>
        </is>
      </c>
      <c r="B230" t="inlineStr">
        <is>
          <t>B229</t>
        </is>
      </c>
      <c r="C230" s="5" t="inlineStr">
        <is>
          <t>01a1212c-4b57-70cf-80fd-c2192cb3bf81</t>
        </is>
      </c>
      <c r="D230" s="4" t="n">
        <v>46304.62414244286</v>
      </c>
      <c r="E230" s="4" t="n">
        <v>46304.62414244293</v>
      </c>
      <c r="F230" t="b">
        <v>1</v>
      </c>
      <c r="G230" t="n">
        <v/>
      </c>
      <c r="H230" t="inlineStr">
        <is>
          <t>2023-06-05 | Buy | A200 | 8.0000 unit @ A$120.52 / unit</t>
        </is>
      </c>
      <c r="I230" t="inlineStr">
        <is>
          <t>A200</t>
        </is>
      </c>
      <c r="J230" s="6" t="n">
        <v>45082</v>
      </c>
      <c r="K230" t="n">
        <v>8</v>
      </c>
      <c r="L230" t="inlineStr">
        <is>
          <t>AUD</t>
        </is>
      </c>
      <c r="M230" t="n">
        <v>120.52</v>
      </c>
      <c r="N230" t="inlineStr">
        <is>
          <t>AUD</t>
        </is>
      </c>
      <c r="O230" t="n">
        <v>9.5</v>
      </c>
      <c r="P230" t="inlineStr"/>
      <c r="Q230" t="inlineStr">
        <is>
          <t>FY2022/23</t>
        </is>
      </c>
      <c r="R230" t="inlineStr">
        <is>
          <t>AUD</t>
        </is>
      </c>
      <c r="S230" t="n">
        <v>9.5</v>
      </c>
      <c r="T230" t="inlineStr">
        <is>
          <t>AUD</t>
        </is>
      </c>
      <c r="U230" t="n">
        <v>1.1875</v>
      </c>
      <c r="V230" t="inlineStr">
        <is>
          <t>AUD</t>
        </is>
      </c>
      <c r="W230" t="n">
        <v>120.52</v>
      </c>
      <c r="X230" t="b">
        <v>1</v>
      </c>
      <c r="Y230" s="3" t="inlineStr">
        <is>
          <t>2023-06-05 | PARCEL |  A200 | 8.0000 unit @ A$120.52 / unit | Total cost base = A$973.66 |</t>
        </is>
      </c>
      <c r="Z230" t="n">
        <v/>
      </c>
    </row>
    <row r="231">
      <c r="A231" s="5" t="inlineStr">
        <is>
          <t>01a1212c-7c26-777c-a950-2cd85d8e7246</t>
        </is>
      </c>
      <c r="B231" t="inlineStr">
        <is>
          <t>B230</t>
        </is>
      </c>
      <c r="C231" s="5" t="inlineStr">
        <is>
          <t>01a1212c-4b57-70cf-80fd-c2192cb3bf81</t>
        </is>
      </c>
      <c r="D231" s="4" t="n">
        <v>46304.62414268518</v>
      </c>
      <c r="E231" s="4" t="n">
        <v>46304.62414268526</v>
      </c>
      <c r="F231" t="b">
        <v>1</v>
      </c>
      <c r="G231" t="n">
        <v/>
      </c>
      <c r="H231" t="inlineStr">
        <is>
          <t>2023-06-05 | Buy | VGS | 12.0000 unit @ A$104.45 / unit</t>
        </is>
      </c>
      <c r="I231" t="inlineStr">
        <is>
          <t>VGS</t>
        </is>
      </c>
      <c r="J231" s="6" t="n">
        <v>45082</v>
      </c>
      <c r="K231" t="n">
        <v>12</v>
      </c>
      <c r="L231" t="inlineStr">
        <is>
          <t>AUD</t>
        </is>
      </c>
      <c r="M231" t="n">
        <v>104.45</v>
      </c>
      <c r="N231" t="inlineStr">
        <is>
          <t>AUD</t>
        </is>
      </c>
      <c r="O231" t="n">
        <v>9.5</v>
      </c>
      <c r="P231" t="inlineStr"/>
      <c r="Q231" t="inlineStr">
        <is>
          <t>FY2022/23</t>
        </is>
      </c>
      <c r="R231" t="inlineStr">
        <is>
          <t>AUD</t>
        </is>
      </c>
      <c r="S231" t="n">
        <v>9.5</v>
      </c>
      <c r="T231" t="inlineStr">
        <is>
          <t>AUD</t>
        </is>
      </c>
      <c r="U231" t="n">
        <v>0.791667</v>
      </c>
      <c r="V231" t="inlineStr">
        <is>
          <t>AUD</t>
        </is>
      </c>
      <c r="W231" t="n">
        <v>104.45</v>
      </c>
      <c r="X231" t="b">
        <v>1</v>
      </c>
      <c r="Y231" s="3" t="inlineStr">
        <is>
          <t>2023-06-05 | PARCEL |  VGS | 12.0000 unit @ A$104.45 / unit | Total cost base = A$1,262.90 |</t>
        </is>
      </c>
      <c r="Z231" t="n">
        <v/>
      </c>
    </row>
    <row r="232">
      <c r="A232" s="5" t="inlineStr">
        <is>
          <t>01a1212c-7c3b-72ab-bbe7-37e612297038</t>
        </is>
      </c>
      <c r="B232" t="inlineStr">
        <is>
          <t>B231</t>
        </is>
      </c>
      <c r="C232" s="5" t="inlineStr">
        <is>
          <t>01a1212c-4b57-70cf-80fd-c2192cb3bf81</t>
        </is>
      </c>
      <c r="D232" s="4" t="n">
        <v>46304.62414294144</v>
      </c>
      <c r="E232" s="4" t="n">
        <v>46304.62414294149</v>
      </c>
      <c r="F232" t="b">
        <v>1</v>
      </c>
      <c r="G232" t="n">
        <v/>
      </c>
      <c r="H232" t="inlineStr">
        <is>
          <t>2023-06-30 | Buy | AMZN | 7.0000 unit @ $130.36 / unit</t>
        </is>
      </c>
      <c r="I232" t="inlineStr">
        <is>
          <t>AMZN</t>
        </is>
      </c>
      <c r="J232" s="6" t="n">
        <v>45107</v>
      </c>
      <c r="K232" t="n">
        <v>7</v>
      </c>
      <c r="L232" t="inlineStr">
        <is>
          <t>USD</t>
        </is>
      </c>
      <c r="M232" t="n">
        <v>130.36</v>
      </c>
      <c r="N232" t="inlineStr">
        <is>
          <t>USD</t>
        </is>
      </c>
      <c r="O232" t="n">
        <v>5</v>
      </c>
      <c r="P232" t="inlineStr"/>
      <c r="Q232" t="inlineStr">
        <is>
          <t>FY2022/23</t>
        </is>
      </c>
      <c r="R232" t="inlineStr">
        <is>
          <t>AUD</t>
        </is>
      </c>
      <c r="S232" t="n">
        <v>7.5</v>
      </c>
      <c r="T232" t="inlineStr">
        <is>
          <t>AUD</t>
        </is>
      </c>
      <c r="U232" t="n">
        <v>1.071429</v>
      </c>
      <c r="V232" t="inlineStr">
        <is>
          <t>AUD</t>
        </is>
      </c>
      <c r="W232" t="n">
        <v>195.54</v>
      </c>
      <c r="X232" t="b">
        <v>1</v>
      </c>
      <c r="Y232" s="3" t="inlineStr">
        <is>
          <t>2023-06-30 | PARCEL |  AMZN | 7.0000 unit @ A$195.54 / unit | Total cost base = A$1,376.28 |</t>
        </is>
      </c>
      <c r="Z232" s="5" t="inlineStr">
        <is>
          <t>01a1212c-7c3d-7427-b63e-6160b7c43bf1</t>
        </is>
      </c>
    </row>
    <row r="233">
      <c r="A233" s="5" t="inlineStr">
        <is>
          <t>01a1212c-7c52-761a-bb1f-7c86b8dd23ac</t>
        </is>
      </c>
      <c r="B233" t="inlineStr">
        <is>
          <t>B232</t>
        </is>
      </c>
      <c r="C233" s="5" t="inlineStr">
        <is>
          <t>01a1212c-4b57-70cf-80fd-c2192cb3bf81</t>
        </is>
      </c>
      <c r="D233" s="4" t="n">
        <v>46304.62414318693</v>
      </c>
      <c r="E233" s="4" t="n">
        <v>46304.624143187</v>
      </c>
      <c r="F233" t="b">
        <v>1</v>
      </c>
      <c r="G233" t="n">
        <v/>
      </c>
      <c r="H233" t="inlineStr">
        <is>
          <t>2023-07-06 | Buy | A200 | 7.0000 unit @ A$119.01 / unit</t>
        </is>
      </c>
      <c r="I233" t="inlineStr">
        <is>
          <t>A200</t>
        </is>
      </c>
      <c r="J233" s="6" t="n">
        <v>45113</v>
      </c>
      <c r="K233" t="n">
        <v>7</v>
      </c>
      <c r="L233" t="inlineStr">
        <is>
          <t>AUD</t>
        </is>
      </c>
      <c r="M233" t="n">
        <v>119.01</v>
      </c>
      <c r="N233" t="inlineStr">
        <is>
          <t>AUD</t>
        </is>
      </c>
      <c r="O233" t="n">
        <v>9.5</v>
      </c>
      <c r="P233" t="inlineStr"/>
      <c r="Q233" t="inlineStr">
        <is>
          <t>FY2023/24</t>
        </is>
      </c>
      <c r="R233" t="inlineStr">
        <is>
          <t>AUD</t>
        </is>
      </c>
      <c r="S233" t="n">
        <v>9.5</v>
      </c>
      <c r="T233" t="inlineStr">
        <is>
          <t>AUD</t>
        </is>
      </c>
      <c r="U233" t="n">
        <v>1.357143</v>
      </c>
      <c r="V233" t="inlineStr">
        <is>
          <t>AUD</t>
        </is>
      </c>
      <c r="W233" t="n">
        <v>119.01</v>
      </c>
      <c r="X233" t="b">
        <v>1</v>
      </c>
      <c r="Y233" s="3" t="inlineStr">
        <is>
          <t>2023-07-06 | PARCEL |  A200 | 7.0000 unit @ A$119.01 / unit | Total cost base = A$842.57 |</t>
        </is>
      </c>
      <c r="Z233" t="n">
        <v/>
      </c>
    </row>
    <row r="234">
      <c r="A234" s="5" t="inlineStr">
        <is>
          <t>01a1212c-7c67-77df-a6e4-4d334e3b795e</t>
        </is>
      </c>
      <c r="B234" t="inlineStr">
        <is>
          <t>B233</t>
        </is>
      </c>
      <c r="C234" s="5" t="inlineStr">
        <is>
          <t>01a1212c-4b57-70cf-80fd-c2192cb3bf81</t>
        </is>
      </c>
      <c r="D234" s="4" t="n">
        <v>46304.62414343214</v>
      </c>
      <c r="E234" s="4" t="n">
        <v>46304.6241434322</v>
      </c>
      <c r="F234" t="b">
        <v>1</v>
      </c>
      <c r="G234" t="n">
        <v/>
      </c>
      <c r="H234" t="inlineStr">
        <is>
          <t>2023-07-06 | Buy | VGS | 10.0000 unit @ A$105.29 / unit</t>
        </is>
      </c>
      <c r="I234" t="inlineStr">
        <is>
          <t>VGS</t>
        </is>
      </c>
      <c r="J234" s="6" t="n">
        <v>45113</v>
      </c>
      <c r="K234" t="n">
        <v>10</v>
      </c>
      <c r="L234" t="inlineStr">
        <is>
          <t>AUD</t>
        </is>
      </c>
      <c r="M234" t="n">
        <v>105.29</v>
      </c>
      <c r="N234" t="inlineStr">
        <is>
          <t>AUD</t>
        </is>
      </c>
      <c r="O234" t="n">
        <v>9.5</v>
      </c>
      <c r="P234" t="inlineStr"/>
      <c r="Q234" t="inlineStr">
        <is>
          <t>FY2023/24</t>
        </is>
      </c>
      <c r="R234" t="inlineStr">
        <is>
          <t>AUD</t>
        </is>
      </c>
      <c r="S234" t="n">
        <v>9.5</v>
      </c>
      <c r="T234" t="inlineStr">
        <is>
          <t>AUD</t>
        </is>
      </c>
      <c r="U234" t="n">
        <v>0.95</v>
      </c>
      <c r="V234" t="inlineStr">
        <is>
          <t>AUD</t>
        </is>
      </c>
      <c r="W234" t="n">
        <v>105.29</v>
      </c>
      <c r="X234" t="b">
        <v>1</v>
      </c>
      <c r="Y234" s="3" t="inlineStr">
        <is>
          <t>2023-07-06 | PARCEL |  VGS | 10.0000 unit @ A$105.29 / unit | Total cost base = A$1,062.40 |</t>
        </is>
      </c>
      <c r="Z234" t="n">
        <v/>
      </c>
    </row>
    <row r="235">
      <c r="A235" s="5" t="inlineStr">
        <is>
          <t>01a1212c-7c7c-765e-b64a-398b6a031efe</t>
        </is>
      </c>
      <c r="B235" t="inlineStr">
        <is>
          <t>B234</t>
        </is>
      </c>
      <c r="C235" s="5" t="inlineStr">
        <is>
          <t>01a1212c-4b57-70cf-80fd-c2192cb3bf81</t>
        </is>
      </c>
      <c r="D235" s="4" t="n">
        <v>46304.62414367841</v>
      </c>
      <c r="E235" s="4" t="n">
        <v>46304.62414367848</v>
      </c>
      <c r="F235" t="b">
        <v>1</v>
      </c>
      <c r="G235" t="n">
        <v/>
      </c>
      <c r="H235" t="inlineStr">
        <is>
          <t>2023-08-04 | Buy | A200 | 10.0000 unit @ A$121.72 / unit</t>
        </is>
      </c>
      <c r="I235" t="inlineStr">
        <is>
          <t>A200</t>
        </is>
      </c>
      <c r="J235" s="6" t="n">
        <v>45142</v>
      </c>
      <c r="K235" t="n">
        <v>10</v>
      </c>
      <c r="L235" t="inlineStr">
        <is>
          <t>AUD</t>
        </is>
      </c>
      <c r="M235" t="n">
        <v>121.72</v>
      </c>
      <c r="N235" t="inlineStr">
        <is>
          <t>AUD</t>
        </is>
      </c>
      <c r="O235" t="n">
        <v>9.5</v>
      </c>
      <c r="P235" t="inlineStr"/>
      <c r="Q235" t="inlineStr">
        <is>
          <t>FY2023/24</t>
        </is>
      </c>
      <c r="R235" t="inlineStr">
        <is>
          <t>AUD</t>
        </is>
      </c>
      <c r="S235" t="n">
        <v>9.5</v>
      </c>
      <c r="T235" t="inlineStr">
        <is>
          <t>AUD</t>
        </is>
      </c>
      <c r="U235" t="n">
        <v>0.95</v>
      </c>
      <c r="V235" t="inlineStr">
        <is>
          <t>AUD</t>
        </is>
      </c>
      <c r="W235" t="n">
        <v>121.72</v>
      </c>
      <c r="X235" t="b">
        <v>1</v>
      </c>
      <c r="Y235" s="3" t="inlineStr">
        <is>
          <t>2023-08-04 | PARCEL |  A200 | 10.0000 unit @ A$121.72 / unit | Total cost base = A$1,226.70 |</t>
        </is>
      </c>
      <c r="Z235" t="n">
        <v/>
      </c>
    </row>
    <row r="236">
      <c r="A236" s="5" t="inlineStr">
        <is>
          <t>01a1212c-7c92-70ff-9c14-22f3d1ad33ec</t>
        </is>
      </c>
      <c r="B236" t="inlineStr">
        <is>
          <t>B235</t>
        </is>
      </c>
      <c r="C236" s="5" t="inlineStr">
        <is>
          <t>01a1212c-4b57-70cf-80fd-c2192cb3bf81</t>
        </is>
      </c>
      <c r="D236" s="4" t="n">
        <v>46304.62414393239</v>
      </c>
      <c r="E236" s="4" t="n">
        <v>46304.62414393247</v>
      </c>
      <c r="F236" t="b">
        <v>1</v>
      </c>
      <c r="G236" t="n">
        <v/>
      </c>
      <c r="H236" t="inlineStr">
        <is>
          <t>2023-08-04 | Buy | VGS | 13.0000 unit @ A$108.94 / unit</t>
        </is>
      </c>
      <c r="I236" t="inlineStr">
        <is>
          <t>VGS</t>
        </is>
      </c>
      <c r="J236" s="6" t="n">
        <v>45142</v>
      </c>
      <c r="K236" t="n">
        <v>13</v>
      </c>
      <c r="L236" t="inlineStr">
        <is>
          <t>AUD</t>
        </is>
      </c>
      <c r="M236" t="n">
        <v>108.94</v>
      </c>
      <c r="N236" t="inlineStr">
        <is>
          <t>AUD</t>
        </is>
      </c>
      <c r="O236" t="n">
        <v>9.5</v>
      </c>
      <c r="P236" t="inlineStr"/>
      <c r="Q236" t="inlineStr">
        <is>
          <t>FY2023/24</t>
        </is>
      </c>
      <c r="R236" t="inlineStr">
        <is>
          <t>AUD</t>
        </is>
      </c>
      <c r="S236" t="n">
        <v>9.5</v>
      </c>
      <c r="T236" t="inlineStr">
        <is>
          <t>AUD</t>
        </is>
      </c>
      <c r="U236" t="n">
        <v>0.730769</v>
      </c>
      <c r="V236" t="inlineStr">
        <is>
          <t>AUD</t>
        </is>
      </c>
      <c r="W236" t="n">
        <v>108.94</v>
      </c>
      <c r="X236" t="b">
        <v>1</v>
      </c>
      <c r="Y236" s="3" t="inlineStr">
        <is>
          <t>2023-08-04 | PARCEL |  VGS | 13.0000 unit @ A$108.94 / unit | Total cost base = A$1,425.72 |</t>
        </is>
      </c>
      <c r="Z236" t="n">
        <v/>
      </c>
    </row>
    <row r="237">
      <c r="A237" s="5" t="inlineStr">
        <is>
          <t>01a1212c-7ca9-77c5-bb3f-a4e5075e305f</t>
        </is>
      </c>
      <c r="B237" t="inlineStr">
        <is>
          <t>B236</t>
        </is>
      </c>
      <c r="C237" s="5" t="inlineStr">
        <is>
          <t>01a1212c-4b57-70cf-80fd-c2192cb3bf81</t>
        </is>
      </c>
      <c r="D237" s="4" t="n">
        <v>46304.6241442133</v>
      </c>
      <c r="E237" s="4" t="n">
        <v>46304.62414421335</v>
      </c>
      <c r="F237" t="b">
        <v>1</v>
      </c>
      <c r="G237" t="n">
        <v/>
      </c>
      <c r="H237" t="inlineStr">
        <is>
          <t>2023-08-07 | Buy | AAPL | 3.0000 unit @ $178.85 / unit</t>
        </is>
      </c>
      <c r="I237" t="inlineStr">
        <is>
          <t>AAPL</t>
        </is>
      </c>
      <c r="J237" s="6" t="n">
        <v>45145</v>
      </c>
      <c r="K237" t="n">
        <v>3</v>
      </c>
      <c r="L237" t="inlineStr">
        <is>
          <t>USD</t>
        </is>
      </c>
      <c r="M237" t="n">
        <v>178.85</v>
      </c>
      <c r="N237" t="inlineStr">
        <is>
          <t>USD</t>
        </is>
      </c>
      <c r="O237" t="n">
        <v>5</v>
      </c>
      <c r="P237" t="inlineStr"/>
      <c r="Q237" t="inlineStr">
        <is>
          <t>FY2023/24</t>
        </is>
      </c>
      <c r="R237" t="inlineStr">
        <is>
          <t>AUD</t>
        </is>
      </c>
      <c r="S237" t="n">
        <v>7.5</v>
      </c>
      <c r="T237" t="inlineStr">
        <is>
          <t>AUD</t>
        </is>
      </c>
      <c r="U237" t="n">
        <v>2.5</v>
      </c>
      <c r="V237" t="inlineStr">
        <is>
          <t>AUD</t>
        </is>
      </c>
      <c r="W237" t="n">
        <v>268.275</v>
      </c>
      <c r="X237" t="b">
        <v>1</v>
      </c>
      <c r="Y237" s="3" t="inlineStr">
        <is>
          <t>2023-08-07 | PARCEL |  AAPL | 3.0000 unit @ A$268.28 / unit | Total cost base = A$812.32 |</t>
        </is>
      </c>
      <c r="Z237" s="5" t="inlineStr">
        <is>
          <t>01a1212c-7cab-719c-8d1b-f59489f131fb</t>
        </is>
      </c>
    </row>
    <row r="238">
      <c r="A238" s="5" t="inlineStr">
        <is>
          <t>01a1212c-7cc2-7692-94a3-4f36f4bd5ccd</t>
        </is>
      </c>
      <c r="B238" t="inlineStr">
        <is>
          <t>B237</t>
        </is>
      </c>
      <c r="C238" s="5" t="inlineStr">
        <is>
          <t>01a1212c-4b57-70cf-80fd-c2192cb3bf81</t>
        </is>
      </c>
      <c r="D238" s="4" t="n">
        <v>46304.62414448118</v>
      </c>
      <c r="E238" s="4" t="n">
        <v>46304.62414448125</v>
      </c>
      <c r="F238" t="b">
        <v>1</v>
      </c>
      <c r="G238" t="n">
        <v/>
      </c>
      <c r="H238" t="inlineStr">
        <is>
          <t>2023-09-04 | Buy | A200 | 10.0000 unit @ A$122.68 / unit</t>
        </is>
      </c>
      <c r="I238" t="inlineStr">
        <is>
          <t>A200</t>
        </is>
      </c>
      <c r="J238" s="6" t="n">
        <v>45173</v>
      </c>
      <c r="K238" t="n">
        <v>10</v>
      </c>
      <c r="L238" t="inlineStr">
        <is>
          <t>AUD</t>
        </is>
      </c>
      <c r="M238" t="n">
        <v>122.68</v>
      </c>
      <c r="N238" t="inlineStr">
        <is>
          <t>AUD</t>
        </is>
      </c>
      <c r="O238" t="n">
        <v>9.5</v>
      </c>
      <c r="P238" t="inlineStr"/>
      <c r="Q238" t="inlineStr">
        <is>
          <t>FY2023/24</t>
        </is>
      </c>
      <c r="R238" t="inlineStr">
        <is>
          <t>AUD</t>
        </is>
      </c>
      <c r="S238" t="n">
        <v>9.5</v>
      </c>
      <c r="T238" t="inlineStr">
        <is>
          <t>AUD</t>
        </is>
      </c>
      <c r="U238" t="n">
        <v>0.95</v>
      </c>
      <c r="V238" t="inlineStr">
        <is>
          <t>AUD</t>
        </is>
      </c>
      <c r="W238" t="n">
        <v>122.68</v>
      </c>
      <c r="X238" t="b">
        <v>1</v>
      </c>
      <c r="Y238" s="3" t="inlineStr">
        <is>
          <t>2023-09-04 | PARCEL |  A200 | 10.0000 unit @ A$122.68 / unit | Total cost base = A$1,236.30 |</t>
        </is>
      </c>
      <c r="Z238" t="n">
        <v/>
      </c>
    </row>
    <row r="239">
      <c r="A239" s="5" t="inlineStr">
        <is>
          <t>01a1212c-7cd7-717b-846e-5879ae5326fc</t>
        </is>
      </c>
      <c r="B239" t="inlineStr">
        <is>
          <t>B238</t>
        </is>
      </c>
      <c r="C239" s="5" t="inlineStr">
        <is>
          <t>01a1212c-4b57-70cf-80fd-c2192cb3bf81</t>
        </is>
      </c>
      <c r="D239" s="4" t="n">
        <v>46304.62414472427</v>
      </c>
      <c r="E239" s="4" t="n">
        <v>46304.62414472434</v>
      </c>
      <c r="F239" t="b">
        <v>1</v>
      </c>
      <c r="G239" t="n">
        <v/>
      </c>
      <c r="H239" t="inlineStr">
        <is>
          <t>2023-09-04 | Buy | VGS | 13.0000 unit @ A$110.32 / unit</t>
        </is>
      </c>
      <c r="I239" t="inlineStr">
        <is>
          <t>VGS</t>
        </is>
      </c>
      <c r="J239" s="6" t="n">
        <v>45173</v>
      </c>
      <c r="K239" t="n">
        <v>13</v>
      </c>
      <c r="L239" t="inlineStr">
        <is>
          <t>AUD</t>
        </is>
      </c>
      <c r="M239" t="n">
        <v>110.32</v>
      </c>
      <c r="N239" t="inlineStr">
        <is>
          <t>AUD</t>
        </is>
      </c>
      <c r="O239" t="n">
        <v>9.5</v>
      </c>
      <c r="P239" t="inlineStr"/>
      <c r="Q239" t="inlineStr">
        <is>
          <t>FY2023/24</t>
        </is>
      </c>
      <c r="R239" t="inlineStr">
        <is>
          <t>AUD</t>
        </is>
      </c>
      <c r="S239" t="n">
        <v>9.5</v>
      </c>
      <c r="T239" t="inlineStr">
        <is>
          <t>AUD</t>
        </is>
      </c>
      <c r="U239" t="n">
        <v>0.730769</v>
      </c>
      <c r="V239" t="inlineStr">
        <is>
          <t>AUD</t>
        </is>
      </c>
      <c r="W239" t="n">
        <v>110.32</v>
      </c>
      <c r="X239" t="b">
        <v>1</v>
      </c>
      <c r="Y239" s="3" t="inlineStr">
        <is>
          <t>2023-09-04 | PARCEL |  VGS | 13.0000 unit @ A$110.32 / unit | Total cost base = A$1,443.66 |</t>
        </is>
      </c>
      <c r="Z239" t="n">
        <v/>
      </c>
    </row>
    <row r="240">
      <c r="A240" s="5" t="inlineStr">
        <is>
          <t>01a1212c-7cec-7357-b0aa-2c93c905059d</t>
        </is>
      </c>
      <c r="B240" t="inlineStr">
        <is>
          <t>B239</t>
        </is>
      </c>
      <c r="C240" s="5" t="inlineStr">
        <is>
          <t>01a1212c-4b57-70cf-80fd-c2192cb3bf81</t>
        </is>
      </c>
      <c r="D240" s="4" t="n">
        <v>46304.62414498523</v>
      </c>
      <c r="E240" s="4" t="n">
        <v>46304.62414498529</v>
      </c>
      <c r="F240" t="b">
        <v>1</v>
      </c>
      <c r="G240" t="n">
        <v/>
      </c>
      <c r="H240" t="inlineStr">
        <is>
          <t>2023-09-05 | Buy | AAPL | 1.0000 unit @ $189.70 / unit</t>
        </is>
      </c>
      <c r="I240" t="inlineStr">
        <is>
          <t>AAPL</t>
        </is>
      </c>
      <c r="J240" s="6" t="n">
        <v>45174</v>
      </c>
      <c r="K240" t="n">
        <v>1</v>
      </c>
      <c r="L240" t="inlineStr">
        <is>
          <t>USD</t>
        </is>
      </c>
      <c r="M240" t="n">
        <v>189.7</v>
      </c>
      <c r="N240" t="inlineStr">
        <is>
          <t>USD</t>
        </is>
      </c>
      <c r="O240" t="n">
        <v>5</v>
      </c>
      <c r="P240" t="inlineStr"/>
      <c r="Q240" t="inlineStr">
        <is>
          <t>FY2023/24</t>
        </is>
      </c>
      <c r="R240" t="inlineStr">
        <is>
          <t>AUD</t>
        </is>
      </c>
      <c r="S240" t="n">
        <v>7.5</v>
      </c>
      <c r="T240" t="inlineStr">
        <is>
          <t>AUD</t>
        </is>
      </c>
      <c r="U240" t="n">
        <v>7.5</v>
      </c>
      <c r="V240" t="inlineStr">
        <is>
          <t>AUD</t>
        </is>
      </c>
      <c r="W240" t="n">
        <v>284.55</v>
      </c>
      <c r="X240" t="b">
        <v>1</v>
      </c>
      <c r="Y240" s="3" t="inlineStr">
        <is>
          <t>2023-09-05 | PARCEL |  AAPL | 1.0000 unit @ A$284.55 / unit | Total cost base = A$292.05 |</t>
        </is>
      </c>
      <c r="Z240" s="5" t="inlineStr">
        <is>
          <t>01a1212c-7ced-7286-a18e-5738cd16e70c</t>
        </is>
      </c>
    </row>
    <row r="241">
      <c r="A241" s="5" t="inlineStr">
        <is>
          <t>01a1212c-7d03-757d-8e89-22e9f088bd9e</t>
        </is>
      </c>
      <c r="B241" t="inlineStr">
        <is>
          <t>B240</t>
        </is>
      </c>
      <c r="C241" s="5" t="inlineStr">
        <is>
          <t>01a1212c-4b57-70cf-80fd-c2192cb3bf81</t>
        </is>
      </c>
      <c r="D241" s="4" t="n">
        <v>46304.62414525051</v>
      </c>
      <c r="E241" s="4" t="n">
        <v>46304.62414525056</v>
      </c>
      <c r="F241" t="b">
        <v>1</v>
      </c>
      <c r="G241" t="n">
        <v/>
      </c>
      <c r="H241" t="inlineStr">
        <is>
          <t>2023-09-11 | Buy | AAPL | 2.0000 unit @ $179.36 / unit</t>
        </is>
      </c>
      <c r="I241" t="inlineStr">
        <is>
          <t>AAPL</t>
        </is>
      </c>
      <c r="J241" s="6" t="n">
        <v>45180</v>
      </c>
      <c r="K241" t="n">
        <v>2</v>
      </c>
      <c r="L241" t="inlineStr">
        <is>
          <t>USD</t>
        </is>
      </c>
      <c r="M241" t="n">
        <v>179.36</v>
      </c>
      <c r="N241" t="inlineStr">
        <is>
          <t>USD</t>
        </is>
      </c>
      <c r="O241" t="n">
        <v>5</v>
      </c>
      <c r="P241" t="inlineStr"/>
      <c r="Q241" t="inlineStr">
        <is>
          <t>FY2023/24</t>
        </is>
      </c>
      <c r="R241" t="inlineStr">
        <is>
          <t>AUD</t>
        </is>
      </c>
      <c r="S241" t="n">
        <v>7.5</v>
      </c>
      <c r="T241" t="inlineStr">
        <is>
          <t>AUD</t>
        </is>
      </c>
      <c r="U241" t="n">
        <v>3.75</v>
      </c>
      <c r="V241" t="inlineStr">
        <is>
          <t>AUD</t>
        </is>
      </c>
      <c r="W241" t="n">
        <v>269.04</v>
      </c>
      <c r="X241" t="b">
        <v>1</v>
      </c>
      <c r="Y241" s="3" t="inlineStr">
        <is>
          <t>2023-09-11 | PARCEL |  AAPL | 2.0000 unit @ A$269.04 / unit | Total cost base = A$545.58 |</t>
        </is>
      </c>
      <c r="Z241" s="5" t="inlineStr">
        <is>
          <t>01a1212c-7d04-752b-8b9b-748c1a3f5629</t>
        </is>
      </c>
    </row>
    <row r="242">
      <c r="A242" s="5" t="inlineStr">
        <is>
          <t>01a1212c-7d1a-7102-85ff-b64c834589fb</t>
        </is>
      </c>
      <c r="B242" t="inlineStr">
        <is>
          <t>B241</t>
        </is>
      </c>
      <c r="C242" s="5" t="inlineStr">
        <is>
          <t>01a1212c-4b57-70cf-80fd-c2192cb3bf81</t>
        </is>
      </c>
      <c r="D242" s="4" t="n">
        <v>46304.62414552074</v>
      </c>
      <c r="E242" s="4" t="n">
        <v>46304.6241455208</v>
      </c>
      <c r="F242" t="b">
        <v>1</v>
      </c>
      <c r="G242" t="n">
        <v/>
      </c>
      <c r="H242" t="inlineStr">
        <is>
          <t>2023-09-22 | Buy | MSFT | 1.0000 unit @ $317.01 / unit</t>
        </is>
      </c>
      <c r="I242" t="inlineStr">
        <is>
          <t>MSFT</t>
        </is>
      </c>
      <c r="J242" s="6" t="n">
        <v>45191</v>
      </c>
      <c r="K242" t="n">
        <v>1</v>
      </c>
      <c r="L242" t="inlineStr">
        <is>
          <t>USD</t>
        </is>
      </c>
      <c r="M242" t="n">
        <v>317.01</v>
      </c>
      <c r="N242" t="inlineStr">
        <is>
          <t>USD</t>
        </is>
      </c>
      <c r="O242" t="n">
        <v>5</v>
      </c>
      <c r="P242" t="inlineStr"/>
      <c r="Q242" t="inlineStr">
        <is>
          <t>FY2023/24</t>
        </is>
      </c>
      <c r="R242" t="inlineStr">
        <is>
          <t>AUD</t>
        </is>
      </c>
      <c r="S242" t="n">
        <v>7.5</v>
      </c>
      <c r="T242" t="inlineStr">
        <is>
          <t>AUD</t>
        </is>
      </c>
      <c r="U242" t="n">
        <v>7.5</v>
      </c>
      <c r="V242" t="inlineStr">
        <is>
          <t>AUD</t>
        </is>
      </c>
      <c r="W242" t="n">
        <v>475.515</v>
      </c>
      <c r="X242" t="b">
        <v>1</v>
      </c>
      <c r="Y242" s="3" t="inlineStr">
        <is>
          <t>2023-09-22 | PARCEL |  MSFT | 1.0000 unit @ A$475.52 / unit | Total cost base = A$483.02 |</t>
        </is>
      </c>
      <c r="Z242" s="5" t="inlineStr">
        <is>
          <t>01a1212c-7d1c-721d-9d4f-ed3b3654f9df</t>
        </is>
      </c>
    </row>
    <row r="243">
      <c r="A243" s="5" t="inlineStr">
        <is>
          <t>01a1212c-7d32-759a-83b0-5086474b602a</t>
        </is>
      </c>
      <c r="B243" t="inlineStr">
        <is>
          <t>B242</t>
        </is>
      </c>
      <c r="C243" s="5" t="inlineStr">
        <is>
          <t>01a1212c-4b57-70cf-80fd-c2192cb3bf81</t>
        </is>
      </c>
      <c r="D243" s="4" t="n">
        <v>46304.62414577937</v>
      </c>
      <c r="E243" s="4" t="n">
        <v>46304.62414577945</v>
      </c>
      <c r="F243" t="b">
        <v>1</v>
      </c>
      <c r="G243" t="n">
        <v/>
      </c>
      <c r="H243" t="inlineStr">
        <is>
          <t>2023-10-06 | Buy | A200 | 7.0000 unit @ A$115.56 / unit</t>
        </is>
      </c>
      <c r="I243" t="inlineStr">
        <is>
          <t>A200</t>
        </is>
      </c>
      <c r="J243" s="6" t="n">
        <v>45205</v>
      </c>
      <c r="K243" t="n">
        <v>7</v>
      </c>
      <c r="L243" t="inlineStr">
        <is>
          <t>AUD</t>
        </is>
      </c>
      <c r="M243" t="n">
        <v>115.56</v>
      </c>
      <c r="N243" t="inlineStr">
        <is>
          <t>AUD</t>
        </is>
      </c>
      <c r="O243" t="n">
        <v>9.5</v>
      </c>
      <c r="P243" t="inlineStr"/>
      <c r="Q243" t="inlineStr">
        <is>
          <t>FY2023/24</t>
        </is>
      </c>
      <c r="R243" t="inlineStr">
        <is>
          <t>AUD</t>
        </is>
      </c>
      <c r="S243" t="n">
        <v>9.5</v>
      </c>
      <c r="T243" t="inlineStr">
        <is>
          <t>AUD</t>
        </is>
      </c>
      <c r="U243" t="n">
        <v>1.357143</v>
      </c>
      <c r="V243" t="inlineStr">
        <is>
          <t>AUD</t>
        </is>
      </c>
      <c r="W243" t="n">
        <v>115.56</v>
      </c>
      <c r="X243" t="b">
        <v>1</v>
      </c>
      <c r="Y243" s="3" t="inlineStr">
        <is>
          <t>2023-10-06 | PARCEL |  A200 | 7.0000 unit @ A$115.56 / unit | Total cost base = A$818.42 |</t>
        </is>
      </c>
      <c r="Z243" t="n">
        <v/>
      </c>
    </row>
    <row r="244">
      <c r="A244" s="5" t="inlineStr">
        <is>
          <t>01a1212c-7d49-7310-884a-71f3a5e42302</t>
        </is>
      </c>
      <c r="B244" t="inlineStr">
        <is>
          <t>B243</t>
        </is>
      </c>
      <c r="C244" s="5" t="inlineStr">
        <is>
          <t>01a1212c-4b57-70cf-80fd-c2192cb3bf81</t>
        </is>
      </c>
      <c r="D244" s="4" t="n">
        <v>46304.62414604411</v>
      </c>
      <c r="E244" s="4" t="n">
        <v>46304.62414604418</v>
      </c>
      <c r="F244" t="b">
        <v>1</v>
      </c>
      <c r="G244" t="n">
        <v/>
      </c>
      <c r="H244" t="inlineStr">
        <is>
          <t>2023-10-06 | Buy | VGS | 9.0000 unit @ A$105.01 / unit</t>
        </is>
      </c>
      <c r="I244" t="inlineStr">
        <is>
          <t>VGS</t>
        </is>
      </c>
      <c r="J244" s="6" t="n">
        <v>45205</v>
      </c>
      <c r="K244" t="n">
        <v>9</v>
      </c>
      <c r="L244" t="inlineStr">
        <is>
          <t>AUD</t>
        </is>
      </c>
      <c r="M244" t="n">
        <v>105.01</v>
      </c>
      <c r="N244" t="inlineStr">
        <is>
          <t>AUD</t>
        </is>
      </c>
      <c r="O244" t="n">
        <v>9.5</v>
      </c>
      <c r="P244" t="inlineStr"/>
      <c r="Q244" t="inlineStr">
        <is>
          <t>FY2023/24</t>
        </is>
      </c>
      <c r="R244" t="inlineStr">
        <is>
          <t>AUD</t>
        </is>
      </c>
      <c r="S244" t="n">
        <v>9.5</v>
      </c>
      <c r="T244" t="inlineStr">
        <is>
          <t>AUD</t>
        </is>
      </c>
      <c r="U244" t="n">
        <v>1.055556</v>
      </c>
      <c r="V244" t="inlineStr">
        <is>
          <t>AUD</t>
        </is>
      </c>
      <c r="W244" t="n">
        <v>105.01</v>
      </c>
      <c r="X244" t="b">
        <v>1</v>
      </c>
      <c r="Y244" s="3" t="inlineStr">
        <is>
          <t>2023-10-06 | PARCEL |  VGS | 9.0000 unit @ A$105.01 / unit | Total cost base = A$954.59 |</t>
        </is>
      </c>
      <c r="Z244" t="n">
        <v/>
      </c>
    </row>
    <row r="245">
      <c r="A245" s="5" t="inlineStr">
        <is>
          <t>01a1212c-7d5e-7139-b8c5-c78923d8a5f3</t>
        </is>
      </c>
      <c r="B245" t="inlineStr">
        <is>
          <t>B244</t>
        </is>
      </c>
      <c r="C245" s="5" t="inlineStr">
        <is>
          <t>01a1212c-4b57-70cf-80fd-c2192cb3bf81</t>
        </is>
      </c>
      <c r="D245" s="4" t="n">
        <v>46304.62414630992</v>
      </c>
      <c r="E245" s="4" t="n">
        <v>46304.62414630998</v>
      </c>
      <c r="F245" t="b">
        <v>1</v>
      </c>
      <c r="G245" t="n">
        <v/>
      </c>
      <c r="H245" t="inlineStr">
        <is>
          <t>2023-10-31 | Buy | AMZN | 6.0000 unit @ $133.09 / unit</t>
        </is>
      </c>
      <c r="I245" t="inlineStr">
        <is>
          <t>AMZN</t>
        </is>
      </c>
      <c r="J245" s="6" t="n">
        <v>45230</v>
      </c>
      <c r="K245" t="n">
        <v>6</v>
      </c>
      <c r="L245" t="inlineStr">
        <is>
          <t>USD</t>
        </is>
      </c>
      <c r="M245" t="n">
        <v>133.09</v>
      </c>
      <c r="N245" t="inlineStr">
        <is>
          <t>USD</t>
        </is>
      </c>
      <c r="O245" t="n">
        <v>5</v>
      </c>
      <c r="P245" t="inlineStr"/>
      <c r="Q245" t="inlineStr">
        <is>
          <t>FY2023/24</t>
        </is>
      </c>
      <c r="R245" t="inlineStr">
        <is>
          <t>AUD</t>
        </is>
      </c>
      <c r="S245" t="n">
        <v>7.5</v>
      </c>
      <c r="T245" t="inlineStr">
        <is>
          <t>AUD</t>
        </is>
      </c>
      <c r="U245" t="n">
        <v>1.25</v>
      </c>
      <c r="V245" t="inlineStr">
        <is>
          <t>AUD</t>
        </is>
      </c>
      <c r="W245" t="n">
        <v>199.635</v>
      </c>
      <c r="X245" t="b">
        <v>1</v>
      </c>
      <c r="Y245" s="3" t="inlineStr">
        <is>
          <t>2023-10-31 | PARCEL |  AMZN | 6.0000 unit @ A$199.64 / unit | Total cost base = A$1,205.31 |</t>
        </is>
      </c>
      <c r="Z245" s="5" t="inlineStr">
        <is>
          <t>01a1212c-7d60-75bd-86f3-2d2585a5e4ad</t>
        </is>
      </c>
    </row>
    <row r="246">
      <c r="A246" s="5" t="inlineStr">
        <is>
          <t>01a1212c-7d75-7458-a245-7701e970fd3a</t>
        </is>
      </c>
      <c r="B246" t="inlineStr">
        <is>
          <t>B245</t>
        </is>
      </c>
      <c r="C246" s="5" t="inlineStr">
        <is>
          <t>01a1212c-4b57-70cf-80fd-c2192cb3bf81</t>
        </is>
      </c>
      <c r="D246" s="4" t="n">
        <v>46304.624146555</v>
      </c>
      <c r="E246" s="4" t="n">
        <v>46304.62414655506</v>
      </c>
      <c r="F246" t="b">
        <v>1</v>
      </c>
      <c r="G246" t="n">
        <v/>
      </c>
      <c r="H246" t="inlineStr">
        <is>
          <t>2023-11-02 | Buy | A200 | 13.0000 unit @ A$114.66 / unit</t>
        </is>
      </c>
      <c r="I246" t="inlineStr">
        <is>
          <t>A200</t>
        </is>
      </c>
      <c r="J246" s="6" t="n">
        <v>45232</v>
      </c>
      <c r="K246" t="n">
        <v>13</v>
      </c>
      <c r="L246" t="inlineStr">
        <is>
          <t>AUD</t>
        </is>
      </c>
      <c r="M246" t="n">
        <v>114.66</v>
      </c>
      <c r="N246" t="inlineStr">
        <is>
          <t>AUD</t>
        </is>
      </c>
      <c r="O246" t="n">
        <v>9.5</v>
      </c>
      <c r="P246" t="inlineStr"/>
      <c r="Q246" t="inlineStr">
        <is>
          <t>FY2023/24</t>
        </is>
      </c>
      <c r="R246" t="inlineStr">
        <is>
          <t>AUD</t>
        </is>
      </c>
      <c r="S246" t="n">
        <v>9.5</v>
      </c>
      <c r="T246" t="inlineStr">
        <is>
          <t>AUD</t>
        </is>
      </c>
      <c r="U246" t="n">
        <v>0.730769</v>
      </c>
      <c r="V246" t="inlineStr">
        <is>
          <t>AUD</t>
        </is>
      </c>
      <c r="W246" t="n">
        <v>114.66</v>
      </c>
      <c r="X246" t="b">
        <v>1</v>
      </c>
      <c r="Y246" s="3" t="inlineStr">
        <is>
          <t>2023-11-02 | PARCEL |  A200 | 13.0000 unit @ A$114.66 / unit | Total cost base = A$1,500.08 |</t>
        </is>
      </c>
      <c r="Z246" t="n">
        <v/>
      </c>
    </row>
    <row r="247">
      <c r="A247" s="5" t="inlineStr">
        <is>
          <t>01a1212c-7d8a-75ca-9ffd-4e435c411561</t>
        </is>
      </c>
      <c r="B247" t="inlineStr">
        <is>
          <t>B246</t>
        </is>
      </c>
      <c r="C247" s="5" t="inlineStr">
        <is>
          <t>01a1212c-4b57-70cf-80fd-c2192cb3bf81</t>
        </is>
      </c>
      <c r="D247" s="4" t="n">
        <v>46304.62414680194</v>
      </c>
      <c r="E247" s="4" t="n">
        <v>46304.62414680202</v>
      </c>
      <c r="F247" t="b">
        <v>1</v>
      </c>
      <c r="G247" t="n">
        <v/>
      </c>
      <c r="H247" t="inlineStr">
        <is>
          <t>2023-11-02 | Buy | VGS | 18.0000 unit @ A$103.99 / unit</t>
        </is>
      </c>
      <c r="I247" t="inlineStr">
        <is>
          <t>VGS</t>
        </is>
      </c>
      <c r="J247" s="6" t="n">
        <v>45232</v>
      </c>
      <c r="K247" t="n">
        <v>18</v>
      </c>
      <c r="L247" t="inlineStr">
        <is>
          <t>AUD</t>
        </is>
      </c>
      <c r="M247" t="n">
        <v>103.99</v>
      </c>
      <c r="N247" t="inlineStr">
        <is>
          <t>AUD</t>
        </is>
      </c>
      <c r="O247" t="n">
        <v>9.5</v>
      </c>
      <c r="P247" t="inlineStr"/>
      <c r="Q247" t="inlineStr">
        <is>
          <t>FY2023/24</t>
        </is>
      </c>
      <c r="R247" t="inlineStr">
        <is>
          <t>AUD</t>
        </is>
      </c>
      <c r="S247" t="n">
        <v>9.5</v>
      </c>
      <c r="T247" t="inlineStr">
        <is>
          <t>AUD</t>
        </is>
      </c>
      <c r="U247" t="n">
        <v>0.527778</v>
      </c>
      <c r="V247" t="inlineStr">
        <is>
          <t>AUD</t>
        </is>
      </c>
      <c r="W247" t="n">
        <v>103.99</v>
      </c>
      <c r="X247" t="b">
        <v>1</v>
      </c>
      <c r="Y247" s="3" t="inlineStr">
        <is>
          <t>2023-11-02 | PARCEL |  VGS | 18.0000 unit @ A$103.99 / unit | Total cost base = A$1,881.32 |</t>
        </is>
      </c>
      <c r="Z247" t="n">
        <v/>
      </c>
    </row>
    <row r="248">
      <c r="A248" s="5" t="inlineStr">
        <is>
          <t>01a1212c-7d9f-77e1-8fdc-261ea1c01224</t>
        </is>
      </c>
      <c r="B248" t="inlineStr">
        <is>
          <t>B247</t>
        </is>
      </c>
      <c r="C248" s="5" t="inlineStr">
        <is>
          <t>01a1212c-4b57-70cf-80fd-c2192cb3bf81</t>
        </is>
      </c>
      <c r="D248" s="4" t="n">
        <v>46304.6241470599</v>
      </c>
      <c r="E248" s="4" t="n">
        <v>46304.62414705996</v>
      </c>
      <c r="F248" t="b">
        <v>1</v>
      </c>
      <c r="G248" t="n">
        <v/>
      </c>
      <c r="H248" t="inlineStr">
        <is>
          <t>2023-11-14 | Buy | AAPL | 2.0000 unit @ $187.44 / unit</t>
        </is>
      </c>
      <c r="I248" t="inlineStr">
        <is>
          <t>AAPL</t>
        </is>
      </c>
      <c r="J248" s="6" t="n">
        <v>45244</v>
      </c>
      <c r="K248" t="n">
        <v>2</v>
      </c>
      <c r="L248" t="inlineStr">
        <is>
          <t>USD</t>
        </is>
      </c>
      <c r="M248" t="n">
        <v>187.44</v>
      </c>
      <c r="N248" t="inlineStr">
        <is>
          <t>USD</t>
        </is>
      </c>
      <c r="O248" t="n">
        <v>5</v>
      </c>
      <c r="P248" t="inlineStr"/>
      <c r="Q248" t="inlineStr">
        <is>
          <t>FY2023/24</t>
        </is>
      </c>
      <c r="R248" t="inlineStr">
        <is>
          <t>AUD</t>
        </is>
      </c>
      <c r="S248" t="n">
        <v>7.5</v>
      </c>
      <c r="T248" t="inlineStr">
        <is>
          <t>AUD</t>
        </is>
      </c>
      <c r="U248" t="n">
        <v>3.75</v>
      </c>
      <c r="V248" t="inlineStr">
        <is>
          <t>AUD</t>
        </is>
      </c>
      <c r="W248" t="n">
        <v>281.16</v>
      </c>
      <c r="X248" t="b">
        <v>1</v>
      </c>
      <c r="Y248" s="3" t="inlineStr">
        <is>
          <t>2023-11-14 | PARCEL |  AAPL | 2.0000 unit @ A$281.16 / unit | Total cost base = A$569.82 |</t>
        </is>
      </c>
      <c r="Z248" s="5" t="inlineStr">
        <is>
          <t>01a1212c-7da1-7412-8bf8-3b2f904b8c42</t>
        </is>
      </c>
    </row>
    <row r="249">
      <c r="A249" s="5" t="inlineStr">
        <is>
          <t>01a1212c-7db6-7567-a129-524e8954ef7e</t>
        </is>
      </c>
      <c r="B249" t="inlineStr">
        <is>
          <t>B248</t>
        </is>
      </c>
      <c r="C249" s="5" t="inlineStr">
        <is>
          <t>01a1212c-4b57-70cf-80fd-c2192cb3bf81</t>
        </is>
      </c>
      <c r="D249" s="4" t="n">
        <v>46304.62414730941</v>
      </c>
      <c r="E249" s="4" t="n">
        <v>46304.62414730948</v>
      </c>
      <c r="F249" t="b">
        <v>1</v>
      </c>
      <c r="G249" t="n">
        <v/>
      </c>
      <c r="H249" t="inlineStr">
        <is>
          <t>2023-12-04 | Buy | A200 | 12.0000 unit @ A$119.00 / unit</t>
        </is>
      </c>
      <c r="I249" t="inlineStr">
        <is>
          <t>A200</t>
        </is>
      </c>
      <c r="J249" s="6" t="n">
        <v>45264</v>
      </c>
      <c r="K249" t="n">
        <v>12</v>
      </c>
      <c r="L249" t="inlineStr">
        <is>
          <t>AUD</t>
        </is>
      </c>
      <c r="M249" t="n">
        <v>119</v>
      </c>
      <c r="N249" t="inlineStr">
        <is>
          <t>AUD</t>
        </is>
      </c>
      <c r="O249" t="n">
        <v>9.5</v>
      </c>
      <c r="P249" t="inlineStr"/>
      <c r="Q249" t="inlineStr">
        <is>
          <t>FY2023/24</t>
        </is>
      </c>
      <c r="R249" t="inlineStr">
        <is>
          <t>AUD</t>
        </is>
      </c>
      <c r="S249" t="n">
        <v>9.5</v>
      </c>
      <c r="T249" t="inlineStr">
        <is>
          <t>AUD</t>
        </is>
      </c>
      <c r="U249" t="n">
        <v>0.791667</v>
      </c>
      <c r="V249" t="inlineStr">
        <is>
          <t>AUD</t>
        </is>
      </c>
      <c r="W249" t="n">
        <v>119</v>
      </c>
      <c r="X249" t="b">
        <v>1</v>
      </c>
      <c r="Y249" s="3" t="inlineStr">
        <is>
          <t>2023-12-04 | PARCEL |  A200 | 12.0000 unit @ A$119.00 / unit | Total cost base = A$1,437.50 |</t>
        </is>
      </c>
      <c r="Z249" t="n">
        <v/>
      </c>
    </row>
    <row r="250">
      <c r="A250" s="5" t="inlineStr">
        <is>
          <t>01a1212c-7dcb-752e-975c-24e12e0d49f3</t>
        </is>
      </c>
      <c r="B250" t="inlineStr">
        <is>
          <t>B249</t>
        </is>
      </c>
      <c r="C250" s="5" t="inlineStr">
        <is>
          <t>01a1212c-4b57-70cf-80fd-c2192cb3bf81</t>
        </is>
      </c>
      <c r="D250" s="4" t="n">
        <v>46304.62414755323</v>
      </c>
      <c r="E250" s="4" t="n">
        <v>46304.6241475533</v>
      </c>
      <c r="F250" t="b">
        <v>1</v>
      </c>
      <c r="G250" t="n">
        <v/>
      </c>
      <c r="H250" t="inlineStr">
        <is>
          <t>2023-12-04 | Buy | VGS | 16.0000 unit @ A$108.70 / unit</t>
        </is>
      </c>
      <c r="I250" t="inlineStr">
        <is>
          <t>VGS</t>
        </is>
      </c>
      <c r="J250" s="6" t="n">
        <v>45264</v>
      </c>
      <c r="K250" t="n">
        <v>16</v>
      </c>
      <c r="L250" t="inlineStr">
        <is>
          <t>AUD</t>
        </is>
      </c>
      <c r="M250" t="n">
        <v>108.7</v>
      </c>
      <c r="N250" t="inlineStr">
        <is>
          <t>AUD</t>
        </is>
      </c>
      <c r="O250" t="n">
        <v>9.5</v>
      </c>
      <c r="P250" t="inlineStr"/>
      <c r="Q250" t="inlineStr">
        <is>
          <t>FY2023/24</t>
        </is>
      </c>
      <c r="R250" t="inlineStr">
        <is>
          <t>AUD</t>
        </is>
      </c>
      <c r="S250" t="n">
        <v>9.5</v>
      </c>
      <c r="T250" t="inlineStr">
        <is>
          <t>AUD</t>
        </is>
      </c>
      <c r="U250" t="n">
        <v>0.59375</v>
      </c>
      <c r="V250" t="inlineStr">
        <is>
          <t>AUD</t>
        </is>
      </c>
      <c r="W250" t="n">
        <v>108.7</v>
      </c>
      <c r="X250" t="b">
        <v>1</v>
      </c>
      <c r="Y250" s="3" t="inlineStr">
        <is>
          <t>2023-12-04 | PARCEL |  VGS | 16.0000 unit @ A$108.70 / unit | Total cost base = A$1,748.70 |</t>
        </is>
      </c>
      <c r="Z250" t="n">
        <v/>
      </c>
    </row>
    <row r="251">
      <c r="A251" s="5" t="inlineStr">
        <is>
          <t>01a1212c-7de2-737f-a8b8-80a1a55e8801</t>
        </is>
      </c>
      <c r="B251" t="inlineStr">
        <is>
          <t>B250</t>
        </is>
      </c>
      <c r="C251" s="5" t="inlineStr">
        <is>
          <t>01a1212c-4b57-70cf-80fd-c2192cb3bf81</t>
        </is>
      </c>
      <c r="D251" s="4" t="n">
        <v>46304.62414783069</v>
      </c>
      <c r="E251" s="4" t="n">
        <v>46304.62414783075</v>
      </c>
      <c r="F251" t="b">
        <v>1</v>
      </c>
      <c r="G251" t="n">
        <v/>
      </c>
      <c r="H251" t="inlineStr">
        <is>
          <t>2023-12-11 | Buy | MSFT | 1.0000 unit @ $371.30 / unit</t>
        </is>
      </c>
      <c r="I251" t="inlineStr">
        <is>
          <t>MSFT</t>
        </is>
      </c>
      <c r="J251" s="6" t="n">
        <v>45271</v>
      </c>
      <c r="K251" t="n">
        <v>1</v>
      </c>
      <c r="L251" t="inlineStr">
        <is>
          <t>USD</t>
        </is>
      </c>
      <c r="M251" t="n">
        <v>371.3</v>
      </c>
      <c r="N251" t="inlineStr">
        <is>
          <t>USD</t>
        </is>
      </c>
      <c r="O251" t="n">
        <v>5</v>
      </c>
      <c r="P251" t="inlineStr"/>
      <c r="Q251" t="inlineStr">
        <is>
          <t>FY2023/24</t>
        </is>
      </c>
      <c r="R251" t="inlineStr">
        <is>
          <t>AUD</t>
        </is>
      </c>
      <c r="S251" t="n">
        <v>7.5</v>
      </c>
      <c r="T251" t="inlineStr">
        <is>
          <t>AUD</t>
        </is>
      </c>
      <c r="U251" t="n">
        <v>7.5</v>
      </c>
      <c r="V251" t="inlineStr">
        <is>
          <t>AUD</t>
        </is>
      </c>
      <c r="W251" t="n">
        <v>556.95</v>
      </c>
      <c r="X251" t="b">
        <v>1</v>
      </c>
      <c r="Y251" s="3" t="inlineStr">
        <is>
          <t>2023-12-11 | PARCEL |  MSFT | 1.0000 unit @ A$556.95 / unit | Total cost base = A$564.45 |</t>
        </is>
      </c>
      <c r="Z251" s="5" t="inlineStr">
        <is>
          <t>01a1212c-7de3-71a2-b5ac-b766cfec557e</t>
        </is>
      </c>
    </row>
    <row r="252">
      <c r="A252" s="5" t="inlineStr">
        <is>
          <t>01a1212c-7df9-763b-94c5-8a6bbc14e1f3</t>
        </is>
      </c>
      <c r="B252" t="inlineStr">
        <is>
          <t>B251</t>
        </is>
      </c>
      <c r="C252" s="5" t="inlineStr">
        <is>
          <t>01a1212c-4b57-70cf-80fd-c2192cb3bf81</t>
        </is>
      </c>
      <c r="D252" s="4" t="n">
        <v>46304.62414809094</v>
      </c>
      <c r="E252" s="4" t="n">
        <v>46304.62414809101</v>
      </c>
      <c r="F252" t="b">
        <v>1</v>
      </c>
      <c r="G252" t="n">
        <v/>
      </c>
      <c r="H252" t="inlineStr">
        <is>
          <t>2024-01-03 | Buy | A200 | 10.0000 unit @ A$124.78 / unit</t>
        </is>
      </c>
      <c r="I252" t="inlineStr">
        <is>
          <t>A200</t>
        </is>
      </c>
      <c r="J252" s="6" t="n">
        <v>45294</v>
      </c>
      <c r="K252" t="n">
        <v>10</v>
      </c>
      <c r="L252" t="inlineStr">
        <is>
          <t>AUD</t>
        </is>
      </c>
      <c r="M252" t="n">
        <v>124.78</v>
      </c>
      <c r="N252" t="inlineStr">
        <is>
          <t>AUD</t>
        </is>
      </c>
      <c r="O252" t="n">
        <v>9.5</v>
      </c>
      <c r="P252" t="inlineStr"/>
      <c r="Q252" t="inlineStr">
        <is>
          <t>FY2023/24</t>
        </is>
      </c>
      <c r="R252" t="inlineStr">
        <is>
          <t>AUD</t>
        </is>
      </c>
      <c r="S252" t="n">
        <v>9.5</v>
      </c>
      <c r="T252" t="inlineStr">
        <is>
          <t>AUD</t>
        </is>
      </c>
      <c r="U252" t="n">
        <v>0.95</v>
      </c>
      <c r="V252" t="inlineStr">
        <is>
          <t>AUD</t>
        </is>
      </c>
      <c r="W252" t="n">
        <v>124.78</v>
      </c>
      <c r="X252" t="b">
        <v>1</v>
      </c>
      <c r="Y252" s="3" t="inlineStr">
        <is>
          <t>2024-01-03 | PARCEL |  A200 | 10.0000 unit @ A$124.78 / unit | Total cost base = A$1,257.30 |</t>
        </is>
      </c>
      <c r="Z252" t="n">
        <v/>
      </c>
    </row>
    <row r="253">
      <c r="A253" s="5" t="inlineStr">
        <is>
          <t>01a1212c-7e0f-72cd-8586-3671797cc2aa</t>
        </is>
      </c>
      <c r="B253" t="inlineStr">
        <is>
          <t>B252</t>
        </is>
      </c>
      <c r="C253" s="5" t="inlineStr">
        <is>
          <t>01a1212c-4b57-70cf-80fd-c2192cb3bf81</t>
        </is>
      </c>
      <c r="D253" s="4" t="n">
        <v>46304.62414833908</v>
      </c>
      <c r="E253" s="4" t="n">
        <v>46304.62414833913</v>
      </c>
      <c r="F253" t="b">
        <v>1</v>
      </c>
      <c r="G253" t="n">
        <v/>
      </c>
      <c r="H253" t="inlineStr">
        <is>
          <t>2024-01-03 | Buy | VGS | 13.0000 unit @ A$110.03 / unit</t>
        </is>
      </c>
      <c r="I253" t="inlineStr">
        <is>
          <t>VGS</t>
        </is>
      </c>
      <c r="J253" s="6" t="n">
        <v>45294</v>
      </c>
      <c r="K253" t="n">
        <v>13</v>
      </c>
      <c r="L253" t="inlineStr">
        <is>
          <t>AUD</t>
        </is>
      </c>
      <c r="M253" t="n">
        <v>110.03</v>
      </c>
      <c r="N253" t="inlineStr">
        <is>
          <t>AUD</t>
        </is>
      </c>
      <c r="O253" t="n">
        <v>9.5</v>
      </c>
      <c r="P253" t="inlineStr"/>
      <c r="Q253" t="inlineStr">
        <is>
          <t>FY2023/24</t>
        </is>
      </c>
      <c r="R253" t="inlineStr">
        <is>
          <t>AUD</t>
        </is>
      </c>
      <c r="S253" t="n">
        <v>9.5</v>
      </c>
      <c r="T253" t="inlineStr">
        <is>
          <t>AUD</t>
        </is>
      </c>
      <c r="U253" t="n">
        <v>0.730769</v>
      </c>
      <c r="V253" t="inlineStr">
        <is>
          <t>AUD</t>
        </is>
      </c>
      <c r="W253" t="n">
        <v>110.03</v>
      </c>
      <c r="X253" t="b">
        <v>1</v>
      </c>
      <c r="Y253" s="3" t="inlineStr">
        <is>
          <t>2024-01-03 | PARCEL |  VGS | 13.0000 unit @ A$110.03 / unit | Total cost base = A$1,439.89 |</t>
        </is>
      </c>
      <c r="Z253" t="n">
        <v/>
      </c>
    </row>
    <row r="254">
      <c r="A254" s="5" t="inlineStr">
        <is>
          <t>01a1212c-7e24-726a-a7f9-c023fd4c5380</t>
        </is>
      </c>
      <c r="B254" t="inlineStr">
        <is>
          <t>B253</t>
        </is>
      </c>
      <c r="C254" s="5" t="inlineStr">
        <is>
          <t>01a1212c-4b57-70cf-80fd-c2192cb3bf81</t>
        </is>
      </c>
      <c r="D254" s="4" t="n">
        <v>46304.62414858687</v>
      </c>
      <c r="E254" s="4" t="n">
        <v>46304.62414858693</v>
      </c>
      <c r="F254" t="b">
        <v>1</v>
      </c>
      <c r="G254" t="n">
        <v/>
      </c>
      <c r="H254" t="inlineStr">
        <is>
          <t>2024-01-15 | Buy | BHP | 17.0000 unit @ A$47.27 / unit</t>
        </is>
      </c>
      <c r="I254" t="inlineStr">
        <is>
          <t>BHP</t>
        </is>
      </c>
      <c r="J254" s="6" t="n">
        <v>45306</v>
      </c>
      <c r="K254" t="n">
        <v>17</v>
      </c>
      <c r="L254" t="inlineStr">
        <is>
          <t>AUD</t>
        </is>
      </c>
      <c r="M254" t="n">
        <v>47.27</v>
      </c>
      <c r="N254" t="inlineStr">
        <is>
          <t>AUD</t>
        </is>
      </c>
      <c r="O254" t="n">
        <v>19.95</v>
      </c>
      <c r="P254" t="inlineStr"/>
      <c r="Q254" t="inlineStr">
        <is>
          <t>FY2023/24</t>
        </is>
      </c>
      <c r="R254" t="inlineStr">
        <is>
          <t>AUD</t>
        </is>
      </c>
      <c r="S254" t="n">
        <v>19.95</v>
      </c>
      <c r="T254" t="inlineStr">
        <is>
          <t>AUD</t>
        </is>
      </c>
      <c r="U254" t="n">
        <v>1.173529</v>
      </c>
      <c r="V254" t="inlineStr">
        <is>
          <t>AUD</t>
        </is>
      </c>
      <c r="W254" t="n">
        <v>47.27</v>
      </c>
      <c r="X254" t="b">
        <v>1</v>
      </c>
      <c r="Y254" s="3" t="inlineStr">
        <is>
          <t>2024-01-15 | PARCEL |  BHP | 17.0000 unit @ A$47.27 / unit | Total cost base = A$823.54 |</t>
        </is>
      </c>
      <c r="Z254" t="n">
        <v/>
      </c>
    </row>
    <row r="255">
      <c r="A255" s="5" t="inlineStr">
        <is>
          <t>01a1212c-7e38-76d9-a128-9ba18f05f453</t>
        </is>
      </c>
      <c r="B255" t="inlineStr">
        <is>
          <t>B254</t>
        </is>
      </c>
      <c r="C255" s="5" t="inlineStr">
        <is>
          <t>01a1212c-4b57-70cf-80fd-c2192cb3bf81</t>
        </is>
      </c>
      <c r="D255" s="4" t="n">
        <v>46304.62414882801</v>
      </c>
      <c r="E255" s="4" t="n">
        <v>46304.62414882808</v>
      </c>
      <c r="F255" t="b">
        <v>1</v>
      </c>
      <c r="G255" t="n">
        <v/>
      </c>
      <c r="H255" t="inlineStr">
        <is>
          <t>2024-01-16 | Buy | AAPL | 4.0000 unit @ $183.63 / unit</t>
        </is>
      </c>
      <c r="I255" t="inlineStr">
        <is>
          <t>AAPL</t>
        </is>
      </c>
      <c r="J255" s="6" t="n">
        <v>45307</v>
      </c>
      <c r="K255" t="n">
        <v>4</v>
      </c>
      <c r="L255" t="inlineStr">
        <is>
          <t>USD</t>
        </is>
      </c>
      <c r="M255" t="n">
        <v>183.63</v>
      </c>
      <c r="N255" t="inlineStr">
        <is>
          <t>USD</t>
        </is>
      </c>
      <c r="O255" t="n">
        <v>5</v>
      </c>
      <c r="P255" t="inlineStr"/>
      <c r="Q255" t="inlineStr">
        <is>
          <t>FY2023/24</t>
        </is>
      </c>
      <c r="R255" t="inlineStr">
        <is>
          <t>AUD</t>
        </is>
      </c>
      <c r="S255" t="n">
        <v>7.5</v>
      </c>
      <c r="T255" t="inlineStr">
        <is>
          <t>AUD</t>
        </is>
      </c>
      <c r="U255" t="n">
        <v>1.875</v>
      </c>
      <c r="V255" t="inlineStr">
        <is>
          <t>AUD</t>
        </is>
      </c>
      <c r="W255" t="n">
        <v>275.445</v>
      </c>
      <c r="X255" t="b">
        <v>1</v>
      </c>
      <c r="Y255" s="3" t="inlineStr">
        <is>
          <t>2024-01-16 | PARCEL |  AAPL | 4.0000 unit @ A$275.44 / unit | Total cost base = A$1,109.28 |</t>
        </is>
      </c>
      <c r="Z255" s="5" t="inlineStr">
        <is>
          <t>01a1212c-7e39-73aa-a1df-7540224d3e88</t>
        </is>
      </c>
    </row>
    <row r="256">
      <c r="A256" s="5" t="inlineStr">
        <is>
          <t>01a1212c-7e4f-7135-b7c7-fe55f91a5e47</t>
        </is>
      </c>
      <c r="B256" t="inlineStr">
        <is>
          <t>B255</t>
        </is>
      </c>
      <c r="C256" s="5" t="inlineStr">
        <is>
          <t>01a1212c-4b57-70cf-80fd-c2192cb3bf81</t>
        </is>
      </c>
      <c r="D256" s="4" t="n">
        <v>46304.62414907565</v>
      </c>
      <c r="E256" s="4" t="n">
        <v>46304.62414907573</v>
      </c>
      <c r="F256" t="b">
        <v>1</v>
      </c>
      <c r="G256" t="n">
        <v/>
      </c>
      <c r="H256" t="inlineStr">
        <is>
          <t>2024-02-05 | Buy | A200 | 7.0000 unit @ A$126.59 / unit</t>
        </is>
      </c>
      <c r="I256" t="inlineStr">
        <is>
          <t>A200</t>
        </is>
      </c>
      <c r="J256" s="6" t="n">
        <v>45327</v>
      </c>
      <c r="K256" t="n">
        <v>7</v>
      </c>
      <c r="L256" t="inlineStr">
        <is>
          <t>AUD</t>
        </is>
      </c>
      <c r="M256" t="n">
        <v>126.59</v>
      </c>
      <c r="N256" t="inlineStr">
        <is>
          <t>AUD</t>
        </is>
      </c>
      <c r="O256" t="n">
        <v>9.5</v>
      </c>
      <c r="P256" t="inlineStr"/>
      <c r="Q256" t="inlineStr">
        <is>
          <t>FY2023/24</t>
        </is>
      </c>
      <c r="R256" t="inlineStr">
        <is>
          <t>AUD</t>
        </is>
      </c>
      <c r="S256" t="n">
        <v>9.5</v>
      </c>
      <c r="T256" t="inlineStr">
        <is>
          <t>AUD</t>
        </is>
      </c>
      <c r="U256" t="n">
        <v>1.357143</v>
      </c>
      <c r="V256" t="inlineStr">
        <is>
          <t>AUD</t>
        </is>
      </c>
      <c r="W256" t="n">
        <v>126.59</v>
      </c>
      <c r="X256" t="b">
        <v>1</v>
      </c>
      <c r="Y256" s="3" t="inlineStr">
        <is>
          <t>2024-02-05 | PARCEL |  A200 | 7.0000 unit @ A$126.59 / unit | Total cost base = A$895.63 |</t>
        </is>
      </c>
      <c r="Z256" t="n">
        <v/>
      </c>
    </row>
    <row r="257">
      <c r="A257" s="5" t="inlineStr">
        <is>
          <t>01a1212c-7e64-7284-a356-7ab5b3b4845b</t>
        </is>
      </c>
      <c r="B257" t="inlineStr">
        <is>
          <t>B256</t>
        </is>
      </c>
      <c r="C257" s="5" t="inlineStr">
        <is>
          <t>01a1212c-4b57-70cf-80fd-c2192cb3bf81</t>
        </is>
      </c>
      <c r="D257" s="4" t="n">
        <v>46304.62414932604</v>
      </c>
      <c r="E257" s="4" t="n">
        <v>46304.62414932611</v>
      </c>
      <c r="F257" t="b">
        <v>1</v>
      </c>
      <c r="G257" t="n">
        <v/>
      </c>
      <c r="H257" t="inlineStr">
        <is>
          <t>2024-02-05 | Buy | VGS | 10.0000 unit @ A$118.12 / unit</t>
        </is>
      </c>
      <c r="I257" t="inlineStr">
        <is>
          <t>VGS</t>
        </is>
      </c>
      <c r="J257" s="6" t="n">
        <v>45327</v>
      </c>
      <c r="K257" t="n">
        <v>10</v>
      </c>
      <c r="L257" t="inlineStr">
        <is>
          <t>AUD</t>
        </is>
      </c>
      <c r="M257" t="n">
        <v>118.12</v>
      </c>
      <c r="N257" t="inlineStr">
        <is>
          <t>AUD</t>
        </is>
      </c>
      <c r="O257" t="n">
        <v>9.5</v>
      </c>
      <c r="P257" t="inlineStr"/>
      <c r="Q257" t="inlineStr">
        <is>
          <t>FY2023/24</t>
        </is>
      </c>
      <c r="R257" t="inlineStr">
        <is>
          <t>AUD</t>
        </is>
      </c>
      <c r="S257" t="n">
        <v>9.5</v>
      </c>
      <c r="T257" t="inlineStr">
        <is>
          <t>AUD</t>
        </is>
      </c>
      <c r="U257" t="n">
        <v>0.95</v>
      </c>
      <c r="V257" t="inlineStr">
        <is>
          <t>AUD</t>
        </is>
      </c>
      <c r="W257" t="n">
        <v>118.12</v>
      </c>
      <c r="X257" t="b">
        <v>1</v>
      </c>
      <c r="Y257" s="3" t="inlineStr">
        <is>
          <t>2024-02-05 | PARCEL |  VGS | 10.0000 unit @ A$118.12 / unit | Total cost base = A$1,190.70 |</t>
        </is>
      </c>
      <c r="Z257" t="n">
        <v/>
      </c>
    </row>
    <row r="258">
      <c r="A258" s="5" t="inlineStr">
        <is>
          <t>01a1212c-7e7a-73eb-8cd7-ad44ce318df9</t>
        </is>
      </c>
      <c r="B258" t="inlineStr">
        <is>
          <t>B257</t>
        </is>
      </c>
      <c r="C258" s="5" t="inlineStr">
        <is>
          <t>01a1212c-4b57-70cf-80fd-c2192cb3bf81</t>
        </is>
      </c>
      <c r="D258" s="4" t="n">
        <v>46304.62414957594</v>
      </c>
      <c r="E258" s="4" t="n">
        <v>46304.624149576</v>
      </c>
      <c r="F258" t="b">
        <v>1</v>
      </c>
      <c r="G258" t="n">
        <v/>
      </c>
      <c r="H258" t="inlineStr">
        <is>
          <t>2024-03-04 | Buy | A200 | 11.0000 unit @ A$129.19 / unit</t>
        </is>
      </c>
      <c r="I258" t="inlineStr">
        <is>
          <t>A200</t>
        </is>
      </c>
      <c r="J258" s="6" t="n">
        <v>45355</v>
      </c>
      <c r="K258" t="n">
        <v>11</v>
      </c>
      <c r="L258" t="inlineStr">
        <is>
          <t>AUD</t>
        </is>
      </c>
      <c r="M258" t="n">
        <v>129.19</v>
      </c>
      <c r="N258" t="inlineStr">
        <is>
          <t>AUD</t>
        </is>
      </c>
      <c r="O258" t="n">
        <v>9.5</v>
      </c>
      <c r="P258" t="inlineStr"/>
      <c r="Q258" t="inlineStr">
        <is>
          <t>FY2023/24</t>
        </is>
      </c>
      <c r="R258" t="inlineStr">
        <is>
          <t>AUD</t>
        </is>
      </c>
      <c r="S258" t="n">
        <v>9.5</v>
      </c>
      <c r="T258" t="inlineStr">
        <is>
          <t>AUD</t>
        </is>
      </c>
      <c r="U258" t="n">
        <v>0.863636</v>
      </c>
      <c r="V258" t="inlineStr">
        <is>
          <t>AUD</t>
        </is>
      </c>
      <c r="W258" t="n">
        <v>129.19</v>
      </c>
      <c r="X258" t="b">
        <v>1</v>
      </c>
      <c r="Y258" s="3" t="inlineStr">
        <is>
          <t>2024-03-04 | PARCEL |  A200 | 11.0000 unit @ A$129.19 / unit | Total cost base = A$1,430.59 |</t>
        </is>
      </c>
      <c r="Z258" t="n">
        <v/>
      </c>
    </row>
    <row r="259">
      <c r="A259" s="5" t="inlineStr">
        <is>
          <t>01a1212c-7e8f-750e-a1cf-c1a01224a76d</t>
        </is>
      </c>
      <c r="B259" t="inlineStr">
        <is>
          <t>B258</t>
        </is>
      </c>
      <c r="C259" s="5" t="inlineStr">
        <is>
          <t>01a1212c-4b57-70cf-80fd-c2192cb3bf81</t>
        </is>
      </c>
      <c r="D259" s="4" t="n">
        <v>46304.62414982391</v>
      </c>
      <c r="E259" s="4" t="n">
        <v>46304.62414982398</v>
      </c>
      <c r="F259" t="b">
        <v>1</v>
      </c>
      <c r="G259" t="n">
        <v/>
      </c>
      <c r="H259" t="inlineStr">
        <is>
          <t>2024-03-04 | Buy | VGS | 15.0000 unit @ A$122.61 / unit</t>
        </is>
      </c>
      <c r="I259" t="inlineStr">
        <is>
          <t>VGS</t>
        </is>
      </c>
      <c r="J259" s="6" t="n">
        <v>45355</v>
      </c>
      <c r="K259" t="n">
        <v>15</v>
      </c>
      <c r="L259" t="inlineStr">
        <is>
          <t>AUD</t>
        </is>
      </c>
      <c r="M259" t="n">
        <v>122.61</v>
      </c>
      <c r="N259" t="inlineStr">
        <is>
          <t>AUD</t>
        </is>
      </c>
      <c r="O259" t="n">
        <v>9.5</v>
      </c>
      <c r="P259" t="inlineStr"/>
      <c r="Q259" t="inlineStr">
        <is>
          <t>FY2023/24</t>
        </is>
      </c>
      <c r="R259" t="inlineStr">
        <is>
          <t>AUD</t>
        </is>
      </c>
      <c r="S259" t="n">
        <v>9.5</v>
      </c>
      <c r="T259" t="inlineStr">
        <is>
          <t>AUD</t>
        </is>
      </c>
      <c r="U259" t="n">
        <v>0.633333</v>
      </c>
      <c r="V259" t="inlineStr">
        <is>
          <t>AUD</t>
        </is>
      </c>
      <c r="W259" t="n">
        <v>122.61</v>
      </c>
      <c r="X259" t="b">
        <v>1</v>
      </c>
      <c r="Y259" s="3" t="inlineStr">
        <is>
          <t>2024-03-04 | PARCEL |  VGS | 15.0000 unit @ A$122.61 / unit | Total cost base = A$1,848.65 |</t>
        </is>
      </c>
      <c r="Z259" t="n">
        <v/>
      </c>
    </row>
    <row r="260">
      <c r="A260" s="5" t="inlineStr">
        <is>
          <t>01a1212c-7ea5-7351-9fa5-40e693bf21bf</t>
        </is>
      </c>
      <c r="B260" t="inlineStr">
        <is>
          <t>B259</t>
        </is>
      </c>
      <c r="C260" s="5" t="inlineStr">
        <is>
          <t>01a1212c-4b57-70cf-80fd-c2192cb3bf81</t>
        </is>
      </c>
      <c r="D260" s="4" t="n">
        <v>46304.6241500761</v>
      </c>
      <c r="E260" s="4" t="n">
        <v>46304.62415007618</v>
      </c>
      <c r="F260" t="b">
        <v>1</v>
      </c>
      <c r="G260" t="n">
        <v/>
      </c>
      <c r="H260" t="inlineStr">
        <is>
          <t>2024-04-04 | Buy | A200 | 5.0000 unit @ A$130.41 / unit</t>
        </is>
      </c>
      <c r="I260" t="inlineStr">
        <is>
          <t>A200</t>
        </is>
      </c>
      <c r="J260" s="6" t="n">
        <v>45386</v>
      </c>
      <c r="K260" t="n">
        <v>5</v>
      </c>
      <c r="L260" t="inlineStr">
        <is>
          <t>AUD</t>
        </is>
      </c>
      <c r="M260" t="n">
        <v>130.41</v>
      </c>
      <c r="N260" t="inlineStr">
        <is>
          <t>AUD</t>
        </is>
      </c>
      <c r="O260" t="n">
        <v>9.5</v>
      </c>
      <c r="P260" t="inlineStr"/>
      <c r="Q260" t="inlineStr">
        <is>
          <t>FY2023/24</t>
        </is>
      </c>
      <c r="R260" t="inlineStr">
        <is>
          <t>AUD</t>
        </is>
      </c>
      <c r="S260" t="n">
        <v>9.5</v>
      </c>
      <c r="T260" t="inlineStr">
        <is>
          <t>AUD</t>
        </is>
      </c>
      <c r="U260" t="n">
        <v>1.9</v>
      </c>
      <c r="V260" t="inlineStr">
        <is>
          <t>AUD</t>
        </is>
      </c>
      <c r="W260" t="n">
        <v>130.41</v>
      </c>
      <c r="X260" t="b">
        <v>1</v>
      </c>
      <c r="Y260" s="3" t="inlineStr">
        <is>
          <t>2024-04-04 | PARCEL |  A200 | 5.0000 unit @ A$130.41 / unit | Total cost base = A$661.55 |</t>
        </is>
      </c>
      <c r="Z260" t="n">
        <v/>
      </c>
    </row>
    <row r="261">
      <c r="A261" s="5" t="inlineStr">
        <is>
          <t>01a1212c-7ebb-7048-9549-54631120463f</t>
        </is>
      </c>
      <c r="B261" t="inlineStr">
        <is>
          <t>B260</t>
        </is>
      </c>
      <c r="C261" s="5" t="inlineStr">
        <is>
          <t>01a1212c-4b57-70cf-80fd-c2192cb3bf81</t>
        </is>
      </c>
      <c r="D261" s="4" t="n">
        <v>46304.62415033583</v>
      </c>
      <c r="E261" s="4" t="n">
        <v>46304.62415033593</v>
      </c>
      <c r="F261" t="b">
        <v>1</v>
      </c>
      <c r="G261" t="n">
        <v/>
      </c>
      <c r="H261" t="inlineStr">
        <is>
          <t>2024-04-04 | Buy | VGS | 7.0000 unit @ A$122.70 / unit</t>
        </is>
      </c>
      <c r="I261" t="inlineStr">
        <is>
          <t>VGS</t>
        </is>
      </c>
      <c r="J261" s="6" t="n">
        <v>45386</v>
      </c>
      <c r="K261" t="n">
        <v>7</v>
      </c>
      <c r="L261" t="inlineStr">
        <is>
          <t>AUD</t>
        </is>
      </c>
      <c r="M261" t="n">
        <v>122.7</v>
      </c>
      <c r="N261" t="inlineStr">
        <is>
          <t>AUD</t>
        </is>
      </c>
      <c r="O261" t="n">
        <v>9.5</v>
      </c>
      <c r="P261" t="inlineStr"/>
      <c r="Q261" t="inlineStr">
        <is>
          <t>FY2023/24</t>
        </is>
      </c>
      <c r="R261" t="inlineStr">
        <is>
          <t>AUD</t>
        </is>
      </c>
      <c r="S261" t="n">
        <v>9.5</v>
      </c>
      <c r="T261" t="inlineStr">
        <is>
          <t>AUD</t>
        </is>
      </c>
      <c r="U261" t="n">
        <v>1.357143</v>
      </c>
      <c r="V261" t="inlineStr">
        <is>
          <t>AUD</t>
        </is>
      </c>
      <c r="W261" t="n">
        <v>122.7</v>
      </c>
      <c r="X261" t="b">
        <v>1</v>
      </c>
      <c r="Y261" s="3" t="inlineStr">
        <is>
          <t>2024-04-04 | PARCEL |  VGS | 7.0000 unit @ A$122.70 / unit | Total cost base = A$868.40 |</t>
        </is>
      </c>
      <c r="Z261" t="n">
        <v/>
      </c>
    </row>
    <row r="262">
      <c r="A262" s="5" t="inlineStr">
        <is>
          <t>01a1212c-7ed3-73eb-8baa-51fc00bb3f5c</t>
        </is>
      </c>
      <c r="B262" t="inlineStr">
        <is>
          <t>B261</t>
        </is>
      </c>
      <c r="C262" s="5" t="inlineStr">
        <is>
          <t>01a1212c-4b57-70cf-80fd-c2192cb3bf81</t>
        </is>
      </c>
      <c r="D262" s="4" t="n">
        <v>46304.62415062937</v>
      </c>
      <c r="E262" s="4" t="n">
        <v>46304.62415062943</v>
      </c>
      <c r="F262" t="b">
        <v>1</v>
      </c>
      <c r="G262" t="n">
        <v/>
      </c>
      <c r="H262" t="inlineStr">
        <is>
          <t>2024-04-22 | Buy | AAPL | 3.0000 unit @ $165.84 / unit</t>
        </is>
      </c>
      <c r="I262" t="inlineStr">
        <is>
          <t>AAPL</t>
        </is>
      </c>
      <c r="J262" s="6" t="n">
        <v>45404</v>
      </c>
      <c r="K262" t="n">
        <v>3</v>
      </c>
      <c r="L262" t="inlineStr">
        <is>
          <t>USD</t>
        </is>
      </c>
      <c r="M262" t="n">
        <v>165.84</v>
      </c>
      <c r="N262" t="inlineStr">
        <is>
          <t>USD</t>
        </is>
      </c>
      <c r="O262" t="n">
        <v>5</v>
      </c>
      <c r="P262" t="inlineStr"/>
      <c r="Q262" t="inlineStr">
        <is>
          <t>FY2023/24</t>
        </is>
      </c>
      <c r="R262" t="inlineStr">
        <is>
          <t>AUD</t>
        </is>
      </c>
      <c r="S262" t="n">
        <v>7.5</v>
      </c>
      <c r="T262" t="inlineStr">
        <is>
          <t>AUD</t>
        </is>
      </c>
      <c r="U262" t="n">
        <v>2.5</v>
      </c>
      <c r="V262" t="inlineStr">
        <is>
          <t>AUD</t>
        </is>
      </c>
      <c r="W262" t="n">
        <v>248.76</v>
      </c>
      <c r="X262" t="b">
        <v>1</v>
      </c>
      <c r="Y262" s="3" t="inlineStr">
        <is>
          <t>2024-04-22 | PARCEL |  AAPL | 3.0000 unit @ A$248.76 / unit | Total cost base = A$753.78 |</t>
        </is>
      </c>
      <c r="Z262" s="5" t="inlineStr">
        <is>
          <t>01a1212c-7ed5-73e3-9cf9-639b508cde26</t>
        </is>
      </c>
    </row>
    <row r="263">
      <c r="A263" s="5" t="inlineStr">
        <is>
          <t>01a1212c-7ef6-7117-bc9b-4c035bb0042a</t>
        </is>
      </c>
      <c r="B263" t="inlineStr">
        <is>
          <t>B262</t>
        </is>
      </c>
      <c r="C263" s="5" t="inlineStr">
        <is>
          <t>01a1212c-4b57-70cf-80fd-c2192cb3bf81</t>
        </is>
      </c>
      <c r="D263" s="4" t="n">
        <v>46304.62415104986</v>
      </c>
      <c r="E263" s="4" t="n">
        <v>46304.62415104994</v>
      </c>
      <c r="F263" t="b">
        <v>1</v>
      </c>
      <c r="G263" t="n">
        <v/>
      </c>
      <c r="H263" t="inlineStr">
        <is>
          <t>2024-04-29 | Buy | AMZN | 2.0000 unit @ $180.96 / unit</t>
        </is>
      </c>
      <c r="I263" t="inlineStr">
        <is>
          <t>AMZN</t>
        </is>
      </c>
      <c r="J263" s="6" t="n">
        <v>45411</v>
      </c>
      <c r="K263" t="n">
        <v>2</v>
      </c>
      <c r="L263" t="inlineStr">
        <is>
          <t>USD</t>
        </is>
      </c>
      <c r="M263" t="n">
        <v>180.96</v>
      </c>
      <c r="N263" t="inlineStr">
        <is>
          <t>USD</t>
        </is>
      </c>
      <c r="O263" t="n">
        <v>5</v>
      </c>
      <c r="P263" t="inlineStr"/>
      <c r="Q263" t="inlineStr">
        <is>
          <t>FY2023/24</t>
        </is>
      </c>
      <c r="R263" t="inlineStr">
        <is>
          <t>AUD</t>
        </is>
      </c>
      <c r="S263" t="n">
        <v>7.5</v>
      </c>
      <c r="T263" t="inlineStr">
        <is>
          <t>AUD</t>
        </is>
      </c>
      <c r="U263" t="n">
        <v>3.75</v>
      </c>
      <c r="V263" t="inlineStr">
        <is>
          <t>AUD</t>
        </is>
      </c>
      <c r="W263" t="n">
        <v>271.44</v>
      </c>
      <c r="X263" t="b">
        <v>1</v>
      </c>
      <c r="Y263" s="3" t="inlineStr">
        <is>
          <t>2024-04-29 | PARCEL |  AMZN | 2.0000 unit @ A$271.44 / unit | Total cost base = A$550.38 |</t>
        </is>
      </c>
      <c r="Z263" s="5" t="inlineStr">
        <is>
          <t>01a1212c-7ef9-7130-8eae-70f62401777a</t>
        </is>
      </c>
    </row>
    <row r="264">
      <c r="A264" s="5" t="inlineStr">
        <is>
          <t>01a1212c-7f13-71ce-98a0-11bfdd90658b</t>
        </is>
      </c>
      <c r="B264" t="inlineStr">
        <is>
          <t>B263</t>
        </is>
      </c>
      <c r="C264" s="5" t="inlineStr">
        <is>
          <t>01a1212c-4b57-70cf-80fd-c2192cb3bf81</t>
        </is>
      </c>
      <c r="D264" s="4" t="n">
        <v>46304.62415134602</v>
      </c>
      <c r="E264" s="4" t="n">
        <v>46304.62415134608</v>
      </c>
      <c r="F264" t="b">
        <v>1</v>
      </c>
      <c r="G264" t="n">
        <v/>
      </c>
      <c r="H264" t="inlineStr">
        <is>
          <t>2024-05-06 | Buy | A200 | 7.0000 unit @ A$128.11 / unit</t>
        </is>
      </c>
      <c r="I264" t="inlineStr">
        <is>
          <t>A200</t>
        </is>
      </c>
      <c r="J264" s="6" t="n">
        <v>45418</v>
      </c>
      <c r="K264" t="n">
        <v>7</v>
      </c>
      <c r="L264" t="inlineStr">
        <is>
          <t>AUD</t>
        </is>
      </c>
      <c r="M264" t="n">
        <v>128.11</v>
      </c>
      <c r="N264" t="inlineStr">
        <is>
          <t>AUD</t>
        </is>
      </c>
      <c r="O264" t="n">
        <v>9.5</v>
      </c>
      <c r="P264" t="inlineStr"/>
      <c r="Q264" t="inlineStr">
        <is>
          <t>FY2023/24</t>
        </is>
      </c>
      <c r="R264" t="inlineStr">
        <is>
          <t>AUD</t>
        </is>
      </c>
      <c r="S264" t="n">
        <v>9.5</v>
      </c>
      <c r="T264" t="inlineStr">
        <is>
          <t>AUD</t>
        </is>
      </c>
      <c r="U264" t="n">
        <v>1.357143</v>
      </c>
      <c r="V264" t="inlineStr">
        <is>
          <t>AUD</t>
        </is>
      </c>
      <c r="W264" t="n">
        <v>128.11</v>
      </c>
      <c r="X264" t="b">
        <v>1</v>
      </c>
      <c r="Y264" s="3" t="inlineStr">
        <is>
          <t>2024-05-06 | PARCEL |  A200 | 7.0000 unit @ A$128.11 / unit | Total cost base = A$906.27 |</t>
        </is>
      </c>
      <c r="Z264" t="n">
        <v/>
      </c>
    </row>
    <row r="265">
      <c r="A265" s="5" t="inlineStr">
        <is>
          <t>01a1212c-7f2a-75e7-bcd1-b286cfaa138b</t>
        </is>
      </c>
      <c r="B265" t="inlineStr">
        <is>
          <t>B264</t>
        </is>
      </c>
      <c r="C265" s="5" t="inlineStr">
        <is>
          <t>01a1212c-4b57-70cf-80fd-c2192cb3bf81</t>
        </is>
      </c>
      <c r="D265" s="4" t="n">
        <v>46304.62415162486</v>
      </c>
      <c r="E265" s="4" t="n">
        <v>46304.624151625</v>
      </c>
      <c r="F265" t="b">
        <v>1</v>
      </c>
      <c r="G265" t="n">
        <v/>
      </c>
      <c r="H265" t="inlineStr">
        <is>
          <t>2024-05-06 | Buy | VGS | 10.0000 unit @ A$120.31 / unit</t>
        </is>
      </c>
      <c r="I265" t="inlineStr">
        <is>
          <t>VGS</t>
        </is>
      </c>
      <c r="J265" s="6" t="n">
        <v>45418</v>
      </c>
      <c r="K265" t="n">
        <v>10</v>
      </c>
      <c r="L265" t="inlineStr">
        <is>
          <t>AUD</t>
        </is>
      </c>
      <c r="M265" t="n">
        <v>120.31</v>
      </c>
      <c r="N265" t="inlineStr">
        <is>
          <t>AUD</t>
        </is>
      </c>
      <c r="O265" t="n">
        <v>9.5</v>
      </c>
      <c r="P265" t="inlineStr"/>
      <c r="Q265" t="inlineStr">
        <is>
          <t>FY2023/24</t>
        </is>
      </c>
      <c r="R265" t="inlineStr">
        <is>
          <t>AUD</t>
        </is>
      </c>
      <c r="S265" t="n">
        <v>9.5</v>
      </c>
      <c r="T265" t="inlineStr">
        <is>
          <t>AUD</t>
        </is>
      </c>
      <c r="U265" t="n">
        <v>0.95</v>
      </c>
      <c r="V265" t="inlineStr">
        <is>
          <t>AUD</t>
        </is>
      </c>
      <c r="W265" t="n">
        <v>120.31</v>
      </c>
      <c r="X265" t="b">
        <v>1</v>
      </c>
      <c r="Y265" s="3" t="inlineStr">
        <is>
          <t>2024-05-06 | PARCEL |  VGS | 10.0000 unit @ A$120.31 / unit | Total cost base = A$1,212.60 |</t>
        </is>
      </c>
      <c r="Z265" t="n">
        <v/>
      </c>
    </row>
    <row r="266">
      <c r="A266" s="5" t="inlineStr">
        <is>
          <t>01a1212c-7f48-7550-9e0f-85bb1e709e9f</t>
        </is>
      </c>
      <c r="B266" t="inlineStr">
        <is>
          <t>B265</t>
        </is>
      </c>
      <c r="C266" s="5" t="inlineStr">
        <is>
          <t>01a1212c-4b57-70cf-80fd-c2192cb3bf81</t>
        </is>
      </c>
      <c r="D266" s="4" t="n">
        <v>46304.62415198042</v>
      </c>
      <c r="E266" s="4" t="n">
        <v>46304.62415198048</v>
      </c>
      <c r="F266" t="b">
        <v>1</v>
      </c>
      <c r="G266" t="n">
        <v/>
      </c>
      <c r="H266" t="inlineStr">
        <is>
          <t>2024-05-20 | Buy | AMZN | 3.0000 unit @ $183.54 / unit</t>
        </is>
      </c>
      <c r="I266" t="inlineStr">
        <is>
          <t>AMZN</t>
        </is>
      </c>
      <c r="J266" s="6" t="n">
        <v>45432</v>
      </c>
      <c r="K266" t="n">
        <v>3</v>
      </c>
      <c r="L266" t="inlineStr">
        <is>
          <t>USD</t>
        </is>
      </c>
      <c r="M266" t="n">
        <v>183.54</v>
      </c>
      <c r="N266" t="inlineStr">
        <is>
          <t>USD</t>
        </is>
      </c>
      <c r="O266" t="n">
        <v>5</v>
      </c>
      <c r="P266" t="inlineStr"/>
      <c r="Q266" t="inlineStr">
        <is>
          <t>FY2023/24</t>
        </is>
      </c>
      <c r="R266" t="inlineStr">
        <is>
          <t>AUD</t>
        </is>
      </c>
      <c r="S266" t="n">
        <v>7.5</v>
      </c>
      <c r="T266" t="inlineStr">
        <is>
          <t>AUD</t>
        </is>
      </c>
      <c r="U266" t="n">
        <v>2.5</v>
      </c>
      <c r="V266" t="inlineStr">
        <is>
          <t>AUD</t>
        </is>
      </c>
      <c r="W266" t="n">
        <v>275.31</v>
      </c>
      <c r="X266" t="b">
        <v>1</v>
      </c>
      <c r="Y266" s="3" t="inlineStr">
        <is>
          <t>2024-05-20 | PARCEL |  AMZN | 3.0000 unit @ A$275.31 / unit | Total cost base = A$833.43 |</t>
        </is>
      </c>
      <c r="Z266" s="5" t="inlineStr">
        <is>
          <t>01a1212c-7f4a-73d2-abac-1d9191c24cf1</t>
        </is>
      </c>
    </row>
    <row r="267">
      <c r="A267" s="5" t="inlineStr">
        <is>
          <t>01a1212c-7f5f-704a-8626-ebc0f10f8241</t>
        </is>
      </c>
      <c r="B267" t="inlineStr">
        <is>
          <t>B266</t>
        </is>
      </c>
      <c r="C267" s="5" t="inlineStr">
        <is>
          <t>01a1212c-4b57-70cf-80fd-c2192cb3bf81</t>
        </is>
      </c>
      <c r="D267" s="4" t="n">
        <v>46304.62415223387</v>
      </c>
      <c r="E267" s="4" t="n">
        <v>46304.62415223393</v>
      </c>
      <c r="F267" t="b">
        <v>1</v>
      </c>
      <c r="G267" t="n">
        <v/>
      </c>
      <c r="H267" t="inlineStr">
        <is>
          <t>2024-06-03 | Buy | A200 | 6.0000 unit @ A$130.02 / unit</t>
        </is>
      </c>
      <c r="I267" t="inlineStr">
        <is>
          <t>A200</t>
        </is>
      </c>
      <c r="J267" s="6" t="n">
        <v>45446</v>
      </c>
      <c r="K267" t="n">
        <v>6</v>
      </c>
      <c r="L267" t="inlineStr">
        <is>
          <t>AUD</t>
        </is>
      </c>
      <c r="M267" t="n">
        <v>130.02</v>
      </c>
      <c r="N267" t="inlineStr">
        <is>
          <t>AUD</t>
        </is>
      </c>
      <c r="O267" t="n">
        <v>9.5</v>
      </c>
      <c r="P267" t="inlineStr"/>
      <c r="Q267" t="inlineStr">
        <is>
          <t>FY2023/24</t>
        </is>
      </c>
      <c r="R267" t="inlineStr">
        <is>
          <t>AUD</t>
        </is>
      </c>
      <c r="S267" t="n">
        <v>9.5</v>
      </c>
      <c r="T267" t="inlineStr">
        <is>
          <t>AUD</t>
        </is>
      </c>
      <c r="U267" t="n">
        <v>1.583333</v>
      </c>
      <c r="V267" t="inlineStr">
        <is>
          <t>AUD</t>
        </is>
      </c>
      <c r="W267" t="n">
        <v>130.02</v>
      </c>
      <c r="X267" t="b">
        <v>1</v>
      </c>
      <c r="Y267" s="3" t="inlineStr">
        <is>
          <t>2024-06-03 | PARCEL |  A200 | 6.0000 unit @ A$130.02 / unit | Total cost base = A$789.62 |</t>
        </is>
      </c>
      <c r="Z267" t="n">
        <v/>
      </c>
    </row>
    <row r="268">
      <c r="A268" s="5" t="inlineStr">
        <is>
          <t>01a1212c-7f75-7351-af67-27693688e9c5</t>
        </is>
      </c>
      <c r="B268" t="inlineStr">
        <is>
          <t>B267</t>
        </is>
      </c>
      <c r="C268" s="5" t="inlineStr">
        <is>
          <t>01a1212c-4b57-70cf-80fd-c2192cb3bf81</t>
        </is>
      </c>
      <c r="D268" s="4" t="n">
        <v>46304.62415248494</v>
      </c>
      <c r="E268" s="4" t="n">
        <v>46304.62415248501</v>
      </c>
      <c r="F268" t="b">
        <v>1</v>
      </c>
      <c r="G268" t="n">
        <v/>
      </c>
      <c r="H268" t="inlineStr">
        <is>
          <t>2024-06-03 | Buy | VGS | 8.0000 unit @ A$123.61 / unit</t>
        </is>
      </c>
      <c r="I268" t="inlineStr">
        <is>
          <t>VGS</t>
        </is>
      </c>
      <c r="J268" s="6" t="n">
        <v>45446</v>
      </c>
      <c r="K268" t="n">
        <v>8</v>
      </c>
      <c r="L268" t="inlineStr">
        <is>
          <t>AUD</t>
        </is>
      </c>
      <c r="M268" t="n">
        <v>123.61</v>
      </c>
      <c r="N268" t="inlineStr">
        <is>
          <t>AUD</t>
        </is>
      </c>
      <c r="O268" t="n">
        <v>9.5</v>
      </c>
      <c r="P268" t="inlineStr"/>
      <c r="Q268" t="inlineStr">
        <is>
          <t>FY2023/24</t>
        </is>
      </c>
      <c r="R268" t="inlineStr">
        <is>
          <t>AUD</t>
        </is>
      </c>
      <c r="S268" t="n">
        <v>9.5</v>
      </c>
      <c r="T268" t="inlineStr">
        <is>
          <t>AUD</t>
        </is>
      </c>
      <c r="U268" t="n">
        <v>1.1875</v>
      </c>
      <c r="V268" t="inlineStr">
        <is>
          <t>AUD</t>
        </is>
      </c>
      <c r="W268" t="n">
        <v>123.61</v>
      </c>
      <c r="X268" t="b">
        <v>1</v>
      </c>
      <c r="Y268" s="3" t="inlineStr">
        <is>
          <t>2024-06-03 | PARCEL |  VGS | 8.0000 unit @ A$123.61 / unit | Total cost base = A$998.38 |</t>
        </is>
      </c>
      <c r="Z268" t="n">
        <v/>
      </c>
    </row>
    <row r="269">
      <c r="A269" s="5" t="inlineStr">
        <is>
          <t>01a1212c-7f8a-7748-a8d5-550ebd580924</t>
        </is>
      </c>
      <c r="B269" t="inlineStr">
        <is>
          <t>B268</t>
        </is>
      </c>
      <c r="C269" s="5" t="inlineStr">
        <is>
          <t>01a1212c-4b57-70cf-80fd-c2192cb3bf81</t>
        </is>
      </c>
      <c r="D269" s="4" t="n">
        <v>46304.6241527456</v>
      </c>
      <c r="E269" s="4" t="n">
        <v>46304.62415274566</v>
      </c>
      <c r="F269" t="b">
        <v>1</v>
      </c>
      <c r="G269" t="n">
        <v/>
      </c>
      <c r="H269" t="inlineStr">
        <is>
          <t>2024-06-20 | Buy | AAPL | 3.0000 unit @ $209.68 / unit</t>
        </is>
      </c>
      <c r="I269" t="inlineStr">
        <is>
          <t>AAPL</t>
        </is>
      </c>
      <c r="J269" s="6" t="n">
        <v>45463</v>
      </c>
      <c r="K269" t="n">
        <v>3</v>
      </c>
      <c r="L269" t="inlineStr">
        <is>
          <t>USD</t>
        </is>
      </c>
      <c r="M269" t="n">
        <v>209.68</v>
      </c>
      <c r="N269" t="inlineStr">
        <is>
          <t>USD</t>
        </is>
      </c>
      <c r="O269" t="n">
        <v>5</v>
      </c>
      <c r="P269" t="inlineStr"/>
      <c r="Q269" t="inlineStr">
        <is>
          <t>FY2023/24</t>
        </is>
      </c>
      <c r="R269" t="inlineStr">
        <is>
          <t>AUD</t>
        </is>
      </c>
      <c r="S269" t="n">
        <v>7.5</v>
      </c>
      <c r="T269" t="inlineStr">
        <is>
          <t>AUD</t>
        </is>
      </c>
      <c r="U269" t="n">
        <v>2.5</v>
      </c>
      <c r="V269" t="inlineStr">
        <is>
          <t>AUD</t>
        </is>
      </c>
      <c r="W269" t="n">
        <v>314.52</v>
      </c>
      <c r="X269" t="b">
        <v>1</v>
      </c>
      <c r="Y269" s="3" t="inlineStr">
        <is>
          <t>2024-06-20 | PARCEL |  AAPL | 3.0000 unit @ A$314.52 / unit | Total cost base = A$951.06 |</t>
        </is>
      </c>
      <c r="Z269" s="5" t="inlineStr">
        <is>
          <t>01a1212c-7f8c-73b8-8fe9-c52106f64544</t>
        </is>
      </c>
    </row>
    <row r="270">
      <c r="A270" s="5" t="inlineStr">
        <is>
          <t>01a1212c-7fa3-76cd-b0b0-84d966be0af6</t>
        </is>
      </c>
      <c r="B270" t="inlineStr">
        <is>
          <t>B269</t>
        </is>
      </c>
      <c r="C270" s="5" t="inlineStr">
        <is>
          <t>01a1212c-4b57-70cf-80fd-c2192cb3bf81</t>
        </is>
      </c>
      <c r="D270" s="4" t="n">
        <v>46304.62415301515</v>
      </c>
      <c r="E270" s="4" t="n">
        <v>46304.62415301523</v>
      </c>
      <c r="F270" t="b">
        <v>1</v>
      </c>
      <c r="G270" t="n">
        <v/>
      </c>
      <c r="H270" t="inlineStr">
        <is>
          <t>2024-07-02 | Buy | A200 | 10.0000 unit @ A$128.70 / unit</t>
        </is>
      </c>
      <c r="I270" t="inlineStr">
        <is>
          <t>A200</t>
        </is>
      </c>
      <c r="J270" s="6" t="n">
        <v>45475</v>
      </c>
      <c r="K270" t="n">
        <v>10</v>
      </c>
      <c r="L270" t="inlineStr">
        <is>
          <t>AUD</t>
        </is>
      </c>
      <c r="M270" t="n">
        <v>128.7</v>
      </c>
      <c r="N270" t="inlineStr">
        <is>
          <t>AUD</t>
        </is>
      </c>
      <c r="O270" t="n">
        <v>9.5</v>
      </c>
      <c r="P270" t="inlineStr"/>
      <c r="Q270" t="inlineStr">
        <is>
          <t>FY2024/25</t>
        </is>
      </c>
      <c r="R270" t="inlineStr">
        <is>
          <t>AUD</t>
        </is>
      </c>
      <c r="S270" t="n">
        <v>9.5</v>
      </c>
      <c r="T270" t="inlineStr">
        <is>
          <t>AUD</t>
        </is>
      </c>
      <c r="U270" t="n">
        <v>0.95</v>
      </c>
      <c r="V270" t="inlineStr">
        <is>
          <t>AUD</t>
        </is>
      </c>
      <c r="W270" t="n">
        <v>128.7</v>
      </c>
      <c r="X270" t="b">
        <v>1</v>
      </c>
      <c r="Y270" s="3" t="inlineStr">
        <is>
          <t>2024-07-02 | PARCEL |  A200 | 10.0000 unit @ A$128.70 / unit | Total cost base = A$1,296.50 |</t>
        </is>
      </c>
      <c r="Z270" t="n">
        <v/>
      </c>
    </row>
    <row r="271">
      <c r="A271" s="5" t="inlineStr">
        <is>
          <t>01a1212c-7fba-7081-bccb-8f4e7301f47d</t>
        </is>
      </c>
      <c r="B271" t="inlineStr">
        <is>
          <t>B270</t>
        </is>
      </c>
      <c r="C271" s="5" t="inlineStr">
        <is>
          <t>01a1212c-4b57-70cf-80fd-c2192cb3bf81</t>
        </is>
      </c>
      <c r="D271" s="4" t="n">
        <v>46304.62415327997</v>
      </c>
      <c r="E271" s="4" t="n">
        <v>46304.62415328003</v>
      </c>
      <c r="F271" t="b">
        <v>1</v>
      </c>
      <c r="G271" t="n">
        <v/>
      </c>
      <c r="H271" t="inlineStr">
        <is>
          <t>2024-07-02 | Buy | VGS | 13.0000 unit @ A$123.56 / unit</t>
        </is>
      </c>
      <c r="I271" t="inlineStr">
        <is>
          <t>VGS</t>
        </is>
      </c>
      <c r="J271" s="6" t="n">
        <v>45475</v>
      </c>
      <c r="K271" t="n">
        <v>13</v>
      </c>
      <c r="L271" t="inlineStr">
        <is>
          <t>AUD</t>
        </is>
      </c>
      <c r="M271" t="n">
        <v>123.56</v>
      </c>
      <c r="N271" t="inlineStr">
        <is>
          <t>AUD</t>
        </is>
      </c>
      <c r="O271" t="n">
        <v>9.5</v>
      </c>
      <c r="P271" t="inlineStr"/>
      <c r="Q271" t="inlineStr">
        <is>
          <t>FY2024/25</t>
        </is>
      </c>
      <c r="R271" t="inlineStr">
        <is>
          <t>AUD</t>
        </is>
      </c>
      <c r="S271" t="n">
        <v>9.5</v>
      </c>
      <c r="T271" t="inlineStr">
        <is>
          <t>AUD</t>
        </is>
      </c>
      <c r="U271" t="n">
        <v>0.730769</v>
      </c>
      <c r="V271" t="inlineStr">
        <is>
          <t>AUD</t>
        </is>
      </c>
      <c r="W271" t="n">
        <v>123.56</v>
      </c>
      <c r="X271" t="b">
        <v>1</v>
      </c>
      <c r="Y271" s="3" t="inlineStr">
        <is>
          <t>2024-07-02 | PARCEL |  VGS | 13.0000 unit @ A$123.56 / unit | Total cost base = A$1,615.78 |</t>
        </is>
      </c>
      <c r="Z271" t="n">
        <v/>
      </c>
    </row>
    <row r="272">
      <c r="A272" s="5" t="inlineStr">
        <is>
          <t>01a1212c-7fd0-71e8-bd87-62ba868a4fa6</t>
        </is>
      </c>
      <c r="B272" t="inlineStr">
        <is>
          <t>B271</t>
        </is>
      </c>
      <c r="C272" s="5" t="inlineStr">
        <is>
          <t>01a1212c-4b57-70cf-80fd-c2192cb3bf81</t>
        </is>
      </c>
      <c r="D272" s="4" t="n">
        <v>46304.62415354144</v>
      </c>
      <c r="E272" s="4" t="n">
        <v>46304.62415354152</v>
      </c>
      <c r="F272" t="b">
        <v>1</v>
      </c>
      <c r="G272" t="n">
        <v/>
      </c>
      <c r="H272" t="inlineStr">
        <is>
          <t>2024-08-05 | Buy | A200 | 7.0000 unit @ A$127.61 / unit</t>
        </is>
      </c>
      <c r="I272" t="inlineStr">
        <is>
          <t>A200</t>
        </is>
      </c>
      <c r="J272" s="6" t="n">
        <v>45509</v>
      </c>
      <c r="K272" t="n">
        <v>7</v>
      </c>
      <c r="L272" t="inlineStr">
        <is>
          <t>AUD</t>
        </is>
      </c>
      <c r="M272" t="n">
        <v>127.61</v>
      </c>
      <c r="N272" t="inlineStr">
        <is>
          <t>AUD</t>
        </is>
      </c>
      <c r="O272" t="n">
        <v>9.5</v>
      </c>
      <c r="P272" t="inlineStr"/>
      <c r="Q272" t="inlineStr">
        <is>
          <t>FY2024/25</t>
        </is>
      </c>
      <c r="R272" t="inlineStr">
        <is>
          <t>AUD</t>
        </is>
      </c>
      <c r="S272" t="n">
        <v>9.5</v>
      </c>
      <c r="T272" t="inlineStr">
        <is>
          <t>AUD</t>
        </is>
      </c>
      <c r="U272" t="n">
        <v>1.357143</v>
      </c>
      <c r="V272" t="inlineStr">
        <is>
          <t>AUD</t>
        </is>
      </c>
      <c r="W272" t="n">
        <v>127.61</v>
      </c>
      <c r="X272" t="b">
        <v>1</v>
      </c>
      <c r="Y272" s="3" t="inlineStr">
        <is>
          <t>2024-08-05 | PARCEL |  A200 | 7.0000 unit @ A$127.61 / unit | Total cost base = A$902.77 |</t>
        </is>
      </c>
      <c r="Z272" t="n">
        <v/>
      </c>
    </row>
    <row r="273">
      <c r="A273" s="5" t="inlineStr">
        <is>
          <t>01a1212c-7fe6-760d-8606-eb99dd1bbcc7</t>
        </is>
      </c>
      <c r="B273" t="inlineStr">
        <is>
          <t>B272</t>
        </is>
      </c>
      <c r="C273" s="5" t="inlineStr">
        <is>
          <t>01a1212c-4b57-70cf-80fd-c2192cb3bf81</t>
        </is>
      </c>
      <c r="D273" s="4" t="n">
        <v>46304.62415379341</v>
      </c>
      <c r="E273" s="4" t="n">
        <v>46304.62415379348</v>
      </c>
      <c r="F273" t="b">
        <v>1</v>
      </c>
      <c r="G273" t="n">
        <v/>
      </c>
      <c r="H273" t="inlineStr">
        <is>
          <t>2024-08-05 | Buy | VGS | 9.0000 unit @ A$121.59 / unit</t>
        </is>
      </c>
      <c r="I273" t="inlineStr">
        <is>
          <t>VGS</t>
        </is>
      </c>
      <c r="J273" s="6" t="n">
        <v>45509</v>
      </c>
      <c r="K273" t="n">
        <v>9</v>
      </c>
      <c r="L273" t="inlineStr">
        <is>
          <t>AUD</t>
        </is>
      </c>
      <c r="M273" t="n">
        <v>121.59</v>
      </c>
      <c r="N273" t="inlineStr">
        <is>
          <t>AUD</t>
        </is>
      </c>
      <c r="O273" t="n">
        <v>9.5</v>
      </c>
      <c r="P273" t="inlineStr"/>
      <c r="Q273" t="inlineStr">
        <is>
          <t>FY2024/25</t>
        </is>
      </c>
      <c r="R273" t="inlineStr">
        <is>
          <t>AUD</t>
        </is>
      </c>
      <c r="S273" t="n">
        <v>9.5</v>
      </c>
      <c r="T273" t="inlineStr">
        <is>
          <t>AUD</t>
        </is>
      </c>
      <c r="U273" t="n">
        <v>1.055556</v>
      </c>
      <c r="V273" t="inlineStr">
        <is>
          <t>AUD</t>
        </is>
      </c>
      <c r="W273" t="n">
        <v>121.59</v>
      </c>
      <c r="X273" t="b">
        <v>1</v>
      </c>
      <c r="Y273" s="3" t="inlineStr">
        <is>
          <t>2024-08-05 | PARCEL |  VGS | 9.0000 unit @ A$121.59 / unit | Total cost base = A$1,103.81 |</t>
        </is>
      </c>
      <c r="Z273" t="n">
        <v/>
      </c>
    </row>
    <row r="274">
      <c r="A274" s="5" t="inlineStr">
        <is>
          <t>01a1212c-7ffc-70ef-aa8d-ba401aabf1cc</t>
        </is>
      </c>
      <c r="B274" t="inlineStr">
        <is>
          <t>B273</t>
        </is>
      </c>
      <c r="C274" s="5" t="inlineStr">
        <is>
          <t>01a1212c-4b57-70cf-80fd-c2192cb3bf81</t>
        </is>
      </c>
      <c r="D274" s="4" t="n">
        <v>46304.62415404925</v>
      </c>
      <c r="E274" s="4" t="n">
        <v>46304.62415404931</v>
      </c>
      <c r="F274" t="b">
        <v>1</v>
      </c>
      <c r="G274" t="n">
        <v/>
      </c>
      <c r="H274" t="inlineStr">
        <is>
          <t>2024-09-06 | Buy | A200 | 5.0000 unit @ A$134.60 / unit</t>
        </is>
      </c>
      <c r="I274" t="inlineStr">
        <is>
          <t>A200</t>
        </is>
      </c>
      <c r="J274" s="6" t="n">
        <v>45541</v>
      </c>
      <c r="K274" t="n">
        <v>5</v>
      </c>
      <c r="L274" t="inlineStr">
        <is>
          <t>AUD</t>
        </is>
      </c>
      <c r="M274" t="n">
        <v>134.6</v>
      </c>
      <c r="N274" t="inlineStr">
        <is>
          <t>AUD</t>
        </is>
      </c>
      <c r="O274" t="n">
        <v>9.5</v>
      </c>
      <c r="P274" t="inlineStr"/>
      <c r="Q274" t="inlineStr">
        <is>
          <t>FY2024/25</t>
        </is>
      </c>
      <c r="R274" t="inlineStr">
        <is>
          <t>AUD</t>
        </is>
      </c>
      <c r="S274" t="n">
        <v>9.5</v>
      </c>
      <c r="T274" t="inlineStr">
        <is>
          <t>AUD</t>
        </is>
      </c>
      <c r="U274" t="n">
        <v>1.9</v>
      </c>
      <c r="V274" t="inlineStr">
        <is>
          <t>AUD</t>
        </is>
      </c>
      <c r="W274" t="n">
        <v>134.6</v>
      </c>
      <c r="X274" t="b">
        <v>1</v>
      </c>
      <c r="Y274" s="3" t="inlineStr">
        <is>
          <t>2024-09-06 | PARCEL |  A200 | 5.0000 unit @ A$134.60 / unit | Total cost base = A$682.50 |</t>
        </is>
      </c>
      <c r="Z274" t="n">
        <v/>
      </c>
    </row>
    <row r="275">
      <c r="A275" s="5" t="inlineStr">
        <is>
          <t>01a1212c-8011-721f-9150-4abde0b91ec3</t>
        </is>
      </c>
      <c r="B275" t="inlineStr">
        <is>
          <t>B274</t>
        </is>
      </c>
      <c r="C275" s="5" t="inlineStr">
        <is>
          <t>01a1212c-4b57-70cf-80fd-c2192cb3bf81</t>
        </is>
      </c>
      <c r="D275" s="4" t="n">
        <v>46304.62415429411</v>
      </c>
      <c r="E275" s="4" t="n">
        <v>46304.62415429416</v>
      </c>
      <c r="F275" t="b">
        <v>1</v>
      </c>
      <c r="G275" t="n">
        <v/>
      </c>
      <c r="H275" t="inlineStr">
        <is>
          <t>2024-09-06 | Buy | VGS | 6.0000 unit @ A$123.75 / unit</t>
        </is>
      </c>
      <c r="I275" t="inlineStr">
        <is>
          <t>VGS</t>
        </is>
      </c>
      <c r="J275" s="6" t="n">
        <v>45541</v>
      </c>
      <c r="K275" t="n">
        <v>6</v>
      </c>
      <c r="L275" t="inlineStr">
        <is>
          <t>AUD</t>
        </is>
      </c>
      <c r="M275" t="n">
        <v>123.75</v>
      </c>
      <c r="N275" t="inlineStr">
        <is>
          <t>AUD</t>
        </is>
      </c>
      <c r="O275" t="n">
        <v>9.5</v>
      </c>
      <c r="P275" t="inlineStr"/>
      <c r="Q275" t="inlineStr">
        <is>
          <t>FY2024/25</t>
        </is>
      </c>
      <c r="R275" t="inlineStr">
        <is>
          <t>AUD</t>
        </is>
      </c>
      <c r="S275" t="n">
        <v>9.5</v>
      </c>
      <c r="T275" t="inlineStr">
        <is>
          <t>AUD</t>
        </is>
      </c>
      <c r="U275" t="n">
        <v>1.583333</v>
      </c>
      <c r="V275" t="inlineStr">
        <is>
          <t>AUD</t>
        </is>
      </c>
      <c r="W275" t="n">
        <v>123.75</v>
      </c>
      <c r="X275" t="b">
        <v>1</v>
      </c>
      <c r="Y275" s="3" t="inlineStr">
        <is>
          <t>2024-09-06 | PARCEL |  VGS | 6.0000 unit @ A$123.75 / unit | Total cost base = A$752.00 |</t>
        </is>
      </c>
      <c r="Z275" t="n">
        <v/>
      </c>
    </row>
    <row r="276">
      <c r="A276" s="5" t="inlineStr">
        <is>
          <t>01a1212c-8027-71d0-aa64-e867630d627a</t>
        </is>
      </c>
      <c r="B276" t="inlineStr">
        <is>
          <t>B275</t>
        </is>
      </c>
      <c r="C276" s="5" t="inlineStr">
        <is>
          <t>01a1212c-4b57-70cf-80fd-c2192cb3bf81</t>
        </is>
      </c>
      <c r="D276" s="4" t="n">
        <v>46304.62415454199</v>
      </c>
      <c r="E276" s="4" t="n">
        <v>46304.62415454206</v>
      </c>
      <c r="F276" t="b">
        <v>1</v>
      </c>
      <c r="G276" t="n">
        <v/>
      </c>
      <c r="H276" t="inlineStr">
        <is>
          <t>2024-10-07 | Buy | A200 | 6.0000 unit @ A$137.12 / unit</t>
        </is>
      </c>
      <c r="I276" t="inlineStr">
        <is>
          <t>A200</t>
        </is>
      </c>
      <c r="J276" s="6" t="n">
        <v>45572</v>
      </c>
      <c r="K276" t="n">
        <v>6</v>
      </c>
      <c r="L276" t="inlineStr">
        <is>
          <t>AUD</t>
        </is>
      </c>
      <c r="M276" t="n">
        <v>137.12</v>
      </c>
      <c r="N276" t="inlineStr">
        <is>
          <t>AUD</t>
        </is>
      </c>
      <c r="O276" t="n">
        <v>9.5</v>
      </c>
      <c r="P276" t="inlineStr"/>
      <c r="Q276" t="inlineStr">
        <is>
          <t>FY2024/25</t>
        </is>
      </c>
      <c r="R276" t="inlineStr">
        <is>
          <t>AUD</t>
        </is>
      </c>
      <c r="S276" t="n">
        <v>9.5</v>
      </c>
      <c r="T276" t="inlineStr">
        <is>
          <t>AUD</t>
        </is>
      </c>
      <c r="U276" t="n">
        <v>1.583333</v>
      </c>
      <c r="V276" t="inlineStr">
        <is>
          <t>AUD</t>
        </is>
      </c>
      <c r="W276" t="n">
        <v>137.12</v>
      </c>
      <c r="X276" t="b">
        <v>1</v>
      </c>
      <c r="Y276" s="3" t="inlineStr">
        <is>
          <t>2024-10-07 | PARCEL |  A200 | 6.0000 unit @ A$137.12 / unit | Total cost base = A$832.22 |</t>
        </is>
      </c>
      <c r="Z276" t="n">
        <v/>
      </c>
    </row>
    <row r="277">
      <c r="A277" s="5" t="inlineStr">
        <is>
          <t>01a1212c-803d-7353-a9f7-0cc6a15af790</t>
        </is>
      </c>
      <c r="B277" t="inlineStr">
        <is>
          <t>B276</t>
        </is>
      </c>
      <c r="C277" s="5" t="inlineStr">
        <is>
          <t>01a1212c-4b57-70cf-80fd-c2192cb3bf81</t>
        </is>
      </c>
      <c r="D277" s="4" t="n">
        <v>46304.62415479683</v>
      </c>
      <c r="E277" s="4" t="n">
        <v>46304.62415479691</v>
      </c>
      <c r="F277" t="b">
        <v>1</v>
      </c>
      <c r="G277" t="n">
        <v/>
      </c>
      <c r="H277" t="inlineStr">
        <is>
          <t>2024-10-07 | Buy | VGS | 8.0000 unit @ A$127.00 / unit</t>
        </is>
      </c>
      <c r="I277" t="inlineStr">
        <is>
          <t>VGS</t>
        </is>
      </c>
      <c r="J277" s="6" t="n">
        <v>45572</v>
      </c>
      <c r="K277" t="n">
        <v>8</v>
      </c>
      <c r="L277" t="inlineStr">
        <is>
          <t>AUD</t>
        </is>
      </c>
      <c r="M277" t="n">
        <v>127</v>
      </c>
      <c r="N277" t="inlineStr">
        <is>
          <t>AUD</t>
        </is>
      </c>
      <c r="O277" t="n">
        <v>9.5</v>
      </c>
      <c r="P277" t="inlineStr"/>
      <c r="Q277" t="inlineStr">
        <is>
          <t>FY2024/25</t>
        </is>
      </c>
      <c r="R277" t="inlineStr">
        <is>
          <t>AUD</t>
        </is>
      </c>
      <c r="S277" t="n">
        <v>9.5</v>
      </c>
      <c r="T277" t="inlineStr">
        <is>
          <t>AUD</t>
        </is>
      </c>
      <c r="U277" t="n">
        <v>1.1875</v>
      </c>
      <c r="V277" t="inlineStr">
        <is>
          <t>AUD</t>
        </is>
      </c>
      <c r="W277" t="n">
        <v>127</v>
      </c>
      <c r="X277" t="b">
        <v>1</v>
      </c>
      <c r="Y277" s="3" t="inlineStr">
        <is>
          <t>2024-10-07 | PARCEL |  VGS | 8.0000 unit @ A$127.00 / unit | Total cost base = A$1,025.50 |</t>
        </is>
      </c>
      <c r="Z277" t="n">
        <v/>
      </c>
    </row>
    <row r="278">
      <c r="A278" s="5" t="inlineStr">
        <is>
          <t>01a1212c-8053-70f3-ade5-a64703aff997</t>
        </is>
      </c>
      <c r="B278" t="inlineStr">
        <is>
          <t>B277</t>
        </is>
      </c>
      <c r="C278" s="5" t="inlineStr">
        <is>
          <t>01a1212c-4b57-70cf-80fd-c2192cb3bf81</t>
        </is>
      </c>
      <c r="D278" s="4" t="n">
        <v>46304.62415505072</v>
      </c>
      <c r="E278" s="4" t="n">
        <v>46304.62415505078</v>
      </c>
      <c r="F278" t="b">
        <v>1</v>
      </c>
      <c r="G278" t="n">
        <v/>
      </c>
      <c r="H278" t="inlineStr">
        <is>
          <t>2024-11-04 | Buy | A200 | 10.0000 unit @ A$136.46 / unit</t>
        </is>
      </c>
      <c r="I278" t="inlineStr">
        <is>
          <t>A200</t>
        </is>
      </c>
      <c r="J278" s="6" t="n">
        <v>45600</v>
      </c>
      <c r="K278" t="n">
        <v>10</v>
      </c>
      <c r="L278" t="inlineStr">
        <is>
          <t>AUD</t>
        </is>
      </c>
      <c r="M278" t="n">
        <v>136.46</v>
      </c>
      <c r="N278" t="inlineStr">
        <is>
          <t>AUD</t>
        </is>
      </c>
      <c r="O278" t="n">
        <v>9.5</v>
      </c>
      <c r="P278" t="inlineStr"/>
      <c r="Q278" t="inlineStr">
        <is>
          <t>FY2024/25</t>
        </is>
      </c>
      <c r="R278" t="inlineStr">
        <is>
          <t>AUD</t>
        </is>
      </c>
      <c r="S278" t="n">
        <v>9.5</v>
      </c>
      <c r="T278" t="inlineStr">
        <is>
          <t>AUD</t>
        </is>
      </c>
      <c r="U278" t="n">
        <v>0.95</v>
      </c>
      <c r="V278" t="inlineStr">
        <is>
          <t>AUD</t>
        </is>
      </c>
      <c r="W278" t="n">
        <v>136.46</v>
      </c>
      <c r="X278" t="b">
        <v>1</v>
      </c>
      <c r="Y278" s="3" t="inlineStr">
        <is>
          <t>2024-11-04 | PARCEL |  A200 | 10.0000 unit @ A$136.46 / unit | Total cost base = A$1,374.10 |</t>
        </is>
      </c>
      <c r="Z278" t="n">
        <v/>
      </c>
    </row>
    <row r="279">
      <c r="A279" s="5" t="inlineStr">
        <is>
          <t>01a1212c-8068-7650-b39f-055fd505ed79</t>
        </is>
      </c>
      <c r="B279" t="inlineStr">
        <is>
          <t>B278</t>
        </is>
      </c>
      <c r="C279" s="5" t="inlineStr">
        <is>
          <t>01a1212c-4b57-70cf-80fd-c2192cb3bf81</t>
        </is>
      </c>
      <c r="D279" s="4" t="n">
        <v>46304.62415531537</v>
      </c>
      <c r="E279" s="4" t="n">
        <v>46304.62415531543</v>
      </c>
      <c r="F279" t="b">
        <v>1</v>
      </c>
      <c r="G279" t="n">
        <v/>
      </c>
      <c r="H279" t="inlineStr">
        <is>
          <t>2024-11-04 | Buy | MSFT | 2.0000 unit @ $408.46 / unit</t>
        </is>
      </c>
      <c r="I279" t="inlineStr">
        <is>
          <t>MSFT</t>
        </is>
      </c>
      <c r="J279" s="6" t="n">
        <v>45600</v>
      </c>
      <c r="K279" t="n">
        <v>2</v>
      </c>
      <c r="L279" t="inlineStr">
        <is>
          <t>USD</t>
        </is>
      </c>
      <c r="M279" t="n">
        <v>408.46</v>
      </c>
      <c r="N279" t="inlineStr">
        <is>
          <t>USD</t>
        </is>
      </c>
      <c r="O279" t="n">
        <v>5</v>
      </c>
      <c r="P279" t="inlineStr"/>
      <c r="Q279" t="inlineStr">
        <is>
          <t>FY2024/25</t>
        </is>
      </c>
      <c r="R279" t="inlineStr">
        <is>
          <t>AUD</t>
        </is>
      </c>
      <c r="S279" t="n">
        <v>7.5</v>
      </c>
      <c r="T279" t="inlineStr">
        <is>
          <t>AUD</t>
        </is>
      </c>
      <c r="U279" t="n">
        <v>3.75</v>
      </c>
      <c r="V279" t="inlineStr">
        <is>
          <t>AUD</t>
        </is>
      </c>
      <c r="W279" t="n">
        <v>612.6900000000001</v>
      </c>
      <c r="X279" t="b">
        <v>1</v>
      </c>
      <c r="Y279" s="3" t="inlineStr">
        <is>
          <t>2024-11-04 | PARCEL |  MSFT | 2.0000 unit @ A$612.69 / unit | Total cost base = A$1,232.88 |</t>
        </is>
      </c>
      <c r="Z279" s="5" t="inlineStr">
        <is>
          <t>01a1212c-806a-71ea-8ab4-d2ba3a2cc9d2</t>
        </is>
      </c>
    </row>
    <row r="280">
      <c r="A280" s="5" t="inlineStr">
        <is>
          <t>01a1212c-807f-7147-a9a1-f4cfbdbef33c</t>
        </is>
      </c>
      <c r="B280" t="inlineStr">
        <is>
          <t>B279</t>
        </is>
      </c>
      <c r="C280" s="5" t="inlineStr">
        <is>
          <t>01a1212c-4b57-70cf-80fd-c2192cb3bf81</t>
        </is>
      </c>
      <c r="D280" s="4" t="n">
        <v>46304.62415556624</v>
      </c>
      <c r="E280" s="4" t="n">
        <v>46304.62415556631</v>
      </c>
      <c r="F280" t="b">
        <v>1</v>
      </c>
      <c r="G280" t="n">
        <v/>
      </c>
      <c r="H280" t="inlineStr">
        <is>
          <t>2024-11-04 | Buy | VGS | 13.0000 unit @ A$129.83 / unit</t>
        </is>
      </c>
      <c r="I280" t="inlineStr">
        <is>
          <t>VGS</t>
        </is>
      </c>
      <c r="J280" s="6" t="n">
        <v>45600</v>
      </c>
      <c r="K280" t="n">
        <v>13</v>
      </c>
      <c r="L280" t="inlineStr">
        <is>
          <t>AUD</t>
        </is>
      </c>
      <c r="M280" t="n">
        <v>129.83</v>
      </c>
      <c r="N280" t="inlineStr">
        <is>
          <t>AUD</t>
        </is>
      </c>
      <c r="O280" t="n">
        <v>9.5</v>
      </c>
      <c r="P280" t="inlineStr"/>
      <c r="Q280" t="inlineStr">
        <is>
          <t>FY2024/25</t>
        </is>
      </c>
      <c r="R280" t="inlineStr">
        <is>
          <t>AUD</t>
        </is>
      </c>
      <c r="S280" t="n">
        <v>9.5</v>
      </c>
      <c r="T280" t="inlineStr">
        <is>
          <t>AUD</t>
        </is>
      </c>
      <c r="U280" t="n">
        <v>0.730769</v>
      </c>
      <c r="V280" t="inlineStr">
        <is>
          <t>AUD</t>
        </is>
      </c>
      <c r="W280" t="n">
        <v>129.83</v>
      </c>
      <c r="X280" t="b">
        <v>1</v>
      </c>
      <c r="Y280" s="3" t="inlineStr">
        <is>
          <t>2024-11-04 | PARCEL |  VGS | 13.0000 unit @ A$129.83 / unit | Total cost base = A$1,697.29 |</t>
        </is>
      </c>
      <c r="Z280" t="n">
        <v/>
      </c>
    </row>
    <row r="281">
      <c r="A281" s="5" t="inlineStr">
        <is>
          <t>01a1212c-8095-77dc-8ed0-bad4b2b5f322</t>
        </is>
      </c>
      <c r="B281" t="inlineStr">
        <is>
          <t>B280</t>
        </is>
      </c>
      <c r="C281" s="5" t="inlineStr">
        <is>
          <t>01a1212c-4b57-70cf-80fd-c2192cb3bf81</t>
        </is>
      </c>
      <c r="D281" s="4" t="n">
        <v>46304.62415581451</v>
      </c>
      <c r="E281" s="4" t="n">
        <v>46304.62415581458</v>
      </c>
      <c r="F281" t="b">
        <v>1</v>
      </c>
      <c r="G281" t="n">
        <v/>
      </c>
      <c r="H281" t="inlineStr">
        <is>
          <t>2024-12-04 | Buy | A200 | 7.0000 unit @ A$141.85 / unit</t>
        </is>
      </c>
      <c r="I281" t="inlineStr">
        <is>
          <t>A200</t>
        </is>
      </c>
      <c r="J281" s="6" t="n">
        <v>45630</v>
      </c>
      <c r="K281" t="n">
        <v>7</v>
      </c>
      <c r="L281" t="inlineStr">
        <is>
          <t>AUD</t>
        </is>
      </c>
      <c r="M281" t="n">
        <v>141.85</v>
      </c>
      <c r="N281" t="inlineStr">
        <is>
          <t>AUD</t>
        </is>
      </c>
      <c r="O281" t="n">
        <v>9.5</v>
      </c>
      <c r="P281" t="inlineStr"/>
      <c r="Q281" t="inlineStr">
        <is>
          <t>FY2024/25</t>
        </is>
      </c>
      <c r="R281" t="inlineStr">
        <is>
          <t>AUD</t>
        </is>
      </c>
      <c r="S281" t="n">
        <v>9.5</v>
      </c>
      <c r="T281" t="inlineStr">
        <is>
          <t>AUD</t>
        </is>
      </c>
      <c r="U281" t="n">
        <v>1.357143</v>
      </c>
      <c r="V281" t="inlineStr">
        <is>
          <t>AUD</t>
        </is>
      </c>
      <c r="W281" t="n">
        <v>141.85</v>
      </c>
      <c r="X281" t="b">
        <v>1</v>
      </c>
      <c r="Y281" s="3" t="inlineStr">
        <is>
          <t>2024-12-04 | PARCEL |  A200 | 7.0000 unit @ A$141.85 / unit | Total cost base = A$1,002.45 |</t>
        </is>
      </c>
      <c r="Z281" t="n">
        <v/>
      </c>
    </row>
    <row r="282">
      <c r="A282" s="5" t="inlineStr">
        <is>
          <t>01a1212c-80aa-74e7-afd8-bbaa36411269</t>
        </is>
      </c>
      <c r="B282" t="inlineStr">
        <is>
          <t>B281</t>
        </is>
      </c>
      <c r="C282" s="5" t="inlineStr">
        <is>
          <t>01a1212c-4b57-70cf-80fd-c2192cb3bf81</t>
        </is>
      </c>
      <c r="D282" s="4" t="n">
        <v>46304.62415606173</v>
      </c>
      <c r="E282" s="4" t="n">
        <v>46304.62415606181</v>
      </c>
      <c r="F282" t="b">
        <v>1</v>
      </c>
      <c r="G282" t="n">
        <v/>
      </c>
      <c r="H282" t="inlineStr">
        <is>
          <t>2024-12-04 | Buy | VGS | 9.0000 unit @ A$139.20 / unit</t>
        </is>
      </c>
      <c r="I282" t="inlineStr">
        <is>
          <t>VGS</t>
        </is>
      </c>
      <c r="J282" s="6" t="n">
        <v>45630</v>
      </c>
      <c r="K282" t="n">
        <v>9</v>
      </c>
      <c r="L282" t="inlineStr">
        <is>
          <t>AUD</t>
        </is>
      </c>
      <c r="M282" t="n">
        <v>139.2</v>
      </c>
      <c r="N282" t="inlineStr">
        <is>
          <t>AUD</t>
        </is>
      </c>
      <c r="O282" t="n">
        <v>9.5</v>
      </c>
      <c r="P282" t="inlineStr"/>
      <c r="Q282" t="inlineStr">
        <is>
          <t>FY2024/25</t>
        </is>
      </c>
      <c r="R282" t="inlineStr">
        <is>
          <t>AUD</t>
        </is>
      </c>
      <c r="S282" t="n">
        <v>9.5</v>
      </c>
      <c r="T282" t="inlineStr">
        <is>
          <t>AUD</t>
        </is>
      </c>
      <c r="U282" t="n">
        <v>1.055556</v>
      </c>
      <c r="V282" t="inlineStr">
        <is>
          <t>AUD</t>
        </is>
      </c>
      <c r="W282" t="n">
        <v>139.2</v>
      </c>
      <c r="X282" t="b">
        <v>1</v>
      </c>
      <c r="Y282" s="3" t="inlineStr">
        <is>
          <t>2024-12-04 | PARCEL |  VGS | 9.0000 unit @ A$139.20 / unit | Total cost base = A$1,262.30 |</t>
        </is>
      </c>
      <c r="Z282" t="n">
        <v/>
      </c>
    </row>
    <row r="283">
      <c r="A283" s="5" t="inlineStr">
        <is>
          <t>01a1212c-80bf-7358-bbc6-f300461ec881</t>
        </is>
      </c>
      <c r="B283" t="inlineStr">
        <is>
          <t>B282</t>
        </is>
      </c>
      <c r="C283" s="5" t="inlineStr">
        <is>
          <t>01a1212c-4b57-70cf-80fd-c2192cb3bf81</t>
        </is>
      </c>
      <c r="D283" s="4" t="n">
        <v>46304.62415632085</v>
      </c>
      <c r="E283" s="4" t="n">
        <v>46304.6241563209</v>
      </c>
      <c r="F283" t="b">
        <v>1</v>
      </c>
      <c r="G283" t="n">
        <v/>
      </c>
      <c r="H283" t="inlineStr">
        <is>
          <t>2024-12-09 | Buy | AMZN | 2.0000 unit @ $226.09 / unit</t>
        </is>
      </c>
      <c r="I283" t="inlineStr">
        <is>
          <t>AMZN</t>
        </is>
      </c>
      <c r="J283" s="6" t="n">
        <v>45635</v>
      </c>
      <c r="K283" t="n">
        <v>2</v>
      </c>
      <c r="L283" t="inlineStr">
        <is>
          <t>USD</t>
        </is>
      </c>
      <c r="M283" t="n">
        <v>226.09</v>
      </c>
      <c r="N283" t="inlineStr">
        <is>
          <t>USD</t>
        </is>
      </c>
      <c r="O283" t="n">
        <v>5</v>
      </c>
      <c r="P283" t="inlineStr"/>
      <c r="Q283" t="inlineStr">
        <is>
          <t>FY2024/25</t>
        </is>
      </c>
      <c r="R283" t="inlineStr">
        <is>
          <t>AUD</t>
        </is>
      </c>
      <c r="S283" t="n">
        <v>7.5</v>
      </c>
      <c r="T283" t="inlineStr">
        <is>
          <t>AUD</t>
        </is>
      </c>
      <c r="U283" t="n">
        <v>3.75</v>
      </c>
      <c r="V283" t="inlineStr">
        <is>
          <t>AUD</t>
        </is>
      </c>
      <c r="W283" t="n">
        <v>339.135</v>
      </c>
      <c r="X283" t="b">
        <v>1</v>
      </c>
      <c r="Y283" s="3" t="inlineStr">
        <is>
          <t>2024-12-09 | PARCEL |  AMZN | 2.0000 unit @ A$339.14 / unit | Total cost base = A$685.77 |</t>
        </is>
      </c>
      <c r="Z283" s="5" t="inlineStr">
        <is>
          <t>01a1212c-80c1-7556-adc7-c967163b3f6b</t>
        </is>
      </c>
    </row>
    <row r="284">
      <c r="A284" s="5" t="inlineStr">
        <is>
          <t>01a1212c-80d7-751c-816a-f91f737bf8a7</t>
        </is>
      </c>
      <c r="B284" t="inlineStr">
        <is>
          <t>B283</t>
        </is>
      </c>
      <c r="C284" s="5" t="inlineStr">
        <is>
          <t>01a1212c-4b57-70cf-80fd-c2192cb3bf81</t>
        </is>
      </c>
      <c r="D284" s="4" t="n">
        <v>46304.62415658858</v>
      </c>
      <c r="E284" s="4" t="n">
        <v>46304.62415658866</v>
      </c>
      <c r="F284" t="b">
        <v>1</v>
      </c>
      <c r="G284" t="n">
        <v/>
      </c>
      <c r="H284" t="inlineStr">
        <is>
          <t>2024-12-09 | Buy | MSFT | 1.0000 unit @ $446.02 / unit</t>
        </is>
      </c>
      <c r="I284" t="inlineStr">
        <is>
          <t>MSFT</t>
        </is>
      </c>
      <c r="J284" s="6" t="n">
        <v>45635</v>
      </c>
      <c r="K284" t="n">
        <v>1</v>
      </c>
      <c r="L284" t="inlineStr">
        <is>
          <t>USD</t>
        </is>
      </c>
      <c r="M284" t="n">
        <v>446.02</v>
      </c>
      <c r="N284" t="inlineStr">
        <is>
          <t>USD</t>
        </is>
      </c>
      <c r="O284" t="n">
        <v>5</v>
      </c>
      <c r="P284" t="inlineStr"/>
      <c r="Q284" t="inlineStr">
        <is>
          <t>FY2024/25</t>
        </is>
      </c>
      <c r="R284" t="inlineStr">
        <is>
          <t>AUD</t>
        </is>
      </c>
      <c r="S284" t="n">
        <v>7.5</v>
      </c>
      <c r="T284" t="inlineStr">
        <is>
          <t>AUD</t>
        </is>
      </c>
      <c r="U284" t="n">
        <v>7.5</v>
      </c>
      <c r="V284" t="inlineStr">
        <is>
          <t>AUD</t>
        </is>
      </c>
      <c r="W284" t="n">
        <v>669.03</v>
      </c>
      <c r="X284" t="b">
        <v>1</v>
      </c>
      <c r="Y284" s="3" t="inlineStr">
        <is>
          <t>2024-12-09 | PARCEL |  MSFT | 1.0000 unit @ A$669.03 / unit | Total cost base = A$676.53 |</t>
        </is>
      </c>
      <c r="Z284" s="5" t="inlineStr">
        <is>
          <t>01a1212c-80c1-7556-adc7-c967163b3f6b</t>
        </is>
      </c>
    </row>
    <row r="285">
      <c r="A285" s="5" t="inlineStr">
        <is>
          <t>01a1212c-80ef-76ee-a826-fc5322c25fd5</t>
        </is>
      </c>
      <c r="B285" t="inlineStr">
        <is>
          <t>B284</t>
        </is>
      </c>
      <c r="C285" s="5" t="inlineStr">
        <is>
          <t>01a1212c-4b57-70cf-80fd-c2192cb3bf81</t>
        </is>
      </c>
      <c r="D285" s="4" t="n">
        <v>46304.62415685368</v>
      </c>
      <c r="E285" s="4" t="n">
        <v>46304.62415685375</v>
      </c>
      <c r="F285" t="b">
        <v>1</v>
      </c>
      <c r="G285" t="n">
        <v/>
      </c>
      <c r="H285" t="inlineStr">
        <is>
          <t>2025-01-06 | Buy | A200 | 5.0000 unit @ A$137.26 / unit</t>
        </is>
      </c>
      <c r="I285" t="inlineStr">
        <is>
          <t>A200</t>
        </is>
      </c>
      <c r="J285" s="6" t="n">
        <v>45663</v>
      </c>
      <c r="K285" t="n">
        <v>5</v>
      </c>
      <c r="L285" t="inlineStr">
        <is>
          <t>AUD</t>
        </is>
      </c>
      <c r="M285" t="n">
        <v>137.26</v>
      </c>
      <c r="N285" t="inlineStr">
        <is>
          <t>AUD</t>
        </is>
      </c>
      <c r="O285" t="n">
        <v>9.5</v>
      </c>
      <c r="P285" t="inlineStr"/>
      <c r="Q285" t="inlineStr">
        <is>
          <t>FY2024/25</t>
        </is>
      </c>
      <c r="R285" t="inlineStr">
        <is>
          <t>AUD</t>
        </is>
      </c>
      <c r="S285" t="n">
        <v>9.5</v>
      </c>
      <c r="T285" t="inlineStr">
        <is>
          <t>AUD</t>
        </is>
      </c>
      <c r="U285" t="n">
        <v>1.9</v>
      </c>
      <c r="V285" t="inlineStr">
        <is>
          <t>AUD</t>
        </is>
      </c>
      <c r="W285" t="n">
        <v>137.26</v>
      </c>
      <c r="X285" t="b">
        <v>1</v>
      </c>
      <c r="Y285" s="3" t="inlineStr">
        <is>
          <t>2025-01-06 | PARCEL |  A200 | 5.0000 unit @ A$137.26 / unit | Total cost base = A$695.80 |</t>
        </is>
      </c>
      <c r="Z285" t="n">
        <v/>
      </c>
    </row>
    <row r="286">
      <c r="A286" s="5" t="inlineStr">
        <is>
          <t>01a1212c-8104-721f-b07b-d817aed45cbb</t>
        </is>
      </c>
      <c r="B286" t="inlineStr">
        <is>
          <t>B285</t>
        </is>
      </c>
      <c r="C286" s="5" t="inlineStr">
        <is>
          <t>01a1212c-4b57-70cf-80fd-c2192cb3bf81</t>
        </is>
      </c>
      <c r="D286" s="4" t="n">
        <v>46304.62415710731</v>
      </c>
      <c r="E286" s="4" t="n">
        <v>46304.6241571074</v>
      </c>
      <c r="F286" t="b">
        <v>1</v>
      </c>
      <c r="G286" t="n">
        <v/>
      </c>
      <c r="H286" t="inlineStr">
        <is>
          <t>2025-01-06 | Buy | VGS | 6.0000 unit @ A$140.07 / unit</t>
        </is>
      </c>
      <c r="I286" t="inlineStr">
        <is>
          <t>VGS</t>
        </is>
      </c>
      <c r="J286" s="6" t="n">
        <v>45663</v>
      </c>
      <c r="K286" t="n">
        <v>6</v>
      </c>
      <c r="L286" t="inlineStr">
        <is>
          <t>AUD</t>
        </is>
      </c>
      <c r="M286" t="n">
        <v>140.07</v>
      </c>
      <c r="N286" t="inlineStr">
        <is>
          <t>AUD</t>
        </is>
      </c>
      <c r="O286" t="n">
        <v>9.5</v>
      </c>
      <c r="P286" t="inlineStr"/>
      <c r="Q286" t="inlineStr">
        <is>
          <t>FY2024/25</t>
        </is>
      </c>
      <c r="R286" t="inlineStr">
        <is>
          <t>AUD</t>
        </is>
      </c>
      <c r="S286" t="n">
        <v>9.5</v>
      </c>
      <c r="T286" t="inlineStr">
        <is>
          <t>AUD</t>
        </is>
      </c>
      <c r="U286" t="n">
        <v>1.583333</v>
      </c>
      <c r="V286" t="inlineStr">
        <is>
          <t>AUD</t>
        </is>
      </c>
      <c r="W286" t="n">
        <v>140.07</v>
      </c>
      <c r="X286" t="b">
        <v>1</v>
      </c>
      <c r="Y286" s="3" t="inlineStr">
        <is>
          <t>2025-01-06 | PARCEL |  VGS | 6.0000 unit @ A$140.07 / unit | Total cost base = A$849.92 |</t>
        </is>
      </c>
      <c r="Z286" t="n">
        <v/>
      </c>
    </row>
    <row r="287">
      <c r="A287" s="5" t="inlineStr">
        <is>
          <t>01a1212c-811b-70df-a4fa-efcc1f216056</t>
        </is>
      </c>
      <c r="B287" t="inlineStr">
        <is>
          <t>B286</t>
        </is>
      </c>
      <c r="C287" s="5" t="inlineStr">
        <is>
          <t>01a1212c-4b57-70cf-80fd-c2192cb3bf81</t>
        </is>
      </c>
      <c r="D287" s="4" t="n">
        <v>46304.62415736463</v>
      </c>
      <c r="E287" s="4" t="n">
        <v>46304.62415736471</v>
      </c>
      <c r="F287" t="b">
        <v>1</v>
      </c>
      <c r="G287" t="n">
        <v/>
      </c>
      <c r="H287" t="inlineStr">
        <is>
          <t>2025-02-03 | Buy | A200 | 6.0000 unit @ A$139.24 / unit</t>
        </is>
      </c>
      <c r="I287" t="inlineStr">
        <is>
          <t>A200</t>
        </is>
      </c>
      <c r="J287" s="6" t="n">
        <v>45691</v>
      </c>
      <c r="K287" t="n">
        <v>6</v>
      </c>
      <c r="L287" t="inlineStr">
        <is>
          <t>AUD</t>
        </is>
      </c>
      <c r="M287" t="n">
        <v>139.24</v>
      </c>
      <c r="N287" t="inlineStr">
        <is>
          <t>AUD</t>
        </is>
      </c>
      <c r="O287" t="n">
        <v>9.5</v>
      </c>
      <c r="P287" t="inlineStr"/>
      <c r="Q287" t="inlineStr">
        <is>
          <t>FY2024/25</t>
        </is>
      </c>
      <c r="R287" t="inlineStr">
        <is>
          <t>AUD</t>
        </is>
      </c>
      <c r="S287" t="n">
        <v>9.5</v>
      </c>
      <c r="T287" t="inlineStr">
        <is>
          <t>AUD</t>
        </is>
      </c>
      <c r="U287" t="n">
        <v>1.583333</v>
      </c>
      <c r="V287" t="inlineStr">
        <is>
          <t>AUD</t>
        </is>
      </c>
      <c r="W287" t="n">
        <v>139.24</v>
      </c>
      <c r="X287" t="b">
        <v>1</v>
      </c>
      <c r="Y287" s="3" t="inlineStr">
        <is>
          <t>2025-02-03 | PARCEL |  A200 | 6.0000 unit @ A$139.24 / unit | Total cost base = A$844.94 |</t>
        </is>
      </c>
      <c r="Z287" t="n">
        <v/>
      </c>
    </row>
    <row r="288">
      <c r="A288" s="5" t="inlineStr">
        <is>
          <t>01a1212c-8130-7134-9882-2e3c8daf93de</t>
        </is>
      </c>
      <c r="B288" t="inlineStr">
        <is>
          <t>B287</t>
        </is>
      </c>
      <c r="C288" s="5" t="inlineStr">
        <is>
          <t>01a1212c-4b57-70cf-80fd-c2192cb3bf81</t>
        </is>
      </c>
      <c r="D288" s="4" t="n">
        <v>46304.62415761455</v>
      </c>
      <c r="E288" s="4" t="n">
        <v>46304.62415761462</v>
      </c>
      <c r="F288" t="b">
        <v>1</v>
      </c>
      <c r="G288" t="n">
        <v/>
      </c>
      <c r="H288" t="inlineStr">
        <is>
          <t>2025-02-03 | Buy | VGS | 7.0000 unit @ A$142.60 / unit</t>
        </is>
      </c>
      <c r="I288" t="inlineStr">
        <is>
          <t>VGS</t>
        </is>
      </c>
      <c r="J288" s="6" t="n">
        <v>45691</v>
      </c>
      <c r="K288" t="n">
        <v>7</v>
      </c>
      <c r="L288" t="inlineStr">
        <is>
          <t>AUD</t>
        </is>
      </c>
      <c r="M288" t="n">
        <v>142.6</v>
      </c>
      <c r="N288" t="inlineStr">
        <is>
          <t>AUD</t>
        </is>
      </c>
      <c r="O288" t="n">
        <v>9.5</v>
      </c>
      <c r="P288" t="inlineStr"/>
      <c r="Q288" t="inlineStr">
        <is>
          <t>FY2024/25</t>
        </is>
      </c>
      <c r="R288" t="inlineStr">
        <is>
          <t>AUD</t>
        </is>
      </c>
      <c r="S288" t="n">
        <v>9.5</v>
      </c>
      <c r="T288" t="inlineStr">
        <is>
          <t>AUD</t>
        </is>
      </c>
      <c r="U288" t="n">
        <v>1.357143</v>
      </c>
      <c r="V288" t="inlineStr">
        <is>
          <t>AUD</t>
        </is>
      </c>
      <c r="W288" t="n">
        <v>142.6</v>
      </c>
      <c r="X288" t="b">
        <v>1</v>
      </c>
      <c r="Y288" s="3" t="inlineStr">
        <is>
          <t>2025-02-03 | PARCEL |  VGS | 7.0000 unit @ A$142.60 / unit | Total cost base = A$1,007.70 |</t>
        </is>
      </c>
      <c r="Z288" t="n">
        <v/>
      </c>
    </row>
    <row r="289">
      <c r="A289" s="5" t="inlineStr">
        <is>
          <t>01a1212c-8146-724f-abfb-c1393f08f2cd</t>
        </is>
      </c>
      <c r="B289" t="inlineStr">
        <is>
          <t>B288</t>
        </is>
      </c>
      <c r="C289" s="5" t="inlineStr">
        <is>
          <t>01a1212c-4b57-70cf-80fd-c2192cb3bf81</t>
        </is>
      </c>
      <c r="D289" s="4" t="n">
        <v>46304.62415787793</v>
      </c>
      <c r="E289" s="4" t="n">
        <v>46304.62415787799</v>
      </c>
      <c r="F289" t="b">
        <v>1</v>
      </c>
      <c r="G289" t="n">
        <v/>
      </c>
      <c r="H289" t="inlineStr">
        <is>
          <t>2025-02-14 | Buy | AAPL | 2.0000 unit @ $244.60 / unit</t>
        </is>
      </c>
      <c r="I289" t="inlineStr">
        <is>
          <t>AAPL</t>
        </is>
      </c>
      <c r="J289" s="6" t="n">
        <v>45702</v>
      </c>
      <c r="K289" t="n">
        <v>2</v>
      </c>
      <c r="L289" t="inlineStr">
        <is>
          <t>USD</t>
        </is>
      </c>
      <c r="M289" t="n">
        <v>244.6</v>
      </c>
      <c r="N289" t="inlineStr">
        <is>
          <t>USD</t>
        </is>
      </c>
      <c r="O289" t="n">
        <v>5</v>
      </c>
      <c r="P289" t="inlineStr"/>
      <c r="Q289" t="inlineStr">
        <is>
          <t>FY2024/25</t>
        </is>
      </c>
      <c r="R289" t="inlineStr">
        <is>
          <t>AUD</t>
        </is>
      </c>
      <c r="S289" t="n">
        <v>7.5</v>
      </c>
      <c r="T289" t="inlineStr">
        <is>
          <t>AUD</t>
        </is>
      </c>
      <c r="U289" t="n">
        <v>3.75</v>
      </c>
      <c r="V289" t="inlineStr">
        <is>
          <t>AUD</t>
        </is>
      </c>
      <c r="W289" t="n">
        <v>366.9</v>
      </c>
      <c r="X289" t="b">
        <v>1</v>
      </c>
      <c r="Y289" s="3" t="inlineStr">
        <is>
          <t>2025-02-14 | PARCEL |  AAPL | 2.0000 unit @ A$366.90 / unit | Total cost base = A$741.30 |</t>
        </is>
      </c>
      <c r="Z289" s="5" t="inlineStr">
        <is>
          <t>01a1212c-8147-72e4-8bb3-f2524528cb00</t>
        </is>
      </c>
    </row>
    <row r="290">
      <c r="A290" s="5" t="inlineStr">
        <is>
          <t>01a1212c-815d-7796-8cbe-45bdcab8a7fb</t>
        </is>
      </c>
      <c r="B290" t="inlineStr">
        <is>
          <t>B289</t>
        </is>
      </c>
      <c r="C290" s="5" t="inlineStr">
        <is>
          <t>01a1212c-4b57-70cf-80fd-c2192cb3bf81</t>
        </is>
      </c>
      <c r="D290" s="4" t="n">
        <v>46304.62415813019</v>
      </c>
      <c r="E290" s="4" t="n">
        <v>46304.62415813025</v>
      </c>
      <c r="F290" t="b">
        <v>1</v>
      </c>
      <c r="G290" t="n">
        <v/>
      </c>
      <c r="H290" t="inlineStr">
        <is>
          <t>2025-03-03 | Buy | A200 | 6.0000 unit @ A$137.69 / unit</t>
        </is>
      </c>
      <c r="I290" t="inlineStr">
        <is>
          <t>A200</t>
        </is>
      </c>
      <c r="J290" s="6" t="n">
        <v>45719</v>
      </c>
      <c r="K290" t="n">
        <v>6</v>
      </c>
      <c r="L290" t="inlineStr">
        <is>
          <t>AUD</t>
        </is>
      </c>
      <c r="M290" t="n">
        <v>137.69</v>
      </c>
      <c r="N290" t="inlineStr">
        <is>
          <t>AUD</t>
        </is>
      </c>
      <c r="O290" t="n">
        <v>9.5</v>
      </c>
      <c r="P290" t="inlineStr"/>
      <c r="Q290" t="inlineStr">
        <is>
          <t>FY2024/25</t>
        </is>
      </c>
      <c r="R290" t="inlineStr">
        <is>
          <t>AUD</t>
        </is>
      </c>
      <c r="S290" t="n">
        <v>9.5</v>
      </c>
      <c r="T290" t="inlineStr">
        <is>
          <t>AUD</t>
        </is>
      </c>
      <c r="U290" t="n">
        <v>1.583333</v>
      </c>
      <c r="V290" t="inlineStr">
        <is>
          <t>AUD</t>
        </is>
      </c>
      <c r="W290" t="n">
        <v>137.69</v>
      </c>
      <c r="X290" t="b">
        <v>1</v>
      </c>
      <c r="Y290" s="3" t="inlineStr">
        <is>
          <t>2025-03-03 | PARCEL |  A200 | 6.0000 unit @ A$137.69 / unit | Total cost base = A$835.64 |</t>
        </is>
      </c>
      <c r="Z290" t="n">
        <v/>
      </c>
    </row>
    <row r="291">
      <c r="A291" s="5" t="inlineStr">
        <is>
          <t>01a1212c-8172-736f-bead-e6251dc94aed</t>
        </is>
      </c>
      <c r="B291" t="inlineStr">
        <is>
          <t>B290</t>
        </is>
      </c>
      <c r="C291" s="5" t="inlineStr">
        <is>
          <t>01a1212c-4b57-70cf-80fd-c2192cb3bf81</t>
        </is>
      </c>
      <c r="D291" s="4" t="n">
        <v>46304.62415837957</v>
      </c>
      <c r="E291" s="4" t="n">
        <v>46304.62415837964</v>
      </c>
      <c r="F291" t="b">
        <v>1</v>
      </c>
      <c r="G291" t="n">
        <v/>
      </c>
      <c r="H291" t="inlineStr">
        <is>
          <t>2025-03-03 | Buy | VGS | 8.0000 unit @ A$143.27 / unit</t>
        </is>
      </c>
      <c r="I291" t="inlineStr">
        <is>
          <t>VGS</t>
        </is>
      </c>
      <c r="J291" s="6" t="n">
        <v>45719</v>
      </c>
      <c r="K291" t="n">
        <v>8</v>
      </c>
      <c r="L291" t="inlineStr">
        <is>
          <t>AUD</t>
        </is>
      </c>
      <c r="M291" t="n">
        <v>143.27</v>
      </c>
      <c r="N291" t="inlineStr">
        <is>
          <t>AUD</t>
        </is>
      </c>
      <c r="O291" t="n">
        <v>9.5</v>
      </c>
      <c r="P291" t="inlineStr"/>
      <c r="Q291" t="inlineStr">
        <is>
          <t>FY2024/25</t>
        </is>
      </c>
      <c r="R291" t="inlineStr">
        <is>
          <t>AUD</t>
        </is>
      </c>
      <c r="S291" t="n">
        <v>9.5</v>
      </c>
      <c r="T291" t="inlineStr">
        <is>
          <t>AUD</t>
        </is>
      </c>
      <c r="U291" t="n">
        <v>1.1875</v>
      </c>
      <c r="V291" t="inlineStr">
        <is>
          <t>AUD</t>
        </is>
      </c>
      <c r="W291" t="n">
        <v>143.27</v>
      </c>
      <c r="X291" t="b">
        <v>1</v>
      </c>
      <c r="Y291" s="3" t="inlineStr">
        <is>
          <t>2025-03-03 | PARCEL |  VGS | 8.0000 unit @ A$143.27 / unit | Total cost base = A$1,155.66 |</t>
        </is>
      </c>
      <c r="Z291" t="n">
        <v/>
      </c>
    </row>
    <row r="292">
      <c r="A292" s="5" t="inlineStr">
        <is>
          <t>01a1212c-8188-7156-ad04-1cad0fa78b2c</t>
        </is>
      </c>
      <c r="B292" t="inlineStr">
        <is>
          <t>B291</t>
        </is>
      </c>
      <c r="C292" s="5" t="inlineStr">
        <is>
          <t>01a1212c-4b57-70cf-80fd-c2192cb3bf81</t>
        </is>
      </c>
      <c r="D292" s="4" t="n">
        <v>46304.62415863338</v>
      </c>
      <c r="E292" s="4" t="n">
        <v>46304.62415863345</v>
      </c>
      <c r="F292" t="b">
        <v>1</v>
      </c>
      <c r="G292" t="n">
        <v/>
      </c>
      <c r="H292" t="inlineStr">
        <is>
          <t>2025-04-07 | Buy | A200 | 12.0000 unit @ A$122.68 / unit</t>
        </is>
      </c>
      <c r="I292" t="inlineStr">
        <is>
          <t>A200</t>
        </is>
      </c>
      <c r="J292" s="6" t="n">
        <v>45754</v>
      </c>
      <c r="K292" t="n">
        <v>12</v>
      </c>
      <c r="L292" t="inlineStr">
        <is>
          <t>AUD</t>
        </is>
      </c>
      <c r="M292" t="n">
        <v>122.68</v>
      </c>
      <c r="N292" t="inlineStr">
        <is>
          <t>AUD</t>
        </is>
      </c>
      <c r="O292" t="n">
        <v>9.5</v>
      </c>
      <c r="P292" t="inlineStr"/>
      <c r="Q292" t="inlineStr">
        <is>
          <t>FY2024/25</t>
        </is>
      </c>
      <c r="R292" t="inlineStr">
        <is>
          <t>AUD</t>
        </is>
      </c>
      <c r="S292" t="n">
        <v>9.5</v>
      </c>
      <c r="T292" t="inlineStr">
        <is>
          <t>AUD</t>
        </is>
      </c>
      <c r="U292" t="n">
        <v>0.791667</v>
      </c>
      <c r="V292" t="inlineStr">
        <is>
          <t>AUD</t>
        </is>
      </c>
      <c r="W292" t="n">
        <v>122.68</v>
      </c>
      <c r="X292" t="b">
        <v>1</v>
      </c>
      <c r="Y292" s="3" t="inlineStr">
        <is>
          <t>2025-04-07 | PARCEL |  A200 | 12.0000 unit @ A$122.68 / unit | Total cost base = A$1,481.66 |</t>
        </is>
      </c>
      <c r="Z292" t="n">
        <v/>
      </c>
    </row>
    <row r="293">
      <c r="A293" s="5" t="inlineStr">
        <is>
          <t>01a1212c-819e-7027-afe0-2e7d2648323b</t>
        </is>
      </c>
      <c r="B293" t="inlineStr">
        <is>
          <t>B292</t>
        </is>
      </c>
      <c r="C293" s="5" t="inlineStr">
        <is>
          <t>01a1212c-4b57-70cf-80fd-c2192cb3bf81</t>
        </is>
      </c>
      <c r="D293" s="4" t="n">
        <v>46304.62415888419</v>
      </c>
      <c r="E293" s="4" t="n">
        <v>46304.62415888426</v>
      </c>
      <c r="F293" t="b">
        <v>1</v>
      </c>
      <c r="G293" t="n">
        <v/>
      </c>
      <c r="H293" t="inlineStr">
        <is>
          <t>2025-04-07 | Buy | VGS | 15.0000 unit @ A$123.16 / unit</t>
        </is>
      </c>
      <c r="I293" t="inlineStr">
        <is>
          <t>VGS</t>
        </is>
      </c>
      <c r="J293" s="6" t="n">
        <v>45754</v>
      </c>
      <c r="K293" t="n">
        <v>15</v>
      </c>
      <c r="L293" t="inlineStr">
        <is>
          <t>AUD</t>
        </is>
      </c>
      <c r="M293" t="n">
        <v>123.16</v>
      </c>
      <c r="N293" t="inlineStr">
        <is>
          <t>AUD</t>
        </is>
      </c>
      <c r="O293" t="n">
        <v>9.5</v>
      </c>
      <c r="P293" t="inlineStr"/>
      <c r="Q293" t="inlineStr">
        <is>
          <t>FY2024/25</t>
        </is>
      </c>
      <c r="R293" t="inlineStr">
        <is>
          <t>AUD</t>
        </is>
      </c>
      <c r="S293" t="n">
        <v>9.5</v>
      </c>
      <c r="T293" t="inlineStr">
        <is>
          <t>AUD</t>
        </is>
      </c>
      <c r="U293" t="n">
        <v>0.633333</v>
      </c>
      <c r="V293" t="inlineStr">
        <is>
          <t>AUD</t>
        </is>
      </c>
      <c r="W293" t="n">
        <v>123.16</v>
      </c>
      <c r="X293" t="b">
        <v>1</v>
      </c>
      <c r="Y293" s="3" t="inlineStr">
        <is>
          <t>2025-04-07 | PARCEL |  VGS | 15.0000 unit @ A$123.16 / unit | Total cost base = A$1,856.90 |</t>
        </is>
      </c>
      <c r="Z293" t="n">
        <v/>
      </c>
    </row>
    <row r="294">
      <c r="A294" s="5" t="inlineStr">
        <is>
          <t>01a1212c-81b3-7712-9aff-68ef92d337dc</t>
        </is>
      </c>
      <c r="B294" t="inlineStr">
        <is>
          <t>B293</t>
        </is>
      </c>
      <c r="C294" s="5" t="inlineStr">
        <is>
          <t>01a1212c-4b57-70cf-80fd-c2192cb3bf81</t>
        </is>
      </c>
      <c r="D294" s="4" t="n">
        <v>46304.62415914546</v>
      </c>
      <c r="E294" s="4" t="n">
        <v>46304.62415914552</v>
      </c>
      <c r="F294" t="b">
        <v>1</v>
      </c>
      <c r="G294" t="n">
        <v/>
      </c>
      <c r="H294" t="inlineStr">
        <is>
          <t>2025-04-11 | Buy | AAPL | 1.0000 unit @ $198.15 / unit</t>
        </is>
      </c>
      <c r="I294" t="inlineStr">
        <is>
          <t>AAPL</t>
        </is>
      </c>
      <c r="J294" s="6" t="n">
        <v>45758</v>
      </c>
      <c r="K294" t="n">
        <v>1</v>
      </c>
      <c r="L294" t="inlineStr">
        <is>
          <t>USD</t>
        </is>
      </c>
      <c r="M294" t="n">
        <v>198.15</v>
      </c>
      <c r="N294" t="inlineStr">
        <is>
          <t>USD</t>
        </is>
      </c>
      <c r="O294" t="n">
        <v>5</v>
      </c>
      <c r="P294" t="inlineStr"/>
      <c r="Q294" t="inlineStr">
        <is>
          <t>FY2024/25</t>
        </is>
      </c>
      <c r="R294" t="inlineStr">
        <is>
          <t>AUD</t>
        </is>
      </c>
      <c r="S294" t="n">
        <v>7.5</v>
      </c>
      <c r="T294" t="inlineStr">
        <is>
          <t>AUD</t>
        </is>
      </c>
      <c r="U294" t="n">
        <v>7.5</v>
      </c>
      <c r="V294" t="inlineStr">
        <is>
          <t>AUD</t>
        </is>
      </c>
      <c r="W294" t="n">
        <v>297.225</v>
      </c>
      <c r="X294" t="b">
        <v>1</v>
      </c>
      <c r="Y294" s="3" t="inlineStr">
        <is>
          <t>2025-04-11 | PARCEL |  AAPL | 1.0000 unit @ A$297.22 / unit | Total cost base = A$304.72 |</t>
        </is>
      </c>
      <c r="Z294" s="5" t="inlineStr">
        <is>
          <t>01a1212c-81b5-7094-bdcc-c591027bfce1</t>
        </is>
      </c>
    </row>
    <row r="295">
      <c r="A295" s="5" t="inlineStr">
        <is>
          <t>01a1212c-81cb-76cb-be16-0103f4d4c132</t>
        </is>
      </c>
      <c r="B295" t="inlineStr">
        <is>
          <t>B294</t>
        </is>
      </c>
      <c r="C295" s="5" t="inlineStr">
        <is>
          <t>01a1212c-4b57-70cf-80fd-c2192cb3bf81</t>
        </is>
      </c>
      <c r="D295" s="4" t="n">
        <v>46304.62415940515</v>
      </c>
      <c r="E295" s="4" t="n">
        <v>46304.62415940523</v>
      </c>
      <c r="F295" t="b">
        <v>1</v>
      </c>
      <c r="G295" t="n">
        <v/>
      </c>
      <c r="H295" t="inlineStr">
        <is>
          <t>2025-05-05 | Buy | A200 | 5.0000 unit @ A$136.22 / unit</t>
        </is>
      </c>
      <c r="I295" t="inlineStr">
        <is>
          <t>A200</t>
        </is>
      </c>
      <c r="J295" s="6" t="n">
        <v>45782</v>
      </c>
      <c r="K295" t="n">
        <v>5</v>
      </c>
      <c r="L295" t="inlineStr">
        <is>
          <t>AUD</t>
        </is>
      </c>
      <c r="M295" t="n">
        <v>136.22</v>
      </c>
      <c r="N295" t="inlineStr">
        <is>
          <t>AUD</t>
        </is>
      </c>
      <c r="O295" t="n">
        <v>9.5</v>
      </c>
      <c r="P295" t="inlineStr"/>
      <c r="Q295" t="inlineStr">
        <is>
          <t>FY2024/25</t>
        </is>
      </c>
      <c r="R295" t="inlineStr">
        <is>
          <t>AUD</t>
        </is>
      </c>
      <c r="S295" t="n">
        <v>9.5</v>
      </c>
      <c r="T295" t="inlineStr">
        <is>
          <t>AUD</t>
        </is>
      </c>
      <c r="U295" t="n">
        <v>1.9</v>
      </c>
      <c r="V295" t="inlineStr">
        <is>
          <t>AUD</t>
        </is>
      </c>
      <c r="W295" t="n">
        <v>136.22</v>
      </c>
      <c r="X295" t="b">
        <v>1</v>
      </c>
      <c r="Y295" s="3" t="inlineStr">
        <is>
          <t>2025-05-05 | PARCEL |  A200 | 5.0000 unit @ A$136.22 / unit | Total cost base = A$690.60 |</t>
        </is>
      </c>
      <c r="Z295" t="n">
        <v/>
      </c>
    </row>
    <row r="296">
      <c r="A296" s="5" t="inlineStr">
        <is>
          <t>01a1212c-81e1-73bf-b1f7-f2f6cbc821c5</t>
        </is>
      </c>
      <c r="B296" t="inlineStr">
        <is>
          <t>B295</t>
        </is>
      </c>
      <c r="C296" s="5" t="inlineStr">
        <is>
          <t>01a1212c-4b57-70cf-80fd-c2192cb3bf81</t>
        </is>
      </c>
      <c r="D296" s="4" t="n">
        <v>46304.62415966298</v>
      </c>
      <c r="E296" s="4" t="n">
        <v>46304.62415966306</v>
      </c>
      <c r="F296" t="b">
        <v>1</v>
      </c>
      <c r="G296" t="n">
        <v/>
      </c>
      <c r="H296" t="inlineStr">
        <is>
          <t>2025-05-05 | Buy | VGS | 7.0000 unit @ A$132.52 / unit</t>
        </is>
      </c>
      <c r="I296" t="inlineStr">
        <is>
          <t>VGS</t>
        </is>
      </c>
      <c r="J296" s="6" t="n">
        <v>45782</v>
      </c>
      <c r="K296" t="n">
        <v>7</v>
      </c>
      <c r="L296" t="inlineStr">
        <is>
          <t>AUD</t>
        </is>
      </c>
      <c r="M296" t="n">
        <v>132.52</v>
      </c>
      <c r="N296" t="inlineStr">
        <is>
          <t>AUD</t>
        </is>
      </c>
      <c r="O296" t="n">
        <v>9.5</v>
      </c>
      <c r="P296" t="inlineStr"/>
      <c r="Q296" t="inlineStr">
        <is>
          <t>FY2024/25</t>
        </is>
      </c>
      <c r="R296" t="inlineStr">
        <is>
          <t>AUD</t>
        </is>
      </c>
      <c r="S296" t="n">
        <v>9.5</v>
      </c>
      <c r="T296" t="inlineStr">
        <is>
          <t>AUD</t>
        </is>
      </c>
      <c r="U296" t="n">
        <v>1.357143</v>
      </c>
      <c r="V296" t="inlineStr">
        <is>
          <t>AUD</t>
        </is>
      </c>
      <c r="W296" t="n">
        <v>132.52</v>
      </c>
      <c r="X296" t="b">
        <v>1</v>
      </c>
      <c r="Y296" s="3" t="inlineStr">
        <is>
          <t>2025-05-05 | PARCEL |  VGS | 7.0000 unit @ A$132.52 / unit | Total cost base = A$937.14 |</t>
        </is>
      </c>
      <c r="Z296" t="n">
        <v/>
      </c>
    </row>
    <row r="297">
      <c r="A297" s="5" t="inlineStr">
        <is>
          <t>01a1212c-81f7-71e4-974a-5630654a2e1c</t>
        </is>
      </c>
      <c r="B297" t="inlineStr">
        <is>
          <t>B296</t>
        </is>
      </c>
      <c r="C297" s="5" t="inlineStr">
        <is>
          <t>01a1212c-4b57-70cf-80fd-c2192cb3bf81</t>
        </is>
      </c>
      <c r="D297" s="4" t="n">
        <v>46304.62415991618</v>
      </c>
      <c r="E297" s="4" t="n">
        <v>46304.62415991625</v>
      </c>
      <c r="F297" t="b">
        <v>1</v>
      </c>
      <c r="G297" t="n">
        <v/>
      </c>
      <c r="H297" t="inlineStr">
        <is>
          <t>2025-06-02 | Buy | A200 | 5.0000 unit @ A$141.06 / unit</t>
        </is>
      </c>
      <c r="I297" t="inlineStr">
        <is>
          <t>A200</t>
        </is>
      </c>
      <c r="J297" s="6" t="n">
        <v>45810</v>
      </c>
      <c r="K297" t="n">
        <v>5</v>
      </c>
      <c r="L297" t="inlineStr">
        <is>
          <t>AUD</t>
        </is>
      </c>
      <c r="M297" t="n">
        <v>141.06</v>
      </c>
      <c r="N297" t="inlineStr">
        <is>
          <t>AUD</t>
        </is>
      </c>
      <c r="O297" t="n">
        <v>9.5</v>
      </c>
      <c r="P297" t="inlineStr"/>
      <c r="Q297" t="inlineStr">
        <is>
          <t>FY2024/25</t>
        </is>
      </c>
      <c r="R297" t="inlineStr">
        <is>
          <t>AUD</t>
        </is>
      </c>
      <c r="S297" t="n">
        <v>9.5</v>
      </c>
      <c r="T297" t="inlineStr">
        <is>
          <t>AUD</t>
        </is>
      </c>
      <c r="U297" t="n">
        <v>1.9</v>
      </c>
      <c r="V297" t="inlineStr">
        <is>
          <t>AUD</t>
        </is>
      </c>
      <c r="W297" t="n">
        <v>141.06</v>
      </c>
      <c r="X297" t="b">
        <v>1</v>
      </c>
      <c r="Y297" s="3" t="inlineStr">
        <is>
          <t>2025-06-02 | PARCEL |  A200 | 5.0000 unit @ A$141.06 / unit | Total cost base = A$714.80 |</t>
        </is>
      </c>
      <c r="Z297" t="n">
        <v/>
      </c>
    </row>
    <row r="298">
      <c r="A298" s="5" t="inlineStr">
        <is>
          <t>01a1212c-8210-7182-8a8b-ce738fb98a25</t>
        </is>
      </c>
      <c r="B298" t="inlineStr">
        <is>
          <t>B297</t>
        </is>
      </c>
      <c r="C298" s="5" t="inlineStr">
        <is>
          <t>01a1212c-4b57-70cf-80fd-c2192cb3bf81</t>
        </is>
      </c>
      <c r="D298" s="4" t="n">
        <v>46304.62416021578</v>
      </c>
      <c r="E298" s="4" t="n">
        <v>46304.62416021583</v>
      </c>
      <c r="F298" t="b">
        <v>1</v>
      </c>
      <c r="G298" t="n">
        <v/>
      </c>
      <c r="H298" t="inlineStr">
        <is>
          <t>2025-06-02 | Buy | MSFT | 1.0000 unit @ $461.97 / unit</t>
        </is>
      </c>
      <c r="I298" t="inlineStr">
        <is>
          <t>MSFT</t>
        </is>
      </c>
      <c r="J298" s="6" t="n">
        <v>45810</v>
      </c>
      <c r="K298" t="n">
        <v>1</v>
      </c>
      <c r="L298" t="inlineStr">
        <is>
          <t>USD</t>
        </is>
      </c>
      <c r="M298" t="n">
        <v>461.97</v>
      </c>
      <c r="N298" t="inlineStr">
        <is>
          <t>USD</t>
        </is>
      </c>
      <c r="O298" t="n">
        <v>5</v>
      </c>
      <c r="P298" t="inlineStr"/>
      <c r="Q298" t="inlineStr">
        <is>
          <t>FY2024/25</t>
        </is>
      </c>
      <c r="R298" t="inlineStr">
        <is>
          <t>AUD</t>
        </is>
      </c>
      <c r="S298" t="n">
        <v>7.5</v>
      </c>
      <c r="T298" t="inlineStr">
        <is>
          <t>AUD</t>
        </is>
      </c>
      <c r="U298" t="n">
        <v>7.5</v>
      </c>
      <c r="V298" t="inlineStr">
        <is>
          <t>AUD</t>
        </is>
      </c>
      <c r="W298" t="n">
        <v>692.955</v>
      </c>
      <c r="X298" t="b">
        <v>1</v>
      </c>
      <c r="Y298" s="3" t="inlineStr">
        <is>
          <t>2025-06-02 | PARCEL |  MSFT | 1.0000 unit @ A$692.96 / unit | Total cost base = A$700.46 |</t>
        </is>
      </c>
      <c r="Z298" s="5" t="inlineStr">
        <is>
          <t>01a1212c-8211-74fa-830c-08354d18730a</t>
        </is>
      </c>
    </row>
    <row r="299">
      <c r="A299" s="5" t="inlineStr">
        <is>
          <t>01a1212c-8229-770c-b91a-9f73c8267d2f</t>
        </is>
      </c>
      <c r="B299" t="inlineStr">
        <is>
          <t>B298</t>
        </is>
      </c>
      <c r="C299" s="5" t="inlineStr">
        <is>
          <t>01a1212c-4b57-70cf-80fd-c2192cb3bf81</t>
        </is>
      </c>
      <c r="D299" s="4" t="n">
        <v>46304.62416048955</v>
      </c>
      <c r="E299" s="4" t="n">
        <v>46304.62416048962</v>
      </c>
      <c r="F299" t="b">
        <v>1</v>
      </c>
      <c r="G299" t="n">
        <v/>
      </c>
      <c r="H299" t="inlineStr">
        <is>
          <t>2025-06-02 | Buy | VGS | 7.0000 unit @ A$138.24 / unit</t>
        </is>
      </c>
      <c r="I299" t="inlineStr">
        <is>
          <t>VGS</t>
        </is>
      </c>
      <c r="J299" s="6" t="n">
        <v>45810</v>
      </c>
      <c r="K299" t="n">
        <v>7</v>
      </c>
      <c r="L299" t="inlineStr">
        <is>
          <t>AUD</t>
        </is>
      </c>
      <c r="M299" t="n">
        <v>138.24</v>
      </c>
      <c r="N299" t="inlineStr">
        <is>
          <t>AUD</t>
        </is>
      </c>
      <c r="O299" t="n">
        <v>9.5</v>
      </c>
      <c r="P299" t="inlineStr"/>
      <c r="Q299" t="inlineStr">
        <is>
          <t>FY2024/25</t>
        </is>
      </c>
      <c r="R299" t="inlineStr">
        <is>
          <t>AUD</t>
        </is>
      </c>
      <c r="S299" t="n">
        <v>9.5</v>
      </c>
      <c r="T299" t="inlineStr">
        <is>
          <t>AUD</t>
        </is>
      </c>
      <c r="U299" t="n">
        <v>1.357143</v>
      </c>
      <c r="V299" t="inlineStr">
        <is>
          <t>AUD</t>
        </is>
      </c>
      <c r="W299" t="n">
        <v>138.24</v>
      </c>
      <c r="X299" t="b">
        <v>1</v>
      </c>
      <c r="Y299" s="3" t="inlineStr">
        <is>
          <t>2025-06-02 | PARCEL |  VGS | 7.0000 unit @ A$138.24 / unit | Total cost base = A$977.18 |</t>
        </is>
      </c>
      <c r="Z299" t="n">
        <v/>
      </c>
    </row>
    <row r="300">
      <c r="A300" s="5" t="inlineStr">
        <is>
          <t>01a1212c-8240-70de-aec5-ed0705075d2a</t>
        </is>
      </c>
      <c r="B300" t="inlineStr">
        <is>
          <t>B299</t>
        </is>
      </c>
      <c r="C300" s="5" t="inlineStr">
        <is>
          <t>01a1212c-4b57-70cf-80fd-c2192cb3bf81</t>
        </is>
      </c>
      <c r="D300" s="4" t="n">
        <v>46304.62416077547</v>
      </c>
      <c r="E300" s="4" t="n">
        <v>46304.62416077552</v>
      </c>
      <c r="F300" t="b">
        <v>1</v>
      </c>
      <c r="G300" t="n">
        <v/>
      </c>
      <c r="H300" t="inlineStr">
        <is>
          <t>2025-06-05 | Buy | MSFT | 2.0000 unit @ $467.68 / unit</t>
        </is>
      </c>
      <c r="I300" t="inlineStr">
        <is>
          <t>MSFT</t>
        </is>
      </c>
      <c r="J300" s="6" t="n">
        <v>45813</v>
      </c>
      <c r="K300" t="n">
        <v>2</v>
      </c>
      <c r="L300" t="inlineStr">
        <is>
          <t>USD</t>
        </is>
      </c>
      <c r="M300" t="n">
        <v>467.68</v>
      </c>
      <c r="N300" t="inlineStr">
        <is>
          <t>USD</t>
        </is>
      </c>
      <c r="O300" t="n">
        <v>5</v>
      </c>
      <c r="P300" t="inlineStr"/>
      <c r="Q300" t="inlineStr">
        <is>
          <t>FY2024/25</t>
        </is>
      </c>
      <c r="R300" t="inlineStr">
        <is>
          <t>AUD</t>
        </is>
      </c>
      <c r="S300" t="n">
        <v>7.5</v>
      </c>
      <c r="T300" t="inlineStr">
        <is>
          <t>AUD</t>
        </is>
      </c>
      <c r="U300" t="n">
        <v>3.75</v>
      </c>
      <c r="V300" t="inlineStr">
        <is>
          <t>AUD</t>
        </is>
      </c>
      <c r="W300" t="n">
        <v>701.52</v>
      </c>
      <c r="X300" t="b">
        <v>1</v>
      </c>
      <c r="Y300" s="3" t="inlineStr">
        <is>
          <t>2025-06-05 | PARCEL |  MSFT | 2.0000 unit @ A$701.52 / unit | Total cost base = A$1,410.54 |</t>
        </is>
      </c>
      <c r="Z300" s="5" t="inlineStr">
        <is>
          <t>01a1212c-8242-7126-aa4d-24e5db3cd83f</t>
        </is>
      </c>
    </row>
    <row r="301">
      <c r="A301" s="5" t="inlineStr">
        <is>
          <t>01a1212c-8257-77bb-b357-c22cdae6a847</t>
        </is>
      </c>
      <c r="B301" t="inlineStr">
        <is>
          <t>B300</t>
        </is>
      </c>
      <c r="C301" s="5" t="inlineStr">
        <is>
          <t>01a1212c-4b57-70cf-80fd-c2192cb3bf81</t>
        </is>
      </c>
      <c r="D301" s="4" t="n">
        <v>46304.6241610317</v>
      </c>
      <c r="E301" s="4" t="n">
        <v>46304.62416103186</v>
      </c>
      <c r="F301" t="b">
        <v>1</v>
      </c>
      <c r="G301" t="n">
        <v/>
      </c>
      <c r="H301" t="inlineStr">
        <is>
          <t>2025-07-02 | Buy | A200 | 5.0000 unit @ A$143.29 / unit</t>
        </is>
      </c>
      <c r="I301" t="inlineStr">
        <is>
          <t>A200</t>
        </is>
      </c>
      <c r="J301" s="6" t="n">
        <v>45840</v>
      </c>
      <c r="K301" t="n">
        <v>5</v>
      </c>
      <c r="L301" t="inlineStr">
        <is>
          <t>AUD</t>
        </is>
      </c>
      <c r="M301" t="n">
        <v>143.29</v>
      </c>
      <c r="N301" t="inlineStr">
        <is>
          <t>AUD</t>
        </is>
      </c>
      <c r="O301" t="n">
        <v>9.5</v>
      </c>
      <c r="P301" t="inlineStr"/>
      <c r="Q301" t="inlineStr">
        <is>
          <t>FY2025/26</t>
        </is>
      </c>
      <c r="R301" t="inlineStr">
        <is>
          <t>AUD</t>
        </is>
      </c>
      <c r="S301" t="n">
        <v>9.5</v>
      </c>
      <c r="T301" t="inlineStr">
        <is>
          <t>AUD</t>
        </is>
      </c>
      <c r="U301" t="n">
        <v>1.9</v>
      </c>
      <c r="V301" t="inlineStr">
        <is>
          <t>AUD</t>
        </is>
      </c>
      <c r="W301" t="n">
        <v>143.29</v>
      </c>
      <c r="X301" t="b">
        <v>1</v>
      </c>
      <c r="Y301" s="3" t="inlineStr">
        <is>
          <t>2025-07-02 | PARCEL |  A200 | 5.0000 unit @ A$143.29 / unit | Total cost base = A$725.95 |</t>
        </is>
      </c>
      <c r="Z301" t="n">
        <v/>
      </c>
    </row>
    <row r="302">
      <c r="A302" s="5" t="inlineStr">
        <is>
          <t>01a1212c-826d-7730-854d-b7558dd37e4a</t>
        </is>
      </c>
      <c r="B302" t="inlineStr">
        <is>
          <t>B301</t>
        </is>
      </c>
      <c r="C302" s="5" t="inlineStr">
        <is>
          <t>01a1212c-4b57-70cf-80fd-c2192cb3bf81</t>
        </is>
      </c>
      <c r="D302" s="4" t="n">
        <v>46304.62416128421</v>
      </c>
      <c r="E302" s="4" t="n">
        <v>46304.62416128429</v>
      </c>
      <c r="F302" t="b">
        <v>1</v>
      </c>
      <c r="G302" t="n">
        <v/>
      </c>
      <c r="H302" t="inlineStr">
        <is>
          <t>2025-07-02 | Buy | VGS | 6.0000 unit @ A$141.32 / unit</t>
        </is>
      </c>
      <c r="I302" t="inlineStr">
        <is>
          <t>VGS</t>
        </is>
      </c>
      <c r="J302" s="6" t="n">
        <v>45840</v>
      </c>
      <c r="K302" t="n">
        <v>6</v>
      </c>
      <c r="L302" t="inlineStr">
        <is>
          <t>AUD</t>
        </is>
      </c>
      <c r="M302" t="n">
        <v>141.32</v>
      </c>
      <c r="N302" t="inlineStr">
        <is>
          <t>AUD</t>
        </is>
      </c>
      <c r="O302" t="n">
        <v>9.5</v>
      </c>
      <c r="P302" t="inlineStr"/>
      <c r="Q302" t="inlineStr">
        <is>
          <t>FY2025/26</t>
        </is>
      </c>
      <c r="R302" t="inlineStr">
        <is>
          <t>AUD</t>
        </is>
      </c>
      <c r="S302" t="n">
        <v>9.5</v>
      </c>
      <c r="T302" t="inlineStr">
        <is>
          <t>AUD</t>
        </is>
      </c>
      <c r="U302" t="n">
        <v>1.583333</v>
      </c>
      <c r="V302" t="inlineStr">
        <is>
          <t>AUD</t>
        </is>
      </c>
      <c r="W302" t="n">
        <v>141.32</v>
      </c>
      <c r="X302" t="b">
        <v>1</v>
      </c>
      <c r="Y302" s="3" t="inlineStr">
        <is>
          <t>2025-07-02 | PARCEL |  VGS | 6.0000 unit @ A$141.32 / unit | Total cost base = A$857.42 |</t>
        </is>
      </c>
      <c r="Z302" t="n">
        <v/>
      </c>
    </row>
    <row r="303">
      <c r="A303" s="5" t="inlineStr">
        <is>
          <t>01a1212c-8283-7499-9118-4a00a8e8e8ce</t>
        </is>
      </c>
      <c r="B303" t="inlineStr">
        <is>
          <t>B302</t>
        </is>
      </c>
      <c r="C303" s="5" t="inlineStr">
        <is>
          <t>01a1212c-4b57-70cf-80fd-c2192cb3bf81</t>
        </is>
      </c>
      <c r="D303" s="4" t="n">
        <v>46304.62416154693</v>
      </c>
      <c r="E303" s="4" t="n">
        <v>46304.62416154699</v>
      </c>
      <c r="F303" t="b">
        <v>1</v>
      </c>
      <c r="G303" t="n">
        <v/>
      </c>
      <c r="H303" t="inlineStr">
        <is>
          <t>2025-07-30 | Buy | AMZN | 2.0000 unit @ $230.19 / unit</t>
        </is>
      </c>
      <c r="I303" t="inlineStr">
        <is>
          <t>AMZN</t>
        </is>
      </c>
      <c r="J303" s="6" t="n">
        <v>45868</v>
      </c>
      <c r="K303" t="n">
        <v>2</v>
      </c>
      <c r="L303" t="inlineStr">
        <is>
          <t>USD</t>
        </is>
      </c>
      <c r="M303" t="n">
        <v>230.19</v>
      </c>
      <c r="N303" t="inlineStr">
        <is>
          <t>USD</t>
        </is>
      </c>
      <c r="O303" t="n">
        <v>5</v>
      </c>
      <c r="P303" t="inlineStr"/>
      <c r="Q303" t="inlineStr">
        <is>
          <t>FY2025/26</t>
        </is>
      </c>
      <c r="R303" t="inlineStr">
        <is>
          <t>AUD</t>
        </is>
      </c>
      <c r="S303" t="n">
        <v>7.5</v>
      </c>
      <c r="T303" t="inlineStr">
        <is>
          <t>AUD</t>
        </is>
      </c>
      <c r="U303" t="n">
        <v>3.75</v>
      </c>
      <c r="V303" t="inlineStr">
        <is>
          <t>AUD</t>
        </is>
      </c>
      <c r="W303" t="n">
        <v>345.285</v>
      </c>
      <c r="X303" t="b">
        <v>1</v>
      </c>
      <c r="Y303" s="3" t="inlineStr">
        <is>
          <t>2025-07-30 | PARCEL |  AMZN | 2.0000 unit @ A$345.28 / unit | Total cost base = A$698.07 |</t>
        </is>
      </c>
      <c r="Z303" s="5" t="inlineStr">
        <is>
          <t>01a1212c-8284-7336-adef-086004eb11e3</t>
        </is>
      </c>
    </row>
    <row r="304">
      <c r="A304" s="5" t="inlineStr">
        <is>
          <t>01a1212c-8299-70ad-a87f-ceb6a1a59817</t>
        </is>
      </c>
      <c r="B304" t="inlineStr">
        <is>
          <t>B303</t>
        </is>
      </c>
      <c r="C304" s="5" t="inlineStr">
        <is>
          <t>01a1212c-4b57-70cf-80fd-c2192cb3bf81</t>
        </is>
      </c>
      <c r="D304" s="4" t="n">
        <v>46304.62416179412</v>
      </c>
      <c r="E304" s="4" t="n">
        <v>46304.62416179419</v>
      </c>
      <c r="F304" t="b">
        <v>1</v>
      </c>
      <c r="G304" t="n">
        <v/>
      </c>
      <c r="H304" t="inlineStr">
        <is>
          <t>2025-08-04 | Buy | A200 | 4.0000 unit @ A$144.28 / unit</t>
        </is>
      </c>
      <c r="I304" t="inlineStr">
        <is>
          <t>A200</t>
        </is>
      </c>
      <c r="J304" s="6" t="n">
        <v>45873</v>
      </c>
      <c r="K304" t="n">
        <v>4</v>
      </c>
      <c r="L304" t="inlineStr">
        <is>
          <t>AUD</t>
        </is>
      </c>
      <c r="M304" t="n">
        <v>144.28</v>
      </c>
      <c r="N304" t="inlineStr">
        <is>
          <t>AUD</t>
        </is>
      </c>
      <c r="O304" t="n">
        <v>9.5</v>
      </c>
      <c r="P304" t="inlineStr"/>
      <c r="Q304" t="inlineStr">
        <is>
          <t>FY2025/26</t>
        </is>
      </c>
      <c r="R304" t="inlineStr">
        <is>
          <t>AUD</t>
        </is>
      </c>
      <c r="S304" t="n">
        <v>9.5</v>
      </c>
      <c r="T304" t="inlineStr">
        <is>
          <t>AUD</t>
        </is>
      </c>
      <c r="U304" t="n">
        <v>2.375</v>
      </c>
      <c r="V304" t="inlineStr">
        <is>
          <t>AUD</t>
        </is>
      </c>
      <c r="W304" t="n">
        <v>144.28</v>
      </c>
      <c r="X304" t="b">
        <v>1</v>
      </c>
      <c r="Y304" s="3" t="inlineStr">
        <is>
          <t>2025-08-04 | PARCEL |  A200 | 4.0000 unit @ A$144.28 / unit | Total cost base = A$586.62 |</t>
        </is>
      </c>
      <c r="Z304" t="n">
        <v/>
      </c>
    </row>
    <row r="305">
      <c r="A305" s="5" t="inlineStr">
        <is>
          <t>01a1212c-82b0-711c-b0bb-cf5cfb68ca19</t>
        </is>
      </c>
      <c r="B305" t="inlineStr">
        <is>
          <t>B304</t>
        </is>
      </c>
      <c r="C305" s="5" t="inlineStr">
        <is>
          <t>01a1212c-4b57-70cf-80fd-c2192cb3bf81</t>
        </is>
      </c>
      <c r="D305" s="4" t="n">
        <v>46304.62416205412</v>
      </c>
      <c r="E305" s="4" t="n">
        <v>46304.62416205419</v>
      </c>
      <c r="F305" t="b">
        <v>1</v>
      </c>
      <c r="G305" t="n">
        <v/>
      </c>
      <c r="H305" t="inlineStr">
        <is>
          <t>2025-08-04 | Buy | VGS | 6.0000 unit @ A$143.53 / unit</t>
        </is>
      </c>
      <c r="I305" t="inlineStr">
        <is>
          <t>VGS</t>
        </is>
      </c>
      <c r="J305" s="6" t="n">
        <v>45873</v>
      </c>
      <c r="K305" t="n">
        <v>6</v>
      </c>
      <c r="L305" t="inlineStr">
        <is>
          <t>AUD</t>
        </is>
      </c>
      <c r="M305" t="n">
        <v>143.53</v>
      </c>
      <c r="N305" t="inlineStr">
        <is>
          <t>AUD</t>
        </is>
      </c>
      <c r="O305" t="n">
        <v>9.5</v>
      </c>
      <c r="P305" t="inlineStr"/>
      <c r="Q305" t="inlineStr">
        <is>
          <t>FY2025/26</t>
        </is>
      </c>
      <c r="R305" t="inlineStr">
        <is>
          <t>AUD</t>
        </is>
      </c>
      <c r="S305" t="n">
        <v>9.5</v>
      </c>
      <c r="T305" t="inlineStr">
        <is>
          <t>AUD</t>
        </is>
      </c>
      <c r="U305" t="n">
        <v>1.583333</v>
      </c>
      <c r="V305" t="inlineStr">
        <is>
          <t>AUD</t>
        </is>
      </c>
      <c r="W305" t="n">
        <v>143.53</v>
      </c>
      <c r="X305" t="b">
        <v>1</v>
      </c>
      <c r="Y305" s="3" t="inlineStr">
        <is>
          <t>2025-08-04 | PARCEL |  VGS | 6.0000 unit @ A$143.53 / unit | Total cost base = A$870.68 |</t>
        </is>
      </c>
      <c r="Z305" t="n">
        <v/>
      </c>
    </row>
    <row r="306">
      <c r="A306" s="5" t="inlineStr">
        <is>
          <t>01a1212c-82c6-7346-8dc9-bee94ed3cd12</t>
        </is>
      </c>
      <c r="B306" t="inlineStr">
        <is>
          <t>B305</t>
        </is>
      </c>
      <c r="C306" s="5" t="inlineStr">
        <is>
          <t>01a1212c-4b57-70cf-80fd-c2192cb3bf81</t>
        </is>
      </c>
      <c r="D306" s="4" t="n">
        <v>46304.62416230804</v>
      </c>
      <c r="E306" s="4" t="n">
        <v>46304.62416230812</v>
      </c>
      <c r="F306" t="b">
        <v>1</v>
      </c>
      <c r="G306" t="n">
        <v/>
      </c>
      <c r="H306" t="inlineStr">
        <is>
          <t>2025-08-14 | Buy | CBA | 3.0000 unit @ A$167.21 / unit</t>
        </is>
      </c>
      <c r="I306" t="inlineStr">
        <is>
          <t>CBA</t>
        </is>
      </c>
      <c r="J306" s="6" t="n">
        <v>45883</v>
      </c>
      <c r="K306" t="n">
        <v>3</v>
      </c>
      <c r="L306" t="inlineStr">
        <is>
          <t>AUD</t>
        </is>
      </c>
      <c r="M306" t="n">
        <v>167.21</v>
      </c>
      <c r="N306" t="inlineStr">
        <is>
          <t>AUD</t>
        </is>
      </c>
      <c r="O306" t="n">
        <v>19.95</v>
      </c>
      <c r="P306" t="inlineStr"/>
      <c r="Q306" t="inlineStr">
        <is>
          <t>FY2025/26</t>
        </is>
      </c>
      <c r="R306" t="inlineStr">
        <is>
          <t>AUD</t>
        </is>
      </c>
      <c r="S306" t="n">
        <v>19.95</v>
      </c>
      <c r="T306" t="inlineStr">
        <is>
          <t>AUD</t>
        </is>
      </c>
      <c r="U306" t="n">
        <v>6.65</v>
      </c>
      <c r="V306" t="inlineStr">
        <is>
          <t>AUD</t>
        </is>
      </c>
      <c r="W306" t="n">
        <v>167.21</v>
      </c>
      <c r="X306" t="b">
        <v>1</v>
      </c>
      <c r="Y306" s="3" t="inlineStr">
        <is>
          <t>2025-08-14 | PARCEL |  CBA | 3.0000 unit @ A$167.21 / unit | Total cost base = A$521.58 |</t>
        </is>
      </c>
      <c r="Z306" t="n">
        <v/>
      </c>
    </row>
    <row r="307">
      <c r="A307" s="5" t="inlineStr">
        <is>
          <t>01a1212c-82da-750f-891b-19ed82330f9e</t>
        </is>
      </c>
      <c r="B307" t="inlineStr">
        <is>
          <t>B306</t>
        </is>
      </c>
      <c r="C307" s="5" t="inlineStr">
        <is>
          <t>01a1212c-4b57-70cf-80fd-c2192cb3bf81</t>
        </is>
      </c>
      <c r="D307" s="4" t="n">
        <v>46304.6241625446</v>
      </c>
      <c r="E307" s="4" t="n">
        <v>46304.62416254466</v>
      </c>
      <c r="F307" t="b">
        <v>1</v>
      </c>
      <c r="G307" t="n">
        <v/>
      </c>
      <c r="H307" t="inlineStr">
        <is>
          <t>2025-09-04 | Buy | A200 | 7.0000 unit @ A$148.32 / unit</t>
        </is>
      </c>
      <c r="I307" t="inlineStr">
        <is>
          <t>A200</t>
        </is>
      </c>
      <c r="J307" s="6" t="n">
        <v>45904</v>
      </c>
      <c r="K307" t="n">
        <v>7</v>
      </c>
      <c r="L307" t="inlineStr">
        <is>
          <t>AUD</t>
        </is>
      </c>
      <c r="M307" t="n">
        <v>148.32</v>
      </c>
      <c r="N307" t="inlineStr">
        <is>
          <t>AUD</t>
        </is>
      </c>
      <c r="O307" t="n">
        <v>9.5</v>
      </c>
      <c r="P307" t="inlineStr"/>
      <c r="Q307" t="inlineStr">
        <is>
          <t>FY2025/26</t>
        </is>
      </c>
      <c r="R307" t="inlineStr">
        <is>
          <t>AUD</t>
        </is>
      </c>
      <c r="S307" t="n">
        <v>9.5</v>
      </c>
      <c r="T307" t="inlineStr">
        <is>
          <t>AUD</t>
        </is>
      </c>
      <c r="U307" t="n">
        <v>1.357143</v>
      </c>
      <c r="V307" t="inlineStr">
        <is>
          <t>AUD</t>
        </is>
      </c>
      <c r="W307" t="n">
        <v>148.32</v>
      </c>
      <c r="X307" t="b">
        <v>1</v>
      </c>
      <c r="Y307" s="3" t="inlineStr">
        <is>
          <t>2025-09-04 | PARCEL |  A200 | 7.0000 unit @ A$148.32 / unit | Total cost base = A$1,047.74 |</t>
        </is>
      </c>
      <c r="Z307" t="n">
        <v/>
      </c>
    </row>
    <row r="308">
      <c r="A308" s="5" t="inlineStr">
        <is>
          <t>01a1212c-82f0-7613-b65c-51b3ccdc7053</t>
        </is>
      </c>
      <c r="B308" t="inlineStr">
        <is>
          <t>B307</t>
        </is>
      </c>
      <c r="C308" s="5" t="inlineStr">
        <is>
          <t>01a1212c-4b57-70cf-80fd-c2192cb3bf81</t>
        </is>
      </c>
      <c r="D308" s="4" t="n">
        <v>46304.62416279464</v>
      </c>
      <c r="E308" s="4" t="n">
        <v>46304.62416279471</v>
      </c>
      <c r="F308" t="b">
        <v>1</v>
      </c>
      <c r="G308" t="n">
        <v/>
      </c>
      <c r="H308" t="inlineStr">
        <is>
          <t>2025-09-04 | Buy | VGS | 8.0000 unit @ A$147.36 / unit</t>
        </is>
      </c>
      <c r="I308" t="inlineStr">
        <is>
          <t>VGS</t>
        </is>
      </c>
      <c r="J308" s="6" t="n">
        <v>45904</v>
      </c>
      <c r="K308" t="n">
        <v>8</v>
      </c>
      <c r="L308" t="inlineStr">
        <is>
          <t>AUD</t>
        </is>
      </c>
      <c r="M308" t="n">
        <v>147.36</v>
      </c>
      <c r="N308" t="inlineStr">
        <is>
          <t>AUD</t>
        </is>
      </c>
      <c r="O308" t="n">
        <v>9.5</v>
      </c>
      <c r="P308" t="inlineStr"/>
      <c r="Q308" t="inlineStr">
        <is>
          <t>FY2025/26</t>
        </is>
      </c>
      <c r="R308" t="inlineStr">
        <is>
          <t>AUD</t>
        </is>
      </c>
      <c r="S308" t="n">
        <v>9.5</v>
      </c>
      <c r="T308" t="inlineStr">
        <is>
          <t>AUD</t>
        </is>
      </c>
      <c r="U308" t="n">
        <v>1.1875</v>
      </c>
      <c r="V308" t="inlineStr">
        <is>
          <t>AUD</t>
        </is>
      </c>
      <c r="W308" t="n">
        <v>147.36</v>
      </c>
      <c r="X308" t="b">
        <v>1</v>
      </c>
      <c r="Y308" s="3" t="inlineStr">
        <is>
          <t>2025-09-04 | PARCEL |  VGS | 8.0000 unit @ A$147.36 / unit | Total cost base = A$1,188.38 |</t>
        </is>
      </c>
      <c r="Z308" t="n">
        <v/>
      </c>
    </row>
    <row r="309">
      <c r="A309" s="5" t="inlineStr">
        <is>
          <t>01a1212c-8305-7712-8631-1fd63dc37c26</t>
        </is>
      </c>
      <c r="B309" t="inlineStr">
        <is>
          <t>B308</t>
        </is>
      </c>
      <c r="C309" s="5" t="inlineStr">
        <is>
          <t>01a1212c-4b57-70cf-80fd-c2192cb3bf81</t>
        </is>
      </c>
      <c r="D309" s="4" t="n">
        <v>46304.62416305814</v>
      </c>
      <c r="E309" s="4" t="n">
        <v>46304.62416305819</v>
      </c>
      <c r="F309" t="b">
        <v>1</v>
      </c>
      <c r="G309" t="n">
        <v/>
      </c>
      <c r="H309" t="inlineStr">
        <is>
          <t>2025-09-15 | Buy | AMZN | 1.0000 unit @ $231.43 / unit</t>
        </is>
      </c>
      <c r="I309" t="inlineStr">
        <is>
          <t>AMZN</t>
        </is>
      </c>
      <c r="J309" s="6" t="n">
        <v>45915</v>
      </c>
      <c r="K309" t="n">
        <v>1</v>
      </c>
      <c r="L309" t="inlineStr">
        <is>
          <t>USD</t>
        </is>
      </c>
      <c r="M309" t="n">
        <v>231.43</v>
      </c>
      <c r="N309" t="inlineStr">
        <is>
          <t>USD</t>
        </is>
      </c>
      <c r="O309" t="n">
        <v>5</v>
      </c>
      <c r="P309" t="inlineStr"/>
      <c r="Q309" t="inlineStr">
        <is>
          <t>FY2025/26</t>
        </is>
      </c>
      <c r="R309" t="inlineStr">
        <is>
          <t>AUD</t>
        </is>
      </c>
      <c r="S309" t="n">
        <v>7.5</v>
      </c>
      <c r="T309" t="inlineStr">
        <is>
          <t>AUD</t>
        </is>
      </c>
      <c r="U309" t="n">
        <v>7.5</v>
      </c>
      <c r="V309" t="inlineStr">
        <is>
          <t>AUD</t>
        </is>
      </c>
      <c r="W309" t="n">
        <v>347.145</v>
      </c>
      <c r="X309" t="b">
        <v>1</v>
      </c>
      <c r="Y309" s="3" t="inlineStr">
        <is>
          <t>2025-09-15 | PARCEL |  AMZN | 1.0000 unit @ A$347.14 / unit | Total cost base = A$354.64 |</t>
        </is>
      </c>
      <c r="Z309" s="5" t="inlineStr">
        <is>
          <t>01a1212c-8307-76c7-9be2-ceabe8b00eac</t>
        </is>
      </c>
    </row>
    <row r="310">
      <c r="A310" s="5" t="inlineStr">
        <is>
          <t>01a1212c-831c-73d7-a747-6530efa55d82</t>
        </is>
      </c>
      <c r="B310" t="inlineStr">
        <is>
          <t>B309</t>
        </is>
      </c>
      <c r="C310" s="5" t="inlineStr">
        <is>
          <t>01a1212c-4b57-70cf-80fd-c2192cb3bf81</t>
        </is>
      </c>
      <c r="D310" s="4" t="n">
        <v>46304.62416330675</v>
      </c>
      <c r="E310" s="4" t="n">
        <v>46304.62416330682</v>
      </c>
      <c r="F310" t="b">
        <v>1</v>
      </c>
      <c r="G310" t="n">
        <v/>
      </c>
      <c r="H310" t="inlineStr">
        <is>
          <t>2025-10-06 | Buy | A200 | 9.0000 unit @ A$149.58 / unit</t>
        </is>
      </c>
      <c r="I310" t="inlineStr">
        <is>
          <t>A200</t>
        </is>
      </c>
      <c r="J310" s="6" t="n">
        <v>45936</v>
      </c>
      <c r="K310" t="n">
        <v>9</v>
      </c>
      <c r="L310" t="inlineStr">
        <is>
          <t>AUD</t>
        </is>
      </c>
      <c r="M310" t="n">
        <v>149.58</v>
      </c>
      <c r="N310" t="inlineStr">
        <is>
          <t>AUD</t>
        </is>
      </c>
      <c r="O310" t="n">
        <v>9.5</v>
      </c>
      <c r="P310" t="inlineStr"/>
      <c r="Q310" t="inlineStr">
        <is>
          <t>FY2025/26</t>
        </is>
      </c>
      <c r="R310" t="inlineStr">
        <is>
          <t>AUD</t>
        </is>
      </c>
      <c r="S310" t="n">
        <v>9.5</v>
      </c>
      <c r="T310" t="inlineStr">
        <is>
          <t>AUD</t>
        </is>
      </c>
      <c r="U310" t="n">
        <v>1.055556</v>
      </c>
      <c r="V310" t="inlineStr">
        <is>
          <t>AUD</t>
        </is>
      </c>
      <c r="W310" t="n">
        <v>149.58</v>
      </c>
      <c r="X310" t="b">
        <v>1</v>
      </c>
      <c r="Y310" s="3" t="inlineStr">
        <is>
          <t>2025-10-06 | PARCEL |  A200 | 9.0000 unit @ A$149.58 / unit | Total cost base = A$1,355.72 |</t>
        </is>
      </c>
      <c r="Z310" t="n">
        <v/>
      </c>
    </row>
    <row r="311">
      <c r="A311" s="5" t="inlineStr">
        <is>
          <t>01a1212c-8331-7066-b64c-91da1ce177e4</t>
        </is>
      </c>
      <c r="B311" t="inlineStr">
        <is>
          <t>B310</t>
        </is>
      </c>
      <c r="C311" s="5" t="inlineStr">
        <is>
          <t>01a1212c-4b57-70cf-80fd-c2192cb3bf81</t>
        </is>
      </c>
      <c r="D311" s="4" t="n">
        <v>46304.62416355337</v>
      </c>
      <c r="E311" s="4" t="n">
        <v>46304.62416355344</v>
      </c>
      <c r="F311" t="b">
        <v>1</v>
      </c>
      <c r="G311" t="n">
        <v/>
      </c>
      <c r="H311" t="inlineStr">
        <is>
          <t>2025-10-06 | Buy | VGS | 11.0000 unit @ A$152.00 / unit</t>
        </is>
      </c>
      <c r="I311" t="inlineStr">
        <is>
          <t>VGS</t>
        </is>
      </c>
      <c r="J311" s="6" t="n">
        <v>45936</v>
      </c>
      <c r="K311" t="n">
        <v>11</v>
      </c>
      <c r="L311" t="inlineStr">
        <is>
          <t>AUD</t>
        </is>
      </c>
      <c r="M311" t="n">
        <v>152</v>
      </c>
      <c r="N311" t="inlineStr">
        <is>
          <t>AUD</t>
        </is>
      </c>
      <c r="O311" t="n">
        <v>9.5</v>
      </c>
      <c r="P311" t="inlineStr"/>
      <c r="Q311" t="inlineStr">
        <is>
          <t>FY2025/26</t>
        </is>
      </c>
      <c r="R311" t="inlineStr">
        <is>
          <t>AUD</t>
        </is>
      </c>
      <c r="S311" t="n">
        <v>9.5</v>
      </c>
      <c r="T311" t="inlineStr">
        <is>
          <t>AUD</t>
        </is>
      </c>
      <c r="U311" t="n">
        <v>0.863636</v>
      </c>
      <c r="V311" t="inlineStr">
        <is>
          <t>AUD</t>
        </is>
      </c>
      <c r="W311" t="n">
        <v>152</v>
      </c>
      <c r="X311" t="b">
        <v>1</v>
      </c>
      <c r="Y311" s="3" t="inlineStr">
        <is>
          <t>2025-10-06 | PARCEL |  VGS | 11.0000 unit @ A$152.00 / unit | Total cost base = A$1,681.50 |</t>
        </is>
      </c>
      <c r="Z311" t="n">
        <v/>
      </c>
    </row>
    <row r="312">
      <c r="A312" s="5" t="inlineStr">
        <is>
          <t>01a1212c-8347-7477-ae39-33c830090504</t>
        </is>
      </c>
      <c r="B312" t="inlineStr">
        <is>
          <t>B311</t>
        </is>
      </c>
      <c r="C312" s="5" t="inlineStr">
        <is>
          <t>01a1212c-4b57-70cf-80fd-c2192cb3bf81</t>
        </is>
      </c>
      <c r="D312" s="4" t="n">
        <v>46304.62416381899</v>
      </c>
      <c r="E312" s="4" t="n">
        <v>46304.62416381906</v>
      </c>
      <c r="F312" t="b">
        <v>1</v>
      </c>
      <c r="G312" t="n">
        <v/>
      </c>
      <c r="H312" t="inlineStr">
        <is>
          <t>2025-10-09 | Buy | MSFT | 1.0000 unit @ $522.40 / unit</t>
        </is>
      </c>
      <c r="I312" t="inlineStr">
        <is>
          <t>MSFT</t>
        </is>
      </c>
      <c r="J312" s="6" t="n">
        <v>45939</v>
      </c>
      <c r="K312" t="n">
        <v>1</v>
      </c>
      <c r="L312" t="inlineStr">
        <is>
          <t>USD</t>
        </is>
      </c>
      <c r="M312" t="n">
        <v>522.4</v>
      </c>
      <c r="N312" t="inlineStr">
        <is>
          <t>USD</t>
        </is>
      </c>
      <c r="O312" t="n">
        <v>5</v>
      </c>
      <c r="P312" t="inlineStr"/>
      <c r="Q312" t="inlineStr">
        <is>
          <t>FY2025/26</t>
        </is>
      </c>
      <c r="R312" t="inlineStr">
        <is>
          <t>AUD</t>
        </is>
      </c>
      <c r="S312" t="n">
        <v>7.5</v>
      </c>
      <c r="T312" t="inlineStr">
        <is>
          <t>AUD</t>
        </is>
      </c>
      <c r="U312" t="n">
        <v>7.5</v>
      </c>
      <c r="V312" t="inlineStr">
        <is>
          <t>AUD</t>
        </is>
      </c>
      <c r="W312" t="n">
        <v>783.6</v>
      </c>
      <c r="X312" t="b">
        <v>1</v>
      </c>
      <c r="Y312" s="3" t="inlineStr">
        <is>
          <t>2025-10-09 | PARCEL |  MSFT | 1.0000 unit @ A$783.60 / unit | Total cost base = A$791.10 |</t>
        </is>
      </c>
      <c r="Z312" s="5" t="inlineStr">
        <is>
          <t>01a1212c-8349-7404-8325-6c5d5f7e5dc7</t>
        </is>
      </c>
    </row>
    <row r="313">
      <c r="A313" s="5" t="inlineStr">
        <is>
          <t>01a1212c-8360-72a1-bf9d-e428d71200a4</t>
        </is>
      </c>
      <c r="B313" t="inlineStr">
        <is>
          <t>B312</t>
        </is>
      </c>
      <c r="C313" s="5" t="inlineStr">
        <is>
          <t>01a1212c-4b57-70cf-80fd-c2192cb3bf81</t>
        </is>
      </c>
      <c r="D313" s="4" t="n">
        <v>46304.62416410694</v>
      </c>
      <c r="E313" s="4" t="n">
        <v>46304.62416410699</v>
      </c>
      <c r="F313" t="b">
        <v>1</v>
      </c>
      <c r="G313" t="n">
        <v/>
      </c>
      <c r="H313" t="inlineStr">
        <is>
          <t>2025-10-16 | Buy | AAPL | 1.0000 unit @ $247.45 / unit</t>
        </is>
      </c>
      <c r="I313" t="inlineStr">
        <is>
          <t>AAPL</t>
        </is>
      </c>
      <c r="J313" s="6" t="n">
        <v>45946</v>
      </c>
      <c r="K313" t="n">
        <v>1</v>
      </c>
      <c r="L313" t="inlineStr">
        <is>
          <t>USD</t>
        </is>
      </c>
      <c r="M313" t="n">
        <v>247.45</v>
      </c>
      <c r="N313" t="inlineStr">
        <is>
          <t>USD</t>
        </is>
      </c>
      <c r="O313" t="n">
        <v>5</v>
      </c>
      <c r="P313" t="inlineStr"/>
      <c r="Q313" t="inlineStr">
        <is>
          <t>FY2025/26</t>
        </is>
      </c>
      <c r="R313" t="inlineStr">
        <is>
          <t>AUD</t>
        </is>
      </c>
      <c r="S313" t="n">
        <v>7.5</v>
      </c>
      <c r="T313" t="inlineStr">
        <is>
          <t>AUD</t>
        </is>
      </c>
      <c r="U313" t="n">
        <v>7.5</v>
      </c>
      <c r="V313" t="inlineStr">
        <is>
          <t>AUD</t>
        </is>
      </c>
      <c r="W313" t="n">
        <v>371.175</v>
      </c>
      <c r="X313" t="b">
        <v>1</v>
      </c>
      <c r="Y313" s="3" t="inlineStr">
        <is>
          <t>2025-10-16 | PARCEL |  AAPL | 1.0000 unit @ A$371.18 / unit | Total cost base = A$378.68 |</t>
        </is>
      </c>
      <c r="Z313" s="5" t="inlineStr">
        <is>
          <t>01a1212c-8361-719f-883d-b8b85afdd00a</t>
        </is>
      </c>
    </row>
    <row r="314">
      <c r="A314" s="5" t="inlineStr">
        <is>
          <t>01a1212c-8378-716a-ab1f-88122f9295b1</t>
        </is>
      </c>
      <c r="B314" t="inlineStr">
        <is>
          <t>B313</t>
        </is>
      </c>
      <c r="C314" s="5" t="inlineStr">
        <is>
          <t>01a1212c-4b57-70cf-80fd-c2192cb3bf81</t>
        </is>
      </c>
      <c r="D314" s="4" t="n">
        <v>46304.62416436748</v>
      </c>
      <c r="E314" s="4" t="n">
        <v>46304.62416436755</v>
      </c>
      <c r="F314" t="b">
        <v>1</v>
      </c>
      <c r="G314" t="n">
        <v/>
      </c>
      <c r="H314" t="inlineStr">
        <is>
          <t>2025-11-03 | Buy | A200 | 8.0000 unit @ A$148.30 / unit</t>
        </is>
      </c>
      <c r="I314" t="inlineStr">
        <is>
          <t>A200</t>
        </is>
      </c>
      <c r="J314" s="6" t="n">
        <v>45964</v>
      </c>
      <c r="K314" t="n">
        <v>8</v>
      </c>
      <c r="L314" t="inlineStr">
        <is>
          <t>AUD</t>
        </is>
      </c>
      <c r="M314" t="n">
        <v>148.3</v>
      </c>
      <c r="N314" t="inlineStr">
        <is>
          <t>AUD</t>
        </is>
      </c>
      <c r="O314" t="n">
        <v>9.5</v>
      </c>
      <c r="P314" t="inlineStr"/>
      <c r="Q314" t="inlineStr">
        <is>
          <t>FY2025/26</t>
        </is>
      </c>
      <c r="R314" t="inlineStr">
        <is>
          <t>AUD</t>
        </is>
      </c>
      <c r="S314" t="n">
        <v>9.5</v>
      </c>
      <c r="T314" t="inlineStr">
        <is>
          <t>AUD</t>
        </is>
      </c>
      <c r="U314" t="n">
        <v>1.1875</v>
      </c>
      <c r="V314" t="inlineStr">
        <is>
          <t>AUD</t>
        </is>
      </c>
      <c r="W314" t="n">
        <v>148.3</v>
      </c>
      <c r="X314" t="b">
        <v>1</v>
      </c>
      <c r="Y314" s="3" t="inlineStr">
        <is>
          <t>2025-11-03 | PARCEL |  A200 | 8.0000 unit @ A$148.30 / unit | Total cost base = A$1,195.90 |</t>
        </is>
      </c>
      <c r="Z314" t="n">
        <v/>
      </c>
    </row>
    <row r="315">
      <c r="A315" s="5" t="inlineStr">
        <is>
          <t>01a1212c-838d-70b6-b7f7-ba926650afeb</t>
        </is>
      </c>
      <c r="B315" t="inlineStr">
        <is>
          <t>B314</t>
        </is>
      </c>
      <c r="C315" s="5" t="inlineStr">
        <is>
          <t>01a1212c-4b57-70cf-80fd-c2192cb3bf81</t>
        </is>
      </c>
      <c r="D315" s="4" t="n">
        <v>46304.62416461161</v>
      </c>
      <c r="E315" s="4" t="n">
        <v>46304.62416461168</v>
      </c>
      <c r="F315" t="b">
        <v>1</v>
      </c>
      <c r="G315" t="n">
        <v/>
      </c>
      <c r="H315" t="inlineStr">
        <is>
          <t>2025-11-03 | Buy | VGS | 9.0000 unit @ A$154.97 / unit</t>
        </is>
      </c>
      <c r="I315" t="inlineStr">
        <is>
          <t>VGS</t>
        </is>
      </c>
      <c r="J315" s="6" t="n">
        <v>45964</v>
      </c>
      <c r="K315" t="n">
        <v>9</v>
      </c>
      <c r="L315" t="inlineStr">
        <is>
          <t>AUD</t>
        </is>
      </c>
      <c r="M315" t="n">
        <v>154.97</v>
      </c>
      <c r="N315" t="inlineStr">
        <is>
          <t>AUD</t>
        </is>
      </c>
      <c r="O315" t="n">
        <v>9.5</v>
      </c>
      <c r="P315" t="inlineStr"/>
      <c r="Q315" t="inlineStr">
        <is>
          <t>FY2025/26</t>
        </is>
      </c>
      <c r="R315" t="inlineStr">
        <is>
          <t>AUD</t>
        </is>
      </c>
      <c r="S315" t="n">
        <v>9.5</v>
      </c>
      <c r="T315" t="inlineStr">
        <is>
          <t>AUD</t>
        </is>
      </c>
      <c r="U315" t="n">
        <v>1.055556</v>
      </c>
      <c r="V315" t="inlineStr">
        <is>
          <t>AUD</t>
        </is>
      </c>
      <c r="W315" t="n">
        <v>154.97</v>
      </c>
      <c r="X315" t="b">
        <v>1</v>
      </c>
      <c r="Y315" s="3" t="inlineStr">
        <is>
          <t>2025-11-03 | PARCEL |  VGS | 9.0000 unit @ A$154.97 / unit | Total cost base = A$1,404.23 |</t>
        </is>
      </c>
      <c r="Z315" t="n">
        <v/>
      </c>
    </row>
    <row r="316">
      <c r="A316" s="5" t="inlineStr">
        <is>
          <t>01a1212c-83a2-7152-8258-8f2ad1a10a66</t>
        </is>
      </c>
      <c r="B316" t="inlineStr">
        <is>
          <t>B315</t>
        </is>
      </c>
      <c r="C316" s="5" t="inlineStr">
        <is>
          <t>01a1212c-4b57-70cf-80fd-c2192cb3bf81</t>
        </is>
      </c>
      <c r="D316" s="4" t="n">
        <v>46304.62416485768</v>
      </c>
      <c r="E316" s="4" t="n">
        <v>46304.62416485776</v>
      </c>
      <c r="F316" t="b">
        <v>1</v>
      </c>
      <c r="G316" t="n">
        <v/>
      </c>
      <c r="H316" t="inlineStr">
        <is>
          <t>2025-11-13 | Buy | BHP | 25.0000 unit @ A$43.33 / unit</t>
        </is>
      </c>
      <c r="I316" t="inlineStr">
        <is>
          <t>BHP</t>
        </is>
      </c>
      <c r="J316" s="6" t="n">
        <v>45974</v>
      </c>
      <c r="K316" t="n">
        <v>25</v>
      </c>
      <c r="L316" t="inlineStr">
        <is>
          <t>AUD</t>
        </is>
      </c>
      <c r="M316" t="n">
        <v>43.33</v>
      </c>
      <c r="N316" t="inlineStr">
        <is>
          <t>AUD</t>
        </is>
      </c>
      <c r="O316" t="n">
        <v>19.95</v>
      </c>
      <c r="P316" t="inlineStr"/>
      <c r="Q316" t="inlineStr">
        <is>
          <t>FY2025/26</t>
        </is>
      </c>
      <c r="R316" t="inlineStr">
        <is>
          <t>AUD</t>
        </is>
      </c>
      <c r="S316" t="n">
        <v>19.95</v>
      </c>
      <c r="T316" t="inlineStr">
        <is>
          <t>AUD</t>
        </is>
      </c>
      <c r="U316" t="n">
        <v>0.798</v>
      </c>
      <c r="V316" t="inlineStr">
        <is>
          <t>AUD</t>
        </is>
      </c>
      <c r="W316" t="n">
        <v>43.33</v>
      </c>
      <c r="X316" t="b">
        <v>1</v>
      </c>
      <c r="Y316" s="3" t="inlineStr">
        <is>
          <t>2025-11-13 | PARCEL |  BHP | 25.0000 unit @ A$43.33 / unit | Total cost base = A$1,103.20 |</t>
        </is>
      </c>
      <c r="Z316" t="n">
        <v/>
      </c>
    </row>
    <row r="317">
      <c r="A317" s="5" t="inlineStr">
        <is>
          <t>01a1212c-83b6-7324-8169-323347395f2b</t>
        </is>
      </c>
      <c r="B317" t="inlineStr">
        <is>
          <t>B316</t>
        </is>
      </c>
      <c r="C317" s="5" t="inlineStr">
        <is>
          <t>01a1212c-4b57-70cf-80fd-c2192cb3bf81</t>
        </is>
      </c>
      <c r="D317" s="4" t="n">
        <v>46304.6241650866</v>
      </c>
      <c r="E317" s="4" t="n">
        <v>46304.62416508667</v>
      </c>
      <c r="F317" t="b">
        <v>1</v>
      </c>
      <c r="G317" t="n">
        <v/>
      </c>
      <c r="H317" t="inlineStr">
        <is>
          <t>2025-12-08 | Buy | A200 | 9.0000 unit @ A$144.32 / unit</t>
        </is>
      </c>
      <c r="I317" t="inlineStr">
        <is>
          <t>A200</t>
        </is>
      </c>
      <c r="J317" s="6" t="n">
        <v>45999</v>
      </c>
      <c r="K317" t="n">
        <v>9</v>
      </c>
      <c r="L317" t="inlineStr">
        <is>
          <t>AUD</t>
        </is>
      </c>
      <c r="M317" t="n">
        <v>144.32</v>
      </c>
      <c r="N317" t="inlineStr">
        <is>
          <t>AUD</t>
        </is>
      </c>
      <c r="O317" t="n">
        <v>9.5</v>
      </c>
      <c r="P317" t="inlineStr"/>
      <c r="Q317" t="inlineStr">
        <is>
          <t>FY2025/26</t>
        </is>
      </c>
      <c r="R317" t="inlineStr">
        <is>
          <t>AUD</t>
        </is>
      </c>
      <c r="S317" t="n">
        <v>9.5</v>
      </c>
      <c r="T317" t="inlineStr">
        <is>
          <t>AUD</t>
        </is>
      </c>
      <c r="U317" t="n">
        <v>1.055556</v>
      </c>
      <c r="V317" t="inlineStr">
        <is>
          <t>AUD</t>
        </is>
      </c>
      <c r="W317" t="n">
        <v>144.32</v>
      </c>
      <c r="X317" t="b">
        <v>1</v>
      </c>
      <c r="Y317" s="3" t="inlineStr">
        <is>
          <t>2025-12-08 | PARCEL |  A200 | 9.0000 unit @ A$144.32 / unit | Total cost base = A$1,308.38 |</t>
        </is>
      </c>
      <c r="Z317" t="n">
        <v/>
      </c>
    </row>
    <row r="318">
      <c r="A318" s="5" t="inlineStr">
        <is>
          <t>01a1212c-83cc-7016-9878-03e9934e35f1</t>
        </is>
      </c>
      <c r="B318" t="inlineStr">
        <is>
          <t>B317</t>
        </is>
      </c>
      <c r="C318" s="5" t="inlineStr">
        <is>
          <t>01a1212c-4b57-70cf-80fd-c2192cb3bf81</t>
        </is>
      </c>
      <c r="D318" s="4" t="n">
        <v>46304.62416535767</v>
      </c>
      <c r="E318" s="4" t="n">
        <v>46304.62416535772</v>
      </c>
      <c r="F318" t="b">
        <v>1</v>
      </c>
      <c r="G318" t="n">
        <v/>
      </c>
      <c r="H318" t="inlineStr">
        <is>
          <t>2025-12-08 | Buy | AMZN | 2.0000 unit @ $226.89 / unit</t>
        </is>
      </c>
      <c r="I318" t="inlineStr">
        <is>
          <t>AMZN</t>
        </is>
      </c>
      <c r="J318" s="6" t="n">
        <v>45999</v>
      </c>
      <c r="K318" t="n">
        <v>2</v>
      </c>
      <c r="L318" t="inlineStr">
        <is>
          <t>USD</t>
        </is>
      </c>
      <c r="M318" t="n">
        <v>226.89</v>
      </c>
      <c r="N318" t="inlineStr">
        <is>
          <t>USD</t>
        </is>
      </c>
      <c r="O318" t="n">
        <v>5</v>
      </c>
      <c r="P318" t="inlineStr"/>
      <c r="Q318" t="inlineStr">
        <is>
          <t>FY2025/26</t>
        </is>
      </c>
      <c r="R318" t="inlineStr">
        <is>
          <t>AUD</t>
        </is>
      </c>
      <c r="S318" t="n">
        <v>7.5</v>
      </c>
      <c r="T318" t="inlineStr">
        <is>
          <t>AUD</t>
        </is>
      </c>
      <c r="U318" t="n">
        <v>3.75</v>
      </c>
      <c r="V318" t="inlineStr">
        <is>
          <t>AUD</t>
        </is>
      </c>
      <c r="W318" t="n">
        <v>340.335</v>
      </c>
      <c r="X318" t="b">
        <v>1</v>
      </c>
      <c r="Y318" s="3" t="inlineStr">
        <is>
          <t>2025-12-08 | PARCEL |  AMZN | 2.0000 unit @ A$340.34 / unit | Total cost base = A$688.17 |</t>
        </is>
      </c>
      <c r="Z318" s="5" t="inlineStr">
        <is>
          <t>01a1212c-83ce-7488-9f3f-1da7452f1ea0</t>
        </is>
      </c>
    </row>
    <row r="319">
      <c r="A319" s="5" t="inlineStr">
        <is>
          <t>01a1212c-83e4-7556-a543-cd357d8bcc3c</t>
        </is>
      </c>
      <c r="B319" t="inlineStr">
        <is>
          <t>B318</t>
        </is>
      </c>
      <c r="C319" s="5" t="inlineStr">
        <is>
          <t>01a1212c-4b57-70cf-80fd-c2192cb3bf81</t>
        </is>
      </c>
      <c r="D319" s="4" t="n">
        <v>46304.62416562587</v>
      </c>
      <c r="E319" s="4" t="n">
        <v>46304.62416562595</v>
      </c>
      <c r="F319" t="b">
        <v>1</v>
      </c>
      <c r="G319" t="n">
        <v/>
      </c>
      <c r="H319" t="inlineStr">
        <is>
          <t>2025-12-08 | Buy | VGS | 10.0000 unit @ A$154.10 / unit</t>
        </is>
      </c>
      <c r="I319" t="inlineStr">
        <is>
          <t>VGS</t>
        </is>
      </c>
      <c r="J319" s="6" t="n">
        <v>45999</v>
      </c>
      <c r="K319" t="n">
        <v>10</v>
      </c>
      <c r="L319" t="inlineStr">
        <is>
          <t>AUD</t>
        </is>
      </c>
      <c r="M319" t="n">
        <v>154.1</v>
      </c>
      <c r="N319" t="inlineStr">
        <is>
          <t>AUD</t>
        </is>
      </c>
      <c r="O319" t="n">
        <v>9.5</v>
      </c>
      <c r="P319" t="inlineStr"/>
      <c r="Q319" t="inlineStr">
        <is>
          <t>FY2025/26</t>
        </is>
      </c>
      <c r="R319" t="inlineStr">
        <is>
          <t>AUD</t>
        </is>
      </c>
      <c r="S319" t="n">
        <v>9.5</v>
      </c>
      <c r="T319" t="inlineStr">
        <is>
          <t>AUD</t>
        </is>
      </c>
      <c r="U319" t="n">
        <v>0.95</v>
      </c>
      <c r="V319" t="inlineStr">
        <is>
          <t>AUD</t>
        </is>
      </c>
      <c r="W319" t="n">
        <v>154.1</v>
      </c>
      <c r="X319" t="b">
        <v>1</v>
      </c>
      <c r="Y319" s="3" t="inlineStr">
        <is>
          <t>2025-12-08 | PARCEL |  VGS | 10.0000 unit @ A$154.10 / unit | Total cost base = A$1,550.50 |</t>
        </is>
      </c>
      <c r="Z319" t="n">
        <v/>
      </c>
    </row>
    <row r="320">
      <c r="A320" s="5" t="inlineStr">
        <is>
          <t>01a1212c-83fe-7064-92aa-69fcb9cf4032</t>
        </is>
      </c>
      <c r="B320" t="inlineStr">
        <is>
          <t>B319</t>
        </is>
      </c>
      <c r="C320" s="5" t="inlineStr">
        <is>
          <t>01a1212c-4b57-70cf-80fd-c2192cb3bf81</t>
        </is>
      </c>
      <c r="D320" s="4" t="n">
        <v>46304.62416592108</v>
      </c>
      <c r="E320" s="4" t="n">
        <v>46304.62416592116</v>
      </c>
      <c r="F320" t="b">
        <v>1</v>
      </c>
      <c r="G320" t="n">
        <v/>
      </c>
      <c r="H320" t="inlineStr">
        <is>
          <t>2026-01-05 | Buy | A200 | 9.0000 unit @ A$145.25 / unit</t>
        </is>
      </c>
      <c r="I320" t="inlineStr">
        <is>
          <t>A200</t>
        </is>
      </c>
      <c r="J320" s="6" t="n">
        <v>46027</v>
      </c>
      <c r="K320" t="n">
        <v>9</v>
      </c>
      <c r="L320" t="inlineStr">
        <is>
          <t>AUD</t>
        </is>
      </c>
      <c r="M320" t="n">
        <v>145.25</v>
      </c>
      <c r="N320" t="inlineStr">
        <is>
          <t>AUD</t>
        </is>
      </c>
      <c r="O320" t="n">
        <v>9.5</v>
      </c>
      <c r="P320" t="inlineStr"/>
      <c r="Q320" t="inlineStr">
        <is>
          <t>FY2025/26</t>
        </is>
      </c>
      <c r="R320" t="inlineStr">
        <is>
          <t>AUD</t>
        </is>
      </c>
      <c r="S320" t="n">
        <v>9.5</v>
      </c>
      <c r="T320" t="inlineStr">
        <is>
          <t>AUD</t>
        </is>
      </c>
      <c r="U320" t="n">
        <v>1.055556</v>
      </c>
      <c r="V320" t="inlineStr">
        <is>
          <t>AUD</t>
        </is>
      </c>
      <c r="W320" t="n">
        <v>145.25</v>
      </c>
      <c r="X320" t="b">
        <v>1</v>
      </c>
      <c r="Y320" s="3" t="inlineStr">
        <is>
          <t>2026-01-05 | PARCEL |  A200 | 9.0000 unit @ A$145.25 / unit | Total cost base = A$1,316.75 |</t>
        </is>
      </c>
      <c r="Z320" t="n">
        <v/>
      </c>
    </row>
    <row r="321">
      <c r="A321" s="5" t="inlineStr">
        <is>
          <t>01a1212c-8416-7222-94b9-d729946b05ab</t>
        </is>
      </c>
      <c r="B321" t="inlineStr">
        <is>
          <t>B320</t>
        </is>
      </c>
      <c r="C321" s="5" t="inlineStr">
        <is>
          <t>01a1212c-4b57-70cf-80fd-c2192cb3bf81</t>
        </is>
      </c>
      <c r="D321" s="4" t="n">
        <v>46304.62416619546</v>
      </c>
      <c r="E321" s="4" t="n">
        <v>46304.62416619554</v>
      </c>
      <c r="F321" t="b">
        <v>1</v>
      </c>
      <c r="G321" t="n">
        <v/>
      </c>
      <c r="H321" t="inlineStr">
        <is>
          <t>2026-01-05 | Buy | VGS | 11.0000 unit @ A$154.00 / unit</t>
        </is>
      </c>
      <c r="I321" t="inlineStr">
        <is>
          <t>VGS</t>
        </is>
      </c>
      <c r="J321" s="6" t="n">
        <v>46027</v>
      </c>
      <c r="K321" t="n">
        <v>11</v>
      </c>
      <c r="L321" t="inlineStr">
        <is>
          <t>AUD</t>
        </is>
      </c>
      <c r="M321" t="n">
        <v>154</v>
      </c>
      <c r="N321" t="inlineStr">
        <is>
          <t>AUD</t>
        </is>
      </c>
      <c r="O321" t="n">
        <v>9.5</v>
      </c>
      <c r="P321" t="inlineStr"/>
      <c r="Q321" t="inlineStr">
        <is>
          <t>FY2025/26</t>
        </is>
      </c>
      <c r="R321" t="inlineStr">
        <is>
          <t>AUD</t>
        </is>
      </c>
      <c r="S321" t="n">
        <v>9.5</v>
      </c>
      <c r="T321" t="inlineStr">
        <is>
          <t>AUD</t>
        </is>
      </c>
      <c r="U321" t="n">
        <v>0.863636</v>
      </c>
      <c r="V321" t="inlineStr">
        <is>
          <t>AUD</t>
        </is>
      </c>
      <c r="W321" t="n">
        <v>154</v>
      </c>
      <c r="X321" t="b">
        <v>1</v>
      </c>
      <c r="Y321" s="3" t="inlineStr">
        <is>
          <t>2026-01-05 | PARCEL |  VGS | 11.0000 unit @ A$154.00 / unit | Total cost base = A$1,703.50 |</t>
        </is>
      </c>
      <c r="Z321" t="n">
        <v/>
      </c>
    </row>
    <row r="322">
      <c r="A322" s="5" t="inlineStr">
        <is>
          <t>01a1212c-842c-7366-aae8-36e827126ce3</t>
        </is>
      </c>
      <c r="B322" t="inlineStr">
        <is>
          <t>B321</t>
        </is>
      </c>
      <c r="C322" s="5" t="inlineStr">
        <is>
          <t>01a1212c-4b57-70cf-80fd-c2192cb3bf81</t>
        </is>
      </c>
      <c r="D322" s="4" t="n">
        <v>46304.62416647741</v>
      </c>
      <c r="E322" s="4" t="n">
        <v>46304.62416647746</v>
      </c>
      <c r="F322" t="b">
        <v>1</v>
      </c>
      <c r="G322" t="n">
        <v/>
      </c>
      <c r="H322" t="inlineStr">
        <is>
          <t>2026-01-09 | Buy | MSFT | 1.0000 unit @ $479.28 / unit</t>
        </is>
      </c>
      <c r="I322" t="inlineStr">
        <is>
          <t>MSFT</t>
        </is>
      </c>
      <c r="J322" s="6" t="n">
        <v>46031</v>
      </c>
      <c r="K322" t="n">
        <v>1</v>
      </c>
      <c r="L322" t="inlineStr">
        <is>
          <t>USD</t>
        </is>
      </c>
      <c r="M322" t="n">
        <v>479.28</v>
      </c>
      <c r="N322" t="inlineStr">
        <is>
          <t>USD</t>
        </is>
      </c>
      <c r="O322" t="n">
        <v>5</v>
      </c>
      <c r="P322" t="inlineStr"/>
      <c r="Q322" t="inlineStr">
        <is>
          <t>FY2025/26</t>
        </is>
      </c>
      <c r="R322" t="inlineStr">
        <is>
          <t>AUD</t>
        </is>
      </c>
      <c r="S322" t="n">
        <v>7.5</v>
      </c>
      <c r="T322" t="inlineStr">
        <is>
          <t>AUD</t>
        </is>
      </c>
      <c r="U322" t="n">
        <v>7.5</v>
      </c>
      <c r="V322" t="inlineStr">
        <is>
          <t>AUD</t>
        </is>
      </c>
      <c r="W322" t="n">
        <v>718.92</v>
      </c>
      <c r="X322" t="b">
        <v>1</v>
      </c>
      <c r="Y322" s="3" t="inlineStr">
        <is>
          <t>2026-01-09 | PARCEL |  MSFT | 1.0000 unit @ A$718.92 / unit | Total cost base = A$726.42 |</t>
        </is>
      </c>
      <c r="Z322" s="5" t="inlineStr">
        <is>
          <t>01a1212c-842e-770e-82d5-1dd9e3c3d973</t>
        </is>
      </c>
    </row>
    <row r="323">
      <c r="A323" s="5" t="inlineStr">
        <is>
          <t>01a1212c-8445-775a-9196-87725e4576ec</t>
        </is>
      </c>
      <c r="B323" t="inlineStr">
        <is>
          <t>B322</t>
        </is>
      </c>
      <c r="C323" s="5" t="inlineStr">
        <is>
          <t>01a1212c-4b57-70cf-80fd-c2192cb3bf81</t>
        </is>
      </c>
      <c r="D323" s="4" t="n">
        <v>46304.62416674294</v>
      </c>
      <c r="E323" s="4" t="n">
        <v>46304.62416674301</v>
      </c>
      <c r="F323" t="b">
        <v>1</v>
      </c>
      <c r="G323" t="n">
        <v/>
      </c>
      <c r="H323" t="inlineStr">
        <is>
          <t>2026-02-02 | Buy | A200 | 6.0000 unit @ A$146.07 / unit</t>
        </is>
      </c>
      <c r="I323" t="inlineStr">
        <is>
          <t>A200</t>
        </is>
      </c>
      <c r="J323" s="6" t="n">
        <v>46055</v>
      </c>
      <c r="K323" t="n">
        <v>6</v>
      </c>
      <c r="L323" t="inlineStr">
        <is>
          <t>AUD</t>
        </is>
      </c>
      <c r="M323" t="n">
        <v>146.07</v>
      </c>
      <c r="N323" t="inlineStr">
        <is>
          <t>AUD</t>
        </is>
      </c>
      <c r="O323" t="n">
        <v>9.5</v>
      </c>
      <c r="P323" t="inlineStr"/>
      <c r="Q323" t="inlineStr">
        <is>
          <t>FY2025/26</t>
        </is>
      </c>
      <c r="R323" t="inlineStr">
        <is>
          <t>AUD</t>
        </is>
      </c>
      <c r="S323" t="n">
        <v>9.5</v>
      </c>
      <c r="T323" t="inlineStr">
        <is>
          <t>AUD</t>
        </is>
      </c>
      <c r="U323" t="n">
        <v>1.583333</v>
      </c>
      <c r="V323" t="inlineStr">
        <is>
          <t>AUD</t>
        </is>
      </c>
      <c r="W323" t="n">
        <v>146.07</v>
      </c>
      <c r="X323" t="b">
        <v>1</v>
      </c>
      <c r="Y323" s="3" t="inlineStr">
        <is>
          <t>2026-02-02 | PARCEL |  A200 | 6.0000 unit @ A$146.07 / unit | Total cost base = A$885.92 |</t>
        </is>
      </c>
      <c r="Z323" t="n">
        <v/>
      </c>
    </row>
    <row r="324">
      <c r="A324" s="5" t="inlineStr">
        <is>
          <t>01a1212c-845c-7353-ab38-a953598332d0</t>
        </is>
      </c>
      <c r="B324" t="inlineStr">
        <is>
          <t>B323</t>
        </is>
      </c>
      <c r="C324" s="5" t="inlineStr">
        <is>
          <t>01a1212c-4b57-70cf-80fd-c2192cb3bf81</t>
        </is>
      </c>
      <c r="D324" s="4" t="n">
        <v>46304.62416700719</v>
      </c>
      <c r="E324" s="4" t="n">
        <v>46304.62416700737</v>
      </c>
      <c r="F324" t="b">
        <v>1</v>
      </c>
      <c r="G324" t="n">
        <v/>
      </c>
      <c r="H324" t="inlineStr">
        <is>
          <t>2026-02-02 | Buy | VGS | 7.0000 unit @ A$148.84 / unit</t>
        </is>
      </c>
      <c r="I324" t="inlineStr">
        <is>
          <t>VGS</t>
        </is>
      </c>
      <c r="J324" s="6" t="n">
        <v>46055</v>
      </c>
      <c r="K324" t="n">
        <v>7</v>
      </c>
      <c r="L324" t="inlineStr">
        <is>
          <t>AUD</t>
        </is>
      </c>
      <c r="M324" t="n">
        <v>148.84</v>
      </c>
      <c r="N324" t="inlineStr">
        <is>
          <t>AUD</t>
        </is>
      </c>
      <c r="O324" t="n">
        <v>9.5</v>
      </c>
      <c r="P324" t="inlineStr"/>
      <c r="Q324" t="inlineStr">
        <is>
          <t>FY2025/26</t>
        </is>
      </c>
      <c r="R324" t="inlineStr">
        <is>
          <t>AUD</t>
        </is>
      </c>
      <c r="S324" t="n">
        <v>9.5</v>
      </c>
      <c r="T324" t="inlineStr">
        <is>
          <t>AUD</t>
        </is>
      </c>
      <c r="U324" t="n">
        <v>1.357143</v>
      </c>
      <c r="V324" t="inlineStr">
        <is>
          <t>AUD</t>
        </is>
      </c>
      <c r="W324" t="n">
        <v>148.84</v>
      </c>
      <c r="X324" t="b">
        <v>1</v>
      </c>
      <c r="Y324" s="3" t="inlineStr">
        <is>
          <t>2026-02-02 | PARCEL |  VGS | 7.0000 unit @ A$148.84 / unit | Total cost base = A$1,051.38 |</t>
        </is>
      </c>
      <c r="Z324" t="n">
        <v/>
      </c>
    </row>
    <row r="325">
      <c r="A325" s="5" t="inlineStr">
        <is>
          <t>01a1212c-8473-7293-ada3-f800990c657f</t>
        </is>
      </c>
      <c r="B325" t="inlineStr">
        <is>
          <t>B324</t>
        </is>
      </c>
      <c r="C325" s="5" t="inlineStr">
        <is>
          <t>01a1212c-4b57-70cf-80fd-c2192cb3bf81</t>
        </is>
      </c>
      <c r="D325" s="4" t="n">
        <v>46304.62416727497</v>
      </c>
      <c r="E325" s="4" t="n">
        <v>46304.62416727505</v>
      </c>
      <c r="F325" t="b">
        <v>1</v>
      </c>
      <c r="G325" t="n">
        <v/>
      </c>
      <c r="H325" t="inlineStr">
        <is>
          <t>2026-03-04 | Buy | A200 | 10.0000 unit @ A$149.00 / unit</t>
        </is>
      </c>
      <c r="I325" t="inlineStr">
        <is>
          <t>A200</t>
        </is>
      </c>
      <c r="J325" s="6" t="n">
        <v>46085</v>
      </c>
      <c r="K325" t="n">
        <v>10</v>
      </c>
      <c r="L325" t="inlineStr">
        <is>
          <t>AUD</t>
        </is>
      </c>
      <c r="M325" t="n">
        <v>149</v>
      </c>
      <c r="N325" t="inlineStr">
        <is>
          <t>AUD</t>
        </is>
      </c>
      <c r="O325" t="n">
        <v>9.5</v>
      </c>
      <c r="P325" t="inlineStr"/>
      <c r="Q325" t="inlineStr">
        <is>
          <t>FY2025/26</t>
        </is>
      </c>
      <c r="R325" t="inlineStr">
        <is>
          <t>AUD</t>
        </is>
      </c>
      <c r="S325" t="n">
        <v>9.5</v>
      </c>
      <c r="T325" t="inlineStr">
        <is>
          <t>AUD</t>
        </is>
      </c>
      <c r="U325" t="n">
        <v>0.95</v>
      </c>
      <c r="V325" t="inlineStr">
        <is>
          <t>AUD</t>
        </is>
      </c>
      <c r="W325" t="n">
        <v>149</v>
      </c>
      <c r="X325" t="b">
        <v>1</v>
      </c>
      <c r="Y325" s="3" t="inlineStr">
        <is>
          <t>2026-03-04 | PARCEL |  A200 | 10.0000 unit @ A$149.00 / unit | Total cost base = A$1,499.50 |</t>
        </is>
      </c>
      <c r="Z325" t="n">
        <v/>
      </c>
    </row>
    <row r="326">
      <c r="A326" s="5" t="inlineStr">
        <is>
          <t>01a1212c-848b-7247-a6ca-f53a0ef9bc74</t>
        </is>
      </c>
      <c r="B326" t="inlineStr">
        <is>
          <t>B325</t>
        </is>
      </c>
      <c r="C326" s="5" t="inlineStr">
        <is>
          <t>01a1212c-4b57-70cf-80fd-c2192cb3bf81</t>
        </is>
      </c>
      <c r="D326" s="4" t="n">
        <v>46304.62416754918</v>
      </c>
      <c r="E326" s="4" t="n">
        <v>46304.62416754927</v>
      </c>
      <c r="F326" t="b">
        <v>1</v>
      </c>
      <c r="G326" t="n">
        <v/>
      </c>
      <c r="H326" t="inlineStr">
        <is>
          <t>2026-03-04 | Buy | VGS | 13.0000 unit @ A$145.90 / unit</t>
        </is>
      </c>
      <c r="I326" t="inlineStr">
        <is>
          <t>VGS</t>
        </is>
      </c>
      <c r="J326" s="6" t="n">
        <v>46085</v>
      </c>
      <c r="K326" t="n">
        <v>13</v>
      </c>
      <c r="L326" t="inlineStr">
        <is>
          <t>AUD</t>
        </is>
      </c>
      <c r="M326" t="n">
        <v>145.9</v>
      </c>
      <c r="N326" t="inlineStr">
        <is>
          <t>AUD</t>
        </is>
      </c>
      <c r="O326" t="n">
        <v>9.5</v>
      </c>
      <c r="P326" t="inlineStr"/>
      <c r="Q326" t="inlineStr">
        <is>
          <t>FY2025/26</t>
        </is>
      </c>
      <c r="R326" t="inlineStr">
        <is>
          <t>AUD</t>
        </is>
      </c>
      <c r="S326" t="n">
        <v>9.5</v>
      </c>
      <c r="T326" t="inlineStr">
        <is>
          <t>AUD</t>
        </is>
      </c>
      <c r="U326" t="n">
        <v>0.730769</v>
      </c>
      <c r="V326" t="inlineStr">
        <is>
          <t>AUD</t>
        </is>
      </c>
      <c r="W326" t="n">
        <v>145.9</v>
      </c>
      <c r="X326" t="b">
        <v>1</v>
      </c>
      <c r="Y326" s="3" t="inlineStr">
        <is>
          <t>2026-03-04 | PARCEL |  VGS | 13.0000 unit @ A$145.90 / unit | Total cost base = A$1,906.20 |</t>
        </is>
      </c>
      <c r="Z326" t="n">
        <v/>
      </c>
    </row>
    <row r="327">
      <c r="A327" s="5" t="inlineStr">
        <is>
          <t>01a1212c-84a4-7537-b06f-3b575ecb0e64</t>
        </is>
      </c>
      <c r="B327" t="inlineStr">
        <is>
          <t>B326</t>
        </is>
      </c>
      <c r="C327" s="5" t="inlineStr">
        <is>
          <t>01a1212c-4b57-70cf-80fd-c2192cb3bf81</t>
        </is>
      </c>
      <c r="D327" s="4" t="n">
        <v>46304.62416784257</v>
      </c>
      <c r="E327" s="4" t="n">
        <v>46304.62416784265</v>
      </c>
      <c r="F327" t="b">
        <v>1</v>
      </c>
      <c r="G327" t="n">
        <v/>
      </c>
      <c r="H327" t="inlineStr">
        <is>
          <t>2026-04-07 | Buy | A200 | 4.0000 unit @ A$145.62 / unit</t>
        </is>
      </c>
      <c r="I327" t="inlineStr">
        <is>
          <t>A200</t>
        </is>
      </c>
      <c r="J327" s="6" t="n">
        <v>46119</v>
      </c>
      <c r="K327" t="n">
        <v>4</v>
      </c>
      <c r="L327" t="inlineStr">
        <is>
          <t>AUD</t>
        </is>
      </c>
      <c r="M327" t="n">
        <v>145.62</v>
      </c>
      <c r="N327" t="inlineStr">
        <is>
          <t>AUD</t>
        </is>
      </c>
      <c r="O327" t="n">
        <v>9.5</v>
      </c>
      <c r="P327" t="inlineStr"/>
      <c r="Q327" t="inlineStr">
        <is>
          <t>FY2025/26</t>
        </is>
      </c>
      <c r="R327" t="inlineStr">
        <is>
          <t>AUD</t>
        </is>
      </c>
      <c r="S327" t="n">
        <v>9.5</v>
      </c>
      <c r="T327" t="inlineStr">
        <is>
          <t>AUD</t>
        </is>
      </c>
      <c r="U327" t="n">
        <v>2.375</v>
      </c>
      <c r="V327" t="inlineStr">
        <is>
          <t>AUD</t>
        </is>
      </c>
      <c r="W327" t="n">
        <v>145.62</v>
      </c>
      <c r="X327" t="b">
        <v>1</v>
      </c>
      <c r="Y327" s="3" t="inlineStr">
        <is>
          <t>2026-04-07 | PARCEL |  A200 | 4.0000 unit @ A$145.62 / unit | Total cost base = A$591.98 |</t>
        </is>
      </c>
      <c r="Z327" t="n">
        <v/>
      </c>
    </row>
    <row r="328">
      <c r="A328" s="5" t="inlineStr">
        <is>
          <t>01a1212c-84be-77fa-8ccc-c7ebefd4abda</t>
        </is>
      </c>
      <c r="B328" t="inlineStr">
        <is>
          <t>B327</t>
        </is>
      </c>
      <c r="C328" s="5" t="inlineStr">
        <is>
          <t>01a1212c-4b57-70cf-80fd-c2192cb3bf81</t>
        </is>
      </c>
      <c r="D328" s="4" t="n">
        <v>46304.62416814442</v>
      </c>
      <c r="E328" s="4" t="n">
        <v>46304.6241681445</v>
      </c>
      <c r="F328" t="b">
        <v>1</v>
      </c>
      <c r="G328" t="n">
        <v/>
      </c>
      <c r="H328" t="inlineStr">
        <is>
          <t>2026-04-07 | Buy | VGS | 6.0000 unit @ A$143.75 / unit</t>
        </is>
      </c>
      <c r="I328" t="inlineStr">
        <is>
          <t>VGS</t>
        </is>
      </c>
      <c r="J328" s="6" t="n">
        <v>46119</v>
      </c>
      <c r="K328" t="n">
        <v>6</v>
      </c>
      <c r="L328" t="inlineStr">
        <is>
          <t>AUD</t>
        </is>
      </c>
      <c r="M328" t="n">
        <v>143.75</v>
      </c>
      <c r="N328" t="inlineStr">
        <is>
          <t>AUD</t>
        </is>
      </c>
      <c r="O328" t="n">
        <v>9.5</v>
      </c>
      <c r="P328" t="inlineStr"/>
      <c r="Q328" t="inlineStr">
        <is>
          <t>FY2025/26</t>
        </is>
      </c>
      <c r="R328" t="inlineStr">
        <is>
          <t>AUD</t>
        </is>
      </c>
      <c r="S328" t="n">
        <v>9.5</v>
      </c>
      <c r="T328" t="inlineStr">
        <is>
          <t>AUD</t>
        </is>
      </c>
      <c r="U328" t="n">
        <v>1.583333</v>
      </c>
      <c r="V328" t="inlineStr">
        <is>
          <t>AUD</t>
        </is>
      </c>
      <c r="W328" t="n">
        <v>143.75</v>
      </c>
      <c r="X328" t="b">
        <v>1</v>
      </c>
      <c r="Y328" s="3" t="inlineStr">
        <is>
          <t>2026-04-07 | PARCEL |  VGS | 6.0000 unit @ A$143.75 / unit | Total cost base = A$872.00 |</t>
        </is>
      </c>
      <c r="Z328" t="n">
        <v/>
      </c>
    </row>
    <row r="329">
      <c r="A329" s="5" t="inlineStr">
        <is>
          <t>01a1212c-84d5-771f-9fff-1e3083a01506</t>
        </is>
      </c>
      <c r="B329" t="inlineStr">
        <is>
          <t>B328</t>
        </is>
      </c>
      <c r="C329" s="5" t="inlineStr">
        <is>
          <t>01a1212c-4b57-70cf-80fd-c2192cb3bf81</t>
        </is>
      </c>
      <c r="D329" s="4" t="n">
        <v>46304.62416842378</v>
      </c>
      <c r="E329" s="4" t="n">
        <v>46304.62416842384</v>
      </c>
      <c r="F329" t="b">
        <v>1</v>
      </c>
      <c r="G329" t="n">
        <v/>
      </c>
      <c r="H329" t="inlineStr">
        <is>
          <t>2026-04-20 | Buy | AAPL | 2.0000 unit @ $273.05 / unit</t>
        </is>
      </c>
      <c r="I329" t="inlineStr">
        <is>
          <t>AAPL</t>
        </is>
      </c>
      <c r="J329" s="6" t="n">
        <v>46132</v>
      </c>
      <c r="K329" t="n">
        <v>2</v>
      </c>
      <c r="L329" t="inlineStr">
        <is>
          <t>USD</t>
        </is>
      </c>
      <c r="M329" t="n">
        <v>273.05</v>
      </c>
      <c r="N329" t="inlineStr">
        <is>
          <t>USD</t>
        </is>
      </c>
      <c r="O329" t="n">
        <v>5</v>
      </c>
      <c r="P329" t="inlineStr"/>
      <c r="Q329" t="inlineStr">
        <is>
          <t>FY2025/26</t>
        </is>
      </c>
      <c r="R329" t="inlineStr">
        <is>
          <t>AUD</t>
        </is>
      </c>
      <c r="S329" t="n">
        <v>7.5</v>
      </c>
      <c r="T329" t="inlineStr">
        <is>
          <t>AUD</t>
        </is>
      </c>
      <c r="U329" t="n">
        <v>3.75</v>
      </c>
      <c r="V329" t="inlineStr">
        <is>
          <t>AUD</t>
        </is>
      </c>
      <c r="W329" t="n">
        <v>409.575</v>
      </c>
      <c r="X329" t="b">
        <v>1</v>
      </c>
      <c r="Y329" s="3" t="inlineStr">
        <is>
          <t>2026-04-20 | PARCEL |  AAPL | 2.0000 unit @ A$409.58 / unit | Total cost base = A$826.65 |</t>
        </is>
      </c>
      <c r="Z329" s="5" t="inlineStr">
        <is>
          <t>01a1212c-84d6-76ca-a113-09172f180073</t>
        </is>
      </c>
    </row>
    <row r="330">
      <c r="A330" s="5" t="inlineStr">
        <is>
          <t>01a1212c-84ed-7717-af40-4f63b2996ee8</t>
        </is>
      </c>
      <c r="B330" t="inlineStr">
        <is>
          <t>B329</t>
        </is>
      </c>
      <c r="C330" s="5" t="inlineStr">
        <is>
          <t>01a1212c-4b57-70cf-80fd-c2192cb3bf81</t>
        </is>
      </c>
      <c r="D330" s="4" t="n">
        <v>46304.6241687085</v>
      </c>
      <c r="E330" s="4" t="n">
        <v>46304.62416870856</v>
      </c>
      <c r="F330" t="b">
        <v>1</v>
      </c>
      <c r="G330" t="n">
        <v/>
      </c>
      <c r="H330" t="inlineStr">
        <is>
          <t>2026-04-27 | Buy | AAPL | 1.0000 unit @ $267.61 / unit</t>
        </is>
      </c>
      <c r="I330" t="inlineStr">
        <is>
          <t>AAPL</t>
        </is>
      </c>
      <c r="J330" s="6" t="n">
        <v>46139</v>
      </c>
      <c r="K330" t="n">
        <v>1</v>
      </c>
      <c r="L330" t="inlineStr">
        <is>
          <t>USD</t>
        </is>
      </c>
      <c r="M330" t="n">
        <v>267.61</v>
      </c>
      <c r="N330" t="inlineStr">
        <is>
          <t>USD</t>
        </is>
      </c>
      <c r="O330" t="n">
        <v>5</v>
      </c>
      <c r="P330" t="inlineStr"/>
      <c r="Q330" t="inlineStr">
        <is>
          <t>FY2025/26</t>
        </is>
      </c>
      <c r="R330" t="inlineStr">
        <is>
          <t>AUD</t>
        </is>
      </c>
      <c r="S330" t="n">
        <v>7.5</v>
      </c>
      <c r="T330" t="inlineStr">
        <is>
          <t>AUD</t>
        </is>
      </c>
      <c r="U330" t="n">
        <v>7.5</v>
      </c>
      <c r="V330" t="inlineStr">
        <is>
          <t>AUD</t>
        </is>
      </c>
      <c r="W330" t="n">
        <v>401.415</v>
      </c>
      <c r="X330" t="b">
        <v>1</v>
      </c>
      <c r="Y330" s="3" t="inlineStr">
        <is>
          <t>2026-04-27 | PARCEL |  AAPL | 1.0000 unit @ A$401.42 / unit | Total cost base = A$408.92 |</t>
        </is>
      </c>
      <c r="Z330" s="5" t="inlineStr">
        <is>
          <t>01a1212c-84ef-77bb-985e-9868d460f40d</t>
        </is>
      </c>
    </row>
    <row r="331">
      <c r="A331" s="5" t="inlineStr">
        <is>
          <t>01a1212c-8506-7390-80b7-409af973ad1d</t>
        </is>
      </c>
      <c r="B331" t="inlineStr">
        <is>
          <t>B330</t>
        </is>
      </c>
      <c r="C331" s="5" t="inlineStr">
        <is>
          <t>01a1212c-4b57-70cf-80fd-c2192cb3bf81</t>
        </is>
      </c>
      <c r="D331" s="4" t="n">
        <v>46304.62416897714</v>
      </c>
      <c r="E331" s="4" t="n">
        <v>46304.62416897722</v>
      </c>
      <c r="F331" t="b">
        <v>1</v>
      </c>
      <c r="G331" t="n">
        <v/>
      </c>
      <c r="H331" t="inlineStr">
        <is>
          <t>2026-05-04 | Buy | A200 | 9.0000 unit @ A$145.30 / unit</t>
        </is>
      </c>
      <c r="I331" t="inlineStr">
        <is>
          <t>A200</t>
        </is>
      </c>
      <c r="J331" s="6" t="n">
        <v>46146</v>
      </c>
      <c r="K331" t="n">
        <v>9</v>
      </c>
      <c r="L331" t="inlineStr">
        <is>
          <t>AUD</t>
        </is>
      </c>
      <c r="M331" t="n">
        <v>145.3</v>
      </c>
      <c r="N331" t="inlineStr">
        <is>
          <t>AUD</t>
        </is>
      </c>
      <c r="O331" t="n">
        <v>9.5</v>
      </c>
      <c r="P331" t="inlineStr"/>
      <c r="Q331" t="inlineStr">
        <is>
          <t>FY2025/26</t>
        </is>
      </c>
      <c r="R331" t="inlineStr">
        <is>
          <t>AUD</t>
        </is>
      </c>
      <c r="S331" t="n">
        <v>9.5</v>
      </c>
      <c r="T331" t="inlineStr">
        <is>
          <t>AUD</t>
        </is>
      </c>
      <c r="U331" t="n">
        <v>1.055556</v>
      </c>
      <c r="V331" t="inlineStr">
        <is>
          <t>AUD</t>
        </is>
      </c>
      <c r="W331" t="n">
        <v>145.3</v>
      </c>
      <c r="X331" t="b">
        <v>1</v>
      </c>
      <c r="Y331" s="3" t="inlineStr">
        <is>
          <t>2026-05-04 | PARCEL |  A200 | 9.0000 unit @ A$145.30 / unit | Total cost base = A$1,317.20 |</t>
        </is>
      </c>
      <c r="Z331" t="n">
        <v/>
      </c>
    </row>
    <row r="332">
      <c r="A332" s="5" t="inlineStr">
        <is>
          <t>01a1212c-851f-76df-bf62-167b46716891</t>
        </is>
      </c>
      <c r="B332" t="inlineStr">
        <is>
          <t>B331</t>
        </is>
      </c>
      <c r="C332" s="5" t="inlineStr">
        <is>
          <t>01a1212c-4b57-70cf-80fd-c2192cb3bf81</t>
        </is>
      </c>
      <c r="D332" s="4" t="n">
        <v>46304.62416926798</v>
      </c>
      <c r="E332" s="4" t="n">
        <v>46304.62416926807</v>
      </c>
      <c r="F332" t="b">
        <v>1</v>
      </c>
      <c r="G332" t="n">
        <v/>
      </c>
      <c r="H332" t="inlineStr">
        <is>
          <t>2026-05-04 | Buy | VGS | 11.0000 unit @ A$149.91 / unit</t>
        </is>
      </c>
      <c r="I332" t="inlineStr">
        <is>
          <t>VGS</t>
        </is>
      </c>
      <c r="J332" s="6" t="n">
        <v>46146</v>
      </c>
      <c r="K332" t="n">
        <v>11</v>
      </c>
      <c r="L332" t="inlineStr">
        <is>
          <t>AUD</t>
        </is>
      </c>
      <c r="M332" t="n">
        <v>149.91</v>
      </c>
      <c r="N332" t="inlineStr">
        <is>
          <t>AUD</t>
        </is>
      </c>
      <c r="O332" t="n">
        <v>9.5</v>
      </c>
      <c r="P332" t="inlineStr"/>
      <c r="Q332" t="inlineStr">
        <is>
          <t>FY2025/26</t>
        </is>
      </c>
      <c r="R332" t="inlineStr">
        <is>
          <t>AUD</t>
        </is>
      </c>
      <c r="S332" t="n">
        <v>9.5</v>
      </c>
      <c r="T332" t="inlineStr">
        <is>
          <t>AUD</t>
        </is>
      </c>
      <c r="U332" t="n">
        <v>0.863636</v>
      </c>
      <c r="V332" t="inlineStr">
        <is>
          <t>AUD</t>
        </is>
      </c>
      <c r="W332" t="n">
        <v>149.91</v>
      </c>
      <c r="X332" t="b">
        <v>1</v>
      </c>
      <c r="Y332" s="3" t="inlineStr">
        <is>
          <t>2026-05-04 | PARCEL |  VGS | 11.0000 unit @ A$149.91 / unit | Total cost base = A$1,658.51 |</t>
        </is>
      </c>
      <c r="Z332" t="n">
        <v/>
      </c>
    </row>
    <row r="333">
      <c r="A333" s="5" t="inlineStr">
        <is>
          <t>01a1212c-853a-718d-a485-85bc0e48f6c4</t>
        </is>
      </c>
      <c r="B333" t="inlineStr">
        <is>
          <t>B332</t>
        </is>
      </c>
      <c r="C333" s="5" t="inlineStr">
        <is>
          <t>01a1212c-4b57-70cf-80fd-c2192cb3bf81</t>
        </is>
      </c>
      <c r="D333" s="4" t="n">
        <v>46304.62416957756</v>
      </c>
      <c r="E333" s="4" t="n">
        <v>46304.62416957765</v>
      </c>
      <c r="F333" t="b">
        <v>1</v>
      </c>
      <c r="G333" t="n">
        <v/>
      </c>
      <c r="H333" t="inlineStr">
        <is>
          <t>2026-06-09 | Buy | A200 | 10.0000 unit @ A$144.36 / unit</t>
        </is>
      </c>
      <c r="I333" t="inlineStr">
        <is>
          <t>A200</t>
        </is>
      </c>
      <c r="J333" s="6" t="n">
        <v>46182</v>
      </c>
      <c r="K333" t="n">
        <v>10</v>
      </c>
      <c r="L333" t="inlineStr">
        <is>
          <t>AUD</t>
        </is>
      </c>
      <c r="M333" t="n">
        <v>144.36</v>
      </c>
      <c r="N333" t="inlineStr">
        <is>
          <t>AUD</t>
        </is>
      </c>
      <c r="O333" t="n">
        <v>9.5</v>
      </c>
      <c r="P333" t="inlineStr"/>
      <c r="Q333" t="inlineStr">
        <is>
          <t>FY2025/26</t>
        </is>
      </c>
      <c r="R333" t="inlineStr">
        <is>
          <t>AUD</t>
        </is>
      </c>
      <c r="S333" t="n">
        <v>9.5</v>
      </c>
      <c r="T333" t="inlineStr">
        <is>
          <t>AUD</t>
        </is>
      </c>
      <c r="U333" t="n">
        <v>0.95</v>
      </c>
      <c r="V333" t="inlineStr">
        <is>
          <t>AUD</t>
        </is>
      </c>
      <c r="W333" t="n">
        <v>144.36</v>
      </c>
      <c r="X333" t="b">
        <v>1</v>
      </c>
      <c r="Y333" s="3" t="inlineStr">
        <is>
          <t>2026-06-09 | PARCEL |  A200 | 10.0000 unit @ A$144.36 / unit | Total cost base = A$1,453.10 |</t>
        </is>
      </c>
      <c r="Z333" t="n">
        <v/>
      </c>
    </row>
    <row r="334">
      <c r="A334" s="5" t="inlineStr">
        <is>
          <t>01a1212c-8553-778d-9735-082a1f499d4e</t>
        </is>
      </c>
      <c r="B334" t="inlineStr">
        <is>
          <t>B333</t>
        </is>
      </c>
      <c r="C334" s="5" t="inlineStr">
        <is>
          <t>01a1212c-4b57-70cf-80fd-c2192cb3bf81</t>
        </is>
      </c>
      <c r="D334" s="4" t="n">
        <v>46304.62416986407</v>
      </c>
      <c r="E334" s="4" t="n">
        <v>46304.62416986415</v>
      </c>
      <c r="F334" t="b">
        <v>1</v>
      </c>
      <c r="G334" t="n">
        <v/>
      </c>
      <c r="H334" t="inlineStr">
        <is>
          <t>2026-06-09 | Buy | VGS | 11.0000 unit @ A$156.37 / unit</t>
        </is>
      </c>
      <c r="I334" t="inlineStr">
        <is>
          <t>VGS</t>
        </is>
      </c>
      <c r="J334" s="6" t="n">
        <v>46182</v>
      </c>
      <c r="K334" t="n">
        <v>11</v>
      </c>
      <c r="L334" t="inlineStr">
        <is>
          <t>AUD</t>
        </is>
      </c>
      <c r="M334" t="n">
        <v>156.37</v>
      </c>
      <c r="N334" t="inlineStr">
        <is>
          <t>AUD</t>
        </is>
      </c>
      <c r="O334" t="n">
        <v>9.5</v>
      </c>
      <c r="P334" t="inlineStr"/>
      <c r="Q334" t="inlineStr">
        <is>
          <t>FY2025/26</t>
        </is>
      </c>
      <c r="R334" t="inlineStr">
        <is>
          <t>AUD</t>
        </is>
      </c>
      <c r="S334" t="n">
        <v>9.5</v>
      </c>
      <c r="T334" t="inlineStr">
        <is>
          <t>AUD</t>
        </is>
      </c>
      <c r="U334" t="n">
        <v>0.863636</v>
      </c>
      <c r="V334" t="inlineStr">
        <is>
          <t>AUD</t>
        </is>
      </c>
      <c r="W334" t="n">
        <v>156.37</v>
      </c>
      <c r="X334" t="b">
        <v>1</v>
      </c>
      <c r="Y334" s="3" t="inlineStr">
        <is>
          <t>2026-06-09 | PARCEL |  VGS | 11.0000 unit @ A$156.37 / unit | Total cost base = A$1,729.57 |</t>
        </is>
      </c>
      <c r="Z334" t="n">
        <v/>
      </c>
    </row>
    <row r="335">
      <c r="A335" s="5" t="inlineStr">
        <is>
          <t>01a1212c-8568-716e-ac4f-69f2c4b35fe8</t>
        </is>
      </c>
      <c r="B335" t="inlineStr">
        <is>
          <t>B334</t>
        </is>
      </c>
      <c r="C335" s="5" t="inlineStr">
        <is>
          <t>01a1212c-4b57-70cf-80fd-c2192cb3bf81</t>
        </is>
      </c>
      <c r="D335" s="4" t="n">
        <v>46304.62417013289</v>
      </c>
      <c r="E335" s="4" t="n">
        <v>46304.62417013295</v>
      </c>
      <c r="F335" t="b">
        <v>1</v>
      </c>
      <c r="G335" t="n">
        <v/>
      </c>
      <c r="H335" t="inlineStr">
        <is>
          <t>2026-07-02 | Buy | AMZN | 2.0000 unit @ $242.67 / unit</t>
        </is>
      </c>
      <c r="I335" t="inlineStr">
        <is>
          <t>AMZN</t>
        </is>
      </c>
      <c r="J335" s="6" t="n">
        <v>46205</v>
      </c>
      <c r="K335" t="n">
        <v>2</v>
      </c>
      <c r="L335" t="inlineStr">
        <is>
          <t>USD</t>
        </is>
      </c>
      <c r="M335" t="n">
        <v>242.67</v>
      </c>
      <c r="N335" t="inlineStr">
        <is>
          <t>USD</t>
        </is>
      </c>
      <c r="O335" t="n">
        <v>5</v>
      </c>
      <c r="P335" t="inlineStr"/>
      <c r="Q335" t="inlineStr">
        <is>
          <t>FY2026/27</t>
        </is>
      </c>
      <c r="R335" t="inlineStr">
        <is>
          <t>AUD</t>
        </is>
      </c>
      <c r="S335" t="n">
        <v>7.5</v>
      </c>
      <c r="T335" t="inlineStr">
        <is>
          <t>AUD</t>
        </is>
      </c>
      <c r="U335" t="n">
        <v>3.75</v>
      </c>
      <c r="V335" t="inlineStr">
        <is>
          <t>AUD</t>
        </is>
      </c>
      <c r="W335" t="n">
        <v>364.005</v>
      </c>
      <c r="X335" t="b">
        <v>1</v>
      </c>
      <c r="Y335" s="3" t="inlineStr">
        <is>
          <t>2026-07-02 | PARCEL |  AMZN | 2.0000 unit @ A$364.00 / unit | Total cost base = A$735.51 |</t>
        </is>
      </c>
      <c r="Z335" s="5" t="inlineStr">
        <is>
          <t>01a1212c-856a-74b7-bcc4-aca723c2337d</t>
        </is>
      </c>
    </row>
    <row r="336">
      <c r="A336" s="5" t="inlineStr">
        <is>
          <t>01a1212c-8583-77aa-b358-8a274a8dce5e</t>
        </is>
      </c>
      <c r="B336" t="inlineStr">
        <is>
          <t>B335</t>
        </is>
      </c>
      <c r="C336" s="5" t="inlineStr">
        <is>
          <t>01a1212c-4b57-70cf-80fd-c2192cb3bf81</t>
        </is>
      </c>
      <c r="D336" s="4" t="n">
        <v>46304.62417042106</v>
      </c>
      <c r="E336" s="4" t="n">
        <v>46304.62417042117</v>
      </c>
      <c r="F336" t="b">
        <v>1</v>
      </c>
      <c r="G336" t="n">
        <v/>
      </c>
      <c r="H336" t="inlineStr">
        <is>
          <t>2026-07-06 | Buy | A200 | 9.0000 unit @ A$147.21 / unit</t>
        </is>
      </c>
      <c r="I336" t="inlineStr">
        <is>
          <t>A200</t>
        </is>
      </c>
      <c r="J336" s="6" t="n">
        <v>46209</v>
      </c>
      <c r="K336" t="n">
        <v>9</v>
      </c>
      <c r="L336" t="inlineStr">
        <is>
          <t>AUD</t>
        </is>
      </c>
      <c r="M336" t="n">
        <v>147.21</v>
      </c>
      <c r="N336" t="inlineStr">
        <is>
          <t>AUD</t>
        </is>
      </c>
      <c r="O336" t="n">
        <v>9.5</v>
      </c>
      <c r="P336" t="inlineStr"/>
      <c r="Q336" t="inlineStr">
        <is>
          <t>FY2026/27</t>
        </is>
      </c>
      <c r="R336" t="inlineStr">
        <is>
          <t>AUD</t>
        </is>
      </c>
      <c r="S336" t="n">
        <v>9.5</v>
      </c>
      <c r="T336" t="inlineStr">
        <is>
          <t>AUD</t>
        </is>
      </c>
      <c r="U336" t="n">
        <v>1.055556</v>
      </c>
      <c r="V336" t="inlineStr">
        <is>
          <t>AUD</t>
        </is>
      </c>
      <c r="W336" t="n">
        <v>147.21</v>
      </c>
      <c r="X336" t="b">
        <v>1</v>
      </c>
      <c r="Y336" s="3" t="inlineStr">
        <is>
          <t>2026-07-06 | PARCEL |  A200 | 9.0000 unit @ A$147.21 / unit | Total cost base = A$1,334.39 |</t>
        </is>
      </c>
      <c r="Z336" t="n">
        <v/>
      </c>
    </row>
    <row r="337">
      <c r="A337" s="5" t="inlineStr">
        <is>
          <t>01a1212c-859d-70c2-a736-3746b3277cc7</t>
        </is>
      </c>
      <c r="B337" t="inlineStr">
        <is>
          <t>B336</t>
        </is>
      </c>
      <c r="C337" s="5" t="inlineStr">
        <is>
          <t>01a1212c-4b57-70cf-80fd-c2192cb3bf81</t>
        </is>
      </c>
      <c r="D337" s="4" t="n">
        <v>46304.62417076732</v>
      </c>
      <c r="E337" s="4" t="n">
        <v>46304.62417076742</v>
      </c>
      <c r="F337" t="b">
        <v>1</v>
      </c>
      <c r="G337" t="n">
        <v/>
      </c>
      <c r="H337" t="inlineStr">
        <is>
          <t>2026-07-06 | Buy | AMZN | 2.0000 unit @ $244.16 / unit</t>
        </is>
      </c>
      <c r="I337" t="inlineStr">
        <is>
          <t>AMZN</t>
        </is>
      </c>
      <c r="J337" s="6" t="n">
        <v>46209</v>
      </c>
      <c r="K337" t="n">
        <v>2</v>
      </c>
      <c r="L337" t="inlineStr">
        <is>
          <t>USD</t>
        </is>
      </c>
      <c r="M337" t="n">
        <v>244.16</v>
      </c>
      <c r="N337" t="inlineStr">
        <is>
          <t>USD</t>
        </is>
      </c>
      <c r="O337" t="n">
        <v>5</v>
      </c>
      <c r="P337" t="inlineStr"/>
      <c r="Q337" t="inlineStr">
        <is>
          <t>FY2026/27</t>
        </is>
      </c>
      <c r="R337" t="inlineStr">
        <is>
          <t>AUD</t>
        </is>
      </c>
      <c r="S337" t="n">
        <v>7.5</v>
      </c>
      <c r="T337" t="inlineStr">
        <is>
          <t>AUD</t>
        </is>
      </c>
      <c r="U337" t="n">
        <v>3.75</v>
      </c>
      <c r="V337" t="inlineStr">
        <is>
          <t>AUD</t>
        </is>
      </c>
      <c r="W337" t="n">
        <v>366.24</v>
      </c>
      <c r="X337" t="b">
        <v>1</v>
      </c>
      <c r="Y337" s="3" t="inlineStr">
        <is>
          <t>2026-07-06 | PARCEL |  AMZN | 2.0000 unit @ A$366.24 / unit | Total cost base = A$739.98 |</t>
        </is>
      </c>
      <c r="Z337" s="5" t="inlineStr">
        <is>
          <t>01a1212c-85a0-7018-8c74-75a538027660</t>
        </is>
      </c>
    </row>
    <row r="338">
      <c r="A338" s="5" t="inlineStr">
        <is>
          <t>01a1212c-85c6-7650-b66c-e506ab2958cf</t>
        </is>
      </c>
      <c r="B338" t="inlineStr">
        <is>
          <t>B337</t>
        </is>
      </c>
      <c r="C338" s="5" t="inlineStr">
        <is>
          <t>01a1212c-4b57-70cf-80fd-c2192cb3bf81</t>
        </is>
      </c>
      <c r="D338" s="4" t="n">
        <v>46304.62417120511</v>
      </c>
      <c r="E338" s="4" t="n">
        <v>46304.62417120519</v>
      </c>
      <c r="F338" t="b">
        <v>1</v>
      </c>
      <c r="G338" t="n">
        <v/>
      </c>
      <c r="H338" t="inlineStr">
        <is>
          <t>2026-07-06 | Buy | MSFT | 2.0000 unit @ $386.74 / unit</t>
        </is>
      </c>
      <c r="I338" t="inlineStr">
        <is>
          <t>MSFT</t>
        </is>
      </c>
      <c r="J338" s="6" t="n">
        <v>46209</v>
      </c>
      <c r="K338" t="n">
        <v>2</v>
      </c>
      <c r="L338" t="inlineStr">
        <is>
          <t>USD</t>
        </is>
      </c>
      <c r="M338" t="n">
        <v>386.74</v>
      </c>
      <c r="N338" t="inlineStr">
        <is>
          <t>USD</t>
        </is>
      </c>
      <c r="O338" t="n">
        <v>5</v>
      </c>
      <c r="P338" t="inlineStr"/>
      <c r="Q338" t="inlineStr">
        <is>
          <t>FY2026/27</t>
        </is>
      </c>
      <c r="R338" t="inlineStr">
        <is>
          <t>AUD</t>
        </is>
      </c>
      <c r="S338" t="n">
        <v>7.5</v>
      </c>
      <c r="T338" t="inlineStr">
        <is>
          <t>AUD</t>
        </is>
      </c>
      <c r="U338" t="n">
        <v>3.75</v>
      </c>
      <c r="V338" t="inlineStr">
        <is>
          <t>AUD</t>
        </is>
      </c>
      <c r="W338" t="n">
        <v>580.11</v>
      </c>
      <c r="X338" t="b">
        <v>1</v>
      </c>
      <c r="Y338" s="3" t="inlineStr">
        <is>
          <t>2026-07-06 | PARCEL |  MSFT | 2.0000 unit @ A$580.11 / unit | Total cost base = A$1,167.72 |</t>
        </is>
      </c>
      <c r="Z338" s="5" t="inlineStr">
        <is>
          <t>01a1212c-85a0-7018-8c74-75a538027660</t>
        </is>
      </c>
    </row>
    <row r="339">
      <c r="A339" s="5" t="inlineStr">
        <is>
          <t>01a1212c-85e1-7059-b34a-c093a37892aa</t>
        </is>
      </c>
      <c r="B339" t="inlineStr">
        <is>
          <t>B338</t>
        </is>
      </c>
      <c r="C339" s="5" t="inlineStr">
        <is>
          <t>01a1212c-4b57-70cf-80fd-c2192cb3bf81</t>
        </is>
      </c>
      <c r="D339" s="4" t="n">
        <v>46304.62417150957</v>
      </c>
      <c r="E339" s="4" t="n">
        <v>46304.62417150968</v>
      </c>
      <c r="F339" t="b">
        <v>1</v>
      </c>
      <c r="G339" t="n">
        <v/>
      </c>
      <c r="H339" t="inlineStr">
        <is>
          <t>2026-07-06 | Buy | VGS | 10.0000 unit @ A$161.26 / unit</t>
        </is>
      </c>
      <c r="I339" t="inlineStr">
        <is>
          <t>VGS</t>
        </is>
      </c>
      <c r="J339" s="6" t="n">
        <v>46209</v>
      </c>
      <c r="K339" t="n">
        <v>10</v>
      </c>
      <c r="L339" t="inlineStr">
        <is>
          <t>AUD</t>
        </is>
      </c>
      <c r="M339" t="n">
        <v>161.26</v>
      </c>
      <c r="N339" t="inlineStr">
        <is>
          <t>AUD</t>
        </is>
      </c>
      <c r="O339" t="n">
        <v>9.5</v>
      </c>
      <c r="P339" t="inlineStr"/>
      <c r="Q339" t="inlineStr">
        <is>
          <t>FY2026/27</t>
        </is>
      </c>
      <c r="R339" t="inlineStr">
        <is>
          <t>AUD</t>
        </is>
      </c>
      <c r="S339" t="n">
        <v>9.5</v>
      </c>
      <c r="T339" t="inlineStr">
        <is>
          <t>AUD</t>
        </is>
      </c>
      <c r="U339" t="n">
        <v>0.95</v>
      </c>
      <c r="V339" t="inlineStr">
        <is>
          <t>AUD</t>
        </is>
      </c>
      <c r="W339" t="n">
        <v>161.26</v>
      </c>
      <c r="X339" t="b">
        <v>1</v>
      </c>
      <c r="Y339" s="3" t="inlineStr">
        <is>
          <t>2026-07-06 | PARCEL |  VGS | 10.0000 unit @ A$161.26 / unit | Total cost base = A$1,622.10 |</t>
        </is>
      </c>
      <c r="Z339" t="n">
        <v/>
      </c>
    </row>
    <row r="340">
      <c r="A340" s="5" t="inlineStr">
        <is>
          <t>01a1212c-85fb-7290-89a0-89b2309e8174</t>
        </is>
      </c>
      <c r="B340" t="inlineStr">
        <is>
          <t>B339</t>
        </is>
      </c>
      <c r="C340" s="5" t="inlineStr">
        <is>
          <t>01a1212c-4b57-70cf-80fd-c2192cb3bf81</t>
        </is>
      </c>
      <c r="D340" s="4" t="n">
        <v>46304.6241718379</v>
      </c>
      <c r="E340" s="4" t="n">
        <v>46304.62417183795</v>
      </c>
      <c r="F340" t="b">
        <v>1</v>
      </c>
      <c r="G340" t="n">
        <v/>
      </c>
      <c r="H340" t="inlineStr">
        <is>
          <t>2026-07-20 | Buy | AMZN | 2.0000 unit @ $249.99 / unit</t>
        </is>
      </c>
      <c r="I340" t="inlineStr">
        <is>
          <t>AMZN</t>
        </is>
      </c>
      <c r="J340" s="6" t="n">
        <v>46223</v>
      </c>
      <c r="K340" t="n">
        <v>2</v>
      </c>
      <c r="L340" t="inlineStr">
        <is>
          <t>USD</t>
        </is>
      </c>
      <c r="M340" t="n">
        <v>249.99</v>
      </c>
      <c r="N340" t="inlineStr">
        <is>
          <t>USD</t>
        </is>
      </c>
      <c r="O340" t="n">
        <v>5</v>
      </c>
      <c r="P340" t="inlineStr"/>
      <c r="Q340" t="inlineStr">
        <is>
          <t>FY2026/27</t>
        </is>
      </c>
      <c r="R340" t="inlineStr">
        <is>
          <t>AUD</t>
        </is>
      </c>
      <c r="S340" t="n">
        <v>7.5</v>
      </c>
      <c r="T340" t="inlineStr">
        <is>
          <t>AUD</t>
        </is>
      </c>
      <c r="U340" t="n">
        <v>3.75</v>
      </c>
      <c r="V340" t="inlineStr">
        <is>
          <t>AUD</t>
        </is>
      </c>
      <c r="W340" t="n">
        <v>374.985</v>
      </c>
      <c r="X340" t="b">
        <v>1</v>
      </c>
      <c r="Y340" s="3" t="inlineStr">
        <is>
          <t>2026-07-20 | PARCEL |  AMZN | 2.0000 unit @ A$374.98 / unit | Total cost base = A$757.47 |</t>
        </is>
      </c>
      <c r="Z340" s="5" t="inlineStr">
        <is>
          <t>01a1212c-85fd-72ef-ab6b-7d773586f3a6</t>
        </is>
      </c>
    </row>
    <row r="341">
      <c r="A341" s="5" t="inlineStr">
        <is>
          <t>01a1212c-8615-73dc-a84f-90b270bbae76</t>
        </is>
      </c>
      <c r="B341" t="inlineStr">
        <is>
          <t>B340</t>
        </is>
      </c>
      <c r="C341" s="5" t="inlineStr">
        <is>
          <t>01a1212c-4b57-70cf-80fd-c2192cb3bf81</t>
        </is>
      </c>
      <c r="D341" s="4" t="n">
        <v>46304.62417211109</v>
      </c>
      <c r="E341" s="4" t="n">
        <v>46304.62417211114</v>
      </c>
      <c r="F341" t="b">
        <v>1</v>
      </c>
      <c r="G341" t="n">
        <v/>
      </c>
      <c r="H341" t="inlineStr">
        <is>
          <t>2026-08-03 | Buy | A200 | 8.0000 unit @ A$150.42 / unit</t>
        </is>
      </c>
      <c r="I341" t="inlineStr">
        <is>
          <t>A200</t>
        </is>
      </c>
      <c r="J341" s="6" t="n">
        <v>46237</v>
      </c>
      <c r="K341" t="n">
        <v>8</v>
      </c>
      <c r="L341" t="inlineStr">
        <is>
          <t>AUD</t>
        </is>
      </c>
      <c r="M341" t="n">
        <v>150.42</v>
      </c>
      <c r="N341" t="inlineStr">
        <is>
          <t>AUD</t>
        </is>
      </c>
      <c r="O341" t="n">
        <v>9.5</v>
      </c>
      <c r="P341" t="inlineStr"/>
      <c r="Q341" t="inlineStr">
        <is>
          <t>FY2026/27</t>
        </is>
      </c>
      <c r="R341" t="inlineStr">
        <is>
          <t>AUD</t>
        </is>
      </c>
      <c r="S341" t="n">
        <v>9.5</v>
      </c>
      <c r="T341" t="inlineStr">
        <is>
          <t>AUD</t>
        </is>
      </c>
      <c r="U341" t="n">
        <v>1.1875</v>
      </c>
      <c r="V341" t="inlineStr">
        <is>
          <t>AUD</t>
        </is>
      </c>
      <c r="W341" t="n">
        <v>150.42</v>
      </c>
      <c r="X341" t="b">
        <v>1</v>
      </c>
      <c r="Y341" s="3" t="inlineStr">
        <is>
          <t>2026-08-03 | PARCEL |  A200 | 8.0000 unit @ A$150.42 / unit | Total cost base = A$1,212.86 |</t>
        </is>
      </c>
      <c r="Z341" t="n">
        <v/>
      </c>
    </row>
    <row r="342">
      <c r="A342" s="5" t="inlineStr">
        <is>
          <t>01a1212c-862a-7268-b322-b22afb87febe</t>
        </is>
      </c>
      <c r="B342" t="inlineStr">
        <is>
          <t>B341</t>
        </is>
      </c>
      <c r="C342" s="5" t="inlineStr">
        <is>
          <t>01a1212c-4b57-70cf-80fd-c2192cb3bf81</t>
        </is>
      </c>
      <c r="D342" s="4" t="n">
        <v>46304.62417237706</v>
      </c>
      <c r="E342" s="4" t="n">
        <v>46304.62417237712</v>
      </c>
      <c r="F342" t="b">
        <v>1</v>
      </c>
      <c r="G342" t="n">
        <v/>
      </c>
      <c r="H342" t="inlineStr">
        <is>
          <t>2026-08-03 | Buy | AMZN | 3.0000 unit @ $284.02 / unit</t>
        </is>
      </c>
      <c r="I342" t="inlineStr">
        <is>
          <t>AMZN</t>
        </is>
      </c>
      <c r="J342" s="6" t="n">
        <v>46237</v>
      </c>
      <c r="K342" t="n">
        <v>3</v>
      </c>
      <c r="L342" t="inlineStr">
        <is>
          <t>USD</t>
        </is>
      </c>
      <c r="M342" t="n">
        <v>284.02</v>
      </c>
      <c r="N342" t="inlineStr">
        <is>
          <t>USD</t>
        </is>
      </c>
      <c r="O342" t="n">
        <v>5</v>
      </c>
      <c r="P342" t="inlineStr"/>
      <c r="Q342" t="inlineStr">
        <is>
          <t>FY2026/27</t>
        </is>
      </c>
      <c r="R342" t="inlineStr">
        <is>
          <t>AUD</t>
        </is>
      </c>
      <c r="S342" t="n">
        <v>7.5</v>
      </c>
      <c r="T342" t="inlineStr">
        <is>
          <t>AUD</t>
        </is>
      </c>
      <c r="U342" t="n">
        <v>2.5</v>
      </c>
      <c r="V342" t="inlineStr">
        <is>
          <t>AUD</t>
        </is>
      </c>
      <c r="W342" t="n">
        <v>426.03</v>
      </c>
      <c r="X342" t="b">
        <v>1</v>
      </c>
      <c r="Y342" s="3" t="inlineStr">
        <is>
          <t>2026-08-03 | PARCEL |  AMZN | 3.0000 unit @ A$426.03 / unit | Total cost base = A$1,285.59 |</t>
        </is>
      </c>
      <c r="Z342" s="5" t="inlineStr">
        <is>
          <t>01a1212c-862c-750a-a8be-110337de7f0c</t>
        </is>
      </c>
    </row>
    <row r="343">
      <c r="A343" s="5" t="inlineStr">
        <is>
          <t>01a1212c-8642-7375-8ff5-05ff920aa011</t>
        </is>
      </c>
      <c r="B343" t="inlineStr">
        <is>
          <t>B342</t>
        </is>
      </c>
      <c r="C343" s="5" t="inlineStr">
        <is>
          <t>01a1212c-4b57-70cf-80fd-c2192cb3bf81</t>
        </is>
      </c>
      <c r="D343" s="4" t="n">
        <v>46304.62417263332</v>
      </c>
      <c r="E343" s="4" t="n">
        <v>46304.62417263339</v>
      </c>
      <c r="F343" t="b">
        <v>1</v>
      </c>
      <c r="G343" t="n">
        <v/>
      </c>
      <c r="H343" t="inlineStr">
        <is>
          <t>2026-08-03 | Buy | VGS | 9.0000 unit @ A$159.83 / unit</t>
        </is>
      </c>
      <c r="I343" t="inlineStr">
        <is>
          <t>VGS</t>
        </is>
      </c>
      <c r="J343" s="6" t="n">
        <v>46237</v>
      </c>
      <c r="K343" t="n">
        <v>9</v>
      </c>
      <c r="L343" t="inlineStr">
        <is>
          <t>AUD</t>
        </is>
      </c>
      <c r="M343" t="n">
        <v>159.83</v>
      </c>
      <c r="N343" t="inlineStr">
        <is>
          <t>AUD</t>
        </is>
      </c>
      <c r="O343" t="n">
        <v>9.5</v>
      </c>
      <c r="P343" t="inlineStr"/>
      <c r="Q343" t="inlineStr">
        <is>
          <t>FY2026/27</t>
        </is>
      </c>
      <c r="R343" t="inlineStr">
        <is>
          <t>AUD</t>
        </is>
      </c>
      <c r="S343" t="n">
        <v>9.5</v>
      </c>
      <c r="T343" t="inlineStr">
        <is>
          <t>AUD</t>
        </is>
      </c>
      <c r="U343" t="n">
        <v>1.055556</v>
      </c>
      <c r="V343" t="inlineStr">
        <is>
          <t>AUD</t>
        </is>
      </c>
      <c r="W343" t="n">
        <v>159.83</v>
      </c>
      <c r="X343" t="b">
        <v>1</v>
      </c>
      <c r="Y343" s="3" t="inlineStr">
        <is>
          <t>2026-08-03 | PARCEL |  VGS | 9.0000 unit @ A$159.83 / unit | Total cost base = A$1,447.97 |</t>
        </is>
      </c>
      <c r="Z343" t="n">
        <v/>
      </c>
    </row>
    <row r="344">
      <c r="A344" s="5" t="inlineStr">
        <is>
          <t>01a1212c-8657-71be-ac72-f0f659d43cf3</t>
        </is>
      </c>
      <c r="B344" t="inlineStr">
        <is>
          <t>B343</t>
        </is>
      </c>
      <c r="C344" s="5" t="inlineStr">
        <is>
          <t>01a1212c-4b57-70cf-80fd-c2192cb3bf81</t>
        </is>
      </c>
      <c r="D344" s="4" t="n">
        <v>46304.62417289311</v>
      </c>
      <c r="E344" s="4" t="n">
        <v>46304.62417289316</v>
      </c>
      <c r="F344" t="b">
        <v>1</v>
      </c>
      <c r="G344" t="n">
        <v/>
      </c>
      <c r="H344" t="inlineStr">
        <is>
          <t>2026-08-10 | Buy | MSFT | 2.0000 unit @ $506.06 / unit</t>
        </is>
      </c>
      <c r="I344" t="inlineStr">
        <is>
          <t>MSFT</t>
        </is>
      </c>
      <c r="J344" s="6" t="n">
        <v>46244</v>
      </c>
      <c r="K344" t="n">
        <v>2</v>
      </c>
      <c r="L344" t="inlineStr">
        <is>
          <t>USD</t>
        </is>
      </c>
      <c r="M344" t="n">
        <v>506.06</v>
      </c>
      <c r="N344" t="inlineStr">
        <is>
          <t>USD</t>
        </is>
      </c>
      <c r="O344" t="n">
        <v>5</v>
      </c>
      <c r="P344" t="inlineStr"/>
      <c r="Q344" t="inlineStr">
        <is>
          <t>FY2026/27</t>
        </is>
      </c>
      <c r="R344" t="inlineStr">
        <is>
          <t>AUD</t>
        </is>
      </c>
      <c r="S344" t="n">
        <v>7.5</v>
      </c>
      <c r="T344" t="inlineStr">
        <is>
          <t>AUD</t>
        </is>
      </c>
      <c r="U344" t="n">
        <v>3.75</v>
      </c>
      <c r="V344" t="inlineStr">
        <is>
          <t>AUD</t>
        </is>
      </c>
      <c r="W344" t="n">
        <v>759.09</v>
      </c>
      <c r="X344" t="b">
        <v>1</v>
      </c>
      <c r="Y344" s="3" t="inlineStr">
        <is>
          <t>2026-08-10 | PARCEL |  MSFT | 2.0000 unit @ A$759.09 / unit | Total cost base = A$1,525.68 |</t>
        </is>
      </c>
      <c r="Z344" s="5" t="inlineStr">
        <is>
          <t>01a1212c-8658-7465-8629-315883747d51</t>
        </is>
      </c>
    </row>
    <row r="345">
      <c r="A345" s="5" t="inlineStr">
        <is>
          <t>01a1212c-866f-752e-87ad-5f30364197b6</t>
        </is>
      </c>
      <c r="B345" t="inlineStr">
        <is>
          <t>B344</t>
        </is>
      </c>
      <c r="C345" s="5" t="inlineStr">
        <is>
          <t>01a1212c-4b57-70cf-80fd-c2192cb3bf81</t>
        </is>
      </c>
      <c r="D345" s="4" t="n">
        <v>46304.62417316761</v>
      </c>
      <c r="E345" s="4" t="n">
        <v>46304.62417316767</v>
      </c>
      <c r="F345" t="b">
        <v>1</v>
      </c>
      <c r="G345" t="n">
        <v/>
      </c>
      <c r="H345" t="inlineStr">
        <is>
          <t>2026-08-31 | Buy | AAPL | 1.0000 unit @ $316.85 / unit</t>
        </is>
      </c>
      <c r="I345" t="inlineStr">
        <is>
          <t>AAPL</t>
        </is>
      </c>
      <c r="J345" s="6" t="n">
        <v>46265</v>
      </c>
      <c r="K345" t="n">
        <v>1</v>
      </c>
      <c r="L345" t="inlineStr">
        <is>
          <t>USD</t>
        </is>
      </c>
      <c r="M345" t="n">
        <v>316.85</v>
      </c>
      <c r="N345" t="inlineStr">
        <is>
          <t>USD</t>
        </is>
      </c>
      <c r="O345" t="n">
        <v>5</v>
      </c>
      <c r="P345" t="inlineStr"/>
      <c r="Q345" t="inlineStr">
        <is>
          <t>FY2026/27</t>
        </is>
      </c>
      <c r="R345" t="inlineStr">
        <is>
          <t>AUD</t>
        </is>
      </c>
      <c r="S345" t="n">
        <v>7.5</v>
      </c>
      <c r="T345" t="inlineStr">
        <is>
          <t>AUD</t>
        </is>
      </c>
      <c r="U345" t="n">
        <v>7.5</v>
      </c>
      <c r="V345" t="inlineStr">
        <is>
          <t>AUD</t>
        </is>
      </c>
      <c r="W345" t="n">
        <v>475.275</v>
      </c>
      <c r="X345" t="b">
        <v>1</v>
      </c>
      <c r="Y345" s="3" t="inlineStr">
        <is>
          <t>2026-08-31 | PARCEL |  AAPL | 1.0000 unit @ A$475.28 / unit | Total cost base = A$482.78 |</t>
        </is>
      </c>
      <c r="Z345" s="5" t="inlineStr">
        <is>
          <t>01a1212c-8670-745a-91fd-f3107efc9d3b</t>
        </is>
      </c>
    </row>
    <row r="346">
      <c r="A346" s="5" t="inlineStr">
        <is>
          <t>01a1212c-8687-7743-828e-6c0cc5bf67e2</t>
        </is>
      </c>
      <c r="B346" t="inlineStr">
        <is>
          <t>B345</t>
        </is>
      </c>
      <c r="C346" s="5" t="inlineStr">
        <is>
          <t>01a1212c-4b57-70cf-80fd-c2192cb3bf81</t>
        </is>
      </c>
      <c r="D346" s="4" t="n">
        <v>46304.62417343519</v>
      </c>
      <c r="E346" s="4" t="n">
        <v>46304.62417343528</v>
      </c>
      <c r="F346" t="b">
        <v>1</v>
      </c>
      <c r="G346" t="n">
        <v/>
      </c>
      <c r="H346" t="inlineStr">
        <is>
          <t>2026-09-02 | Buy | A200 | 11.0000 unit @ A$150.59 / unit</t>
        </is>
      </c>
      <c r="I346" t="inlineStr">
        <is>
          <t>A200</t>
        </is>
      </c>
      <c r="J346" s="6" t="n">
        <v>46267</v>
      </c>
      <c r="K346" t="n">
        <v>11</v>
      </c>
      <c r="L346" t="inlineStr">
        <is>
          <t>AUD</t>
        </is>
      </c>
      <c r="M346" t="n">
        <v>150.59</v>
      </c>
      <c r="N346" t="inlineStr">
        <is>
          <t>AUD</t>
        </is>
      </c>
      <c r="O346" t="n">
        <v>9.5</v>
      </c>
      <c r="P346" t="inlineStr"/>
      <c r="Q346" t="inlineStr">
        <is>
          <t>FY2026/27</t>
        </is>
      </c>
      <c r="R346" t="inlineStr">
        <is>
          <t>AUD</t>
        </is>
      </c>
      <c r="S346" t="n">
        <v>9.5</v>
      </c>
      <c r="T346" t="inlineStr">
        <is>
          <t>AUD</t>
        </is>
      </c>
      <c r="U346" t="n">
        <v>0.863636</v>
      </c>
      <c r="V346" t="inlineStr">
        <is>
          <t>AUD</t>
        </is>
      </c>
      <c r="W346" t="n">
        <v>150.59</v>
      </c>
      <c r="X346" t="b">
        <v>1</v>
      </c>
      <c r="Y346" s="3" t="inlineStr">
        <is>
          <t>2026-09-02 | PARCEL |  A200 | 11.0000 unit @ A$150.59 / unit | Total cost base = A$1,665.99 |</t>
        </is>
      </c>
      <c r="Z346" t="n">
        <v/>
      </c>
    </row>
    <row r="347">
      <c r="A347" s="5" t="inlineStr">
        <is>
          <t>01a1212c-869d-7430-aaf1-691b139a2b8c</t>
        </is>
      </c>
      <c r="B347" t="inlineStr">
        <is>
          <t>B346</t>
        </is>
      </c>
      <c r="C347" s="5" t="inlineStr">
        <is>
          <t>01a1212c-4b57-70cf-80fd-c2192cb3bf81</t>
        </is>
      </c>
      <c r="D347" s="4" t="n">
        <v>46304.62417369156</v>
      </c>
      <c r="E347" s="4" t="n">
        <v>46304.62417369163</v>
      </c>
      <c r="F347" t="b">
        <v>1</v>
      </c>
      <c r="G347" t="n">
        <v/>
      </c>
      <c r="H347" t="inlineStr">
        <is>
          <t>2026-09-02 | Buy | VGS | 12.0000 unit @ A$158.89 / unit</t>
        </is>
      </c>
      <c r="I347" t="inlineStr">
        <is>
          <t>VGS</t>
        </is>
      </c>
      <c r="J347" s="6" t="n">
        <v>46267</v>
      </c>
      <c r="K347" t="n">
        <v>12</v>
      </c>
      <c r="L347" t="inlineStr">
        <is>
          <t>AUD</t>
        </is>
      </c>
      <c r="M347" t="n">
        <v>158.89</v>
      </c>
      <c r="N347" t="inlineStr">
        <is>
          <t>AUD</t>
        </is>
      </c>
      <c r="O347" t="n">
        <v>9.5</v>
      </c>
      <c r="P347" t="inlineStr"/>
      <c r="Q347" t="inlineStr">
        <is>
          <t>FY2026/27</t>
        </is>
      </c>
      <c r="R347" t="inlineStr">
        <is>
          <t>AUD</t>
        </is>
      </c>
      <c r="S347" t="n">
        <v>9.5</v>
      </c>
      <c r="T347" t="inlineStr">
        <is>
          <t>AUD</t>
        </is>
      </c>
      <c r="U347" t="n">
        <v>0.791667</v>
      </c>
      <c r="V347" t="inlineStr">
        <is>
          <t>AUD</t>
        </is>
      </c>
      <c r="W347" t="n">
        <v>158.89</v>
      </c>
      <c r="X347" t="b">
        <v>1</v>
      </c>
      <c r="Y347" s="3" t="inlineStr">
        <is>
          <t>2026-09-02 | PARCEL |  VGS | 12.0000 unit @ A$158.89 / unit | Total cost base = A$1,916.18 |</t>
        </is>
      </c>
      <c r="Z347" t="n">
        <v/>
      </c>
    </row>
    <row r="348">
      <c r="A348" s="5" t="inlineStr">
        <is>
          <t>01a1212c-86b3-7523-a795-c06b7aa573dc</t>
        </is>
      </c>
      <c r="B348" t="inlineStr">
        <is>
          <t>B347</t>
        </is>
      </c>
      <c r="C348" s="5" t="inlineStr">
        <is>
          <t>01a1212c-4b57-70cf-80fd-c2192cb3bf81</t>
        </is>
      </c>
      <c r="D348" s="4" t="n">
        <v>46304.6241739611</v>
      </c>
      <c r="E348" s="4" t="n">
        <v>46304.62417396117</v>
      </c>
      <c r="F348" t="b">
        <v>1</v>
      </c>
      <c r="G348" t="n">
        <v/>
      </c>
      <c r="H348" t="inlineStr">
        <is>
          <t>2026-09-08 | Buy | MSFT | 2.0000 unit @ $493.95 / unit</t>
        </is>
      </c>
      <c r="I348" t="inlineStr">
        <is>
          <t>MSFT</t>
        </is>
      </c>
      <c r="J348" s="6" t="n">
        <v>46273</v>
      </c>
      <c r="K348" t="n">
        <v>2</v>
      </c>
      <c r="L348" t="inlineStr">
        <is>
          <t>USD</t>
        </is>
      </c>
      <c r="M348" t="n">
        <v>493.95</v>
      </c>
      <c r="N348" t="inlineStr">
        <is>
          <t>USD</t>
        </is>
      </c>
      <c r="O348" t="n">
        <v>5</v>
      </c>
      <c r="P348" t="inlineStr"/>
      <c r="Q348" t="inlineStr">
        <is>
          <t>FY2026/27</t>
        </is>
      </c>
      <c r="R348" t="inlineStr">
        <is>
          <t>AUD</t>
        </is>
      </c>
      <c r="S348" t="n">
        <v>7.5</v>
      </c>
      <c r="T348" t="inlineStr">
        <is>
          <t>AUD</t>
        </is>
      </c>
      <c r="U348" t="n">
        <v>3.75</v>
      </c>
      <c r="V348" t="inlineStr">
        <is>
          <t>AUD</t>
        </is>
      </c>
      <c r="W348" t="n">
        <v>740.925</v>
      </c>
      <c r="X348" t="b">
        <v>1</v>
      </c>
      <c r="Y348" s="3" t="inlineStr">
        <is>
          <t>2026-09-08 | PARCEL |  MSFT | 2.0000 unit @ A$740.92 / unit | Total cost base = A$1,489.35 |</t>
        </is>
      </c>
      <c r="Z348" s="5" t="inlineStr">
        <is>
          <t>01a1212c-86b5-7356-91e1-e766aeedcc61</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E6"/>
  <sheetViews>
    <sheetView workbookViewId="0">
      <pane ySplit="1" topLeftCell="A2" activePane="bottomLeft" state="frozen"/>
      <selection pane="bottomLeft" activeCell="A1" sqref="A1"/>
    </sheetView>
  </sheetViews>
  <sheetFormatPr baseColWidth="8" defaultRowHeight="15"/>
  <cols>
    <col width="38.2" customWidth="1" min="1" max="1"/>
    <col width="11.2" customWidth="1" min="2" max="2"/>
    <col width="38.2" customWidth="1" min="3" max="3"/>
    <col width="28.2" customWidth="1" min="4" max="4"/>
    <col width="28.2" customWidth="1" min="5" max="5"/>
    <col width="11.2" customWidth="1" min="6" max="6"/>
    <col width="82.2" customWidth="1" min="7" max="7"/>
    <col width="58.2" customWidth="1" min="8" max="8"/>
    <col width="18.2" customWidth="1" min="9" max="9"/>
    <col width="12.2" customWidth="1" min="10" max="10"/>
    <col width="10.2" customWidth="1" min="11" max="11"/>
    <col width="21.2" customWidth="1" min="12" max="12"/>
    <col width="12.2" customWidth="1" min="13" max="13"/>
    <col width="26.2" customWidth="1" min="14" max="14"/>
    <col width="17.2" customWidth="1" min="15" max="15"/>
    <col width="6.2" customWidth="1" min="16" max="16"/>
    <col width="30.2" customWidth="1" min="17" max="17"/>
    <col width="47.2" customWidth="1" min="18" max="18"/>
    <col width="38.2" customWidth="1" min="19" max="19"/>
    <col width="46.2" customWidth="1" min="20" max="20"/>
    <col width="37.2" customWidth="1" min="21" max="21"/>
    <col width="42.2" customWidth="1" min="22" max="22"/>
    <col width="33.2" customWidth="1" min="23" max="23"/>
    <col width="19.2" customWidth="1" min="24" max="24"/>
    <col width="10.2" customWidth="1" min="25" max="25"/>
    <col width="30.2" customWidth="1" min="26" max="26"/>
    <col width="21.2" customWidth="1" min="27" max="27"/>
    <col width="35.2" customWidth="1" min="28" max="28"/>
    <col width="26.2" customWidth="1" min="29" max="29"/>
    <col width="33.2" customWidth="1" min="30" max="30"/>
    <col width="38.2" customWidth="1" min="31" max="31"/>
  </cols>
  <sheetData>
    <row r="1" ht="32" customHeight="1">
      <c r="A1" s="1" t="inlineStr">
        <is>
          <t>id</t>
        </is>
      </c>
      <c r="B1" s="1" t="inlineStr">
        <is>
          <t>legacy_id</t>
        </is>
      </c>
      <c r="C1" s="1" t="inlineStr">
        <is>
          <t>account_id</t>
        </is>
      </c>
      <c r="D1" s="1" t="inlineStr">
        <is>
          <t>created_at</t>
        </is>
      </c>
      <c r="E1" s="1" t="inlineStr">
        <is>
          <t>updated_at</t>
        </is>
      </c>
      <c r="F1" s="1" t="inlineStr">
        <is>
          <t>is_active</t>
        </is>
      </c>
      <c r="G1" s="1" t="inlineStr">
        <is>
          <t>notes</t>
        </is>
      </c>
      <c r="H1" s="1" t="inlineStr">
        <is>
          <t>description</t>
        </is>
      </c>
      <c r="I1" s="1" t="inlineStr">
        <is>
          <t>instrument__name</t>
        </is>
      </c>
      <c r="J1" s="1" t="inlineStr">
        <is>
          <t>date</t>
        </is>
      </c>
      <c r="K1" s="1" t="inlineStr">
        <is>
          <t>quantity</t>
        </is>
      </c>
      <c r="L1" s="1" t="inlineStr">
        <is>
          <t>unit_price_currency</t>
        </is>
      </c>
      <c r="M1" s="1" t="inlineStr">
        <is>
          <t>unit_price</t>
        </is>
      </c>
      <c r="N1" s="1" t="inlineStr">
        <is>
          <t>total_brokerage_currency</t>
        </is>
      </c>
      <c r="O1" s="1" t="inlineStr">
        <is>
          <t>total_brokerage</t>
        </is>
      </c>
      <c r="P1" s="1" t="inlineStr">
        <is>
          <t>file</t>
        </is>
      </c>
      <c r="Q1" s="1" t="inlineStr">
        <is>
          <t>calculated_fiscal_year__name</t>
        </is>
      </c>
      <c r="R1" s="1" t="inlineStr">
        <is>
          <t>calculated_total_brokerage_converted_currency</t>
        </is>
      </c>
      <c r="S1" s="1" t="inlineStr">
        <is>
          <t>calculated_total_brokerage_converted</t>
        </is>
      </c>
      <c r="T1" s="1" t="inlineStr">
        <is>
          <t>calculated_unit_brokerage_converted_currency</t>
        </is>
      </c>
      <c r="U1" s="1" t="inlineStr">
        <is>
          <t>calculated_unit_brokerage_converted</t>
        </is>
      </c>
      <c r="V1" s="1" t="inlineStr">
        <is>
          <t>calculated_unit_price_converted_currency</t>
        </is>
      </c>
      <c r="W1" s="1" t="inlineStr">
        <is>
          <t>calculated_unit_price_converted</t>
        </is>
      </c>
      <c r="X1" s="1" t="inlineStr">
        <is>
          <t>_creation_handled</t>
        </is>
      </c>
      <c r="Y1" s="1" t="inlineStr">
        <is>
          <t>strategy</t>
        </is>
      </c>
      <c r="Z1" s="1" t="inlineStr">
        <is>
          <t>calculated_proceeds_currency</t>
        </is>
      </c>
      <c r="AA1" s="1" t="inlineStr">
        <is>
          <t>calculated_proceeds</t>
        </is>
      </c>
      <c r="AB1" s="1" t="inlineStr">
        <is>
          <t>calculated_unit_proceeds_currency</t>
        </is>
      </c>
      <c r="AC1" s="1" t="inlineStr">
        <is>
          <t>calculated_unit_proceeds</t>
        </is>
      </c>
      <c r="AD1" s="1" t="inlineStr">
        <is>
          <t>calculated_unallocated_quantity</t>
        </is>
      </c>
      <c r="AE1" s="1" t="inlineStr">
        <is>
          <t>exchange_rate_id</t>
        </is>
      </c>
    </row>
    <row r="2">
      <c r="A2" s="5" t="inlineStr">
        <is>
          <t>01a1212c-8931-72b2-8b0b-4048274a900f</t>
        </is>
      </c>
      <c r="B2" t="inlineStr">
        <is>
          <t>S001</t>
        </is>
      </c>
      <c r="C2" s="5" t="inlineStr">
        <is>
          <t>01a1212c-4b57-70cf-80fd-c2192cb3bf81</t>
        </is>
      </c>
      <c r="D2" s="4" t="n">
        <v>46304.62418133042</v>
      </c>
      <c r="E2" s="4" t="n">
        <v>46304.62418398431</v>
      </c>
      <c r="F2" t="b">
        <v>1</v>
      </c>
      <c r="G2" t="inlineStr">
        <is>
          <t>FAKE DATA - generated for demonstration, not a real portfolio</t>
        </is>
      </c>
      <c r="H2" t="inlineStr">
        <is>
          <t>2019-03-14 | Sell | VAS | 197.0000 unit @ A$79.10 / unit</t>
        </is>
      </c>
      <c r="I2" t="inlineStr">
        <is>
          <t>VAS</t>
        </is>
      </c>
      <c r="J2" s="6" t="n">
        <v>43538</v>
      </c>
      <c r="K2" t="n">
        <v>197</v>
      </c>
      <c r="L2" t="inlineStr">
        <is>
          <t>AUD</t>
        </is>
      </c>
      <c r="M2" t="n">
        <v>79.09999999999999</v>
      </c>
      <c r="N2" t="inlineStr">
        <is>
          <t>AUD</t>
        </is>
      </c>
      <c r="O2" t="n">
        <v>9.5</v>
      </c>
      <c r="P2" t="inlineStr"/>
      <c r="Q2" t="inlineStr">
        <is>
          <t>FY2018/19</t>
        </is>
      </c>
      <c r="R2" t="inlineStr">
        <is>
          <t>AUD</t>
        </is>
      </c>
      <c r="S2" t="n">
        <v>9.5</v>
      </c>
      <c r="T2" t="inlineStr">
        <is>
          <t>AUD</t>
        </is>
      </c>
      <c r="U2" t="n">
        <v>0.048223</v>
      </c>
      <c r="V2" t="inlineStr">
        <is>
          <t>AUD</t>
        </is>
      </c>
      <c r="W2" t="n">
        <v>79.09999999999999</v>
      </c>
      <c r="X2" t="b">
        <v>1</v>
      </c>
      <c r="Y2" t="inlineStr">
        <is>
          <t>FIFO</t>
        </is>
      </c>
      <c r="Z2" t="inlineStr">
        <is>
          <t>AUD</t>
        </is>
      </c>
      <c r="AA2" t="n">
        <v>15573.2</v>
      </c>
      <c r="AB2" t="inlineStr">
        <is>
          <t>AUD</t>
        </is>
      </c>
      <c r="AC2" t="n">
        <v>79.0518</v>
      </c>
      <c r="AD2" t="n">
        <v>0</v>
      </c>
      <c r="AE2" t="n">
        <v/>
      </c>
    </row>
    <row r="3">
      <c r="A3" s="5" t="inlineStr">
        <is>
          <t>01a1212c-8d1b-74a4-a181-6d258da22399</t>
        </is>
      </c>
      <c r="B3" t="inlineStr">
        <is>
          <t>S002</t>
        </is>
      </c>
      <c r="C3" s="5" t="inlineStr">
        <is>
          <t>01a1212c-4b57-70cf-80fd-c2192cb3bf81</t>
        </is>
      </c>
      <c r="D3" s="4" t="n">
        <v>46304.62419292941</v>
      </c>
      <c r="E3" s="4" t="n">
        <v>46304.6241945537</v>
      </c>
      <c r="F3" t="b">
        <v>1</v>
      </c>
      <c r="G3" t="n">
        <v/>
      </c>
      <c r="H3" t="inlineStr">
        <is>
          <t>2019-08-20 | Sell | VAS | 131.0000 unit @ A$83.23 / unit</t>
        </is>
      </c>
      <c r="I3" t="inlineStr">
        <is>
          <t>VAS</t>
        </is>
      </c>
      <c r="J3" s="6" t="n">
        <v>43697</v>
      </c>
      <c r="K3" t="n">
        <v>131</v>
      </c>
      <c r="L3" t="inlineStr">
        <is>
          <t>AUD</t>
        </is>
      </c>
      <c r="M3" t="n">
        <v>83.23</v>
      </c>
      <c r="N3" t="inlineStr">
        <is>
          <t>AUD</t>
        </is>
      </c>
      <c r="O3" t="n">
        <v>9.5</v>
      </c>
      <c r="P3" t="inlineStr"/>
      <c r="Q3" t="inlineStr">
        <is>
          <t>FY2019/20</t>
        </is>
      </c>
      <c r="R3" t="inlineStr">
        <is>
          <t>AUD</t>
        </is>
      </c>
      <c r="S3" t="n">
        <v>9.5</v>
      </c>
      <c r="T3" t="inlineStr">
        <is>
          <t>AUD</t>
        </is>
      </c>
      <c r="U3" t="n">
        <v>0.072519</v>
      </c>
      <c r="V3" t="inlineStr">
        <is>
          <t>AUD</t>
        </is>
      </c>
      <c r="W3" t="n">
        <v>83.23</v>
      </c>
      <c r="X3" t="b">
        <v>1</v>
      </c>
      <c r="Y3" t="inlineStr">
        <is>
          <t>FIFO</t>
        </is>
      </c>
      <c r="Z3" t="inlineStr">
        <is>
          <t>AUD</t>
        </is>
      </c>
      <c r="AA3" t="n">
        <v>10893.63</v>
      </c>
      <c r="AB3" t="inlineStr">
        <is>
          <t>AUD</t>
        </is>
      </c>
      <c r="AC3" t="n">
        <v>83.1575</v>
      </c>
      <c r="AD3" t="n">
        <v>0</v>
      </c>
      <c r="AE3" t="n">
        <v/>
      </c>
    </row>
    <row r="4">
      <c r="A4" s="5" t="inlineStr">
        <is>
          <t>01a1212c-8dbd-7320-af7b-aa5adf7f799a</t>
        </is>
      </c>
      <c r="B4" t="inlineStr">
        <is>
          <t>S003</t>
        </is>
      </c>
      <c r="C4" s="5" t="inlineStr">
        <is>
          <t>01a1212c-4b57-70cf-80fd-c2192cb3bf81</t>
        </is>
      </c>
      <c r="D4" s="4" t="n">
        <v>46304.62419480837</v>
      </c>
      <c r="E4" s="4" t="n">
        <v>46304.62419531413</v>
      </c>
      <c r="F4" t="b">
        <v>1</v>
      </c>
      <c r="G4" t="n">
        <v/>
      </c>
      <c r="H4" t="inlineStr">
        <is>
          <t>2019-10-15 | Sell | TLS | 809.0000 unit @ A$3.54 / unit</t>
        </is>
      </c>
      <c r="I4" t="inlineStr">
        <is>
          <t>TLS</t>
        </is>
      </c>
      <c r="J4" s="6" t="n">
        <v>43753</v>
      </c>
      <c r="K4" t="n">
        <v>809</v>
      </c>
      <c r="L4" t="inlineStr">
        <is>
          <t>AUD</t>
        </is>
      </c>
      <c r="M4" t="n">
        <v>3.54</v>
      </c>
      <c r="N4" t="inlineStr">
        <is>
          <t>AUD</t>
        </is>
      </c>
      <c r="O4" t="n">
        <v>9.5</v>
      </c>
      <c r="P4" t="inlineStr"/>
      <c r="Q4" t="inlineStr">
        <is>
          <t>FY2019/20</t>
        </is>
      </c>
      <c r="R4" t="inlineStr">
        <is>
          <t>AUD</t>
        </is>
      </c>
      <c r="S4" t="n">
        <v>9.5</v>
      </c>
      <c r="T4" t="inlineStr">
        <is>
          <t>AUD</t>
        </is>
      </c>
      <c r="U4" t="n">
        <v>0.011743</v>
      </c>
      <c r="V4" t="inlineStr">
        <is>
          <t>AUD</t>
        </is>
      </c>
      <c r="W4" t="n">
        <v>3.54</v>
      </c>
      <c r="X4" t="b">
        <v>1</v>
      </c>
      <c r="Y4" t="inlineStr">
        <is>
          <t>FIFO</t>
        </is>
      </c>
      <c r="Z4" t="inlineStr">
        <is>
          <t>AUD</t>
        </is>
      </c>
      <c r="AA4" t="n">
        <v>2854.36</v>
      </c>
      <c r="AB4" t="inlineStr">
        <is>
          <t>AUD</t>
        </is>
      </c>
      <c r="AC4" t="n">
        <v>3.5283</v>
      </c>
      <c r="AD4" t="n">
        <v>0</v>
      </c>
      <c r="AE4" t="n">
        <v/>
      </c>
    </row>
    <row r="5">
      <c r="A5" s="5" t="inlineStr">
        <is>
          <t>01a1212c-94f1-7019-b336-ee1945198e1f</t>
        </is>
      </c>
      <c r="B5" t="inlineStr">
        <is>
          <t>S004</t>
        </is>
      </c>
      <c r="C5" s="5" t="inlineStr">
        <is>
          <t>01a1212c-4b57-70cf-80fd-c2192cb3bf81</t>
        </is>
      </c>
      <c r="D5" s="4" t="n">
        <v>46304.62421614074</v>
      </c>
      <c r="E5" s="4" t="n">
        <v>46304.62421685277</v>
      </c>
      <c r="F5" t="b">
        <v>1</v>
      </c>
      <c r="G5" s="3" t="inlineStr">
        <is>
          <t>Strategy is MANUAL, so the SellAllocation table must be populated with the parcels this sale consumes.</t>
        </is>
      </c>
      <c r="H5" t="inlineStr">
        <is>
          <t>2022-03-22 | Sell | WES | 65.0000 unit @ A$50.40 / unit</t>
        </is>
      </c>
      <c r="I5" t="inlineStr">
        <is>
          <t>WES</t>
        </is>
      </c>
      <c r="J5" s="6" t="n">
        <v>44642</v>
      </c>
      <c r="K5" t="n">
        <v>65</v>
      </c>
      <c r="L5" t="inlineStr">
        <is>
          <t>AUD</t>
        </is>
      </c>
      <c r="M5" t="n">
        <v>50.4</v>
      </c>
      <c r="N5" t="inlineStr">
        <is>
          <t>AUD</t>
        </is>
      </c>
      <c r="O5" t="n">
        <v>9.5</v>
      </c>
      <c r="P5" t="inlineStr"/>
      <c r="Q5" t="inlineStr">
        <is>
          <t>FY2021/22</t>
        </is>
      </c>
      <c r="R5" t="inlineStr">
        <is>
          <t>AUD</t>
        </is>
      </c>
      <c r="S5" t="n">
        <v>9.5</v>
      </c>
      <c r="T5" t="inlineStr">
        <is>
          <t>AUD</t>
        </is>
      </c>
      <c r="U5" t="n">
        <v>0.146154</v>
      </c>
      <c r="V5" t="inlineStr">
        <is>
          <t>AUD</t>
        </is>
      </c>
      <c r="W5" t="n">
        <v>50.4</v>
      </c>
      <c r="X5" t="b">
        <v>1</v>
      </c>
      <c r="Y5" t="inlineStr">
        <is>
          <t>MANUAL</t>
        </is>
      </c>
      <c r="Z5" t="inlineStr">
        <is>
          <t>AUD</t>
        </is>
      </c>
      <c r="AA5" t="n">
        <v>3266.5</v>
      </c>
      <c r="AB5" t="inlineStr">
        <is>
          <t>AUD</t>
        </is>
      </c>
      <c r="AC5" t="n">
        <v>50.2538</v>
      </c>
      <c r="AD5" t="n">
        <v>0</v>
      </c>
      <c r="AE5" t="n">
        <v/>
      </c>
    </row>
    <row r="6">
      <c r="A6" s="5" t="inlineStr">
        <is>
          <t>01a1212c-a6de-7492-bdde-9705213068e5</t>
        </is>
      </c>
      <c r="B6" t="inlineStr">
        <is>
          <t>S005</t>
        </is>
      </c>
      <c r="C6" s="5" t="inlineStr">
        <is>
          <t>01a1212c-4b57-70cf-80fd-c2192cb3bf81</t>
        </is>
      </c>
      <c r="D6" s="4" t="n">
        <v>46304.624269278</v>
      </c>
      <c r="E6" s="4" t="n">
        <v>46304.62427242319</v>
      </c>
      <c r="F6" t="b">
        <v>1</v>
      </c>
      <c r="G6" t="n">
        <v/>
      </c>
      <c r="H6" t="inlineStr">
        <is>
          <t>2024-11-12 | Sell | MSFT | 31.0000 unit @ $423.03 / unit</t>
        </is>
      </c>
      <c r="I6" t="inlineStr">
        <is>
          <t>MSFT</t>
        </is>
      </c>
      <c r="J6" s="6" t="n">
        <v>45608</v>
      </c>
      <c r="K6" t="n">
        <v>31</v>
      </c>
      <c r="L6" t="inlineStr">
        <is>
          <t>USD</t>
        </is>
      </c>
      <c r="M6" t="n">
        <v>423.03</v>
      </c>
      <c r="N6" t="inlineStr">
        <is>
          <t>USD</t>
        </is>
      </c>
      <c r="O6" t="n">
        <v>5</v>
      </c>
      <c r="P6" t="inlineStr"/>
      <c r="Q6" t="inlineStr">
        <is>
          <t>FY2024/25</t>
        </is>
      </c>
      <c r="R6" t="inlineStr">
        <is>
          <t>AUD</t>
        </is>
      </c>
      <c r="S6" t="n">
        <v>7.5</v>
      </c>
      <c r="T6" t="inlineStr">
        <is>
          <t>AUD</t>
        </is>
      </c>
      <c r="U6" t="n">
        <v>0.241935</v>
      </c>
      <c r="V6" t="inlineStr">
        <is>
          <t>AUD</t>
        </is>
      </c>
      <c r="W6" t="n">
        <v>634.545</v>
      </c>
      <c r="X6" t="b">
        <v>1</v>
      </c>
      <c r="Y6" t="inlineStr">
        <is>
          <t>MIN_CGT</t>
        </is>
      </c>
      <c r="Z6" t="inlineStr">
        <is>
          <t>AUD</t>
        </is>
      </c>
      <c r="AA6" t="n">
        <v>19663.395</v>
      </c>
      <c r="AB6" t="inlineStr">
        <is>
          <t>AUD</t>
        </is>
      </c>
      <c r="AC6" t="n">
        <v>634.3031</v>
      </c>
      <c r="AD6" t="n">
        <v>0</v>
      </c>
      <c r="AE6" s="5" t="inlineStr">
        <is>
          <t>01a1212c-a6e0-708b-9cf6-fc65d58a908d</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X375"/>
  <sheetViews>
    <sheetView workbookViewId="0">
      <pane ySplit="1" topLeftCell="A2" activePane="bottomLeft" state="frozen"/>
      <selection pane="bottomLeft" activeCell="A1" sqref="A1"/>
    </sheetView>
  </sheetViews>
  <sheetFormatPr baseColWidth="8" defaultRowHeight="15"/>
  <cols>
    <col width="38.2" customWidth="1" min="1" max="1"/>
    <col width="11.2" customWidth="1" min="2" max="2"/>
    <col width="38.2" customWidth="1" min="3" max="3"/>
    <col width="28.2" customWidth="1" min="4" max="4"/>
    <col width="28.2" customWidth="1" min="5" max="5"/>
    <col width="11.2" customWidth="1" min="6" max="6"/>
    <col width="7.2" customWidth="1" min="7" max="7"/>
    <col width="44.2" customWidth="1" min="8" max="8"/>
    <col width="38.2" customWidth="1" min="9" max="9"/>
    <col width="17.2" customWidth="1" min="10" max="10"/>
    <col width="29.2" customWidth="1" min="11" max="11"/>
    <col width="17.2" customWidth="1" min="12" max="12"/>
    <col width="19.2" customWidth="1" min="13" max="13"/>
    <col width="12.2" customWidth="1" min="14" max="14"/>
    <col width="28.2" customWidth="1" min="15" max="15"/>
    <col width="31.2" customWidth="1" min="16" max="16"/>
    <col width="20.2" customWidth="1" min="17" max="17"/>
    <col width="45.2" customWidth="1" min="18" max="18"/>
    <col width="36.2" customWidth="1" min="19" max="19"/>
    <col width="37.2" customWidth="1" min="20" max="20"/>
    <col width="28.2" customWidth="1" min="21" max="21"/>
    <col width="36.2" customWidth="1" min="22" max="22"/>
    <col width="27.2" customWidth="1" min="23" max="23"/>
    <col width="38.2" customWidth="1" min="24" max="24"/>
  </cols>
  <sheetData>
    <row r="1" ht="32" customHeight="1">
      <c r="A1" s="1" t="inlineStr">
        <is>
          <t>id</t>
        </is>
      </c>
      <c r="B1" s="1" t="inlineStr">
        <is>
          <t>legacy_id</t>
        </is>
      </c>
      <c r="C1" s="1" t="inlineStr">
        <is>
          <t>account_id</t>
        </is>
      </c>
      <c r="D1" s="1" t="inlineStr">
        <is>
          <t>created_at</t>
        </is>
      </c>
      <c r="E1" s="1" t="inlineStr">
        <is>
          <t>updated_at</t>
        </is>
      </c>
      <c r="F1" s="1" t="inlineStr">
        <is>
          <t>is_active</t>
        </is>
      </c>
      <c r="G1" s="1" t="inlineStr">
        <is>
          <t>notes</t>
        </is>
      </c>
      <c r="H1" s="1" t="inlineStr">
        <is>
          <t>description</t>
        </is>
      </c>
      <c r="I1" s="1" t="inlineStr">
        <is>
          <t>buy_id</t>
        </is>
      </c>
      <c r="J1" s="1" t="inlineStr">
        <is>
          <t>parcel_quantity</t>
        </is>
      </c>
      <c r="K1" s="1" t="inlineStr">
        <is>
          <t>cumulative_split_multiplier</t>
        </is>
      </c>
      <c r="L1" s="1" t="inlineStr">
        <is>
          <t>activation_date</t>
        </is>
      </c>
      <c r="M1" s="1" t="inlineStr">
        <is>
          <t>deactivation_date</t>
        </is>
      </c>
      <c r="N1" s="1" t="inlineStr">
        <is>
          <t>sale_date</t>
        </is>
      </c>
      <c r="O1" s="1" t="inlineStr">
        <is>
          <t>calculated_instrument_name</t>
        </is>
      </c>
      <c r="P1" s="1" t="inlineStr">
        <is>
          <t>calculated_remaining_quantity</t>
        </is>
      </c>
      <c r="Q1" s="1" t="inlineStr">
        <is>
          <t>calculated_is_sold</t>
        </is>
      </c>
      <c r="R1" s="1" t="inlineStr">
        <is>
          <t>calculated_adjusted_unit_brokerage_currency</t>
        </is>
      </c>
      <c r="S1" s="1" t="inlineStr">
        <is>
          <t>calculated_adjusted_unit_brokerage</t>
        </is>
      </c>
      <c r="T1" s="1" t="inlineStr">
        <is>
          <t>calculated_total_cost_base_currency</t>
        </is>
      </c>
      <c r="U1" s="1" t="inlineStr">
        <is>
          <t>calculated_total_cost_base</t>
        </is>
      </c>
      <c r="V1" s="1" t="inlineStr">
        <is>
          <t>calculated_unit_cost_base_currency</t>
        </is>
      </c>
      <c r="W1" s="1" t="inlineStr">
        <is>
          <t>calculated_unit_cost_base</t>
        </is>
      </c>
      <c r="X1" s="1" t="inlineStr">
        <is>
          <t>parent_parcel_id</t>
        </is>
      </c>
    </row>
    <row r="2">
      <c r="A2" s="5" t="inlineStr">
        <is>
          <t>01a1212c-687d-7722-9e5b-4cd037c726f7</t>
        </is>
      </c>
      <c r="C2" s="5" t="inlineStr">
        <is>
          <t>01a1212c-4b57-70cf-80fd-c2192cb3bf81</t>
        </is>
      </c>
      <c r="D2" s="4" t="n">
        <v>46304.6240844172</v>
      </c>
      <c r="E2" s="4" t="n">
        <v>46304.62418775413</v>
      </c>
      <c r="F2" t="b">
        <v>1</v>
      </c>
      <c r="H2" t="inlineStr">
        <is>
          <t>2016-10-03 | PARCEL |  VAS | 14.0000 unit</t>
        </is>
      </c>
      <c r="I2" s="5" t="inlineStr">
        <is>
          <t>01a1212c-687b-75a4-b217-34b86b74fc16</t>
        </is>
      </c>
      <c r="J2" t="n">
        <v>14</v>
      </c>
      <c r="K2" t="n">
        <v>1</v>
      </c>
      <c r="L2" s="6" t="n">
        <v>42646</v>
      </c>
      <c r="N2" s="6" t="n">
        <v>43538</v>
      </c>
      <c r="O2" t="inlineStr">
        <is>
          <t>VAS</t>
        </is>
      </c>
      <c r="P2" t="n">
        <v>0</v>
      </c>
      <c r="Q2" t="b">
        <v>1</v>
      </c>
      <c r="R2" t="inlineStr">
        <is>
          <t>AUD</t>
        </is>
      </c>
      <c r="S2" t="n">
        <v>0.678571</v>
      </c>
      <c r="T2" t="inlineStr">
        <is>
          <t>AUD</t>
        </is>
      </c>
      <c r="U2" t="n">
        <v>998.7003999999999</v>
      </c>
      <c r="V2" t="inlineStr">
        <is>
          <t>AUD</t>
        </is>
      </c>
      <c r="W2" t="n">
        <v>71.33574299999999</v>
      </c>
      <c r="X2" t="n">
        <v/>
      </c>
    </row>
    <row r="3">
      <c r="A3" s="5" t="inlineStr">
        <is>
          <t>01a1212c-6896-70d6-844d-33deb9ce2d14</t>
        </is>
      </c>
      <c r="C3" s="5" t="inlineStr">
        <is>
          <t>01a1212c-4b57-70cf-80fd-c2192cb3bf81</t>
        </is>
      </c>
      <c r="D3" s="4" t="n">
        <v>46304.62408470878</v>
      </c>
      <c r="E3" s="4" t="n">
        <v>46304.62431868356</v>
      </c>
      <c r="F3" t="b">
        <v>1</v>
      </c>
      <c r="H3" t="inlineStr">
        <is>
          <t>2016-10-03 | PARCEL |  VGS | 22.0000 unit</t>
        </is>
      </c>
      <c r="I3" s="5" t="inlineStr">
        <is>
          <t>01a1212c-6895-721d-9719-b36d8ab02a23</t>
        </is>
      </c>
      <c r="J3" t="n">
        <v>22</v>
      </c>
      <c r="K3" t="n">
        <v>1</v>
      </c>
      <c r="L3" s="6" t="n">
        <v>42646</v>
      </c>
      <c r="O3" t="inlineStr">
        <is>
          <t>VGS</t>
        </is>
      </c>
      <c r="P3" t="n">
        <v>22</v>
      </c>
      <c r="Q3" t="b">
        <v>0</v>
      </c>
      <c r="R3" t="inlineStr">
        <is>
          <t>AUD</t>
        </is>
      </c>
      <c r="S3" t="n">
        <v>0.431818</v>
      </c>
      <c r="T3" t="inlineStr">
        <is>
          <t>AUD</t>
        </is>
      </c>
      <c r="U3" t="n">
        <v>1266.1351</v>
      </c>
      <c r="V3" t="inlineStr">
        <is>
          <t>AUD</t>
        </is>
      </c>
      <c r="W3" t="n">
        <v>57.551595</v>
      </c>
      <c r="X3" t="n">
        <v/>
      </c>
    </row>
    <row r="4">
      <c r="A4" s="5" t="inlineStr">
        <is>
          <t>01a1212c-68ac-7533-acb8-393d5f7dde20</t>
        </is>
      </c>
      <c r="C4" s="5" t="inlineStr">
        <is>
          <t>01a1212c-4b57-70cf-80fd-c2192cb3bf81</t>
        </is>
      </c>
      <c r="D4" s="4" t="n">
        <v>46304.62408495978</v>
      </c>
      <c r="E4" s="4" t="n">
        <v>46304.62418824707</v>
      </c>
      <c r="F4" t="b">
        <v>1</v>
      </c>
      <c r="H4" t="inlineStr">
        <is>
          <t>2016-11-02 | PARCEL |  VAS | 24.0000 unit</t>
        </is>
      </c>
      <c r="I4" s="5" t="inlineStr">
        <is>
          <t>01a1212c-68ab-70d0-97ff-b45ff3b385d9</t>
        </is>
      </c>
      <c r="J4" t="n">
        <v>24</v>
      </c>
      <c r="K4" t="n">
        <v>1</v>
      </c>
      <c r="L4" s="6" t="n">
        <v>42676</v>
      </c>
      <c r="N4" s="6" t="n">
        <v>43538</v>
      </c>
      <c r="O4" t="inlineStr">
        <is>
          <t>VAS</t>
        </is>
      </c>
      <c r="P4" t="n">
        <v>0</v>
      </c>
      <c r="Q4" t="b">
        <v>1</v>
      </c>
      <c r="R4" t="inlineStr">
        <is>
          <t>AUD</t>
        </is>
      </c>
      <c r="S4" t="n">
        <v>0.395833</v>
      </c>
      <c r="T4" t="inlineStr">
        <is>
          <t>AUD</t>
        </is>
      </c>
      <c r="U4" t="n">
        <v>1601.9906</v>
      </c>
      <c r="V4" t="inlineStr">
        <is>
          <t>AUD</t>
        </is>
      </c>
      <c r="W4" t="n">
        <v>66.74960799999999</v>
      </c>
      <c r="X4" t="n">
        <v/>
      </c>
    </row>
    <row r="5">
      <c r="A5" s="5" t="inlineStr">
        <is>
          <t>01a1212c-68c3-7400-8c25-aa53cd5ab679</t>
        </is>
      </c>
      <c r="C5" s="5" t="inlineStr">
        <is>
          <t>01a1212c-4b57-70cf-80fd-c2192cb3bf81</t>
        </is>
      </c>
      <c r="D5" s="4" t="n">
        <v>46304.62408523069</v>
      </c>
      <c r="E5" s="4" t="n">
        <v>46304.62431538112</v>
      </c>
      <c r="F5" t="b">
        <v>1</v>
      </c>
      <c r="H5" t="inlineStr">
        <is>
          <t>2016-11-02 | PARCEL |  VGS | 37.0000 unit</t>
        </is>
      </c>
      <c r="I5" s="5" t="inlineStr">
        <is>
          <t>01a1212c-68c2-74eb-a158-cb79260709de</t>
        </is>
      </c>
      <c r="J5" t="n">
        <v>37</v>
      </c>
      <c r="K5" t="n">
        <v>1</v>
      </c>
      <c r="L5" s="6" t="n">
        <v>42676</v>
      </c>
      <c r="O5" t="inlineStr">
        <is>
          <t>VGS</t>
        </is>
      </c>
      <c r="P5" t="n">
        <v>37</v>
      </c>
      <c r="Q5" t="b">
        <v>0</v>
      </c>
      <c r="R5" t="inlineStr">
        <is>
          <t>AUD</t>
        </is>
      </c>
      <c r="S5" t="n">
        <v>0.256757</v>
      </c>
      <c r="T5" t="inlineStr">
        <is>
          <t>AUD</t>
        </is>
      </c>
      <c r="U5" t="n">
        <v>2057.5838</v>
      </c>
      <c r="V5" t="inlineStr">
        <is>
          <t>AUD</t>
        </is>
      </c>
      <c r="W5" t="n">
        <v>55.610373</v>
      </c>
      <c r="X5" t="n">
        <v/>
      </c>
    </row>
    <row r="6">
      <c r="A6" s="5" t="inlineStr">
        <is>
          <t>01a1212c-68da-77ea-a20b-34434b4e9654</t>
        </is>
      </c>
      <c r="C6" s="5" t="inlineStr">
        <is>
          <t>01a1212c-4b57-70cf-80fd-c2192cb3bf81</t>
        </is>
      </c>
      <c r="D6" s="4" t="n">
        <v>46304.62408549261</v>
      </c>
      <c r="E6" s="4" t="n">
        <v>46304.62418803918</v>
      </c>
      <c r="F6" t="b">
        <v>1</v>
      </c>
      <c r="H6" t="inlineStr">
        <is>
          <t>2016-12-06 | PARCEL |  VAS | 18.0000 unit</t>
        </is>
      </c>
      <c r="I6" s="5" t="inlineStr">
        <is>
          <t>01a1212c-68d8-72b7-ad3b-5872f0d088d4</t>
        </is>
      </c>
      <c r="J6" t="n">
        <v>18</v>
      </c>
      <c r="K6" t="n">
        <v>1</v>
      </c>
      <c r="L6" s="6" t="n">
        <v>42710</v>
      </c>
      <c r="N6" s="6" t="n">
        <v>43538</v>
      </c>
      <c r="O6" t="inlineStr">
        <is>
          <t>VAS</t>
        </is>
      </c>
      <c r="P6" t="n">
        <v>0</v>
      </c>
      <c r="Q6" t="b">
        <v>1</v>
      </c>
      <c r="R6" t="inlineStr">
        <is>
          <t>AUD</t>
        </is>
      </c>
      <c r="S6" t="n">
        <v>0.527778</v>
      </c>
      <c r="T6" t="inlineStr">
        <is>
          <t>AUD</t>
        </is>
      </c>
      <c r="U6" t="n">
        <v>1256.5388</v>
      </c>
      <c r="V6" t="inlineStr">
        <is>
          <t>AUD</t>
        </is>
      </c>
      <c r="W6" t="n">
        <v>69.807711</v>
      </c>
      <c r="X6" t="n">
        <v/>
      </c>
    </row>
    <row r="7">
      <c r="A7" s="5" t="inlineStr">
        <is>
          <t>01a1212c-68f0-738d-8d20-79a1c973b960</t>
        </is>
      </c>
      <c r="C7" s="5" t="inlineStr">
        <is>
          <t>01a1212c-4b57-70cf-80fd-c2192cb3bf81</t>
        </is>
      </c>
      <c r="D7" s="4" t="n">
        <v>46304.62408575037</v>
      </c>
      <c r="E7" s="4" t="n">
        <v>46304.6243188451</v>
      </c>
      <c r="F7" t="b">
        <v>1</v>
      </c>
      <c r="H7" t="inlineStr">
        <is>
          <t>2016-12-06 | PARCEL |  VGS | 27.0000 unit</t>
        </is>
      </c>
      <c r="I7" s="5" t="inlineStr">
        <is>
          <t>01a1212c-68ef-7004-a749-bf070b39227f</t>
        </is>
      </c>
      <c r="J7" t="n">
        <v>27</v>
      </c>
      <c r="K7" t="n">
        <v>1</v>
      </c>
      <c r="L7" s="6" t="n">
        <v>42710</v>
      </c>
      <c r="O7" t="inlineStr">
        <is>
          <t>VGS</t>
        </is>
      </c>
      <c r="P7" t="n">
        <v>27</v>
      </c>
      <c r="Q7" t="b">
        <v>0</v>
      </c>
      <c r="R7" t="inlineStr">
        <is>
          <t>AUD</t>
        </is>
      </c>
      <c r="S7" t="n">
        <v>0.351852</v>
      </c>
      <c r="T7" t="inlineStr">
        <is>
          <t>AUD</t>
        </is>
      </c>
      <c r="U7" t="n">
        <v>1581.3491</v>
      </c>
      <c r="V7" t="inlineStr">
        <is>
          <t>AUD</t>
        </is>
      </c>
      <c r="W7" t="n">
        <v>58.568485</v>
      </c>
      <c r="X7" t="n">
        <v/>
      </c>
    </row>
    <row r="8">
      <c r="A8" s="5" t="inlineStr">
        <is>
          <t>01a1212c-6906-7630-a5f2-751e7e213be3</t>
        </is>
      </c>
      <c r="C8" s="5" t="inlineStr">
        <is>
          <t>01a1212c-4b57-70cf-80fd-c2192cb3bf81</t>
        </is>
      </c>
      <c r="D8" s="4" t="n">
        <v>46304.6240860055</v>
      </c>
      <c r="E8" s="4" t="n">
        <v>46304.62419488198</v>
      </c>
      <c r="F8" t="b">
        <v>1</v>
      </c>
      <c r="H8" t="inlineStr">
        <is>
          <t>2016-12-12 | PARCEL |  TLS | 195.0000 unit</t>
        </is>
      </c>
      <c r="I8" s="5" t="inlineStr">
        <is>
          <t>01a1212c-6905-73a9-bec4-5da026d829a1</t>
        </is>
      </c>
      <c r="J8" t="n">
        <v>195</v>
      </c>
      <c r="K8" t="n">
        <v>1</v>
      </c>
      <c r="L8" s="6" t="n">
        <v>42716</v>
      </c>
      <c r="N8" s="6" t="n">
        <v>43753</v>
      </c>
      <c r="O8" t="inlineStr">
        <is>
          <t>TLS</t>
        </is>
      </c>
      <c r="P8" t="n">
        <v>0</v>
      </c>
      <c r="Q8" t="b">
        <v>1</v>
      </c>
      <c r="R8" t="inlineStr">
        <is>
          <t>AUD</t>
        </is>
      </c>
      <c r="S8" t="n">
        <v>0.102308</v>
      </c>
      <c r="T8" t="inlineStr">
        <is>
          <t>AUD</t>
        </is>
      </c>
      <c r="U8" t="n">
        <v>985.2</v>
      </c>
      <c r="V8" t="inlineStr">
        <is>
          <t>AUD</t>
        </is>
      </c>
      <c r="W8" t="n">
        <v>5.052308</v>
      </c>
      <c r="X8" t="n">
        <v/>
      </c>
    </row>
    <row r="9">
      <c r="A9" s="5" t="inlineStr">
        <is>
          <t>01a1212c-691a-70d4-a1c4-6f72b59d4cde</t>
        </is>
      </c>
      <c r="C9" s="5" t="inlineStr">
        <is>
          <t>01a1212c-4b57-70cf-80fd-c2192cb3bf81</t>
        </is>
      </c>
      <c r="D9" s="4" t="n">
        <v>46304.62408623727</v>
      </c>
      <c r="E9" s="4" t="n">
        <v>46304.62418771222</v>
      </c>
      <c r="F9" t="b">
        <v>1</v>
      </c>
      <c r="H9" t="inlineStr">
        <is>
          <t>2017-01-06 | PARCEL |  VAS | 21.0000 unit</t>
        </is>
      </c>
      <c r="I9" s="5" t="inlineStr">
        <is>
          <t>01a1212c-6919-7787-8eb5-ab3d0e57a65d</t>
        </is>
      </c>
      <c r="J9" t="n">
        <v>21</v>
      </c>
      <c r="K9" t="n">
        <v>1</v>
      </c>
      <c r="L9" s="6" t="n">
        <v>42741</v>
      </c>
      <c r="N9" s="6" t="n">
        <v>43538</v>
      </c>
      <c r="O9" t="inlineStr">
        <is>
          <t>VAS</t>
        </is>
      </c>
      <c r="P9" t="n">
        <v>0</v>
      </c>
      <c r="Q9" t="b">
        <v>1</v>
      </c>
      <c r="R9" t="inlineStr">
        <is>
          <t>AUD</t>
        </is>
      </c>
      <c r="S9" t="n">
        <v>0.452381</v>
      </c>
      <c r="T9" t="inlineStr">
        <is>
          <t>AUD</t>
        </is>
      </c>
      <c r="U9" t="n">
        <v>1533.6051</v>
      </c>
      <c r="V9" t="inlineStr">
        <is>
          <t>AUD</t>
        </is>
      </c>
      <c r="W9" t="n">
        <v>73.028814</v>
      </c>
      <c r="X9" t="n">
        <v/>
      </c>
    </row>
    <row r="10">
      <c r="A10" s="5" t="inlineStr">
        <is>
          <t>01a1212c-692f-76c3-8991-b28be5dbbe78</t>
        </is>
      </c>
      <c r="C10" s="5" t="inlineStr">
        <is>
          <t>01a1212c-4b57-70cf-80fd-c2192cb3bf81</t>
        </is>
      </c>
      <c r="D10" s="4" t="n">
        <v>46304.62408647506</v>
      </c>
      <c r="E10" s="4" t="n">
        <v>46304.62431559052</v>
      </c>
      <c r="F10" t="b">
        <v>1</v>
      </c>
      <c r="H10" t="inlineStr">
        <is>
          <t>2017-01-06 | PARCEL |  VGS | 32.0000 unit</t>
        </is>
      </c>
      <c r="I10" s="5" t="inlineStr">
        <is>
          <t>01a1212c-692e-73ac-a576-3f0d133e267b</t>
        </is>
      </c>
      <c r="J10" t="n">
        <v>32</v>
      </c>
      <c r="K10" t="n">
        <v>1</v>
      </c>
      <c r="L10" s="6" t="n">
        <v>42741</v>
      </c>
      <c r="O10" t="inlineStr">
        <is>
          <t>VGS</t>
        </is>
      </c>
      <c r="P10" t="n">
        <v>32</v>
      </c>
      <c r="Q10" t="b">
        <v>0</v>
      </c>
      <c r="R10" t="inlineStr">
        <is>
          <t>AUD</t>
        </is>
      </c>
      <c r="S10" t="n">
        <v>0.296875</v>
      </c>
      <c r="T10" t="inlineStr">
        <is>
          <t>AUD</t>
        </is>
      </c>
      <c r="U10" t="n">
        <v>1962.7884</v>
      </c>
      <c r="V10" t="inlineStr">
        <is>
          <t>AUD</t>
        </is>
      </c>
      <c r="W10" t="n">
        <v>61.337138</v>
      </c>
      <c r="X10" t="n">
        <v/>
      </c>
    </row>
    <row r="11">
      <c r="A11" s="5" t="inlineStr">
        <is>
          <t>01a1212c-6945-7758-a2bb-6ef14801d9ae</t>
        </is>
      </c>
      <c r="C11" s="5" t="inlineStr">
        <is>
          <t>01a1212c-4b57-70cf-80fd-c2192cb3bf81</t>
        </is>
      </c>
      <c r="D11" s="4" t="n">
        <v>46304.62408673124</v>
      </c>
      <c r="E11" s="4" t="n">
        <v>46304.62421706817</v>
      </c>
      <c r="F11" t="b">
        <v>0</v>
      </c>
      <c r="H11" t="inlineStr">
        <is>
          <t>2017-01-20 | PARCEL |  AMZN | 1.0000 unit</t>
        </is>
      </c>
      <c r="I11" s="5" t="inlineStr">
        <is>
          <t>01a1212c-6942-7744-b214-a353f8423f46</t>
        </is>
      </c>
      <c r="J11" t="n">
        <v>1</v>
      </c>
      <c r="K11" t="n">
        <v>1</v>
      </c>
      <c r="L11" s="6" t="n">
        <v>42755</v>
      </c>
      <c r="M11" s="6" t="n">
        <v>44718</v>
      </c>
      <c r="O11" t="inlineStr">
        <is>
          <t>AMZN</t>
        </is>
      </c>
      <c r="P11" t="n">
        <v>0</v>
      </c>
      <c r="Q11" t="b">
        <v>1</v>
      </c>
      <c r="R11" t="inlineStr">
        <is>
          <t>AUD</t>
        </is>
      </c>
      <c r="S11" t="n">
        <v>0</v>
      </c>
      <c r="T11" t="inlineStr">
        <is>
          <t>AUD</t>
        </is>
      </c>
      <c r="U11" t="n">
        <v>0</v>
      </c>
      <c r="V11" t="inlineStr">
        <is>
          <t>AUD</t>
        </is>
      </c>
      <c r="W11" t="n">
        <v>0</v>
      </c>
      <c r="X11" t="n">
        <v/>
      </c>
    </row>
    <row r="12">
      <c r="A12" s="5" t="inlineStr">
        <is>
          <t>01a1212c-695a-74e1-944f-cf3c745c8111</t>
        </is>
      </c>
      <c r="C12" s="5" t="inlineStr">
        <is>
          <t>01a1212c-4b57-70cf-80fd-c2192cb3bf81</t>
        </is>
      </c>
      <c r="D12" s="4" t="n">
        <v>46304.62408697431</v>
      </c>
      <c r="E12" s="4" t="n">
        <v>46304.62418787422</v>
      </c>
      <c r="F12" t="b">
        <v>1</v>
      </c>
      <c r="H12" t="inlineStr">
        <is>
          <t>2017-02-06 | PARCEL |  VAS | 20.0000 unit</t>
        </is>
      </c>
      <c r="I12" s="5" t="inlineStr">
        <is>
          <t>01a1212c-6959-77d7-9162-5b68cf30d959</t>
        </is>
      </c>
      <c r="J12" t="n">
        <v>20</v>
      </c>
      <c r="K12" t="n">
        <v>1</v>
      </c>
      <c r="L12" s="6" t="n">
        <v>42772</v>
      </c>
      <c r="N12" s="6" t="n">
        <v>43538</v>
      </c>
      <c r="O12" t="inlineStr">
        <is>
          <t>VAS</t>
        </is>
      </c>
      <c r="P12" t="n">
        <v>0</v>
      </c>
      <c r="Q12" t="b">
        <v>1</v>
      </c>
      <c r="R12" t="inlineStr">
        <is>
          <t>AUD</t>
        </is>
      </c>
      <c r="S12" t="n">
        <v>0.475</v>
      </c>
      <c r="T12" t="inlineStr">
        <is>
          <t>AUD</t>
        </is>
      </c>
      <c r="U12" t="n">
        <v>1425.9584</v>
      </c>
      <c r="V12" t="inlineStr">
        <is>
          <t>AUD</t>
        </is>
      </c>
      <c r="W12" t="n">
        <v>71.29792</v>
      </c>
      <c r="X12" t="n">
        <v/>
      </c>
    </row>
    <row r="13">
      <c r="A13" s="5" t="inlineStr">
        <is>
          <t>01a1212c-696e-7146-9e01-741d10f2bed2</t>
        </is>
      </c>
      <c r="C13" s="5" t="inlineStr">
        <is>
          <t>01a1212c-4b57-70cf-80fd-c2192cb3bf81</t>
        </is>
      </c>
      <c r="D13" s="4" t="n">
        <v>46304.62408720787</v>
      </c>
      <c r="E13" s="4" t="n">
        <v>46304.62431676487</v>
      </c>
      <c r="F13" t="b">
        <v>1</v>
      </c>
      <c r="H13" t="inlineStr">
        <is>
          <t>2017-02-06 | PARCEL |  VGS | 30.0000 unit</t>
        </is>
      </c>
      <c r="I13" s="5" t="inlineStr">
        <is>
          <t>01a1212c-696d-7366-83f5-ce89f2b7305b</t>
        </is>
      </c>
      <c r="J13" t="n">
        <v>30</v>
      </c>
      <c r="K13" t="n">
        <v>1</v>
      </c>
      <c r="L13" s="6" t="n">
        <v>42772</v>
      </c>
      <c r="O13" t="inlineStr">
        <is>
          <t>VGS</t>
        </is>
      </c>
      <c r="P13" t="n">
        <v>30</v>
      </c>
      <c r="Q13" t="b">
        <v>0</v>
      </c>
      <c r="R13" t="inlineStr">
        <is>
          <t>AUD</t>
        </is>
      </c>
      <c r="S13" t="n">
        <v>0.316667</v>
      </c>
      <c r="T13" t="inlineStr">
        <is>
          <t>AUD</t>
        </is>
      </c>
      <c r="U13" t="n">
        <v>1782.3171</v>
      </c>
      <c r="V13" t="inlineStr">
        <is>
          <t>AUD</t>
        </is>
      </c>
      <c r="W13" t="n">
        <v>59.41057</v>
      </c>
      <c r="X13" t="n">
        <v/>
      </c>
    </row>
    <row r="14">
      <c r="A14" s="5" t="inlineStr">
        <is>
          <t>01a1212c-6982-7355-ba70-8f6993dd73bd</t>
        </is>
      </c>
      <c r="C14" s="5" t="inlineStr">
        <is>
          <t>01a1212c-4b57-70cf-80fd-c2192cb3bf81</t>
        </is>
      </c>
      <c r="D14" s="4" t="n">
        <v>46304.62408743899</v>
      </c>
      <c r="E14" s="4" t="n">
        <v>46304.6241884066</v>
      </c>
      <c r="F14" t="b">
        <v>1</v>
      </c>
      <c r="H14" t="inlineStr">
        <is>
          <t>2017-03-03 | PARCEL |  VAS | 8.0000 unit</t>
        </is>
      </c>
      <c r="I14" s="5" t="inlineStr">
        <is>
          <t>01a1212c-6981-716a-96cb-51cbfb745065</t>
        </is>
      </c>
      <c r="J14" t="n">
        <v>8</v>
      </c>
      <c r="K14" t="n">
        <v>1</v>
      </c>
      <c r="L14" s="6" t="n">
        <v>42797</v>
      </c>
      <c r="N14" s="6" t="n">
        <v>43538</v>
      </c>
      <c r="O14" t="inlineStr">
        <is>
          <t>VAS</t>
        </is>
      </c>
      <c r="P14" t="n">
        <v>0</v>
      </c>
      <c r="Q14" t="b">
        <v>1</v>
      </c>
      <c r="R14" t="inlineStr">
        <is>
          <t>AUD</t>
        </is>
      </c>
      <c r="S14" t="n">
        <v>1.1875</v>
      </c>
      <c r="T14" t="inlineStr">
        <is>
          <t>AUD</t>
        </is>
      </c>
      <c r="U14" t="n">
        <v>592.1407</v>
      </c>
      <c r="V14" t="inlineStr">
        <is>
          <t>AUD</t>
        </is>
      </c>
      <c r="W14" t="n">
        <v>74.017588</v>
      </c>
      <c r="X14" t="n">
        <v/>
      </c>
    </row>
    <row r="15">
      <c r="A15" s="5" t="inlineStr">
        <is>
          <t>01a1212c-6998-74b0-bc81-af5dbb051f7a</t>
        </is>
      </c>
      <c r="C15" s="5" t="inlineStr">
        <is>
          <t>01a1212c-4b57-70cf-80fd-c2192cb3bf81</t>
        </is>
      </c>
      <c r="D15" s="4" t="n">
        <v>46304.62408769654</v>
      </c>
      <c r="E15" s="4" t="n">
        <v>46304.62431656253</v>
      </c>
      <c r="F15" t="b">
        <v>1</v>
      </c>
      <c r="H15" t="inlineStr">
        <is>
          <t>2017-03-03 | PARCEL |  VGS | 12.0000 unit</t>
        </is>
      </c>
      <c r="I15" s="5" t="inlineStr">
        <is>
          <t>01a1212c-6997-77c7-87e9-0b2da4e0e71e</t>
        </is>
      </c>
      <c r="J15" t="n">
        <v>12</v>
      </c>
      <c r="K15" t="n">
        <v>1</v>
      </c>
      <c r="L15" s="6" t="n">
        <v>42797</v>
      </c>
      <c r="O15" t="inlineStr">
        <is>
          <t>VGS</t>
        </is>
      </c>
      <c r="P15" t="n">
        <v>12</v>
      </c>
      <c r="Q15" t="b">
        <v>0</v>
      </c>
      <c r="R15" t="inlineStr">
        <is>
          <t>AUD</t>
        </is>
      </c>
      <c r="S15" t="n">
        <v>0.791667</v>
      </c>
      <c r="T15" t="inlineStr">
        <is>
          <t>AUD</t>
        </is>
      </c>
      <c r="U15" t="n">
        <v>743.1652</v>
      </c>
      <c r="V15" t="inlineStr">
        <is>
          <t>AUD</t>
        </is>
      </c>
      <c r="W15" t="n">
        <v>61.930433</v>
      </c>
      <c r="X15" t="n">
        <v/>
      </c>
    </row>
    <row r="16">
      <c r="A16" s="5" t="inlineStr">
        <is>
          <t>01a1212c-69af-71ca-bedb-c45e7e2a2285</t>
        </is>
      </c>
      <c r="C16" s="5" t="inlineStr">
        <is>
          <t>01a1212c-4b57-70cf-80fd-c2192cb3bf81</t>
        </is>
      </c>
      <c r="D16" s="4" t="n">
        <v>46304.62408795342</v>
      </c>
      <c r="E16" s="4" t="n">
        <v>46304.62420362237</v>
      </c>
      <c r="F16" t="b">
        <v>0</v>
      </c>
      <c r="H16" t="inlineStr">
        <is>
          <t>2017-03-06 | PARCEL |  AAPL | 4.0000 unit</t>
        </is>
      </c>
      <c r="I16" s="5" t="inlineStr">
        <is>
          <t>01a1212c-69ac-7241-84ed-8fe8fe8eb84d</t>
        </is>
      </c>
      <c r="J16" t="n">
        <v>4</v>
      </c>
      <c r="K16" t="n">
        <v>1</v>
      </c>
      <c r="L16" s="6" t="n">
        <v>42800</v>
      </c>
      <c r="M16" s="6" t="n">
        <v>44074</v>
      </c>
      <c r="O16" t="inlineStr">
        <is>
          <t>AAPL</t>
        </is>
      </c>
      <c r="P16" t="n">
        <v>0</v>
      </c>
      <c r="Q16" t="b">
        <v>1</v>
      </c>
      <c r="R16" t="inlineStr">
        <is>
          <t>AUD</t>
        </is>
      </c>
      <c r="S16" t="n">
        <v>0</v>
      </c>
      <c r="T16" t="inlineStr">
        <is>
          <t>AUD</t>
        </is>
      </c>
      <c r="U16" t="n">
        <v>0</v>
      </c>
      <c r="V16" t="inlineStr">
        <is>
          <t>AUD</t>
        </is>
      </c>
      <c r="W16" t="n">
        <v>0</v>
      </c>
      <c r="X16" t="n">
        <v/>
      </c>
    </row>
    <row r="17">
      <c r="A17" s="5" t="inlineStr">
        <is>
          <t>01a1212c-69c5-74f0-804a-e7532619258f</t>
        </is>
      </c>
      <c r="C17" s="5" t="inlineStr">
        <is>
          <t>01a1212c-4b57-70cf-80fd-c2192cb3bf81</t>
        </is>
      </c>
      <c r="D17" s="4" t="n">
        <v>46304.62408820754</v>
      </c>
      <c r="E17" s="4" t="n">
        <v>46304.62408820759</v>
      </c>
      <c r="F17" t="b">
        <v>1</v>
      </c>
      <c r="H17" t="inlineStr">
        <is>
          <t>2017-03-17 | PARCEL |  CBA | 10.0000 unit</t>
        </is>
      </c>
      <c r="I17" s="5" t="inlineStr">
        <is>
          <t>01a1212c-69c3-74bb-b2a2-9d06f9e1e8ef</t>
        </is>
      </c>
      <c r="J17" t="n">
        <v>10</v>
      </c>
      <c r="K17" t="n">
        <v>1</v>
      </c>
      <c r="L17" s="6" t="n">
        <v>42811</v>
      </c>
      <c r="O17" t="inlineStr">
        <is>
          <t>CBA</t>
        </is>
      </c>
      <c r="P17" t="n">
        <v>10</v>
      </c>
      <c r="Q17" t="b">
        <v>0</v>
      </c>
      <c r="R17" t="inlineStr">
        <is>
          <t>AUD</t>
        </is>
      </c>
      <c r="S17" t="n">
        <v>1.995</v>
      </c>
      <c r="T17" t="inlineStr">
        <is>
          <t>AUD</t>
        </is>
      </c>
      <c r="U17" t="n">
        <v>867.65</v>
      </c>
      <c r="V17" t="inlineStr">
        <is>
          <t>AUD</t>
        </is>
      </c>
      <c r="W17" t="n">
        <v>86.765</v>
      </c>
      <c r="X17" t="n">
        <v/>
      </c>
    </row>
    <row r="18">
      <c r="A18" s="5" t="inlineStr">
        <is>
          <t>01a1212c-69d8-7623-b5ab-9b8cc7866ed9</t>
        </is>
      </c>
      <c r="C18" s="5" t="inlineStr">
        <is>
          <t>01a1212c-4b57-70cf-80fd-c2192cb3bf81</t>
        </is>
      </c>
      <c r="D18" s="4" t="n">
        <v>46304.62408843348</v>
      </c>
      <c r="E18" s="4" t="n">
        <v>46304.62418852962</v>
      </c>
      <c r="F18" t="b">
        <v>1</v>
      </c>
      <c r="H18" t="inlineStr">
        <is>
          <t>2017-04-04 | PARCEL |  VAS | 19.0000 unit</t>
        </is>
      </c>
      <c r="I18" s="5" t="inlineStr">
        <is>
          <t>01a1212c-69d7-7004-9626-bafda08ee86d</t>
        </is>
      </c>
      <c r="J18" t="n">
        <v>19</v>
      </c>
      <c r="K18" t="n">
        <v>1</v>
      </c>
      <c r="L18" s="6" t="n">
        <v>42829</v>
      </c>
      <c r="N18" s="6" t="n">
        <v>43538</v>
      </c>
      <c r="O18" t="inlineStr">
        <is>
          <t>VAS</t>
        </is>
      </c>
      <c r="P18" t="n">
        <v>0</v>
      </c>
      <c r="Q18" t="b">
        <v>1</v>
      </c>
      <c r="R18" t="inlineStr">
        <is>
          <t>AUD</t>
        </is>
      </c>
      <c r="S18" t="n">
        <v>0.5</v>
      </c>
      <c r="T18" t="inlineStr">
        <is>
          <t>AUD</t>
        </is>
      </c>
      <c r="U18" t="n">
        <v>1419.233</v>
      </c>
      <c r="V18" t="inlineStr">
        <is>
          <t>AUD</t>
        </is>
      </c>
      <c r="W18" t="n">
        <v>74.69647399999999</v>
      </c>
      <c r="X18" t="n">
        <v/>
      </c>
    </row>
    <row r="19">
      <c r="A19" s="5" t="inlineStr">
        <is>
          <t>01a1212c-69ed-703d-98c7-86793a7bce47</t>
        </is>
      </c>
      <c r="C19" s="5" t="inlineStr">
        <is>
          <t>01a1212c-4b57-70cf-80fd-c2192cb3bf81</t>
        </is>
      </c>
      <c r="D19" s="4" t="n">
        <v>46304.62408867416</v>
      </c>
      <c r="E19" s="4" t="n">
        <v>46304.62431486289</v>
      </c>
      <c r="F19" t="b">
        <v>1</v>
      </c>
      <c r="H19" t="inlineStr">
        <is>
          <t>2017-04-04 | PARCEL |  VGS | 30.0000 unit</t>
        </is>
      </c>
      <c r="I19" s="5" t="inlineStr">
        <is>
          <t>01a1212c-69eb-7185-ac16-fe0856a1cf98</t>
        </is>
      </c>
      <c r="J19" t="n">
        <v>30</v>
      </c>
      <c r="K19" t="n">
        <v>1</v>
      </c>
      <c r="L19" s="6" t="n">
        <v>42829</v>
      </c>
      <c r="O19" t="inlineStr">
        <is>
          <t>VGS</t>
        </is>
      </c>
      <c r="P19" t="n">
        <v>30</v>
      </c>
      <c r="Q19" t="b">
        <v>0</v>
      </c>
      <c r="R19" t="inlineStr">
        <is>
          <t>AUD</t>
        </is>
      </c>
      <c r="S19" t="n">
        <v>0.316667</v>
      </c>
      <c r="T19" t="inlineStr">
        <is>
          <t>AUD</t>
        </is>
      </c>
      <c r="U19" t="n">
        <v>1843.1659</v>
      </c>
      <c r="V19" t="inlineStr">
        <is>
          <t>AUD</t>
        </is>
      </c>
      <c r="W19" t="n">
        <v>61.438863</v>
      </c>
      <c r="X19" t="n">
        <v/>
      </c>
    </row>
    <row r="20">
      <c r="A20" s="5" t="inlineStr">
        <is>
          <t>01a1212c-6a03-718c-a95c-f74d2e171a34</t>
        </is>
      </c>
      <c r="C20" s="5" t="inlineStr">
        <is>
          <t>01a1212c-4b57-70cf-80fd-c2192cb3bf81</t>
        </is>
      </c>
      <c r="D20" s="4" t="n">
        <v>46304.62408892848</v>
      </c>
      <c r="E20" s="4" t="n">
        <v>46304.62408892854</v>
      </c>
      <c r="F20" t="b">
        <v>1</v>
      </c>
      <c r="H20" t="inlineStr">
        <is>
          <t>2017-05-04 | PARCEL |  MSFT | 14.0000 unit</t>
        </is>
      </c>
      <c r="I20" s="5" t="inlineStr">
        <is>
          <t>01a1212c-6a00-745f-b11b-65a4cd75ad77</t>
        </is>
      </c>
      <c r="J20" t="n">
        <v>14</v>
      </c>
      <c r="K20" t="n">
        <v>1</v>
      </c>
      <c r="L20" s="6" t="n">
        <v>42859</v>
      </c>
      <c r="O20" t="inlineStr">
        <is>
          <t>MSFT</t>
        </is>
      </c>
      <c r="P20" t="n">
        <v>14</v>
      </c>
      <c r="Q20" t="b">
        <v>0</v>
      </c>
      <c r="R20" t="inlineStr">
        <is>
          <t>AUD</t>
        </is>
      </c>
      <c r="S20" t="n">
        <v>0.535714</v>
      </c>
      <c r="T20" t="inlineStr">
        <is>
          <t>AUD</t>
        </is>
      </c>
      <c r="U20" t="n">
        <v>1452.51</v>
      </c>
      <c r="V20" t="inlineStr">
        <is>
          <t>AUD</t>
        </is>
      </c>
      <c r="W20" t="n">
        <v>103.750714</v>
      </c>
      <c r="X20" t="n">
        <v/>
      </c>
    </row>
    <row r="21">
      <c r="A21" s="5" t="inlineStr">
        <is>
          <t>01a1212c-6a18-70d0-a47b-125a1b405792</t>
        </is>
      </c>
      <c r="C21" s="5" t="inlineStr">
        <is>
          <t>01a1212c-4b57-70cf-80fd-c2192cb3bf81</t>
        </is>
      </c>
      <c r="D21" s="4" t="n">
        <v>46304.62408917911</v>
      </c>
      <c r="E21" s="4" t="n">
        <v>46304.62418783615</v>
      </c>
      <c r="F21" t="b">
        <v>1</v>
      </c>
      <c r="H21" t="inlineStr">
        <is>
          <t>2017-05-05 | PARCEL |  VAS | 17.0000 unit</t>
        </is>
      </c>
      <c r="I21" s="5" t="inlineStr">
        <is>
          <t>01a1212c-6a17-70bf-9991-6fcf2b47cdda</t>
        </is>
      </c>
      <c r="J21" t="n">
        <v>17</v>
      </c>
      <c r="K21" t="n">
        <v>1</v>
      </c>
      <c r="L21" s="6" t="n">
        <v>42860</v>
      </c>
      <c r="N21" s="6" t="n">
        <v>43538</v>
      </c>
      <c r="O21" t="inlineStr">
        <is>
          <t>VAS</t>
        </is>
      </c>
      <c r="P21" t="n">
        <v>0</v>
      </c>
      <c r="Q21" t="b">
        <v>1</v>
      </c>
      <c r="R21" t="inlineStr">
        <is>
          <t>AUD</t>
        </is>
      </c>
      <c r="S21" t="n">
        <v>0.558824</v>
      </c>
      <c r="T21" t="inlineStr">
        <is>
          <t>AUD</t>
        </is>
      </c>
      <c r="U21" t="n">
        <v>1270.4404</v>
      </c>
      <c r="V21" t="inlineStr">
        <is>
          <t>AUD</t>
        </is>
      </c>
      <c r="W21" t="n">
        <v>74.73178799999999</v>
      </c>
      <c r="X21" t="n">
        <v/>
      </c>
    </row>
    <row r="22">
      <c r="A22" s="5" t="inlineStr">
        <is>
          <t>01a1212c-6a2e-75f8-b19d-5dc788e0d375</t>
        </is>
      </c>
      <c r="C22" s="5" t="inlineStr">
        <is>
          <t>01a1212c-4b57-70cf-80fd-c2192cb3bf81</t>
        </is>
      </c>
      <c r="D22" s="4" t="n">
        <v>46304.62408942706</v>
      </c>
      <c r="E22" s="4" t="n">
        <v>46304.62431737147</v>
      </c>
      <c r="F22" t="b">
        <v>1</v>
      </c>
      <c r="H22" t="inlineStr">
        <is>
          <t>2017-05-05 | PARCEL |  VGS | 25.0000 unit</t>
        </is>
      </c>
      <c r="I22" s="5" t="inlineStr">
        <is>
          <t>01a1212c-6a2d-73bd-aa35-8c53a109b295</t>
        </is>
      </c>
      <c r="J22" t="n">
        <v>25</v>
      </c>
      <c r="K22" t="n">
        <v>1</v>
      </c>
      <c r="L22" s="6" t="n">
        <v>42860</v>
      </c>
      <c r="O22" t="inlineStr">
        <is>
          <t>VGS</t>
        </is>
      </c>
      <c r="P22" t="n">
        <v>25</v>
      </c>
      <c r="Q22" t="b">
        <v>0</v>
      </c>
      <c r="R22" t="inlineStr">
        <is>
          <t>AUD</t>
        </is>
      </c>
      <c r="S22" t="n">
        <v>0.38</v>
      </c>
      <c r="T22" t="inlineStr">
        <is>
          <t>AUD</t>
        </is>
      </c>
      <c r="U22" t="n">
        <v>1613.1458</v>
      </c>
      <c r="V22" t="inlineStr">
        <is>
          <t>AUD</t>
        </is>
      </c>
      <c r="W22" t="n">
        <v>64.52583199999999</v>
      </c>
      <c r="X22" t="n">
        <v/>
      </c>
    </row>
    <row r="23">
      <c r="A23" s="5" t="inlineStr">
        <is>
          <t>01a1212c-6a44-73c6-91b4-550ecb04beb8</t>
        </is>
      </c>
      <c r="C23" s="5" t="inlineStr">
        <is>
          <t>01a1212c-4b57-70cf-80fd-c2192cb3bf81</t>
        </is>
      </c>
      <c r="D23" s="4" t="n">
        <v>46304.62408968814</v>
      </c>
      <c r="E23" s="4" t="n">
        <v>46304.62419507292</v>
      </c>
      <c r="F23" t="b">
        <v>1</v>
      </c>
      <c r="H23" t="inlineStr">
        <is>
          <t>2017-05-15 | PARCEL |  TLS | 299.0000 unit</t>
        </is>
      </c>
      <c r="I23" s="5" t="inlineStr">
        <is>
          <t>01a1212c-6a43-731c-a983-9cc342a0ebc2</t>
        </is>
      </c>
      <c r="J23" t="n">
        <v>299</v>
      </c>
      <c r="K23" t="n">
        <v>1</v>
      </c>
      <c r="L23" s="6" t="n">
        <v>42870</v>
      </c>
      <c r="N23" s="6" t="n">
        <v>43753</v>
      </c>
      <c r="O23" t="inlineStr">
        <is>
          <t>TLS</t>
        </is>
      </c>
      <c r="P23" t="n">
        <v>0</v>
      </c>
      <c r="Q23" t="b">
        <v>1</v>
      </c>
      <c r="R23" t="inlineStr">
        <is>
          <t>AUD</t>
        </is>
      </c>
      <c r="S23" t="n">
        <v>0.066722</v>
      </c>
      <c r="T23" t="inlineStr">
        <is>
          <t>AUD</t>
        </is>
      </c>
      <c r="U23" t="n">
        <v>1335.55</v>
      </c>
      <c r="V23" t="inlineStr">
        <is>
          <t>AUD</t>
        </is>
      </c>
      <c r="W23" t="n">
        <v>4.466722</v>
      </c>
      <c r="X23" t="n">
        <v/>
      </c>
    </row>
    <row r="24">
      <c r="A24" s="5" t="inlineStr">
        <is>
          <t>01a1212c-6a59-75ca-b91e-09b95d96c758</t>
        </is>
      </c>
      <c r="C24" s="5" t="inlineStr">
        <is>
          <t>01a1212c-4b57-70cf-80fd-c2192cb3bf81</t>
        </is>
      </c>
      <c r="D24" s="4" t="n">
        <v>46304.62408992636</v>
      </c>
      <c r="E24" s="4" t="n">
        <v>46304.62420373125</v>
      </c>
      <c r="F24" t="b">
        <v>0</v>
      </c>
      <c r="H24" t="inlineStr">
        <is>
          <t>2017-05-22 | PARCEL |  AAPL | 6.0000 unit</t>
        </is>
      </c>
      <c r="I24" s="5" t="inlineStr">
        <is>
          <t>01a1212c-6a57-7475-abf5-8b726f12a96c</t>
        </is>
      </c>
      <c r="J24" t="n">
        <v>6</v>
      </c>
      <c r="K24" t="n">
        <v>1</v>
      </c>
      <c r="L24" s="6" t="n">
        <v>42877</v>
      </c>
      <c r="M24" s="6" t="n">
        <v>44074</v>
      </c>
      <c r="O24" t="inlineStr">
        <is>
          <t>AAPL</t>
        </is>
      </c>
      <c r="P24" t="n">
        <v>0</v>
      </c>
      <c r="Q24" t="b">
        <v>1</v>
      </c>
      <c r="R24" t="inlineStr">
        <is>
          <t>AUD</t>
        </is>
      </c>
      <c r="S24" t="n">
        <v>0</v>
      </c>
      <c r="T24" t="inlineStr">
        <is>
          <t>AUD</t>
        </is>
      </c>
      <c r="U24" t="n">
        <v>0</v>
      </c>
      <c r="V24" t="inlineStr">
        <is>
          <t>AUD</t>
        </is>
      </c>
      <c r="W24" t="n">
        <v>0</v>
      </c>
      <c r="X24" t="n">
        <v/>
      </c>
    </row>
    <row r="25">
      <c r="A25" s="5" t="inlineStr">
        <is>
          <t>01a1212c-6a6e-7311-9954-d2b7382fadc3</t>
        </is>
      </c>
      <c r="C25" s="5" t="inlineStr">
        <is>
          <t>01a1212c-4b57-70cf-80fd-c2192cb3bf81</t>
        </is>
      </c>
      <c r="D25" s="4" t="n">
        <v>46304.62409016895</v>
      </c>
      <c r="E25" s="4" t="n">
        <v>46304.62418832936</v>
      </c>
      <c r="F25" t="b">
        <v>1</v>
      </c>
      <c r="H25" t="inlineStr">
        <is>
          <t>2017-06-05 | PARCEL |  VAS | 14.0000 unit</t>
        </is>
      </c>
      <c r="I25" s="5" t="inlineStr">
        <is>
          <t>01a1212c-6a6d-77f2-87de-10443dcdbd5d</t>
        </is>
      </c>
      <c r="J25" t="n">
        <v>14</v>
      </c>
      <c r="K25" t="n">
        <v>1</v>
      </c>
      <c r="L25" s="6" t="n">
        <v>42891</v>
      </c>
      <c r="N25" s="6" t="n">
        <v>43538</v>
      </c>
      <c r="O25" t="inlineStr">
        <is>
          <t>VAS</t>
        </is>
      </c>
      <c r="P25" t="n">
        <v>0</v>
      </c>
      <c r="Q25" t="b">
        <v>1</v>
      </c>
      <c r="R25" t="inlineStr">
        <is>
          <t>AUD</t>
        </is>
      </c>
      <c r="S25" t="n">
        <v>0.678571</v>
      </c>
      <c r="T25" t="inlineStr">
        <is>
          <t>AUD</t>
        </is>
      </c>
      <c r="U25" t="n">
        <v>1036.3924</v>
      </c>
      <c r="V25" t="inlineStr">
        <is>
          <t>AUD</t>
        </is>
      </c>
      <c r="W25" t="n">
        <v>74.028029</v>
      </c>
      <c r="X25" t="n">
        <v/>
      </c>
    </row>
    <row r="26">
      <c r="A26" s="5" t="inlineStr">
        <is>
          <t>01a1212c-6a83-75e3-a976-646e71a73596</t>
        </is>
      </c>
      <c r="C26" s="5" t="inlineStr">
        <is>
          <t>01a1212c-4b57-70cf-80fd-c2192cb3bf81</t>
        </is>
      </c>
      <c r="D26" s="4" t="n">
        <v>46304.62409041045</v>
      </c>
      <c r="E26" s="4" t="n">
        <v>46304.62431599748</v>
      </c>
      <c r="F26" t="b">
        <v>1</v>
      </c>
      <c r="H26" t="inlineStr">
        <is>
          <t>2017-06-05 | PARCEL |  VGS | 20.0000 unit</t>
        </is>
      </c>
      <c r="I26" s="5" t="inlineStr">
        <is>
          <t>01a1212c-6a82-7148-bbf5-d858a6b3eba6</t>
        </is>
      </c>
      <c r="J26" t="n">
        <v>20</v>
      </c>
      <c r="K26" t="n">
        <v>1</v>
      </c>
      <c r="L26" s="6" t="n">
        <v>42891</v>
      </c>
      <c r="O26" t="inlineStr">
        <is>
          <t>VGS</t>
        </is>
      </c>
      <c r="P26" t="n">
        <v>20</v>
      </c>
      <c r="Q26" t="b">
        <v>0</v>
      </c>
      <c r="R26" t="inlineStr">
        <is>
          <t>AUD</t>
        </is>
      </c>
      <c r="S26" t="n">
        <v>0.475</v>
      </c>
      <c r="T26" t="inlineStr">
        <is>
          <t>AUD</t>
        </is>
      </c>
      <c r="U26" t="n">
        <v>1316.8892</v>
      </c>
      <c r="V26" t="inlineStr">
        <is>
          <t>AUD</t>
        </is>
      </c>
      <c r="W26" t="n">
        <v>65.84446</v>
      </c>
      <c r="X26" t="n">
        <v/>
      </c>
    </row>
    <row r="27">
      <c r="A27" s="5" t="inlineStr">
        <is>
          <t>01a1212c-6a99-7744-a90f-0e15183ead98</t>
        </is>
      </c>
      <c r="C27" s="5" t="inlineStr">
        <is>
          <t>01a1212c-4b57-70cf-80fd-c2192cb3bf81</t>
        </is>
      </c>
      <c r="D27" s="4" t="n">
        <v>46304.62409066425</v>
      </c>
      <c r="E27" s="4" t="n">
        <v>46304.62420384524</v>
      </c>
      <c r="F27" t="b">
        <v>0</v>
      </c>
      <c r="H27" t="inlineStr">
        <is>
          <t>2017-06-22 | PARCEL |  AAPL | 4.0000 unit</t>
        </is>
      </c>
      <c r="I27" s="5" t="inlineStr">
        <is>
          <t>01a1212c-6a96-75c0-828c-f2adeb894525</t>
        </is>
      </c>
      <c r="J27" t="n">
        <v>4</v>
      </c>
      <c r="K27" t="n">
        <v>1</v>
      </c>
      <c r="L27" s="6" t="n">
        <v>42908</v>
      </c>
      <c r="M27" s="6" t="n">
        <v>44074</v>
      </c>
      <c r="O27" t="inlineStr">
        <is>
          <t>AAPL</t>
        </is>
      </c>
      <c r="P27" t="n">
        <v>0</v>
      </c>
      <c r="Q27" t="b">
        <v>1</v>
      </c>
      <c r="R27" t="inlineStr">
        <is>
          <t>AUD</t>
        </is>
      </c>
      <c r="S27" t="n">
        <v>0</v>
      </c>
      <c r="T27" t="inlineStr">
        <is>
          <t>AUD</t>
        </is>
      </c>
      <c r="U27" t="n">
        <v>0</v>
      </c>
      <c r="V27" t="inlineStr">
        <is>
          <t>AUD</t>
        </is>
      </c>
      <c r="W27" t="n">
        <v>0</v>
      </c>
      <c r="X27" t="n">
        <v/>
      </c>
    </row>
    <row r="28">
      <c r="A28" s="5" t="inlineStr">
        <is>
          <t>01a1212c-6aae-7071-b34e-f040cbd8af32</t>
        </is>
      </c>
      <c r="C28" s="5" t="inlineStr">
        <is>
          <t>01a1212c-4b57-70cf-80fd-c2192cb3bf81</t>
        </is>
      </c>
      <c r="D28" s="4" t="n">
        <v>46304.62409090862</v>
      </c>
      <c r="E28" s="4" t="n">
        <v>46304.62418828659</v>
      </c>
      <c r="F28" t="b">
        <v>1</v>
      </c>
      <c r="H28" t="inlineStr">
        <is>
          <t>2017-07-04 | PARCEL |  VAS | 21.0000 unit</t>
        </is>
      </c>
      <c r="I28" s="5" t="inlineStr">
        <is>
          <t>01a1212c-6aad-70b1-802d-21095f54f457</t>
        </is>
      </c>
      <c r="J28" t="n">
        <v>21</v>
      </c>
      <c r="K28" t="n">
        <v>1</v>
      </c>
      <c r="L28" s="6" t="n">
        <v>42920</v>
      </c>
      <c r="N28" s="6" t="n">
        <v>43538</v>
      </c>
      <c r="O28" t="inlineStr">
        <is>
          <t>VAS</t>
        </is>
      </c>
      <c r="P28" t="n">
        <v>0</v>
      </c>
      <c r="Q28" t="b">
        <v>1</v>
      </c>
      <c r="R28" t="inlineStr">
        <is>
          <t>AUD</t>
        </is>
      </c>
      <c r="S28" t="n">
        <v>0.452381</v>
      </c>
      <c r="T28" t="inlineStr">
        <is>
          <t>AUD</t>
        </is>
      </c>
      <c r="U28" t="n">
        <v>1552.3426</v>
      </c>
      <c r="V28" t="inlineStr">
        <is>
          <t>AUD</t>
        </is>
      </c>
      <c r="W28" t="n">
        <v>73.921076</v>
      </c>
      <c r="X28" t="n">
        <v/>
      </c>
    </row>
    <row r="29">
      <c r="A29" s="5" t="inlineStr">
        <is>
          <t>01a1212c-6ac3-7045-85af-681a40396939</t>
        </is>
      </c>
      <c r="C29" s="5" t="inlineStr">
        <is>
          <t>01a1212c-4b57-70cf-80fd-c2192cb3bf81</t>
        </is>
      </c>
      <c r="D29" s="4" t="n">
        <v>46304.62409115154</v>
      </c>
      <c r="E29" s="4" t="n">
        <v>46304.62431794775</v>
      </c>
      <c r="F29" t="b">
        <v>1</v>
      </c>
      <c r="H29" t="inlineStr">
        <is>
          <t>2017-07-04 | PARCEL |  VGS | 31.0000 unit</t>
        </is>
      </c>
      <c r="I29" s="5" t="inlineStr">
        <is>
          <t>01a1212c-6ac2-7291-af6e-65a0fa2a4d08</t>
        </is>
      </c>
      <c r="J29" t="n">
        <v>31</v>
      </c>
      <c r="K29" t="n">
        <v>1</v>
      </c>
      <c r="L29" s="6" t="n">
        <v>42920</v>
      </c>
      <c r="O29" t="inlineStr">
        <is>
          <t>VGS</t>
        </is>
      </c>
      <c r="P29" t="n">
        <v>31</v>
      </c>
      <c r="Q29" t="b">
        <v>0</v>
      </c>
      <c r="R29" t="inlineStr">
        <is>
          <t>AUD</t>
        </is>
      </c>
      <c r="S29" t="n">
        <v>0.306452</v>
      </c>
      <c r="T29" t="inlineStr">
        <is>
          <t>AUD</t>
        </is>
      </c>
      <c r="U29" t="n">
        <v>1950.5781</v>
      </c>
      <c r="V29" t="inlineStr">
        <is>
          <t>AUD</t>
        </is>
      </c>
      <c r="W29" t="n">
        <v>62.921874</v>
      </c>
      <c r="X29" t="n">
        <v/>
      </c>
    </row>
    <row r="30">
      <c r="A30" s="5" t="inlineStr">
        <is>
          <t>01a1212c-6ada-76e7-b71a-614e059743c8</t>
        </is>
      </c>
      <c r="C30" s="5" t="inlineStr">
        <is>
          <t>01a1212c-4b57-70cf-80fd-c2192cb3bf81</t>
        </is>
      </c>
      <c r="D30" s="4" t="n">
        <v>46304.62409141415</v>
      </c>
      <c r="E30" s="4" t="n">
        <v>46304.62409141421</v>
      </c>
      <c r="F30" t="b">
        <v>1</v>
      </c>
      <c r="H30" t="inlineStr">
        <is>
          <t>2017-07-10 | PARCEL |  MSFT | 9.0000 unit</t>
        </is>
      </c>
      <c r="I30" s="5" t="inlineStr">
        <is>
          <t>01a1212c-6ad7-7023-b9a2-0c38d8421cef</t>
        </is>
      </c>
      <c r="J30" t="n">
        <v>9</v>
      </c>
      <c r="K30" t="n">
        <v>1</v>
      </c>
      <c r="L30" s="6" t="n">
        <v>42926</v>
      </c>
      <c r="O30" t="inlineStr">
        <is>
          <t>MSFT</t>
        </is>
      </c>
      <c r="P30" t="n">
        <v>9</v>
      </c>
      <c r="Q30" t="b">
        <v>0</v>
      </c>
      <c r="R30" t="inlineStr">
        <is>
          <t>AUD</t>
        </is>
      </c>
      <c r="S30" t="n">
        <v>0.833333</v>
      </c>
      <c r="T30" t="inlineStr">
        <is>
          <t>AUD</t>
        </is>
      </c>
      <c r="U30" t="n">
        <v>952.23</v>
      </c>
      <c r="V30" t="inlineStr">
        <is>
          <t>AUD</t>
        </is>
      </c>
      <c r="W30" t="n">
        <v>105.803333</v>
      </c>
      <c r="X30" t="n">
        <v/>
      </c>
    </row>
    <row r="31">
      <c r="A31" s="5" t="inlineStr">
        <is>
          <t>01a1212c-6af0-766a-953a-f71d943c823c</t>
        </is>
      </c>
      <c r="C31" s="5" t="inlineStr">
        <is>
          <t>01a1212c-4b57-70cf-80fd-c2192cb3bf81</t>
        </is>
      </c>
      <c r="D31" s="4" t="n">
        <v>46304.62409167659</v>
      </c>
      <c r="E31" s="4" t="n">
        <v>46304.62409167664</v>
      </c>
      <c r="F31" t="b">
        <v>1</v>
      </c>
      <c r="H31" t="inlineStr">
        <is>
          <t>2017-07-28 | PARCEL |  MSFT | 7.0000 unit</t>
        </is>
      </c>
      <c r="I31" s="5" t="inlineStr">
        <is>
          <t>01a1212c-6aee-76b5-be9f-e479e5cb1dcf</t>
        </is>
      </c>
      <c r="J31" t="n">
        <v>7</v>
      </c>
      <c r="K31" t="n">
        <v>1</v>
      </c>
      <c r="L31" s="6" t="n">
        <v>42944</v>
      </c>
      <c r="O31" t="inlineStr">
        <is>
          <t>MSFT</t>
        </is>
      </c>
      <c r="P31" t="n">
        <v>7</v>
      </c>
      <c r="Q31" t="b">
        <v>0</v>
      </c>
      <c r="R31" t="inlineStr">
        <is>
          <t>AUD</t>
        </is>
      </c>
      <c r="S31" t="n">
        <v>1.071429</v>
      </c>
      <c r="T31" t="inlineStr">
        <is>
          <t>AUD</t>
        </is>
      </c>
      <c r="U31" t="n">
        <v>774.42</v>
      </c>
      <c r="V31" t="inlineStr">
        <is>
          <t>AUD</t>
        </is>
      </c>
      <c r="W31" t="n">
        <v>110.631429</v>
      </c>
      <c r="X31" t="n">
        <v/>
      </c>
    </row>
    <row r="32">
      <c r="A32" s="5" t="inlineStr">
        <is>
          <t>01a1212c-6b06-7635-8cc2-f08f1c899ffd</t>
        </is>
      </c>
      <c r="C32" s="5" t="inlineStr">
        <is>
          <t>01a1212c-4b57-70cf-80fd-c2192cb3bf81</t>
        </is>
      </c>
      <c r="D32" s="4" t="n">
        <v>46304.62409192435</v>
      </c>
      <c r="E32" s="4" t="n">
        <v>46304.62418807967</v>
      </c>
      <c r="F32" t="b">
        <v>1</v>
      </c>
      <c r="H32" t="inlineStr">
        <is>
          <t>2017-08-07 | PARCEL |  VAS | 18.0000 unit</t>
        </is>
      </c>
      <c r="I32" s="5" t="inlineStr">
        <is>
          <t>01a1212c-6b04-74b6-a2d2-3e5df3d358f3</t>
        </is>
      </c>
      <c r="J32" t="n">
        <v>18</v>
      </c>
      <c r="K32" t="n">
        <v>1</v>
      </c>
      <c r="L32" s="6" t="n">
        <v>42954</v>
      </c>
      <c r="N32" s="6" t="n">
        <v>43538</v>
      </c>
      <c r="O32" t="inlineStr">
        <is>
          <t>VAS</t>
        </is>
      </c>
      <c r="P32" t="n">
        <v>0</v>
      </c>
      <c r="Q32" t="b">
        <v>1</v>
      </c>
      <c r="R32" t="inlineStr">
        <is>
          <t>AUD</t>
        </is>
      </c>
      <c r="S32" t="n">
        <v>0.527778</v>
      </c>
      <c r="T32" t="inlineStr">
        <is>
          <t>AUD</t>
        </is>
      </c>
      <c r="U32" t="n">
        <v>1329.8606</v>
      </c>
      <c r="V32" t="inlineStr">
        <is>
          <t>AUD</t>
        </is>
      </c>
      <c r="W32" t="n">
        <v>73.88114400000001</v>
      </c>
      <c r="X32" t="n">
        <v/>
      </c>
    </row>
    <row r="33">
      <c r="A33" s="5" t="inlineStr">
        <is>
          <t>01a1212c-6b1b-73e9-a54d-e62e154ff71c</t>
        </is>
      </c>
      <c r="C33" s="5" t="inlineStr">
        <is>
          <t>01a1212c-4b57-70cf-80fd-c2192cb3bf81</t>
        </is>
      </c>
      <c r="D33" s="4" t="n">
        <v>46304.62409216553</v>
      </c>
      <c r="E33" s="4" t="n">
        <v>46304.62431509941</v>
      </c>
      <c r="F33" t="b">
        <v>1</v>
      </c>
      <c r="H33" t="inlineStr">
        <is>
          <t>2017-08-07 | PARCEL |  VGS | 27.0000 unit</t>
        </is>
      </c>
      <c r="I33" s="5" t="inlineStr">
        <is>
          <t>01a1212c-6b19-7205-915e-47746b9f9f99</t>
        </is>
      </c>
      <c r="J33" t="n">
        <v>27</v>
      </c>
      <c r="K33" t="n">
        <v>1</v>
      </c>
      <c r="L33" s="6" t="n">
        <v>42954</v>
      </c>
      <c r="O33" t="inlineStr">
        <is>
          <t>VGS</t>
        </is>
      </c>
      <c r="P33" t="n">
        <v>27</v>
      </c>
      <c r="Q33" t="b">
        <v>0</v>
      </c>
      <c r="R33" t="inlineStr">
        <is>
          <t>AUD</t>
        </is>
      </c>
      <c r="S33" t="n">
        <v>0.351852</v>
      </c>
      <c r="T33" t="inlineStr">
        <is>
          <t>AUD</t>
        </is>
      </c>
      <c r="U33" t="n">
        <v>1687.013</v>
      </c>
      <c r="V33" t="inlineStr">
        <is>
          <t>AUD</t>
        </is>
      </c>
      <c r="W33" t="n">
        <v>62.481963</v>
      </c>
      <c r="X33" t="n">
        <v/>
      </c>
    </row>
    <row r="34">
      <c r="A34" s="5" t="inlineStr">
        <is>
          <t>01a1212c-6b2f-77a6-aa39-efb9282482c9</t>
        </is>
      </c>
      <c r="C34" s="5" t="inlineStr">
        <is>
          <t>01a1212c-4b57-70cf-80fd-c2192cb3bf81</t>
        </is>
      </c>
      <c r="D34" s="4" t="n">
        <v>46304.62409240555</v>
      </c>
      <c r="E34" s="4" t="n">
        <v>46304.62418382773</v>
      </c>
      <c r="F34" t="b">
        <v>0</v>
      </c>
      <c r="H34" t="inlineStr">
        <is>
          <t>2017-09-04 | PARCEL |  VAS | 16.0000 unit</t>
        </is>
      </c>
      <c r="I34" s="5" t="inlineStr">
        <is>
          <t>01a1212c-6b2e-762b-b2d4-1925c074cd6f</t>
        </is>
      </c>
      <c r="J34" t="n">
        <v>16</v>
      </c>
      <c r="K34" t="n">
        <v>1</v>
      </c>
      <c r="L34" s="6" t="n">
        <v>42982</v>
      </c>
      <c r="M34" s="6" t="n">
        <v>43538</v>
      </c>
      <c r="O34" t="inlineStr">
        <is>
          <t>VAS</t>
        </is>
      </c>
      <c r="P34" t="n">
        <v>0</v>
      </c>
      <c r="Q34" t="b">
        <v>1</v>
      </c>
      <c r="R34" t="inlineStr">
        <is>
          <t>AUD</t>
        </is>
      </c>
      <c r="S34" t="n">
        <v>0</v>
      </c>
      <c r="T34" t="inlineStr">
        <is>
          <t>AUD</t>
        </is>
      </c>
      <c r="U34" t="n">
        <v>0</v>
      </c>
      <c r="V34" t="inlineStr">
        <is>
          <t>AUD</t>
        </is>
      </c>
      <c r="W34" t="n">
        <v>0</v>
      </c>
      <c r="X34" t="n">
        <v/>
      </c>
    </row>
    <row r="35">
      <c r="A35" s="5" t="inlineStr">
        <is>
          <t>01a1212c-6b44-7386-8841-c9a13ab8602b</t>
        </is>
      </c>
      <c r="C35" s="5" t="inlineStr">
        <is>
          <t>01a1212c-4b57-70cf-80fd-c2192cb3bf81</t>
        </is>
      </c>
      <c r="D35" s="4" t="n">
        <v>46304.62409264392</v>
      </c>
      <c r="E35" s="4" t="n">
        <v>46304.62431506019</v>
      </c>
      <c r="F35" t="b">
        <v>1</v>
      </c>
      <c r="H35" t="inlineStr">
        <is>
          <t>2017-09-04 | PARCEL |  VGS | 24.0000 unit</t>
        </is>
      </c>
      <c r="I35" s="5" t="inlineStr">
        <is>
          <t>01a1212c-6b43-71a1-9b95-f4e018419485</t>
        </is>
      </c>
      <c r="J35" t="n">
        <v>24</v>
      </c>
      <c r="K35" t="n">
        <v>1</v>
      </c>
      <c r="L35" s="6" t="n">
        <v>42982</v>
      </c>
      <c r="O35" t="inlineStr">
        <is>
          <t>VGS</t>
        </is>
      </c>
      <c r="P35" t="n">
        <v>24</v>
      </c>
      <c r="Q35" t="b">
        <v>0</v>
      </c>
      <c r="R35" t="inlineStr">
        <is>
          <t>AUD</t>
        </is>
      </c>
      <c r="S35" t="n">
        <v>0.395833</v>
      </c>
      <c r="T35" t="inlineStr">
        <is>
          <t>AUD</t>
        </is>
      </c>
      <c r="U35" t="n">
        <v>1480.2729</v>
      </c>
      <c r="V35" t="inlineStr">
        <is>
          <t>AUD</t>
        </is>
      </c>
      <c r="W35" t="n">
        <v>61.678038</v>
      </c>
      <c r="X35" t="n">
        <v/>
      </c>
    </row>
    <row r="36">
      <c r="A36" s="5" t="inlineStr">
        <is>
          <t>01a1212c-6b5c-7567-9272-2a6cd633eea0</t>
        </is>
      </c>
      <c r="C36" s="5" t="inlineStr">
        <is>
          <t>01a1212c-4b57-70cf-80fd-c2192cb3bf81</t>
        </is>
      </c>
      <c r="D36" s="4" t="n">
        <v>46304.62409291849</v>
      </c>
      <c r="E36" s="4" t="n">
        <v>46304.62421717686</v>
      </c>
      <c r="F36" t="b">
        <v>0</v>
      </c>
      <c r="H36" t="inlineStr">
        <is>
          <t>2017-09-26 | PARCEL |  AMZN | 1.0000 unit</t>
        </is>
      </c>
      <c r="I36" s="5" t="inlineStr">
        <is>
          <t>01a1212c-6b59-757d-83f8-44adb6a3f5cd</t>
        </is>
      </c>
      <c r="J36" t="n">
        <v>1</v>
      </c>
      <c r="K36" t="n">
        <v>1</v>
      </c>
      <c r="L36" s="6" t="n">
        <v>43004</v>
      </c>
      <c r="M36" s="6" t="n">
        <v>44718</v>
      </c>
      <c r="O36" t="inlineStr">
        <is>
          <t>AMZN</t>
        </is>
      </c>
      <c r="P36" t="n">
        <v>0</v>
      </c>
      <c r="Q36" t="b">
        <v>1</v>
      </c>
      <c r="R36" t="inlineStr">
        <is>
          <t>AUD</t>
        </is>
      </c>
      <c r="S36" t="n">
        <v>0</v>
      </c>
      <c r="T36" t="inlineStr">
        <is>
          <t>AUD</t>
        </is>
      </c>
      <c r="U36" t="n">
        <v>0</v>
      </c>
      <c r="V36" t="inlineStr">
        <is>
          <t>AUD</t>
        </is>
      </c>
      <c r="W36" t="n">
        <v>0</v>
      </c>
      <c r="X36" t="n">
        <v/>
      </c>
    </row>
    <row r="37">
      <c r="A37" s="5" t="inlineStr">
        <is>
          <t>01a1212c-6b72-74ed-b4f6-5b4d5a03ef71</t>
        </is>
      </c>
      <c r="C37" s="5" t="inlineStr">
        <is>
          <t>01a1212c-4b57-70cf-80fd-c2192cb3bf81</t>
        </is>
      </c>
      <c r="D37" s="4" t="n">
        <v>46304.62409318105</v>
      </c>
      <c r="E37" s="4" t="n">
        <v>46304.62419326106</v>
      </c>
      <c r="F37" t="b">
        <v>1</v>
      </c>
      <c r="H37" t="inlineStr">
        <is>
          <t>2017-10-05 | PARCEL |  VAS | 11.0000 unit</t>
        </is>
      </c>
      <c r="I37" s="5" t="inlineStr">
        <is>
          <t>01a1212c-6b71-71a7-9a01-e47746f33307</t>
        </is>
      </c>
      <c r="J37" t="n">
        <v>11</v>
      </c>
      <c r="K37" t="n">
        <v>1</v>
      </c>
      <c r="L37" s="6" t="n">
        <v>43013</v>
      </c>
      <c r="N37" s="6" t="n">
        <v>43697</v>
      </c>
      <c r="O37" t="inlineStr">
        <is>
          <t>VAS</t>
        </is>
      </c>
      <c r="P37" t="n">
        <v>0</v>
      </c>
      <c r="Q37" t="b">
        <v>1</v>
      </c>
      <c r="R37" t="inlineStr">
        <is>
          <t>AUD</t>
        </is>
      </c>
      <c r="S37" t="n">
        <v>0.863636</v>
      </c>
      <c r="T37" t="inlineStr">
        <is>
          <t>AUD</t>
        </is>
      </c>
      <c r="U37" t="n">
        <v>802.3318</v>
      </c>
      <c r="V37" t="inlineStr">
        <is>
          <t>AUD</t>
        </is>
      </c>
      <c r="W37" t="n">
        <v>72.939255</v>
      </c>
      <c r="X37" t="n">
        <v/>
      </c>
    </row>
    <row r="38">
      <c r="A38" s="5" t="inlineStr">
        <is>
          <t>01a1212c-6b88-7320-ad83-9bb2175f9188</t>
        </is>
      </c>
      <c r="C38" s="5" t="inlineStr">
        <is>
          <t>01a1212c-4b57-70cf-80fd-c2192cb3bf81</t>
        </is>
      </c>
      <c r="D38" s="4" t="n">
        <v>46304.62409342771</v>
      </c>
      <c r="E38" s="4" t="n">
        <v>46304.62431549997</v>
      </c>
      <c r="F38" t="b">
        <v>1</v>
      </c>
      <c r="H38" t="inlineStr">
        <is>
          <t>2017-10-05 | PARCEL |  VGS | 15.0000 unit</t>
        </is>
      </c>
      <c r="I38" s="5" t="inlineStr">
        <is>
          <t>01a1212c-6b86-74b3-b655-440aae49147c</t>
        </is>
      </c>
      <c r="J38" t="n">
        <v>15</v>
      </c>
      <c r="K38" t="n">
        <v>1</v>
      </c>
      <c r="L38" s="6" t="n">
        <v>43013</v>
      </c>
      <c r="O38" t="inlineStr">
        <is>
          <t>VGS</t>
        </is>
      </c>
      <c r="P38" t="n">
        <v>15</v>
      </c>
      <c r="Q38" t="b">
        <v>0</v>
      </c>
      <c r="R38" t="inlineStr">
        <is>
          <t>AUD</t>
        </is>
      </c>
      <c r="S38" t="n">
        <v>0.633333</v>
      </c>
      <c r="T38" t="inlineStr">
        <is>
          <t>AUD</t>
        </is>
      </c>
      <c r="U38" t="n">
        <v>967.0338</v>
      </c>
      <c r="V38" t="inlineStr">
        <is>
          <t>AUD</t>
        </is>
      </c>
      <c r="W38" t="n">
        <v>64.46892</v>
      </c>
      <c r="X38" t="n">
        <v/>
      </c>
    </row>
    <row r="39">
      <c r="A39" s="5" t="inlineStr">
        <is>
          <t>01a1212c-6b9e-7023-9d22-312b03d6b0e1</t>
        </is>
      </c>
      <c r="C39" s="5" t="inlineStr">
        <is>
          <t>01a1212c-4b57-70cf-80fd-c2192cb3bf81</t>
        </is>
      </c>
      <c r="D39" s="4" t="n">
        <v>46304.62409368747</v>
      </c>
      <c r="E39" s="4" t="n">
        <v>46304.62409368753</v>
      </c>
      <c r="F39" t="b">
        <v>1</v>
      </c>
      <c r="H39" t="inlineStr">
        <is>
          <t>2017-10-19 | PARCEL |  MSFT | 8.0000 unit</t>
        </is>
      </c>
      <c r="I39" s="5" t="inlineStr">
        <is>
          <t>01a1212c-6b9b-712e-b85a-93d912723627</t>
        </is>
      </c>
      <c r="J39" t="n">
        <v>8</v>
      </c>
      <c r="K39" t="n">
        <v>1</v>
      </c>
      <c r="L39" s="6" t="n">
        <v>43027</v>
      </c>
      <c r="O39" t="inlineStr">
        <is>
          <t>MSFT</t>
        </is>
      </c>
      <c r="P39" t="n">
        <v>8</v>
      </c>
      <c r="Q39" t="b">
        <v>0</v>
      </c>
      <c r="R39" t="inlineStr">
        <is>
          <t>AUD</t>
        </is>
      </c>
      <c r="S39" t="n">
        <v>0.9375</v>
      </c>
      <c r="T39" t="inlineStr">
        <is>
          <t>AUD</t>
        </is>
      </c>
      <c r="U39" t="n">
        <v>942.42</v>
      </c>
      <c r="V39" t="inlineStr">
        <is>
          <t>AUD</t>
        </is>
      </c>
      <c r="W39" t="n">
        <v>117.8025</v>
      </c>
      <c r="X39" t="n">
        <v/>
      </c>
    </row>
    <row r="40">
      <c r="A40" s="5" t="inlineStr">
        <is>
          <t>01a1212c-6bb4-759b-b5fd-3065dd129d0f</t>
        </is>
      </c>
      <c r="C40" s="5" t="inlineStr">
        <is>
          <t>01a1212c-4b57-70cf-80fd-c2192cb3bf81</t>
        </is>
      </c>
      <c r="D40" s="4" t="n">
        <v>46304.62409394004</v>
      </c>
      <c r="E40" s="4" t="n">
        <v>46304.62419343865</v>
      </c>
      <c r="F40" t="b">
        <v>1</v>
      </c>
      <c r="H40" t="inlineStr">
        <is>
          <t>2017-11-06 | PARCEL |  VAS | 13.0000 unit</t>
        </is>
      </c>
      <c r="I40" s="5" t="inlineStr">
        <is>
          <t>01a1212c-6bb3-753d-80c0-35d9c65f12e8</t>
        </is>
      </c>
      <c r="J40" t="n">
        <v>13</v>
      </c>
      <c r="K40" t="n">
        <v>1</v>
      </c>
      <c r="L40" s="6" t="n">
        <v>43045</v>
      </c>
      <c r="N40" s="6" t="n">
        <v>43697</v>
      </c>
      <c r="O40" t="inlineStr">
        <is>
          <t>VAS</t>
        </is>
      </c>
      <c r="P40" t="n">
        <v>0</v>
      </c>
      <c r="Q40" t="b">
        <v>1</v>
      </c>
      <c r="R40" t="inlineStr">
        <is>
          <t>AUD</t>
        </is>
      </c>
      <c r="S40" t="n">
        <v>0.730769</v>
      </c>
      <c r="T40" t="inlineStr">
        <is>
          <t>AUD</t>
        </is>
      </c>
      <c r="U40" t="n">
        <v>995.6649</v>
      </c>
      <c r="V40" t="inlineStr">
        <is>
          <t>AUD</t>
        </is>
      </c>
      <c r="W40" t="n">
        <v>76.589608</v>
      </c>
      <c r="X40" t="n">
        <v/>
      </c>
    </row>
    <row r="41">
      <c r="A41" s="5" t="inlineStr">
        <is>
          <t>01a1212c-6bc9-7747-8a7e-e6bec07ce141</t>
        </is>
      </c>
      <c r="C41" s="5" t="inlineStr">
        <is>
          <t>01a1212c-4b57-70cf-80fd-c2192cb3bf81</t>
        </is>
      </c>
      <c r="D41" s="4" t="n">
        <v>46304.62409418233</v>
      </c>
      <c r="E41" s="4" t="n">
        <v>46304.62431810841</v>
      </c>
      <c r="F41" t="b">
        <v>1</v>
      </c>
      <c r="H41" t="inlineStr">
        <is>
          <t>2017-11-06 | PARCEL |  VGS | 19.0000 unit</t>
        </is>
      </c>
      <c r="I41" s="5" t="inlineStr">
        <is>
          <t>01a1212c-6bc7-77f2-906f-30ea06e2333f</t>
        </is>
      </c>
      <c r="J41" t="n">
        <v>19</v>
      </c>
      <c r="K41" t="n">
        <v>1</v>
      </c>
      <c r="L41" s="6" t="n">
        <v>43045</v>
      </c>
      <c r="O41" t="inlineStr">
        <is>
          <t>VGS</t>
        </is>
      </c>
      <c r="P41" t="n">
        <v>19</v>
      </c>
      <c r="Q41" t="b">
        <v>0</v>
      </c>
      <c r="R41" t="inlineStr">
        <is>
          <t>AUD</t>
        </is>
      </c>
      <c r="S41" t="n">
        <v>0.5</v>
      </c>
      <c r="T41" t="inlineStr">
        <is>
          <t>AUD</t>
        </is>
      </c>
      <c r="U41" t="n">
        <v>1268.2389</v>
      </c>
      <c r="V41" t="inlineStr">
        <is>
          <t>AUD</t>
        </is>
      </c>
      <c r="W41" t="n">
        <v>66.749416</v>
      </c>
      <c r="X41" t="n">
        <v/>
      </c>
    </row>
    <row r="42">
      <c r="A42" s="5" t="inlineStr">
        <is>
          <t>01a1212c-6bde-777f-aa74-d04c84c2a216</t>
        </is>
      </c>
      <c r="C42" s="5" t="inlineStr">
        <is>
          <t>01a1212c-4b57-70cf-80fd-c2192cb3bf81</t>
        </is>
      </c>
      <c r="D42" s="4" t="n">
        <v>46304.62409442452</v>
      </c>
      <c r="E42" s="4" t="n">
        <v>46304.62419361093</v>
      </c>
      <c r="F42" t="b">
        <v>1</v>
      </c>
      <c r="H42" t="inlineStr">
        <is>
          <t>2017-12-04 | PARCEL |  VAS | 13.0000 unit</t>
        </is>
      </c>
      <c r="I42" s="5" t="inlineStr">
        <is>
          <t>01a1212c-6bdc-710a-8309-ec0bb69a73f4</t>
        </is>
      </c>
      <c r="J42" t="n">
        <v>13</v>
      </c>
      <c r="K42" t="n">
        <v>1</v>
      </c>
      <c r="L42" s="6" t="n">
        <v>43073</v>
      </c>
      <c r="N42" s="6" t="n">
        <v>43697</v>
      </c>
      <c r="O42" t="inlineStr">
        <is>
          <t>VAS</t>
        </is>
      </c>
      <c r="P42" t="n">
        <v>0</v>
      </c>
      <c r="Q42" t="b">
        <v>1</v>
      </c>
      <c r="R42" t="inlineStr">
        <is>
          <t>AUD</t>
        </is>
      </c>
      <c r="S42" t="n">
        <v>0.730769</v>
      </c>
      <c r="T42" t="inlineStr">
        <is>
          <t>AUD</t>
        </is>
      </c>
      <c r="U42" t="n">
        <v>1007.8891</v>
      </c>
      <c r="V42" t="inlineStr">
        <is>
          <t>AUD</t>
        </is>
      </c>
      <c r="W42" t="n">
        <v>77.529931</v>
      </c>
      <c r="X42" t="n">
        <v/>
      </c>
    </row>
    <row r="43">
      <c r="A43" s="5" t="inlineStr">
        <is>
          <t>01a1212c-6bf3-7787-bc84-0bf70e1c811f</t>
        </is>
      </c>
      <c r="C43" s="5" t="inlineStr">
        <is>
          <t>01a1212c-4b57-70cf-80fd-c2192cb3bf81</t>
        </is>
      </c>
      <c r="D43" s="4" t="n">
        <v>46304.62409466655</v>
      </c>
      <c r="E43" s="4" t="n">
        <v>46304.6243177822</v>
      </c>
      <c r="F43" t="b">
        <v>1</v>
      </c>
      <c r="H43" t="inlineStr">
        <is>
          <t>2017-12-04 | PARCEL |  VGS | 18.0000 unit</t>
        </is>
      </c>
      <c r="I43" s="5" t="inlineStr">
        <is>
          <t>01a1212c-6bf1-7475-a18a-6814e65c8aba</t>
        </is>
      </c>
      <c r="J43" t="n">
        <v>18</v>
      </c>
      <c r="K43" t="n">
        <v>1</v>
      </c>
      <c r="L43" s="6" t="n">
        <v>43073</v>
      </c>
      <c r="O43" t="inlineStr">
        <is>
          <t>VGS</t>
        </is>
      </c>
      <c r="P43" t="n">
        <v>18</v>
      </c>
      <c r="Q43" t="b">
        <v>0</v>
      </c>
      <c r="R43" t="inlineStr">
        <is>
          <t>AUD</t>
        </is>
      </c>
      <c r="S43" t="n">
        <v>0.527778</v>
      </c>
      <c r="T43" t="inlineStr">
        <is>
          <t>AUD</t>
        </is>
      </c>
      <c r="U43" t="n">
        <v>1238.7473</v>
      </c>
      <c r="V43" t="inlineStr">
        <is>
          <t>AUD</t>
        </is>
      </c>
      <c r="W43" t="n">
        <v>68.819294</v>
      </c>
      <c r="X43" t="n">
        <v/>
      </c>
    </row>
    <row r="44">
      <c r="A44" s="5" t="inlineStr">
        <is>
          <t>01a1212c-6c08-71b7-9210-9718c95a0269</t>
        </is>
      </c>
      <c r="C44" s="5" t="inlineStr">
        <is>
          <t>01a1212c-4b57-70cf-80fd-c2192cb3bf81</t>
        </is>
      </c>
      <c r="D44" s="4" t="n">
        <v>46304.62409491992</v>
      </c>
      <c r="E44" s="4" t="n">
        <v>46304.62419378178</v>
      </c>
      <c r="F44" t="b">
        <v>1</v>
      </c>
      <c r="H44" t="inlineStr">
        <is>
          <t>2018-01-05 | PARCEL |  VAS | 20.0000 unit</t>
        </is>
      </c>
      <c r="I44" s="5" t="inlineStr">
        <is>
          <t>01a1212c-6c07-750c-a401-f832999b5bb4</t>
        </is>
      </c>
      <c r="J44" t="n">
        <v>20</v>
      </c>
      <c r="K44" t="n">
        <v>1</v>
      </c>
      <c r="L44" s="6" t="n">
        <v>43105</v>
      </c>
      <c r="N44" s="6" t="n">
        <v>43697</v>
      </c>
      <c r="O44" t="inlineStr">
        <is>
          <t>VAS</t>
        </is>
      </c>
      <c r="P44" t="n">
        <v>0</v>
      </c>
      <c r="Q44" t="b">
        <v>1</v>
      </c>
      <c r="R44" t="inlineStr">
        <is>
          <t>AUD</t>
        </is>
      </c>
      <c r="S44" t="n">
        <v>0.475</v>
      </c>
      <c r="T44" t="inlineStr">
        <is>
          <t>AUD</t>
        </is>
      </c>
      <c r="U44" t="n">
        <v>1570.1477</v>
      </c>
      <c r="V44" t="inlineStr">
        <is>
          <t>AUD</t>
        </is>
      </c>
      <c r="W44" t="n">
        <v>78.507385</v>
      </c>
      <c r="X44" t="n">
        <v/>
      </c>
    </row>
    <row r="45">
      <c r="A45" s="5" t="inlineStr">
        <is>
          <t>01a1212c-6c1d-7297-ba65-fe335d60502e</t>
        </is>
      </c>
      <c r="C45" s="5" t="inlineStr">
        <is>
          <t>01a1212c-4b57-70cf-80fd-c2192cb3bf81</t>
        </is>
      </c>
      <c r="D45" s="4" t="n">
        <v>46304.62409515942</v>
      </c>
      <c r="E45" s="4" t="n">
        <v>46304.62431644345</v>
      </c>
      <c r="F45" t="b">
        <v>1</v>
      </c>
      <c r="H45" t="inlineStr">
        <is>
          <t>2018-01-05 | PARCEL |  VGS | 28.0000 unit</t>
        </is>
      </c>
      <c r="I45" s="5" t="inlineStr">
        <is>
          <t>01a1212c-6c1c-7409-9ad2-727d551ad853</t>
        </is>
      </c>
      <c r="J45" t="n">
        <v>28</v>
      </c>
      <c r="K45" t="n">
        <v>1</v>
      </c>
      <c r="L45" s="6" t="n">
        <v>43105</v>
      </c>
      <c r="O45" t="inlineStr">
        <is>
          <t>VGS</t>
        </is>
      </c>
      <c r="P45" t="n">
        <v>28</v>
      </c>
      <c r="Q45" t="b">
        <v>0</v>
      </c>
      <c r="R45" t="inlineStr">
        <is>
          <t>AUD</t>
        </is>
      </c>
      <c r="S45" t="n">
        <v>0.339286</v>
      </c>
      <c r="T45" t="inlineStr">
        <is>
          <t>AUD</t>
        </is>
      </c>
      <c r="U45" t="n">
        <v>1908.0495</v>
      </c>
      <c r="V45" t="inlineStr">
        <is>
          <t>AUD</t>
        </is>
      </c>
      <c r="W45" t="n">
        <v>68.144625</v>
      </c>
      <c r="X45" t="n">
        <v/>
      </c>
    </row>
    <row r="46">
      <c r="A46" s="5" t="inlineStr">
        <is>
          <t>01a1212c-6c33-715f-b319-7dd28b9c219f</t>
        </is>
      </c>
      <c r="C46" s="5" t="inlineStr">
        <is>
          <t>01a1212c-4b57-70cf-80fd-c2192cb3bf81</t>
        </is>
      </c>
      <c r="D46" s="4" t="n">
        <v>46304.62409541781</v>
      </c>
      <c r="E46" s="4" t="n">
        <v>46304.62421728334</v>
      </c>
      <c r="F46" t="b">
        <v>0</v>
      </c>
      <c r="H46" t="inlineStr">
        <is>
          <t>2018-01-19 | PARCEL |  AMZN | 1.0000 unit</t>
        </is>
      </c>
      <c r="I46" s="5" t="inlineStr">
        <is>
          <t>01a1212c-6c31-7765-b47f-d50d37cde967</t>
        </is>
      </c>
      <c r="J46" t="n">
        <v>1</v>
      </c>
      <c r="K46" t="n">
        <v>1</v>
      </c>
      <c r="L46" s="6" t="n">
        <v>43119</v>
      </c>
      <c r="M46" s="6" t="n">
        <v>44718</v>
      </c>
      <c r="O46" t="inlineStr">
        <is>
          <t>AMZN</t>
        </is>
      </c>
      <c r="P46" t="n">
        <v>0</v>
      </c>
      <c r="Q46" t="b">
        <v>1</v>
      </c>
      <c r="R46" t="inlineStr">
        <is>
          <t>AUD</t>
        </is>
      </c>
      <c r="S46" t="n">
        <v>0</v>
      </c>
      <c r="T46" t="inlineStr">
        <is>
          <t>AUD</t>
        </is>
      </c>
      <c r="U46" t="n">
        <v>0</v>
      </c>
      <c r="V46" t="inlineStr">
        <is>
          <t>AUD</t>
        </is>
      </c>
      <c r="W46" t="n">
        <v>0</v>
      </c>
      <c r="X46" t="n">
        <v/>
      </c>
    </row>
    <row r="47">
      <c r="A47" s="5" t="inlineStr">
        <is>
          <t>01a1212c-6c49-7160-b8e0-1ae2951d4c69</t>
        </is>
      </c>
      <c r="C47" s="5" t="inlineStr">
        <is>
          <t>01a1212c-4b57-70cf-80fd-c2192cb3bf81</t>
        </is>
      </c>
      <c r="D47" s="4" t="n">
        <v>46304.62409566708</v>
      </c>
      <c r="E47" s="4" t="n">
        <v>46304.62419396653</v>
      </c>
      <c r="F47" t="b">
        <v>1</v>
      </c>
      <c r="H47" t="inlineStr">
        <is>
          <t>2018-02-02 | PARCEL |  VAS | 14.0000 unit</t>
        </is>
      </c>
      <c r="I47" s="5" t="inlineStr">
        <is>
          <t>01a1212c-6c48-717b-97a8-59c8a9172651</t>
        </is>
      </c>
      <c r="J47" t="n">
        <v>14</v>
      </c>
      <c r="K47" t="n">
        <v>1</v>
      </c>
      <c r="L47" s="6" t="n">
        <v>43133</v>
      </c>
      <c r="N47" s="6" t="n">
        <v>43697</v>
      </c>
      <c r="O47" t="inlineStr">
        <is>
          <t>VAS</t>
        </is>
      </c>
      <c r="P47" t="n">
        <v>0</v>
      </c>
      <c r="Q47" t="b">
        <v>1</v>
      </c>
      <c r="R47" t="inlineStr">
        <is>
          <t>AUD</t>
        </is>
      </c>
      <c r="S47" t="n">
        <v>0.678571</v>
      </c>
      <c r="T47" t="inlineStr">
        <is>
          <t>AUD</t>
        </is>
      </c>
      <c r="U47" t="n">
        <v>1102.3779</v>
      </c>
      <c r="V47" t="inlineStr">
        <is>
          <t>AUD</t>
        </is>
      </c>
      <c r="W47" t="n">
        <v>78.74127900000001</v>
      </c>
      <c r="X47" t="n">
        <v/>
      </c>
    </row>
    <row r="48">
      <c r="A48" s="5" t="inlineStr">
        <is>
          <t>01a1212c-6c5e-707b-87c6-5fa973c4227c</t>
        </is>
      </c>
      <c r="C48" s="5" t="inlineStr">
        <is>
          <t>01a1212c-4b57-70cf-80fd-c2192cb3bf81</t>
        </is>
      </c>
      <c r="D48" s="4" t="n">
        <v>46304.6240959065</v>
      </c>
      <c r="E48" s="4" t="n">
        <v>46304.62431498172</v>
      </c>
      <c r="F48" t="b">
        <v>1</v>
      </c>
      <c r="H48" t="inlineStr">
        <is>
          <t>2018-02-02 | PARCEL |  VGS | 20.0000 unit</t>
        </is>
      </c>
      <c r="I48" s="5" t="inlineStr">
        <is>
          <t>01a1212c-6c5d-70b1-9a0b-45b1a075d0e4</t>
        </is>
      </c>
      <c r="J48" t="n">
        <v>20</v>
      </c>
      <c r="K48" t="n">
        <v>1</v>
      </c>
      <c r="L48" s="6" t="n">
        <v>43133</v>
      </c>
      <c r="O48" t="inlineStr">
        <is>
          <t>VGS</t>
        </is>
      </c>
      <c r="P48" t="n">
        <v>20</v>
      </c>
      <c r="Q48" t="b">
        <v>0</v>
      </c>
      <c r="R48" t="inlineStr">
        <is>
          <t>AUD</t>
        </is>
      </c>
      <c r="S48" t="n">
        <v>0.475</v>
      </c>
      <c r="T48" t="inlineStr">
        <is>
          <t>AUD</t>
        </is>
      </c>
      <c r="U48" t="n">
        <v>1382.0486</v>
      </c>
      <c r="V48" t="inlineStr">
        <is>
          <t>AUD</t>
        </is>
      </c>
      <c r="W48" t="n">
        <v>69.10243</v>
      </c>
      <c r="X48" t="n">
        <v/>
      </c>
    </row>
    <row r="49">
      <c r="A49" s="5" t="inlineStr">
        <is>
          <t>01a1212c-6c72-7096-8800-b496d4330923</t>
        </is>
      </c>
      <c r="C49" s="5" t="inlineStr">
        <is>
          <t>01a1212c-4b57-70cf-80fd-c2192cb3bf81</t>
        </is>
      </c>
      <c r="D49" s="4" t="n">
        <v>46304.62409614418</v>
      </c>
      <c r="E49" s="4" t="n">
        <v>46304.62419526132</v>
      </c>
      <c r="F49" t="b">
        <v>1</v>
      </c>
      <c r="H49" t="inlineStr">
        <is>
          <t>2018-02-08 | PARCEL |  TLS | 315.0000 unit</t>
        </is>
      </c>
      <c r="I49" s="5" t="inlineStr">
        <is>
          <t>01a1212c-6c71-7588-854f-9da9565ff4c3</t>
        </is>
      </c>
      <c r="J49" t="n">
        <v>315</v>
      </c>
      <c r="K49" t="n">
        <v>1</v>
      </c>
      <c r="L49" s="6" t="n">
        <v>43139</v>
      </c>
      <c r="N49" s="6" t="n">
        <v>43753</v>
      </c>
      <c r="O49" t="inlineStr">
        <is>
          <t>TLS</t>
        </is>
      </c>
      <c r="P49" t="n">
        <v>0</v>
      </c>
      <c r="Q49" t="b">
        <v>1</v>
      </c>
      <c r="R49" t="inlineStr">
        <is>
          <t>AUD</t>
        </is>
      </c>
      <c r="S49" t="n">
        <v>0.063333</v>
      </c>
      <c r="T49" t="inlineStr">
        <is>
          <t>AUD</t>
        </is>
      </c>
      <c r="U49" t="n">
        <v>1141.35</v>
      </c>
      <c r="V49" t="inlineStr">
        <is>
          <t>AUD</t>
        </is>
      </c>
      <c r="W49" t="n">
        <v>3.623333</v>
      </c>
      <c r="X49" t="n">
        <v/>
      </c>
    </row>
    <row r="50">
      <c r="A50" s="5" t="inlineStr">
        <is>
          <t>01a1212c-6c87-70ea-a508-19437734ce23</t>
        </is>
      </c>
      <c r="C50" s="5" t="inlineStr">
        <is>
          <t>01a1212c-4b57-70cf-80fd-c2192cb3bf81</t>
        </is>
      </c>
      <c r="D50" s="4" t="n">
        <v>46304.62409638768</v>
      </c>
      <c r="E50" s="4" t="n">
        <v>46304.62421739747</v>
      </c>
      <c r="F50" t="b">
        <v>0</v>
      </c>
      <c r="H50" t="inlineStr">
        <is>
          <t>2018-03-05 | PARCEL |  AMZN | 1.0000 unit</t>
        </is>
      </c>
      <c r="I50" s="5" t="inlineStr">
        <is>
          <t>01a1212c-6c85-77e8-b9d2-30d95d91474f</t>
        </is>
      </c>
      <c r="J50" t="n">
        <v>1</v>
      </c>
      <c r="K50" t="n">
        <v>1</v>
      </c>
      <c r="L50" s="6" t="n">
        <v>43164</v>
      </c>
      <c r="M50" s="6" t="n">
        <v>44718</v>
      </c>
      <c r="O50" t="inlineStr">
        <is>
          <t>AMZN</t>
        </is>
      </c>
      <c r="P50" t="n">
        <v>0</v>
      </c>
      <c r="Q50" t="b">
        <v>1</v>
      </c>
      <c r="R50" t="inlineStr">
        <is>
          <t>AUD</t>
        </is>
      </c>
      <c r="S50" t="n">
        <v>0</v>
      </c>
      <c r="T50" t="inlineStr">
        <is>
          <t>AUD</t>
        </is>
      </c>
      <c r="U50" t="n">
        <v>0</v>
      </c>
      <c r="V50" t="inlineStr">
        <is>
          <t>AUD</t>
        </is>
      </c>
      <c r="W50" t="n">
        <v>0</v>
      </c>
      <c r="X50" t="n">
        <v/>
      </c>
    </row>
    <row r="51">
      <c r="A51" s="5" t="inlineStr">
        <is>
          <t>01a1212c-6c9e-75f8-990d-1f420daecde4</t>
        </is>
      </c>
      <c r="C51" s="5" t="inlineStr">
        <is>
          <t>01a1212c-4b57-70cf-80fd-c2192cb3bf81</t>
        </is>
      </c>
      <c r="D51" s="4" t="n">
        <v>46304.62409664787</v>
      </c>
      <c r="E51" s="4" t="n">
        <v>46304.62419414108</v>
      </c>
      <c r="F51" t="b">
        <v>1</v>
      </c>
      <c r="H51" t="inlineStr">
        <is>
          <t>2018-03-06 | PARCEL |  VAS | 20.0000 unit</t>
        </is>
      </c>
      <c r="I51" s="5" t="inlineStr">
        <is>
          <t>01a1212c-6c9d-7374-a73e-74951680eec3</t>
        </is>
      </c>
      <c r="J51" t="n">
        <v>20</v>
      </c>
      <c r="K51" t="n">
        <v>1</v>
      </c>
      <c r="L51" s="6" t="n">
        <v>43165</v>
      </c>
      <c r="N51" s="6" t="n">
        <v>43697</v>
      </c>
      <c r="O51" t="inlineStr">
        <is>
          <t>VAS</t>
        </is>
      </c>
      <c r="P51" t="n">
        <v>0</v>
      </c>
      <c r="Q51" t="b">
        <v>1</v>
      </c>
      <c r="R51" t="inlineStr">
        <is>
          <t>AUD</t>
        </is>
      </c>
      <c r="S51" t="n">
        <v>0.475</v>
      </c>
      <c r="T51" t="inlineStr">
        <is>
          <t>AUD</t>
        </is>
      </c>
      <c r="U51" t="n">
        <v>1545.6188</v>
      </c>
      <c r="V51" t="inlineStr">
        <is>
          <t>AUD</t>
        </is>
      </c>
      <c r="W51" t="n">
        <v>77.28094</v>
      </c>
      <c r="X51" t="n">
        <v/>
      </c>
    </row>
    <row r="52">
      <c r="A52" s="5" t="inlineStr">
        <is>
          <t>01a1212c-6cb3-74c4-b753-3ced98bb4fa1</t>
        </is>
      </c>
      <c r="C52" s="5" t="inlineStr">
        <is>
          <t>01a1212c-4b57-70cf-80fd-c2192cb3bf81</t>
        </is>
      </c>
      <c r="D52" s="4" t="n">
        <v>46304.62409689874</v>
      </c>
      <c r="E52" s="4" t="n">
        <v>46304.62431872494</v>
      </c>
      <c r="F52" t="b">
        <v>1</v>
      </c>
      <c r="H52" t="inlineStr">
        <is>
          <t>2018-03-06 | PARCEL |  VGS | 28.0000 unit</t>
        </is>
      </c>
      <c r="I52" s="5" t="inlineStr">
        <is>
          <t>01a1212c-6cb2-77e7-bf48-443d4eca89e5</t>
        </is>
      </c>
      <c r="J52" t="n">
        <v>28</v>
      </c>
      <c r="K52" t="n">
        <v>1</v>
      </c>
      <c r="L52" s="6" t="n">
        <v>43165</v>
      </c>
      <c r="O52" t="inlineStr">
        <is>
          <t>VGS</t>
        </is>
      </c>
      <c r="P52" t="n">
        <v>28</v>
      </c>
      <c r="Q52" t="b">
        <v>0</v>
      </c>
      <c r="R52" t="inlineStr">
        <is>
          <t>AUD</t>
        </is>
      </c>
      <c r="S52" t="n">
        <v>0.339286</v>
      </c>
      <c r="T52" t="inlineStr">
        <is>
          <t>AUD</t>
        </is>
      </c>
      <c r="U52" t="n">
        <v>1902.0552</v>
      </c>
      <c r="V52" t="inlineStr">
        <is>
          <t>AUD</t>
        </is>
      </c>
      <c r="W52" t="n">
        <v>67.930543</v>
      </c>
      <c r="X52" t="n">
        <v/>
      </c>
    </row>
    <row r="53">
      <c r="A53" s="5" t="inlineStr">
        <is>
          <t>01a1212c-6cc9-776e-89ba-82d2ec02eeba</t>
        </is>
      </c>
      <c r="C53" s="5" t="inlineStr">
        <is>
          <t>01a1212c-4b57-70cf-80fd-c2192cb3bf81</t>
        </is>
      </c>
      <c r="D53" s="4" t="n">
        <v>46304.62409714404</v>
      </c>
      <c r="E53" s="4" t="n">
        <v>46304.62419431641</v>
      </c>
      <c r="F53" t="b">
        <v>1</v>
      </c>
      <c r="H53" t="inlineStr">
        <is>
          <t>2018-04-06 | PARCEL |  VAS | 12.0000 unit</t>
        </is>
      </c>
      <c r="I53" s="5" t="inlineStr">
        <is>
          <t>01a1212c-6cc7-730a-9481-5e8018b54c12</t>
        </is>
      </c>
      <c r="J53" t="n">
        <v>12</v>
      </c>
      <c r="K53" t="n">
        <v>1</v>
      </c>
      <c r="L53" s="6" t="n">
        <v>43196</v>
      </c>
      <c r="N53" s="6" t="n">
        <v>43697</v>
      </c>
      <c r="O53" t="inlineStr">
        <is>
          <t>VAS</t>
        </is>
      </c>
      <c r="P53" t="n">
        <v>0</v>
      </c>
      <c r="Q53" t="b">
        <v>1</v>
      </c>
      <c r="R53" t="inlineStr">
        <is>
          <t>AUD</t>
        </is>
      </c>
      <c r="S53" t="n">
        <v>0.791667</v>
      </c>
      <c r="T53" t="inlineStr">
        <is>
          <t>AUD</t>
        </is>
      </c>
      <c r="U53" t="n">
        <v>898.4411</v>
      </c>
      <c r="V53" t="inlineStr">
        <is>
          <t>AUD</t>
        </is>
      </c>
      <c r="W53" t="n">
        <v>74.870092</v>
      </c>
      <c r="X53" t="n">
        <v/>
      </c>
    </row>
    <row r="54">
      <c r="A54" s="5" t="inlineStr">
        <is>
          <t>01a1212c-6cde-735d-babb-fd56e63b9d5a</t>
        </is>
      </c>
      <c r="C54" s="5" t="inlineStr">
        <is>
          <t>01a1212c-4b57-70cf-80fd-c2192cb3bf81</t>
        </is>
      </c>
      <c r="D54" s="4" t="n">
        <v>46304.62409739449</v>
      </c>
      <c r="E54" s="4" t="n">
        <v>46304.62431493948</v>
      </c>
      <c r="F54" t="b">
        <v>1</v>
      </c>
      <c r="H54" t="inlineStr">
        <is>
          <t>2018-04-06 | PARCEL |  VGS | 17.0000 unit</t>
        </is>
      </c>
      <c r="I54" s="5" t="inlineStr">
        <is>
          <t>01a1212c-6cdd-72bb-8880-37a9c7457253</t>
        </is>
      </c>
      <c r="J54" t="n">
        <v>17</v>
      </c>
      <c r="K54" t="n">
        <v>1</v>
      </c>
      <c r="L54" s="6" t="n">
        <v>43196</v>
      </c>
      <c r="O54" t="inlineStr">
        <is>
          <t>VGS</t>
        </is>
      </c>
      <c r="P54" t="n">
        <v>17</v>
      </c>
      <c r="Q54" t="b">
        <v>0</v>
      </c>
      <c r="R54" t="inlineStr">
        <is>
          <t>AUD</t>
        </is>
      </c>
      <c r="S54" t="n">
        <v>0.558824</v>
      </c>
      <c r="T54" t="inlineStr">
        <is>
          <t>AUD</t>
        </is>
      </c>
      <c r="U54" t="n">
        <v>1146.3688</v>
      </c>
      <c r="V54" t="inlineStr">
        <is>
          <t>AUD</t>
        </is>
      </c>
      <c r="W54" t="n">
        <v>67.433459</v>
      </c>
      <c r="X54" t="n">
        <v/>
      </c>
    </row>
    <row r="55">
      <c r="A55" s="5" t="inlineStr">
        <is>
          <t>01a1212c-6cf4-716f-80ca-3b34218d873a</t>
        </is>
      </c>
      <c r="C55" s="5" t="inlineStr">
        <is>
          <t>01a1212c-4b57-70cf-80fd-c2192cb3bf81</t>
        </is>
      </c>
      <c r="D55" s="4" t="n">
        <v>46304.62409764762</v>
      </c>
      <c r="E55" s="4" t="n">
        <v>46304.62419450163</v>
      </c>
      <c r="F55" t="b">
        <v>1</v>
      </c>
      <c r="H55" t="inlineStr">
        <is>
          <t>2018-05-07 | PARCEL |  VAS | 15.0000 unit</t>
        </is>
      </c>
      <c r="I55" s="5" t="inlineStr">
        <is>
          <t>01a1212c-6cf3-748a-890c-785209f3e62f</t>
        </is>
      </c>
      <c r="J55" t="n">
        <v>15</v>
      </c>
      <c r="K55" t="n">
        <v>1</v>
      </c>
      <c r="L55" s="6" t="n">
        <v>43227</v>
      </c>
      <c r="N55" s="6" t="n">
        <v>43697</v>
      </c>
      <c r="O55" t="inlineStr">
        <is>
          <t>VAS</t>
        </is>
      </c>
      <c r="P55" t="n">
        <v>0</v>
      </c>
      <c r="Q55" t="b">
        <v>1</v>
      </c>
      <c r="R55" t="inlineStr">
        <is>
          <t>AUD</t>
        </is>
      </c>
      <c r="S55" t="n">
        <v>0.633333</v>
      </c>
      <c r="T55" t="inlineStr">
        <is>
          <t>AUD</t>
        </is>
      </c>
      <c r="U55" t="n">
        <v>1178.014</v>
      </c>
      <c r="V55" t="inlineStr">
        <is>
          <t>AUD</t>
        </is>
      </c>
      <c r="W55" t="n">
        <v>78.534267</v>
      </c>
      <c r="X55" t="n">
        <v/>
      </c>
    </row>
    <row r="56">
      <c r="A56" s="5" t="inlineStr">
        <is>
          <t>01a1212c-6d0a-76f3-b162-b89428bc8b86</t>
        </is>
      </c>
      <c r="C56" s="5" t="inlineStr">
        <is>
          <t>01a1212c-4b57-70cf-80fd-c2192cb3bf81</t>
        </is>
      </c>
      <c r="D56" s="4" t="n">
        <v>46304.62409789685</v>
      </c>
      <c r="E56" s="4" t="n">
        <v>46304.62431694452</v>
      </c>
      <c r="F56" t="b">
        <v>1</v>
      </c>
      <c r="H56" t="inlineStr">
        <is>
          <t>2018-05-07 | PARCEL |  VGS | 22.0000 unit</t>
        </is>
      </c>
      <c r="I56" s="5" t="inlineStr">
        <is>
          <t>01a1212c-6d09-7013-8ae0-bc611162d74d</t>
        </is>
      </c>
      <c r="J56" t="n">
        <v>22</v>
      </c>
      <c r="K56" t="n">
        <v>1</v>
      </c>
      <c r="L56" s="6" t="n">
        <v>43227</v>
      </c>
      <c r="O56" t="inlineStr">
        <is>
          <t>VGS</t>
        </is>
      </c>
      <c r="P56" t="n">
        <v>22</v>
      </c>
      <c r="Q56" t="b">
        <v>0</v>
      </c>
      <c r="R56" t="inlineStr">
        <is>
          <t>AUD</t>
        </is>
      </c>
      <c r="S56" t="n">
        <v>0.431818</v>
      </c>
      <c r="T56" t="inlineStr">
        <is>
          <t>AUD</t>
        </is>
      </c>
      <c r="U56" t="n">
        <v>1538.6769</v>
      </c>
      <c r="V56" t="inlineStr">
        <is>
          <t>AUD</t>
        </is>
      </c>
      <c r="W56" t="n">
        <v>69.939859</v>
      </c>
      <c r="X56" t="n">
        <v/>
      </c>
    </row>
    <row r="57">
      <c r="A57" s="5" t="inlineStr">
        <is>
          <t>01a1212c-6d20-73ba-8f87-9892e2e99aec</t>
        </is>
      </c>
      <c r="C57" s="5" t="inlineStr">
        <is>
          <t>01a1212c-4b57-70cf-80fd-c2192cb3bf81</t>
        </is>
      </c>
      <c r="D57" s="4" t="n">
        <v>46304.62409815517</v>
      </c>
      <c r="E57" s="4" t="n">
        <v>46304.62430386023</v>
      </c>
      <c r="F57" t="b">
        <v>1</v>
      </c>
      <c r="H57" t="inlineStr">
        <is>
          <t>2018-06-06 | PARCEL |  A200 | 8.0000 unit</t>
        </is>
      </c>
      <c r="I57" s="5" t="inlineStr">
        <is>
          <t>01a1212c-6d1f-7059-858a-1ff1ade57b5c</t>
        </is>
      </c>
      <c r="J57" t="n">
        <v>8</v>
      </c>
      <c r="K57" t="n">
        <v>1</v>
      </c>
      <c r="L57" s="6" t="n">
        <v>43257</v>
      </c>
      <c r="O57" t="inlineStr">
        <is>
          <t>A200</t>
        </is>
      </c>
      <c r="P57" t="n">
        <v>8</v>
      </c>
      <c r="Q57" t="b">
        <v>0</v>
      </c>
      <c r="R57" t="inlineStr">
        <is>
          <t>AUD</t>
        </is>
      </c>
      <c r="S57" t="n">
        <v>1.1875</v>
      </c>
      <c r="T57" t="inlineStr">
        <is>
          <t>AUD</t>
        </is>
      </c>
      <c r="U57" t="n">
        <v>818.7913</v>
      </c>
      <c r="V57" t="inlineStr">
        <is>
          <t>AUD</t>
        </is>
      </c>
      <c r="W57" t="n">
        <v>102.348912</v>
      </c>
      <c r="X57" t="n">
        <v/>
      </c>
    </row>
    <row r="58">
      <c r="A58" s="5" t="inlineStr">
        <is>
          <t>01a1212c-6d37-7104-9bae-6b11207df2ba</t>
        </is>
      </c>
      <c r="C58" s="5" t="inlineStr">
        <is>
          <t>01a1212c-4b57-70cf-80fd-c2192cb3bf81</t>
        </is>
      </c>
      <c r="D58" s="4" t="n">
        <v>46304.62409841861</v>
      </c>
      <c r="E58" s="4" t="n">
        <v>46304.62431632389</v>
      </c>
      <c r="F58" t="b">
        <v>1</v>
      </c>
      <c r="H58" t="inlineStr">
        <is>
          <t>2018-06-06 | PARCEL |  VGS | 15.0000 unit</t>
        </is>
      </c>
      <c r="I58" s="5" t="inlineStr">
        <is>
          <t>01a1212c-6d35-74f6-9e72-6d6515506a40</t>
        </is>
      </c>
      <c r="J58" t="n">
        <v>15</v>
      </c>
      <c r="K58" t="n">
        <v>1</v>
      </c>
      <c r="L58" s="6" t="n">
        <v>43257</v>
      </c>
      <c r="O58" t="inlineStr">
        <is>
          <t>VGS</t>
        </is>
      </c>
      <c r="P58" t="n">
        <v>15</v>
      </c>
      <c r="Q58" t="b">
        <v>0</v>
      </c>
      <c r="R58" t="inlineStr">
        <is>
          <t>AUD</t>
        </is>
      </c>
      <c r="S58" t="n">
        <v>0.633333</v>
      </c>
      <c r="T58" t="inlineStr">
        <is>
          <t>AUD</t>
        </is>
      </c>
      <c r="U58" t="n">
        <v>1052.6149</v>
      </c>
      <c r="V58" t="inlineStr">
        <is>
          <t>AUD</t>
        </is>
      </c>
      <c r="W58" t="n">
        <v>70.17432700000001</v>
      </c>
      <c r="X58" t="n">
        <v/>
      </c>
    </row>
    <row r="59">
      <c r="A59" s="5" t="inlineStr">
        <is>
          <t>01a1212c-6d4c-7285-883b-40007c7bea5b</t>
        </is>
      </c>
      <c r="C59" s="5" t="inlineStr">
        <is>
          <t>01a1212c-4b57-70cf-80fd-c2192cb3bf81</t>
        </is>
      </c>
      <c r="D59" s="4" t="n">
        <v>46304.62409866085</v>
      </c>
      <c r="E59" s="4" t="n">
        <v>46304.62430311965</v>
      </c>
      <c r="F59" t="b">
        <v>1</v>
      </c>
      <c r="H59" t="inlineStr">
        <is>
          <t>2018-07-02 | PARCEL |  A200 | 16.0000 unit</t>
        </is>
      </c>
      <c r="I59" s="5" t="inlineStr">
        <is>
          <t>01a1212c-6d4a-722b-9bf7-4b5792abb163</t>
        </is>
      </c>
      <c r="J59" t="n">
        <v>16</v>
      </c>
      <c r="K59" t="n">
        <v>1</v>
      </c>
      <c r="L59" s="6" t="n">
        <v>43283</v>
      </c>
      <c r="O59" t="inlineStr">
        <is>
          <t>A200</t>
        </is>
      </c>
      <c r="P59" t="n">
        <v>16</v>
      </c>
      <c r="Q59" t="b">
        <v>0</v>
      </c>
      <c r="R59" t="inlineStr">
        <is>
          <t>AUD</t>
        </is>
      </c>
      <c r="S59" t="n">
        <v>0.59375</v>
      </c>
      <c r="T59" t="inlineStr">
        <is>
          <t>AUD</t>
        </is>
      </c>
      <c r="U59" t="n">
        <v>1670.9579</v>
      </c>
      <c r="V59" t="inlineStr">
        <is>
          <t>AUD</t>
        </is>
      </c>
      <c r="W59" t="n">
        <v>104.434869</v>
      </c>
      <c r="X59" t="n">
        <v/>
      </c>
    </row>
    <row r="60">
      <c r="A60" s="5" t="inlineStr">
        <is>
          <t>01a1212c-6d61-7172-937f-90562bb7a3f9</t>
        </is>
      </c>
      <c r="C60" s="5" t="inlineStr">
        <is>
          <t>01a1212c-4b57-70cf-80fd-c2192cb3bf81</t>
        </is>
      </c>
      <c r="D60" s="4" t="n">
        <v>46304.62409890811</v>
      </c>
      <c r="E60" s="4" t="n">
        <v>46304.62431824236</v>
      </c>
      <c r="F60" t="b">
        <v>1</v>
      </c>
      <c r="H60" t="inlineStr">
        <is>
          <t>2018-07-02 | PARCEL |  VGS | 29.0000 unit</t>
        </is>
      </c>
      <c r="I60" s="5" t="inlineStr">
        <is>
          <t>01a1212c-6d60-724f-b7e2-2195c7d44024</t>
        </is>
      </c>
      <c r="J60" t="n">
        <v>29</v>
      </c>
      <c r="K60" t="n">
        <v>1</v>
      </c>
      <c r="L60" s="6" t="n">
        <v>43283</v>
      </c>
      <c r="O60" t="inlineStr">
        <is>
          <t>VGS</t>
        </is>
      </c>
      <c r="P60" t="n">
        <v>29</v>
      </c>
      <c r="Q60" t="b">
        <v>0</v>
      </c>
      <c r="R60" t="inlineStr">
        <is>
          <t>AUD</t>
        </is>
      </c>
      <c r="S60" t="n">
        <v>0.327586</v>
      </c>
      <c r="T60" t="inlineStr">
        <is>
          <t>AUD</t>
        </is>
      </c>
      <c r="U60" t="n">
        <v>2022.4364</v>
      </c>
      <c r="V60" t="inlineStr">
        <is>
          <t>AUD</t>
        </is>
      </c>
      <c r="W60" t="n">
        <v>69.739186</v>
      </c>
      <c r="X60" t="n">
        <v/>
      </c>
    </row>
    <row r="61">
      <c r="A61" s="5" t="inlineStr">
        <is>
          <t>01a1212c-6d76-76a9-b3fa-2e49f1ec83bd</t>
        </is>
      </c>
      <c r="C61" s="5" t="inlineStr">
        <is>
          <t>01a1212c-4b57-70cf-80fd-c2192cb3bf81</t>
        </is>
      </c>
      <c r="D61" s="4" t="n">
        <v>46304.62409914536</v>
      </c>
      <c r="E61" s="4" t="n">
        <v>46304.62430426347</v>
      </c>
      <c r="F61" t="b">
        <v>1</v>
      </c>
      <c r="H61" t="inlineStr">
        <is>
          <t>2018-08-02 | PARCEL |  A200 | 13.0000 unit</t>
        </is>
      </c>
      <c r="I61" s="5" t="inlineStr">
        <is>
          <t>01a1212c-6d74-72fc-b9de-f9354c5305c8</t>
        </is>
      </c>
      <c r="J61" t="n">
        <v>13</v>
      </c>
      <c r="K61" t="n">
        <v>1</v>
      </c>
      <c r="L61" s="6" t="n">
        <v>43314</v>
      </c>
      <c r="O61" t="inlineStr">
        <is>
          <t>A200</t>
        </is>
      </c>
      <c r="P61" t="n">
        <v>13</v>
      </c>
      <c r="Q61" t="b">
        <v>0</v>
      </c>
      <c r="R61" t="inlineStr">
        <is>
          <t>AUD</t>
        </is>
      </c>
      <c r="S61" t="n">
        <v>0.730769</v>
      </c>
      <c r="T61" t="inlineStr">
        <is>
          <t>AUD</t>
        </is>
      </c>
      <c r="U61" t="n">
        <v>1373.2877</v>
      </c>
      <c r="V61" t="inlineStr">
        <is>
          <t>AUD</t>
        </is>
      </c>
      <c r="W61" t="n">
        <v>105.637515</v>
      </c>
      <c r="X61" t="n">
        <v/>
      </c>
    </row>
    <row r="62">
      <c r="A62" s="5" t="inlineStr">
        <is>
          <t>01a1212c-6d8a-7538-8ed2-1bed262cc3a3</t>
        </is>
      </c>
      <c r="C62" s="5" t="inlineStr">
        <is>
          <t>01a1212c-4b57-70cf-80fd-c2192cb3bf81</t>
        </is>
      </c>
      <c r="D62" s="4" t="n">
        <v>46304.62409938745</v>
      </c>
      <c r="E62" s="4" t="n">
        <v>46304.62431798936</v>
      </c>
      <c r="F62" t="b">
        <v>1</v>
      </c>
      <c r="H62" t="inlineStr">
        <is>
          <t>2018-08-02 | PARCEL |  VGS | 23.0000 unit</t>
        </is>
      </c>
      <c r="I62" s="5" t="inlineStr">
        <is>
          <t>01a1212c-6d89-7186-bf5a-c9e5cb33183a</t>
        </is>
      </c>
      <c r="J62" t="n">
        <v>23</v>
      </c>
      <c r="K62" t="n">
        <v>1</v>
      </c>
      <c r="L62" s="6" t="n">
        <v>43314</v>
      </c>
      <c r="O62" t="inlineStr">
        <is>
          <t>VGS</t>
        </is>
      </c>
      <c r="P62" t="n">
        <v>23</v>
      </c>
      <c r="Q62" t="b">
        <v>0</v>
      </c>
      <c r="R62" t="inlineStr">
        <is>
          <t>AUD</t>
        </is>
      </c>
      <c r="S62" t="n">
        <v>0.413043</v>
      </c>
      <c r="T62" t="inlineStr">
        <is>
          <t>AUD</t>
        </is>
      </c>
      <c r="U62" t="n">
        <v>1657.5746</v>
      </c>
      <c r="V62" t="inlineStr">
        <is>
          <t>AUD</t>
        </is>
      </c>
      <c r="W62" t="n">
        <v>72.068461</v>
      </c>
      <c r="X62" t="n">
        <v/>
      </c>
    </row>
    <row r="63">
      <c r="A63" s="5" t="inlineStr">
        <is>
          <t>01a1212c-6da0-7742-9455-da33624c357b</t>
        </is>
      </c>
      <c r="C63" s="5" t="inlineStr">
        <is>
          <t>01a1212c-4b57-70cf-80fd-c2192cb3bf81</t>
        </is>
      </c>
      <c r="D63" s="4" t="n">
        <v>46304.62409964058</v>
      </c>
      <c r="E63" s="4" t="n">
        <v>46304.62409964063</v>
      </c>
      <c r="F63" t="b">
        <v>1</v>
      </c>
      <c r="H63" t="inlineStr">
        <is>
          <t>2018-08-27 | PARCEL |  MSFT | 7.0000 unit</t>
        </is>
      </c>
      <c r="I63" s="5" t="inlineStr">
        <is>
          <t>01a1212c-6d9e-736e-bc03-2c681d46b9e4</t>
        </is>
      </c>
      <c r="J63" t="n">
        <v>7</v>
      </c>
      <c r="K63" t="n">
        <v>1</v>
      </c>
      <c r="L63" s="6" t="n">
        <v>43339</v>
      </c>
      <c r="O63" t="inlineStr">
        <is>
          <t>MSFT</t>
        </is>
      </c>
      <c r="P63" t="n">
        <v>7</v>
      </c>
      <c r="Q63" t="b">
        <v>0</v>
      </c>
      <c r="R63" t="inlineStr">
        <is>
          <t>AUD</t>
        </is>
      </c>
      <c r="S63" t="n">
        <v>1.071429</v>
      </c>
      <c r="T63" t="inlineStr">
        <is>
          <t>AUD</t>
        </is>
      </c>
      <c r="U63" t="n">
        <v>1158.3</v>
      </c>
      <c r="V63" t="inlineStr">
        <is>
          <t>AUD</t>
        </is>
      </c>
      <c r="W63" t="n">
        <v>165.471429</v>
      </c>
      <c r="X63" t="n">
        <v/>
      </c>
    </row>
    <row r="64">
      <c r="A64" s="5" t="inlineStr">
        <is>
          <t>01a1212c-6db6-75c6-a15a-3893db0236e1</t>
        </is>
      </c>
      <c r="C64" s="5" t="inlineStr">
        <is>
          <t>01a1212c-4b57-70cf-80fd-c2192cb3bf81</t>
        </is>
      </c>
      <c r="D64" s="4" t="n">
        <v>46304.62409988779</v>
      </c>
      <c r="E64" s="4" t="n">
        <v>46304.62430442822</v>
      </c>
      <c r="F64" t="b">
        <v>1</v>
      </c>
      <c r="H64" t="inlineStr">
        <is>
          <t>2018-09-03 | PARCEL |  A200 | 10.0000 unit</t>
        </is>
      </c>
      <c r="I64" s="5" t="inlineStr">
        <is>
          <t>01a1212c-6db4-779e-91a1-847df0e16747</t>
        </is>
      </c>
      <c r="J64" t="n">
        <v>10</v>
      </c>
      <c r="K64" t="n">
        <v>1</v>
      </c>
      <c r="L64" s="6" t="n">
        <v>43346</v>
      </c>
      <c r="O64" t="inlineStr">
        <is>
          <t>A200</t>
        </is>
      </c>
      <c r="P64" t="n">
        <v>10</v>
      </c>
      <c r="Q64" t="b">
        <v>0</v>
      </c>
      <c r="R64" t="inlineStr">
        <is>
          <t>AUD</t>
        </is>
      </c>
      <c r="S64" t="n">
        <v>0.95</v>
      </c>
      <c r="T64" t="inlineStr">
        <is>
          <t>AUD</t>
        </is>
      </c>
      <c r="U64" t="n">
        <v>1080.2207</v>
      </c>
      <c r="V64" t="inlineStr">
        <is>
          <t>AUD</t>
        </is>
      </c>
      <c r="W64" t="n">
        <v>108.02207</v>
      </c>
      <c r="X64" t="n">
        <v/>
      </c>
    </row>
    <row r="65">
      <c r="A65" s="5" t="inlineStr">
        <is>
          <t>01a1212c-6dcc-720d-a5fa-03db95e8cb05</t>
        </is>
      </c>
      <c r="C65" s="5" t="inlineStr">
        <is>
          <t>01a1212c-4b57-70cf-80fd-c2192cb3bf81</t>
        </is>
      </c>
      <c r="D65" s="4" t="n">
        <v>46304.62410014667</v>
      </c>
      <c r="E65" s="4" t="n">
        <v>46304.62431807043</v>
      </c>
      <c r="F65" t="b">
        <v>1</v>
      </c>
      <c r="H65" t="inlineStr">
        <is>
          <t>2018-09-03 | PARCEL |  VGS | 18.0000 unit</t>
        </is>
      </c>
      <c r="I65" s="5" t="inlineStr">
        <is>
          <t>01a1212c-6dcb-7513-b28e-f9fdd3a745f5</t>
        </is>
      </c>
      <c r="J65" t="n">
        <v>18</v>
      </c>
      <c r="K65" t="n">
        <v>1</v>
      </c>
      <c r="L65" s="6" t="n">
        <v>43346</v>
      </c>
      <c r="O65" t="inlineStr">
        <is>
          <t>VGS</t>
        </is>
      </c>
      <c r="P65" t="n">
        <v>18</v>
      </c>
      <c r="Q65" t="b">
        <v>0</v>
      </c>
      <c r="R65" t="inlineStr">
        <is>
          <t>AUD</t>
        </is>
      </c>
      <c r="S65" t="n">
        <v>0.527778</v>
      </c>
      <c r="T65" t="inlineStr">
        <is>
          <t>AUD</t>
        </is>
      </c>
      <c r="U65" t="n">
        <v>1355.3427</v>
      </c>
      <c r="V65" t="inlineStr">
        <is>
          <t>AUD</t>
        </is>
      </c>
      <c r="W65" t="n">
        <v>75.296817</v>
      </c>
      <c r="X65" t="n">
        <v/>
      </c>
    </row>
    <row r="66">
      <c r="A66" s="5" t="inlineStr">
        <is>
          <t>01a1212c-6de3-75cc-97e5-b3e70911a40b</t>
        </is>
      </c>
      <c r="C66" s="5" t="inlineStr">
        <is>
          <t>01a1212c-4b57-70cf-80fd-c2192cb3bf81</t>
        </is>
      </c>
      <c r="D66" s="4" t="n">
        <v>46304.62410040687</v>
      </c>
      <c r="E66" s="4" t="n">
        <v>46304.62410040692</v>
      </c>
      <c r="F66" t="b">
        <v>1</v>
      </c>
      <c r="H66" t="inlineStr">
        <is>
          <t>2018-09-04 | PARCEL |  MSFT | 4.0000 unit</t>
        </is>
      </c>
      <c r="I66" s="5" t="inlineStr">
        <is>
          <t>01a1212c-6de0-7126-9950-8804a7f17d71</t>
        </is>
      </c>
      <c r="J66" t="n">
        <v>4</v>
      </c>
      <c r="K66" t="n">
        <v>1</v>
      </c>
      <c r="L66" s="6" t="n">
        <v>43347</v>
      </c>
      <c r="O66" t="inlineStr">
        <is>
          <t>MSFT</t>
        </is>
      </c>
      <c r="P66" t="n">
        <v>4</v>
      </c>
      <c r="Q66" t="b">
        <v>0</v>
      </c>
      <c r="R66" t="inlineStr">
        <is>
          <t>AUD</t>
        </is>
      </c>
      <c r="S66" t="n">
        <v>1.875</v>
      </c>
      <c r="T66" t="inlineStr">
        <is>
          <t>AUD</t>
        </is>
      </c>
      <c r="U66" t="n">
        <v>677.76</v>
      </c>
      <c r="V66" t="inlineStr">
        <is>
          <t>AUD</t>
        </is>
      </c>
      <c r="W66" t="n">
        <v>169.44</v>
      </c>
      <c r="X66" t="n">
        <v/>
      </c>
    </row>
    <row r="67">
      <c r="A67" s="5" t="inlineStr">
        <is>
          <t>01a1212c-6df8-75a2-98db-d972257aac7c</t>
        </is>
      </c>
      <c r="C67" s="5" t="inlineStr">
        <is>
          <t>01a1212c-4b57-70cf-80fd-c2192cb3bf81</t>
        </is>
      </c>
      <c r="D67" s="4" t="n">
        <v>46304.62410065441</v>
      </c>
      <c r="E67" s="4" t="n">
        <v>46304.62410065447</v>
      </c>
      <c r="F67" t="b">
        <v>1</v>
      </c>
      <c r="H67" t="inlineStr">
        <is>
          <t>2018-09-17 | PARCEL |  BHP | 43.0000 unit</t>
        </is>
      </c>
      <c r="I67" s="5" t="inlineStr">
        <is>
          <t>01a1212c-6df7-70bb-96a1-7d37957c8e64</t>
        </is>
      </c>
      <c r="J67" t="n">
        <v>43</v>
      </c>
      <c r="K67" t="n">
        <v>1</v>
      </c>
      <c r="L67" s="6" t="n">
        <v>43360</v>
      </c>
      <c r="O67" t="inlineStr">
        <is>
          <t>BHP</t>
        </is>
      </c>
      <c r="P67" t="n">
        <v>43</v>
      </c>
      <c r="Q67" t="b">
        <v>0</v>
      </c>
      <c r="R67" t="inlineStr">
        <is>
          <t>AUD</t>
        </is>
      </c>
      <c r="S67" t="n">
        <v>0.463953</v>
      </c>
      <c r="T67" t="inlineStr">
        <is>
          <t>AUD</t>
        </is>
      </c>
      <c r="U67" t="n">
        <v>1230.2194</v>
      </c>
      <c r="V67" t="inlineStr">
        <is>
          <t>AUD</t>
        </is>
      </c>
      <c r="W67" t="n">
        <v>28.609753</v>
      </c>
      <c r="X67" t="n">
        <v/>
      </c>
    </row>
    <row r="68">
      <c r="A68" s="5" t="inlineStr">
        <is>
          <t>01a1212c-6e0b-74a6-b1c4-92fd51554f70</t>
        </is>
      </c>
      <c r="C68" s="5" t="inlineStr">
        <is>
          <t>01a1212c-4b57-70cf-80fd-c2192cb3bf81</t>
        </is>
      </c>
      <c r="D68" s="4" t="n">
        <v>46304.62410088031</v>
      </c>
      <c r="E68" s="4" t="n">
        <v>46304.62430353852</v>
      </c>
      <c r="F68" t="b">
        <v>1</v>
      </c>
      <c r="H68" t="inlineStr">
        <is>
          <t>2018-10-02 | PARCEL |  A200 | 12.0000 unit</t>
        </is>
      </c>
      <c r="I68" s="5" t="inlineStr">
        <is>
          <t>01a1212c-6e0a-77eb-b498-ff178f8e067d</t>
        </is>
      </c>
      <c r="J68" t="n">
        <v>12</v>
      </c>
      <c r="K68" t="n">
        <v>1</v>
      </c>
      <c r="L68" s="6" t="n">
        <v>43375</v>
      </c>
      <c r="O68" t="inlineStr">
        <is>
          <t>A200</t>
        </is>
      </c>
      <c r="P68" t="n">
        <v>12</v>
      </c>
      <c r="Q68" t="b">
        <v>0</v>
      </c>
      <c r="R68" t="inlineStr">
        <is>
          <t>AUD</t>
        </is>
      </c>
      <c r="S68" t="n">
        <v>0.791667</v>
      </c>
      <c r="T68" t="inlineStr">
        <is>
          <t>AUD</t>
        </is>
      </c>
      <c r="U68" t="n">
        <v>1248.1253</v>
      </c>
      <c r="V68" t="inlineStr">
        <is>
          <t>AUD</t>
        </is>
      </c>
      <c r="W68" t="n">
        <v>104.010442</v>
      </c>
      <c r="X68" t="n">
        <v/>
      </c>
    </row>
    <row r="69">
      <c r="A69" s="5" t="inlineStr">
        <is>
          <t>01a1212c-6e20-73a5-aefe-85160cb166ee</t>
        </is>
      </c>
      <c r="C69" s="5" t="inlineStr">
        <is>
          <t>01a1212c-4b57-70cf-80fd-c2192cb3bf81</t>
        </is>
      </c>
      <c r="D69" s="4" t="n">
        <v>46304.62410111818</v>
      </c>
      <c r="E69" s="4" t="n">
        <v>46304.62431466169</v>
      </c>
      <c r="F69" t="b">
        <v>1</v>
      </c>
      <c r="H69" t="inlineStr">
        <is>
          <t>2018-10-02 | PARCEL |  VGS | 21.0000 unit</t>
        </is>
      </c>
      <c r="I69" s="5" t="inlineStr">
        <is>
          <t>01a1212c-6e1f-70cf-b356-3645a818f013</t>
        </is>
      </c>
      <c r="J69" t="n">
        <v>21</v>
      </c>
      <c r="K69" t="n">
        <v>1</v>
      </c>
      <c r="L69" s="6" t="n">
        <v>43375</v>
      </c>
      <c r="O69" t="inlineStr">
        <is>
          <t>VGS</t>
        </is>
      </c>
      <c r="P69" t="n">
        <v>21</v>
      </c>
      <c r="Q69" t="b">
        <v>0</v>
      </c>
      <c r="R69" t="inlineStr">
        <is>
          <t>AUD</t>
        </is>
      </c>
      <c r="S69" t="n">
        <v>0.452381</v>
      </c>
      <c r="T69" t="inlineStr">
        <is>
          <t>AUD</t>
        </is>
      </c>
      <c r="U69" t="n">
        <v>1582.6784</v>
      </c>
      <c r="V69" t="inlineStr">
        <is>
          <t>AUD</t>
        </is>
      </c>
      <c r="W69" t="n">
        <v>75.365638</v>
      </c>
      <c r="X69" t="n">
        <v/>
      </c>
    </row>
    <row r="70">
      <c r="A70" s="5" t="inlineStr">
        <is>
          <t>01a1212c-6e38-77f0-a4c7-b52be288421b</t>
        </is>
      </c>
      <c r="C70" s="5" t="inlineStr">
        <is>
          <t>01a1212c-4b57-70cf-80fd-c2192cb3bf81</t>
        </is>
      </c>
      <c r="D70" s="4" t="n">
        <v>46304.62410139069</v>
      </c>
      <c r="E70" s="4" t="n">
        <v>46304.62420395935</v>
      </c>
      <c r="F70" t="b">
        <v>0</v>
      </c>
      <c r="H70" t="inlineStr">
        <is>
          <t>2018-10-11 | PARCEL |  AAPL | 2.0000 unit</t>
        </is>
      </c>
      <c r="I70" s="5" t="inlineStr">
        <is>
          <t>01a1212c-6e35-73d9-84f5-8c15ff01e4dc</t>
        </is>
      </c>
      <c r="J70" t="n">
        <v>2</v>
      </c>
      <c r="K70" t="n">
        <v>1</v>
      </c>
      <c r="L70" s="6" t="n">
        <v>43384</v>
      </c>
      <c r="M70" s="6" t="n">
        <v>44074</v>
      </c>
      <c r="O70" t="inlineStr">
        <is>
          <t>AAPL</t>
        </is>
      </c>
      <c r="P70" t="n">
        <v>0</v>
      </c>
      <c r="Q70" t="b">
        <v>1</v>
      </c>
      <c r="R70" t="inlineStr">
        <is>
          <t>AUD</t>
        </is>
      </c>
      <c r="S70" t="n">
        <v>0</v>
      </c>
      <c r="T70" t="inlineStr">
        <is>
          <t>AUD</t>
        </is>
      </c>
      <c r="U70" t="n">
        <v>0</v>
      </c>
      <c r="V70" t="inlineStr">
        <is>
          <t>AUD</t>
        </is>
      </c>
      <c r="W70" t="n">
        <v>0</v>
      </c>
      <c r="X70" t="n">
        <v/>
      </c>
    </row>
    <row r="71">
      <c r="A71" s="5" t="inlineStr">
        <is>
          <t>01a1212c-6e4f-71fc-9eaa-9400867a68e8</t>
        </is>
      </c>
      <c r="C71" s="5" t="inlineStr">
        <is>
          <t>01a1212c-4b57-70cf-80fd-c2192cb3bf81</t>
        </is>
      </c>
      <c r="D71" s="4" t="n">
        <v>46304.62410165658</v>
      </c>
      <c r="E71" s="4" t="n">
        <v>46304.62410165663</v>
      </c>
      <c r="F71" t="b">
        <v>1</v>
      </c>
      <c r="H71" t="inlineStr">
        <is>
          <t>2018-10-12 | PARCEL |  MSFT | 7.0000 unit</t>
        </is>
      </c>
      <c r="I71" s="5" t="inlineStr">
        <is>
          <t>01a1212c-6e4c-7767-9bcf-ee84390e7f60</t>
        </is>
      </c>
      <c r="J71" t="n">
        <v>7</v>
      </c>
      <c r="K71" t="n">
        <v>1</v>
      </c>
      <c r="L71" s="6" t="n">
        <v>43385</v>
      </c>
      <c r="O71" t="inlineStr">
        <is>
          <t>MSFT</t>
        </is>
      </c>
      <c r="P71" t="n">
        <v>7</v>
      </c>
      <c r="Q71" t="b">
        <v>0</v>
      </c>
      <c r="R71" t="inlineStr">
        <is>
          <t>AUD</t>
        </is>
      </c>
      <c r="S71" t="n">
        <v>1.071429</v>
      </c>
      <c r="T71" t="inlineStr">
        <is>
          <t>AUD</t>
        </is>
      </c>
      <c r="U71" t="n">
        <v>1157.985</v>
      </c>
      <c r="V71" t="inlineStr">
        <is>
          <t>AUD</t>
        </is>
      </c>
      <c r="W71" t="n">
        <v>165.426429</v>
      </c>
      <c r="X71" t="n">
        <v/>
      </c>
    </row>
    <row r="72">
      <c r="A72" s="5" t="inlineStr">
        <is>
          <t>01a1212c-6e66-7046-82e1-a0df222b5449</t>
        </is>
      </c>
      <c r="C72" s="5" t="inlineStr">
        <is>
          <t>01a1212c-4b57-70cf-80fd-c2192cb3bf81</t>
        </is>
      </c>
      <c r="D72" s="4" t="n">
        <v>46304.62410192594</v>
      </c>
      <c r="E72" s="4" t="n">
        <v>46304.62430268654</v>
      </c>
      <c r="F72" t="b">
        <v>1</v>
      </c>
      <c r="H72" t="inlineStr">
        <is>
          <t>2018-11-05 | PARCEL |  A200 | 15.0000 unit</t>
        </is>
      </c>
      <c r="I72" s="5" t="inlineStr">
        <is>
          <t>01a1212c-6e64-756c-a69c-d18093ffd988</t>
        </is>
      </c>
      <c r="J72" t="n">
        <v>15</v>
      </c>
      <c r="K72" t="n">
        <v>1</v>
      </c>
      <c r="L72" s="6" t="n">
        <v>43409</v>
      </c>
      <c r="O72" t="inlineStr">
        <is>
          <t>A200</t>
        </is>
      </c>
      <c r="P72" t="n">
        <v>15</v>
      </c>
      <c r="Q72" t="b">
        <v>0</v>
      </c>
      <c r="R72" t="inlineStr">
        <is>
          <t>AUD</t>
        </is>
      </c>
      <c r="S72" t="n">
        <v>0.633333</v>
      </c>
      <c r="T72" t="inlineStr">
        <is>
          <t>AUD</t>
        </is>
      </c>
      <c r="U72" t="n">
        <v>1480.8977</v>
      </c>
      <c r="V72" t="inlineStr">
        <is>
          <t>AUD</t>
        </is>
      </c>
      <c r="W72" t="n">
        <v>98.726513</v>
      </c>
      <c r="X72" t="n">
        <v/>
      </c>
    </row>
    <row r="73">
      <c r="A73" s="5" t="inlineStr">
        <is>
          <t>01a1212c-6e7d-7269-818d-4fc41e4043b6</t>
        </is>
      </c>
      <c r="C73" s="5" t="inlineStr">
        <is>
          <t>01a1212c-4b57-70cf-80fd-c2192cb3bf81</t>
        </is>
      </c>
      <c r="D73" s="4" t="n">
        <v>46304.62410219411</v>
      </c>
      <c r="E73" s="4" t="n">
        <v>46304.62431664283</v>
      </c>
      <c r="F73" t="b">
        <v>1</v>
      </c>
      <c r="H73" t="inlineStr">
        <is>
          <t>2018-11-05 | PARCEL |  VGS | 26.0000 unit</t>
        </is>
      </c>
      <c r="I73" s="5" t="inlineStr">
        <is>
          <t>01a1212c-6e7c-77ba-883d-d0609085103c</t>
        </is>
      </c>
      <c r="J73" t="n">
        <v>26</v>
      </c>
      <c r="K73" t="n">
        <v>1</v>
      </c>
      <c r="L73" s="6" t="n">
        <v>43409</v>
      </c>
      <c r="O73" t="inlineStr">
        <is>
          <t>VGS</t>
        </is>
      </c>
      <c r="P73" t="n">
        <v>26</v>
      </c>
      <c r="Q73" t="b">
        <v>0</v>
      </c>
      <c r="R73" t="inlineStr">
        <is>
          <t>AUD</t>
        </is>
      </c>
      <c r="S73" t="n">
        <v>0.365385</v>
      </c>
      <c r="T73" t="inlineStr">
        <is>
          <t>AUD</t>
        </is>
      </c>
      <c r="U73" t="n">
        <v>1828.6285</v>
      </c>
      <c r="V73" t="inlineStr">
        <is>
          <t>AUD</t>
        </is>
      </c>
      <c r="W73" t="n">
        <v>70.33186499999999</v>
      </c>
      <c r="X73" t="n">
        <v/>
      </c>
    </row>
    <row r="74">
      <c r="A74" s="5" t="inlineStr">
        <is>
          <t>01a1212c-6e92-7029-9245-e448e27a2feb</t>
        </is>
      </c>
      <c r="C74" s="5" t="inlineStr">
        <is>
          <t>01a1212c-4b57-70cf-80fd-c2192cb3bf81</t>
        </is>
      </c>
      <c r="D74" s="4" t="n">
        <v>46304.62410244103</v>
      </c>
      <c r="E74" s="4" t="n">
        <v>46304.62421638678</v>
      </c>
      <c r="F74" t="b">
        <v>1</v>
      </c>
      <c r="H74" t="inlineStr">
        <is>
          <t>2018-11-12 | PARCEL |  WES | 14.0000 unit</t>
        </is>
      </c>
      <c r="I74" s="5" t="inlineStr">
        <is>
          <t>01a1212c-6e91-7423-af4c-16718651c15d</t>
        </is>
      </c>
      <c r="J74" t="n">
        <v>14</v>
      </c>
      <c r="K74" t="n">
        <v>1</v>
      </c>
      <c r="L74" s="6" t="n">
        <v>43416</v>
      </c>
      <c r="N74" s="6" t="n">
        <v>44642</v>
      </c>
      <c r="O74" t="inlineStr">
        <is>
          <t>WES</t>
        </is>
      </c>
      <c r="P74" t="n">
        <v>0</v>
      </c>
      <c r="Q74" t="b">
        <v>1</v>
      </c>
      <c r="R74" t="inlineStr">
        <is>
          <t>AUD</t>
        </is>
      </c>
      <c r="S74" t="n">
        <v>1.425</v>
      </c>
      <c r="T74" t="inlineStr">
        <is>
          <t>AUD</t>
        </is>
      </c>
      <c r="U74" t="n">
        <v>494.4086</v>
      </c>
      <c r="V74" t="inlineStr">
        <is>
          <t>AUD</t>
        </is>
      </c>
      <c r="W74" t="n">
        <v>35.3149</v>
      </c>
      <c r="X74" t="n">
        <v/>
      </c>
    </row>
    <row r="75">
      <c r="A75" s="5" t="inlineStr">
        <is>
          <t>01a1212c-6ea7-74a3-8ee3-677989aa03d3</t>
        </is>
      </c>
      <c r="C75" s="5" t="inlineStr">
        <is>
          <t>01a1212c-4b57-70cf-80fd-c2192cb3bf81</t>
        </is>
      </c>
      <c r="D75" s="4" t="n">
        <v>46304.62410268351</v>
      </c>
      <c r="E75" s="4" t="n">
        <v>46304.62420408121</v>
      </c>
      <c r="F75" t="b">
        <v>0</v>
      </c>
      <c r="H75" t="inlineStr">
        <is>
          <t>2018-11-21 | PARCEL |  AAPL | 3.0000 unit</t>
        </is>
      </c>
      <c r="I75" s="5" t="inlineStr">
        <is>
          <t>01a1212c-6ea5-762f-866b-24e9cc4ef986</t>
        </is>
      </c>
      <c r="J75" t="n">
        <v>3</v>
      </c>
      <c r="K75" t="n">
        <v>1</v>
      </c>
      <c r="L75" s="6" t="n">
        <v>43425</v>
      </c>
      <c r="M75" s="6" t="n">
        <v>44074</v>
      </c>
      <c r="O75" t="inlineStr">
        <is>
          <t>AAPL</t>
        </is>
      </c>
      <c r="P75" t="n">
        <v>0</v>
      </c>
      <c r="Q75" t="b">
        <v>1</v>
      </c>
      <c r="R75" t="inlineStr">
        <is>
          <t>AUD</t>
        </is>
      </c>
      <c r="S75" t="n">
        <v>0</v>
      </c>
      <c r="T75" t="inlineStr">
        <is>
          <t>AUD</t>
        </is>
      </c>
      <c r="U75" t="n">
        <v>0</v>
      </c>
      <c r="V75" t="inlineStr">
        <is>
          <t>AUD</t>
        </is>
      </c>
      <c r="W75" t="n">
        <v>0</v>
      </c>
      <c r="X75" t="n">
        <v/>
      </c>
    </row>
    <row r="76">
      <c r="A76" s="5" t="inlineStr">
        <is>
          <t>01a1212c-6ebd-7084-8e12-1c2acb9ea8e3</t>
        </is>
      </c>
      <c r="C76" s="5" t="inlineStr">
        <is>
          <t>01a1212c-4b57-70cf-80fd-c2192cb3bf81</t>
        </is>
      </c>
      <c r="D76" s="4" t="n">
        <v>46304.62410292948</v>
      </c>
      <c r="E76" s="4" t="n">
        <v>46304.6243042205</v>
      </c>
      <c r="F76" t="b">
        <v>1</v>
      </c>
      <c r="H76" t="inlineStr">
        <is>
          <t>2018-12-06 | PARCEL |  A200 | 9.0000 unit</t>
        </is>
      </c>
      <c r="I76" s="5" t="inlineStr">
        <is>
          <t>01a1212c-6ebb-73f9-851e-708b2f3e7810</t>
        </is>
      </c>
      <c r="J76" t="n">
        <v>9</v>
      </c>
      <c r="K76" t="n">
        <v>1</v>
      </c>
      <c r="L76" s="6" t="n">
        <v>43440</v>
      </c>
      <c r="O76" t="inlineStr">
        <is>
          <t>A200</t>
        </is>
      </c>
      <c r="P76" t="n">
        <v>9</v>
      </c>
      <c r="Q76" t="b">
        <v>0</v>
      </c>
      <c r="R76" t="inlineStr">
        <is>
          <t>AUD</t>
        </is>
      </c>
      <c r="S76" t="n">
        <v>1.055556</v>
      </c>
      <c r="T76" t="inlineStr">
        <is>
          <t>AUD</t>
        </is>
      </c>
      <c r="U76" t="n">
        <v>873.6706</v>
      </c>
      <c r="V76" t="inlineStr">
        <is>
          <t>AUD</t>
        </is>
      </c>
      <c r="W76" t="n">
        <v>97.074511</v>
      </c>
      <c r="X76" t="n">
        <v/>
      </c>
    </row>
    <row r="77">
      <c r="A77" s="5" t="inlineStr">
        <is>
          <t>01a1212c-6ed1-75e4-b466-1b906512bd95</t>
        </is>
      </c>
      <c r="C77" s="5" t="inlineStr">
        <is>
          <t>01a1212c-4b57-70cf-80fd-c2192cb3bf81</t>
        </is>
      </c>
      <c r="D77" s="4" t="n">
        <v>46304.62410316772</v>
      </c>
      <c r="E77" s="4" t="n">
        <v>46304.62431612043</v>
      </c>
      <c r="F77" t="b">
        <v>1</v>
      </c>
      <c r="H77" t="inlineStr">
        <is>
          <t>2018-12-06 | PARCEL |  VGS | 16.0000 unit</t>
        </is>
      </c>
      <c r="I77" s="5" t="inlineStr">
        <is>
          <t>01a1212c-6ed0-7438-9044-1148bb5966c5</t>
        </is>
      </c>
      <c r="J77" t="n">
        <v>16</v>
      </c>
      <c r="K77" t="n">
        <v>1</v>
      </c>
      <c r="L77" s="6" t="n">
        <v>43440</v>
      </c>
      <c r="O77" t="inlineStr">
        <is>
          <t>VGS</t>
        </is>
      </c>
      <c r="P77" t="n">
        <v>16</v>
      </c>
      <c r="Q77" t="b">
        <v>0</v>
      </c>
      <c r="R77" t="inlineStr">
        <is>
          <t>AUD</t>
        </is>
      </c>
      <c r="S77" t="n">
        <v>0.59375</v>
      </c>
      <c r="T77" t="inlineStr">
        <is>
          <t>AUD</t>
        </is>
      </c>
      <c r="U77" t="n">
        <v>1099.1048</v>
      </c>
      <c r="V77" t="inlineStr">
        <is>
          <t>AUD</t>
        </is>
      </c>
      <c r="W77" t="n">
        <v>68.69405</v>
      </c>
      <c r="X77" t="n">
        <v/>
      </c>
    </row>
    <row r="78">
      <c r="A78" s="5" t="inlineStr">
        <is>
          <t>01a1212c-6ee7-7560-b124-997eca0f2c00</t>
        </is>
      </c>
      <c r="C78" s="5" t="inlineStr">
        <is>
          <t>01a1212c-4b57-70cf-80fd-c2192cb3bf81</t>
        </is>
      </c>
      <c r="D78" s="4" t="n">
        <v>46304.6241034197</v>
      </c>
      <c r="E78" s="4" t="n">
        <v>46304.62410341976</v>
      </c>
      <c r="F78" t="b">
        <v>1</v>
      </c>
      <c r="H78" t="inlineStr">
        <is>
          <t>2018-12-17 | PARCEL |  MSFT | 4.0000 unit</t>
        </is>
      </c>
      <c r="I78" s="5" t="inlineStr">
        <is>
          <t>01a1212c-6ee4-76ec-9565-7a2884335908</t>
        </is>
      </c>
      <c r="J78" t="n">
        <v>4</v>
      </c>
      <c r="K78" t="n">
        <v>1</v>
      </c>
      <c r="L78" s="6" t="n">
        <v>43451</v>
      </c>
      <c r="O78" t="inlineStr">
        <is>
          <t>MSFT</t>
        </is>
      </c>
      <c r="P78" t="n">
        <v>4</v>
      </c>
      <c r="Q78" t="b">
        <v>0</v>
      </c>
      <c r="R78" t="inlineStr">
        <is>
          <t>AUD</t>
        </is>
      </c>
      <c r="S78" t="n">
        <v>1.875</v>
      </c>
      <c r="T78" t="inlineStr">
        <is>
          <t>AUD</t>
        </is>
      </c>
      <c r="U78" t="n">
        <v>624.84</v>
      </c>
      <c r="V78" t="inlineStr">
        <is>
          <t>AUD</t>
        </is>
      </c>
      <c r="W78" t="n">
        <v>156.21</v>
      </c>
      <c r="X78" t="n">
        <v/>
      </c>
    </row>
    <row r="79">
      <c r="A79" s="5" t="inlineStr">
        <is>
          <t>01a1212c-6efd-73be-a0d7-c82e3f8af4ac</t>
        </is>
      </c>
      <c r="C79" s="5" t="inlineStr">
        <is>
          <t>01a1212c-4b57-70cf-80fd-c2192cb3bf81</t>
        </is>
      </c>
      <c r="D79" s="4" t="n">
        <v>46304.62410367776</v>
      </c>
      <c r="E79" s="4" t="n">
        <v>46304.62430344885</v>
      </c>
      <c r="F79" t="b">
        <v>1</v>
      </c>
      <c r="H79" t="inlineStr">
        <is>
          <t>2019-01-04 | PARCEL |  A200 | 13.0000 unit</t>
        </is>
      </c>
      <c r="I79" s="5" t="inlineStr">
        <is>
          <t>01a1212c-6efc-7025-a8fa-f64dee1d5081</t>
        </is>
      </c>
      <c r="J79" t="n">
        <v>13</v>
      </c>
      <c r="K79" t="n">
        <v>1</v>
      </c>
      <c r="L79" s="6" t="n">
        <v>43469</v>
      </c>
      <c r="O79" t="inlineStr">
        <is>
          <t>A200</t>
        </is>
      </c>
      <c r="P79" t="n">
        <v>13</v>
      </c>
      <c r="Q79" t="b">
        <v>0</v>
      </c>
      <c r="R79" t="inlineStr">
        <is>
          <t>AUD</t>
        </is>
      </c>
      <c r="S79" t="n">
        <v>0.730769</v>
      </c>
      <c r="T79" t="inlineStr">
        <is>
          <t>AUD</t>
        </is>
      </c>
      <c r="U79" t="n">
        <v>1241.4537</v>
      </c>
      <c r="V79" t="inlineStr">
        <is>
          <t>AUD</t>
        </is>
      </c>
      <c r="W79" t="n">
        <v>95.496438</v>
      </c>
      <c r="X79" t="n">
        <v/>
      </c>
    </row>
    <row r="80">
      <c r="A80" s="5" t="inlineStr">
        <is>
          <t>01a1212c-6f14-75ce-b122-ae5ab106d8e8</t>
        </is>
      </c>
      <c r="C80" s="5" t="inlineStr">
        <is>
          <t>01a1212c-4b57-70cf-80fd-c2192cb3bf81</t>
        </is>
      </c>
      <c r="D80" s="4" t="n">
        <v>46304.62410393745</v>
      </c>
      <c r="E80" s="4" t="n">
        <v>46304.62431786535</v>
      </c>
      <c r="F80" t="b">
        <v>1</v>
      </c>
      <c r="H80" t="inlineStr">
        <is>
          <t>2019-01-04 | PARCEL |  VGS | 23.0000 unit</t>
        </is>
      </c>
      <c r="I80" s="5" t="inlineStr">
        <is>
          <t>01a1212c-6f12-75c6-bf14-a8dfed49a49b</t>
        </is>
      </c>
      <c r="J80" t="n">
        <v>23</v>
      </c>
      <c r="K80" t="n">
        <v>1</v>
      </c>
      <c r="L80" s="6" t="n">
        <v>43469</v>
      </c>
      <c r="O80" t="inlineStr">
        <is>
          <t>VGS</t>
        </is>
      </c>
      <c r="P80" t="n">
        <v>23</v>
      </c>
      <c r="Q80" t="b">
        <v>0</v>
      </c>
      <c r="R80" t="inlineStr">
        <is>
          <t>AUD</t>
        </is>
      </c>
      <c r="S80" t="n">
        <v>0.413043</v>
      </c>
      <c r="T80" t="inlineStr">
        <is>
          <t>AUD</t>
        </is>
      </c>
      <c r="U80" t="n">
        <v>1511.9638</v>
      </c>
      <c r="V80" t="inlineStr">
        <is>
          <t>AUD</t>
        </is>
      </c>
      <c r="W80" t="n">
        <v>65.737557</v>
      </c>
      <c r="X80" t="n">
        <v/>
      </c>
    </row>
    <row r="81">
      <c r="A81" s="5" t="inlineStr">
        <is>
          <t>01a1212c-6f2a-72fc-951c-e1b3b59a3675</t>
        </is>
      </c>
      <c r="C81" s="5" t="inlineStr">
        <is>
          <t>01a1212c-4b57-70cf-80fd-c2192cb3bf81</t>
        </is>
      </c>
      <c r="D81" s="4" t="n">
        <v>46304.62410419589</v>
      </c>
      <c r="E81" s="4" t="n">
        <v>46304.62421750752</v>
      </c>
      <c r="F81" t="b">
        <v>0</v>
      </c>
      <c r="H81" t="inlineStr">
        <is>
          <t>2019-01-07 | PARCEL |  AMZN | 1.0000 unit</t>
        </is>
      </c>
      <c r="I81" s="5" t="inlineStr">
        <is>
          <t>01a1212c-6f27-72f6-ae30-8e238e0b45b9</t>
        </is>
      </c>
      <c r="J81" t="n">
        <v>1</v>
      </c>
      <c r="K81" t="n">
        <v>1</v>
      </c>
      <c r="L81" s="6" t="n">
        <v>43472</v>
      </c>
      <c r="M81" s="6" t="n">
        <v>44718</v>
      </c>
      <c r="O81" t="inlineStr">
        <is>
          <t>AMZN</t>
        </is>
      </c>
      <c r="P81" t="n">
        <v>0</v>
      </c>
      <c r="Q81" t="b">
        <v>1</v>
      </c>
      <c r="R81" t="inlineStr">
        <is>
          <t>AUD</t>
        </is>
      </c>
      <c r="S81" t="n">
        <v>0</v>
      </c>
      <c r="T81" t="inlineStr">
        <is>
          <t>AUD</t>
        </is>
      </c>
      <c r="U81" t="n">
        <v>0</v>
      </c>
      <c r="V81" t="inlineStr">
        <is>
          <t>AUD</t>
        </is>
      </c>
      <c r="W81" t="n">
        <v>0</v>
      </c>
      <c r="X81" t="n">
        <v/>
      </c>
    </row>
    <row r="82">
      <c r="A82" s="5" t="inlineStr">
        <is>
          <t>01a1212c-6f3f-76d2-bfcb-3c0b514d7327</t>
        </is>
      </c>
      <c r="C82" s="5" t="inlineStr">
        <is>
          <t>01a1212c-4b57-70cf-80fd-c2192cb3bf81</t>
        </is>
      </c>
      <c r="D82" s="4" t="n">
        <v>46304.62410444134</v>
      </c>
      <c r="E82" s="4" t="n">
        <v>46304.62430530627</v>
      </c>
      <c r="F82" t="b">
        <v>1</v>
      </c>
      <c r="H82" t="inlineStr">
        <is>
          <t>2019-02-05 | PARCEL |  A200 | 14.0000 unit</t>
        </is>
      </c>
      <c r="I82" s="5" t="inlineStr">
        <is>
          <t>01a1212c-6f3e-75ac-beb7-e60447870ff5</t>
        </is>
      </c>
      <c r="J82" t="n">
        <v>14</v>
      </c>
      <c r="K82" t="n">
        <v>1</v>
      </c>
      <c r="L82" s="6" t="n">
        <v>43501</v>
      </c>
      <c r="O82" t="inlineStr">
        <is>
          <t>A200</t>
        </is>
      </c>
      <c r="P82" t="n">
        <v>14</v>
      </c>
      <c r="Q82" t="b">
        <v>0</v>
      </c>
      <c r="R82" t="inlineStr">
        <is>
          <t>AUD</t>
        </is>
      </c>
      <c r="S82" t="n">
        <v>0.678571</v>
      </c>
      <c r="T82" t="inlineStr">
        <is>
          <t>AUD</t>
        </is>
      </c>
      <c r="U82" t="n">
        <v>1430.9338</v>
      </c>
      <c r="V82" t="inlineStr">
        <is>
          <t>AUD</t>
        </is>
      </c>
      <c r="W82" t="n">
        <v>102.209557</v>
      </c>
      <c r="X82" t="n">
        <v/>
      </c>
    </row>
    <row r="83">
      <c r="A83" s="5" t="inlineStr">
        <is>
          <t>01a1212c-6f53-7010-bee2-43a946747025</t>
        </is>
      </c>
      <c r="C83" s="5" t="inlineStr">
        <is>
          <t>01a1212c-4b57-70cf-80fd-c2192cb3bf81</t>
        </is>
      </c>
      <c r="D83" s="4" t="n">
        <v>46304.62410467664</v>
      </c>
      <c r="E83" s="4" t="n">
        <v>46304.62431591505</v>
      </c>
      <c r="F83" t="b">
        <v>1</v>
      </c>
      <c r="H83" t="inlineStr">
        <is>
          <t>2019-02-05 | PARCEL |  VGS | 26.0000 unit</t>
        </is>
      </c>
      <c r="I83" s="5" t="inlineStr">
        <is>
          <t>01a1212c-6f52-7268-9807-2b835fde3283</t>
        </is>
      </c>
      <c r="J83" t="n">
        <v>26</v>
      </c>
      <c r="K83" t="n">
        <v>1</v>
      </c>
      <c r="L83" s="6" t="n">
        <v>43501</v>
      </c>
      <c r="O83" t="inlineStr">
        <is>
          <t>VGS</t>
        </is>
      </c>
      <c r="P83" t="n">
        <v>26</v>
      </c>
      <c r="Q83" t="b">
        <v>0</v>
      </c>
      <c r="R83" t="inlineStr">
        <is>
          <t>AUD</t>
        </is>
      </c>
      <c r="S83" t="n">
        <v>0.365385</v>
      </c>
      <c r="T83" t="inlineStr">
        <is>
          <t>AUD</t>
        </is>
      </c>
      <c r="U83" t="n">
        <v>1809.4316</v>
      </c>
      <c r="V83" t="inlineStr">
        <is>
          <t>AUD</t>
        </is>
      </c>
      <c r="W83" t="n">
        <v>69.593523</v>
      </c>
      <c r="X83" t="n">
        <v/>
      </c>
    </row>
    <row r="84">
      <c r="A84" s="5" t="inlineStr">
        <is>
          <t>01a1212c-6f6a-77eb-9cc2-fc7b8077ff4c</t>
        </is>
      </c>
      <c r="C84" s="5" t="inlineStr">
        <is>
          <t>01a1212c-4b57-70cf-80fd-c2192cb3bf81</t>
        </is>
      </c>
      <c r="D84" s="4" t="n">
        <v>46304.62410493351</v>
      </c>
      <c r="E84" s="4" t="n">
        <v>46304.62421761703</v>
      </c>
      <c r="F84" t="b">
        <v>0</v>
      </c>
      <c r="H84" t="inlineStr">
        <is>
          <t>2019-02-06 | PARCEL |  AMZN | 1.0000 unit</t>
        </is>
      </c>
      <c r="I84" s="5" t="inlineStr">
        <is>
          <t>01a1212c-6f67-7210-8b21-e20f1a8220e0</t>
        </is>
      </c>
      <c r="J84" t="n">
        <v>1</v>
      </c>
      <c r="K84" t="n">
        <v>1</v>
      </c>
      <c r="L84" s="6" t="n">
        <v>43502</v>
      </c>
      <c r="M84" s="6" t="n">
        <v>44718</v>
      </c>
      <c r="O84" t="inlineStr">
        <is>
          <t>AMZN</t>
        </is>
      </c>
      <c r="P84" t="n">
        <v>0</v>
      </c>
      <c r="Q84" t="b">
        <v>1</v>
      </c>
      <c r="R84" t="inlineStr">
        <is>
          <t>AUD</t>
        </is>
      </c>
      <c r="S84" t="n">
        <v>0</v>
      </c>
      <c r="T84" t="inlineStr">
        <is>
          <t>AUD</t>
        </is>
      </c>
      <c r="U84" t="n">
        <v>0</v>
      </c>
      <c r="V84" t="inlineStr">
        <is>
          <t>AUD</t>
        </is>
      </c>
      <c r="W84" t="n">
        <v>0</v>
      </c>
      <c r="X84" t="n">
        <v/>
      </c>
    </row>
    <row r="85">
      <c r="A85" s="5" t="inlineStr">
        <is>
          <t>01a1212c-6f7f-718f-b160-46cb1bfec403</t>
        </is>
      </c>
      <c r="C85" s="5" t="inlineStr">
        <is>
          <t>01a1212c-4b57-70cf-80fd-c2192cb3bf81</t>
        </is>
      </c>
      <c r="D85" s="4" t="n">
        <v>46304.62410517742</v>
      </c>
      <c r="E85" s="4" t="n">
        <v>46304.62430273737</v>
      </c>
      <c r="F85" t="b">
        <v>1</v>
      </c>
      <c r="H85" t="inlineStr">
        <is>
          <t>2019-03-04 | PARCEL |  A200 | 8.0000 unit</t>
        </is>
      </c>
      <c r="I85" s="5" t="inlineStr">
        <is>
          <t>01a1212c-6f7e-70f1-941f-ca4b41bf3d1d</t>
        </is>
      </c>
      <c r="J85" t="n">
        <v>8</v>
      </c>
      <c r="K85" t="n">
        <v>1</v>
      </c>
      <c r="L85" s="6" t="n">
        <v>43528</v>
      </c>
      <c r="O85" t="inlineStr">
        <is>
          <t>A200</t>
        </is>
      </c>
      <c r="P85" t="n">
        <v>8</v>
      </c>
      <c r="Q85" t="b">
        <v>0</v>
      </c>
      <c r="R85" t="inlineStr">
        <is>
          <t>AUD</t>
        </is>
      </c>
      <c r="S85" t="n">
        <v>1.1875</v>
      </c>
      <c r="T85" t="inlineStr">
        <is>
          <t>AUD</t>
        </is>
      </c>
      <c r="U85" t="n">
        <v>855.5689</v>
      </c>
      <c r="V85" t="inlineStr">
        <is>
          <t>AUD</t>
        </is>
      </c>
      <c r="W85" t="n">
        <v>106.946112</v>
      </c>
      <c r="X85" t="n">
        <v/>
      </c>
    </row>
    <row r="86">
      <c r="A86" s="5" t="inlineStr">
        <is>
          <t>01a1212c-6f94-71c9-8280-59efd47efd80</t>
        </is>
      </c>
      <c r="C86" s="5" t="inlineStr">
        <is>
          <t>01a1212c-4b57-70cf-80fd-c2192cb3bf81</t>
        </is>
      </c>
      <c r="D86" s="4" t="n">
        <v>46304.62410542619</v>
      </c>
      <c r="E86" s="4" t="n">
        <v>46304.62431880672</v>
      </c>
      <c r="F86" t="b">
        <v>1</v>
      </c>
      <c r="H86" t="inlineStr">
        <is>
          <t>2019-03-04 | PARCEL |  VGS | 15.0000 unit</t>
        </is>
      </c>
      <c r="I86" s="5" t="inlineStr">
        <is>
          <t>01a1212c-6f93-756c-95b1-32b318150d69</t>
        </is>
      </c>
      <c r="J86" t="n">
        <v>15</v>
      </c>
      <c r="K86" t="n">
        <v>1</v>
      </c>
      <c r="L86" s="6" t="n">
        <v>43528</v>
      </c>
      <c r="O86" t="inlineStr">
        <is>
          <t>VGS</t>
        </is>
      </c>
      <c r="P86" t="n">
        <v>15</v>
      </c>
      <c r="Q86" t="b">
        <v>0</v>
      </c>
      <c r="R86" t="inlineStr">
        <is>
          <t>AUD</t>
        </is>
      </c>
      <c r="S86" t="n">
        <v>0.633333</v>
      </c>
      <c r="T86" t="inlineStr">
        <is>
          <t>AUD</t>
        </is>
      </c>
      <c r="U86" t="n">
        <v>1109.9412</v>
      </c>
      <c r="V86" t="inlineStr">
        <is>
          <t>AUD</t>
        </is>
      </c>
      <c r="W86" t="n">
        <v>73.99608000000001</v>
      </c>
      <c r="X86" t="n">
        <v/>
      </c>
    </row>
    <row r="87">
      <c r="A87" s="5" t="inlineStr">
        <is>
          <t>01a1212c-6fac-76e5-bb28-9e374b6000b7</t>
        </is>
      </c>
      <c r="C87" s="5" t="inlineStr">
        <is>
          <t>01a1212c-4b57-70cf-80fd-c2192cb3bf81</t>
        </is>
      </c>
      <c r="D87" s="4" t="n">
        <v>46304.62410569941</v>
      </c>
      <c r="E87" s="4" t="n">
        <v>46304.62420420001</v>
      </c>
      <c r="F87" t="b">
        <v>0</v>
      </c>
      <c r="H87" t="inlineStr">
        <is>
          <t>2019-03-11 | PARCEL |  AAPL | 2.0000 unit</t>
        </is>
      </c>
      <c r="I87" s="5" t="inlineStr">
        <is>
          <t>01a1212c-6fa9-74e9-9167-1ccb66b3496e</t>
        </is>
      </c>
      <c r="J87" t="n">
        <v>2</v>
      </c>
      <c r="K87" t="n">
        <v>1</v>
      </c>
      <c r="L87" s="6" t="n">
        <v>43535</v>
      </c>
      <c r="M87" s="6" t="n">
        <v>44074</v>
      </c>
      <c r="O87" t="inlineStr">
        <is>
          <t>AAPL</t>
        </is>
      </c>
      <c r="P87" t="n">
        <v>0</v>
      </c>
      <c r="Q87" t="b">
        <v>1</v>
      </c>
      <c r="R87" t="inlineStr">
        <is>
          <t>AUD</t>
        </is>
      </c>
      <c r="S87" t="n">
        <v>0</v>
      </c>
      <c r="T87" t="inlineStr">
        <is>
          <t>AUD</t>
        </is>
      </c>
      <c r="U87" t="n">
        <v>0</v>
      </c>
      <c r="V87" t="inlineStr">
        <is>
          <t>AUD</t>
        </is>
      </c>
      <c r="W87" t="n">
        <v>0</v>
      </c>
      <c r="X87" t="n">
        <v/>
      </c>
    </row>
    <row r="88">
      <c r="A88" s="5" t="inlineStr">
        <is>
          <t>01a1212c-6fc2-71f6-890f-f7e761000531</t>
        </is>
      </c>
      <c r="C88" s="5" t="inlineStr">
        <is>
          <t>01a1212c-4b57-70cf-80fd-c2192cb3bf81</t>
        </is>
      </c>
      <c r="D88" s="4" t="n">
        <v>46304.62410595383</v>
      </c>
      <c r="E88" s="4" t="n">
        <v>46304.62430405724</v>
      </c>
      <c r="F88" t="b">
        <v>1</v>
      </c>
      <c r="H88" t="inlineStr">
        <is>
          <t>2019-04-02 | PARCEL |  A200 | 8.0000 unit</t>
        </is>
      </c>
      <c r="I88" s="5" t="inlineStr">
        <is>
          <t>01a1212c-6fc1-7124-9802-0fb4b7e19ea5</t>
        </is>
      </c>
      <c r="J88" t="n">
        <v>8</v>
      </c>
      <c r="K88" t="n">
        <v>1</v>
      </c>
      <c r="L88" s="6" t="n">
        <v>43557</v>
      </c>
      <c r="O88" t="inlineStr">
        <is>
          <t>A200</t>
        </is>
      </c>
      <c r="P88" t="n">
        <v>8</v>
      </c>
      <c r="Q88" t="b">
        <v>0</v>
      </c>
      <c r="R88" t="inlineStr">
        <is>
          <t>AUD</t>
        </is>
      </c>
      <c r="S88" t="n">
        <v>1.1875</v>
      </c>
      <c r="T88" t="inlineStr">
        <is>
          <t>AUD</t>
        </is>
      </c>
      <c r="U88" t="n">
        <v>854.5825</v>
      </c>
      <c r="V88" t="inlineStr">
        <is>
          <t>AUD</t>
        </is>
      </c>
      <c r="W88" t="n">
        <v>106.822812</v>
      </c>
      <c r="X88" t="n">
        <v/>
      </c>
    </row>
    <row r="89">
      <c r="A89" s="5" t="inlineStr">
        <is>
          <t>01a1212c-6fd7-7372-ba43-20c51ef00ee0</t>
        </is>
      </c>
      <c r="C89" s="5" t="inlineStr">
        <is>
          <t>01a1212c-4b57-70cf-80fd-c2192cb3bf81</t>
        </is>
      </c>
      <c r="D89" s="4" t="n">
        <v>46304.62410619394</v>
      </c>
      <c r="E89" s="4" t="n">
        <v>46304.62431517961</v>
      </c>
      <c r="F89" t="b">
        <v>1</v>
      </c>
      <c r="H89" t="inlineStr">
        <is>
          <t>2019-04-02 | PARCEL |  VGS | 14.0000 unit</t>
        </is>
      </c>
      <c r="I89" s="5" t="inlineStr">
        <is>
          <t>01a1212c-6fd5-7352-a690-dca3e848be74</t>
        </is>
      </c>
      <c r="J89" t="n">
        <v>14</v>
      </c>
      <c r="K89" t="n">
        <v>1</v>
      </c>
      <c r="L89" s="6" t="n">
        <v>43557</v>
      </c>
      <c r="O89" t="inlineStr">
        <is>
          <t>VGS</t>
        </is>
      </c>
      <c r="P89" t="n">
        <v>14</v>
      </c>
      <c r="Q89" t="b">
        <v>0</v>
      </c>
      <c r="R89" t="inlineStr">
        <is>
          <t>AUD</t>
        </is>
      </c>
      <c r="S89" t="n">
        <v>0.678571</v>
      </c>
      <c r="T89" t="inlineStr">
        <is>
          <t>AUD</t>
        </is>
      </c>
      <c r="U89" t="n">
        <v>1044.6174</v>
      </c>
      <c r="V89" t="inlineStr">
        <is>
          <t>AUD</t>
        </is>
      </c>
      <c r="W89" t="n">
        <v>74.615529</v>
      </c>
      <c r="X89" t="n">
        <v/>
      </c>
    </row>
    <row r="90">
      <c r="A90" s="5" t="inlineStr">
        <is>
          <t>01a1212c-6feb-74aa-bf31-ee2f8fd37754</t>
        </is>
      </c>
      <c r="C90" s="5" t="inlineStr">
        <is>
          <t>01a1212c-4b57-70cf-80fd-c2192cb3bf81</t>
        </is>
      </c>
      <c r="D90" s="4" t="n">
        <v>46304.62410643353</v>
      </c>
      <c r="E90" s="4" t="n">
        <v>46304.62430366272</v>
      </c>
      <c r="F90" t="b">
        <v>1</v>
      </c>
      <c r="H90" t="inlineStr">
        <is>
          <t>2019-05-06 | PARCEL |  A200 | 14.0000 unit</t>
        </is>
      </c>
      <c r="I90" s="5" t="inlineStr">
        <is>
          <t>01a1212c-6fea-70d1-b3a0-b83782053dba</t>
        </is>
      </c>
      <c r="J90" t="n">
        <v>14</v>
      </c>
      <c r="K90" t="n">
        <v>1</v>
      </c>
      <c r="L90" s="6" t="n">
        <v>43591</v>
      </c>
      <c r="O90" t="inlineStr">
        <is>
          <t>A200</t>
        </is>
      </c>
      <c r="P90" t="n">
        <v>14</v>
      </c>
      <c r="Q90" t="b">
        <v>0</v>
      </c>
      <c r="R90" t="inlineStr">
        <is>
          <t>AUD</t>
        </is>
      </c>
      <c r="S90" t="n">
        <v>0.678571</v>
      </c>
      <c r="T90" t="inlineStr">
        <is>
          <t>AUD</t>
        </is>
      </c>
      <c r="U90" t="n">
        <v>1495.5961</v>
      </c>
      <c r="V90" t="inlineStr">
        <is>
          <t>AUD</t>
        </is>
      </c>
      <c r="W90" t="n">
        <v>106.828293</v>
      </c>
      <c r="X90" t="n">
        <v/>
      </c>
    </row>
    <row r="91">
      <c r="A91" s="5" t="inlineStr">
        <is>
          <t>01a1212c-7000-7766-ae79-871c98d5aa0c</t>
        </is>
      </c>
      <c r="C91" s="5" t="inlineStr">
        <is>
          <t>01a1212c-4b57-70cf-80fd-c2192cb3bf81</t>
        </is>
      </c>
      <c r="D91" s="4" t="n">
        <v>46304.62410667128</v>
      </c>
      <c r="E91" s="4" t="n">
        <v>46304.62431745754</v>
      </c>
      <c r="F91" t="b">
        <v>1</v>
      </c>
      <c r="H91" t="inlineStr">
        <is>
          <t>2019-05-06 | PARCEL |  VGS | 25.0000 unit</t>
        </is>
      </c>
      <c r="I91" s="5" t="inlineStr">
        <is>
          <t>01a1212c-6fff-7666-b7df-a4a3468e6852</t>
        </is>
      </c>
      <c r="J91" t="n">
        <v>25</v>
      </c>
      <c r="K91" t="n">
        <v>1</v>
      </c>
      <c r="L91" s="6" t="n">
        <v>43591</v>
      </c>
      <c r="O91" t="inlineStr">
        <is>
          <t>VGS</t>
        </is>
      </c>
      <c r="P91" t="n">
        <v>25</v>
      </c>
      <c r="Q91" t="b">
        <v>0</v>
      </c>
      <c r="R91" t="inlineStr">
        <is>
          <t>AUD</t>
        </is>
      </c>
      <c r="S91" t="n">
        <v>0.38</v>
      </c>
      <c r="T91" t="inlineStr">
        <is>
          <t>AUD</t>
        </is>
      </c>
      <c r="U91" t="n">
        <v>1902.0047</v>
      </c>
      <c r="V91" t="inlineStr">
        <is>
          <t>AUD</t>
        </is>
      </c>
      <c r="W91" t="n">
        <v>76.08018800000001</v>
      </c>
      <c r="X91" t="n">
        <v/>
      </c>
    </row>
    <row r="92">
      <c r="A92" s="5" t="inlineStr">
        <is>
          <t>01a1212c-7014-7234-b2a6-2982f2ea46fd</t>
        </is>
      </c>
      <c r="C92" s="5" t="inlineStr">
        <is>
          <t>01a1212c-4b57-70cf-80fd-c2192cb3bf81</t>
        </is>
      </c>
      <c r="D92" s="4" t="n">
        <v>46304.62410691002</v>
      </c>
      <c r="E92" s="4" t="n">
        <v>46304.62421659337</v>
      </c>
      <c r="F92" t="b">
        <v>1</v>
      </c>
      <c r="H92" t="inlineStr">
        <is>
          <t>2019-05-20 | PARCEL |  WES | 23.0000 unit</t>
        </is>
      </c>
      <c r="I92" s="5" t="inlineStr">
        <is>
          <t>01a1212c-7013-702a-bd5f-d5b235a1951a</t>
        </is>
      </c>
      <c r="J92" t="n">
        <v>23</v>
      </c>
      <c r="K92" t="n">
        <v>1</v>
      </c>
      <c r="L92" s="6" t="n">
        <v>43605</v>
      </c>
      <c r="N92" s="6" t="n">
        <v>44642</v>
      </c>
      <c r="O92" t="inlineStr">
        <is>
          <t>WES</t>
        </is>
      </c>
      <c r="P92" t="n">
        <v>0</v>
      </c>
      <c r="Q92" t="b">
        <v>1</v>
      </c>
      <c r="R92" t="inlineStr">
        <is>
          <t>AUD</t>
        </is>
      </c>
      <c r="S92" t="n">
        <v>0.867391</v>
      </c>
      <c r="T92" t="inlineStr">
        <is>
          <t>AUD</t>
        </is>
      </c>
      <c r="U92" t="n">
        <v>864.28</v>
      </c>
      <c r="V92" t="inlineStr">
        <is>
          <t>AUD</t>
        </is>
      </c>
      <c r="W92" t="n">
        <v>37.577391</v>
      </c>
      <c r="X92" t="n">
        <v/>
      </c>
    </row>
    <row r="93">
      <c r="A93" s="5" t="inlineStr">
        <is>
          <t>01a1212c-7028-718e-b2ce-9f6f2a580d3c</t>
        </is>
      </c>
      <c r="C93" s="5" t="inlineStr">
        <is>
          <t>01a1212c-4b57-70cf-80fd-c2192cb3bf81</t>
        </is>
      </c>
      <c r="D93" s="4" t="n">
        <v>46304.62410713787</v>
      </c>
      <c r="E93" s="4" t="n">
        <v>46304.62430526564</v>
      </c>
      <c r="F93" t="b">
        <v>1</v>
      </c>
      <c r="H93" t="inlineStr">
        <is>
          <t>2019-06-04 | PARCEL |  A200 | 14.0000 unit</t>
        </is>
      </c>
      <c r="I93" s="5" t="inlineStr">
        <is>
          <t>01a1212c-7027-72ee-8c15-1eb67e5face5</t>
        </is>
      </c>
      <c r="J93" t="n">
        <v>14</v>
      </c>
      <c r="K93" t="n">
        <v>1</v>
      </c>
      <c r="L93" s="6" t="n">
        <v>43620</v>
      </c>
      <c r="O93" t="inlineStr">
        <is>
          <t>A200</t>
        </is>
      </c>
      <c r="P93" t="n">
        <v>14</v>
      </c>
      <c r="Q93" t="b">
        <v>0</v>
      </c>
      <c r="R93" t="inlineStr">
        <is>
          <t>AUD</t>
        </is>
      </c>
      <c r="S93" t="n">
        <v>0.678571</v>
      </c>
      <c r="T93" t="inlineStr">
        <is>
          <t>AUD</t>
        </is>
      </c>
      <c r="U93" t="n">
        <v>1518.2299</v>
      </c>
      <c r="V93" t="inlineStr">
        <is>
          <t>AUD</t>
        </is>
      </c>
      <c r="W93" t="n">
        <v>108.444993</v>
      </c>
      <c r="X93" t="n">
        <v/>
      </c>
    </row>
    <row r="94">
      <c r="A94" s="5" t="inlineStr">
        <is>
          <t>01a1212c-703e-7558-9c38-d3ff61fb4ef7</t>
        </is>
      </c>
      <c r="C94" s="5" t="inlineStr">
        <is>
          <t>01a1212c-4b57-70cf-80fd-c2192cb3bf81</t>
        </is>
      </c>
      <c r="D94" s="4" t="n">
        <v>46304.62410738644</v>
      </c>
      <c r="E94" s="4" t="n">
        <v>46304.62431856383</v>
      </c>
      <c r="F94" t="b">
        <v>1</v>
      </c>
      <c r="H94" t="inlineStr">
        <is>
          <t>2019-06-04 | PARCEL |  VGS | 26.0000 unit</t>
        </is>
      </c>
      <c r="I94" s="5" t="inlineStr">
        <is>
          <t>01a1212c-703c-7165-b226-dab65be84f19</t>
        </is>
      </c>
      <c r="J94" t="n">
        <v>26</v>
      </c>
      <c r="K94" t="n">
        <v>1</v>
      </c>
      <c r="L94" s="6" t="n">
        <v>43620</v>
      </c>
      <c r="O94" t="inlineStr">
        <is>
          <t>VGS</t>
        </is>
      </c>
      <c r="P94" t="n">
        <v>26</v>
      </c>
      <c r="Q94" t="b">
        <v>0</v>
      </c>
      <c r="R94" t="inlineStr">
        <is>
          <t>AUD</t>
        </is>
      </c>
      <c r="S94" t="n">
        <v>0.365385</v>
      </c>
      <c r="T94" t="inlineStr">
        <is>
          <t>AUD</t>
        </is>
      </c>
      <c r="U94" t="n">
        <v>1898.5147</v>
      </c>
      <c r="V94" t="inlineStr">
        <is>
          <t>AUD</t>
        </is>
      </c>
      <c r="W94" t="n">
        <v>73.019796</v>
      </c>
      <c r="X94" t="n">
        <v/>
      </c>
    </row>
    <row r="95">
      <c r="A95" s="5" t="inlineStr">
        <is>
          <t>01a1212c-7053-76b5-a0ea-66613acd2f40</t>
        </is>
      </c>
      <c r="C95" s="5" t="inlineStr">
        <is>
          <t>01a1212c-4b57-70cf-80fd-c2192cb3bf81</t>
        </is>
      </c>
      <c r="D95" s="4" t="n">
        <v>46304.62410763</v>
      </c>
      <c r="E95" s="4" t="n">
        <v>46304.62410763006</v>
      </c>
      <c r="F95" t="b">
        <v>1</v>
      </c>
      <c r="H95" t="inlineStr">
        <is>
          <t>2019-06-17 | PARCEL |  CBA | 14.0000 unit</t>
        </is>
      </c>
      <c r="I95" s="5" t="inlineStr">
        <is>
          <t>01a1212c-7051-7001-9afd-a6e55d99c2a1</t>
        </is>
      </c>
      <c r="J95" t="n">
        <v>14</v>
      </c>
      <c r="K95" t="n">
        <v>1</v>
      </c>
      <c r="L95" s="6" t="n">
        <v>43633</v>
      </c>
      <c r="O95" t="inlineStr">
        <is>
          <t>CBA</t>
        </is>
      </c>
      <c r="P95" t="n">
        <v>14</v>
      </c>
      <c r="Q95" t="b">
        <v>0</v>
      </c>
      <c r="R95" t="inlineStr">
        <is>
          <t>AUD</t>
        </is>
      </c>
      <c r="S95" t="n">
        <v>1.425</v>
      </c>
      <c r="T95" t="inlineStr">
        <is>
          <t>AUD</t>
        </is>
      </c>
      <c r="U95" t="n">
        <v>1142.61</v>
      </c>
      <c r="V95" t="inlineStr">
        <is>
          <t>AUD</t>
        </is>
      </c>
      <c r="W95" t="n">
        <v>81.61499999999999</v>
      </c>
      <c r="X95" t="n">
        <v/>
      </c>
    </row>
    <row r="96">
      <c r="A96" s="5" t="inlineStr">
        <is>
          <t>01a1212c-7066-75c9-8133-7c1e7c12164e</t>
        </is>
      </c>
      <c r="C96" s="5" t="inlineStr">
        <is>
          <t>01a1212c-4b57-70cf-80fd-c2192cb3bf81</t>
        </is>
      </c>
      <c r="D96" s="4" t="n">
        <v>46304.62410785665</v>
      </c>
      <c r="E96" s="4" t="n">
        <v>46304.6243032433</v>
      </c>
      <c r="F96" t="b">
        <v>1</v>
      </c>
      <c r="H96" t="inlineStr">
        <is>
          <t>2019-07-05 | PARCEL |  A200 | 10.0000 unit</t>
        </is>
      </c>
      <c r="I96" s="5" t="inlineStr">
        <is>
          <t>01a1212c-7065-7436-9e42-9091eaa047d9</t>
        </is>
      </c>
      <c r="J96" t="n">
        <v>10</v>
      </c>
      <c r="K96" t="n">
        <v>1</v>
      </c>
      <c r="L96" s="6" t="n">
        <v>43651</v>
      </c>
      <c r="O96" t="inlineStr">
        <is>
          <t>A200</t>
        </is>
      </c>
      <c r="P96" t="n">
        <v>10</v>
      </c>
      <c r="Q96" t="b">
        <v>0</v>
      </c>
      <c r="R96" t="inlineStr">
        <is>
          <t>AUD</t>
        </is>
      </c>
      <c r="S96" t="n">
        <v>0.95</v>
      </c>
      <c r="T96" t="inlineStr">
        <is>
          <t>AUD</t>
        </is>
      </c>
      <c r="U96" t="n">
        <v>1148.7142</v>
      </c>
      <c r="V96" t="inlineStr">
        <is>
          <t>AUD</t>
        </is>
      </c>
      <c r="W96" t="n">
        <v>114.87142</v>
      </c>
      <c r="X96" t="n">
        <v/>
      </c>
    </row>
    <row r="97">
      <c r="A97" s="5" t="inlineStr">
        <is>
          <t>01a1212c-707c-755a-b99a-7381b4688633</t>
        </is>
      </c>
      <c r="C97" s="5" t="inlineStr">
        <is>
          <t>01a1212c-4b57-70cf-80fd-c2192cb3bf81</t>
        </is>
      </c>
      <c r="D97" s="4" t="n">
        <v>46304.62410811413</v>
      </c>
      <c r="E97" s="4" t="n">
        <v>46304.62410811419</v>
      </c>
      <c r="F97" t="b">
        <v>1</v>
      </c>
      <c r="H97" t="inlineStr">
        <is>
          <t>2019-07-05 | PARCEL |  MSFT | 6.0000 unit</t>
        </is>
      </c>
      <c r="I97" s="5" t="inlineStr">
        <is>
          <t>01a1212c-707a-7515-926e-4b2f01bff306</t>
        </is>
      </c>
      <c r="J97" t="n">
        <v>6</v>
      </c>
      <c r="K97" t="n">
        <v>1</v>
      </c>
      <c r="L97" s="6" t="n">
        <v>43651</v>
      </c>
      <c r="O97" t="inlineStr">
        <is>
          <t>MSFT</t>
        </is>
      </c>
      <c r="P97" t="n">
        <v>6</v>
      </c>
      <c r="Q97" t="b">
        <v>0</v>
      </c>
      <c r="R97" t="inlineStr">
        <is>
          <t>AUD</t>
        </is>
      </c>
      <c r="S97" t="n">
        <v>1.25</v>
      </c>
      <c r="T97" t="inlineStr">
        <is>
          <t>AUD</t>
        </is>
      </c>
      <c r="U97" t="n">
        <v>1241.04</v>
      </c>
      <c r="V97" t="inlineStr">
        <is>
          <t>AUD</t>
        </is>
      </c>
      <c r="W97" t="n">
        <v>206.84</v>
      </c>
      <c r="X97" t="n">
        <v/>
      </c>
    </row>
    <row r="98">
      <c r="A98" s="5" t="inlineStr">
        <is>
          <t>01a1212c-7093-74e6-b33d-06958030fa15</t>
        </is>
      </c>
      <c r="C98" s="5" t="inlineStr">
        <is>
          <t>01a1212c-4b57-70cf-80fd-c2192cb3bf81</t>
        </is>
      </c>
      <c r="D98" s="4" t="n">
        <v>46304.62410837012</v>
      </c>
      <c r="E98" s="4" t="n">
        <v>46304.62431757662</v>
      </c>
      <c r="F98" t="b">
        <v>1</v>
      </c>
      <c r="H98" t="inlineStr">
        <is>
          <t>2019-07-05 | PARCEL |  VGS | 18.0000 unit</t>
        </is>
      </c>
      <c r="I98" s="5" t="inlineStr">
        <is>
          <t>01a1212c-7091-77a8-9f6f-4c7b7f2bb7ce</t>
        </is>
      </c>
      <c r="J98" t="n">
        <v>18</v>
      </c>
      <c r="K98" t="n">
        <v>1</v>
      </c>
      <c r="L98" s="6" t="n">
        <v>43651</v>
      </c>
      <c r="O98" t="inlineStr">
        <is>
          <t>VGS</t>
        </is>
      </c>
      <c r="P98" t="n">
        <v>18</v>
      </c>
      <c r="Q98" t="b">
        <v>0</v>
      </c>
      <c r="R98" t="inlineStr">
        <is>
          <t>AUD</t>
        </is>
      </c>
      <c r="S98" t="n">
        <v>0.527778</v>
      </c>
      <c r="T98" t="inlineStr">
        <is>
          <t>AUD</t>
        </is>
      </c>
      <c r="U98" t="n">
        <v>1401.3851</v>
      </c>
      <c r="V98" t="inlineStr">
        <is>
          <t>AUD</t>
        </is>
      </c>
      <c r="W98" t="n">
        <v>77.85472799999999</v>
      </c>
      <c r="X98" t="n">
        <v/>
      </c>
    </row>
    <row r="99">
      <c r="A99" s="5" t="inlineStr">
        <is>
          <t>01a1212c-70a9-75ca-85f0-85669f6327ea</t>
        </is>
      </c>
      <c r="C99" s="5" t="inlineStr">
        <is>
          <t>01a1212c-4b57-70cf-80fd-c2192cb3bf81</t>
        </is>
      </c>
      <c r="D99" s="4" t="n">
        <v>46304.62410862589</v>
      </c>
      <c r="E99" s="4" t="n">
        <v>46304.62421773111</v>
      </c>
      <c r="F99" t="b">
        <v>0</v>
      </c>
      <c r="H99" t="inlineStr">
        <is>
          <t>2019-07-12 | PARCEL |  AMZN | 1.0000 unit</t>
        </is>
      </c>
      <c r="I99" s="5" t="inlineStr">
        <is>
          <t>01a1212c-70a6-743b-83db-89232ecb1b6e</t>
        </is>
      </c>
      <c r="J99" t="n">
        <v>1</v>
      </c>
      <c r="K99" t="n">
        <v>1</v>
      </c>
      <c r="L99" s="6" t="n">
        <v>43658</v>
      </c>
      <c r="M99" s="6" t="n">
        <v>44718</v>
      </c>
      <c r="O99" t="inlineStr">
        <is>
          <t>AMZN</t>
        </is>
      </c>
      <c r="P99" t="n">
        <v>0</v>
      </c>
      <c r="Q99" t="b">
        <v>1</v>
      </c>
      <c r="R99" t="inlineStr">
        <is>
          <t>AUD</t>
        </is>
      </c>
      <c r="S99" t="n">
        <v>0</v>
      </c>
      <c r="T99" t="inlineStr">
        <is>
          <t>AUD</t>
        </is>
      </c>
      <c r="U99" t="n">
        <v>0</v>
      </c>
      <c r="V99" t="inlineStr">
        <is>
          <t>AUD</t>
        </is>
      </c>
      <c r="W99" t="n">
        <v>0</v>
      </c>
      <c r="X99" t="n">
        <v/>
      </c>
    </row>
    <row r="100">
      <c r="A100" s="5" t="inlineStr">
        <is>
          <t>01a1212c-70c0-772a-966f-363572dc7f77</t>
        </is>
      </c>
      <c r="C100" s="5" t="inlineStr">
        <is>
          <t>01a1212c-4b57-70cf-80fd-c2192cb3bf81</t>
        </is>
      </c>
      <c r="D100" s="4" t="n">
        <v>46304.62410889323</v>
      </c>
      <c r="E100" s="4" t="n">
        <v>46304.62421784515</v>
      </c>
      <c r="F100" t="b">
        <v>0</v>
      </c>
      <c r="H100" t="inlineStr">
        <is>
          <t>2019-07-15 | PARCEL |  AMZN | 1.0000 unit</t>
        </is>
      </c>
      <c r="I100" s="5" t="inlineStr">
        <is>
          <t>01a1212c-70bd-70db-bad8-0873db5612b4</t>
        </is>
      </c>
      <c r="J100" t="n">
        <v>1</v>
      </c>
      <c r="K100" t="n">
        <v>1</v>
      </c>
      <c r="L100" s="6" t="n">
        <v>43661</v>
      </c>
      <c r="M100" s="6" t="n">
        <v>44718</v>
      </c>
      <c r="O100" t="inlineStr">
        <is>
          <t>AMZN</t>
        </is>
      </c>
      <c r="P100" t="n">
        <v>0</v>
      </c>
      <c r="Q100" t="b">
        <v>1</v>
      </c>
      <c r="R100" t="inlineStr">
        <is>
          <t>AUD</t>
        </is>
      </c>
      <c r="S100" t="n">
        <v>0</v>
      </c>
      <c r="T100" t="inlineStr">
        <is>
          <t>AUD</t>
        </is>
      </c>
      <c r="U100" t="n">
        <v>0</v>
      </c>
      <c r="V100" t="inlineStr">
        <is>
          <t>AUD</t>
        </is>
      </c>
      <c r="W100" t="n">
        <v>0</v>
      </c>
      <c r="X100" t="n">
        <v/>
      </c>
    </row>
    <row r="101">
      <c r="A101" s="5" t="inlineStr">
        <is>
          <t>01a1212c-70d6-7608-9b7d-a9f3b20fcd42</t>
        </is>
      </c>
      <c r="C101" s="5" t="inlineStr">
        <is>
          <t>01a1212c-4b57-70cf-80fd-c2192cb3bf81</t>
        </is>
      </c>
      <c r="D101" s="4" t="n">
        <v>46304.62410915225</v>
      </c>
      <c r="E101" s="4" t="n">
        <v>46304.62430508577</v>
      </c>
      <c r="F101" t="b">
        <v>1</v>
      </c>
      <c r="H101" t="inlineStr">
        <is>
          <t>2019-08-05 | PARCEL |  A200 | 13.0000 unit</t>
        </is>
      </c>
      <c r="I101" s="5" t="inlineStr">
        <is>
          <t>01a1212c-70d5-73c0-9356-5cd1c368c814</t>
        </is>
      </c>
      <c r="J101" t="n">
        <v>13</v>
      </c>
      <c r="K101" t="n">
        <v>1</v>
      </c>
      <c r="L101" s="6" t="n">
        <v>43682</v>
      </c>
      <c r="O101" t="inlineStr">
        <is>
          <t>A200</t>
        </is>
      </c>
      <c r="P101" t="n">
        <v>13</v>
      </c>
      <c r="Q101" t="b">
        <v>0</v>
      </c>
      <c r="R101" t="inlineStr">
        <is>
          <t>AUD</t>
        </is>
      </c>
      <c r="S101" t="n">
        <v>0.730769</v>
      </c>
      <c r="T101" t="inlineStr">
        <is>
          <t>AUD</t>
        </is>
      </c>
      <c r="U101" t="n">
        <v>1492.6837</v>
      </c>
      <c r="V101" t="inlineStr">
        <is>
          <t>AUD</t>
        </is>
      </c>
      <c r="W101" t="n">
        <v>114.821823</v>
      </c>
      <c r="X101" t="n">
        <v/>
      </c>
    </row>
    <row r="102">
      <c r="A102" s="5" t="inlineStr">
        <is>
          <t>01a1212c-70ec-7549-97f2-cc3906a47674</t>
        </is>
      </c>
      <c r="C102" s="5" t="inlineStr">
        <is>
          <t>01a1212c-4b57-70cf-80fd-c2192cb3bf81</t>
        </is>
      </c>
      <c r="D102" s="4" t="n">
        <v>46304.62410940315</v>
      </c>
      <c r="E102" s="4" t="n">
        <v>46304.62431616213</v>
      </c>
      <c r="F102" t="b">
        <v>1</v>
      </c>
      <c r="H102" t="inlineStr">
        <is>
          <t>2019-08-05 | PARCEL |  VGS | 24.0000 unit</t>
        </is>
      </c>
      <c r="I102" s="5" t="inlineStr">
        <is>
          <t>01a1212c-70ea-72c2-8e37-63b31a1865bd</t>
        </is>
      </c>
      <c r="J102" t="n">
        <v>24</v>
      </c>
      <c r="K102" t="n">
        <v>1</v>
      </c>
      <c r="L102" s="6" t="n">
        <v>43682</v>
      </c>
      <c r="O102" t="inlineStr">
        <is>
          <t>VGS</t>
        </is>
      </c>
      <c r="P102" t="n">
        <v>24</v>
      </c>
      <c r="Q102" t="b">
        <v>0</v>
      </c>
      <c r="R102" t="inlineStr">
        <is>
          <t>AUD</t>
        </is>
      </c>
      <c r="S102" t="n">
        <v>0.395833</v>
      </c>
      <c r="T102" t="inlineStr">
        <is>
          <t>AUD</t>
        </is>
      </c>
      <c r="U102" t="n">
        <v>1852.2413</v>
      </c>
      <c r="V102" t="inlineStr">
        <is>
          <t>AUD</t>
        </is>
      </c>
      <c r="W102" t="n">
        <v>77.176721</v>
      </c>
      <c r="X102" t="n">
        <v/>
      </c>
    </row>
    <row r="103">
      <c r="A103" s="5" t="inlineStr">
        <is>
          <t>01a1212c-7102-774f-b90a-23a16e3eac92</t>
        </is>
      </c>
      <c r="C103" s="5" t="inlineStr">
        <is>
          <t>01a1212c-4b57-70cf-80fd-c2192cb3bf81</t>
        </is>
      </c>
      <c r="D103" s="4" t="n">
        <v>46304.62410965749</v>
      </c>
      <c r="E103" s="4" t="n">
        <v>46304.62430434537</v>
      </c>
      <c r="F103" t="b">
        <v>1</v>
      </c>
      <c r="H103" t="inlineStr">
        <is>
          <t>2019-09-02 | PARCEL |  A200 | 13.0000 unit</t>
        </is>
      </c>
      <c r="I103" s="5" t="inlineStr">
        <is>
          <t>01a1212c-7101-7484-b285-4860ff913dfe</t>
        </is>
      </c>
      <c r="J103" t="n">
        <v>13</v>
      </c>
      <c r="K103" t="n">
        <v>1</v>
      </c>
      <c r="L103" s="6" t="n">
        <v>43710</v>
      </c>
      <c r="O103" t="inlineStr">
        <is>
          <t>A200</t>
        </is>
      </c>
      <c r="P103" t="n">
        <v>13</v>
      </c>
      <c r="Q103" t="b">
        <v>0</v>
      </c>
      <c r="R103" t="inlineStr">
        <is>
          <t>AUD</t>
        </is>
      </c>
      <c r="S103" t="n">
        <v>0.730769</v>
      </c>
      <c r="T103" t="inlineStr">
        <is>
          <t>AUD</t>
        </is>
      </c>
      <c r="U103" t="n">
        <v>1462.1545</v>
      </c>
      <c r="V103" t="inlineStr">
        <is>
          <t>AUD</t>
        </is>
      </c>
      <c r="W103" t="n">
        <v>112.473423</v>
      </c>
      <c r="X103" t="n">
        <v/>
      </c>
    </row>
    <row r="104">
      <c r="A104" s="5" t="inlineStr">
        <is>
          <t>01a1212c-7117-7388-8792-335c487cf88f</t>
        </is>
      </c>
      <c r="C104" s="5" t="inlineStr">
        <is>
          <t>01a1212c-4b57-70cf-80fd-c2192cb3bf81</t>
        </is>
      </c>
      <c r="D104" s="4" t="n">
        <v>46304.62410990419</v>
      </c>
      <c r="E104" s="4" t="n">
        <v>46304.6243162422</v>
      </c>
      <c r="F104" t="b">
        <v>1</v>
      </c>
      <c r="H104" t="inlineStr">
        <is>
          <t>2019-09-02 | PARCEL |  VGS | 23.0000 unit</t>
        </is>
      </c>
      <c r="I104" s="5" t="inlineStr">
        <is>
          <t>01a1212c-7116-71ea-9093-89566daac6d2</t>
        </is>
      </c>
      <c r="J104" t="n">
        <v>23</v>
      </c>
      <c r="K104" t="n">
        <v>1</v>
      </c>
      <c r="L104" s="6" t="n">
        <v>43710</v>
      </c>
      <c r="O104" t="inlineStr">
        <is>
          <t>VGS</t>
        </is>
      </c>
      <c r="P104" t="n">
        <v>23</v>
      </c>
      <c r="Q104" t="b">
        <v>0</v>
      </c>
      <c r="R104" t="inlineStr">
        <is>
          <t>AUD</t>
        </is>
      </c>
      <c r="S104" t="n">
        <v>0.413043</v>
      </c>
      <c r="T104" t="inlineStr">
        <is>
          <t>AUD</t>
        </is>
      </c>
      <c r="U104" t="n">
        <v>1798.8166</v>
      </c>
      <c r="V104" t="inlineStr">
        <is>
          <t>AUD</t>
        </is>
      </c>
      <c r="W104" t="n">
        <v>78.209417</v>
      </c>
      <c r="X104" t="n">
        <v/>
      </c>
    </row>
    <row r="105">
      <c r="A105" s="5" t="inlineStr">
        <is>
          <t>01a1212c-712d-7791-bf63-8cb9a725a863</t>
        </is>
      </c>
      <c r="C105" s="5" t="inlineStr">
        <is>
          <t>01a1212c-4b57-70cf-80fd-c2192cb3bf81</t>
        </is>
      </c>
      <c r="D105" s="4" t="n">
        <v>46304.62411015573</v>
      </c>
      <c r="E105" s="4" t="n">
        <v>46304.62427231915</v>
      </c>
      <c r="F105" t="b">
        <v>0</v>
      </c>
      <c r="H105" t="inlineStr">
        <is>
          <t>2019-09-30 | PARCEL |  MSFT | 6.0000 unit</t>
        </is>
      </c>
      <c r="I105" s="5" t="inlineStr">
        <is>
          <t>01a1212c-712a-7112-aec0-e1f8195d4fb0</t>
        </is>
      </c>
      <c r="J105" t="n">
        <v>6</v>
      </c>
      <c r="K105" t="n">
        <v>1</v>
      </c>
      <c r="L105" s="6" t="n">
        <v>43738</v>
      </c>
      <c r="M105" s="6" t="n">
        <v>45608</v>
      </c>
      <c r="O105" t="inlineStr">
        <is>
          <t>MSFT</t>
        </is>
      </c>
      <c r="P105" t="n">
        <v>0</v>
      </c>
      <c r="Q105" t="b">
        <v>1</v>
      </c>
      <c r="R105" t="inlineStr">
        <is>
          <t>AUD</t>
        </is>
      </c>
      <c r="S105" t="n">
        <v>0</v>
      </c>
      <c r="T105" t="inlineStr">
        <is>
          <t>AUD</t>
        </is>
      </c>
      <c r="U105" t="n">
        <v>0</v>
      </c>
      <c r="V105" t="inlineStr">
        <is>
          <t>AUD</t>
        </is>
      </c>
      <c r="W105" t="n">
        <v>0</v>
      </c>
      <c r="X105" t="n">
        <v/>
      </c>
    </row>
    <row r="106">
      <c r="A106" s="5" t="inlineStr">
        <is>
          <t>01a1212c-7142-74d1-a420-87616f78ba3b</t>
        </is>
      </c>
      <c r="C106" s="5" t="inlineStr">
        <is>
          <t>01a1212c-4b57-70cf-80fd-c2192cb3bf81</t>
        </is>
      </c>
      <c r="D106" s="4" t="n">
        <v>46304.62411040354</v>
      </c>
      <c r="E106" s="4" t="n">
        <v>46304.62430389862</v>
      </c>
      <c r="F106" t="b">
        <v>1</v>
      </c>
      <c r="H106" t="inlineStr">
        <is>
          <t>2019-10-02 | PARCEL |  A200 | 10.0000 unit</t>
        </is>
      </c>
      <c r="I106" s="5" t="inlineStr">
        <is>
          <t>01a1212c-7141-72ca-9626-5c3f49cdc4dc</t>
        </is>
      </c>
      <c r="J106" t="n">
        <v>10</v>
      </c>
      <c r="K106" t="n">
        <v>1</v>
      </c>
      <c r="L106" s="6" t="n">
        <v>43740</v>
      </c>
      <c r="O106" t="inlineStr">
        <is>
          <t>A200</t>
        </is>
      </c>
      <c r="P106" t="n">
        <v>10</v>
      </c>
      <c r="Q106" t="b">
        <v>0</v>
      </c>
      <c r="R106" t="inlineStr">
        <is>
          <t>AUD</t>
        </is>
      </c>
      <c r="S106" t="n">
        <v>0.95</v>
      </c>
      <c r="T106" t="inlineStr">
        <is>
          <t>AUD</t>
        </is>
      </c>
      <c r="U106" t="n">
        <v>1130.5294</v>
      </c>
      <c r="V106" t="inlineStr">
        <is>
          <t>AUD</t>
        </is>
      </c>
      <c r="W106" t="n">
        <v>113.05294</v>
      </c>
      <c r="X106" t="n">
        <v/>
      </c>
    </row>
    <row r="107">
      <c r="A107" s="5" t="inlineStr">
        <is>
          <t>01a1212c-7157-7567-ba2e-f5a2ea2a31ab</t>
        </is>
      </c>
      <c r="C107" s="5" t="inlineStr">
        <is>
          <t>01a1212c-4b57-70cf-80fd-c2192cb3bf81</t>
        </is>
      </c>
      <c r="D107" s="4" t="n">
        <v>46304.62411064591</v>
      </c>
      <c r="E107" s="4" t="n">
        <v>46304.62431640268</v>
      </c>
      <c r="F107" t="b">
        <v>1</v>
      </c>
      <c r="H107" t="inlineStr">
        <is>
          <t>2019-10-02 | PARCEL |  VGS | 17.0000 unit</t>
        </is>
      </c>
      <c r="I107" s="5" t="inlineStr">
        <is>
          <t>01a1212c-7156-71d7-9bd6-2fdf8d4dc7d2</t>
        </is>
      </c>
      <c r="J107" t="n">
        <v>17</v>
      </c>
      <c r="K107" t="n">
        <v>1</v>
      </c>
      <c r="L107" s="6" t="n">
        <v>43740</v>
      </c>
      <c r="O107" t="inlineStr">
        <is>
          <t>VGS</t>
        </is>
      </c>
      <c r="P107" t="n">
        <v>17</v>
      </c>
      <c r="Q107" t="b">
        <v>0</v>
      </c>
      <c r="R107" t="inlineStr">
        <is>
          <t>AUD</t>
        </is>
      </c>
      <c r="S107" t="n">
        <v>0.558824</v>
      </c>
      <c r="T107" t="inlineStr">
        <is>
          <t>AUD</t>
        </is>
      </c>
      <c r="U107" t="n">
        <v>1348.4339</v>
      </c>
      <c r="V107" t="inlineStr">
        <is>
          <t>AUD</t>
        </is>
      </c>
      <c r="W107" t="n">
        <v>79.319641</v>
      </c>
      <c r="X107" t="n">
        <v/>
      </c>
    </row>
    <row r="108">
      <c r="A108" s="5" t="inlineStr">
        <is>
          <t>01a1212c-716f-7245-8737-8644ca7db7b1</t>
        </is>
      </c>
      <c r="C108" s="5" t="inlineStr">
        <is>
          <t>01a1212c-4b57-70cf-80fd-c2192cb3bf81</t>
        </is>
      </c>
      <c r="D108" s="4" t="n">
        <v>46304.62411091809</v>
      </c>
      <c r="E108" s="4" t="n">
        <v>46304.62420431184</v>
      </c>
      <c r="F108" t="b">
        <v>0</v>
      </c>
      <c r="H108" t="inlineStr">
        <is>
          <t>2019-10-21 | PARCEL |  AAPL | 3.0000 unit</t>
        </is>
      </c>
      <c r="I108" s="5" t="inlineStr">
        <is>
          <t>01a1212c-716c-762b-a8d4-46b155c77093</t>
        </is>
      </c>
      <c r="J108" t="n">
        <v>3</v>
      </c>
      <c r="K108" t="n">
        <v>1</v>
      </c>
      <c r="L108" s="6" t="n">
        <v>43759</v>
      </c>
      <c r="M108" s="6" t="n">
        <v>44074</v>
      </c>
      <c r="O108" t="inlineStr">
        <is>
          <t>AAPL</t>
        </is>
      </c>
      <c r="P108" t="n">
        <v>0</v>
      </c>
      <c r="Q108" t="b">
        <v>1</v>
      </c>
      <c r="R108" t="inlineStr">
        <is>
          <t>AUD</t>
        </is>
      </c>
      <c r="S108" t="n">
        <v>0</v>
      </c>
      <c r="T108" t="inlineStr">
        <is>
          <t>AUD</t>
        </is>
      </c>
      <c r="U108" t="n">
        <v>0</v>
      </c>
      <c r="V108" t="inlineStr">
        <is>
          <t>AUD</t>
        </is>
      </c>
      <c r="W108" t="n">
        <v>0</v>
      </c>
      <c r="X108" t="n">
        <v/>
      </c>
    </row>
    <row r="109">
      <c r="A109" s="5" t="inlineStr">
        <is>
          <t>01a1212c-7185-751c-93a4-e2a05054ca75</t>
        </is>
      </c>
      <c r="C109" s="5" t="inlineStr">
        <is>
          <t>01a1212c-4b57-70cf-80fd-c2192cb3bf81</t>
        </is>
      </c>
      <c r="D109" s="4" t="n">
        <v>46304.62411117228</v>
      </c>
      <c r="E109" s="4" t="n">
        <v>46304.62430488009</v>
      </c>
      <c r="F109" t="b">
        <v>1</v>
      </c>
      <c r="H109" t="inlineStr">
        <is>
          <t>2019-11-06 | PARCEL |  A200 | 8.0000 unit</t>
        </is>
      </c>
      <c r="I109" s="5" t="inlineStr">
        <is>
          <t>01a1212c-7183-744b-a739-39a1f89518cb</t>
        </is>
      </c>
      <c r="J109" t="n">
        <v>8</v>
      </c>
      <c r="K109" t="n">
        <v>1</v>
      </c>
      <c r="L109" s="6" t="n">
        <v>43775</v>
      </c>
      <c r="O109" t="inlineStr">
        <is>
          <t>A200</t>
        </is>
      </c>
      <c r="P109" t="n">
        <v>8</v>
      </c>
      <c r="Q109" t="b">
        <v>0</v>
      </c>
      <c r="R109" t="inlineStr">
        <is>
          <t>AUD</t>
        </is>
      </c>
      <c r="S109" t="n">
        <v>1.1875</v>
      </c>
      <c r="T109" t="inlineStr">
        <is>
          <t>AUD</t>
        </is>
      </c>
      <c r="U109" t="n">
        <v>908.5394</v>
      </c>
      <c r="V109" t="inlineStr">
        <is>
          <t>AUD</t>
        </is>
      </c>
      <c r="W109" t="n">
        <v>113.567425</v>
      </c>
      <c r="X109" t="n">
        <v/>
      </c>
    </row>
    <row r="110">
      <c r="A110" s="5" t="inlineStr">
        <is>
          <t>01a1212c-719a-7616-bf3b-b6ee9e3119c7</t>
        </is>
      </c>
      <c r="C110" s="5" t="inlineStr">
        <is>
          <t>01a1212c-4b57-70cf-80fd-c2192cb3bf81</t>
        </is>
      </c>
      <c r="D110" s="4" t="n">
        <v>46304.62411141342</v>
      </c>
      <c r="E110" s="4" t="n">
        <v>46304.62431529887</v>
      </c>
      <c r="F110" t="b">
        <v>1</v>
      </c>
      <c r="H110" t="inlineStr">
        <is>
          <t>2019-11-06 | PARCEL |  VGS | 15.0000 unit</t>
        </is>
      </c>
      <c r="I110" s="5" t="inlineStr">
        <is>
          <t>01a1212c-7198-70df-a770-24bd6aff6239</t>
        </is>
      </c>
      <c r="J110" t="n">
        <v>15</v>
      </c>
      <c r="K110" t="n">
        <v>1</v>
      </c>
      <c r="L110" s="6" t="n">
        <v>43775</v>
      </c>
      <c r="O110" t="inlineStr">
        <is>
          <t>VGS</t>
        </is>
      </c>
      <c r="P110" t="n">
        <v>15</v>
      </c>
      <c r="Q110" t="b">
        <v>0</v>
      </c>
      <c r="R110" t="inlineStr">
        <is>
          <t>AUD</t>
        </is>
      </c>
      <c r="S110" t="n">
        <v>0.633333</v>
      </c>
      <c r="T110" t="inlineStr">
        <is>
          <t>AUD</t>
        </is>
      </c>
      <c r="U110" t="n">
        <v>1212.6903</v>
      </c>
      <c r="V110" t="inlineStr">
        <is>
          <t>AUD</t>
        </is>
      </c>
      <c r="W110" t="n">
        <v>80.84602</v>
      </c>
      <c r="X110" t="n">
        <v/>
      </c>
    </row>
    <row r="111">
      <c r="A111" s="5" t="inlineStr">
        <is>
          <t>01a1212c-71ae-7629-9101-f4aefddb3353</t>
        </is>
      </c>
      <c r="C111" s="5" t="inlineStr">
        <is>
          <t>01a1212c-4b57-70cf-80fd-c2192cb3bf81</t>
        </is>
      </c>
      <c r="D111" s="4" t="n">
        <v>46304.62411165122</v>
      </c>
      <c r="E111" s="4" t="n">
        <v>46304.62430336908</v>
      </c>
      <c r="F111" t="b">
        <v>1</v>
      </c>
      <c r="H111" t="inlineStr">
        <is>
          <t>2019-12-03 | PARCEL |  A200 | 15.0000 unit</t>
        </is>
      </c>
      <c r="I111" s="5" t="inlineStr">
        <is>
          <t>01a1212c-71ad-71b5-b320-c8000fe32c05</t>
        </is>
      </c>
      <c r="J111" t="n">
        <v>15</v>
      </c>
      <c r="K111" t="n">
        <v>1</v>
      </c>
      <c r="L111" s="6" t="n">
        <v>43802</v>
      </c>
      <c r="O111" t="inlineStr">
        <is>
          <t>A200</t>
        </is>
      </c>
      <c r="P111" t="n">
        <v>15</v>
      </c>
      <c r="Q111" t="b">
        <v>0</v>
      </c>
      <c r="R111" t="inlineStr">
        <is>
          <t>AUD</t>
        </is>
      </c>
      <c r="S111" t="n">
        <v>0.633333</v>
      </c>
      <c r="T111" t="inlineStr">
        <is>
          <t>AUD</t>
        </is>
      </c>
      <c r="U111" t="n">
        <v>1714.5829</v>
      </c>
      <c r="V111" t="inlineStr">
        <is>
          <t>AUD</t>
        </is>
      </c>
      <c r="W111" t="n">
        <v>114.305527</v>
      </c>
      <c r="X111" t="n">
        <v/>
      </c>
    </row>
    <row r="112">
      <c r="A112" s="5" t="inlineStr">
        <is>
          <t>01a1212c-71c3-7032-9840-53a08ae86f9c</t>
        </is>
      </c>
      <c r="C112" s="5" t="inlineStr">
        <is>
          <t>01a1212c-4b57-70cf-80fd-c2192cb3bf81</t>
        </is>
      </c>
      <c r="D112" s="4" t="n">
        <v>46304.62411189419</v>
      </c>
      <c r="E112" s="4" t="n">
        <v>46304.62431733144</v>
      </c>
      <c r="F112" t="b">
        <v>1</v>
      </c>
      <c r="H112" t="inlineStr">
        <is>
          <t>2019-12-03 | PARCEL |  VGS | 26.0000 unit</t>
        </is>
      </c>
      <c r="I112" s="5" t="inlineStr">
        <is>
          <t>01a1212c-71c2-73a9-bded-2383af738311</t>
        </is>
      </c>
      <c r="J112" t="n">
        <v>26</v>
      </c>
      <c r="K112" t="n">
        <v>1</v>
      </c>
      <c r="L112" s="6" t="n">
        <v>43802</v>
      </c>
      <c r="O112" t="inlineStr">
        <is>
          <t>VGS</t>
        </is>
      </c>
      <c r="P112" t="n">
        <v>26</v>
      </c>
      <c r="Q112" t="b">
        <v>0</v>
      </c>
      <c r="R112" t="inlineStr">
        <is>
          <t>AUD</t>
        </is>
      </c>
      <c r="S112" t="n">
        <v>0.365385</v>
      </c>
      <c r="T112" t="inlineStr">
        <is>
          <t>AUD</t>
        </is>
      </c>
      <c r="U112" t="n">
        <v>2136.0063</v>
      </c>
      <c r="V112" t="inlineStr">
        <is>
          <t>AUD</t>
        </is>
      </c>
      <c r="W112" t="n">
        <v>82.154088</v>
      </c>
      <c r="X112" t="n">
        <v/>
      </c>
    </row>
    <row r="113">
      <c r="A113" s="5" t="inlineStr">
        <is>
          <t>01a1212c-71d9-7647-901b-c597ca2d48c9</t>
        </is>
      </c>
      <c r="C113" s="5" t="inlineStr">
        <is>
          <t>01a1212c-4b57-70cf-80fd-c2192cb3bf81</t>
        </is>
      </c>
      <c r="D113" s="4" t="n">
        <v>46304.62411214414</v>
      </c>
      <c r="E113" s="4" t="n">
        <v>46304.62430418023</v>
      </c>
      <c r="F113" t="b">
        <v>1</v>
      </c>
      <c r="H113" t="inlineStr">
        <is>
          <t>2020-01-06 | PARCEL |  A200 | 14.0000 unit</t>
        </is>
      </c>
      <c r="I113" s="5" t="inlineStr">
        <is>
          <t>01a1212c-71d7-7299-9254-0506c38b61a7</t>
        </is>
      </c>
      <c r="J113" t="n">
        <v>14</v>
      </c>
      <c r="K113" t="n">
        <v>1</v>
      </c>
      <c r="L113" s="6" t="n">
        <v>43836</v>
      </c>
      <c r="O113" t="inlineStr">
        <is>
          <t>A200</t>
        </is>
      </c>
      <c r="P113" t="n">
        <v>14</v>
      </c>
      <c r="Q113" t="b">
        <v>0</v>
      </c>
      <c r="R113" t="inlineStr">
        <is>
          <t>AUD</t>
        </is>
      </c>
      <c r="S113" t="n">
        <v>0.678571</v>
      </c>
      <c r="T113" t="inlineStr">
        <is>
          <t>AUD</t>
        </is>
      </c>
      <c r="U113" t="n">
        <v>1595.6978</v>
      </c>
      <c r="V113" t="inlineStr">
        <is>
          <t>AUD</t>
        </is>
      </c>
      <c r="W113" t="n">
        <v>113.978414</v>
      </c>
      <c r="X113" t="n">
        <v/>
      </c>
    </row>
    <row r="114">
      <c r="A114" s="5" t="inlineStr">
        <is>
          <t>01a1212c-71ee-7697-ac4a-eeeb04d71bcc</t>
        </is>
      </c>
      <c r="C114" s="5" t="inlineStr">
        <is>
          <t>01a1212c-4b57-70cf-80fd-c2192cb3bf81</t>
        </is>
      </c>
      <c r="D114" s="4" t="n">
        <v>46304.62411238766</v>
      </c>
      <c r="E114" s="4" t="n">
        <v>46304.6243154215</v>
      </c>
      <c r="F114" t="b">
        <v>1</v>
      </c>
      <c r="H114" t="inlineStr">
        <is>
          <t>2020-01-06 | PARCEL |  VGS | 24.0000 unit</t>
        </is>
      </c>
      <c r="I114" s="5" t="inlineStr">
        <is>
          <t>01a1212c-71ec-77c3-8390-16a4b943b959</t>
        </is>
      </c>
      <c r="J114" t="n">
        <v>24</v>
      </c>
      <c r="K114" t="n">
        <v>1</v>
      </c>
      <c r="L114" s="6" t="n">
        <v>43836</v>
      </c>
      <c r="O114" t="inlineStr">
        <is>
          <t>VGS</t>
        </is>
      </c>
      <c r="P114" t="n">
        <v>24</v>
      </c>
      <c r="Q114" t="b">
        <v>0</v>
      </c>
      <c r="R114" t="inlineStr">
        <is>
          <t>AUD</t>
        </is>
      </c>
      <c r="S114" t="n">
        <v>0.395833</v>
      </c>
      <c r="T114" t="inlineStr">
        <is>
          <t>AUD</t>
        </is>
      </c>
      <c r="U114" t="n">
        <v>1997.446</v>
      </c>
      <c r="V114" t="inlineStr">
        <is>
          <t>AUD</t>
        </is>
      </c>
      <c r="W114" t="n">
        <v>83.226917</v>
      </c>
      <c r="X114" t="n">
        <v/>
      </c>
    </row>
    <row r="115">
      <c r="A115" s="5" t="inlineStr">
        <is>
          <t>01a1212c-7205-7696-a929-279b9baca395</t>
        </is>
      </c>
      <c r="C115" s="5" t="inlineStr">
        <is>
          <t>01a1212c-4b57-70cf-80fd-c2192cb3bf81</t>
        </is>
      </c>
      <c r="D115" s="4" t="n">
        <v>46304.62411265698</v>
      </c>
      <c r="E115" s="4" t="n">
        <v>46304.62420442118</v>
      </c>
      <c r="F115" t="b">
        <v>0</v>
      </c>
      <c r="H115" t="inlineStr">
        <is>
          <t>2020-01-16 | PARCEL |  AAPL | 2.0000 unit</t>
        </is>
      </c>
      <c r="I115" s="5" t="inlineStr">
        <is>
          <t>01a1212c-7202-76d7-8c9c-2a905ef3b8d1</t>
        </is>
      </c>
      <c r="J115" t="n">
        <v>2</v>
      </c>
      <c r="K115" t="n">
        <v>1</v>
      </c>
      <c r="L115" s="6" t="n">
        <v>43846</v>
      </c>
      <c r="M115" s="6" t="n">
        <v>44074</v>
      </c>
      <c r="O115" t="inlineStr">
        <is>
          <t>AAPL</t>
        </is>
      </c>
      <c r="P115" t="n">
        <v>0</v>
      </c>
      <c r="Q115" t="b">
        <v>1</v>
      </c>
      <c r="R115" t="inlineStr">
        <is>
          <t>AUD</t>
        </is>
      </c>
      <c r="S115" t="n">
        <v>0</v>
      </c>
      <c r="T115" t="inlineStr">
        <is>
          <t>AUD</t>
        </is>
      </c>
      <c r="U115" t="n">
        <v>0</v>
      </c>
      <c r="V115" t="inlineStr">
        <is>
          <t>AUD</t>
        </is>
      </c>
      <c r="W115" t="n">
        <v>0</v>
      </c>
      <c r="X115" t="n">
        <v/>
      </c>
    </row>
    <row r="116">
      <c r="A116" s="5" t="inlineStr">
        <is>
          <t>01a1212c-721a-74d7-b443-6cf4d510dcad</t>
        </is>
      </c>
      <c r="C116" s="5" t="inlineStr">
        <is>
          <t>01a1212c-4b57-70cf-80fd-c2192cb3bf81</t>
        </is>
      </c>
      <c r="D116" s="4" t="n">
        <v>46304.62411290577</v>
      </c>
      <c r="E116" s="4" t="n">
        <v>46304.6243049195</v>
      </c>
      <c r="F116" t="b">
        <v>1</v>
      </c>
      <c r="H116" t="inlineStr">
        <is>
          <t>2020-02-05 | PARCEL |  A200 | 8.0000 unit</t>
        </is>
      </c>
      <c r="I116" s="5" t="inlineStr">
        <is>
          <t>01a1212c-7219-7219-b932-7b82f2b380e4</t>
        </is>
      </c>
      <c r="J116" t="n">
        <v>8</v>
      </c>
      <c r="K116" t="n">
        <v>1</v>
      </c>
      <c r="L116" s="6" t="n">
        <v>43866</v>
      </c>
      <c r="O116" t="inlineStr">
        <is>
          <t>A200</t>
        </is>
      </c>
      <c r="P116" t="n">
        <v>8</v>
      </c>
      <c r="Q116" t="b">
        <v>0</v>
      </c>
      <c r="R116" t="inlineStr">
        <is>
          <t>AUD</t>
        </is>
      </c>
      <c r="S116" t="n">
        <v>1.1875</v>
      </c>
      <c r="T116" t="inlineStr">
        <is>
          <t>AUD</t>
        </is>
      </c>
      <c r="U116" t="n">
        <v>947.261</v>
      </c>
      <c r="V116" t="inlineStr">
        <is>
          <t>AUD</t>
        </is>
      </c>
      <c r="W116" t="n">
        <v>118.407625</v>
      </c>
      <c r="X116" t="n">
        <v/>
      </c>
    </row>
    <row r="117">
      <c r="A117" s="5" t="inlineStr">
        <is>
          <t>01a1212c-7230-7671-90fb-9b2a12ecb44c</t>
        </is>
      </c>
      <c r="C117" s="5" t="inlineStr">
        <is>
          <t>01a1212c-4b57-70cf-80fd-c2192cb3bf81</t>
        </is>
      </c>
      <c r="D117" s="4" t="n">
        <v>46304.624113152</v>
      </c>
      <c r="E117" s="4" t="n">
        <v>46304.62431897142</v>
      </c>
      <c r="F117" t="b">
        <v>1</v>
      </c>
      <c r="H117" t="inlineStr">
        <is>
          <t>2020-02-05 | PARCEL |  VGS | 14.0000 unit</t>
        </is>
      </c>
      <c r="I117" s="5" t="inlineStr">
        <is>
          <t>01a1212c-722f-71e1-a9f6-c38d6268bb35</t>
        </is>
      </c>
      <c r="J117" t="n">
        <v>14</v>
      </c>
      <c r="K117" t="n">
        <v>1</v>
      </c>
      <c r="L117" s="6" t="n">
        <v>43866</v>
      </c>
      <c r="O117" t="inlineStr">
        <is>
          <t>VGS</t>
        </is>
      </c>
      <c r="P117" t="n">
        <v>14</v>
      </c>
      <c r="Q117" t="b">
        <v>0</v>
      </c>
      <c r="R117" t="inlineStr">
        <is>
          <t>AUD</t>
        </is>
      </c>
      <c r="S117" t="n">
        <v>0.678571</v>
      </c>
      <c r="T117" t="inlineStr">
        <is>
          <t>AUD</t>
        </is>
      </c>
      <c r="U117" t="n">
        <v>1220.0174</v>
      </c>
      <c r="V117" t="inlineStr">
        <is>
          <t>AUD</t>
        </is>
      </c>
      <c r="W117" t="n">
        <v>87.14409999999999</v>
      </c>
      <c r="X117" t="n">
        <v/>
      </c>
    </row>
    <row r="118">
      <c r="A118" s="5" t="inlineStr">
        <is>
          <t>01a1212c-724d-74c4-af7f-8de289e051bc</t>
        </is>
      </c>
      <c r="C118" s="5" t="inlineStr">
        <is>
          <t>01a1212c-4b57-70cf-80fd-c2192cb3bf81</t>
        </is>
      </c>
      <c r="D118" s="4" t="n">
        <v>46304.62411349446</v>
      </c>
      <c r="E118" s="4" t="n">
        <v>46304.62427183876</v>
      </c>
      <c r="F118" t="b">
        <v>1</v>
      </c>
      <c r="H118" t="inlineStr">
        <is>
          <t>2020-02-18 | PARCEL |  MSFT | 3.0000 unit</t>
        </is>
      </c>
      <c r="I118" s="5" t="inlineStr">
        <is>
          <t>01a1212c-724a-76bf-8f70-517597612be1</t>
        </is>
      </c>
      <c r="J118" t="n">
        <v>3</v>
      </c>
      <c r="K118" t="n">
        <v>1</v>
      </c>
      <c r="L118" s="6" t="n">
        <v>43879</v>
      </c>
      <c r="N118" s="6" t="n">
        <v>45608</v>
      </c>
      <c r="O118" t="inlineStr">
        <is>
          <t>MSFT</t>
        </is>
      </c>
      <c r="P118" t="n">
        <v>0</v>
      </c>
      <c r="Q118" t="b">
        <v>1</v>
      </c>
      <c r="R118" t="inlineStr">
        <is>
          <t>AUD</t>
        </is>
      </c>
      <c r="S118" t="n">
        <v>2.5</v>
      </c>
      <c r="T118" t="inlineStr">
        <is>
          <t>AUD</t>
        </is>
      </c>
      <c r="U118" t="n">
        <v>850.035</v>
      </c>
      <c r="V118" t="inlineStr">
        <is>
          <t>AUD</t>
        </is>
      </c>
      <c r="W118" t="n">
        <v>283.345</v>
      </c>
      <c r="X118" t="n">
        <v/>
      </c>
    </row>
    <row r="119">
      <c r="A119" s="5" t="inlineStr">
        <is>
          <t>01a1212c-7264-75a0-a547-f07a5e635bc6</t>
        </is>
      </c>
      <c r="C119" s="5" t="inlineStr">
        <is>
          <t>01a1212c-4b57-70cf-80fd-c2192cb3bf81</t>
        </is>
      </c>
      <c r="D119" s="4" t="n">
        <v>46304.62411375653</v>
      </c>
      <c r="E119" s="4" t="n">
        <v>46304.62430393851</v>
      </c>
      <c r="F119" t="b">
        <v>1</v>
      </c>
      <c r="H119" t="inlineStr">
        <is>
          <t>2020-03-05 | PARCEL |  A200 | 8.0000 unit</t>
        </is>
      </c>
      <c r="I119" s="5" t="inlineStr">
        <is>
          <t>01a1212c-7263-74b5-a377-422842977af3</t>
        </is>
      </c>
      <c r="J119" t="n">
        <v>8</v>
      </c>
      <c r="K119" t="n">
        <v>1</v>
      </c>
      <c r="L119" s="6" t="n">
        <v>43895</v>
      </c>
      <c r="O119" t="inlineStr">
        <is>
          <t>A200</t>
        </is>
      </c>
      <c r="P119" t="n">
        <v>8</v>
      </c>
      <c r="Q119" t="b">
        <v>0</v>
      </c>
      <c r="R119" t="inlineStr">
        <is>
          <t>AUD</t>
        </is>
      </c>
      <c r="S119" t="n">
        <v>1.1875</v>
      </c>
      <c r="T119" t="inlineStr">
        <is>
          <t>AUD</t>
        </is>
      </c>
      <c r="U119" t="n">
        <v>878.2286</v>
      </c>
      <c r="V119" t="inlineStr">
        <is>
          <t>AUD</t>
        </is>
      </c>
      <c r="W119" t="n">
        <v>109.778575</v>
      </c>
      <c r="X119" t="n">
        <v/>
      </c>
    </row>
    <row r="120">
      <c r="A120" s="5" t="inlineStr">
        <is>
          <t>01a1212c-7278-7734-b344-b828fba43ba6</t>
        </is>
      </c>
      <c r="C120" s="5" t="inlineStr">
        <is>
          <t>01a1212c-4b57-70cf-80fd-c2192cb3bf81</t>
        </is>
      </c>
      <c r="D120" s="4" t="n">
        <v>46304.62411399392</v>
      </c>
      <c r="E120" s="4" t="n">
        <v>46304.62431753663</v>
      </c>
      <c r="F120" t="b">
        <v>1</v>
      </c>
      <c r="H120" t="inlineStr">
        <is>
          <t>2020-03-05 | PARCEL |  VGS | 12.0000 unit</t>
        </is>
      </c>
      <c r="I120" s="5" t="inlineStr">
        <is>
          <t>01a1212c-7277-77ac-a7c7-2caaae94deee</t>
        </is>
      </c>
      <c r="J120" t="n">
        <v>12</v>
      </c>
      <c r="K120" t="n">
        <v>1</v>
      </c>
      <c r="L120" s="6" t="n">
        <v>43895</v>
      </c>
      <c r="O120" t="inlineStr">
        <is>
          <t>VGS</t>
        </is>
      </c>
      <c r="P120" t="n">
        <v>12</v>
      </c>
      <c r="Q120" t="b">
        <v>0</v>
      </c>
      <c r="R120" t="inlineStr">
        <is>
          <t>AUD</t>
        </is>
      </c>
      <c r="S120" t="n">
        <v>0.791667</v>
      </c>
      <c r="T120" t="inlineStr">
        <is>
          <t>AUD</t>
        </is>
      </c>
      <c r="U120" t="n">
        <v>998.6661</v>
      </c>
      <c r="V120" t="inlineStr">
        <is>
          <t>AUD</t>
        </is>
      </c>
      <c r="W120" t="n">
        <v>83.22217499999999</v>
      </c>
      <c r="X120" t="n">
        <v/>
      </c>
    </row>
    <row r="121">
      <c r="A121" s="5" t="inlineStr">
        <is>
          <t>01a1212c-728e-775e-8dc9-c0226890c8c9</t>
        </is>
      </c>
      <c r="C121" s="5" t="inlineStr">
        <is>
          <t>01a1212c-4b57-70cf-80fd-c2192cb3bf81</t>
        </is>
      </c>
      <c r="D121" s="4" t="n">
        <v>46304.62411424366</v>
      </c>
      <c r="E121" s="4" t="n">
        <v>46304.62421680015</v>
      </c>
      <c r="F121" t="b">
        <v>1</v>
      </c>
      <c r="H121" t="inlineStr">
        <is>
          <t>2020-03-20 | PARCEL |  WES | 28.0000 unit</t>
        </is>
      </c>
      <c r="I121" s="5" t="inlineStr">
        <is>
          <t>01a1212c-728d-7625-bfa8-626d2ea8da70</t>
        </is>
      </c>
      <c r="J121" t="n">
        <v>28</v>
      </c>
      <c r="K121" t="n">
        <v>1</v>
      </c>
      <c r="L121" s="6" t="n">
        <v>43910</v>
      </c>
      <c r="N121" s="6" t="n">
        <v>44642</v>
      </c>
      <c r="O121" t="inlineStr">
        <is>
          <t>WES</t>
        </is>
      </c>
      <c r="P121" t="n">
        <v>0</v>
      </c>
      <c r="Q121" t="b">
        <v>1</v>
      </c>
      <c r="R121" t="inlineStr">
        <is>
          <t>AUD</t>
        </is>
      </c>
      <c r="S121" t="n">
        <v>0.7125</v>
      </c>
      <c r="T121" t="inlineStr">
        <is>
          <t>AUD</t>
        </is>
      </c>
      <c r="U121" t="n">
        <v>951.79</v>
      </c>
      <c r="V121" t="inlineStr">
        <is>
          <t>AUD</t>
        </is>
      </c>
      <c r="W121" t="n">
        <v>33.9925</v>
      </c>
      <c r="X121" t="n">
        <v/>
      </c>
    </row>
    <row r="122">
      <c r="A122" s="5" t="inlineStr">
        <is>
          <t>01a1212c-72a3-74de-af7e-8c21374ccb8d</t>
        </is>
      </c>
      <c r="C122" s="5" t="inlineStr">
        <is>
          <t>01a1212c-4b57-70cf-80fd-c2192cb3bf81</t>
        </is>
      </c>
      <c r="D122" s="4" t="n">
        <v>46304.62411448055</v>
      </c>
      <c r="E122" s="4" t="n">
        <v>46304.62430282506</v>
      </c>
      <c r="F122" t="b">
        <v>1</v>
      </c>
      <c r="H122" t="inlineStr">
        <is>
          <t>2020-04-02 | PARCEL |  A200 | 7.0000 unit</t>
        </is>
      </c>
      <c r="I122" s="5" t="inlineStr">
        <is>
          <t>01a1212c-72a1-7718-908f-cd63536a850b</t>
        </is>
      </c>
      <c r="J122" t="n">
        <v>7</v>
      </c>
      <c r="K122" t="n">
        <v>1</v>
      </c>
      <c r="L122" s="6" t="n">
        <v>43923</v>
      </c>
      <c r="O122" t="inlineStr">
        <is>
          <t>A200</t>
        </is>
      </c>
      <c r="P122" t="n">
        <v>7</v>
      </c>
      <c r="Q122" t="b">
        <v>0</v>
      </c>
      <c r="R122" t="inlineStr">
        <is>
          <t>AUD</t>
        </is>
      </c>
      <c r="S122" t="n">
        <v>1.357143</v>
      </c>
      <c r="T122" t="inlineStr">
        <is>
          <t>AUD</t>
        </is>
      </c>
      <c r="U122" t="n">
        <v>622.9987</v>
      </c>
      <c r="V122" t="inlineStr">
        <is>
          <t>AUD</t>
        </is>
      </c>
      <c r="W122" t="n">
        <v>88.999814</v>
      </c>
      <c r="X122" t="n">
        <v/>
      </c>
    </row>
    <row r="123">
      <c r="A123" s="5" t="inlineStr">
        <is>
          <t>01a1212c-72b9-7463-88f2-0ff2ba9e0d6d</t>
        </is>
      </c>
      <c r="C123" s="5" t="inlineStr">
        <is>
          <t>01a1212c-4b57-70cf-80fd-c2192cb3bf81</t>
        </is>
      </c>
      <c r="D123" s="4" t="n">
        <v>46304.6241147355</v>
      </c>
      <c r="E123" s="4" t="n">
        <v>46304.62427201716</v>
      </c>
      <c r="F123" t="b">
        <v>1</v>
      </c>
      <c r="H123" t="inlineStr">
        <is>
          <t>2020-04-02 | PARCEL |  MSFT | 2.0000 unit</t>
        </is>
      </c>
      <c r="I123" s="5" t="inlineStr">
        <is>
          <t>01a1212c-72b6-71c5-abec-88e52873d0b5</t>
        </is>
      </c>
      <c r="J123" t="n">
        <v>2</v>
      </c>
      <c r="K123" t="n">
        <v>1</v>
      </c>
      <c r="L123" s="6" t="n">
        <v>43923</v>
      </c>
      <c r="N123" s="6" t="n">
        <v>45608</v>
      </c>
      <c r="O123" t="inlineStr">
        <is>
          <t>MSFT</t>
        </is>
      </c>
      <c r="P123" t="n">
        <v>0</v>
      </c>
      <c r="Q123" t="b">
        <v>1</v>
      </c>
      <c r="R123" t="inlineStr">
        <is>
          <t>AUD</t>
        </is>
      </c>
      <c r="S123" t="n">
        <v>3.75</v>
      </c>
      <c r="T123" t="inlineStr">
        <is>
          <t>AUD</t>
        </is>
      </c>
      <c r="U123" t="n">
        <v>473.28</v>
      </c>
      <c r="V123" t="inlineStr">
        <is>
          <t>AUD</t>
        </is>
      </c>
      <c r="W123" t="n">
        <v>236.64</v>
      </c>
      <c r="X123" t="n">
        <v/>
      </c>
    </row>
    <row r="124">
      <c r="A124" s="5" t="inlineStr">
        <is>
          <t>01a1212c-72ce-758f-a1e1-774c3e0a5001</t>
        </is>
      </c>
      <c r="C124" s="5" t="inlineStr">
        <is>
          <t>01a1212c-4b57-70cf-80fd-c2192cb3bf81</t>
        </is>
      </c>
      <c r="D124" s="4" t="n">
        <v>46304.62411498302</v>
      </c>
      <c r="E124" s="4" t="n">
        <v>46304.62431533702</v>
      </c>
      <c r="F124" t="b">
        <v>1</v>
      </c>
      <c r="H124" t="inlineStr">
        <is>
          <t>2020-04-02 | PARCEL |  VGS | 11.0000 unit</t>
        </is>
      </c>
      <c r="I124" s="5" t="inlineStr">
        <is>
          <t>01a1212c-72cd-7721-bc8b-7a072fb84859</t>
        </is>
      </c>
      <c r="J124" t="n">
        <v>11</v>
      </c>
      <c r="K124" t="n">
        <v>1</v>
      </c>
      <c r="L124" s="6" t="n">
        <v>43923</v>
      </c>
      <c r="O124" t="inlineStr">
        <is>
          <t>VGS</t>
        </is>
      </c>
      <c r="P124" t="n">
        <v>11</v>
      </c>
      <c r="Q124" t="b">
        <v>0</v>
      </c>
      <c r="R124" t="inlineStr">
        <is>
          <t>AUD</t>
        </is>
      </c>
      <c r="S124" t="n">
        <v>0.863636</v>
      </c>
      <c r="T124" t="inlineStr">
        <is>
          <t>AUD</t>
        </is>
      </c>
      <c r="U124" t="n">
        <v>801.5659000000001</v>
      </c>
      <c r="V124" t="inlineStr">
        <is>
          <t>AUD</t>
        </is>
      </c>
      <c r="W124" t="n">
        <v>72.86962699999999</v>
      </c>
      <c r="X124" t="n">
        <v/>
      </c>
    </row>
    <row r="125">
      <c r="A125" s="5" t="inlineStr">
        <is>
          <t>01a1212c-72e6-744b-baeb-b4883b6d57f6</t>
        </is>
      </c>
      <c r="C125" s="5" t="inlineStr">
        <is>
          <t>01a1212c-4b57-70cf-80fd-c2192cb3bf81</t>
        </is>
      </c>
      <c r="D125" s="4" t="n">
        <v>46304.62411525803</v>
      </c>
      <c r="E125" s="4" t="n">
        <v>46304.62411525809</v>
      </c>
      <c r="F125" t="b">
        <v>1</v>
      </c>
      <c r="H125" t="inlineStr">
        <is>
          <t>2020-04-14 | PARCEL |  BHP | 52.0000 unit</t>
        </is>
      </c>
      <c r="I125" s="5" t="inlineStr">
        <is>
          <t>01a1212c-72e4-73c6-be90-730f7497600a</t>
        </is>
      </c>
      <c r="J125" t="n">
        <v>52</v>
      </c>
      <c r="K125" t="n">
        <v>1</v>
      </c>
      <c r="L125" s="6" t="n">
        <v>43935</v>
      </c>
      <c r="O125" t="inlineStr">
        <is>
          <t>BHP</t>
        </is>
      </c>
      <c r="P125" t="n">
        <v>52</v>
      </c>
      <c r="Q125" t="b">
        <v>0</v>
      </c>
      <c r="R125" t="inlineStr">
        <is>
          <t>AUD</t>
        </is>
      </c>
      <c r="S125" t="n">
        <v>0.383654</v>
      </c>
      <c r="T125" t="inlineStr">
        <is>
          <t>AUD</t>
        </is>
      </c>
      <c r="U125" t="n">
        <v>1485.8456</v>
      </c>
      <c r="V125" t="inlineStr">
        <is>
          <t>AUD</t>
        </is>
      </c>
      <c r="W125" t="n">
        <v>28.573954</v>
      </c>
      <c r="X125" t="n">
        <v/>
      </c>
    </row>
    <row r="126">
      <c r="A126" s="5" t="inlineStr">
        <is>
          <t>01a1212c-72fa-746a-b6d8-923ee91edd31</t>
        </is>
      </c>
      <c r="C126" s="5" t="inlineStr">
        <is>
          <t>01a1212c-4b57-70cf-80fd-c2192cb3bf81</t>
        </is>
      </c>
      <c r="D126" s="4" t="n">
        <v>46304.62411549093</v>
      </c>
      <c r="E126" s="4" t="n">
        <v>46304.62430294511</v>
      </c>
      <c r="F126" t="b">
        <v>1</v>
      </c>
      <c r="H126" t="inlineStr">
        <is>
          <t>2020-05-04 | PARCEL |  A200 | 13.0000 unit</t>
        </is>
      </c>
      <c r="I126" s="5" t="inlineStr">
        <is>
          <t>01a1212c-72f9-77c8-8006-19b03a2d94a0</t>
        </is>
      </c>
      <c r="J126" t="n">
        <v>13</v>
      </c>
      <c r="K126" t="n">
        <v>1</v>
      </c>
      <c r="L126" s="6" t="n">
        <v>43955</v>
      </c>
      <c r="O126" t="inlineStr">
        <is>
          <t>A200</t>
        </is>
      </c>
      <c r="P126" t="n">
        <v>13</v>
      </c>
      <c r="Q126" t="b">
        <v>0</v>
      </c>
      <c r="R126" t="inlineStr">
        <is>
          <t>AUD</t>
        </is>
      </c>
      <c r="S126" t="n">
        <v>0.730769</v>
      </c>
      <c r="T126" t="inlineStr">
        <is>
          <t>AUD</t>
        </is>
      </c>
      <c r="U126" t="n">
        <v>1183.4214</v>
      </c>
      <c r="V126" t="inlineStr">
        <is>
          <t>AUD</t>
        </is>
      </c>
      <c r="W126" t="n">
        <v>91.032415</v>
      </c>
      <c r="X126" t="n">
        <v/>
      </c>
    </row>
    <row r="127">
      <c r="A127" s="5" t="inlineStr">
        <is>
          <t>01a1212c-730f-762d-91e1-ab5755aaf176</t>
        </is>
      </c>
      <c r="C127" s="5" t="inlineStr">
        <is>
          <t>01a1212c-4b57-70cf-80fd-c2192cb3bf81</t>
        </is>
      </c>
      <c r="D127" s="4" t="n">
        <v>46304.62411574186</v>
      </c>
      <c r="E127" s="4" t="n">
        <v>46304.6243163621</v>
      </c>
      <c r="F127" t="b">
        <v>1</v>
      </c>
      <c r="H127" t="inlineStr">
        <is>
          <t>2020-05-04 | PARCEL |  VGS | 20.0000 unit</t>
        </is>
      </c>
      <c r="I127" s="5" t="inlineStr">
        <is>
          <t>01a1212c-730e-72b8-a388-79ca267c7169</t>
        </is>
      </c>
      <c r="J127" t="n">
        <v>20</v>
      </c>
      <c r="K127" t="n">
        <v>1</v>
      </c>
      <c r="L127" s="6" t="n">
        <v>43955</v>
      </c>
      <c r="O127" t="inlineStr">
        <is>
          <t>VGS</t>
        </is>
      </c>
      <c r="P127" t="n">
        <v>20</v>
      </c>
      <c r="Q127" t="b">
        <v>0</v>
      </c>
      <c r="R127" t="inlineStr">
        <is>
          <t>AUD</t>
        </is>
      </c>
      <c r="S127" t="n">
        <v>0.475</v>
      </c>
      <c r="T127" t="inlineStr">
        <is>
          <t>AUD</t>
        </is>
      </c>
      <c r="U127" t="n">
        <v>1525.2882</v>
      </c>
      <c r="V127" t="inlineStr">
        <is>
          <t>AUD</t>
        </is>
      </c>
      <c r="W127" t="n">
        <v>76.26441</v>
      </c>
      <c r="X127" t="n">
        <v/>
      </c>
    </row>
    <row r="128">
      <c r="A128" s="5" t="inlineStr">
        <is>
          <t>01a1212c-7327-74d8-96b9-c942c63d839c</t>
        </is>
      </c>
      <c r="C128" s="5" t="inlineStr">
        <is>
          <t>01a1212c-4b57-70cf-80fd-c2192cb3bf81</t>
        </is>
      </c>
      <c r="D128" s="4" t="n">
        <v>46304.62411601077</v>
      </c>
      <c r="E128" s="4" t="n">
        <v>46304.62430251435</v>
      </c>
      <c r="F128" t="b">
        <v>1</v>
      </c>
      <c r="H128" t="inlineStr">
        <is>
          <t>2020-06-02 | PARCEL |  A200 | 13.0000 unit</t>
        </is>
      </c>
      <c r="I128" s="5" t="inlineStr">
        <is>
          <t>01a1212c-7325-7291-90d8-1a91a7136eae</t>
        </is>
      </c>
      <c r="J128" t="n">
        <v>13</v>
      </c>
      <c r="K128" t="n">
        <v>1</v>
      </c>
      <c r="L128" s="6" t="n">
        <v>43984</v>
      </c>
      <c r="O128" t="inlineStr">
        <is>
          <t>A200</t>
        </is>
      </c>
      <c r="P128" t="n">
        <v>13</v>
      </c>
      <c r="Q128" t="b">
        <v>0</v>
      </c>
      <c r="R128" t="inlineStr">
        <is>
          <t>AUD</t>
        </is>
      </c>
      <c r="S128" t="n">
        <v>0.730769</v>
      </c>
      <c r="T128" t="inlineStr">
        <is>
          <t>AUD</t>
        </is>
      </c>
      <c r="U128" t="n">
        <v>1297.1837</v>
      </c>
      <c r="V128" t="inlineStr">
        <is>
          <t>AUD</t>
        </is>
      </c>
      <c r="W128" t="n">
        <v>99.783362</v>
      </c>
      <c r="X128" t="n">
        <v/>
      </c>
    </row>
    <row r="129">
      <c r="A129" s="5" t="inlineStr">
        <is>
          <t>01a1212c-733d-76f3-baba-b9d3c48b5990</t>
        </is>
      </c>
      <c r="C129" s="5" t="inlineStr">
        <is>
          <t>01a1212c-4b57-70cf-80fd-c2192cb3bf81</t>
        </is>
      </c>
      <c r="D129" s="4" t="n">
        <v>46304.62411626493</v>
      </c>
      <c r="E129" s="4" t="n">
        <v>46304.6243172086</v>
      </c>
      <c r="F129" t="b">
        <v>1</v>
      </c>
      <c r="H129" t="inlineStr">
        <is>
          <t>2020-06-02 | PARCEL |  VGS | 21.0000 unit</t>
        </is>
      </c>
      <c r="I129" s="5" t="inlineStr">
        <is>
          <t>01a1212c-733b-741e-8530-fb78ef346fbb</t>
        </is>
      </c>
      <c r="J129" t="n">
        <v>21</v>
      </c>
      <c r="K129" t="n">
        <v>1</v>
      </c>
      <c r="L129" s="6" t="n">
        <v>43984</v>
      </c>
      <c r="O129" t="inlineStr">
        <is>
          <t>VGS</t>
        </is>
      </c>
      <c r="P129" t="n">
        <v>21</v>
      </c>
      <c r="Q129" t="b">
        <v>0</v>
      </c>
      <c r="R129" t="inlineStr">
        <is>
          <t>AUD</t>
        </is>
      </c>
      <c r="S129" t="n">
        <v>0.452381</v>
      </c>
      <c r="T129" t="inlineStr">
        <is>
          <t>AUD</t>
        </is>
      </c>
      <c r="U129" t="n">
        <v>1652.8421</v>
      </c>
      <c r="V129" t="inlineStr">
        <is>
          <t>AUD</t>
        </is>
      </c>
      <c r="W129" t="n">
        <v>78.706767</v>
      </c>
      <c r="X129" t="n">
        <v/>
      </c>
    </row>
    <row r="130">
      <c r="A130" s="5" t="inlineStr">
        <is>
          <t>01a1212c-7353-706a-8a0c-c686449758b5</t>
        </is>
      </c>
      <c r="C130" s="5" t="inlineStr">
        <is>
          <t>01a1212c-4b57-70cf-80fd-c2192cb3bf81</t>
        </is>
      </c>
      <c r="D130" s="4" t="n">
        <v>46304.62411652201</v>
      </c>
      <c r="E130" s="4" t="n">
        <v>46304.62427165794</v>
      </c>
      <c r="F130" t="b">
        <v>1</v>
      </c>
      <c r="H130" t="inlineStr">
        <is>
          <t>2020-06-08 | PARCEL |  MSFT | 4.0000 unit</t>
        </is>
      </c>
      <c r="I130" s="5" t="inlineStr">
        <is>
          <t>01a1212c-7350-711b-8f5f-378ef181fb76</t>
        </is>
      </c>
      <c r="J130" t="n">
        <v>4</v>
      </c>
      <c r="K130" t="n">
        <v>1</v>
      </c>
      <c r="L130" s="6" t="n">
        <v>43990</v>
      </c>
      <c r="N130" s="6" t="n">
        <v>45608</v>
      </c>
      <c r="O130" t="inlineStr">
        <is>
          <t>MSFT</t>
        </is>
      </c>
      <c r="P130" t="n">
        <v>0</v>
      </c>
      <c r="Q130" t="b">
        <v>1</v>
      </c>
      <c r="R130" t="inlineStr">
        <is>
          <t>AUD</t>
        </is>
      </c>
      <c r="S130" t="n">
        <v>1.875</v>
      </c>
      <c r="T130" t="inlineStr">
        <is>
          <t>AUD</t>
        </is>
      </c>
      <c r="U130" t="n">
        <v>1137.66</v>
      </c>
      <c r="V130" t="inlineStr">
        <is>
          <t>AUD</t>
        </is>
      </c>
      <c r="W130" t="n">
        <v>284.415</v>
      </c>
      <c r="X130" t="n">
        <v/>
      </c>
    </row>
    <row r="131">
      <c r="A131" s="5" t="inlineStr">
        <is>
          <t>01a1212c-736b-73df-bd22-6fadaba8c1fd</t>
        </is>
      </c>
      <c r="C131" s="5" t="inlineStr">
        <is>
          <t>01a1212c-4b57-70cf-80fd-c2192cb3bf81</t>
        </is>
      </c>
      <c r="D131" s="4" t="n">
        <v>46304.62411679898</v>
      </c>
      <c r="E131" s="4" t="n">
        <v>46304.6242179681</v>
      </c>
      <c r="F131" t="b">
        <v>0</v>
      </c>
      <c r="H131" t="inlineStr">
        <is>
          <t>2020-06-22 | PARCEL |  AMZN | 1.0000 unit</t>
        </is>
      </c>
      <c r="I131" s="5" t="inlineStr">
        <is>
          <t>01a1212c-7368-712b-9d41-a7df8c7e4459</t>
        </is>
      </c>
      <c r="J131" t="n">
        <v>1</v>
      </c>
      <c r="K131" t="n">
        <v>1</v>
      </c>
      <c r="L131" s="6" t="n">
        <v>44004</v>
      </c>
      <c r="M131" s="6" t="n">
        <v>44718</v>
      </c>
      <c r="O131" t="inlineStr">
        <is>
          <t>AMZN</t>
        </is>
      </c>
      <c r="P131" t="n">
        <v>0</v>
      </c>
      <c r="Q131" t="b">
        <v>1</v>
      </c>
      <c r="R131" t="inlineStr">
        <is>
          <t>AUD</t>
        </is>
      </c>
      <c r="S131" t="n">
        <v>0</v>
      </c>
      <c r="T131" t="inlineStr">
        <is>
          <t>AUD</t>
        </is>
      </c>
      <c r="U131" t="n">
        <v>0</v>
      </c>
      <c r="V131" t="inlineStr">
        <is>
          <t>AUD</t>
        </is>
      </c>
      <c r="W131" t="n">
        <v>0</v>
      </c>
      <c r="X131" t="n">
        <v/>
      </c>
    </row>
    <row r="132">
      <c r="A132" s="5" t="inlineStr">
        <is>
          <t>01a1212c-7381-769a-8076-e7b050fbdfd3</t>
        </is>
      </c>
      <c r="C132" s="5" t="inlineStr">
        <is>
          <t>01a1212c-4b57-70cf-80fd-c2192cb3bf81</t>
        </is>
      </c>
      <c r="D132" s="4" t="n">
        <v>46304.6241170525</v>
      </c>
      <c r="E132" s="4" t="n">
        <v>46304.62430362184</v>
      </c>
      <c r="F132" t="b">
        <v>1</v>
      </c>
      <c r="H132" t="inlineStr">
        <is>
          <t>2020-07-06 | PARCEL |  A200 | 13.0000 unit</t>
        </is>
      </c>
      <c r="I132" s="5" t="inlineStr">
        <is>
          <t>01a1212c-7380-7361-b2c4-fdccc28184dd</t>
        </is>
      </c>
      <c r="J132" t="n">
        <v>13</v>
      </c>
      <c r="K132" t="n">
        <v>1</v>
      </c>
      <c r="L132" s="6" t="n">
        <v>44018</v>
      </c>
      <c r="O132" t="inlineStr">
        <is>
          <t>A200</t>
        </is>
      </c>
      <c r="P132" t="n">
        <v>13</v>
      </c>
      <c r="Q132" t="b">
        <v>0</v>
      </c>
      <c r="R132" t="inlineStr">
        <is>
          <t>AUD</t>
        </is>
      </c>
      <c r="S132" t="n">
        <v>0.730769</v>
      </c>
      <c r="T132" t="inlineStr">
        <is>
          <t>AUD</t>
        </is>
      </c>
      <c r="U132" t="n">
        <v>1331.6214</v>
      </c>
      <c r="V132" t="inlineStr">
        <is>
          <t>AUD</t>
        </is>
      </c>
      <c r="W132" t="n">
        <v>102.432415</v>
      </c>
      <c r="X132" t="n">
        <v/>
      </c>
    </row>
    <row r="133">
      <c r="A133" s="5" t="inlineStr">
        <is>
          <t>01a1212c-7396-7143-a0d0-9983b89d9143</t>
        </is>
      </c>
      <c r="C133" s="5" t="inlineStr">
        <is>
          <t>01a1212c-4b57-70cf-80fd-c2192cb3bf81</t>
        </is>
      </c>
      <c r="D133" s="4" t="n">
        <v>46304.62411730261</v>
      </c>
      <c r="E133" s="4" t="n">
        <v>46304.62431790675</v>
      </c>
      <c r="F133" t="b">
        <v>1</v>
      </c>
      <c r="H133" t="inlineStr">
        <is>
          <t>2020-07-06 | PARCEL |  VGS | 21.0000 unit</t>
        </is>
      </c>
      <c r="I133" s="5" t="inlineStr">
        <is>
          <t>01a1212c-7395-753d-8a0d-f54170016ba6</t>
        </is>
      </c>
      <c r="J133" t="n">
        <v>21</v>
      </c>
      <c r="K133" t="n">
        <v>1</v>
      </c>
      <c r="L133" s="6" t="n">
        <v>44018</v>
      </c>
      <c r="O133" t="inlineStr">
        <is>
          <t>VGS</t>
        </is>
      </c>
      <c r="P133" t="n">
        <v>21</v>
      </c>
      <c r="Q133" t="b">
        <v>0</v>
      </c>
      <c r="R133" t="inlineStr">
        <is>
          <t>AUD</t>
        </is>
      </c>
      <c r="S133" t="n">
        <v>0.452381</v>
      </c>
      <c r="T133" t="inlineStr">
        <is>
          <t>AUD</t>
        </is>
      </c>
      <c r="U133" t="n">
        <v>1666.3604</v>
      </c>
      <c r="V133" t="inlineStr">
        <is>
          <t>AUD</t>
        </is>
      </c>
      <c r="W133" t="n">
        <v>79.350495</v>
      </c>
      <c r="X133" t="n">
        <v/>
      </c>
    </row>
    <row r="134">
      <c r="A134" s="5" t="inlineStr">
        <is>
          <t>01a1212c-73ad-745b-8a07-678f5df8a317</t>
        </is>
      </c>
      <c r="C134" s="5" t="inlineStr">
        <is>
          <t>01a1212c-4b57-70cf-80fd-c2192cb3bf81</t>
        </is>
      </c>
      <c r="D134" s="4" t="n">
        <v>46304.62411756362</v>
      </c>
      <c r="E134" s="4" t="n">
        <v>46304.62427148884</v>
      </c>
      <c r="F134" t="b">
        <v>1</v>
      </c>
      <c r="H134" t="inlineStr">
        <is>
          <t>2020-07-13 | PARCEL |  MSFT | 1.0000 unit</t>
        </is>
      </c>
      <c r="I134" s="5" t="inlineStr">
        <is>
          <t>01a1212c-73aa-72c8-978a-0b89b383ef95</t>
        </is>
      </c>
      <c r="J134" t="n">
        <v>1</v>
      </c>
      <c r="K134" t="n">
        <v>1</v>
      </c>
      <c r="L134" s="6" t="n">
        <v>44025</v>
      </c>
      <c r="N134" s="6" t="n">
        <v>45608</v>
      </c>
      <c r="O134" t="inlineStr">
        <is>
          <t>MSFT</t>
        </is>
      </c>
      <c r="P134" t="n">
        <v>0</v>
      </c>
      <c r="Q134" t="b">
        <v>1</v>
      </c>
      <c r="R134" t="inlineStr">
        <is>
          <t>AUD</t>
        </is>
      </c>
      <c r="S134" t="n">
        <v>7.5</v>
      </c>
      <c r="T134" t="inlineStr">
        <is>
          <t>AUD</t>
        </is>
      </c>
      <c r="U134" t="n">
        <v>318.105</v>
      </c>
      <c r="V134" t="inlineStr">
        <is>
          <t>AUD</t>
        </is>
      </c>
      <c r="W134" t="n">
        <v>318.105</v>
      </c>
      <c r="X134" t="n">
        <v/>
      </c>
    </row>
    <row r="135">
      <c r="A135" s="5" t="inlineStr">
        <is>
          <t>01a1212c-73c5-70bb-97ca-8b8b236ed442</t>
        </is>
      </c>
      <c r="C135" s="5" t="inlineStr">
        <is>
          <t>01a1212c-4b57-70cf-80fd-c2192cb3bf81</t>
        </is>
      </c>
      <c r="D135" s="4" t="n">
        <v>46304.62411784312</v>
      </c>
      <c r="E135" s="4" t="n">
        <v>46304.62420453288</v>
      </c>
      <c r="F135" t="b">
        <v>0</v>
      </c>
      <c r="H135" t="inlineStr">
        <is>
          <t>2020-07-27 | PARCEL |  AAPL | 2.0000 unit</t>
        </is>
      </c>
      <c r="I135" s="5" t="inlineStr">
        <is>
          <t>01a1212c-73c2-71bd-8928-ead4da41e250</t>
        </is>
      </c>
      <c r="J135" t="n">
        <v>2</v>
      </c>
      <c r="K135" t="n">
        <v>1</v>
      </c>
      <c r="L135" s="6" t="n">
        <v>44039</v>
      </c>
      <c r="M135" s="6" t="n">
        <v>44074</v>
      </c>
      <c r="O135" t="inlineStr">
        <is>
          <t>AAPL</t>
        </is>
      </c>
      <c r="P135" t="n">
        <v>0</v>
      </c>
      <c r="Q135" t="b">
        <v>1</v>
      </c>
      <c r="R135" t="inlineStr">
        <is>
          <t>AUD</t>
        </is>
      </c>
      <c r="S135" t="n">
        <v>0</v>
      </c>
      <c r="T135" t="inlineStr">
        <is>
          <t>AUD</t>
        </is>
      </c>
      <c r="U135" t="n">
        <v>0</v>
      </c>
      <c r="V135" t="inlineStr">
        <is>
          <t>AUD</t>
        </is>
      </c>
      <c r="W135" t="n">
        <v>0</v>
      </c>
      <c r="X135" t="n">
        <v/>
      </c>
    </row>
    <row r="136">
      <c r="A136" s="5" t="inlineStr">
        <is>
          <t>01a1212c-73dc-7776-bb86-5aa639647d91</t>
        </is>
      </c>
      <c r="C136" s="5" t="inlineStr">
        <is>
          <t>01a1212c-4b57-70cf-80fd-c2192cb3bf81</t>
        </is>
      </c>
      <c r="D136" s="4" t="n">
        <v>46304.62411810701</v>
      </c>
      <c r="E136" s="4" t="n">
        <v>46304.62420464072</v>
      </c>
      <c r="F136" t="b">
        <v>0</v>
      </c>
      <c r="H136" t="inlineStr">
        <is>
          <t>2020-07-28 | PARCEL |  AAPL | 1.0000 unit</t>
        </is>
      </c>
      <c r="I136" s="5" t="inlineStr">
        <is>
          <t>01a1212c-73d9-716a-a7c7-7c2131a7a41e</t>
        </is>
      </c>
      <c r="J136" t="n">
        <v>1</v>
      </c>
      <c r="K136" t="n">
        <v>1</v>
      </c>
      <c r="L136" s="6" t="n">
        <v>44040</v>
      </c>
      <c r="M136" s="6" t="n">
        <v>44074</v>
      </c>
      <c r="O136" t="inlineStr">
        <is>
          <t>AAPL</t>
        </is>
      </c>
      <c r="P136" t="n">
        <v>0</v>
      </c>
      <c r="Q136" t="b">
        <v>1</v>
      </c>
      <c r="R136" t="inlineStr">
        <is>
          <t>AUD</t>
        </is>
      </c>
      <c r="S136" t="n">
        <v>0</v>
      </c>
      <c r="T136" t="inlineStr">
        <is>
          <t>AUD</t>
        </is>
      </c>
      <c r="U136" t="n">
        <v>0</v>
      </c>
      <c r="V136" t="inlineStr">
        <is>
          <t>AUD</t>
        </is>
      </c>
      <c r="W136" t="n">
        <v>0</v>
      </c>
      <c r="X136" t="n">
        <v/>
      </c>
    </row>
    <row r="137">
      <c r="A137" s="5" t="inlineStr">
        <is>
          <t>01a1212c-73f1-7653-991a-7a458d0c9e1e</t>
        </is>
      </c>
      <c r="C137" s="5" t="inlineStr">
        <is>
          <t>01a1212c-4b57-70cf-80fd-c2192cb3bf81</t>
        </is>
      </c>
      <c r="D137" s="4" t="n">
        <v>46304.62411835471</v>
      </c>
      <c r="E137" s="4" t="n">
        <v>46304.6243037817</v>
      </c>
      <c r="F137" t="b">
        <v>1</v>
      </c>
      <c r="H137" t="inlineStr">
        <is>
          <t>2020-08-03 | PARCEL |  A200 | 6.0000 unit</t>
        </is>
      </c>
      <c r="I137" s="5" t="inlineStr">
        <is>
          <t>01a1212c-73f0-74dd-addc-cf8de8d0c287</t>
        </is>
      </c>
      <c r="J137" t="n">
        <v>6</v>
      </c>
      <c r="K137" t="n">
        <v>1</v>
      </c>
      <c r="L137" s="6" t="n">
        <v>44046</v>
      </c>
      <c r="O137" t="inlineStr">
        <is>
          <t>A200</t>
        </is>
      </c>
      <c r="P137" t="n">
        <v>6</v>
      </c>
      <c r="Q137" t="b">
        <v>0</v>
      </c>
      <c r="R137" t="inlineStr">
        <is>
          <t>AUD</t>
        </is>
      </c>
      <c r="S137" t="n">
        <v>1.583333</v>
      </c>
      <c r="T137" t="inlineStr">
        <is>
          <t>AUD</t>
        </is>
      </c>
      <c r="U137" t="n">
        <v>608.8467000000001</v>
      </c>
      <c r="V137" t="inlineStr">
        <is>
          <t>AUD</t>
        </is>
      </c>
      <c r="W137" t="n">
        <v>101.47445</v>
      </c>
      <c r="X137" t="n">
        <v/>
      </c>
    </row>
    <row r="138">
      <c r="A138" s="5" t="inlineStr">
        <is>
          <t>01a1212c-7406-7791-9482-a05d6cc76c10</t>
        </is>
      </c>
      <c r="C138" s="5" t="inlineStr">
        <is>
          <t>01a1212c-4b57-70cf-80fd-c2192cb3bf81</t>
        </is>
      </c>
      <c r="D138" s="4" t="n">
        <v>46304.62411859778</v>
      </c>
      <c r="E138" s="4" t="n">
        <v>46304.62431562971</v>
      </c>
      <c r="F138" t="b">
        <v>1</v>
      </c>
      <c r="H138" t="inlineStr">
        <is>
          <t>2020-08-03 | PARCEL |  VGS | 10.0000 unit</t>
        </is>
      </c>
      <c r="I138" s="5" t="inlineStr">
        <is>
          <t>01a1212c-7405-7482-94ff-8e3d6dd968ee</t>
        </is>
      </c>
      <c r="J138" t="n">
        <v>10</v>
      </c>
      <c r="K138" t="n">
        <v>1</v>
      </c>
      <c r="L138" s="6" t="n">
        <v>44046</v>
      </c>
      <c r="O138" t="inlineStr">
        <is>
          <t>VGS</t>
        </is>
      </c>
      <c r="P138" t="n">
        <v>10</v>
      </c>
      <c r="Q138" t="b">
        <v>0</v>
      </c>
      <c r="R138" t="inlineStr">
        <is>
          <t>AUD</t>
        </is>
      </c>
      <c r="S138" t="n">
        <v>0.95</v>
      </c>
      <c r="T138" t="inlineStr">
        <is>
          <t>AUD</t>
        </is>
      </c>
      <c r="U138" t="n">
        <v>796.6115</v>
      </c>
      <c r="V138" t="inlineStr">
        <is>
          <t>AUD</t>
        </is>
      </c>
      <c r="W138" t="n">
        <v>79.66115000000001</v>
      </c>
      <c r="X138" t="n">
        <v/>
      </c>
    </row>
    <row r="139">
      <c r="A139" s="5" t="inlineStr">
        <is>
          <t>01a1212c-741c-732e-b238-83e9eab5ef79</t>
        </is>
      </c>
      <c r="C139" s="5" t="inlineStr">
        <is>
          <t>01a1212c-4b57-70cf-80fd-c2192cb3bf81</t>
        </is>
      </c>
      <c r="D139" s="4" t="n">
        <v>46304.62411884728</v>
      </c>
      <c r="E139" s="4" t="n">
        <v>46304.62430409961</v>
      </c>
      <c r="F139" t="b">
        <v>1</v>
      </c>
      <c r="H139" t="inlineStr">
        <is>
          <t>2020-09-07 | PARCEL |  A200 | 15.0000 unit</t>
        </is>
      </c>
      <c r="I139" s="5" t="inlineStr">
        <is>
          <t>01a1212c-741b-73ae-b060-f2aa104c063e</t>
        </is>
      </c>
      <c r="J139" t="n">
        <v>15</v>
      </c>
      <c r="K139" t="n">
        <v>1</v>
      </c>
      <c r="L139" s="6" t="n">
        <v>44081</v>
      </c>
      <c r="O139" t="inlineStr">
        <is>
          <t>A200</t>
        </is>
      </c>
      <c r="P139" t="n">
        <v>15</v>
      </c>
      <c r="Q139" t="b">
        <v>0</v>
      </c>
      <c r="R139" t="inlineStr">
        <is>
          <t>AUD</t>
        </is>
      </c>
      <c r="S139" t="n">
        <v>0.633333</v>
      </c>
      <c r="T139" t="inlineStr">
        <is>
          <t>AUD</t>
        </is>
      </c>
      <c r="U139" t="n">
        <v>1520.8698</v>
      </c>
      <c r="V139" t="inlineStr">
        <is>
          <t>AUD</t>
        </is>
      </c>
      <c r="W139" t="n">
        <v>101.39132</v>
      </c>
      <c r="X139" t="n">
        <v/>
      </c>
    </row>
    <row r="140">
      <c r="A140" s="5" t="inlineStr">
        <is>
          <t>01a1212c-7431-7269-8782-d6ec933249b5</t>
        </is>
      </c>
      <c r="C140" s="5" t="inlineStr">
        <is>
          <t>01a1212c-4b57-70cf-80fd-c2192cb3bf81</t>
        </is>
      </c>
      <c r="D140" s="4" t="n">
        <v>46304.62411909681</v>
      </c>
      <c r="E140" s="4" t="n">
        <v>46304.62431660265</v>
      </c>
      <c r="F140" t="b">
        <v>1</v>
      </c>
      <c r="H140" t="inlineStr">
        <is>
          <t>2020-09-07 | PARCEL |  VGS | 23.0000 unit</t>
        </is>
      </c>
      <c r="I140" s="5" t="inlineStr">
        <is>
          <t>01a1212c-7430-7759-b2ad-cade70aca8c2</t>
        </is>
      </c>
      <c r="J140" t="n">
        <v>23</v>
      </c>
      <c r="K140" t="n">
        <v>1</v>
      </c>
      <c r="L140" s="6" t="n">
        <v>44081</v>
      </c>
      <c r="O140" t="inlineStr">
        <is>
          <t>VGS</t>
        </is>
      </c>
      <c r="P140" t="n">
        <v>23</v>
      </c>
      <c r="Q140" t="b">
        <v>0</v>
      </c>
      <c r="R140" t="inlineStr">
        <is>
          <t>AUD</t>
        </is>
      </c>
      <c r="S140" t="n">
        <v>0.413043</v>
      </c>
      <c r="T140" t="inlineStr">
        <is>
          <t>AUD</t>
        </is>
      </c>
      <c r="U140" t="n">
        <v>1855.7659</v>
      </c>
      <c r="V140" t="inlineStr">
        <is>
          <t>AUD</t>
        </is>
      </c>
      <c r="W140" t="n">
        <v>80.685474</v>
      </c>
      <c r="X140" t="n">
        <v/>
      </c>
    </row>
    <row r="141">
      <c r="A141" s="5" t="inlineStr">
        <is>
          <t>01a1212c-7449-7178-9abe-7dae925a4d57</t>
        </is>
      </c>
      <c r="C141" s="5" t="inlineStr">
        <is>
          <t>01a1212c-4b57-70cf-80fd-c2192cb3bf81</t>
        </is>
      </c>
      <c r="D141" s="4" t="n">
        <v>46304.62411937272</v>
      </c>
      <c r="E141" s="4" t="n">
        <v>46304.62421808427</v>
      </c>
      <c r="F141" t="b">
        <v>0</v>
      </c>
      <c r="H141" t="inlineStr">
        <is>
          <t>2020-09-09 | PARCEL |  AMZN | 1.0000 unit</t>
        </is>
      </c>
      <c r="I141" s="5" t="inlineStr">
        <is>
          <t>01a1212c-7447-7042-b6a7-3dbe887ea9bc</t>
        </is>
      </c>
      <c r="J141" t="n">
        <v>1</v>
      </c>
      <c r="K141" t="n">
        <v>1</v>
      </c>
      <c r="L141" s="6" t="n">
        <v>44083</v>
      </c>
      <c r="M141" s="6" t="n">
        <v>44718</v>
      </c>
      <c r="O141" t="inlineStr">
        <is>
          <t>AMZN</t>
        </is>
      </c>
      <c r="P141" t="n">
        <v>0</v>
      </c>
      <c r="Q141" t="b">
        <v>1</v>
      </c>
      <c r="R141" t="inlineStr">
        <is>
          <t>AUD</t>
        </is>
      </c>
      <c r="S141" t="n">
        <v>0</v>
      </c>
      <c r="T141" t="inlineStr">
        <is>
          <t>AUD</t>
        </is>
      </c>
      <c r="U141" t="n">
        <v>0</v>
      </c>
      <c r="V141" t="inlineStr">
        <is>
          <t>AUD</t>
        </is>
      </c>
      <c r="W141" t="n">
        <v>0</v>
      </c>
      <c r="X141" t="n">
        <v/>
      </c>
    </row>
    <row r="142">
      <c r="A142" s="5" t="inlineStr">
        <is>
          <t>01a1212c-7461-718b-a08a-ae58aa67a4dc</t>
        </is>
      </c>
      <c r="C142" s="5" t="inlineStr">
        <is>
          <t>01a1212c-4b57-70cf-80fd-c2192cb3bf81</t>
        </is>
      </c>
      <c r="D142" s="4" t="n">
        <v>46304.62411965011</v>
      </c>
      <c r="E142" s="4" t="n">
        <v>46304.62430458881</v>
      </c>
      <c r="F142" t="b">
        <v>1</v>
      </c>
      <c r="H142" t="inlineStr">
        <is>
          <t>2020-10-05 | PARCEL |  A200 | 14.0000 unit</t>
        </is>
      </c>
      <c r="I142" s="5" t="inlineStr">
        <is>
          <t>01a1212c-7460-77e6-a93c-d345291bf4bd</t>
        </is>
      </c>
      <c r="J142" t="n">
        <v>14</v>
      </c>
      <c r="K142" t="n">
        <v>1</v>
      </c>
      <c r="L142" s="6" t="n">
        <v>44109</v>
      </c>
      <c r="O142" t="inlineStr">
        <is>
          <t>A200</t>
        </is>
      </c>
      <c r="P142" t="n">
        <v>14</v>
      </c>
      <c r="Q142" t="b">
        <v>0</v>
      </c>
      <c r="R142" t="inlineStr">
        <is>
          <t>AUD</t>
        </is>
      </c>
      <c r="S142" t="n">
        <v>0.678571</v>
      </c>
      <c r="T142" t="inlineStr">
        <is>
          <t>AUD</t>
        </is>
      </c>
      <c r="U142" t="n">
        <v>1414.0843</v>
      </c>
      <c r="V142" t="inlineStr">
        <is>
          <t>AUD</t>
        </is>
      </c>
      <c r="W142" t="n">
        <v>101.006021</v>
      </c>
      <c r="X142" t="n">
        <v/>
      </c>
    </row>
    <row r="143">
      <c r="A143" s="5" t="inlineStr">
        <is>
          <t>01a1212c-7479-730c-8151-93b8e93442c2</t>
        </is>
      </c>
      <c r="C143" s="5" t="inlineStr">
        <is>
          <t>01a1212c-4b57-70cf-80fd-c2192cb3bf81</t>
        </is>
      </c>
      <c r="D143" s="4" t="n">
        <v>46304.6241199266</v>
      </c>
      <c r="E143" s="4" t="n">
        <v>46304.62431711325</v>
      </c>
      <c r="F143" t="b">
        <v>1</v>
      </c>
      <c r="H143" t="inlineStr">
        <is>
          <t>2020-10-05 | PARCEL |  VGS | 22.0000 unit</t>
        </is>
      </c>
      <c r="I143" s="5" t="inlineStr">
        <is>
          <t>01a1212c-7478-7078-b25e-94bc2eb2edfe</t>
        </is>
      </c>
      <c r="J143" t="n">
        <v>22</v>
      </c>
      <c r="K143" t="n">
        <v>1</v>
      </c>
      <c r="L143" s="6" t="n">
        <v>44109</v>
      </c>
      <c r="O143" t="inlineStr">
        <is>
          <t>VGS</t>
        </is>
      </c>
      <c r="P143" t="n">
        <v>22</v>
      </c>
      <c r="Q143" t="b">
        <v>0</v>
      </c>
      <c r="R143" t="inlineStr">
        <is>
          <t>AUD</t>
        </is>
      </c>
      <c r="S143" t="n">
        <v>0.431818</v>
      </c>
      <c r="T143" t="inlineStr">
        <is>
          <t>AUD</t>
        </is>
      </c>
      <c r="U143" t="n">
        <v>1783.7001</v>
      </c>
      <c r="V143" t="inlineStr">
        <is>
          <t>AUD</t>
        </is>
      </c>
      <c r="W143" t="n">
        <v>81.077277</v>
      </c>
      <c r="X143" t="n">
        <v/>
      </c>
    </row>
    <row r="144">
      <c r="A144" s="5" t="inlineStr">
        <is>
          <t>01a1212c-7490-71c0-8cbe-44d79f82b96c</t>
        </is>
      </c>
      <c r="C144" s="5" t="inlineStr">
        <is>
          <t>01a1212c-4b57-70cf-80fd-c2192cb3bf81</t>
        </is>
      </c>
      <c r="D144" s="4" t="n">
        <v>46304.6241201922</v>
      </c>
      <c r="E144" s="4" t="n">
        <v>46304.62412019226</v>
      </c>
      <c r="F144" t="b">
        <v>1</v>
      </c>
      <c r="H144" t="inlineStr">
        <is>
          <t>2020-10-12 | PARCEL |  AAPL | 6.0000 unit</t>
        </is>
      </c>
      <c r="I144" s="5" t="inlineStr">
        <is>
          <t>01a1212c-748d-7794-bdeb-c4d72044bf98</t>
        </is>
      </c>
      <c r="J144" t="n">
        <v>6</v>
      </c>
      <c r="K144" t="n">
        <v>1</v>
      </c>
      <c r="L144" s="6" t="n">
        <v>44116</v>
      </c>
      <c r="O144" t="inlineStr">
        <is>
          <t>AAPL</t>
        </is>
      </c>
      <c r="P144" t="n">
        <v>6</v>
      </c>
      <c r="Q144" t="b">
        <v>0</v>
      </c>
      <c r="R144" t="inlineStr">
        <is>
          <t>AUD</t>
        </is>
      </c>
      <c r="S144" t="n">
        <v>1.25</v>
      </c>
      <c r="T144" t="inlineStr">
        <is>
          <t>AUD</t>
        </is>
      </c>
      <c r="U144" t="n">
        <v>1127.1</v>
      </c>
      <c r="V144" t="inlineStr">
        <is>
          <t>AUD</t>
        </is>
      </c>
      <c r="W144" t="n">
        <v>187.85</v>
      </c>
      <c r="X144" t="n">
        <v/>
      </c>
    </row>
    <row r="145">
      <c r="A145" s="5" t="inlineStr">
        <is>
          <t>01a1212c-74a5-7646-bf4b-157c0a1a7665</t>
        </is>
      </c>
      <c r="C145" s="5" t="inlineStr">
        <is>
          <t>01a1212c-4b57-70cf-80fd-c2192cb3bf81</t>
        </is>
      </c>
      <c r="D145" s="4" t="n">
        <v>46304.62412043921</v>
      </c>
      <c r="E145" s="4" t="n">
        <v>46304.62430328448</v>
      </c>
      <c r="F145" t="b">
        <v>1</v>
      </c>
      <c r="H145" t="inlineStr">
        <is>
          <t>2020-11-06 | PARCEL |  A200 | 8.0000 unit</t>
        </is>
      </c>
      <c r="I145" s="5" t="inlineStr">
        <is>
          <t>01a1212c-74a4-76a4-8b8b-f3b8d29b1397</t>
        </is>
      </c>
      <c r="J145" t="n">
        <v>8</v>
      </c>
      <c r="K145" t="n">
        <v>1</v>
      </c>
      <c r="L145" s="6" t="n">
        <v>44141</v>
      </c>
      <c r="O145" t="inlineStr">
        <is>
          <t>A200</t>
        </is>
      </c>
      <c r="P145" t="n">
        <v>8</v>
      </c>
      <c r="Q145" t="b">
        <v>0</v>
      </c>
      <c r="R145" t="inlineStr">
        <is>
          <t>AUD</t>
        </is>
      </c>
      <c r="S145" t="n">
        <v>1.1875</v>
      </c>
      <c r="T145" t="inlineStr">
        <is>
          <t>AUD</t>
        </is>
      </c>
      <c r="U145" t="n">
        <v>845.5435</v>
      </c>
      <c r="V145" t="inlineStr">
        <is>
          <t>AUD</t>
        </is>
      </c>
      <c r="W145" t="n">
        <v>105.692938</v>
      </c>
      <c r="X145" t="n">
        <v/>
      </c>
    </row>
    <row r="146">
      <c r="A146" s="5" t="inlineStr">
        <is>
          <t>01a1212c-74bb-70c4-8e52-54a02ff26207</t>
        </is>
      </c>
      <c r="C146" s="5" t="inlineStr">
        <is>
          <t>01a1212c-4b57-70cf-80fd-c2192cb3bf81</t>
        </is>
      </c>
      <c r="D146" s="4" t="n">
        <v>46304.62412069118</v>
      </c>
      <c r="E146" s="4" t="n">
        <v>46304.62431474111</v>
      </c>
      <c r="F146" t="b">
        <v>1</v>
      </c>
      <c r="H146" t="inlineStr">
        <is>
          <t>2020-11-06 | PARCEL |  VGS | 13.0000 unit</t>
        </is>
      </c>
      <c r="I146" s="5" t="inlineStr">
        <is>
          <t>01a1212c-74ba-75d9-8d4a-96e6ec11ce73</t>
        </is>
      </c>
      <c r="J146" t="n">
        <v>13</v>
      </c>
      <c r="K146" t="n">
        <v>1</v>
      </c>
      <c r="L146" s="6" t="n">
        <v>44141</v>
      </c>
      <c r="O146" t="inlineStr">
        <is>
          <t>VGS</t>
        </is>
      </c>
      <c r="P146" t="n">
        <v>13</v>
      </c>
      <c r="Q146" t="b">
        <v>0</v>
      </c>
      <c r="R146" t="inlineStr">
        <is>
          <t>AUD</t>
        </is>
      </c>
      <c r="S146" t="n">
        <v>0.730769</v>
      </c>
      <c r="T146" t="inlineStr">
        <is>
          <t>AUD</t>
        </is>
      </c>
      <c r="U146" t="n">
        <v>1078.0675</v>
      </c>
      <c r="V146" t="inlineStr">
        <is>
          <t>AUD</t>
        </is>
      </c>
      <c r="W146" t="n">
        <v>82.928269</v>
      </c>
      <c r="X146" t="n">
        <v/>
      </c>
    </row>
    <row r="147">
      <c r="A147" s="5" t="inlineStr">
        <is>
          <t>01a1212c-74d0-7378-b4d7-9789d59f4dc6</t>
        </is>
      </c>
      <c r="C147" s="5" t="inlineStr">
        <is>
          <t>01a1212c-4b57-70cf-80fd-c2192cb3bf81</t>
        </is>
      </c>
      <c r="D147" s="4" t="n">
        <v>46304.62412093012</v>
      </c>
      <c r="E147" s="4" t="n">
        <v>46304.62430512851</v>
      </c>
      <c r="F147" t="b">
        <v>1</v>
      </c>
      <c r="H147" t="inlineStr">
        <is>
          <t>2020-12-07 | PARCEL |  A200 | 13.0000 unit</t>
        </is>
      </c>
      <c r="I147" s="5" t="inlineStr">
        <is>
          <t>01a1212c-74cf-716e-a347-09fca48c72bf</t>
        </is>
      </c>
      <c r="J147" t="n">
        <v>13</v>
      </c>
      <c r="K147" t="n">
        <v>1</v>
      </c>
      <c r="L147" s="6" t="n">
        <v>44172</v>
      </c>
      <c r="O147" t="inlineStr">
        <is>
          <t>A200</t>
        </is>
      </c>
      <c r="P147" t="n">
        <v>13</v>
      </c>
      <c r="Q147" t="b">
        <v>0</v>
      </c>
      <c r="R147" t="inlineStr">
        <is>
          <t>AUD</t>
        </is>
      </c>
      <c r="S147" t="n">
        <v>0.730769</v>
      </c>
      <c r="T147" t="inlineStr">
        <is>
          <t>AUD</t>
        </is>
      </c>
      <c r="U147" t="n">
        <v>1476.9893</v>
      </c>
      <c r="V147" t="inlineStr">
        <is>
          <t>AUD</t>
        </is>
      </c>
      <c r="W147" t="n">
        <v>113.614562</v>
      </c>
      <c r="X147" t="n">
        <v/>
      </c>
    </row>
    <row r="148">
      <c r="A148" s="5" t="inlineStr">
        <is>
          <t>01a1212c-74e5-7395-a1a4-2bc2487a534d</t>
        </is>
      </c>
      <c r="C148" s="5" t="inlineStr">
        <is>
          <t>01a1212c-4b57-70cf-80fd-c2192cb3bf81</t>
        </is>
      </c>
      <c r="D148" s="4" t="n">
        <v>46304.62412117961</v>
      </c>
      <c r="E148" s="4" t="n">
        <v>46304.62431913197</v>
      </c>
      <c r="F148" t="b">
        <v>1</v>
      </c>
      <c r="H148" t="inlineStr">
        <is>
          <t>2020-12-07 | PARCEL |  VGS | 22.0000 unit</t>
        </is>
      </c>
      <c r="I148" s="5" t="inlineStr">
        <is>
          <t>01a1212c-74e4-737e-8237-1e9ed305172a</t>
        </is>
      </c>
      <c r="J148" t="n">
        <v>22</v>
      </c>
      <c r="K148" t="n">
        <v>1</v>
      </c>
      <c r="L148" s="6" t="n">
        <v>44172</v>
      </c>
      <c r="O148" t="inlineStr">
        <is>
          <t>VGS</t>
        </is>
      </c>
      <c r="P148" t="n">
        <v>22</v>
      </c>
      <c r="Q148" t="b">
        <v>0</v>
      </c>
      <c r="R148" t="inlineStr">
        <is>
          <t>AUD</t>
        </is>
      </c>
      <c r="S148" t="n">
        <v>0.431818</v>
      </c>
      <c r="T148" t="inlineStr">
        <is>
          <t>AUD</t>
        </is>
      </c>
      <c r="U148" t="n">
        <v>1908.9751</v>
      </c>
      <c r="V148" t="inlineStr">
        <is>
          <t>AUD</t>
        </is>
      </c>
      <c r="W148" t="n">
        <v>86.771595</v>
      </c>
      <c r="X148" t="n">
        <v/>
      </c>
    </row>
    <row r="149">
      <c r="A149" s="5" t="inlineStr">
        <is>
          <t>01a1212c-74ff-71e8-bddf-7c46f57ce7fb</t>
        </is>
      </c>
      <c r="C149" s="5" t="inlineStr">
        <is>
          <t>01a1212c-4b57-70cf-80fd-c2192cb3bf81</t>
        </is>
      </c>
      <c r="D149" s="4" t="n">
        <v>46304.62412147301</v>
      </c>
      <c r="E149" s="4" t="n">
        <v>46304.6243046289</v>
      </c>
      <c r="F149" t="b">
        <v>1</v>
      </c>
      <c r="H149" t="inlineStr">
        <is>
          <t>2021-01-04 | PARCEL |  A200 | 9.0000 unit</t>
        </is>
      </c>
      <c r="I149" s="5" t="inlineStr">
        <is>
          <t>01a1212c-74fd-759f-8c9c-28fdecd999ad</t>
        </is>
      </c>
      <c r="J149" t="n">
        <v>9</v>
      </c>
      <c r="K149" t="n">
        <v>1</v>
      </c>
      <c r="L149" s="6" t="n">
        <v>44200</v>
      </c>
      <c r="O149" t="inlineStr">
        <is>
          <t>A200</t>
        </is>
      </c>
      <c r="P149" t="n">
        <v>9</v>
      </c>
      <c r="Q149" t="b">
        <v>0</v>
      </c>
      <c r="R149" t="inlineStr">
        <is>
          <t>AUD</t>
        </is>
      </c>
      <c r="S149" t="n">
        <v>1.055556</v>
      </c>
      <c r="T149" t="inlineStr">
        <is>
          <t>AUD</t>
        </is>
      </c>
      <c r="U149" t="n">
        <v>1021.3094</v>
      </c>
      <c r="V149" t="inlineStr">
        <is>
          <t>AUD</t>
        </is>
      </c>
      <c r="W149" t="n">
        <v>113.478822</v>
      </c>
      <c r="X149" t="n">
        <v/>
      </c>
    </row>
    <row r="150">
      <c r="A150" s="5" t="inlineStr">
        <is>
          <t>01a1212c-7515-75a9-bea4-d4a41e7286ba</t>
        </is>
      </c>
      <c r="C150" s="5" t="inlineStr">
        <is>
          <t>01a1212c-4b57-70cf-80fd-c2192cb3bf81</t>
        </is>
      </c>
      <c r="D150" s="4" t="n">
        <v>46304.62412172827</v>
      </c>
      <c r="E150" s="4" t="n">
        <v>46304.62431449869</v>
      </c>
      <c r="F150" t="b">
        <v>1</v>
      </c>
      <c r="H150" t="inlineStr">
        <is>
          <t>2021-01-04 | PARCEL |  VGS | 15.0000 unit</t>
        </is>
      </c>
      <c r="I150" s="5" t="inlineStr">
        <is>
          <t>01a1212c-7513-75a9-bbaa-ab89af5ddf21</t>
        </is>
      </c>
      <c r="J150" t="n">
        <v>15</v>
      </c>
      <c r="K150" t="n">
        <v>1</v>
      </c>
      <c r="L150" s="6" t="n">
        <v>44200</v>
      </c>
      <c r="O150" t="inlineStr">
        <is>
          <t>VGS</t>
        </is>
      </c>
      <c r="P150" t="n">
        <v>15</v>
      </c>
      <c r="Q150" t="b">
        <v>0</v>
      </c>
      <c r="R150" t="inlineStr">
        <is>
          <t>AUD</t>
        </is>
      </c>
      <c r="S150" t="n">
        <v>0.633333</v>
      </c>
      <c r="T150" t="inlineStr">
        <is>
          <t>AUD</t>
        </is>
      </c>
      <c r="U150" t="n">
        <v>1281.3922</v>
      </c>
      <c r="V150" t="inlineStr">
        <is>
          <t>AUD</t>
        </is>
      </c>
      <c r="W150" t="n">
        <v>85.426147</v>
      </c>
      <c r="X150" t="n">
        <v/>
      </c>
    </row>
    <row r="151">
      <c r="A151" s="5" t="inlineStr">
        <is>
          <t>01a1212c-752a-73d9-a17f-d259f6529c46</t>
        </is>
      </c>
      <c r="C151" s="5" t="inlineStr">
        <is>
          <t>01a1212c-4b57-70cf-80fd-c2192cb3bf81</t>
        </is>
      </c>
      <c r="D151" s="4" t="n">
        <v>46304.62412196989</v>
      </c>
      <c r="E151" s="4" t="n">
        <v>46304.62430438631</v>
      </c>
      <c r="F151" t="b">
        <v>1</v>
      </c>
      <c r="H151" t="inlineStr">
        <is>
          <t>2021-02-03 | PARCEL |  A200 | 13.0000 unit</t>
        </is>
      </c>
      <c r="I151" s="5" t="inlineStr">
        <is>
          <t>01a1212c-7528-770f-81ac-912a6a8dd8db</t>
        </is>
      </c>
      <c r="J151" t="n">
        <v>13</v>
      </c>
      <c r="K151" t="n">
        <v>1</v>
      </c>
      <c r="L151" s="6" t="n">
        <v>44230</v>
      </c>
      <c r="O151" t="inlineStr">
        <is>
          <t>A200</t>
        </is>
      </c>
      <c r="P151" t="n">
        <v>13</v>
      </c>
      <c r="Q151" t="b">
        <v>0</v>
      </c>
      <c r="R151" t="inlineStr">
        <is>
          <t>AUD</t>
        </is>
      </c>
      <c r="S151" t="n">
        <v>0.730769</v>
      </c>
      <c r="T151" t="inlineStr">
        <is>
          <t>AUD</t>
        </is>
      </c>
      <c r="U151" t="n">
        <v>1507.906</v>
      </c>
      <c r="V151" t="inlineStr">
        <is>
          <t>AUD</t>
        </is>
      </c>
      <c r="W151" t="n">
        <v>115.992769</v>
      </c>
      <c r="X151" t="n">
        <v/>
      </c>
    </row>
    <row r="152">
      <c r="A152" s="5" t="inlineStr">
        <is>
          <t>01a1212c-753f-736c-986a-a53b3d31334e</t>
        </is>
      </c>
      <c r="C152" s="5" t="inlineStr">
        <is>
          <t>01a1212c-4b57-70cf-80fd-c2192cb3bf81</t>
        </is>
      </c>
      <c r="D152" s="4" t="n">
        <v>46304.6241222144</v>
      </c>
      <c r="E152" s="4" t="n">
        <v>46304.62431604003</v>
      </c>
      <c r="F152" t="b">
        <v>1</v>
      </c>
      <c r="H152" t="inlineStr">
        <is>
          <t>2021-02-03 | PARCEL |  VGS | 21.0000 unit</t>
        </is>
      </c>
      <c r="I152" s="5" t="inlineStr">
        <is>
          <t>01a1212c-753d-7406-b7bf-a3ee888256aa</t>
        </is>
      </c>
      <c r="J152" t="n">
        <v>21</v>
      </c>
      <c r="K152" t="n">
        <v>1</v>
      </c>
      <c r="L152" s="6" t="n">
        <v>44230</v>
      </c>
      <c r="O152" t="inlineStr">
        <is>
          <t>VGS</t>
        </is>
      </c>
      <c r="P152" t="n">
        <v>21</v>
      </c>
      <c r="Q152" t="b">
        <v>0</v>
      </c>
      <c r="R152" t="inlineStr">
        <is>
          <t>AUD</t>
        </is>
      </c>
      <c r="S152" t="n">
        <v>0.452381</v>
      </c>
      <c r="T152" t="inlineStr">
        <is>
          <t>AUD</t>
        </is>
      </c>
      <c r="U152" t="n">
        <v>1845.4323</v>
      </c>
      <c r="V152" t="inlineStr">
        <is>
          <t>AUD</t>
        </is>
      </c>
      <c r="W152" t="n">
        <v>87.877729</v>
      </c>
      <c r="X152" t="n">
        <v/>
      </c>
    </row>
    <row r="153">
      <c r="A153" s="5" t="inlineStr">
        <is>
          <t>01a1212c-7554-72e9-a3a3-273fc454634d</t>
        </is>
      </c>
      <c r="C153" s="5" t="inlineStr">
        <is>
          <t>01a1212c-4b57-70cf-80fd-c2192cb3bf81</t>
        </is>
      </c>
      <c r="D153" s="4" t="n">
        <v>46304.62412246287</v>
      </c>
      <c r="E153" s="4" t="n">
        <v>46304.62412246293</v>
      </c>
      <c r="F153" t="b">
        <v>1</v>
      </c>
      <c r="H153" t="inlineStr">
        <is>
          <t>2021-02-16 | PARCEL |  CBA | 7.0000 unit</t>
        </is>
      </c>
      <c r="I153" s="5" t="inlineStr">
        <is>
          <t>01a1212c-7553-7647-a294-73ede01fb439</t>
        </is>
      </c>
      <c r="J153" t="n">
        <v>7</v>
      </c>
      <c r="K153" t="n">
        <v>1</v>
      </c>
      <c r="L153" s="6" t="n">
        <v>44243</v>
      </c>
      <c r="O153" t="inlineStr">
        <is>
          <t>CBA</t>
        </is>
      </c>
      <c r="P153" t="n">
        <v>7</v>
      </c>
      <c r="Q153" t="b">
        <v>0</v>
      </c>
      <c r="R153" t="inlineStr">
        <is>
          <t>AUD</t>
        </is>
      </c>
      <c r="S153" t="n">
        <v>2.85</v>
      </c>
      <c r="T153" t="inlineStr">
        <is>
          <t>AUD</t>
        </is>
      </c>
      <c r="U153" t="n">
        <v>621.3200000000001</v>
      </c>
      <c r="V153" t="inlineStr">
        <is>
          <t>AUD</t>
        </is>
      </c>
      <c r="W153" t="n">
        <v>88.76000000000001</v>
      </c>
      <c r="X153" t="n">
        <v/>
      </c>
    </row>
    <row r="154">
      <c r="A154" s="5" t="inlineStr">
        <is>
          <t>01a1212c-7568-7011-9b33-32dc2471f741</t>
        </is>
      </c>
      <c r="C154" s="5" t="inlineStr">
        <is>
          <t>01a1212c-4b57-70cf-80fd-c2192cb3bf81</t>
        </is>
      </c>
      <c r="D154" s="4" t="n">
        <v>46304.62412269465</v>
      </c>
      <c r="E154" s="4" t="n">
        <v>46304.62430535094</v>
      </c>
      <c r="F154" t="b">
        <v>1</v>
      </c>
      <c r="H154" t="inlineStr">
        <is>
          <t>2021-03-04 | PARCEL |  A200 | 10.0000 unit</t>
        </is>
      </c>
      <c r="I154" s="5" t="inlineStr">
        <is>
          <t>01a1212c-7567-754a-b899-89620281e09b</t>
        </is>
      </c>
      <c r="J154" t="n">
        <v>10</v>
      </c>
      <c r="K154" t="n">
        <v>1</v>
      </c>
      <c r="L154" s="6" t="n">
        <v>44259</v>
      </c>
      <c r="O154" t="inlineStr">
        <is>
          <t>A200</t>
        </is>
      </c>
      <c r="P154" t="n">
        <v>10</v>
      </c>
      <c r="Q154" t="b">
        <v>0</v>
      </c>
      <c r="R154" t="inlineStr">
        <is>
          <t>AUD</t>
        </is>
      </c>
      <c r="S154" t="n">
        <v>0.95</v>
      </c>
      <c r="T154" t="inlineStr">
        <is>
          <t>AUD</t>
        </is>
      </c>
      <c r="U154" t="n">
        <v>1156.811</v>
      </c>
      <c r="V154" t="inlineStr">
        <is>
          <t>AUD</t>
        </is>
      </c>
      <c r="W154" t="n">
        <v>115.6811</v>
      </c>
      <c r="X154" t="n">
        <v/>
      </c>
    </row>
    <row r="155">
      <c r="A155" s="5" t="inlineStr">
        <is>
          <t>01a1212c-757f-767f-8272-690dfe1bbf2a</t>
        </is>
      </c>
      <c r="C155" s="5" t="inlineStr">
        <is>
          <t>01a1212c-4b57-70cf-80fd-c2192cb3bf81</t>
        </is>
      </c>
      <c r="D155" s="4" t="n">
        <v>46304.62412295304</v>
      </c>
      <c r="E155" s="4" t="n">
        <v>46304.62431705796</v>
      </c>
      <c r="F155" t="b">
        <v>1</v>
      </c>
      <c r="H155" t="inlineStr">
        <is>
          <t>2021-03-04 | PARCEL |  VGS | 16.0000 unit</t>
        </is>
      </c>
      <c r="I155" s="5" t="inlineStr">
        <is>
          <t>01a1212c-757d-77a2-8145-84f694fc6d75</t>
        </is>
      </c>
      <c r="J155" t="n">
        <v>16</v>
      </c>
      <c r="K155" t="n">
        <v>1</v>
      </c>
      <c r="L155" s="6" t="n">
        <v>44259</v>
      </c>
      <c r="O155" t="inlineStr">
        <is>
          <t>VGS</t>
        </is>
      </c>
      <c r="P155" t="n">
        <v>16</v>
      </c>
      <c r="Q155" t="b">
        <v>0</v>
      </c>
      <c r="R155" t="inlineStr">
        <is>
          <t>AUD</t>
        </is>
      </c>
      <c r="S155" t="n">
        <v>0.59375</v>
      </c>
      <c r="T155" t="inlineStr">
        <is>
          <t>AUD</t>
        </is>
      </c>
      <c r="U155" t="n">
        <v>1365.63</v>
      </c>
      <c r="V155" t="inlineStr">
        <is>
          <t>AUD</t>
        </is>
      </c>
      <c r="W155" t="n">
        <v>85.35187500000001</v>
      </c>
      <c r="X155" t="n">
        <v/>
      </c>
    </row>
    <row r="156">
      <c r="A156" s="5" t="inlineStr">
        <is>
          <t>01a1212c-7595-7792-8e63-1f39b92bd8b3</t>
        </is>
      </c>
      <c r="C156" s="5" t="inlineStr">
        <is>
          <t>01a1212c-4b57-70cf-80fd-c2192cb3bf81</t>
        </is>
      </c>
      <c r="D156" s="4" t="n">
        <v>46304.62412321164</v>
      </c>
      <c r="E156" s="4" t="n">
        <v>46304.62430470657</v>
      </c>
      <c r="F156" t="b">
        <v>1</v>
      </c>
      <c r="H156" t="inlineStr">
        <is>
          <t>2021-04-06 | PARCEL |  A200 | 9.0000 unit</t>
        </is>
      </c>
      <c r="I156" s="5" t="inlineStr">
        <is>
          <t>01a1212c-7594-7590-8f7f-091de9a25e88</t>
        </is>
      </c>
      <c r="J156" t="n">
        <v>9</v>
      </c>
      <c r="K156" t="n">
        <v>1</v>
      </c>
      <c r="L156" s="6" t="n">
        <v>44292</v>
      </c>
      <c r="O156" t="inlineStr">
        <is>
          <t>A200</t>
        </is>
      </c>
      <c r="P156" t="n">
        <v>9</v>
      </c>
      <c r="Q156" t="b">
        <v>0</v>
      </c>
      <c r="R156" t="inlineStr">
        <is>
          <t>AUD</t>
        </is>
      </c>
      <c r="S156" t="n">
        <v>1.055556</v>
      </c>
      <c r="T156" t="inlineStr">
        <is>
          <t>AUD</t>
        </is>
      </c>
      <c r="U156" t="n">
        <v>1060.0583</v>
      </c>
      <c r="V156" t="inlineStr">
        <is>
          <t>AUD</t>
        </is>
      </c>
      <c r="W156" t="n">
        <v>117.784256</v>
      </c>
      <c r="X156" t="n">
        <v/>
      </c>
    </row>
    <row r="157">
      <c r="A157" s="5" t="inlineStr">
        <is>
          <t>01a1212c-75aa-735b-b4ee-0e53e375e6f4</t>
        </is>
      </c>
      <c r="C157" s="5" t="inlineStr">
        <is>
          <t>01a1212c-4b57-70cf-80fd-c2192cb3bf81</t>
        </is>
      </c>
      <c r="D157" s="4" t="n">
        <v>46304.62412345861</v>
      </c>
      <c r="E157" s="4" t="n">
        <v>46304.62431893129</v>
      </c>
      <c r="F157" t="b">
        <v>1</v>
      </c>
      <c r="H157" t="inlineStr">
        <is>
          <t>2021-04-06 | PARCEL |  VGS | 15.0000 unit</t>
        </is>
      </c>
      <c r="I157" s="5" t="inlineStr">
        <is>
          <t>01a1212c-75a9-73f7-951e-5e83dede2069</t>
        </is>
      </c>
      <c r="J157" t="n">
        <v>15</v>
      </c>
      <c r="K157" t="n">
        <v>1</v>
      </c>
      <c r="L157" s="6" t="n">
        <v>44292</v>
      </c>
      <c r="O157" t="inlineStr">
        <is>
          <t>VGS</t>
        </is>
      </c>
      <c r="P157" t="n">
        <v>15</v>
      </c>
      <c r="Q157" t="b">
        <v>0</v>
      </c>
      <c r="R157" t="inlineStr">
        <is>
          <t>AUD</t>
        </is>
      </c>
      <c r="S157" t="n">
        <v>0.633333</v>
      </c>
      <c r="T157" t="inlineStr">
        <is>
          <t>AUD</t>
        </is>
      </c>
      <c r="U157" t="n">
        <v>1374.6487</v>
      </c>
      <c r="V157" t="inlineStr">
        <is>
          <t>AUD</t>
        </is>
      </c>
      <c r="W157" t="n">
        <v>91.643247</v>
      </c>
      <c r="X157" t="n">
        <v/>
      </c>
    </row>
    <row r="158">
      <c r="A158" s="5" t="inlineStr">
        <is>
          <t>01a1212c-75c1-742a-8398-7e18f922e19c</t>
        </is>
      </c>
      <c r="C158" s="5" t="inlineStr">
        <is>
          <t>01a1212c-4b57-70cf-80fd-c2192cb3bf81</t>
        </is>
      </c>
      <c r="D158" s="4" t="n">
        <v>46304.62412371972</v>
      </c>
      <c r="E158" s="4" t="n">
        <v>46304.62427078295</v>
      </c>
      <c r="F158" t="b">
        <v>1</v>
      </c>
      <c r="H158" t="inlineStr">
        <is>
          <t>2021-04-26 | PARCEL |  MSFT | 3.0000 unit</t>
        </is>
      </c>
      <c r="I158" s="5" t="inlineStr">
        <is>
          <t>01a1212c-75be-728c-9a26-a7515313e517</t>
        </is>
      </c>
      <c r="J158" t="n">
        <v>3</v>
      </c>
      <c r="K158" t="n">
        <v>1</v>
      </c>
      <c r="L158" s="6" t="n">
        <v>44312</v>
      </c>
      <c r="N158" s="6" t="n">
        <v>45608</v>
      </c>
      <c r="O158" t="inlineStr">
        <is>
          <t>MSFT</t>
        </is>
      </c>
      <c r="P158" t="n">
        <v>0</v>
      </c>
      <c r="Q158" t="b">
        <v>1</v>
      </c>
      <c r="R158" t="inlineStr">
        <is>
          <t>AUD</t>
        </is>
      </c>
      <c r="S158" t="n">
        <v>2.5</v>
      </c>
      <c r="T158" t="inlineStr">
        <is>
          <t>AUD</t>
        </is>
      </c>
      <c r="U158" t="n">
        <v>1184.475</v>
      </c>
      <c r="V158" t="inlineStr">
        <is>
          <t>AUD</t>
        </is>
      </c>
      <c r="W158" t="n">
        <v>394.825</v>
      </c>
      <c r="X158" t="n">
        <v/>
      </c>
    </row>
    <row r="159">
      <c r="A159" s="5" t="inlineStr">
        <is>
          <t>01a1212c-75d7-729a-8044-f297ce4ce9a3</t>
        </is>
      </c>
      <c r="C159" s="5" t="inlineStr">
        <is>
          <t>01a1212c-4b57-70cf-80fd-c2192cb3bf81</t>
        </is>
      </c>
      <c r="D159" s="4" t="n">
        <v>46304.6241239735</v>
      </c>
      <c r="E159" s="4" t="n">
        <v>46304.62430264806</v>
      </c>
      <c r="F159" t="b">
        <v>1</v>
      </c>
      <c r="H159" t="inlineStr">
        <is>
          <t>2021-05-03 | PARCEL |  A200 | 13.0000 unit</t>
        </is>
      </c>
      <c r="I159" s="5" t="inlineStr">
        <is>
          <t>01a1212c-75d5-76de-a489-24cffd170fb4</t>
        </is>
      </c>
      <c r="J159" t="n">
        <v>13</v>
      </c>
      <c r="K159" t="n">
        <v>1</v>
      </c>
      <c r="L159" s="6" t="n">
        <v>44319</v>
      </c>
      <c r="O159" t="inlineStr">
        <is>
          <t>A200</t>
        </is>
      </c>
      <c r="P159" t="n">
        <v>13</v>
      </c>
      <c r="Q159" t="b">
        <v>0</v>
      </c>
      <c r="R159" t="inlineStr">
        <is>
          <t>AUD</t>
        </is>
      </c>
      <c r="S159" t="n">
        <v>0.730769</v>
      </c>
      <c r="T159" t="inlineStr">
        <is>
          <t>AUD</t>
        </is>
      </c>
      <c r="U159" t="n">
        <v>1559.6013</v>
      </c>
      <c r="V159" t="inlineStr">
        <is>
          <t>AUD</t>
        </is>
      </c>
      <c r="W159" t="n">
        <v>119.969331</v>
      </c>
      <c r="X159" t="n">
        <v/>
      </c>
    </row>
    <row r="160">
      <c r="A160" s="5" t="inlineStr">
        <is>
          <t>01a1212c-75ec-7606-87d2-d682d2730242</t>
        </is>
      </c>
      <c r="C160" s="5" t="inlineStr">
        <is>
          <t>01a1212c-4b57-70cf-80fd-c2192cb3bf81</t>
        </is>
      </c>
      <c r="D160" s="4" t="n">
        <v>46304.62412421552</v>
      </c>
      <c r="E160" s="4" t="n">
        <v>46304.62431522007</v>
      </c>
      <c r="F160" t="b">
        <v>1</v>
      </c>
      <c r="H160" t="inlineStr">
        <is>
          <t>2021-05-03 | PARCEL |  VGS | 21.0000 unit</t>
        </is>
      </c>
      <c r="I160" s="5" t="inlineStr">
        <is>
          <t>01a1212c-75ea-7086-aaf0-0071ac16db12</t>
        </is>
      </c>
      <c r="J160" t="n">
        <v>21</v>
      </c>
      <c r="K160" t="n">
        <v>1</v>
      </c>
      <c r="L160" s="6" t="n">
        <v>44319</v>
      </c>
      <c r="O160" t="inlineStr">
        <is>
          <t>VGS</t>
        </is>
      </c>
      <c r="P160" t="n">
        <v>21</v>
      </c>
      <c r="Q160" t="b">
        <v>0</v>
      </c>
      <c r="R160" t="inlineStr">
        <is>
          <t>AUD</t>
        </is>
      </c>
      <c r="S160" t="n">
        <v>0.452381</v>
      </c>
      <c r="T160" t="inlineStr">
        <is>
          <t>AUD</t>
        </is>
      </c>
      <c r="U160" t="n">
        <v>1954.5871</v>
      </c>
      <c r="V160" t="inlineStr">
        <is>
          <t>AUD</t>
        </is>
      </c>
      <c r="W160" t="n">
        <v>93.075576</v>
      </c>
      <c r="X160" t="n">
        <v/>
      </c>
    </row>
    <row r="161">
      <c r="A161" s="5" t="inlineStr">
        <is>
          <t>01a1212c-7602-762d-a695-8bacc5cebbca</t>
        </is>
      </c>
      <c r="C161" s="5" t="inlineStr">
        <is>
          <t>01a1212c-4b57-70cf-80fd-c2192cb3bf81</t>
        </is>
      </c>
      <c r="D161" s="4" t="n">
        <v>46304.6241244786</v>
      </c>
      <c r="E161" s="4" t="n">
        <v>46304.62421819898</v>
      </c>
      <c r="F161" t="b">
        <v>0</v>
      </c>
      <c r="H161" t="inlineStr">
        <is>
          <t>2021-05-19 | PARCEL |  AMZN | 1.0000 unit</t>
        </is>
      </c>
      <c r="I161" s="5" t="inlineStr">
        <is>
          <t>01a1212c-7600-7598-987b-823775dd3c6e</t>
        </is>
      </c>
      <c r="J161" t="n">
        <v>1</v>
      </c>
      <c r="K161" t="n">
        <v>1</v>
      </c>
      <c r="L161" s="6" t="n">
        <v>44335</v>
      </c>
      <c r="M161" s="6" t="n">
        <v>44718</v>
      </c>
      <c r="O161" t="inlineStr">
        <is>
          <t>AMZN</t>
        </is>
      </c>
      <c r="P161" t="n">
        <v>0</v>
      </c>
      <c r="Q161" t="b">
        <v>1</v>
      </c>
      <c r="R161" t="inlineStr">
        <is>
          <t>AUD</t>
        </is>
      </c>
      <c r="S161" t="n">
        <v>0</v>
      </c>
      <c r="T161" t="inlineStr">
        <is>
          <t>AUD</t>
        </is>
      </c>
      <c r="U161" t="n">
        <v>0</v>
      </c>
      <c r="V161" t="inlineStr">
        <is>
          <t>AUD</t>
        </is>
      </c>
      <c r="W161" t="n">
        <v>0</v>
      </c>
      <c r="X161" t="n">
        <v/>
      </c>
    </row>
    <row r="162">
      <c r="A162" s="5" t="inlineStr">
        <is>
          <t>01a1212c-7619-710a-ac50-f0a300913659</t>
        </is>
      </c>
      <c r="C162" s="5" t="inlineStr">
        <is>
          <t>01a1212c-4b57-70cf-80fd-c2192cb3bf81</t>
        </is>
      </c>
      <c r="D162" s="4" t="n">
        <v>46304.6241247453</v>
      </c>
      <c r="E162" s="4" t="n">
        <v>46304.62430370326</v>
      </c>
      <c r="F162" t="b">
        <v>1</v>
      </c>
      <c r="H162" t="inlineStr">
        <is>
          <t>2021-06-02 | PARCEL |  A200 | 5.0000 unit</t>
        </is>
      </c>
      <c r="I162" s="5" t="inlineStr">
        <is>
          <t>01a1212c-7618-745f-ba74-e1e0af984930</t>
        </is>
      </c>
      <c r="J162" t="n">
        <v>5</v>
      </c>
      <c r="K162" t="n">
        <v>1</v>
      </c>
      <c r="L162" s="6" t="n">
        <v>44349</v>
      </c>
      <c r="O162" t="inlineStr">
        <is>
          <t>A200</t>
        </is>
      </c>
      <c r="P162" t="n">
        <v>5</v>
      </c>
      <c r="Q162" t="b">
        <v>0</v>
      </c>
      <c r="R162" t="inlineStr">
        <is>
          <t>AUD</t>
        </is>
      </c>
      <c r="S162" t="n">
        <v>1.9</v>
      </c>
      <c r="T162" t="inlineStr">
        <is>
          <t>AUD</t>
        </is>
      </c>
      <c r="U162" t="n">
        <v>624.5365</v>
      </c>
      <c r="V162" t="inlineStr">
        <is>
          <t>AUD</t>
        </is>
      </c>
      <c r="W162" t="n">
        <v>124.9073</v>
      </c>
      <c r="X162" t="n">
        <v/>
      </c>
    </row>
    <row r="163">
      <c r="A163" s="5" t="inlineStr">
        <is>
          <t>01a1212c-762f-7733-8b01-f44cad85b151</t>
        </is>
      </c>
      <c r="C163" s="5" t="inlineStr">
        <is>
          <t>01a1212c-4b57-70cf-80fd-c2192cb3bf81</t>
        </is>
      </c>
      <c r="D163" s="4" t="n">
        <v>46304.62412499701</v>
      </c>
      <c r="E163" s="4" t="n">
        <v>46304.62431648426</v>
      </c>
      <c r="F163" t="b">
        <v>1</v>
      </c>
      <c r="H163" t="inlineStr">
        <is>
          <t>2021-06-02 | PARCEL |  VGS | 9.0000 unit</t>
        </is>
      </c>
      <c r="I163" s="5" t="inlineStr">
        <is>
          <t>01a1212c-762e-77a1-98ff-4a828c736ab2</t>
        </is>
      </c>
      <c r="J163" t="n">
        <v>9</v>
      </c>
      <c r="K163" t="n">
        <v>1</v>
      </c>
      <c r="L163" s="6" t="n">
        <v>44349</v>
      </c>
      <c r="O163" t="inlineStr">
        <is>
          <t>VGS</t>
        </is>
      </c>
      <c r="P163" t="n">
        <v>9</v>
      </c>
      <c r="Q163" t="b">
        <v>0</v>
      </c>
      <c r="R163" t="inlineStr">
        <is>
          <t>AUD</t>
        </is>
      </c>
      <c r="S163" t="n">
        <v>1.055556</v>
      </c>
      <c r="T163" t="inlineStr">
        <is>
          <t>AUD</t>
        </is>
      </c>
      <c r="U163" t="n">
        <v>852.1315</v>
      </c>
      <c r="V163" t="inlineStr">
        <is>
          <t>AUD</t>
        </is>
      </c>
      <c r="W163" t="n">
        <v>94.68127800000001</v>
      </c>
      <c r="X163" t="n">
        <v/>
      </c>
    </row>
    <row r="164">
      <c r="A164" s="5" t="inlineStr">
        <is>
          <t>01a1212c-7645-77ff-9286-d1f48bd9680e</t>
        </is>
      </c>
      <c r="C164" s="5" t="inlineStr">
        <is>
          <t>01a1212c-4b57-70cf-80fd-c2192cb3bf81</t>
        </is>
      </c>
      <c r="D164" s="4" t="n">
        <v>46304.62412524605</v>
      </c>
      <c r="E164" s="4" t="n">
        <v>46304.62430192148</v>
      </c>
      <c r="F164" t="b">
        <v>1</v>
      </c>
      <c r="H164" t="inlineStr">
        <is>
          <t>2021-07-05 | PARCEL |  A200 | 13.0000 unit</t>
        </is>
      </c>
      <c r="I164" s="5" t="inlineStr">
        <is>
          <t>01a1212c-7643-74d3-91e1-5baf4dad83d2</t>
        </is>
      </c>
      <c r="J164" t="n">
        <v>13</v>
      </c>
      <c r="K164" t="n">
        <v>1</v>
      </c>
      <c r="L164" s="6" t="n">
        <v>44382</v>
      </c>
      <c r="O164" t="inlineStr">
        <is>
          <t>A200</t>
        </is>
      </c>
      <c r="P164" t="n">
        <v>13</v>
      </c>
      <c r="Q164" t="b">
        <v>0</v>
      </c>
      <c r="R164" t="inlineStr">
        <is>
          <t>AUD</t>
        </is>
      </c>
      <c r="S164" t="n">
        <v>0.730769</v>
      </c>
      <c r="T164" t="inlineStr">
        <is>
          <t>AUD</t>
        </is>
      </c>
      <c r="U164" t="n">
        <v>1623.0986</v>
      </c>
      <c r="V164" t="inlineStr">
        <is>
          <t>AUD</t>
        </is>
      </c>
      <c r="W164" t="n">
        <v>124.853738</v>
      </c>
      <c r="X164" t="n">
        <v/>
      </c>
    </row>
    <row r="165">
      <c r="A165" s="5" t="inlineStr">
        <is>
          <t>01a1212c-765b-777c-ab2d-721a20593158</t>
        </is>
      </c>
      <c r="C165" s="5" t="inlineStr">
        <is>
          <t>01a1212c-4b57-70cf-80fd-c2192cb3bf81</t>
        </is>
      </c>
      <c r="D165" s="4" t="n">
        <v>46304.6241255017</v>
      </c>
      <c r="E165" s="4" t="n">
        <v>46304.62431741149</v>
      </c>
      <c r="F165" t="b">
        <v>1</v>
      </c>
      <c r="H165" t="inlineStr">
        <is>
          <t>2021-07-05 | PARCEL |  VGS | 21.0000 unit</t>
        </is>
      </c>
      <c r="I165" s="5" t="inlineStr">
        <is>
          <t>01a1212c-7659-75b1-8e66-f173033701ab</t>
        </is>
      </c>
      <c r="J165" t="n">
        <v>21</v>
      </c>
      <c r="K165" t="n">
        <v>1</v>
      </c>
      <c r="L165" s="6" t="n">
        <v>44382</v>
      </c>
      <c r="O165" t="inlineStr">
        <is>
          <t>VGS</t>
        </is>
      </c>
      <c r="P165" t="n">
        <v>21</v>
      </c>
      <c r="Q165" t="b">
        <v>0</v>
      </c>
      <c r="R165" t="inlineStr">
        <is>
          <t>AUD</t>
        </is>
      </c>
      <c r="S165" t="n">
        <v>0.452381</v>
      </c>
      <c r="T165" t="inlineStr">
        <is>
          <t>AUD</t>
        </is>
      </c>
      <c r="U165" t="n">
        <v>2062.6048</v>
      </c>
      <c r="V165" t="inlineStr">
        <is>
          <t>AUD</t>
        </is>
      </c>
      <c r="W165" t="n">
        <v>98.21927599999999</v>
      </c>
      <c r="X165" t="n">
        <v/>
      </c>
    </row>
    <row r="166">
      <c r="A166" s="5" t="inlineStr">
        <is>
          <t>01a1212c-7671-767d-96fc-2f49859fdb63</t>
        </is>
      </c>
      <c r="C166" s="5" t="inlineStr">
        <is>
          <t>01a1212c-4b57-70cf-80fd-c2192cb3bf81</t>
        </is>
      </c>
      <c r="D166" s="4" t="n">
        <v>46304.62412575929</v>
      </c>
      <c r="E166" s="4" t="n">
        <v>46304.624218315</v>
      </c>
      <c r="F166" t="b">
        <v>0</v>
      </c>
      <c r="H166" t="inlineStr">
        <is>
          <t>2021-07-19 | PARCEL |  AMZN | 1.0000 unit</t>
        </is>
      </c>
      <c r="I166" s="5" t="inlineStr">
        <is>
          <t>01a1212c-766f-74a4-9043-81d59a135736</t>
        </is>
      </c>
      <c r="J166" t="n">
        <v>1</v>
      </c>
      <c r="K166" t="n">
        <v>1</v>
      </c>
      <c r="L166" s="6" t="n">
        <v>44396</v>
      </c>
      <c r="M166" s="6" t="n">
        <v>44718</v>
      </c>
      <c r="O166" t="inlineStr">
        <is>
          <t>AMZN</t>
        </is>
      </c>
      <c r="P166" t="n">
        <v>0</v>
      </c>
      <c r="Q166" t="b">
        <v>1</v>
      </c>
      <c r="R166" t="inlineStr">
        <is>
          <t>AUD</t>
        </is>
      </c>
      <c r="S166" t="n">
        <v>0</v>
      </c>
      <c r="T166" t="inlineStr">
        <is>
          <t>AUD</t>
        </is>
      </c>
      <c r="U166" t="n">
        <v>0</v>
      </c>
      <c r="V166" t="inlineStr">
        <is>
          <t>AUD</t>
        </is>
      </c>
      <c r="W166" t="n">
        <v>0</v>
      </c>
      <c r="X166" t="n">
        <v/>
      </c>
    </row>
    <row r="167">
      <c r="A167" s="5" t="inlineStr">
        <is>
          <t>01a1212c-7687-729c-958e-594416954bfb</t>
        </is>
      </c>
      <c r="C167" s="5" t="inlineStr">
        <is>
          <t>01a1212c-4b57-70cf-80fd-c2192cb3bf81</t>
        </is>
      </c>
      <c r="D167" s="4" t="n">
        <v>46304.62412600865</v>
      </c>
      <c r="E167" s="4" t="n">
        <v>46304.62430401749</v>
      </c>
      <c r="F167" t="b">
        <v>1</v>
      </c>
      <c r="H167" t="inlineStr">
        <is>
          <t>2021-08-02 | PARCEL |  A200 | 9.0000 unit</t>
        </is>
      </c>
      <c r="I167" s="5" t="inlineStr">
        <is>
          <t>01a1212c-7685-72cd-95c6-1575b59d664f</t>
        </is>
      </c>
      <c r="J167" t="n">
        <v>9</v>
      </c>
      <c r="K167" t="n">
        <v>1</v>
      </c>
      <c r="L167" s="6" t="n">
        <v>44410</v>
      </c>
      <c r="O167" t="inlineStr">
        <is>
          <t>A200</t>
        </is>
      </c>
      <c r="P167" t="n">
        <v>9</v>
      </c>
      <c r="Q167" t="b">
        <v>0</v>
      </c>
      <c r="R167" t="inlineStr">
        <is>
          <t>AUD</t>
        </is>
      </c>
      <c r="S167" t="n">
        <v>1.055556</v>
      </c>
      <c r="T167" t="inlineStr">
        <is>
          <t>AUD</t>
        </is>
      </c>
      <c r="U167" t="n">
        <v>1154.0211</v>
      </c>
      <c r="V167" t="inlineStr">
        <is>
          <t>AUD</t>
        </is>
      </c>
      <c r="W167" t="n">
        <v>128.224567</v>
      </c>
      <c r="X167" t="n">
        <v/>
      </c>
    </row>
    <row r="168">
      <c r="A168" s="5" t="inlineStr">
        <is>
          <t>01a1212c-769c-724d-bdf2-5a3b65015030</t>
        </is>
      </c>
      <c r="C168" s="5" t="inlineStr">
        <is>
          <t>01a1212c-4b57-70cf-80fd-c2192cb3bf81</t>
        </is>
      </c>
      <c r="D168" s="4" t="n">
        <v>46304.62412625183</v>
      </c>
      <c r="E168" s="4" t="n">
        <v>46304.62431575706</v>
      </c>
      <c r="F168" t="b">
        <v>1</v>
      </c>
      <c r="H168" t="inlineStr">
        <is>
          <t>2021-08-02 | PARCEL |  VGS | 14.0000 unit</t>
        </is>
      </c>
      <c r="I168" s="5" t="inlineStr">
        <is>
          <t>01a1212c-769a-7682-9ca9-11846730b719</t>
        </is>
      </c>
      <c r="J168" t="n">
        <v>14</v>
      </c>
      <c r="K168" t="n">
        <v>1</v>
      </c>
      <c r="L168" s="6" t="n">
        <v>44410</v>
      </c>
      <c r="O168" t="inlineStr">
        <is>
          <t>VGS</t>
        </is>
      </c>
      <c r="P168" t="n">
        <v>14</v>
      </c>
      <c r="Q168" t="b">
        <v>0</v>
      </c>
      <c r="R168" t="inlineStr">
        <is>
          <t>AUD</t>
        </is>
      </c>
      <c r="S168" t="n">
        <v>0.678571</v>
      </c>
      <c r="T168" t="inlineStr">
        <is>
          <t>AUD</t>
        </is>
      </c>
      <c r="U168" t="n">
        <v>1431.6983</v>
      </c>
      <c r="V168" t="inlineStr">
        <is>
          <t>AUD</t>
        </is>
      </c>
      <c r="W168" t="n">
        <v>102.264164</v>
      </c>
      <c r="X168" t="n">
        <v/>
      </c>
    </row>
    <row r="169">
      <c r="A169" s="5" t="inlineStr">
        <is>
          <t>01a1212c-76b2-7110-9f65-8f1a317730a7</t>
        </is>
      </c>
      <c r="C169" s="5" t="inlineStr">
        <is>
          <t>01a1212c-4b57-70cf-80fd-c2192cb3bf81</t>
        </is>
      </c>
      <c r="D169" s="4" t="n">
        <v>46304.62412650875</v>
      </c>
      <c r="E169" s="4" t="n">
        <v>46304.62430450793</v>
      </c>
      <c r="F169" t="b">
        <v>1</v>
      </c>
      <c r="H169" t="inlineStr">
        <is>
          <t>2021-09-06 | PARCEL |  A200 | 9.0000 unit</t>
        </is>
      </c>
      <c r="I169" s="5" t="inlineStr">
        <is>
          <t>01a1212c-76b0-77fb-a2a1-2cdc9abaf206</t>
        </is>
      </c>
      <c r="J169" t="n">
        <v>9</v>
      </c>
      <c r="K169" t="n">
        <v>1</v>
      </c>
      <c r="L169" s="6" t="n">
        <v>44445</v>
      </c>
      <c r="O169" t="inlineStr">
        <is>
          <t>A200</t>
        </is>
      </c>
      <c r="P169" t="n">
        <v>9</v>
      </c>
      <c r="Q169" t="b">
        <v>0</v>
      </c>
      <c r="R169" t="inlineStr">
        <is>
          <t>AUD</t>
        </is>
      </c>
      <c r="S169" t="n">
        <v>1.055556</v>
      </c>
      <c r="T169" t="inlineStr">
        <is>
          <t>AUD</t>
        </is>
      </c>
      <c r="U169" t="n">
        <v>1173.0117</v>
      </c>
      <c r="V169" t="inlineStr">
        <is>
          <t>AUD</t>
        </is>
      </c>
      <c r="W169" t="n">
        <v>130.334633</v>
      </c>
      <c r="X169" t="n">
        <v/>
      </c>
    </row>
    <row r="170">
      <c r="A170" s="5" t="inlineStr">
        <is>
          <t>01a1212c-76c8-72fb-848d-f490971720af</t>
        </is>
      </c>
      <c r="C170" s="5" t="inlineStr">
        <is>
          <t>01a1212c-4b57-70cf-80fd-c2192cb3bf81</t>
        </is>
      </c>
      <c r="D170" s="4" t="n">
        <v>46304.6241267622</v>
      </c>
      <c r="E170" s="4" t="n">
        <v>46304.62431545935</v>
      </c>
      <c r="F170" t="b">
        <v>1</v>
      </c>
      <c r="H170" t="inlineStr">
        <is>
          <t>2021-09-06 | PARCEL |  VGS | 14.0000 unit</t>
        </is>
      </c>
      <c r="I170" s="5" t="inlineStr">
        <is>
          <t>01a1212c-76c6-74da-a75a-da5ce32c0e60</t>
        </is>
      </c>
      <c r="J170" t="n">
        <v>14</v>
      </c>
      <c r="K170" t="n">
        <v>1</v>
      </c>
      <c r="L170" s="6" t="n">
        <v>44445</v>
      </c>
      <c r="O170" t="inlineStr">
        <is>
          <t>VGS</t>
        </is>
      </c>
      <c r="P170" t="n">
        <v>14</v>
      </c>
      <c r="Q170" t="b">
        <v>0</v>
      </c>
      <c r="R170" t="inlineStr">
        <is>
          <t>AUD</t>
        </is>
      </c>
      <c r="S170" t="n">
        <v>0.678571</v>
      </c>
      <c r="T170" t="inlineStr">
        <is>
          <t>AUD</t>
        </is>
      </c>
      <c r="U170" t="n">
        <v>1452.7806</v>
      </c>
      <c r="V170" t="inlineStr">
        <is>
          <t>AUD</t>
        </is>
      </c>
      <c r="W170" t="n">
        <v>103.770043</v>
      </c>
      <c r="X170" t="n">
        <v/>
      </c>
    </row>
    <row r="171">
      <c r="A171" s="5" t="inlineStr">
        <is>
          <t>01a1212c-76dd-74f8-b495-e2012fee9273</t>
        </is>
      </c>
      <c r="C171" s="5" t="inlineStr">
        <is>
          <t>01a1212c-4b57-70cf-80fd-c2192cb3bf81</t>
        </is>
      </c>
      <c r="D171" s="4" t="n">
        <v>46304.62412700501</v>
      </c>
      <c r="E171" s="4" t="n">
        <v>46304.62430226611</v>
      </c>
      <c r="F171" t="b">
        <v>1</v>
      </c>
      <c r="H171" t="inlineStr">
        <is>
          <t>2021-10-05 | PARCEL |  A200 | 13.0000 unit</t>
        </is>
      </c>
      <c r="I171" s="5" t="inlineStr">
        <is>
          <t>01a1212c-76db-759f-9806-43cb5ea28a36</t>
        </is>
      </c>
      <c r="J171" t="n">
        <v>13</v>
      </c>
      <c r="K171" t="n">
        <v>1</v>
      </c>
      <c r="L171" s="6" t="n">
        <v>44474</v>
      </c>
      <c r="O171" t="inlineStr">
        <is>
          <t>A200</t>
        </is>
      </c>
      <c r="P171" t="n">
        <v>13</v>
      </c>
      <c r="Q171" t="b">
        <v>0</v>
      </c>
      <c r="R171" t="inlineStr">
        <is>
          <t>AUD</t>
        </is>
      </c>
      <c r="S171" t="n">
        <v>0.730769</v>
      </c>
      <c r="T171" t="inlineStr">
        <is>
          <t>AUD</t>
        </is>
      </c>
      <c r="U171" t="n">
        <v>1607.1255</v>
      </c>
      <c r="V171" t="inlineStr">
        <is>
          <t>AUD</t>
        </is>
      </c>
      <c r="W171" t="n">
        <v>123.625038</v>
      </c>
      <c r="X171" t="n">
        <v/>
      </c>
    </row>
    <row r="172">
      <c r="A172" s="5" t="inlineStr">
        <is>
          <t>01a1212c-76f3-737d-b876-ef8067dafb8e</t>
        </is>
      </c>
      <c r="C172" s="5" t="inlineStr">
        <is>
          <t>01a1212c-4b57-70cf-80fd-c2192cb3bf81</t>
        </is>
      </c>
      <c r="D172" s="4" t="n">
        <v>46304.62412726433</v>
      </c>
      <c r="E172" s="4" t="n">
        <v>46304.6242704407</v>
      </c>
      <c r="F172" t="b">
        <v>1</v>
      </c>
      <c r="H172" t="inlineStr">
        <is>
          <t>2021-10-05 | PARCEL |  MSFT | 3.0000 unit</t>
        </is>
      </c>
      <c r="I172" s="5" t="inlineStr">
        <is>
          <t>01a1212c-76f1-7402-b5ad-3c9ad1e61920</t>
        </is>
      </c>
      <c r="J172" t="n">
        <v>3</v>
      </c>
      <c r="K172" t="n">
        <v>1</v>
      </c>
      <c r="L172" s="6" t="n">
        <v>44474</v>
      </c>
      <c r="N172" s="6" t="n">
        <v>45608</v>
      </c>
      <c r="O172" t="inlineStr">
        <is>
          <t>MSFT</t>
        </is>
      </c>
      <c r="P172" t="n">
        <v>0</v>
      </c>
      <c r="Q172" t="b">
        <v>1</v>
      </c>
      <c r="R172" t="inlineStr">
        <is>
          <t>AUD</t>
        </is>
      </c>
      <c r="S172" t="n">
        <v>2.5</v>
      </c>
      <c r="T172" t="inlineStr">
        <is>
          <t>AUD</t>
        </is>
      </c>
      <c r="U172" t="n">
        <v>1306.92</v>
      </c>
      <c r="V172" t="inlineStr">
        <is>
          <t>AUD</t>
        </is>
      </c>
      <c r="W172" t="n">
        <v>435.64</v>
      </c>
      <c r="X172" t="n">
        <v/>
      </c>
    </row>
    <row r="173">
      <c r="A173" s="5" t="inlineStr">
        <is>
          <t>01a1212c-7709-72df-b553-3dec9cf59792</t>
        </is>
      </c>
      <c r="C173" s="5" t="inlineStr">
        <is>
          <t>01a1212c-4b57-70cf-80fd-c2192cb3bf81</t>
        </is>
      </c>
      <c r="D173" s="4" t="n">
        <v>46304.62412751854</v>
      </c>
      <c r="E173" s="4" t="n">
        <v>46304.62431554708</v>
      </c>
      <c r="F173" t="b">
        <v>1</v>
      </c>
      <c r="H173" t="inlineStr">
        <is>
          <t>2021-10-05 | PARCEL |  VGS | 20.0000 unit</t>
        </is>
      </c>
      <c r="I173" s="5" t="inlineStr">
        <is>
          <t>01a1212c-7708-74f9-9be1-2fb7361f79f6</t>
        </is>
      </c>
      <c r="J173" t="n">
        <v>20</v>
      </c>
      <c r="K173" t="n">
        <v>1</v>
      </c>
      <c r="L173" s="6" t="n">
        <v>44474</v>
      </c>
      <c r="O173" t="inlineStr">
        <is>
          <t>VGS</t>
        </is>
      </c>
      <c r="P173" t="n">
        <v>20</v>
      </c>
      <c r="Q173" t="b">
        <v>0</v>
      </c>
      <c r="R173" t="inlineStr">
        <is>
          <t>AUD</t>
        </is>
      </c>
      <c r="S173" t="n">
        <v>0.475</v>
      </c>
      <c r="T173" t="inlineStr">
        <is>
          <t>AUD</t>
        </is>
      </c>
      <c r="U173" t="n">
        <v>1997.4955</v>
      </c>
      <c r="V173" t="inlineStr">
        <is>
          <t>AUD</t>
        </is>
      </c>
      <c r="W173" t="n">
        <v>99.874775</v>
      </c>
      <c r="X173" t="n">
        <v/>
      </c>
    </row>
    <row r="174">
      <c r="A174" s="5" t="inlineStr">
        <is>
          <t>01a1212c-771e-77a4-9a33-9f68d0a94a62</t>
        </is>
      </c>
      <c r="C174" s="5" t="inlineStr">
        <is>
          <t>01a1212c-4b57-70cf-80fd-c2192cb3bf81</t>
        </is>
      </c>
      <c r="D174" s="4" t="n">
        <v>46304.62412776221</v>
      </c>
      <c r="E174" s="4" t="n">
        <v>46304.62430504657</v>
      </c>
      <c r="F174" t="b">
        <v>1</v>
      </c>
      <c r="H174" t="inlineStr">
        <is>
          <t>2021-11-03 | PARCEL |  A200 | 6.0000 unit</t>
        </is>
      </c>
      <c r="I174" s="5" t="inlineStr">
        <is>
          <t>01a1212c-771d-706c-bf3c-f4dbc11dfcbe</t>
        </is>
      </c>
      <c r="J174" t="n">
        <v>6</v>
      </c>
      <c r="K174" t="n">
        <v>1</v>
      </c>
      <c r="L174" s="6" t="n">
        <v>44503</v>
      </c>
      <c r="O174" t="inlineStr">
        <is>
          <t>A200</t>
        </is>
      </c>
      <c r="P174" t="n">
        <v>6</v>
      </c>
      <c r="Q174" t="b">
        <v>0</v>
      </c>
      <c r="R174" t="inlineStr">
        <is>
          <t>AUD</t>
        </is>
      </c>
      <c r="S174" t="n">
        <v>1.583333</v>
      </c>
      <c r="T174" t="inlineStr">
        <is>
          <t>AUD</t>
        </is>
      </c>
      <c r="U174" t="n">
        <v>763.0967000000001</v>
      </c>
      <c r="V174" t="inlineStr">
        <is>
          <t>AUD</t>
        </is>
      </c>
      <c r="W174" t="n">
        <v>127.182783</v>
      </c>
      <c r="X174" t="n">
        <v/>
      </c>
    </row>
    <row r="175">
      <c r="A175" s="5" t="inlineStr">
        <is>
          <t>01a1212c-7734-763e-bfc4-4e61ccd3ee01</t>
        </is>
      </c>
      <c r="C175" s="5" t="inlineStr">
        <is>
          <t>01a1212c-4b57-70cf-80fd-c2192cb3bf81</t>
        </is>
      </c>
      <c r="D175" s="4" t="n">
        <v>46304.62412801484</v>
      </c>
      <c r="E175" s="4" t="n">
        <v>46304.62431909162</v>
      </c>
      <c r="F175" t="b">
        <v>1</v>
      </c>
      <c r="H175" t="inlineStr">
        <is>
          <t>2021-11-03 | PARCEL |  VGS | 9.0000 unit</t>
        </is>
      </c>
      <c r="I175" s="5" t="inlineStr">
        <is>
          <t>01a1212c-7733-7237-9c92-96b6c93abb1e</t>
        </is>
      </c>
      <c r="J175" t="n">
        <v>9</v>
      </c>
      <c r="K175" t="n">
        <v>1</v>
      </c>
      <c r="L175" s="6" t="n">
        <v>44503</v>
      </c>
      <c r="O175" t="inlineStr">
        <is>
          <t>VGS</t>
        </is>
      </c>
      <c r="P175" t="n">
        <v>9</v>
      </c>
      <c r="Q175" t="b">
        <v>0</v>
      </c>
      <c r="R175" t="inlineStr">
        <is>
          <t>AUD</t>
        </is>
      </c>
      <c r="S175" t="n">
        <v>1.055556</v>
      </c>
      <c r="T175" t="inlineStr">
        <is>
          <t>AUD</t>
        </is>
      </c>
      <c r="U175" t="n">
        <v>942.1527</v>
      </c>
      <c r="V175" t="inlineStr">
        <is>
          <t>AUD</t>
        </is>
      </c>
      <c r="W175" t="n">
        <v>104.683633</v>
      </c>
      <c r="X175" t="n">
        <v/>
      </c>
    </row>
    <row r="176">
      <c r="A176" s="5" t="inlineStr">
        <is>
          <t>01a1212c-774d-7730-83f7-92ac90bb1e95</t>
        </is>
      </c>
      <c r="C176" s="5" t="inlineStr">
        <is>
          <t>01a1212c-4b57-70cf-80fd-c2192cb3bf81</t>
        </is>
      </c>
      <c r="D176" s="4" t="n">
        <v>46304.62412830062</v>
      </c>
      <c r="E176" s="4" t="n">
        <v>46304.62412830067</v>
      </c>
      <c r="F176" t="b">
        <v>1</v>
      </c>
      <c r="H176" t="inlineStr">
        <is>
          <t>2021-11-26 | PARCEL |  AAPL | 5.0000 unit</t>
        </is>
      </c>
      <c r="I176" s="5" t="inlineStr">
        <is>
          <t>01a1212c-774a-7484-a927-a997cd0553a1</t>
        </is>
      </c>
      <c r="J176" t="n">
        <v>5</v>
      </c>
      <c r="K176" t="n">
        <v>1</v>
      </c>
      <c r="L176" s="6" t="n">
        <v>44526</v>
      </c>
      <c r="O176" t="inlineStr">
        <is>
          <t>AAPL</t>
        </is>
      </c>
      <c r="P176" t="n">
        <v>5</v>
      </c>
      <c r="Q176" t="b">
        <v>0</v>
      </c>
      <c r="R176" t="inlineStr">
        <is>
          <t>AUD</t>
        </is>
      </c>
      <c r="S176" t="n">
        <v>1.5</v>
      </c>
      <c r="T176" t="inlineStr">
        <is>
          <t>AUD</t>
        </is>
      </c>
      <c r="U176" t="n">
        <v>1183.575</v>
      </c>
      <c r="V176" t="inlineStr">
        <is>
          <t>AUD</t>
        </is>
      </c>
      <c r="W176" t="n">
        <v>236.715</v>
      </c>
      <c r="X176" t="n">
        <v/>
      </c>
    </row>
    <row r="177">
      <c r="A177" s="5" t="inlineStr">
        <is>
          <t>01a1212c-7763-764e-af0c-10fe2c5a19d7</t>
        </is>
      </c>
      <c r="C177" s="5" t="inlineStr">
        <is>
          <t>01a1212c-4b57-70cf-80fd-c2192cb3bf81</t>
        </is>
      </c>
      <c r="D177" s="4" t="n">
        <v>46304.62412855896</v>
      </c>
      <c r="E177" s="4" t="n">
        <v>46304.62430238855</v>
      </c>
      <c r="F177" t="b">
        <v>1</v>
      </c>
      <c r="H177" t="inlineStr">
        <is>
          <t>2021-12-06 | PARCEL |  A200 | 10.0000 unit</t>
        </is>
      </c>
      <c r="I177" s="5" t="inlineStr">
        <is>
          <t>01a1212c-7762-7508-a3a3-ae20d1ed8cf1</t>
        </is>
      </c>
      <c r="J177" t="n">
        <v>10</v>
      </c>
      <c r="K177" t="n">
        <v>1</v>
      </c>
      <c r="L177" s="6" t="n">
        <v>44536</v>
      </c>
      <c r="O177" t="inlineStr">
        <is>
          <t>A200</t>
        </is>
      </c>
      <c r="P177" t="n">
        <v>10</v>
      </c>
      <c r="Q177" t="b">
        <v>0</v>
      </c>
      <c r="R177" t="inlineStr">
        <is>
          <t>AUD</t>
        </is>
      </c>
      <c r="S177" t="n">
        <v>0.95</v>
      </c>
      <c r="T177" t="inlineStr">
        <is>
          <t>AUD</t>
        </is>
      </c>
      <c r="U177" t="n">
        <v>1246.5123</v>
      </c>
      <c r="V177" t="inlineStr">
        <is>
          <t>AUD</t>
        </is>
      </c>
      <c r="W177" t="n">
        <v>124.65123</v>
      </c>
      <c r="X177" t="n">
        <v/>
      </c>
    </row>
    <row r="178">
      <c r="A178" s="5" t="inlineStr">
        <is>
          <t>01a1212c-777a-75f6-97da-4f344ffae56e</t>
        </is>
      </c>
      <c r="C178" s="5" t="inlineStr">
        <is>
          <t>01a1212c-4b57-70cf-80fd-c2192cb3bf81</t>
        </is>
      </c>
      <c r="D178" s="4" t="n">
        <v>46304.62412882395</v>
      </c>
      <c r="E178" s="4" t="n">
        <v>46304.62431688923</v>
      </c>
      <c r="F178" t="b">
        <v>1</v>
      </c>
      <c r="H178" t="inlineStr">
        <is>
          <t>2021-12-06 | PARCEL |  VGS | 14.0000 unit</t>
        </is>
      </c>
      <c r="I178" s="5" t="inlineStr">
        <is>
          <t>01a1212c-7778-70d7-a760-f30166ed8fcd</t>
        </is>
      </c>
      <c r="J178" t="n">
        <v>14</v>
      </c>
      <c r="K178" t="n">
        <v>1</v>
      </c>
      <c r="L178" s="6" t="n">
        <v>44536</v>
      </c>
      <c r="O178" t="inlineStr">
        <is>
          <t>VGS</t>
        </is>
      </c>
      <c r="P178" t="n">
        <v>14</v>
      </c>
      <c r="Q178" t="b">
        <v>0</v>
      </c>
      <c r="R178" t="inlineStr">
        <is>
          <t>AUD</t>
        </is>
      </c>
      <c r="S178" t="n">
        <v>0.678571</v>
      </c>
      <c r="T178" t="inlineStr">
        <is>
          <t>AUD</t>
        </is>
      </c>
      <c r="U178" t="n">
        <v>1504.6266</v>
      </c>
      <c r="V178" t="inlineStr">
        <is>
          <t>AUD</t>
        </is>
      </c>
      <c r="W178" t="n">
        <v>107.473329</v>
      </c>
      <c r="X178" t="n">
        <v/>
      </c>
    </row>
    <row r="179">
      <c r="A179" s="5" t="inlineStr">
        <is>
          <t>01a1212c-7791-7532-9a5b-68f9ae0d9930</t>
        </is>
      </c>
      <c r="C179" s="5" t="inlineStr">
        <is>
          <t>01a1212c-4b57-70cf-80fd-c2192cb3bf81</t>
        </is>
      </c>
      <c r="D179" s="4" t="n">
        <v>46304.6241290888</v>
      </c>
      <c r="E179" s="4" t="n">
        <v>46304.62412908886</v>
      </c>
      <c r="F179" t="b">
        <v>1</v>
      </c>
      <c r="H179" t="inlineStr">
        <is>
          <t>2021-12-13 | PARCEL |  AAPL | 4.0000 unit</t>
        </is>
      </c>
      <c r="I179" s="5" t="inlineStr">
        <is>
          <t>01a1212c-778e-71f8-96b1-d3357fb88956</t>
        </is>
      </c>
      <c r="J179" t="n">
        <v>4</v>
      </c>
      <c r="K179" t="n">
        <v>1</v>
      </c>
      <c r="L179" s="6" t="n">
        <v>44543</v>
      </c>
      <c r="O179" t="inlineStr">
        <is>
          <t>AAPL</t>
        </is>
      </c>
      <c r="P179" t="n">
        <v>4</v>
      </c>
      <c r="Q179" t="b">
        <v>0</v>
      </c>
      <c r="R179" t="inlineStr">
        <is>
          <t>AUD</t>
        </is>
      </c>
      <c r="S179" t="n">
        <v>1.875</v>
      </c>
      <c r="T179" t="inlineStr">
        <is>
          <t>AUD</t>
        </is>
      </c>
      <c r="U179" t="n">
        <v>1061.94</v>
      </c>
      <c r="V179" t="inlineStr">
        <is>
          <t>AUD</t>
        </is>
      </c>
      <c r="W179" t="n">
        <v>265.485</v>
      </c>
      <c r="X179" t="n">
        <v/>
      </c>
    </row>
    <row r="180">
      <c r="A180" s="5" t="inlineStr">
        <is>
          <t>01a1212c-77a8-7786-a26f-a208d346c8d8</t>
        </is>
      </c>
      <c r="C180" s="5" t="inlineStr">
        <is>
          <t>01a1212c-4b57-70cf-80fd-c2192cb3bf81</t>
        </is>
      </c>
      <c r="D180" s="4" t="n">
        <v>46304.6241293553</v>
      </c>
      <c r="E180" s="4" t="n">
        <v>46304.62412935536</v>
      </c>
      <c r="F180" t="b">
        <v>1</v>
      </c>
      <c r="H180" t="inlineStr">
        <is>
          <t>2021-12-20 | PARCEL |  AAPL | 3.0000 unit</t>
        </is>
      </c>
      <c r="I180" s="5" t="inlineStr">
        <is>
          <t>01a1212c-77a5-7706-aab7-9cc4d7431f07</t>
        </is>
      </c>
      <c r="J180" t="n">
        <v>3</v>
      </c>
      <c r="K180" t="n">
        <v>1</v>
      </c>
      <c r="L180" s="6" t="n">
        <v>44550</v>
      </c>
      <c r="O180" t="inlineStr">
        <is>
          <t>AAPL</t>
        </is>
      </c>
      <c r="P180" t="n">
        <v>3</v>
      </c>
      <c r="Q180" t="b">
        <v>0</v>
      </c>
      <c r="R180" t="inlineStr">
        <is>
          <t>AUD</t>
        </is>
      </c>
      <c r="S180" t="n">
        <v>2.5</v>
      </c>
      <c r="T180" t="inlineStr">
        <is>
          <t>AUD</t>
        </is>
      </c>
      <c r="U180" t="n">
        <v>771.375</v>
      </c>
      <c r="V180" t="inlineStr">
        <is>
          <t>AUD</t>
        </is>
      </c>
      <c r="W180" t="n">
        <v>257.125</v>
      </c>
      <c r="X180" t="n">
        <v/>
      </c>
    </row>
    <row r="181">
      <c r="A181" s="5" t="inlineStr">
        <is>
          <t>01a1212c-77bd-7567-8b73-2fb2ee41285a</t>
        </is>
      </c>
      <c r="C181" s="5" t="inlineStr">
        <is>
          <t>01a1212c-4b57-70cf-80fd-c2192cb3bf81</t>
        </is>
      </c>
      <c r="D181" s="4" t="n">
        <v>46304.62412960149</v>
      </c>
      <c r="E181" s="4" t="n">
        <v>46304.62430518156</v>
      </c>
      <c r="F181" t="b">
        <v>1</v>
      </c>
      <c r="H181" t="inlineStr">
        <is>
          <t>2022-01-04 | PARCEL |  A200 | 9.0000 unit</t>
        </is>
      </c>
      <c r="I181" s="5" t="inlineStr">
        <is>
          <t>01a1212c-77bc-70b4-9952-b6241acea746</t>
        </is>
      </c>
      <c r="J181" t="n">
        <v>9</v>
      </c>
      <c r="K181" t="n">
        <v>1</v>
      </c>
      <c r="L181" s="6" t="n">
        <v>44565</v>
      </c>
      <c r="O181" t="inlineStr">
        <is>
          <t>A200</t>
        </is>
      </c>
      <c r="P181" t="n">
        <v>9</v>
      </c>
      <c r="Q181" t="b">
        <v>0</v>
      </c>
      <c r="R181" t="inlineStr">
        <is>
          <t>AUD</t>
        </is>
      </c>
      <c r="S181" t="n">
        <v>1.055556</v>
      </c>
      <c r="T181" t="inlineStr">
        <is>
          <t>AUD</t>
        </is>
      </c>
      <c r="U181" t="n">
        <v>1169.6578</v>
      </c>
      <c r="V181" t="inlineStr">
        <is>
          <t>AUD</t>
        </is>
      </c>
      <c r="W181" t="n">
        <v>129.961978</v>
      </c>
      <c r="X181" t="n">
        <v/>
      </c>
    </row>
    <row r="182">
      <c r="A182" s="5" t="inlineStr">
        <is>
          <t>01a1212c-77d4-75d1-964a-4a82d5606ddd</t>
        </is>
      </c>
      <c r="C182" s="5" t="inlineStr">
        <is>
          <t>01a1212c-4b57-70cf-80fd-c2192cb3bf81</t>
        </is>
      </c>
      <c r="D182" s="4" t="n">
        <v>46304.62412986251</v>
      </c>
      <c r="E182" s="4" t="n">
        <v>46304.62431513878</v>
      </c>
      <c r="F182" t="b">
        <v>1</v>
      </c>
      <c r="H182" t="inlineStr">
        <is>
          <t>2022-01-04 | PARCEL |  VGS | 14.0000 unit</t>
        </is>
      </c>
      <c r="I182" s="5" t="inlineStr">
        <is>
          <t>01a1212c-77d2-72da-94e3-4cc57826cd7e</t>
        </is>
      </c>
      <c r="J182" t="n">
        <v>14</v>
      </c>
      <c r="K182" t="n">
        <v>1</v>
      </c>
      <c r="L182" s="6" t="n">
        <v>44565</v>
      </c>
      <c r="O182" t="inlineStr">
        <is>
          <t>VGS</t>
        </is>
      </c>
      <c r="P182" t="n">
        <v>14</v>
      </c>
      <c r="Q182" t="b">
        <v>0</v>
      </c>
      <c r="R182" t="inlineStr">
        <is>
          <t>AUD</t>
        </is>
      </c>
      <c r="S182" t="n">
        <v>0.678571</v>
      </c>
      <c r="T182" t="inlineStr">
        <is>
          <t>AUD</t>
        </is>
      </c>
      <c r="U182" t="n">
        <v>1532.4628</v>
      </c>
      <c r="V182" t="inlineStr">
        <is>
          <t>AUD</t>
        </is>
      </c>
      <c r="W182" t="n">
        <v>109.461629</v>
      </c>
      <c r="X182" t="n">
        <v/>
      </c>
    </row>
    <row r="183">
      <c r="A183" s="5" t="inlineStr">
        <is>
          <t>01a1212c-77eb-71d2-8d3e-c87dbf224379</t>
        </is>
      </c>
      <c r="C183" s="5" t="inlineStr">
        <is>
          <t>01a1212c-4b57-70cf-80fd-c2192cb3bf81</t>
        </is>
      </c>
      <c r="D183" s="4" t="n">
        <v>46304.62413013518</v>
      </c>
      <c r="E183" s="4" t="n">
        <v>46304.62427026976</v>
      </c>
      <c r="F183" t="b">
        <v>1</v>
      </c>
      <c r="H183" t="inlineStr">
        <is>
          <t>2022-01-27 | PARCEL |  MSFT | 2.0000 unit</t>
        </is>
      </c>
      <c r="I183" s="5" t="inlineStr">
        <is>
          <t>01a1212c-77e8-722e-aafe-cb106ba67592</t>
        </is>
      </c>
      <c r="J183" t="n">
        <v>2</v>
      </c>
      <c r="K183" t="n">
        <v>1</v>
      </c>
      <c r="L183" s="6" t="n">
        <v>44588</v>
      </c>
      <c r="N183" s="6" t="n">
        <v>45608</v>
      </c>
      <c r="O183" t="inlineStr">
        <is>
          <t>MSFT</t>
        </is>
      </c>
      <c r="P183" t="n">
        <v>0</v>
      </c>
      <c r="Q183" t="b">
        <v>1</v>
      </c>
      <c r="R183" t="inlineStr">
        <is>
          <t>AUD</t>
        </is>
      </c>
      <c r="S183" t="n">
        <v>3.75</v>
      </c>
      <c r="T183" t="inlineStr">
        <is>
          <t>AUD</t>
        </is>
      </c>
      <c r="U183" t="n">
        <v>907.02</v>
      </c>
      <c r="V183" t="inlineStr">
        <is>
          <t>AUD</t>
        </is>
      </c>
      <c r="W183" t="n">
        <v>453.51</v>
      </c>
      <c r="X183" t="n">
        <v/>
      </c>
    </row>
    <row r="184">
      <c r="A184" s="5" t="inlineStr">
        <is>
          <t>01a1212c-7801-7768-8bea-ed7e8af0168d</t>
        </is>
      </c>
      <c r="C184" s="5" t="inlineStr">
        <is>
          <t>01a1212c-4b57-70cf-80fd-c2192cb3bf81</t>
        </is>
      </c>
      <c r="D184" s="4" t="n">
        <v>46304.62413039354</v>
      </c>
      <c r="E184" s="4" t="n">
        <v>46304.6241303936</v>
      </c>
      <c r="F184" t="b">
        <v>1</v>
      </c>
      <c r="H184" t="inlineStr">
        <is>
          <t>2022-02-04 | PARCEL |  AAPL | 2.0000 unit</t>
        </is>
      </c>
      <c r="I184" s="5" t="inlineStr">
        <is>
          <t>01a1212c-77ff-75fb-8a00-e0d94b1031eb</t>
        </is>
      </c>
      <c r="J184" t="n">
        <v>2</v>
      </c>
      <c r="K184" t="n">
        <v>1</v>
      </c>
      <c r="L184" s="6" t="n">
        <v>44596</v>
      </c>
      <c r="O184" t="inlineStr">
        <is>
          <t>AAPL</t>
        </is>
      </c>
      <c r="P184" t="n">
        <v>2</v>
      </c>
      <c r="Q184" t="b">
        <v>0</v>
      </c>
      <c r="R184" t="inlineStr">
        <is>
          <t>AUD</t>
        </is>
      </c>
      <c r="S184" t="n">
        <v>3.75</v>
      </c>
      <c r="T184" t="inlineStr">
        <is>
          <t>AUD</t>
        </is>
      </c>
      <c r="U184" t="n">
        <v>524.67</v>
      </c>
      <c r="V184" t="inlineStr">
        <is>
          <t>AUD</t>
        </is>
      </c>
      <c r="W184" t="n">
        <v>262.335</v>
      </c>
      <c r="X184" t="n">
        <v/>
      </c>
    </row>
    <row r="185">
      <c r="A185" s="5" t="inlineStr">
        <is>
          <t>01a1212c-7817-75d9-9a5e-b7f889797d9e</t>
        </is>
      </c>
      <c r="C185" s="5" t="inlineStr">
        <is>
          <t>01a1212c-4b57-70cf-80fd-c2192cb3bf81</t>
        </is>
      </c>
      <c r="D185" s="4" t="n">
        <v>46304.62413064647</v>
      </c>
      <c r="E185" s="4" t="n">
        <v>46304.62430255815</v>
      </c>
      <c r="F185" t="b">
        <v>1</v>
      </c>
      <c r="H185" t="inlineStr">
        <is>
          <t>2022-02-07 | PARCEL |  A200 | 5.0000 unit</t>
        </is>
      </c>
      <c r="I185" s="5" t="inlineStr">
        <is>
          <t>01a1212c-7816-7737-adbc-4568d188637f</t>
        </is>
      </c>
      <c r="J185" t="n">
        <v>5</v>
      </c>
      <c r="K185" t="n">
        <v>1</v>
      </c>
      <c r="L185" s="6" t="n">
        <v>44599</v>
      </c>
      <c r="O185" t="inlineStr">
        <is>
          <t>A200</t>
        </is>
      </c>
      <c r="P185" t="n">
        <v>5</v>
      </c>
      <c r="Q185" t="b">
        <v>0</v>
      </c>
      <c r="R185" t="inlineStr">
        <is>
          <t>AUD</t>
        </is>
      </c>
      <c r="S185" t="n">
        <v>1.9</v>
      </c>
      <c r="T185" t="inlineStr">
        <is>
          <t>AUD</t>
        </is>
      </c>
      <c r="U185" t="n">
        <v>614.2867</v>
      </c>
      <c r="V185" t="inlineStr">
        <is>
          <t>AUD</t>
        </is>
      </c>
      <c r="W185" t="n">
        <v>122.85734</v>
      </c>
      <c r="X185" t="n">
        <v/>
      </c>
    </row>
    <row r="186">
      <c r="A186" s="5" t="inlineStr">
        <is>
          <t>01a1212c-782c-71c8-a8bb-adfe40c2d7c2</t>
        </is>
      </c>
      <c r="C186" s="5" t="inlineStr">
        <is>
          <t>01a1212c-4b57-70cf-80fd-c2192cb3bf81</t>
        </is>
      </c>
      <c r="D186" s="4" t="n">
        <v>46304.62413088208</v>
      </c>
      <c r="E186" s="4" t="n">
        <v>46304.62431445703</v>
      </c>
      <c r="F186" t="b">
        <v>1</v>
      </c>
      <c r="H186" t="inlineStr">
        <is>
          <t>2022-02-07 | PARCEL |  VGS | 8.0000 unit</t>
        </is>
      </c>
      <c r="I186" s="5" t="inlineStr">
        <is>
          <t>01a1212c-782a-7641-b243-58dfddb6d693</t>
        </is>
      </c>
      <c r="J186" t="n">
        <v>8</v>
      </c>
      <c r="K186" t="n">
        <v>1</v>
      </c>
      <c r="L186" s="6" t="n">
        <v>44599</v>
      </c>
      <c r="O186" t="inlineStr">
        <is>
          <t>VGS</t>
        </is>
      </c>
      <c r="P186" t="n">
        <v>8</v>
      </c>
      <c r="Q186" t="b">
        <v>0</v>
      </c>
      <c r="R186" t="inlineStr">
        <is>
          <t>AUD</t>
        </is>
      </c>
      <c r="S186" t="n">
        <v>1.1875</v>
      </c>
      <c r="T186" t="inlineStr">
        <is>
          <t>AUD</t>
        </is>
      </c>
      <c r="U186" t="n">
        <v>843.5748</v>
      </c>
      <c r="V186" t="inlineStr">
        <is>
          <t>AUD</t>
        </is>
      </c>
      <c r="W186" t="n">
        <v>105.44685</v>
      </c>
      <c r="X186" t="n">
        <v/>
      </c>
    </row>
    <row r="187">
      <c r="A187" s="5" t="inlineStr">
        <is>
          <t>01a1212c-7840-77bc-bbc4-23e535f547c1</t>
        </is>
      </c>
      <c r="C187" s="5" t="inlineStr">
        <is>
          <t>01a1212c-4b57-70cf-80fd-c2192cb3bf81</t>
        </is>
      </c>
      <c r="D187" s="4" t="n">
        <v>46304.62413112135</v>
      </c>
      <c r="E187" s="4" t="n">
        <v>46304.62413112141</v>
      </c>
      <c r="F187" t="b">
        <v>1</v>
      </c>
      <c r="H187" t="inlineStr">
        <is>
          <t>2022-02-15 | PARCEL |  BHP | 26.0000 unit</t>
        </is>
      </c>
      <c r="I187" s="5" t="inlineStr">
        <is>
          <t>01a1212c-783f-77d7-8234-c669b5136a5f</t>
        </is>
      </c>
      <c r="J187" t="n">
        <v>26</v>
      </c>
      <c r="K187" t="n">
        <v>1</v>
      </c>
      <c r="L187" s="6" t="n">
        <v>44607</v>
      </c>
      <c r="O187" t="inlineStr">
        <is>
          <t>BHP</t>
        </is>
      </c>
      <c r="P187" t="n">
        <v>26</v>
      </c>
      <c r="Q187" t="b">
        <v>0</v>
      </c>
      <c r="R187" t="inlineStr">
        <is>
          <t>AUD</t>
        </is>
      </c>
      <c r="S187" t="n">
        <v>0.767308</v>
      </c>
      <c r="T187" t="inlineStr">
        <is>
          <t>AUD</t>
        </is>
      </c>
      <c r="U187" t="n">
        <v>1135.3448</v>
      </c>
      <c r="V187" t="inlineStr">
        <is>
          <t>AUD</t>
        </is>
      </c>
      <c r="W187" t="n">
        <v>43.667108</v>
      </c>
      <c r="X187" t="n">
        <v/>
      </c>
    </row>
    <row r="188">
      <c r="A188" s="5" t="inlineStr">
        <is>
          <t>01a1212c-7854-74b3-a940-c0cb4b7760ea</t>
        </is>
      </c>
      <c r="C188" s="5" t="inlineStr">
        <is>
          <t>01a1212c-4b57-70cf-80fd-c2192cb3bf81</t>
        </is>
      </c>
      <c r="D188" s="4" t="n">
        <v>46304.62413135112</v>
      </c>
      <c r="E188" s="4" t="n">
        <v>46304.62430290532</v>
      </c>
      <c r="F188" t="b">
        <v>1</v>
      </c>
      <c r="H188" t="inlineStr">
        <is>
          <t>2022-03-03 | PARCEL |  A200 | 5.0000 unit</t>
        </is>
      </c>
      <c r="I188" s="5" t="inlineStr">
        <is>
          <t>01a1212c-7853-7732-8a67-c1321e1506a0</t>
        </is>
      </c>
      <c r="J188" t="n">
        <v>5</v>
      </c>
      <c r="K188" t="n">
        <v>1</v>
      </c>
      <c r="L188" s="6" t="n">
        <v>44623</v>
      </c>
      <c r="O188" t="inlineStr">
        <is>
          <t>A200</t>
        </is>
      </c>
      <c r="P188" t="n">
        <v>5</v>
      </c>
      <c r="Q188" t="b">
        <v>0</v>
      </c>
      <c r="R188" t="inlineStr">
        <is>
          <t>AUD</t>
        </is>
      </c>
      <c r="S188" t="n">
        <v>1.9</v>
      </c>
      <c r="T188" t="inlineStr">
        <is>
          <t>AUD</t>
        </is>
      </c>
      <c r="U188" t="n">
        <v>624.9841</v>
      </c>
      <c r="V188" t="inlineStr">
        <is>
          <t>AUD</t>
        </is>
      </c>
      <c r="W188" t="n">
        <v>124.99682</v>
      </c>
      <c r="X188" t="n">
        <v/>
      </c>
    </row>
    <row r="189">
      <c r="A189" s="5" t="inlineStr">
        <is>
          <t>01a1212c-786a-76e5-9880-08eb60ed6a05</t>
        </is>
      </c>
      <c r="C189" s="5" t="inlineStr">
        <is>
          <t>01a1212c-4b57-70cf-80fd-c2192cb3bf81</t>
        </is>
      </c>
      <c r="D189" s="4" t="n">
        <v>46304.62413160707</v>
      </c>
      <c r="E189" s="4" t="n">
        <v>46304.62431729355</v>
      </c>
      <c r="F189" t="b">
        <v>1</v>
      </c>
      <c r="H189" t="inlineStr">
        <is>
          <t>2022-03-03 | PARCEL |  VGS | 9.0000 unit</t>
        </is>
      </c>
      <c r="I189" s="5" t="inlineStr">
        <is>
          <t>01a1212c-7869-73c8-942d-7b72c7656cf1</t>
        </is>
      </c>
      <c r="J189" t="n">
        <v>9</v>
      </c>
      <c r="K189" t="n">
        <v>1</v>
      </c>
      <c r="L189" s="6" t="n">
        <v>44623</v>
      </c>
      <c r="O189" t="inlineStr">
        <is>
          <t>VGS</t>
        </is>
      </c>
      <c r="P189" t="n">
        <v>9</v>
      </c>
      <c r="Q189" t="b">
        <v>0</v>
      </c>
      <c r="R189" t="inlineStr">
        <is>
          <t>AUD</t>
        </is>
      </c>
      <c r="S189" t="n">
        <v>1.055556</v>
      </c>
      <c r="T189" t="inlineStr">
        <is>
          <t>AUD</t>
        </is>
      </c>
      <c r="U189" t="n">
        <v>893.5669</v>
      </c>
      <c r="V189" t="inlineStr">
        <is>
          <t>AUD</t>
        </is>
      </c>
      <c r="W189" t="n">
        <v>99.285211</v>
      </c>
      <c r="X189" t="n">
        <v/>
      </c>
    </row>
    <row r="190">
      <c r="A190" s="5" t="inlineStr">
        <is>
          <t>01a1212c-7881-75f1-91e2-0e9d58316516</t>
        </is>
      </c>
      <c r="C190" s="5" t="inlineStr">
        <is>
          <t>01a1212c-4b57-70cf-80fd-c2192cb3bf81</t>
        </is>
      </c>
      <c r="D190" s="4" t="n">
        <v>46304.62413186466</v>
      </c>
      <c r="E190" s="4" t="n">
        <v>46304.62421842157</v>
      </c>
      <c r="F190" t="b">
        <v>0</v>
      </c>
      <c r="H190" t="inlineStr">
        <is>
          <t>2022-03-07 | PARCEL |  AMZN | 1.0000 unit</t>
        </is>
      </c>
      <c r="I190" s="5" t="inlineStr">
        <is>
          <t>01a1212c-787e-714b-a7ef-6ee488bf66de</t>
        </is>
      </c>
      <c r="J190" t="n">
        <v>1</v>
      </c>
      <c r="K190" t="n">
        <v>1</v>
      </c>
      <c r="L190" s="6" t="n">
        <v>44627</v>
      </c>
      <c r="M190" s="6" t="n">
        <v>44718</v>
      </c>
      <c r="O190" t="inlineStr">
        <is>
          <t>AMZN</t>
        </is>
      </c>
      <c r="P190" t="n">
        <v>0</v>
      </c>
      <c r="Q190" t="b">
        <v>1</v>
      </c>
      <c r="R190" t="inlineStr">
        <is>
          <t>AUD</t>
        </is>
      </c>
      <c r="S190" t="n">
        <v>0</v>
      </c>
      <c r="T190" t="inlineStr">
        <is>
          <t>AUD</t>
        </is>
      </c>
      <c r="U190" t="n">
        <v>0</v>
      </c>
      <c r="V190" t="inlineStr">
        <is>
          <t>AUD</t>
        </is>
      </c>
      <c r="W190" t="n">
        <v>0</v>
      </c>
      <c r="X190" t="n">
        <v/>
      </c>
    </row>
    <row r="191">
      <c r="A191" s="5" t="inlineStr">
        <is>
          <t>01a1212c-7896-7021-a40c-f16a939ea185</t>
        </is>
      </c>
      <c r="C191" s="5" t="inlineStr">
        <is>
          <t>01a1212c-4b57-70cf-80fd-c2192cb3bf81</t>
        </is>
      </c>
      <c r="D191" s="4" t="n">
        <v>46304.624132117</v>
      </c>
      <c r="E191" s="4" t="n">
        <v>46304.62430320223</v>
      </c>
      <c r="F191" t="b">
        <v>1</v>
      </c>
      <c r="H191" t="inlineStr">
        <is>
          <t>2022-04-04 | PARCEL |  A200 | 9.0000 unit</t>
        </is>
      </c>
      <c r="I191" s="5" t="inlineStr">
        <is>
          <t>01a1212c-7895-72df-a62c-3ab35478ed73</t>
        </is>
      </c>
      <c r="J191" t="n">
        <v>9</v>
      </c>
      <c r="K191" t="n">
        <v>1</v>
      </c>
      <c r="L191" s="6" t="n">
        <v>44655</v>
      </c>
      <c r="O191" t="inlineStr">
        <is>
          <t>A200</t>
        </is>
      </c>
      <c r="P191" t="n">
        <v>9</v>
      </c>
      <c r="Q191" t="b">
        <v>0</v>
      </c>
      <c r="R191" t="inlineStr">
        <is>
          <t>AUD</t>
        </is>
      </c>
      <c r="S191" t="n">
        <v>1.055556</v>
      </c>
      <c r="T191" t="inlineStr">
        <is>
          <t>AUD</t>
        </is>
      </c>
      <c r="U191" t="n">
        <v>1164.2849</v>
      </c>
      <c r="V191" t="inlineStr">
        <is>
          <t>AUD</t>
        </is>
      </c>
      <c r="W191" t="n">
        <v>129.364989</v>
      </c>
      <c r="X191" t="n">
        <v/>
      </c>
    </row>
    <row r="192">
      <c r="A192" s="5" t="inlineStr">
        <is>
          <t>01a1212c-78ad-7299-9385-9fb0f8ddf181</t>
        </is>
      </c>
      <c r="C192" s="5" t="inlineStr">
        <is>
          <t>01a1212c-4b57-70cf-80fd-c2192cb3bf81</t>
        </is>
      </c>
      <c r="D192" s="4" t="n">
        <v>46304.62413237857</v>
      </c>
      <c r="E192" s="4" t="n">
        <v>46304.62413237862</v>
      </c>
      <c r="F192" t="b">
        <v>1</v>
      </c>
      <c r="H192" t="inlineStr">
        <is>
          <t>2022-04-04 | PARCEL |  AAPL | 4.0000 unit</t>
        </is>
      </c>
      <c r="I192" s="5" t="inlineStr">
        <is>
          <t>01a1212c-78aa-74d7-9932-770742608162</t>
        </is>
      </c>
      <c r="J192" t="n">
        <v>4</v>
      </c>
      <c r="K192" t="n">
        <v>1</v>
      </c>
      <c r="L192" s="6" t="n">
        <v>44655</v>
      </c>
      <c r="O192" t="inlineStr">
        <is>
          <t>AAPL</t>
        </is>
      </c>
      <c r="P192" t="n">
        <v>4</v>
      </c>
      <c r="Q192" t="b">
        <v>0</v>
      </c>
      <c r="R192" t="inlineStr">
        <is>
          <t>AUD</t>
        </is>
      </c>
      <c r="S192" t="n">
        <v>1.875</v>
      </c>
      <c r="T192" t="inlineStr">
        <is>
          <t>AUD</t>
        </is>
      </c>
      <c r="U192" t="n">
        <v>1078.14</v>
      </c>
      <c r="V192" t="inlineStr">
        <is>
          <t>AUD</t>
        </is>
      </c>
      <c r="W192" t="n">
        <v>269.535</v>
      </c>
      <c r="X192" t="n">
        <v/>
      </c>
    </row>
    <row r="193">
      <c r="A193" s="5" t="inlineStr">
        <is>
          <t>01a1212c-78c3-76a7-bbb9-ea3eccef616f</t>
        </is>
      </c>
      <c r="C193" s="5" t="inlineStr">
        <is>
          <t>01a1212c-4b57-70cf-80fd-c2192cb3bf81</t>
        </is>
      </c>
      <c r="D193" s="4" t="n">
        <v>46304.62413263388</v>
      </c>
      <c r="E193" s="4" t="n">
        <v>46304.6243159567</v>
      </c>
      <c r="F193" t="b">
        <v>1</v>
      </c>
      <c r="H193" t="inlineStr">
        <is>
          <t>2022-04-04 | PARCEL |  VGS | 14.0000 unit</t>
        </is>
      </c>
      <c r="I193" s="5" t="inlineStr">
        <is>
          <t>01a1212c-78c1-76af-95bb-d9bf1ef9683b</t>
        </is>
      </c>
      <c r="J193" t="n">
        <v>14</v>
      </c>
      <c r="K193" t="n">
        <v>1</v>
      </c>
      <c r="L193" s="6" t="n">
        <v>44655</v>
      </c>
      <c r="O193" t="inlineStr">
        <is>
          <t>VGS</t>
        </is>
      </c>
      <c r="P193" t="n">
        <v>14</v>
      </c>
      <c r="Q193" t="b">
        <v>0</v>
      </c>
      <c r="R193" t="inlineStr">
        <is>
          <t>AUD</t>
        </is>
      </c>
      <c r="S193" t="n">
        <v>0.678571</v>
      </c>
      <c r="T193" t="inlineStr">
        <is>
          <t>AUD</t>
        </is>
      </c>
      <c r="U193" t="n">
        <v>1382.0145</v>
      </c>
      <c r="V193" t="inlineStr">
        <is>
          <t>AUD</t>
        </is>
      </c>
      <c r="W193" t="n">
        <v>98.715321</v>
      </c>
      <c r="X193" t="n">
        <v/>
      </c>
    </row>
    <row r="194">
      <c r="A194" s="5" t="inlineStr">
        <is>
          <t>01a1212c-78d8-7094-b299-94255bf82783</t>
        </is>
      </c>
      <c r="C194" s="5" t="inlineStr">
        <is>
          <t>01a1212c-4b57-70cf-80fd-c2192cb3bf81</t>
        </is>
      </c>
      <c r="D194" s="4" t="n">
        <v>46304.62413287995</v>
      </c>
      <c r="E194" s="4" t="n">
        <v>46304.62430206002</v>
      </c>
      <c r="F194" t="b">
        <v>1</v>
      </c>
      <c r="H194" t="inlineStr">
        <is>
          <t>2022-05-03 | PARCEL |  A200 | 9.0000 unit</t>
        </is>
      </c>
      <c r="I194" s="5" t="inlineStr">
        <is>
          <t>01a1212c-78d7-740c-b487-734873251fb6</t>
        </is>
      </c>
      <c r="J194" t="n">
        <v>9</v>
      </c>
      <c r="K194" t="n">
        <v>1</v>
      </c>
      <c r="L194" s="6" t="n">
        <v>44684</v>
      </c>
      <c r="O194" t="inlineStr">
        <is>
          <t>A200</t>
        </is>
      </c>
      <c r="P194" t="n">
        <v>9</v>
      </c>
      <c r="Q194" t="b">
        <v>0</v>
      </c>
      <c r="R194" t="inlineStr">
        <is>
          <t>AUD</t>
        </is>
      </c>
      <c r="S194" t="n">
        <v>1.055556</v>
      </c>
      <c r="T194" t="inlineStr">
        <is>
          <t>AUD</t>
        </is>
      </c>
      <c r="U194" t="n">
        <v>1137.0616</v>
      </c>
      <c r="V194" t="inlineStr">
        <is>
          <t>AUD</t>
        </is>
      </c>
      <c r="W194" t="n">
        <v>126.340178</v>
      </c>
      <c r="X194" t="n">
        <v/>
      </c>
    </row>
    <row r="195">
      <c r="A195" s="5" t="inlineStr">
        <is>
          <t>01a1212c-7911-7380-b8bc-fe5bcacfa72b</t>
        </is>
      </c>
      <c r="C195" s="5" t="inlineStr">
        <is>
          <t>01a1212c-4b57-70cf-80fd-c2192cb3bf81</t>
        </is>
      </c>
      <c r="D195" s="4" t="n">
        <v>46304.62413353521</v>
      </c>
      <c r="E195" s="4" t="n">
        <v>46304.6243172526</v>
      </c>
      <c r="F195" t="b">
        <v>1</v>
      </c>
      <c r="H195" t="inlineStr">
        <is>
          <t>2022-05-03 | PARCEL |  VGS | 15.0000 unit</t>
        </is>
      </c>
      <c r="I195" s="5" t="inlineStr">
        <is>
          <t>01a1212c-7910-7240-a48c-31b5ebab810d</t>
        </is>
      </c>
      <c r="J195" t="n">
        <v>15</v>
      </c>
      <c r="K195" t="n">
        <v>1</v>
      </c>
      <c r="L195" s="6" t="n">
        <v>44684</v>
      </c>
      <c r="O195" t="inlineStr">
        <is>
          <t>VGS</t>
        </is>
      </c>
      <c r="P195" t="n">
        <v>15</v>
      </c>
      <c r="Q195" t="b">
        <v>0</v>
      </c>
      <c r="R195" t="inlineStr">
        <is>
          <t>AUD</t>
        </is>
      </c>
      <c r="S195" t="n">
        <v>0.633333</v>
      </c>
      <c r="T195" t="inlineStr">
        <is>
          <t>AUD</t>
        </is>
      </c>
      <c r="U195" t="n">
        <v>1429.7758</v>
      </c>
      <c r="V195" t="inlineStr">
        <is>
          <t>AUD</t>
        </is>
      </c>
      <c r="W195" t="n">
        <v>95.318387</v>
      </c>
      <c r="X195" t="n">
        <v/>
      </c>
    </row>
    <row r="196">
      <c r="A196" s="5" t="inlineStr">
        <is>
          <t>01a1212c-7927-7749-86a1-3f74fb7da8c1</t>
        </is>
      </c>
      <c r="C196" s="5" t="inlineStr">
        <is>
          <t>01a1212c-4b57-70cf-80fd-c2192cb3bf81</t>
        </is>
      </c>
      <c r="D196" s="4" t="n">
        <v>46304.62413379347</v>
      </c>
      <c r="E196" s="4" t="n">
        <v>46304.62430430382</v>
      </c>
      <c r="F196" t="b">
        <v>1</v>
      </c>
      <c r="H196" t="inlineStr">
        <is>
          <t>2022-06-02 | PARCEL |  A200 | 6.0000 unit</t>
        </is>
      </c>
      <c r="I196" s="5" t="inlineStr">
        <is>
          <t>01a1212c-7926-760c-b1bf-02eb3715722b</t>
        </is>
      </c>
      <c r="J196" t="n">
        <v>6</v>
      </c>
      <c r="K196" t="n">
        <v>1</v>
      </c>
      <c r="L196" s="6" t="n">
        <v>44714</v>
      </c>
      <c r="O196" t="inlineStr">
        <is>
          <t>A200</t>
        </is>
      </c>
      <c r="P196" t="n">
        <v>6</v>
      </c>
      <c r="Q196" t="b">
        <v>0</v>
      </c>
      <c r="R196" t="inlineStr">
        <is>
          <t>AUD</t>
        </is>
      </c>
      <c r="S196" t="n">
        <v>1.583333</v>
      </c>
      <c r="T196" t="inlineStr">
        <is>
          <t>AUD</t>
        </is>
      </c>
      <c r="U196" t="n">
        <v>749.0537</v>
      </c>
      <c r="V196" t="inlineStr">
        <is>
          <t>AUD</t>
        </is>
      </c>
      <c r="W196" t="n">
        <v>124.842283</v>
      </c>
      <c r="X196" t="n">
        <v/>
      </c>
    </row>
    <row r="197">
      <c r="A197" s="5" t="inlineStr">
        <is>
          <t>01a1212c-793d-735a-8d1b-3b3743d82b3c</t>
        </is>
      </c>
      <c r="C197" s="5" t="inlineStr">
        <is>
          <t>01a1212c-4b57-70cf-80fd-c2192cb3bf81</t>
        </is>
      </c>
      <c r="D197" s="4" t="n">
        <v>46304.6241340468</v>
      </c>
      <c r="E197" s="4" t="n">
        <v>46304.6243145786</v>
      </c>
      <c r="F197" t="b">
        <v>1</v>
      </c>
      <c r="H197" t="inlineStr">
        <is>
          <t>2022-06-02 | PARCEL |  VGS | 10.0000 unit</t>
        </is>
      </c>
      <c r="I197" s="5" t="inlineStr">
        <is>
          <t>01a1212c-793c-7087-937c-c2e93c959286</t>
        </is>
      </c>
      <c r="J197" t="n">
        <v>10</v>
      </c>
      <c r="K197" t="n">
        <v>1</v>
      </c>
      <c r="L197" s="6" t="n">
        <v>44714</v>
      </c>
      <c r="O197" t="inlineStr">
        <is>
          <t>VGS</t>
        </is>
      </c>
      <c r="P197" t="n">
        <v>10</v>
      </c>
      <c r="Q197" t="b">
        <v>0</v>
      </c>
      <c r="R197" t="inlineStr">
        <is>
          <t>AUD</t>
        </is>
      </c>
      <c r="S197" t="n">
        <v>0.95</v>
      </c>
      <c r="T197" t="inlineStr">
        <is>
          <t>AUD</t>
        </is>
      </c>
      <c r="U197" t="n">
        <v>942.9295</v>
      </c>
      <c r="V197" t="inlineStr">
        <is>
          <t>AUD</t>
        </is>
      </c>
      <c r="W197" t="n">
        <v>94.29295</v>
      </c>
      <c r="X197" t="n">
        <v/>
      </c>
    </row>
    <row r="198">
      <c r="A198" s="5" t="inlineStr">
        <is>
          <t>01a1212c-7956-7353-bef7-b1449fd6f188</t>
        </is>
      </c>
      <c r="C198" s="5" t="inlineStr">
        <is>
          <t>01a1212c-4b57-70cf-80fd-c2192cb3bf81</t>
        </is>
      </c>
      <c r="D198" s="4" t="n">
        <v>46304.62413433556</v>
      </c>
      <c r="E198" s="4" t="n">
        <v>46304.62413433562</v>
      </c>
      <c r="F198" t="b">
        <v>1</v>
      </c>
      <c r="H198" t="inlineStr">
        <is>
          <t>2022-06-23 | PARCEL |  AAPL | 3.0000 unit</t>
        </is>
      </c>
      <c r="I198" s="5" t="inlineStr">
        <is>
          <t>01a1212c-7953-73a4-b714-ee50a595e16c</t>
        </is>
      </c>
      <c r="J198" t="n">
        <v>3</v>
      </c>
      <c r="K198" t="n">
        <v>1</v>
      </c>
      <c r="L198" s="6" t="n">
        <v>44735</v>
      </c>
      <c r="O198" t="inlineStr">
        <is>
          <t>AAPL</t>
        </is>
      </c>
      <c r="P198" t="n">
        <v>3</v>
      </c>
      <c r="Q198" t="b">
        <v>0</v>
      </c>
      <c r="R198" t="inlineStr">
        <is>
          <t>AUD</t>
        </is>
      </c>
      <c r="S198" t="n">
        <v>2.5</v>
      </c>
      <c r="T198" t="inlineStr">
        <is>
          <t>AUD</t>
        </is>
      </c>
      <c r="U198" t="n">
        <v>629.715</v>
      </c>
      <c r="V198" t="inlineStr">
        <is>
          <t>AUD</t>
        </is>
      </c>
      <c r="W198" t="n">
        <v>209.905</v>
      </c>
      <c r="X198" t="n">
        <v/>
      </c>
    </row>
    <row r="199">
      <c r="A199" s="5" t="inlineStr">
        <is>
          <t>01a1212c-796e-75fc-b53f-4202c06e06b7</t>
        </is>
      </c>
      <c r="C199" s="5" t="inlineStr">
        <is>
          <t>01a1212c-4b57-70cf-80fd-c2192cb3bf81</t>
        </is>
      </c>
      <c r="D199" s="4" t="n">
        <v>46304.62413460854</v>
      </c>
      <c r="E199" s="4" t="n">
        <v>46304.62430332617</v>
      </c>
      <c r="F199" t="b">
        <v>1</v>
      </c>
      <c r="H199" t="inlineStr">
        <is>
          <t>2022-07-06 | PARCEL |  A200 | 13.0000 unit</t>
        </is>
      </c>
      <c r="I199" s="5" t="inlineStr">
        <is>
          <t>01a1212c-796c-709d-be3f-2a98d0509900</t>
        </is>
      </c>
      <c r="J199" t="n">
        <v>13</v>
      </c>
      <c r="K199" t="n">
        <v>1</v>
      </c>
      <c r="L199" s="6" t="n">
        <v>44748</v>
      </c>
      <c r="O199" t="inlineStr">
        <is>
          <t>A200</t>
        </is>
      </c>
      <c r="P199" t="n">
        <v>13</v>
      </c>
      <c r="Q199" t="b">
        <v>0</v>
      </c>
      <c r="R199" t="inlineStr">
        <is>
          <t>AUD</t>
        </is>
      </c>
      <c r="S199" t="n">
        <v>0.730769</v>
      </c>
      <c r="T199" t="inlineStr">
        <is>
          <t>AUD</t>
        </is>
      </c>
      <c r="U199" t="n">
        <v>1440.5906</v>
      </c>
      <c r="V199" t="inlineStr">
        <is>
          <t>AUD</t>
        </is>
      </c>
      <c r="W199" t="n">
        <v>110.814662</v>
      </c>
      <c r="X199" t="n">
        <v/>
      </c>
    </row>
    <row r="200">
      <c r="A200" s="5" t="inlineStr">
        <is>
          <t>01a1212c-7984-77e5-aa4d-ea4f7dd9e0be</t>
        </is>
      </c>
      <c r="C200" s="5" t="inlineStr">
        <is>
          <t>01a1212c-4b57-70cf-80fd-c2192cb3bf81</t>
        </is>
      </c>
      <c r="D200" s="4" t="n">
        <v>46304.62413486537</v>
      </c>
      <c r="E200" s="4" t="n">
        <v>46304.62431905081</v>
      </c>
      <c r="F200" t="b">
        <v>1</v>
      </c>
      <c r="H200" t="inlineStr">
        <is>
          <t>2022-07-06 | PARCEL |  VGS | 20.0000 unit</t>
        </is>
      </c>
      <c r="I200" s="5" t="inlineStr">
        <is>
          <t>01a1212c-7983-73aa-9f94-421978ac9e98</t>
        </is>
      </c>
      <c r="J200" t="n">
        <v>20</v>
      </c>
      <c r="K200" t="n">
        <v>1</v>
      </c>
      <c r="L200" s="6" t="n">
        <v>44748</v>
      </c>
      <c r="O200" t="inlineStr">
        <is>
          <t>VGS</t>
        </is>
      </c>
      <c r="P200" t="n">
        <v>20</v>
      </c>
      <c r="Q200" t="b">
        <v>0</v>
      </c>
      <c r="R200" t="inlineStr">
        <is>
          <t>AUD</t>
        </is>
      </c>
      <c r="S200" t="n">
        <v>0.475</v>
      </c>
      <c r="T200" t="inlineStr">
        <is>
          <t>AUD</t>
        </is>
      </c>
      <c r="U200" t="n">
        <v>1813.5418</v>
      </c>
      <c r="V200" t="inlineStr">
        <is>
          <t>AUD</t>
        </is>
      </c>
      <c r="W200" t="n">
        <v>90.67709000000001</v>
      </c>
      <c r="X200" t="n">
        <v/>
      </c>
    </row>
    <row r="201">
      <c r="A201" s="5" t="inlineStr">
        <is>
          <t>01a1212c-799a-70d0-82fd-9710f60067ae</t>
        </is>
      </c>
      <c r="C201" s="5" t="inlineStr">
        <is>
          <t>01a1212c-4b57-70cf-80fd-c2192cb3bf81</t>
        </is>
      </c>
      <c r="D201" s="4" t="n">
        <v>46304.62413512557</v>
      </c>
      <c r="E201" s="4" t="n">
        <v>46304.62427095443</v>
      </c>
      <c r="F201" t="b">
        <v>1</v>
      </c>
      <c r="H201" t="inlineStr">
        <is>
          <t>2022-07-25 | PARCEL |  MSFT | 3.0000 unit</t>
        </is>
      </c>
      <c r="I201" s="5" t="inlineStr">
        <is>
          <t>01a1212c-7998-7218-a6b5-2cae7952f598</t>
        </is>
      </c>
      <c r="J201" t="n">
        <v>3</v>
      </c>
      <c r="K201" t="n">
        <v>1</v>
      </c>
      <c r="L201" s="6" t="n">
        <v>44767</v>
      </c>
      <c r="N201" s="6" t="n">
        <v>45608</v>
      </c>
      <c r="O201" t="inlineStr">
        <is>
          <t>MSFT</t>
        </is>
      </c>
      <c r="P201" t="n">
        <v>0</v>
      </c>
      <c r="Q201" t="b">
        <v>1</v>
      </c>
      <c r="R201" t="inlineStr">
        <is>
          <t>AUD</t>
        </is>
      </c>
      <c r="S201" t="n">
        <v>2.5</v>
      </c>
      <c r="T201" t="inlineStr">
        <is>
          <t>AUD</t>
        </is>
      </c>
      <c r="U201" t="n">
        <v>1172.235</v>
      </c>
      <c r="V201" t="inlineStr">
        <is>
          <t>AUD</t>
        </is>
      </c>
      <c r="W201" t="n">
        <v>390.745</v>
      </c>
      <c r="X201" t="n">
        <v/>
      </c>
    </row>
    <row r="202">
      <c r="A202" s="5" t="inlineStr">
        <is>
          <t>01a1212c-79b3-7513-9b91-3daa720e2a9d</t>
        </is>
      </c>
      <c r="C202" s="5" t="inlineStr">
        <is>
          <t>01a1212c-4b57-70cf-80fd-c2192cb3bf81</t>
        </is>
      </c>
      <c r="D202" s="4" t="n">
        <v>46304.62413541372</v>
      </c>
      <c r="E202" s="4" t="n">
        <v>46304.62413541378</v>
      </c>
      <c r="F202" t="b">
        <v>1</v>
      </c>
      <c r="H202" t="inlineStr">
        <is>
          <t>2022-07-28 | PARCEL |  AAPL | 3.0000 unit</t>
        </is>
      </c>
      <c r="I202" s="5" t="inlineStr">
        <is>
          <t>01a1212c-79b0-74eb-8c36-cfb25b1f412d</t>
        </is>
      </c>
      <c r="J202" t="n">
        <v>3</v>
      </c>
      <c r="K202" t="n">
        <v>1</v>
      </c>
      <c r="L202" s="6" t="n">
        <v>44770</v>
      </c>
      <c r="O202" t="inlineStr">
        <is>
          <t>AAPL</t>
        </is>
      </c>
      <c r="P202" t="n">
        <v>3</v>
      </c>
      <c r="Q202" t="b">
        <v>0</v>
      </c>
      <c r="R202" t="inlineStr">
        <is>
          <t>AUD</t>
        </is>
      </c>
      <c r="S202" t="n">
        <v>2.5</v>
      </c>
      <c r="T202" t="inlineStr">
        <is>
          <t>AUD</t>
        </is>
      </c>
      <c r="U202" t="n">
        <v>715.575</v>
      </c>
      <c r="V202" t="inlineStr">
        <is>
          <t>AUD</t>
        </is>
      </c>
      <c r="W202" t="n">
        <v>238.525</v>
      </c>
      <c r="X202" t="n">
        <v/>
      </c>
    </row>
    <row r="203">
      <c r="A203" s="5" t="inlineStr">
        <is>
          <t>01a1212c-79c9-719a-aeaf-8f1b35c3d703</t>
        </is>
      </c>
      <c r="C203" s="5" t="inlineStr">
        <is>
          <t>01a1212c-4b57-70cf-80fd-c2192cb3bf81</t>
        </is>
      </c>
      <c r="D203" s="4" t="n">
        <v>46304.62413566816</v>
      </c>
      <c r="E203" s="4" t="n">
        <v>46304.62430547467</v>
      </c>
      <c r="F203" t="b">
        <v>1</v>
      </c>
      <c r="H203" t="inlineStr">
        <is>
          <t>2022-08-03 | PARCEL |  A200 | 9.0000 unit</t>
        </is>
      </c>
      <c r="I203" s="5" t="inlineStr">
        <is>
          <t>01a1212c-79c8-7046-8e01-c220f1b02ade</t>
        </is>
      </c>
      <c r="J203" t="n">
        <v>9</v>
      </c>
      <c r="K203" t="n">
        <v>1</v>
      </c>
      <c r="L203" s="6" t="n">
        <v>44776</v>
      </c>
      <c r="O203" t="inlineStr">
        <is>
          <t>A200</t>
        </is>
      </c>
      <c r="P203" t="n">
        <v>9</v>
      </c>
      <c r="Q203" t="b">
        <v>0</v>
      </c>
      <c r="R203" t="inlineStr">
        <is>
          <t>AUD</t>
        </is>
      </c>
      <c r="S203" t="n">
        <v>1.055556</v>
      </c>
      <c r="T203" t="inlineStr">
        <is>
          <t>AUD</t>
        </is>
      </c>
      <c r="U203" t="n">
        <v>1055.5554</v>
      </c>
      <c r="V203" t="inlineStr">
        <is>
          <t>AUD</t>
        </is>
      </c>
      <c r="W203" t="n">
        <v>117.283933</v>
      </c>
      <c r="X203" t="n">
        <v/>
      </c>
    </row>
    <row r="204">
      <c r="A204" s="5" t="inlineStr">
        <is>
          <t>01a1212c-79de-7495-b5b1-e7986ed975ef</t>
        </is>
      </c>
      <c r="C204" s="5" t="inlineStr">
        <is>
          <t>01a1212c-4b57-70cf-80fd-c2192cb3bf81</t>
        </is>
      </c>
      <c r="D204" s="4" t="n">
        <v>46304.62413591428</v>
      </c>
      <c r="E204" s="4" t="n">
        <v>46304.6243157132</v>
      </c>
      <c r="F204" t="b">
        <v>1</v>
      </c>
      <c r="H204" t="inlineStr">
        <is>
          <t>2022-08-03 | PARCEL |  VGS | 13.0000 unit</t>
        </is>
      </c>
      <c r="I204" s="5" t="inlineStr">
        <is>
          <t>01a1212c-79dd-7781-883e-2e737048b924</t>
        </is>
      </c>
      <c r="J204" t="n">
        <v>13</v>
      </c>
      <c r="K204" t="n">
        <v>1</v>
      </c>
      <c r="L204" s="6" t="n">
        <v>44776</v>
      </c>
      <c r="O204" t="inlineStr">
        <is>
          <t>VGS</t>
        </is>
      </c>
      <c r="P204" t="n">
        <v>13</v>
      </c>
      <c r="Q204" t="b">
        <v>0</v>
      </c>
      <c r="R204" t="inlineStr">
        <is>
          <t>AUD</t>
        </is>
      </c>
      <c r="S204" t="n">
        <v>0.730769</v>
      </c>
      <c r="T204" t="inlineStr">
        <is>
          <t>AUD</t>
        </is>
      </c>
      <c r="U204" t="n">
        <v>1241.3385</v>
      </c>
      <c r="V204" t="inlineStr">
        <is>
          <t>AUD</t>
        </is>
      </c>
      <c r="W204" t="n">
        <v>95.487577</v>
      </c>
      <c r="X204" t="n">
        <v/>
      </c>
    </row>
    <row r="205">
      <c r="A205" s="5" t="inlineStr">
        <is>
          <t>01a1212c-79f3-735a-99c2-9a23d450ed58</t>
        </is>
      </c>
      <c r="C205" s="5" t="inlineStr">
        <is>
          <t>01a1212c-4b57-70cf-80fd-c2192cb3bf81</t>
        </is>
      </c>
      <c r="D205" s="4" t="n">
        <v>46304.62413615225</v>
      </c>
      <c r="E205" s="4" t="n">
        <v>46304.6243021015</v>
      </c>
      <c r="F205" t="b">
        <v>1</v>
      </c>
      <c r="H205" t="inlineStr">
        <is>
          <t>2022-09-05 | PARCEL |  A200 | 13.0000 unit</t>
        </is>
      </c>
      <c r="I205" s="5" t="inlineStr">
        <is>
          <t>01a1212c-79f2-7768-9ef8-96a2dfc4ced5</t>
        </is>
      </c>
      <c r="J205" t="n">
        <v>13</v>
      </c>
      <c r="K205" t="n">
        <v>1</v>
      </c>
      <c r="L205" s="6" t="n">
        <v>44809</v>
      </c>
      <c r="O205" t="inlineStr">
        <is>
          <t>A200</t>
        </is>
      </c>
      <c r="P205" t="n">
        <v>13</v>
      </c>
      <c r="Q205" t="b">
        <v>0</v>
      </c>
      <c r="R205" t="inlineStr">
        <is>
          <t>AUD</t>
        </is>
      </c>
      <c r="S205" t="n">
        <v>0.730769</v>
      </c>
      <c r="T205" t="inlineStr">
        <is>
          <t>AUD</t>
        </is>
      </c>
      <c r="U205" t="n">
        <v>1515.7138</v>
      </c>
      <c r="V205" t="inlineStr">
        <is>
          <t>AUD</t>
        </is>
      </c>
      <c r="W205" t="n">
        <v>116.593369</v>
      </c>
      <c r="X205" t="n">
        <v/>
      </c>
    </row>
    <row r="206">
      <c r="A206" s="5" t="inlineStr">
        <is>
          <t>01a1212c-7a08-70cb-88cc-0d955086d8aa</t>
        </is>
      </c>
      <c r="C206" s="5" t="inlineStr">
        <is>
          <t>01a1212c-4b57-70cf-80fd-c2192cb3bf81</t>
        </is>
      </c>
      <c r="D206" s="4" t="n">
        <v>46304.62413639566</v>
      </c>
      <c r="E206" s="4" t="n">
        <v>46304.62431672528</v>
      </c>
      <c r="F206" t="b">
        <v>1</v>
      </c>
      <c r="H206" t="inlineStr">
        <is>
          <t>2022-09-05 | PARCEL |  VGS | 20.0000 unit</t>
        </is>
      </c>
      <c r="I206" s="5" t="inlineStr">
        <is>
          <t>01a1212c-7a07-74e9-b251-47872f1f3112</t>
        </is>
      </c>
      <c r="J206" t="n">
        <v>20</v>
      </c>
      <c r="K206" t="n">
        <v>1</v>
      </c>
      <c r="L206" s="6" t="n">
        <v>44809</v>
      </c>
      <c r="O206" t="inlineStr">
        <is>
          <t>VGS</t>
        </is>
      </c>
      <c r="P206" t="n">
        <v>20</v>
      </c>
      <c r="Q206" t="b">
        <v>0</v>
      </c>
      <c r="R206" t="inlineStr">
        <is>
          <t>AUD</t>
        </is>
      </c>
      <c r="S206" t="n">
        <v>0.475</v>
      </c>
      <c r="T206" t="inlineStr">
        <is>
          <t>AUD</t>
        </is>
      </c>
      <c r="U206" t="n">
        <v>1846.3473</v>
      </c>
      <c r="V206" t="inlineStr">
        <is>
          <t>AUD</t>
        </is>
      </c>
      <c r="W206" t="n">
        <v>92.317365</v>
      </c>
      <c r="X206" t="n">
        <v/>
      </c>
    </row>
    <row r="207">
      <c r="A207" s="5" t="inlineStr">
        <is>
          <t>01a1212c-7a1e-75c1-85a4-4b341ac12f34</t>
        </is>
      </c>
      <c r="C207" s="5" t="inlineStr">
        <is>
          <t>01a1212c-4b57-70cf-80fd-c2192cb3bf81</t>
        </is>
      </c>
      <c r="D207" s="4" t="n">
        <v>46304.62413665162</v>
      </c>
      <c r="E207" s="4" t="n">
        <v>46304.62413665168</v>
      </c>
      <c r="F207" t="b">
        <v>1</v>
      </c>
      <c r="H207" t="inlineStr">
        <is>
          <t>2022-09-06 | PARCEL |  AMZN | 3.0000 unit</t>
        </is>
      </c>
      <c r="I207" s="5" t="inlineStr">
        <is>
          <t>01a1212c-7a1c-7714-bd3d-d3afb32453eb</t>
        </is>
      </c>
      <c r="J207" t="n">
        <v>3</v>
      </c>
      <c r="K207" t="n">
        <v>1</v>
      </c>
      <c r="L207" s="6" t="n">
        <v>44810</v>
      </c>
      <c r="O207" t="inlineStr">
        <is>
          <t>AMZN</t>
        </is>
      </c>
      <c r="P207" t="n">
        <v>3</v>
      </c>
      <c r="Q207" t="b">
        <v>0</v>
      </c>
      <c r="R207" t="inlineStr">
        <is>
          <t>AUD</t>
        </is>
      </c>
      <c r="S207" t="n">
        <v>2.5</v>
      </c>
      <c r="T207" t="inlineStr">
        <is>
          <t>AUD</t>
        </is>
      </c>
      <c r="U207" t="n">
        <v>574.995</v>
      </c>
      <c r="V207" t="inlineStr">
        <is>
          <t>AUD</t>
        </is>
      </c>
      <c r="W207" t="n">
        <v>191.665</v>
      </c>
      <c r="X207" t="n">
        <v/>
      </c>
    </row>
    <row r="208">
      <c r="A208" s="5" t="inlineStr">
        <is>
          <t>01a1212c-7a36-742a-8223-45f20e51a6c9</t>
        </is>
      </c>
      <c r="C208" s="5" t="inlineStr">
        <is>
          <t>01a1212c-4b57-70cf-80fd-c2192cb3bf81</t>
        </is>
      </c>
      <c r="D208" s="4" t="n">
        <v>46304.62413692853</v>
      </c>
      <c r="E208" s="4" t="n">
        <v>46304.62413692859</v>
      </c>
      <c r="F208" t="b">
        <v>1</v>
      </c>
      <c r="H208" t="inlineStr">
        <is>
          <t>2022-09-19 | PARCEL |  AMZN | 4.0000 unit</t>
        </is>
      </c>
      <c r="I208" s="5" t="inlineStr">
        <is>
          <t>01a1212c-7a33-73de-87a1-1c9821949ef7</t>
        </is>
      </c>
      <c r="J208" t="n">
        <v>4</v>
      </c>
      <c r="K208" t="n">
        <v>1</v>
      </c>
      <c r="L208" s="6" t="n">
        <v>44823</v>
      </c>
      <c r="O208" t="inlineStr">
        <is>
          <t>AMZN</t>
        </is>
      </c>
      <c r="P208" t="n">
        <v>4</v>
      </c>
      <c r="Q208" t="b">
        <v>0</v>
      </c>
      <c r="R208" t="inlineStr">
        <is>
          <t>AUD</t>
        </is>
      </c>
      <c r="S208" t="n">
        <v>1.875</v>
      </c>
      <c r="T208" t="inlineStr">
        <is>
          <t>AUD</t>
        </is>
      </c>
      <c r="U208" t="n">
        <v>755.46</v>
      </c>
      <c r="V208" t="inlineStr">
        <is>
          <t>AUD</t>
        </is>
      </c>
      <c r="W208" t="n">
        <v>188.865</v>
      </c>
      <c r="X208" t="n">
        <v/>
      </c>
    </row>
    <row r="209">
      <c r="A209" s="5" t="inlineStr">
        <is>
          <t>01a1212c-7a4e-776c-9c69-14ee09adb482</t>
        </is>
      </c>
      <c r="C209" s="5" t="inlineStr">
        <is>
          <t>01a1212c-4b57-70cf-80fd-c2192cb3bf81</t>
        </is>
      </c>
      <c r="D209" s="4" t="n">
        <v>46304.62413720817</v>
      </c>
      <c r="E209" s="4" t="n">
        <v>46304.62430576404</v>
      </c>
      <c r="F209" t="b">
        <v>1</v>
      </c>
      <c r="H209" t="inlineStr">
        <is>
          <t>2022-10-03 | PARCEL |  A200 | 9.0000 unit</t>
        </is>
      </c>
      <c r="I209" s="5" t="inlineStr">
        <is>
          <t>01a1212c-7a4d-71a8-bb5d-9352bc980410</t>
        </is>
      </c>
      <c r="J209" t="n">
        <v>9</v>
      </c>
      <c r="K209" t="n">
        <v>1</v>
      </c>
      <c r="L209" s="6" t="n">
        <v>44837</v>
      </c>
      <c r="O209" t="inlineStr">
        <is>
          <t>A200</t>
        </is>
      </c>
      <c r="P209" t="n">
        <v>9</v>
      </c>
      <c r="Q209" t="b">
        <v>0</v>
      </c>
      <c r="R209" t="inlineStr">
        <is>
          <t>AUD</t>
        </is>
      </c>
      <c r="S209" t="n">
        <v>1.055556</v>
      </c>
      <c r="T209" t="inlineStr">
        <is>
          <t>AUD</t>
        </is>
      </c>
      <c r="U209" t="n">
        <v>980.4838</v>
      </c>
      <c r="V209" t="inlineStr">
        <is>
          <t>AUD</t>
        </is>
      </c>
      <c r="W209" t="n">
        <v>108.942644</v>
      </c>
      <c r="X209" t="n">
        <v/>
      </c>
    </row>
    <row r="210">
      <c r="A210" s="5" t="inlineStr">
        <is>
          <t>01a1212c-7a64-7651-a984-fe2d549ac898</t>
        </is>
      </c>
      <c r="C210" s="5" t="inlineStr">
        <is>
          <t>01a1212c-4b57-70cf-80fd-c2192cb3bf81</t>
        </is>
      </c>
      <c r="D210" s="4" t="n">
        <v>46304.6241374577</v>
      </c>
      <c r="E210" s="4" t="n">
        <v>46304.62431699299</v>
      </c>
      <c r="F210" t="b">
        <v>1</v>
      </c>
      <c r="H210" t="inlineStr">
        <is>
          <t>2022-10-03 | PARCEL |  VGS | 13.0000 unit</t>
        </is>
      </c>
      <c r="I210" s="5" t="inlineStr">
        <is>
          <t>01a1212c-7a62-741e-a808-eb27f5610387</t>
        </is>
      </c>
      <c r="J210" t="n">
        <v>13</v>
      </c>
      <c r="K210" t="n">
        <v>1</v>
      </c>
      <c r="L210" s="6" t="n">
        <v>44837</v>
      </c>
      <c r="O210" t="inlineStr">
        <is>
          <t>VGS</t>
        </is>
      </c>
      <c r="P210" t="n">
        <v>13</v>
      </c>
      <c r="Q210" t="b">
        <v>0</v>
      </c>
      <c r="R210" t="inlineStr">
        <is>
          <t>AUD</t>
        </is>
      </c>
      <c r="S210" t="n">
        <v>0.730769</v>
      </c>
      <c r="T210" t="inlineStr">
        <is>
          <t>AUD</t>
        </is>
      </c>
      <c r="U210" t="n">
        <v>1162.1721</v>
      </c>
      <c r="V210" t="inlineStr">
        <is>
          <t>AUD</t>
        </is>
      </c>
      <c r="W210" t="n">
        <v>89.397854</v>
      </c>
      <c r="X210" t="n">
        <v/>
      </c>
    </row>
    <row r="211">
      <c r="A211" s="5" t="inlineStr">
        <is>
          <t>01a1212c-7a7a-77ee-bd4b-6ddf9a2de81e</t>
        </is>
      </c>
      <c r="C211" s="5" t="inlineStr">
        <is>
          <t>01a1212c-4b57-70cf-80fd-c2192cb3bf81</t>
        </is>
      </c>
      <c r="D211" s="4" t="n">
        <v>46304.6241377153</v>
      </c>
      <c r="E211" s="4" t="n">
        <v>46304.62427131627</v>
      </c>
      <c r="F211" t="b">
        <v>1</v>
      </c>
      <c r="H211" t="inlineStr">
        <is>
          <t>2022-10-25 | PARCEL |  MSFT | 2.0000 unit</t>
        </is>
      </c>
      <c r="I211" s="5" t="inlineStr">
        <is>
          <t>01a1212c-7a78-76a8-ab7f-f97e592a8516</t>
        </is>
      </c>
      <c r="J211" t="n">
        <v>2</v>
      </c>
      <c r="K211" t="n">
        <v>1</v>
      </c>
      <c r="L211" s="6" t="n">
        <v>44859</v>
      </c>
      <c r="N211" s="6" t="n">
        <v>45608</v>
      </c>
      <c r="O211" t="inlineStr">
        <is>
          <t>MSFT</t>
        </is>
      </c>
      <c r="P211" t="n">
        <v>0</v>
      </c>
      <c r="Q211" t="b">
        <v>1</v>
      </c>
      <c r="R211" t="inlineStr">
        <is>
          <t>AUD</t>
        </is>
      </c>
      <c r="S211" t="n">
        <v>3.75</v>
      </c>
      <c r="T211" t="inlineStr">
        <is>
          <t>AUD</t>
        </is>
      </c>
      <c r="U211" t="n">
        <v>759.48</v>
      </c>
      <c r="V211" t="inlineStr">
        <is>
          <t>AUD</t>
        </is>
      </c>
      <c r="W211" t="n">
        <v>379.74</v>
      </c>
      <c r="X211" t="n">
        <v/>
      </c>
    </row>
    <row r="212">
      <c r="A212" s="5" t="inlineStr">
        <is>
          <t>01a1212c-7a90-7411-8405-00a5215c5218</t>
        </is>
      </c>
      <c r="C212" s="5" t="inlineStr">
        <is>
          <t>01a1212c-4b57-70cf-80fd-c2192cb3bf81</t>
        </is>
      </c>
      <c r="D212" s="4" t="n">
        <v>46304.6241379643</v>
      </c>
      <c r="E212" s="4" t="n">
        <v>46304.62430348896</v>
      </c>
      <c r="F212" t="b">
        <v>1</v>
      </c>
      <c r="H212" t="inlineStr">
        <is>
          <t>2022-11-07 | PARCEL |  A200 | 15.0000 unit</t>
        </is>
      </c>
      <c r="I212" s="5" t="inlineStr">
        <is>
          <t>01a1212c-7a8e-76fd-ae67-834a5a1e1b81</t>
        </is>
      </c>
      <c r="J212" t="n">
        <v>15</v>
      </c>
      <c r="K212" t="n">
        <v>1</v>
      </c>
      <c r="L212" s="6" t="n">
        <v>44872</v>
      </c>
      <c r="O212" t="inlineStr">
        <is>
          <t>A200</t>
        </is>
      </c>
      <c r="P212" t="n">
        <v>15</v>
      </c>
      <c r="Q212" t="b">
        <v>0</v>
      </c>
      <c r="R212" t="inlineStr">
        <is>
          <t>AUD</t>
        </is>
      </c>
      <c r="S212" t="n">
        <v>0.633333</v>
      </c>
      <c r="T212" t="inlineStr">
        <is>
          <t>AUD</t>
        </is>
      </c>
      <c r="U212" t="n">
        <v>1751.3782</v>
      </c>
      <c r="V212" t="inlineStr">
        <is>
          <t>AUD</t>
        </is>
      </c>
      <c r="W212" t="n">
        <v>116.758547</v>
      </c>
      <c r="X212" t="n">
        <v/>
      </c>
    </row>
    <row r="213">
      <c r="A213" s="5" t="inlineStr">
        <is>
          <t>01a1212c-7aa5-75d5-bf94-ec295d881aed</t>
        </is>
      </c>
      <c r="C213" s="5" t="inlineStr">
        <is>
          <t>01a1212c-4b57-70cf-80fd-c2192cb3bf81</t>
        </is>
      </c>
      <c r="D213" s="4" t="n">
        <v>46304.62413820795</v>
      </c>
      <c r="E213" s="4" t="n">
        <v>46304.62431828116</v>
      </c>
      <c r="F213" t="b">
        <v>1</v>
      </c>
      <c r="H213" t="inlineStr">
        <is>
          <t>2022-11-07 | PARCEL |  VGS | 23.0000 unit</t>
        </is>
      </c>
      <c r="I213" s="5" t="inlineStr">
        <is>
          <t>01a1212c-7aa3-7777-8559-7ed81aba4a52</t>
        </is>
      </c>
      <c r="J213" t="n">
        <v>23</v>
      </c>
      <c r="K213" t="n">
        <v>1</v>
      </c>
      <c r="L213" s="6" t="n">
        <v>44872</v>
      </c>
      <c r="O213" t="inlineStr">
        <is>
          <t>VGS</t>
        </is>
      </c>
      <c r="P213" t="n">
        <v>23</v>
      </c>
      <c r="Q213" t="b">
        <v>0</v>
      </c>
      <c r="R213" t="inlineStr">
        <is>
          <t>AUD</t>
        </is>
      </c>
      <c r="S213" t="n">
        <v>0.413043</v>
      </c>
      <c r="T213" t="inlineStr">
        <is>
          <t>AUD</t>
        </is>
      </c>
      <c r="U213" t="n">
        <v>2166.2785</v>
      </c>
      <c r="V213" t="inlineStr">
        <is>
          <t>AUD</t>
        </is>
      </c>
      <c r="W213" t="n">
        <v>94.18602199999999</v>
      </c>
      <c r="X213" t="n">
        <v/>
      </c>
    </row>
    <row r="214">
      <c r="A214" s="5" t="inlineStr">
        <is>
          <t>01a1212c-7aba-773f-8933-d95c0c800623</t>
        </is>
      </c>
      <c r="C214" s="5" t="inlineStr">
        <is>
          <t>01a1212c-4b57-70cf-80fd-c2192cb3bf81</t>
        </is>
      </c>
      <c r="D214" s="4" t="n">
        <v>46304.62413845024</v>
      </c>
      <c r="E214" s="4" t="n">
        <v>46304.62430200293</v>
      </c>
      <c r="F214" t="b">
        <v>1</v>
      </c>
      <c r="H214" t="inlineStr">
        <is>
          <t>2022-12-05 | PARCEL |  A200 | 9.0000 unit</t>
        </is>
      </c>
      <c r="I214" s="5" t="inlineStr">
        <is>
          <t>01a1212c-7ab8-769c-91f1-5b23b956e84f</t>
        </is>
      </c>
      <c r="J214" t="n">
        <v>9</v>
      </c>
      <c r="K214" t="n">
        <v>1</v>
      </c>
      <c r="L214" s="6" t="n">
        <v>44900</v>
      </c>
      <c r="O214" t="inlineStr">
        <is>
          <t>A200</t>
        </is>
      </c>
      <c r="P214" t="n">
        <v>9</v>
      </c>
      <c r="Q214" t="b">
        <v>0</v>
      </c>
      <c r="R214" t="inlineStr">
        <is>
          <t>AUD</t>
        </is>
      </c>
      <c r="S214" t="n">
        <v>1.055556</v>
      </c>
      <c r="T214" t="inlineStr">
        <is>
          <t>AUD</t>
        </is>
      </c>
      <c r="U214" t="n">
        <v>1116.1373</v>
      </c>
      <c r="V214" t="inlineStr">
        <is>
          <t>AUD</t>
        </is>
      </c>
      <c r="W214" t="n">
        <v>124.015256</v>
      </c>
      <c r="X214" t="n">
        <v/>
      </c>
    </row>
    <row r="215">
      <c r="A215" s="5" t="inlineStr">
        <is>
          <t>01a1212c-7acf-776d-9f34-f2ae81760b32</t>
        </is>
      </c>
      <c r="C215" s="5" t="inlineStr">
        <is>
          <t>01a1212c-4b57-70cf-80fd-c2192cb3bf81</t>
        </is>
      </c>
      <c r="D215" s="4" t="n">
        <v>46304.62413870186</v>
      </c>
      <c r="E215" s="4" t="n">
        <v>46304.62431579575</v>
      </c>
      <c r="F215" t="b">
        <v>1</v>
      </c>
      <c r="H215" t="inlineStr">
        <is>
          <t>2022-12-05 | PARCEL |  VGS | 14.0000 unit</t>
        </is>
      </c>
      <c r="I215" s="5" t="inlineStr">
        <is>
          <t>01a1212c-7ace-7538-a2ea-2faa72a326b1</t>
        </is>
      </c>
      <c r="J215" t="n">
        <v>14</v>
      </c>
      <c r="K215" t="n">
        <v>1</v>
      </c>
      <c r="L215" s="6" t="n">
        <v>44900</v>
      </c>
      <c r="O215" t="inlineStr">
        <is>
          <t>VGS</t>
        </is>
      </c>
      <c r="P215" t="n">
        <v>14</v>
      </c>
      <c r="Q215" t="b">
        <v>0</v>
      </c>
      <c r="R215" t="inlineStr">
        <is>
          <t>AUD</t>
        </is>
      </c>
      <c r="S215" t="n">
        <v>0.678571</v>
      </c>
      <c r="T215" t="inlineStr">
        <is>
          <t>AUD</t>
        </is>
      </c>
      <c r="U215" t="n">
        <v>1357.2477</v>
      </c>
      <c r="V215" t="inlineStr">
        <is>
          <t>AUD</t>
        </is>
      </c>
      <c r="W215" t="n">
        <v>96.946264</v>
      </c>
      <c r="X215" t="n">
        <v/>
      </c>
    </row>
    <row r="216">
      <c r="A216" s="5" t="inlineStr">
        <is>
          <t>01a1212c-7ae6-75b8-ad0a-3ca0ce21f21f</t>
        </is>
      </c>
      <c r="C216" s="5" t="inlineStr">
        <is>
          <t>01a1212c-4b57-70cf-80fd-c2192cb3bf81</t>
        </is>
      </c>
      <c r="D216" s="4" t="n">
        <v>46304.62413896154</v>
      </c>
      <c r="E216" s="4" t="n">
        <v>46304.62430567647</v>
      </c>
      <c r="F216" t="b">
        <v>1</v>
      </c>
      <c r="H216" t="inlineStr">
        <is>
          <t>2023-01-05 | PARCEL |  A200 | 9.0000 unit</t>
        </is>
      </c>
      <c r="I216" s="5" t="inlineStr">
        <is>
          <t>01a1212c-7ae4-70ee-a6ff-2138c5d10099</t>
        </is>
      </c>
      <c r="J216" t="n">
        <v>9</v>
      </c>
      <c r="K216" t="n">
        <v>1</v>
      </c>
      <c r="L216" s="6" t="n">
        <v>44931</v>
      </c>
      <c r="O216" t="inlineStr">
        <is>
          <t>A200</t>
        </is>
      </c>
      <c r="P216" t="n">
        <v>9</v>
      </c>
      <c r="Q216" t="b">
        <v>0</v>
      </c>
      <c r="R216" t="inlineStr">
        <is>
          <t>AUD</t>
        </is>
      </c>
      <c r="S216" t="n">
        <v>1.055556</v>
      </c>
      <c r="T216" t="inlineStr">
        <is>
          <t>AUD</t>
        </is>
      </c>
      <c r="U216" t="n">
        <v>1069.0702</v>
      </c>
      <c r="V216" t="inlineStr">
        <is>
          <t>AUD</t>
        </is>
      </c>
      <c r="W216" t="n">
        <v>118.785578</v>
      </c>
      <c r="X216" t="n">
        <v/>
      </c>
    </row>
    <row r="217">
      <c r="A217" s="5" t="inlineStr">
        <is>
          <t>01a1212c-7afb-7749-9b51-b6fefc63a55f</t>
        </is>
      </c>
      <c r="C217" s="5" t="inlineStr">
        <is>
          <t>01a1212c-4b57-70cf-80fd-c2192cb3bf81</t>
        </is>
      </c>
      <c r="D217" s="4" t="n">
        <v>46304.62413920962</v>
      </c>
      <c r="E217" s="4" t="n">
        <v>46304.62431848572</v>
      </c>
      <c r="F217" t="b">
        <v>1</v>
      </c>
      <c r="H217" t="inlineStr">
        <is>
          <t>2023-01-05 | PARCEL |  VGS | 15.0000 unit</t>
        </is>
      </c>
      <c r="I217" s="5" t="inlineStr">
        <is>
          <t>01a1212c-7afa-77e2-a4e2-d8950f5d34d1</t>
        </is>
      </c>
      <c r="J217" t="n">
        <v>15</v>
      </c>
      <c r="K217" t="n">
        <v>1</v>
      </c>
      <c r="L217" s="6" t="n">
        <v>44931</v>
      </c>
      <c r="O217" t="inlineStr">
        <is>
          <t>VGS</t>
        </is>
      </c>
      <c r="P217" t="n">
        <v>15</v>
      </c>
      <c r="Q217" t="b">
        <v>0</v>
      </c>
      <c r="R217" t="inlineStr">
        <is>
          <t>AUD</t>
        </is>
      </c>
      <c r="S217" t="n">
        <v>0.633333</v>
      </c>
      <c r="T217" t="inlineStr">
        <is>
          <t>AUD</t>
        </is>
      </c>
      <c r="U217" t="n">
        <v>1394.9438</v>
      </c>
      <c r="V217" t="inlineStr">
        <is>
          <t>AUD</t>
        </is>
      </c>
      <c r="W217" t="n">
        <v>92.996253</v>
      </c>
      <c r="X217" t="n">
        <v/>
      </c>
    </row>
    <row r="218">
      <c r="A218" s="5" t="inlineStr">
        <is>
          <t>01a1212c-7b10-774c-b58c-697160097ba7</t>
        </is>
      </c>
      <c r="C218" s="5" t="inlineStr">
        <is>
          <t>01a1212c-4b57-70cf-80fd-c2192cb3bf81</t>
        </is>
      </c>
      <c r="D218" s="4" t="n">
        <v>46304.62413945667</v>
      </c>
      <c r="E218" s="4" t="n">
        <v>46304.62430196286</v>
      </c>
      <c r="F218" t="b">
        <v>1</v>
      </c>
      <c r="H218" t="inlineStr">
        <is>
          <t>2023-02-06 | PARCEL |  A200 | 12.0000 unit</t>
        </is>
      </c>
      <c r="I218" s="5" t="inlineStr">
        <is>
          <t>01a1212c-7b0f-7607-8337-0abd70fd5b30</t>
        </is>
      </c>
      <c r="J218" t="n">
        <v>12</v>
      </c>
      <c r="K218" t="n">
        <v>1</v>
      </c>
      <c r="L218" s="6" t="n">
        <v>44963</v>
      </c>
      <c r="O218" t="inlineStr">
        <is>
          <t>A200</t>
        </is>
      </c>
      <c r="P218" t="n">
        <v>12</v>
      </c>
      <c r="Q218" t="b">
        <v>0</v>
      </c>
      <c r="R218" t="inlineStr">
        <is>
          <t>AUD</t>
        </is>
      </c>
      <c r="S218" t="n">
        <v>0.791667</v>
      </c>
      <c r="T218" t="inlineStr">
        <is>
          <t>AUD</t>
        </is>
      </c>
      <c r="U218" t="n">
        <v>1518.0478</v>
      </c>
      <c r="V218" t="inlineStr">
        <is>
          <t>AUD</t>
        </is>
      </c>
      <c r="W218" t="n">
        <v>126.503983</v>
      </c>
      <c r="X218" t="n">
        <v/>
      </c>
    </row>
    <row r="219">
      <c r="A219" s="5" t="inlineStr">
        <is>
          <t>01a1212c-7b26-73b6-a1c9-7ef1ffc647f5</t>
        </is>
      </c>
      <c r="C219" s="5" t="inlineStr">
        <is>
          <t>01a1212c-4b57-70cf-80fd-c2192cb3bf81</t>
        </is>
      </c>
      <c r="D219" s="4" t="n">
        <v>46304.62413970064</v>
      </c>
      <c r="E219" s="4" t="n">
        <v>46304.62431840169</v>
      </c>
      <c r="F219" t="b">
        <v>1</v>
      </c>
      <c r="H219" t="inlineStr">
        <is>
          <t>2023-02-06 | PARCEL |  VGS | 19.0000 unit</t>
        </is>
      </c>
      <c r="I219" s="5" t="inlineStr">
        <is>
          <t>01a1212c-7b24-7183-9ecd-f8c152be699a</t>
        </is>
      </c>
      <c r="J219" t="n">
        <v>19</v>
      </c>
      <c r="K219" t="n">
        <v>1</v>
      </c>
      <c r="L219" s="6" t="n">
        <v>44963</v>
      </c>
      <c r="O219" t="inlineStr">
        <is>
          <t>VGS</t>
        </is>
      </c>
      <c r="P219" t="n">
        <v>19</v>
      </c>
      <c r="Q219" t="b">
        <v>0</v>
      </c>
      <c r="R219" t="inlineStr">
        <is>
          <t>AUD</t>
        </is>
      </c>
      <c r="S219" t="n">
        <v>0.5</v>
      </c>
      <c r="T219" t="inlineStr">
        <is>
          <t>AUD</t>
        </is>
      </c>
      <c r="U219" t="n">
        <v>1854.3679</v>
      </c>
      <c r="V219" t="inlineStr">
        <is>
          <t>AUD</t>
        </is>
      </c>
      <c r="W219" t="n">
        <v>97.598311</v>
      </c>
      <c r="X219" t="n">
        <v/>
      </c>
    </row>
    <row r="220">
      <c r="A220" s="5" t="inlineStr">
        <is>
          <t>01a1212c-7b3c-75ca-a696-ce2ddc1ea9a3</t>
        </is>
      </c>
      <c r="C220" s="5" t="inlineStr">
        <is>
          <t>01a1212c-4b57-70cf-80fd-c2192cb3bf81</t>
        </is>
      </c>
      <c r="D220" s="4" t="n">
        <v>46304.62413995909</v>
      </c>
      <c r="E220" s="4" t="n">
        <v>46304.62413995915</v>
      </c>
      <c r="F220" t="b">
        <v>1</v>
      </c>
      <c r="H220" t="inlineStr">
        <is>
          <t>2023-02-16 | PARCEL |  AMZN | 3.0000 unit</t>
        </is>
      </c>
      <c r="I220" s="5" t="inlineStr">
        <is>
          <t>01a1212c-7b39-7441-ba26-9a102d336136</t>
        </is>
      </c>
      <c r="J220" t="n">
        <v>3</v>
      </c>
      <c r="K220" t="n">
        <v>1</v>
      </c>
      <c r="L220" s="6" t="n">
        <v>44973</v>
      </c>
      <c r="O220" t="inlineStr">
        <is>
          <t>AMZN</t>
        </is>
      </c>
      <c r="P220" t="n">
        <v>3</v>
      </c>
      <c r="Q220" t="b">
        <v>0</v>
      </c>
      <c r="R220" t="inlineStr">
        <is>
          <t>AUD</t>
        </is>
      </c>
      <c r="S220" t="n">
        <v>2.5</v>
      </c>
      <c r="T220" t="inlineStr">
        <is>
          <t>AUD</t>
        </is>
      </c>
      <c r="U220" t="n">
        <v>449.175</v>
      </c>
      <c r="V220" t="inlineStr">
        <is>
          <t>AUD</t>
        </is>
      </c>
      <c r="W220" t="n">
        <v>149.725</v>
      </c>
      <c r="X220" t="n">
        <v/>
      </c>
    </row>
    <row r="221">
      <c r="A221" s="5" t="inlineStr">
        <is>
          <t>01a1212c-7b52-7525-b821-0bd3ac752abd</t>
        </is>
      </c>
      <c r="C221" s="5" t="inlineStr">
        <is>
          <t>01a1212c-4b57-70cf-80fd-c2192cb3bf81</t>
        </is>
      </c>
      <c r="D221" s="4" t="n">
        <v>46304.6241402203</v>
      </c>
      <c r="E221" s="4" t="n">
        <v>46304.62427113472</v>
      </c>
      <c r="F221" t="b">
        <v>1</v>
      </c>
      <c r="H221" t="inlineStr">
        <is>
          <t>2023-02-27 | PARCEL |  MSFT | 1.0000 unit</t>
        </is>
      </c>
      <c r="I221" s="5" t="inlineStr">
        <is>
          <t>01a1212c-7b50-720d-bb1b-f07ce36842fd</t>
        </is>
      </c>
      <c r="J221" t="n">
        <v>1</v>
      </c>
      <c r="K221" t="n">
        <v>1</v>
      </c>
      <c r="L221" s="6" t="n">
        <v>44984</v>
      </c>
      <c r="N221" s="6" t="n">
        <v>45608</v>
      </c>
      <c r="O221" t="inlineStr">
        <is>
          <t>MSFT</t>
        </is>
      </c>
      <c r="P221" t="n">
        <v>0</v>
      </c>
      <c r="Q221" t="b">
        <v>1</v>
      </c>
      <c r="R221" t="inlineStr">
        <is>
          <t>AUD</t>
        </is>
      </c>
      <c r="S221" t="n">
        <v>7.5</v>
      </c>
      <c r="T221" t="inlineStr">
        <is>
          <t>AUD</t>
        </is>
      </c>
      <c r="U221" t="n">
        <v>382.74</v>
      </c>
      <c r="V221" t="inlineStr">
        <is>
          <t>AUD</t>
        </is>
      </c>
      <c r="W221" t="n">
        <v>382.74</v>
      </c>
      <c r="X221" t="n">
        <v/>
      </c>
    </row>
    <row r="222">
      <c r="A222" s="5" t="inlineStr">
        <is>
          <t>01a1212c-7b69-77a5-b7c2-ac7ba4a3dd3e</t>
        </is>
      </c>
      <c r="C222" s="5" t="inlineStr">
        <is>
          <t>01a1212c-4b57-70cf-80fd-c2192cb3bf81</t>
        </is>
      </c>
      <c r="D222" s="4" t="n">
        <v>46304.62414048694</v>
      </c>
      <c r="E222" s="4" t="n">
        <v>46304.6243026051</v>
      </c>
      <c r="F222" t="b">
        <v>1</v>
      </c>
      <c r="H222" t="inlineStr">
        <is>
          <t>2023-03-03 | PARCEL |  A200 | 7.0000 unit</t>
        </is>
      </c>
      <c r="I222" s="5" t="inlineStr">
        <is>
          <t>01a1212c-7b68-77f2-8e0b-c7d09517dfde</t>
        </is>
      </c>
      <c r="J222" t="n">
        <v>7</v>
      </c>
      <c r="K222" t="n">
        <v>1</v>
      </c>
      <c r="L222" s="6" t="n">
        <v>44988</v>
      </c>
      <c r="O222" t="inlineStr">
        <is>
          <t>A200</t>
        </is>
      </c>
      <c r="P222" t="n">
        <v>7</v>
      </c>
      <c r="Q222" t="b">
        <v>0</v>
      </c>
      <c r="R222" t="inlineStr">
        <is>
          <t>AUD</t>
        </is>
      </c>
      <c r="S222" t="n">
        <v>1.357143</v>
      </c>
      <c r="T222" t="inlineStr">
        <is>
          <t>AUD</t>
        </is>
      </c>
      <c r="U222" t="n">
        <v>864.6268</v>
      </c>
      <c r="V222" t="inlineStr">
        <is>
          <t>AUD</t>
        </is>
      </c>
      <c r="W222" t="n">
        <v>123.518114</v>
      </c>
      <c r="X222" t="n">
        <v/>
      </c>
    </row>
    <row r="223">
      <c r="A223" s="5" t="inlineStr">
        <is>
          <t>01a1212c-7b7f-722d-8e7c-d5cfa0685df2</t>
        </is>
      </c>
      <c r="C223" s="5" t="inlineStr">
        <is>
          <t>01a1212c-4b57-70cf-80fd-c2192cb3bf81</t>
        </is>
      </c>
      <c r="D223" s="4" t="n">
        <v>46304.62414074095</v>
      </c>
      <c r="E223" s="4" t="n">
        <v>46304.62431782418</v>
      </c>
      <c r="F223" t="b">
        <v>1</v>
      </c>
      <c r="H223" t="inlineStr">
        <is>
          <t>2023-03-03 | PARCEL |  VGS | 12.0000 unit</t>
        </is>
      </c>
      <c r="I223" s="5" t="inlineStr">
        <is>
          <t>01a1212c-7b7e-70bc-a8e9-778565ad1d78</t>
        </is>
      </c>
      <c r="J223" t="n">
        <v>12</v>
      </c>
      <c r="K223" t="n">
        <v>1</v>
      </c>
      <c r="L223" s="6" t="n">
        <v>44988</v>
      </c>
      <c r="O223" t="inlineStr">
        <is>
          <t>VGS</t>
        </is>
      </c>
      <c r="P223" t="n">
        <v>12</v>
      </c>
      <c r="Q223" t="b">
        <v>0</v>
      </c>
      <c r="R223" t="inlineStr">
        <is>
          <t>AUD</t>
        </is>
      </c>
      <c r="S223" t="n">
        <v>0.791667</v>
      </c>
      <c r="T223" t="inlineStr">
        <is>
          <t>AUD</t>
        </is>
      </c>
      <c r="U223" t="n">
        <v>1174.7303</v>
      </c>
      <c r="V223" t="inlineStr">
        <is>
          <t>AUD</t>
        </is>
      </c>
      <c r="W223" t="n">
        <v>97.894192</v>
      </c>
      <c r="X223" t="n">
        <v/>
      </c>
    </row>
    <row r="224">
      <c r="A224" s="5" t="inlineStr">
        <is>
          <t>01a1212c-7b96-70e2-926b-fb99be4701c0</t>
        </is>
      </c>
      <c r="C224" s="5" t="inlineStr">
        <is>
          <t>01a1212c-4b57-70cf-80fd-c2192cb3bf81</t>
        </is>
      </c>
      <c r="D224" s="4" t="n">
        <v>46304.62414099781</v>
      </c>
      <c r="E224" s="4" t="n">
        <v>46304.6242706101</v>
      </c>
      <c r="F224" t="b">
        <v>1</v>
      </c>
      <c r="H224" t="inlineStr">
        <is>
          <t>2023-03-27 | PARCEL |  MSFT | 2.0000 unit</t>
        </is>
      </c>
      <c r="I224" s="5" t="inlineStr">
        <is>
          <t>01a1212c-7b93-71a5-a3a5-7f225259cb1d</t>
        </is>
      </c>
      <c r="J224" t="n">
        <v>2</v>
      </c>
      <c r="K224" t="n">
        <v>1</v>
      </c>
      <c r="L224" s="6" t="n">
        <v>45012</v>
      </c>
      <c r="N224" s="6" t="n">
        <v>45608</v>
      </c>
      <c r="O224" t="inlineStr">
        <is>
          <t>MSFT</t>
        </is>
      </c>
      <c r="P224" t="n">
        <v>0</v>
      </c>
      <c r="Q224" t="b">
        <v>1</v>
      </c>
      <c r="R224" t="inlineStr">
        <is>
          <t>AUD</t>
        </is>
      </c>
      <c r="S224" t="n">
        <v>3.75</v>
      </c>
      <c r="T224" t="inlineStr">
        <is>
          <t>AUD</t>
        </is>
      </c>
      <c r="U224" t="n">
        <v>836.64</v>
      </c>
      <c r="V224" t="inlineStr">
        <is>
          <t>AUD</t>
        </is>
      </c>
      <c r="W224" t="n">
        <v>418.32</v>
      </c>
      <c r="X224" t="n">
        <v/>
      </c>
    </row>
    <row r="225">
      <c r="A225" s="5" t="inlineStr">
        <is>
          <t>01a1212c-7bab-728a-9e77-14d2820bca2b</t>
        </is>
      </c>
      <c r="C225" s="5" t="inlineStr">
        <is>
          <t>01a1212c-4b57-70cf-80fd-c2192cb3bf81</t>
        </is>
      </c>
      <c r="D225" s="4" t="n">
        <v>46304.62414124189</v>
      </c>
      <c r="E225" s="4" t="n">
        <v>46304.62430277926</v>
      </c>
      <c r="F225" t="b">
        <v>1</v>
      </c>
      <c r="H225" t="inlineStr">
        <is>
          <t>2023-04-05 | PARCEL |  A200 | 10.0000 unit</t>
        </is>
      </c>
      <c r="I225" s="5" t="inlineStr">
        <is>
          <t>01a1212c-7baa-7439-99b8-7ed154e71fad</t>
        </is>
      </c>
      <c r="J225" t="n">
        <v>10</v>
      </c>
      <c r="K225" t="n">
        <v>1</v>
      </c>
      <c r="L225" s="6" t="n">
        <v>45021</v>
      </c>
      <c r="O225" t="inlineStr">
        <is>
          <t>A200</t>
        </is>
      </c>
      <c r="P225" t="n">
        <v>10</v>
      </c>
      <c r="Q225" t="b">
        <v>0</v>
      </c>
      <c r="R225" t="inlineStr">
        <is>
          <t>AUD</t>
        </is>
      </c>
      <c r="S225" t="n">
        <v>0.95</v>
      </c>
      <c r="T225" t="inlineStr">
        <is>
          <t>AUD</t>
        </is>
      </c>
      <c r="U225" t="n">
        <v>1222.3518</v>
      </c>
      <c r="V225" t="inlineStr">
        <is>
          <t>AUD</t>
        </is>
      </c>
      <c r="W225" t="n">
        <v>122.23518</v>
      </c>
      <c r="X225" t="n">
        <v/>
      </c>
    </row>
    <row r="226">
      <c r="A226" s="5" t="inlineStr">
        <is>
          <t>01a1212c-7bbf-72f9-807c-119d1e33d98c</t>
        </is>
      </c>
      <c r="C226" s="5" t="inlineStr">
        <is>
          <t>01a1212c-4b57-70cf-80fd-c2192cb3bf81</t>
        </is>
      </c>
      <c r="D226" s="4" t="n">
        <v>46304.62414148056</v>
      </c>
      <c r="E226" s="4" t="n">
        <v>46304.62431761892</v>
      </c>
      <c r="F226" t="b">
        <v>1</v>
      </c>
      <c r="H226" t="inlineStr">
        <is>
          <t>2023-04-05 | PARCEL |  VGS | 16.0000 unit</t>
        </is>
      </c>
      <c r="I226" s="5" t="inlineStr">
        <is>
          <t>01a1212c-7bbe-7184-93f9-737049acb75b</t>
        </is>
      </c>
      <c r="J226" t="n">
        <v>16</v>
      </c>
      <c r="K226" t="n">
        <v>1</v>
      </c>
      <c r="L226" s="6" t="n">
        <v>45021</v>
      </c>
      <c r="O226" t="inlineStr">
        <is>
          <t>VGS</t>
        </is>
      </c>
      <c r="P226" t="n">
        <v>16</v>
      </c>
      <c r="Q226" t="b">
        <v>0</v>
      </c>
      <c r="R226" t="inlineStr">
        <is>
          <t>AUD</t>
        </is>
      </c>
      <c r="S226" t="n">
        <v>0.59375</v>
      </c>
      <c r="T226" t="inlineStr">
        <is>
          <t>AUD</t>
        </is>
      </c>
      <c r="U226" t="n">
        <v>1606.7493</v>
      </c>
      <c r="V226" t="inlineStr">
        <is>
          <t>AUD</t>
        </is>
      </c>
      <c r="W226" t="n">
        <v>100.421831</v>
      </c>
      <c r="X226" t="n">
        <v/>
      </c>
    </row>
    <row r="227">
      <c r="A227" s="5" t="inlineStr">
        <is>
          <t>01a1212c-7bd4-7438-9057-10216465237d</t>
        </is>
      </c>
      <c r="C227" s="5" t="inlineStr">
        <is>
          <t>01a1212c-4b57-70cf-80fd-c2192cb3bf81</t>
        </is>
      </c>
      <c r="D227" s="4" t="n">
        <v>46304.62414172105</v>
      </c>
      <c r="E227" s="4" t="n">
        <v>46304.6243046667</v>
      </c>
      <c r="F227" t="b">
        <v>1</v>
      </c>
      <c r="H227" t="inlineStr">
        <is>
          <t>2023-05-03 | PARCEL |  A200 | 13.0000 unit</t>
        </is>
      </c>
      <c r="I227" s="5" t="inlineStr">
        <is>
          <t>01a1212c-7bd3-7757-963d-962ac1b60d60</t>
        </is>
      </c>
      <c r="J227" t="n">
        <v>13</v>
      </c>
      <c r="K227" t="n">
        <v>1</v>
      </c>
      <c r="L227" s="6" t="n">
        <v>45049</v>
      </c>
      <c r="O227" t="inlineStr">
        <is>
          <t>A200</t>
        </is>
      </c>
      <c r="P227" t="n">
        <v>13</v>
      </c>
      <c r="Q227" t="b">
        <v>0</v>
      </c>
      <c r="R227" t="inlineStr">
        <is>
          <t>AUD</t>
        </is>
      </c>
      <c r="S227" t="n">
        <v>0.730769</v>
      </c>
      <c r="T227" t="inlineStr">
        <is>
          <t>AUD</t>
        </is>
      </c>
      <c r="U227" t="n">
        <v>1577.8157</v>
      </c>
      <c r="V227" t="inlineStr">
        <is>
          <t>AUD</t>
        </is>
      </c>
      <c r="W227" t="n">
        <v>121.370438</v>
      </c>
      <c r="X227" t="n">
        <v/>
      </c>
    </row>
    <row r="228">
      <c r="A228" s="5" t="inlineStr">
        <is>
          <t>01a1212c-7be9-7245-9c15-bd3cb83542ff</t>
        </is>
      </c>
      <c r="C228" s="5" t="inlineStr">
        <is>
          <t>01a1212c-4b57-70cf-80fd-c2192cb3bf81</t>
        </is>
      </c>
      <c r="D228" s="4" t="n">
        <v>46304.6241419636</v>
      </c>
      <c r="E228" s="4" t="n">
        <v>46304.62431716309</v>
      </c>
      <c r="F228" t="b">
        <v>1</v>
      </c>
      <c r="H228" t="inlineStr">
        <is>
          <t>2023-05-03 | PARCEL |  VGS | 19.0000 unit</t>
        </is>
      </c>
      <c r="I228" s="5" t="inlineStr">
        <is>
          <t>01a1212c-7be8-71af-bf3a-11d4323f9e03</t>
        </is>
      </c>
      <c r="J228" t="n">
        <v>19</v>
      </c>
      <c r="K228" t="n">
        <v>1</v>
      </c>
      <c r="L228" s="6" t="n">
        <v>45049</v>
      </c>
      <c r="O228" t="inlineStr">
        <is>
          <t>VGS</t>
        </is>
      </c>
      <c r="P228" t="n">
        <v>19</v>
      </c>
      <c r="Q228" t="b">
        <v>0</v>
      </c>
      <c r="R228" t="inlineStr">
        <is>
          <t>AUD</t>
        </is>
      </c>
      <c r="S228" t="n">
        <v>0.5</v>
      </c>
      <c r="T228" t="inlineStr">
        <is>
          <t>AUD</t>
        </is>
      </c>
      <c r="U228" t="n">
        <v>1943.3731</v>
      </c>
      <c r="V228" t="inlineStr">
        <is>
          <t>AUD</t>
        </is>
      </c>
      <c r="W228" t="n">
        <v>102.282795</v>
      </c>
      <c r="X228" t="n">
        <v/>
      </c>
    </row>
    <row r="229">
      <c r="A229" s="5" t="inlineStr">
        <is>
          <t>01a1212c-7bfe-7335-9646-0961ab39b058</t>
        </is>
      </c>
      <c r="C229" s="5" t="inlineStr">
        <is>
          <t>01a1212c-4b57-70cf-80fd-c2192cb3bf81</t>
        </is>
      </c>
      <c r="D229" s="4" t="n">
        <v>46304.62414220408</v>
      </c>
      <c r="E229" s="4" t="n">
        <v>46304.62414220413</v>
      </c>
      <c r="F229" t="b">
        <v>1</v>
      </c>
      <c r="H229" t="inlineStr">
        <is>
          <t>2023-05-08 | PARCEL |  CBA | 7.0000 unit</t>
        </is>
      </c>
      <c r="I229" s="5" t="inlineStr">
        <is>
          <t>01a1212c-7bfd-71b0-86b0-1bc903a1d1cf</t>
        </is>
      </c>
      <c r="J229" t="n">
        <v>7</v>
      </c>
      <c r="K229" t="n">
        <v>1</v>
      </c>
      <c r="L229" s="6" t="n">
        <v>45054</v>
      </c>
      <c r="O229" t="inlineStr">
        <is>
          <t>CBA</t>
        </is>
      </c>
      <c r="P229" t="n">
        <v>7</v>
      </c>
      <c r="Q229" t="b">
        <v>0</v>
      </c>
      <c r="R229" t="inlineStr">
        <is>
          <t>AUD</t>
        </is>
      </c>
      <c r="S229" t="n">
        <v>2.85</v>
      </c>
      <c r="T229" t="inlineStr">
        <is>
          <t>AUD</t>
        </is>
      </c>
      <c r="U229" t="n">
        <v>699.79</v>
      </c>
      <c r="V229" t="inlineStr">
        <is>
          <t>AUD</t>
        </is>
      </c>
      <c r="W229" t="n">
        <v>99.97</v>
      </c>
      <c r="X229" t="n">
        <v/>
      </c>
    </row>
    <row r="230">
      <c r="A230" s="5" t="inlineStr">
        <is>
          <t>01a1212c-7c13-7245-b333-0dfcd00ad20d</t>
        </is>
      </c>
      <c r="C230" s="5" t="inlineStr">
        <is>
          <t>01a1212c-4b57-70cf-80fd-c2192cb3bf81</t>
        </is>
      </c>
      <c r="D230" s="4" t="n">
        <v>46304.62414244581</v>
      </c>
      <c r="E230" s="4" t="n">
        <v>46304.62430230596</v>
      </c>
      <c r="F230" t="b">
        <v>1</v>
      </c>
      <c r="H230" t="inlineStr">
        <is>
          <t>2023-06-05 | PARCEL |  A200 | 8.0000 unit</t>
        </is>
      </c>
      <c r="I230" s="5" t="inlineStr">
        <is>
          <t>01a1212c-7c11-7496-95e2-1cc467e41cd7</t>
        </is>
      </c>
      <c r="J230" t="n">
        <v>8</v>
      </c>
      <c r="K230" t="n">
        <v>1</v>
      </c>
      <c r="L230" s="6" t="n">
        <v>45082</v>
      </c>
      <c r="O230" t="inlineStr">
        <is>
          <t>A200</t>
        </is>
      </c>
      <c r="P230" t="n">
        <v>8</v>
      </c>
      <c r="Q230" t="b">
        <v>0</v>
      </c>
      <c r="R230" t="inlineStr">
        <is>
          <t>AUD</t>
        </is>
      </c>
      <c r="S230" t="n">
        <v>1.1875</v>
      </c>
      <c r="T230" t="inlineStr">
        <is>
          <t>AUD</t>
        </is>
      </c>
      <c r="U230" t="n">
        <v>982.0112</v>
      </c>
      <c r="V230" t="inlineStr">
        <is>
          <t>AUD</t>
        </is>
      </c>
      <c r="W230" t="n">
        <v>122.7514</v>
      </c>
      <c r="X230" t="n">
        <v/>
      </c>
    </row>
    <row r="231">
      <c r="A231" s="5" t="inlineStr">
        <is>
          <t>01a1212c-7c28-761a-abe6-a2d8c4b32086</t>
        </is>
      </c>
      <c r="C231" s="5" t="inlineStr">
        <is>
          <t>01a1212c-4b57-70cf-80fd-c2192cb3bf81</t>
        </is>
      </c>
      <c r="D231" s="4" t="n">
        <v>46304.62414268785</v>
      </c>
      <c r="E231" s="4" t="n">
        <v>46304.62431774287</v>
      </c>
      <c r="F231" t="b">
        <v>1</v>
      </c>
      <c r="H231" t="inlineStr">
        <is>
          <t>2023-06-05 | PARCEL |  VGS | 12.0000 unit</t>
        </is>
      </c>
      <c r="I231" s="5" t="inlineStr">
        <is>
          <t>01a1212c-7c26-777c-a950-2cd85d8e7246</t>
        </is>
      </c>
      <c r="J231" t="n">
        <v>12</v>
      </c>
      <c r="K231" t="n">
        <v>1</v>
      </c>
      <c r="L231" s="6" t="n">
        <v>45082</v>
      </c>
      <c r="O231" t="inlineStr">
        <is>
          <t>VGS</t>
        </is>
      </c>
      <c r="P231" t="n">
        <v>12</v>
      </c>
      <c r="Q231" t="b">
        <v>0</v>
      </c>
      <c r="R231" t="inlineStr">
        <is>
          <t>AUD</t>
        </is>
      </c>
      <c r="S231" t="n">
        <v>0.791667</v>
      </c>
      <c r="T231" t="inlineStr">
        <is>
          <t>AUD</t>
        </is>
      </c>
      <c r="U231" t="n">
        <v>1272.8403</v>
      </c>
      <c r="V231" t="inlineStr">
        <is>
          <t>AUD</t>
        </is>
      </c>
      <c r="W231" t="n">
        <v>106.070025</v>
      </c>
      <c r="X231" t="n">
        <v/>
      </c>
    </row>
    <row r="232">
      <c r="A232" s="5" t="inlineStr">
        <is>
          <t>01a1212c-7c3e-723b-86ba-5425206404b8</t>
        </is>
      </c>
      <c r="C232" s="5" t="inlineStr">
        <is>
          <t>01a1212c-4b57-70cf-80fd-c2192cb3bf81</t>
        </is>
      </c>
      <c r="D232" s="4" t="n">
        <v>46304.62414294406</v>
      </c>
      <c r="E232" s="4" t="n">
        <v>46304.62414294412</v>
      </c>
      <c r="F232" t="b">
        <v>1</v>
      </c>
      <c r="H232" t="inlineStr">
        <is>
          <t>2023-06-30 | PARCEL |  AMZN | 7.0000 unit</t>
        </is>
      </c>
      <c r="I232" s="5" t="inlineStr">
        <is>
          <t>01a1212c-7c3b-72ab-bbe7-37e612297038</t>
        </is>
      </c>
      <c r="J232" t="n">
        <v>7</v>
      </c>
      <c r="K232" t="n">
        <v>1</v>
      </c>
      <c r="L232" s="6" t="n">
        <v>45107</v>
      </c>
      <c r="O232" t="inlineStr">
        <is>
          <t>AMZN</t>
        </is>
      </c>
      <c r="P232" t="n">
        <v>7</v>
      </c>
      <c r="Q232" t="b">
        <v>0</v>
      </c>
      <c r="R232" t="inlineStr">
        <is>
          <t>AUD</t>
        </is>
      </c>
      <c r="S232" t="n">
        <v>1.071429</v>
      </c>
      <c r="T232" t="inlineStr">
        <is>
          <t>AUD</t>
        </is>
      </c>
      <c r="U232" t="n">
        <v>1376.28</v>
      </c>
      <c r="V232" t="inlineStr">
        <is>
          <t>AUD</t>
        </is>
      </c>
      <c r="W232" t="n">
        <v>196.611429</v>
      </c>
      <c r="X232" t="n">
        <v/>
      </c>
    </row>
    <row r="233">
      <c r="A233" s="5" t="inlineStr">
        <is>
          <t>01a1212c-7c53-76ef-8d31-2b4e643519d3</t>
        </is>
      </c>
      <c r="C233" s="5" t="inlineStr">
        <is>
          <t>01a1212c-4b57-70cf-80fd-c2192cb3bf81</t>
        </is>
      </c>
      <c r="D233" s="4" t="n">
        <v>46304.62414318976</v>
      </c>
      <c r="E233" s="4" t="n">
        <v>46304.6243048403</v>
      </c>
      <c r="F233" t="b">
        <v>1</v>
      </c>
      <c r="H233" t="inlineStr">
        <is>
          <t>2023-07-06 | PARCEL |  A200 | 7.0000 unit</t>
        </is>
      </c>
      <c r="I233" s="5" t="inlineStr">
        <is>
          <t>01a1212c-7c52-761a-bb1f-7c86b8dd23ac</t>
        </is>
      </c>
      <c r="J233" t="n">
        <v>7</v>
      </c>
      <c r="K233" t="n">
        <v>1</v>
      </c>
      <c r="L233" s="6" t="n">
        <v>45113</v>
      </c>
      <c r="O233" t="inlineStr">
        <is>
          <t>A200</t>
        </is>
      </c>
      <c r="P233" t="n">
        <v>7</v>
      </c>
      <c r="Q233" t="b">
        <v>0</v>
      </c>
      <c r="R233" t="inlineStr">
        <is>
          <t>AUD</t>
        </is>
      </c>
      <c r="S233" t="n">
        <v>1.357143</v>
      </c>
      <c r="T233" t="inlineStr">
        <is>
          <t>AUD</t>
        </is>
      </c>
      <c r="U233" t="n">
        <v>850.2155</v>
      </c>
      <c r="V233" t="inlineStr">
        <is>
          <t>AUD</t>
        </is>
      </c>
      <c r="W233" t="n">
        <v>121.459357</v>
      </c>
      <c r="X233" t="n">
        <v/>
      </c>
    </row>
    <row r="234">
      <c r="A234" s="5" t="inlineStr">
        <is>
          <t>01a1212c-7c68-7625-a599-0122ab454657</t>
        </is>
      </c>
      <c r="C234" s="5" t="inlineStr">
        <is>
          <t>01a1212c-4b57-70cf-80fd-c2192cb3bf81</t>
        </is>
      </c>
      <c r="D234" s="4" t="n">
        <v>46304.6241434348</v>
      </c>
      <c r="E234" s="4" t="n">
        <v>46304.62431815795</v>
      </c>
      <c r="F234" t="b">
        <v>1</v>
      </c>
      <c r="H234" t="inlineStr">
        <is>
          <t>2023-07-06 | PARCEL |  VGS | 10.0000 unit</t>
        </is>
      </c>
      <c r="I234" s="5" t="inlineStr">
        <is>
          <t>01a1212c-7c67-77df-a6e4-4d334e3b795e</t>
        </is>
      </c>
      <c r="J234" t="n">
        <v>10</v>
      </c>
      <c r="K234" t="n">
        <v>1</v>
      </c>
      <c r="L234" s="6" t="n">
        <v>45113</v>
      </c>
      <c r="O234" t="inlineStr">
        <is>
          <t>VGS</t>
        </is>
      </c>
      <c r="P234" t="n">
        <v>10</v>
      </c>
      <c r="Q234" t="b">
        <v>0</v>
      </c>
      <c r="R234" t="inlineStr">
        <is>
          <t>AUD</t>
        </is>
      </c>
      <c r="S234" t="n">
        <v>0.95</v>
      </c>
      <c r="T234" t="inlineStr">
        <is>
          <t>AUD</t>
        </is>
      </c>
      <c r="U234" t="n">
        <v>1070.6764</v>
      </c>
      <c r="V234" t="inlineStr">
        <is>
          <t>AUD</t>
        </is>
      </c>
      <c r="W234" t="n">
        <v>107.06764</v>
      </c>
      <c r="X234" t="n">
        <v/>
      </c>
    </row>
    <row r="235">
      <c r="A235" s="5" t="inlineStr">
        <is>
          <t>01a1212c-7c7d-7144-a080-456c2a726f23</t>
        </is>
      </c>
      <c r="C235" s="5" t="inlineStr">
        <is>
          <t>01a1212c-4b57-70cf-80fd-c2192cb3bf81</t>
        </is>
      </c>
      <c r="D235" s="4" t="n">
        <v>46304.62414368119</v>
      </c>
      <c r="E235" s="4" t="n">
        <v>46304.62430474713</v>
      </c>
      <c r="F235" t="b">
        <v>1</v>
      </c>
      <c r="H235" t="inlineStr">
        <is>
          <t>2023-08-04 | PARCEL |  A200 | 10.0000 unit</t>
        </is>
      </c>
      <c r="I235" s="5" t="inlineStr">
        <is>
          <t>01a1212c-7c7c-765e-b64a-398b6a031efe</t>
        </is>
      </c>
      <c r="J235" t="n">
        <v>10</v>
      </c>
      <c r="K235" t="n">
        <v>1</v>
      </c>
      <c r="L235" s="6" t="n">
        <v>45142</v>
      </c>
      <c r="O235" t="inlineStr">
        <is>
          <t>A200</t>
        </is>
      </c>
      <c r="P235" t="n">
        <v>10</v>
      </c>
      <c r="Q235" t="b">
        <v>0</v>
      </c>
      <c r="R235" t="inlineStr">
        <is>
          <t>AUD</t>
        </is>
      </c>
      <c r="S235" t="n">
        <v>0.95</v>
      </c>
      <c r="T235" t="inlineStr">
        <is>
          <t>AUD</t>
        </is>
      </c>
      <c r="U235" t="n">
        <v>1237.4891</v>
      </c>
      <c r="V235" t="inlineStr">
        <is>
          <t>AUD</t>
        </is>
      </c>
      <c r="W235" t="n">
        <v>123.74891</v>
      </c>
      <c r="X235" t="n">
        <v/>
      </c>
    </row>
    <row r="236">
      <c r="A236" s="5" t="inlineStr">
        <is>
          <t>01a1212c-7c93-7218-ac5c-68804c19bade</t>
        </is>
      </c>
      <c r="C236" s="5" t="inlineStr">
        <is>
          <t>01a1212c-4b57-70cf-80fd-c2192cb3bf81</t>
        </is>
      </c>
      <c r="D236" s="4" t="n">
        <v>46304.62414393551</v>
      </c>
      <c r="E236" s="4" t="n">
        <v>46304.62431832205</v>
      </c>
      <c r="F236" t="b">
        <v>1</v>
      </c>
      <c r="H236" t="inlineStr">
        <is>
          <t>2023-08-04 | PARCEL |  VGS | 13.0000 unit</t>
        </is>
      </c>
      <c r="I236" s="5" t="inlineStr">
        <is>
          <t>01a1212c-7c92-70ff-9c14-22f3d1ad33ec</t>
        </is>
      </c>
      <c r="J236" t="n">
        <v>13</v>
      </c>
      <c r="K236" t="n">
        <v>1</v>
      </c>
      <c r="L236" s="6" t="n">
        <v>45142</v>
      </c>
      <c r="O236" t="inlineStr">
        <is>
          <t>VGS</t>
        </is>
      </c>
      <c r="P236" t="n">
        <v>13</v>
      </c>
      <c r="Q236" t="b">
        <v>0</v>
      </c>
      <c r="R236" t="inlineStr">
        <is>
          <t>AUD</t>
        </is>
      </c>
      <c r="S236" t="n">
        <v>0.730769</v>
      </c>
      <c r="T236" t="inlineStr">
        <is>
          <t>AUD</t>
        </is>
      </c>
      <c r="U236" t="n">
        <v>1436.0946</v>
      </c>
      <c r="V236" t="inlineStr">
        <is>
          <t>AUD</t>
        </is>
      </c>
      <c r="W236" t="n">
        <v>110.468815</v>
      </c>
      <c r="X236" t="n">
        <v/>
      </c>
    </row>
    <row r="237">
      <c r="A237" s="5" t="inlineStr">
        <is>
          <t>01a1212c-7cac-747b-82d2-0e93cc948c3f</t>
        </is>
      </c>
      <c r="C237" s="5" t="inlineStr">
        <is>
          <t>01a1212c-4b57-70cf-80fd-c2192cb3bf81</t>
        </is>
      </c>
      <c r="D237" s="4" t="n">
        <v>46304.62414421611</v>
      </c>
      <c r="E237" s="4" t="n">
        <v>46304.62414421616</v>
      </c>
      <c r="F237" t="b">
        <v>1</v>
      </c>
      <c r="H237" t="inlineStr">
        <is>
          <t>2023-08-07 | PARCEL |  AAPL | 3.0000 unit</t>
        </is>
      </c>
      <c r="I237" s="5" t="inlineStr">
        <is>
          <t>01a1212c-7ca9-77c5-bb3f-a4e5075e305f</t>
        </is>
      </c>
      <c r="J237" t="n">
        <v>3</v>
      </c>
      <c r="K237" t="n">
        <v>1</v>
      </c>
      <c r="L237" s="6" t="n">
        <v>45145</v>
      </c>
      <c r="O237" t="inlineStr">
        <is>
          <t>AAPL</t>
        </is>
      </c>
      <c r="P237" t="n">
        <v>3</v>
      </c>
      <c r="Q237" t="b">
        <v>0</v>
      </c>
      <c r="R237" t="inlineStr">
        <is>
          <t>AUD</t>
        </is>
      </c>
      <c r="S237" t="n">
        <v>2.5</v>
      </c>
      <c r="T237" t="inlineStr">
        <is>
          <t>AUD</t>
        </is>
      </c>
      <c r="U237" t="n">
        <v>812.325</v>
      </c>
      <c r="V237" t="inlineStr">
        <is>
          <t>AUD</t>
        </is>
      </c>
      <c r="W237" t="n">
        <v>270.775</v>
      </c>
      <c r="X237" t="n">
        <v/>
      </c>
    </row>
    <row r="238">
      <c r="A238" s="5" t="inlineStr">
        <is>
          <t>01a1212c-7cc3-710b-ba9e-bdab308c142d</t>
        </is>
      </c>
      <c r="C238" s="5" t="inlineStr">
        <is>
          <t>01a1212c-4b57-70cf-80fd-c2192cb3bf81</t>
        </is>
      </c>
      <c r="D238" s="4" t="n">
        <v>46304.62414448395</v>
      </c>
      <c r="E238" s="4" t="n">
        <v>46304.62430308022</v>
      </c>
      <c r="F238" t="b">
        <v>1</v>
      </c>
      <c r="H238" t="inlineStr">
        <is>
          <t>2023-09-04 | PARCEL |  A200 | 10.0000 unit</t>
        </is>
      </c>
      <c r="I238" s="5" t="inlineStr">
        <is>
          <t>01a1212c-7cc2-7692-94a3-4f36f4bd5ccd</t>
        </is>
      </c>
      <c r="J238" t="n">
        <v>10</v>
      </c>
      <c r="K238" t="n">
        <v>1</v>
      </c>
      <c r="L238" s="6" t="n">
        <v>45173</v>
      </c>
      <c r="O238" t="inlineStr">
        <is>
          <t>A200</t>
        </is>
      </c>
      <c r="P238" t="n">
        <v>10</v>
      </c>
      <c r="Q238" t="b">
        <v>0</v>
      </c>
      <c r="R238" t="inlineStr">
        <is>
          <t>AUD</t>
        </is>
      </c>
      <c r="S238" t="n">
        <v>0.95</v>
      </c>
      <c r="T238" t="inlineStr">
        <is>
          <t>AUD</t>
        </is>
      </c>
      <c r="U238" t="n">
        <v>1246.947</v>
      </c>
      <c r="V238" t="inlineStr">
        <is>
          <t>AUD</t>
        </is>
      </c>
      <c r="W238" t="n">
        <v>124.6947</v>
      </c>
      <c r="X238" t="n">
        <v/>
      </c>
    </row>
    <row r="239">
      <c r="A239" s="5" t="inlineStr">
        <is>
          <t>01a1212c-7cd8-7474-85d2-7bfaa05c9923</t>
        </is>
      </c>
      <c r="C239" s="5" t="inlineStr">
        <is>
          <t>01a1212c-4b57-70cf-80fd-c2192cb3bf81</t>
        </is>
      </c>
      <c r="D239" s="4" t="n">
        <v>46304.624144727</v>
      </c>
      <c r="E239" s="4" t="n">
        <v>46304.62431620391</v>
      </c>
      <c r="F239" t="b">
        <v>1</v>
      </c>
      <c r="H239" t="inlineStr">
        <is>
          <t>2023-09-04 | PARCEL |  VGS | 13.0000 unit</t>
        </is>
      </c>
      <c r="I239" s="5" t="inlineStr">
        <is>
          <t>01a1212c-7cd7-717b-846e-5879ae5326fc</t>
        </is>
      </c>
      <c r="J239" t="n">
        <v>13</v>
      </c>
      <c r="K239" t="n">
        <v>1</v>
      </c>
      <c r="L239" s="6" t="n">
        <v>45173</v>
      </c>
      <c r="O239" t="inlineStr">
        <is>
          <t>VGS</t>
        </is>
      </c>
      <c r="P239" t="n">
        <v>13</v>
      </c>
      <c r="Q239" t="b">
        <v>0</v>
      </c>
      <c r="R239" t="inlineStr">
        <is>
          <t>AUD</t>
        </is>
      </c>
      <c r="S239" t="n">
        <v>0.730769</v>
      </c>
      <c r="T239" t="inlineStr">
        <is>
          <t>AUD</t>
        </is>
      </c>
      <c r="U239" t="n">
        <v>1453.6233</v>
      </c>
      <c r="V239" t="inlineStr">
        <is>
          <t>AUD</t>
        </is>
      </c>
      <c r="W239" t="n">
        <v>111.817177</v>
      </c>
      <c r="X239" t="n">
        <v/>
      </c>
    </row>
    <row r="240">
      <c r="A240" s="5" t="inlineStr">
        <is>
          <t>01a1212c-7cee-74be-9ba6-b39f1f6211a4</t>
        </is>
      </c>
      <c r="C240" s="5" t="inlineStr">
        <is>
          <t>01a1212c-4b57-70cf-80fd-c2192cb3bf81</t>
        </is>
      </c>
      <c r="D240" s="4" t="n">
        <v>46304.62414498794</v>
      </c>
      <c r="E240" s="4" t="n">
        <v>46304.62414498799</v>
      </c>
      <c r="F240" t="b">
        <v>1</v>
      </c>
      <c r="H240" t="inlineStr">
        <is>
          <t>2023-09-05 | PARCEL |  AAPL | 1.0000 unit</t>
        </is>
      </c>
      <c r="I240" s="5" t="inlineStr">
        <is>
          <t>01a1212c-7cec-7357-b0aa-2c93c905059d</t>
        </is>
      </c>
      <c r="J240" t="n">
        <v>1</v>
      </c>
      <c r="K240" t="n">
        <v>1</v>
      </c>
      <c r="L240" s="6" t="n">
        <v>45174</v>
      </c>
      <c r="O240" t="inlineStr">
        <is>
          <t>AAPL</t>
        </is>
      </c>
      <c r="P240" t="n">
        <v>1</v>
      </c>
      <c r="Q240" t="b">
        <v>0</v>
      </c>
      <c r="R240" t="inlineStr">
        <is>
          <t>AUD</t>
        </is>
      </c>
      <c r="S240" t="n">
        <v>7.5</v>
      </c>
      <c r="T240" t="inlineStr">
        <is>
          <t>AUD</t>
        </is>
      </c>
      <c r="U240" t="n">
        <v>292.05</v>
      </c>
      <c r="V240" t="inlineStr">
        <is>
          <t>AUD</t>
        </is>
      </c>
      <c r="W240" t="n">
        <v>292.05</v>
      </c>
      <c r="X240" t="n">
        <v/>
      </c>
    </row>
    <row r="241">
      <c r="A241" s="5" t="inlineStr">
        <is>
          <t>01a1212c-7d05-74a7-9d21-216dbaf076bf</t>
        </is>
      </c>
      <c r="C241" s="5" t="inlineStr">
        <is>
          <t>01a1212c-4b57-70cf-80fd-c2192cb3bf81</t>
        </is>
      </c>
      <c r="D241" s="4" t="n">
        <v>46304.62414525318</v>
      </c>
      <c r="E241" s="4" t="n">
        <v>46304.62414525324</v>
      </c>
      <c r="F241" t="b">
        <v>1</v>
      </c>
      <c r="H241" t="inlineStr">
        <is>
          <t>2023-09-11 | PARCEL |  AAPL | 2.0000 unit</t>
        </is>
      </c>
      <c r="I241" s="5" t="inlineStr">
        <is>
          <t>01a1212c-7d03-757d-8e89-22e9f088bd9e</t>
        </is>
      </c>
      <c r="J241" t="n">
        <v>2</v>
      </c>
      <c r="K241" t="n">
        <v>1</v>
      </c>
      <c r="L241" s="6" t="n">
        <v>45180</v>
      </c>
      <c r="O241" t="inlineStr">
        <is>
          <t>AAPL</t>
        </is>
      </c>
      <c r="P241" t="n">
        <v>2</v>
      </c>
      <c r="Q241" t="b">
        <v>0</v>
      </c>
      <c r="R241" t="inlineStr">
        <is>
          <t>AUD</t>
        </is>
      </c>
      <c r="S241" t="n">
        <v>3.75</v>
      </c>
      <c r="T241" t="inlineStr">
        <is>
          <t>AUD</t>
        </is>
      </c>
      <c r="U241" t="n">
        <v>545.58</v>
      </c>
      <c r="V241" t="inlineStr">
        <is>
          <t>AUD</t>
        </is>
      </c>
      <c r="W241" t="n">
        <v>272.79</v>
      </c>
      <c r="X241" t="n">
        <v/>
      </c>
    </row>
    <row r="242">
      <c r="A242" s="5" t="inlineStr">
        <is>
          <t>01a1212c-7d1d-7176-810f-e34a8b03dcf5</t>
        </is>
      </c>
      <c r="C242" s="5" t="inlineStr">
        <is>
          <t>01a1212c-4b57-70cf-80fd-c2192cb3bf81</t>
        </is>
      </c>
      <c r="D242" s="4" t="n">
        <v>46304.62414552351</v>
      </c>
      <c r="E242" s="4" t="n">
        <v>46304.62427010073</v>
      </c>
      <c r="F242" t="b">
        <v>1</v>
      </c>
      <c r="H242" t="inlineStr">
        <is>
          <t>2023-09-22 | PARCEL |  MSFT | 1.0000 unit</t>
        </is>
      </c>
      <c r="I242" s="5" t="inlineStr">
        <is>
          <t>01a1212c-7d1a-7102-85ff-b64c834589fb</t>
        </is>
      </c>
      <c r="J242" t="n">
        <v>1</v>
      </c>
      <c r="K242" t="n">
        <v>1</v>
      </c>
      <c r="L242" s="6" t="n">
        <v>45191</v>
      </c>
      <c r="N242" s="6" t="n">
        <v>45608</v>
      </c>
      <c r="O242" t="inlineStr">
        <is>
          <t>MSFT</t>
        </is>
      </c>
      <c r="P242" t="n">
        <v>0</v>
      </c>
      <c r="Q242" t="b">
        <v>1</v>
      </c>
      <c r="R242" t="inlineStr">
        <is>
          <t>AUD</t>
        </is>
      </c>
      <c r="S242" t="n">
        <v>7.5</v>
      </c>
      <c r="T242" t="inlineStr">
        <is>
          <t>AUD</t>
        </is>
      </c>
      <c r="U242" t="n">
        <v>483.015</v>
      </c>
      <c r="V242" t="inlineStr">
        <is>
          <t>AUD</t>
        </is>
      </c>
      <c r="W242" t="n">
        <v>483.015</v>
      </c>
      <c r="X242" t="n">
        <v/>
      </c>
    </row>
    <row r="243">
      <c r="A243" s="5" t="inlineStr">
        <is>
          <t>01a1212c-7d33-7324-9c89-c291b3770527</t>
        </is>
      </c>
      <c r="C243" s="5" t="inlineStr">
        <is>
          <t>01a1212c-4b57-70cf-80fd-c2192cb3bf81</t>
        </is>
      </c>
      <c r="D243" s="4" t="n">
        <v>46304.62414578239</v>
      </c>
      <c r="E243" s="4" t="n">
        <v>46304.62430234389</v>
      </c>
      <c r="F243" t="b">
        <v>1</v>
      </c>
      <c r="H243" t="inlineStr">
        <is>
          <t>2023-10-06 | PARCEL |  A200 | 7.0000 unit</t>
        </is>
      </c>
      <c r="I243" s="5" t="inlineStr">
        <is>
          <t>01a1212c-7d32-759a-83b0-5086474b602a</t>
        </is>
      </c>
      <c r="J243" t="n">
        <v>7</v>
      </c>
      <c r="K243" t="n">
        <v>1</v>
      </c>
      <c r="L243" s="6" t="n">
        <v>45205</v>
      </c>
      <c r="O243" t="inlineStr">
        <is>
          <t>A200</t>
        </is>
      </c>
      <c r="P243" t="n">
        <v>7</v>
      </c>
      <c r="Q243" t="b">
        <v>0</v>
      </c>
      <c r="R243" t="inlineStr">
        <is>
          <t>AUD</t>
        </is>
      </c>
      <c r="S243" t="n">
        <v>1.357143</v>
      </c>
      <c r="T243" t="inlineStr">
        <is>
          <t>AUD</t>
        </is>
      </c>
      <c r="U243" t="n">
        <v>825.7702</v>
      </c>
      <c r="V243" t="inlineStr">
        <is>
          <t>AUD</t>
        </is>
      </c>
      <c r="W243" t="n">
        <v>117.967171</v>
      </c>
      <c r="X243" t="n">
        <v/>
      </c>
    </row>
    <row r="244">
      <c r="A244" s="5" t="inlineStr">
        <is>
          <t>01a1212c-7d4a-734e-9dd8-ba2ea752fce4</t>
        </is>
      </c>
      <c r="C244" s="5" t="inlineStr">
        <is>
          <t>01a1212c-4b57-70cf-80fd-c2192cb3bf81</t>
        </is>
      </c>
      <c r="D244" s="4" t="n">
        <v>46304.62414604703</v>
      </c>
      <c r="E244" s="4" t="n">
        <v>46304.62431765895</v>
      </c>
      <c r="F244" t="b">
        <v>1</v>
      </c>
      <c r="H244" t="inlineStr">
        <is>
          <t>2023-10-06 | PARCEL |  VGS | 9.0000 unit</t>
        </is>
      </c>
      <c r="I244" s="5" t="inlineStr">
        <is>
          <t>01a1212c-7d49-7310-884a-71f3a5e42302</t>
        </is>
      </c>
      <c r="J244" t="n">
        <v>9</v>
      </c>
      <c r="K244" t="n">
        <v>1</v>
      </c>
      <c r="L244" s="6" t="n">
        <v>45205</v>
      </c>
      <c r="O244" t="inlineStr">
        <is>
          <t>VGS</t>
        </is>
      </c>
      <c r="P244" t="n">
        <v>9</v>
      </c>
      <c r="Q244" t="b">
        <v>0</v>
      </c>
      <c r="R244" t="inlineStr">
        <is>
          <t>AUD</t>
        </is>
      </c>
      <c r="S244" t="n">
        <v>1.055556</v>
      </c>
      <c r="T244" t="inlineStr">
        <is>
          <t>AUD</t>
        </is>
      </c>
      <c r="U244" t="n">
        <v>961.1937</v>
      </c>
      <c r="V244" t="inlineStr">
        <is>
          <t>AUD</t>
        </is>
      </c>
      <c r="W244" t="n">
        <v>106.7993</v>
      </c>
      <c r="X244" t="n">
        <v/>
      </c>
    </row>
    <row r="245">
      <c r="A245" s="5" t="inlineStr">
        <is>
          <t>01a1212c-7d61-74b0-bb7b-74bb45a41beb</t>
        </is>
      </c>
      <c r="C245" s="5" t="inlineStr">
        <is>
          <t>01a1212c-4b57-70cf-80fd-c2192cb3bf81</t>
        </is>
      </c>
      <c r="D245" s="4" t="n">
        <v>46304.62414631273</v>
      </c>
      <c r="E245" s="4" t="n">
        <v>46304.62414631279</v>
      </c>
      <c r="F245" t="b">
        <v>1</v>
      </c>
      <c r="H245" t="inlineStr">
        <is>
          <t>2023-10-31 | PARCEL |  AMZN | 6.0000 unit</t>
        </is>
      </c>
      <c r="I245" s="5" t="inlineStr">
        <is>
          <t>01a1212c-7d5e-7139-b8c5-c78923d8a5f3</t>
        </is>
      </c>
      <c r="J245" t="n">
        <v>6</v>
      </c>
      <c r="K245" t="n">
        <v>1</v>
      </c>
      <c r="L245" s="6" t="n">
        <v>45230</v>
      </c>
      <c r="O245" t="inlineStr">
        <is>
          <t>AMZN</t>
        </is>
      </c>
      <c r="P245" t="n">
        <v>6</v>
      </c>
      <c r="Q245" t="b">
        <v>0</v>
      </c>
      <c r="R245" t="inlineStr">
        <is>
          <t>AUD</t>
        </is>
      </c>
      <c r="S245" t="n">
        <v>1.25</v>
      </c>
      <c r="T245" t="inlineStr">
        <is>
          <t>AUD</t>
        </is>
      </c>
      <c r="U245" t="n">
        <v>1205.31</v>
      </c>
      <c r="V245" t="inlineStr">
        <is>
          <t>AUD</t>
        </is>
      </c>
      <c r="W245" t="n">
        <v>200.885</v>
      </c>
      <c r="X245" t="n">
        <v/>
      </c>
    </row>
    <row r="246">
      <c r="A246" s="5" t="inlineStr">
        <is>
          <t>01a1212c-7d76-712c-8870-92d0cd93b8d1</t>
        </is>
      </c>
      <c r="C246" s="5" t="inlineStr">
        <is>
          <t>01a1212c-4b57-70cf-80fd-c2192cb3bf81</t>
        </is>
      </c>
      <c r="D246" s="4" t="n">
        <v>46304.62414655768</v>
      </c>
      <c r="E246" s="4" t="n">
        <v>46304.6243022249</v>
      </c>
      <c r="F246" t="b">
        <v>1</v>
      </c>
      <c r="H246" t="inlineStr">
        <is>
          <t>2023-11-02 | PARCEL |  A200 | 13.0000 unit</t>
        </is>
      </c>
      <c r="I246" s="5" t="inlineStr">
        <is>
          <t>01a1212c-7d75-7458-a245-7701e970fd3a</t>
        </is>
      </c>
      <c r="J246" t="n">
        <v>13</v>
      </c>
      <c r="K246" t="n">
        <v>1</v>
      </c>
      <c r="L246" s="6" t="n">
        <v>45232</v>
      </c>
      <c r="O246" t="inlineStr">
        <is>
          <t>A200</t>
        </is>
      </c>
      <c r="P246" t="n">
        <v>13</v>
      </c>
      <c r="Q246" t="b">
        <v>0</v>
      </c>
      <c r="R246" t="inlineStr">
        <is>
          <t>AUD</t>
        </is>
      </c>
      <c r="S246" t="n">
        <v>0.730769</v>
      </c>
      <c r="T246" t="inlineStr">
        <is>
          <t>AUD</t>
        </is>
      </c>
      <c r="U246" t="n">
        <v>1513.5695</v>
      </c>
      <c r="V246" t="inlineStr">
        <is>
          <t>AUD</t>
        </is>
      </c>
      <c r="W246" t="n">
        <v>116.428423</v>
      </c>
      <c r="X246" t="n">
        <v/>
      </c>
    </row>
    <row r="247">
      <c r="A247" s="5" t="inlineStr">
        <is>
          <t>01a1212c-7d8b-7334-b6a0-e0fad4eda28a</t>
        </is>
      </c>
      <c r="C247" s="5" t="inlineStr">
        <is>
          <t>01a1212c-4b57-70cf-80fd-c2192cb3bf81</t>
        </is>
      </c>
      <c r="D247" s="4" t="n">
        <v>46304.62414680463</v>
      </c>
      <c r="E247" s="4" t="n">
        <v>46304.62431478062</v>
      </c>
      <c r="F247" t="b">
        <v>1</v>
      </c>
      <c r="H247" t="inlineStr">
        <is>
          <t>2023-11-02 | PARCEL |  VGS | 18.0000 unit</t>
        </is>
      </c>
      <c r="I247" s="5" t="inlineStr">
        <is>
          <t>01a1212c-7d8a-75ca-9ffd-4e435c411561</t>
        </is>
      </c>
      <c r="J247" t="n">
        <v>18</v>
      </c>
      <c r="K247" t="n">
        <v>1</v>
      </c>
      <c r="L247" s="6" t="n">
        <v>45232</v>
      </c>
      <c r="O247" t="inlineStr">
        <is>
          <t>VGS</t>
        </is>
      </c>
      <c r="P247" t="n">
        <v>18</v>
      </c>
      <c r="Q247" t="b">
        <v>0</v>
      </c>
      <c r="R247" t="inlineStr">
        <is>
          <t>AUD</t>
        </is>
      </c>
      <c r="S247" t="n">
        <v>0.527778</v>
      </c>
      <c r="T247" t="inlineStr">
        <is>
          <t>AUD</t>
        </is>
      </c>
      <c r="U247" t="n">
        <v>1894.0316</v>
      </c>
      <c r="V247" t="inlineStr">
        <is>
          <t>AUD</t>
        </is>
      </c>
      <c r="W247" t="n">
        <v>105.223978</v>
      </c>
      <c r="X247" t="n">
        <v/>
      </c>
    </row>
    <row r="248">
      <c r="A248" s="5" t="inlineStr">
        <is>
          <t>01a1212c-7da2-7099-a990-5ef9828c15ea</t>
        </is>
      </c>
      <c r="C248" s="5" t="inlineStr">
        <is>
          <t>01a1212c-4b57-70cf-80fd-c2192cb3bf81</t>
        </is>
      </c>
      <c r="D248" s="4" t="n">
        <v>46304.62414706271</v>
      </c>
      <c r="E248" s="4" t="n">
        <v>46304.62414706276</v>
      </c>
      <c r="F248" t="b">
        <v>1</v>
      </c>
      <c r="H248" t="inlineStr">
        <is>
          <t>2023-11-14 | PARCEL |  AAPL | 2.0000 unit</t>
        </is>
      </c>
      <c r="I248" s="5" t="inlineStr">
        <is>
          <t>01a1212c-7d9f-77e1-8fdc-261ea1c01224</t>
        </is>
      </c>
      <c r="J248" t="n">
        <v>2</v>
      </c>
      <c r="K248" t="n">
        <v>1</v>
      </c>
      <c r="L248" s="6" t="n">
        <v>45244</v>
      </c>
      <c r="O248" t="inlineStr">
        <is>
          <t>AAPL</t>
        </is>
      </c>
      <c r="P248" t="n">
        <v>2</v>
      </c>
      <c r="Q248" t="b">
        <v>0</v>
      </c>
      <c r="R248" t="inlineStr">
        <is>
          <t>AUD</t>
        </is>
      </c>
      <c r="S248" t="n">
        <v>3.75</v>
      </c>
      <c r="T248" t="inlineStr">
        <is>
          <t>AUD</t>
        </is>
      </c>
      <c r="U248" t="n">
        <v>569.8200000000001</v>
      </c>
      <c r="V248" t="inlineStr">
        <is>
          <t>AUD</t>
        </is>
      </c>
      <c r="W248" t="n">
        <v>284.91</v>
      </c>
      <c r="X248" t="n">
        <v/>
      </c>
    </row>
    <row r="249">
      <c r="A249" s="5" t="inlineStr">
        <is>
          <t>01a1212c-7db7-7326-bd92-bfd54a0d5780</t>
        </is>
      </c>
      <c r="C249" s="5" t="inlineStr">
        <is>
          <t>01a1212c-4b57-70cf-80fd-c2192cb3bf81</t>
        </is>
      </c>
      <c r="D249" s="4" t="n">
        <v>46304.62414731218</v>
      </c>
      <c r="E249" s="4" t="n">
        <v>46304.62430374095</v>
      </c>
      <c r="F249" t="b">
        <v>1</v>
      </c>
      <c r="H249" t="inlineStr">
        <is>
          <t>2023-12-04 | PARCEL |  A200 | 12.0000 unit</t>
        </is>
      </c>
      <c r="I249" s="5" t="inlineStr">
        <is>
          <t>01a1212c-7db6-7567-a129-524e8954ef7e</t>
        </is>
      </c>
      <c r="J249" t="n">
        <v>12</v>
      </c>
      <c r="K249" t="n">
        <v>1</v>
      </c>
      <c r="L249" s="6" t="n">
        <v>45264</v>
      </c>
      <c r="O249" t="inlineStr">
        <is>
          <t>A200</t>
        </is>
      </c>
      <c r="P249" t="n">
        <v>12</v>
      </c>
      <c r="Q249" t="b">
        <v>0</v>
      </c>
      <c r="R249" t="inlineStr">
        <is>
          <t>AUD</t>
        </is>
      </c>
      <c r="S249" t="n">
        <v>0.791667</v>
      </c>
      <c r="T249" t="inlineStr">
        <is>
          <t>AUD</t>
        </is>
      </c>
      <c r="U249" t="n">
        <v>1449.7758</v>
      </c>
      <c r="V249" t="inlineStr">
        <is>
          <t>AUD</t>
        </is>
      </c>
      <c r="W249" t="n">
        <v>120.81465</v>
      </c>
      <c r="X249" t="n">
        <v/>
      </c>
    </row>
    <row r="250">
      <c r="A250" s="5" t="inlineStr">
        <is>
          <t>01a1212c-7dcc-7701-8351-3152abe5f99d</t>
        </is>
      </c>
      <c r="C250" s="5" t="inlineStr">
        <is>
          <t>01a1212c-4b57-70cf-80fd-c2192cb3bf81</t>
        </is>
      </c>
      <c r="D250" s="4" t="n">
        <v>46304.62414755621</v>
      </c>
      <c r="E250" s="4" t="n">
        <v>46304.62431836385</v>
      </c>
      <c r="F250" t="b">
        <v>1</v>
      </c>
      <c r="H250" t="inlineStr">
        <is>
          <t>2023-12-04 | PARCEL |  VGS | 16.0000 unit</t>
        </is>
      </c>
      <c r="I250" s="5" t="inlineStr">
        <is>
          <t>01a1212c-7dcb-752e-975c-24e12e0d49f3</t>
        </is>
      </c>
      <c r="J250" t="n">
        <v>16</v>
      </c>
      <c r="K250" t="n">
        <v>1</v>
      </c>
      <c r="L250" s="6" t="n">
        <v>45264</v>
      </c>
      <c r="O250" t="inlineStr">
        <is>
          <t>VGS</t>
        </is>
      </c>
      <c r="P250" t="n">
        <v>16</v>
      </c>
      <c r="Q250" t="b">
        <v>0</v>
      </c>
      <c r="R250" t="inlineStr">
        <is>
          <t>AUD</t>
        </is>
      </c>
      <c r="S250" t="n">
        <v>0.59375</v>
      </c>
      <c r="T250" t="inlineStr">
        <is>
          <t>AUD</t>
        </is>
      </c>
      <c r="U250" t="n">
        <v>1759.4767</v>
      </c>
      <c r="V250" t="inlineStr">
        <is>
          <t>AUD</t>
        </is>
      </c>
      <c r="W250" t="n">
        <v>109.967294</v>
      </c>
      <c r="X250" t="n">
        <v/>
      </c>
    </row>
    <row r="251">
      <c r="A251" s="5" t="inlineStr">
        <is>
          <t>01a1212c-7de4-74fb-8447-aee738aec9e9</t>
        </is>
      </c>
      <c r="C251" s="5" t="inlineStr">
        <is>
          <t>01a1212c-4b57-70cf-80fd-c2192cb3bf81</t>
        </is>
      </c>
      <c r="D251" s="4" t="n">
        <v>46304.62414783351</v>
      </c>
      <c r="E251" s="4" t="n">
        <v>46304.62426993027</v>
      </c>
      <c r="F251" t="b">
        <v>1</v>
      </c>
      <c r="H251" t="inlineStr">
        <is>
          <t>2023-12-11 | PARCEL |  MSFT | 1.0000 unit</t>
        </is>
      </c>
      <c r="I251" s="5" t="inlineStr">
        <is>
          <t>01a1212c-7de2-737f-a8b8-80a1a55e8801</t>
        </is>
      </c>
      <c r="J251" t="n">
        <v>1</v>
      </c>
      <c r="K251" t="n">
        <v>1</v>
      </c>
      <c r="L251" s="6" t="n">
        <v>45271</v>
      </c>
      <c r="N251" s="6" t="n">
        <v>45608</v>
      </c>
      <c r="O251" t="inlineStr">
        <is>
          <t>MSFT</t>
        </is>
      </c>
      <c r="P251" t="n">
        <v>0</v>
      </c>
      <c r="Q251" t="b">
        <v>1</v>
      </c>
      <c r="R251" t="inlineStr">
        <is>
          <t>AUD</t>
        </is>
      </c>
      <c r="S251" t="n">
        <v>7.5</v>
      </c>
      <c r="T251" t="inlineStr">
        <is>
          <t>AUD</t>
        </is>
      </c>
      <c r="U251" t="n">
        <v>564.45</v>
      </c>
      <c r="V251" t="inlineStr">
        <is>
          <t>AUD</t>
        </is>
      </c>
      <c r="W251" t="n">
        <v>564.45</v>
      </c>
      <c r="X251" t="n">
        <v/>
      </c>
    </row>
    <row r="252">
      <c r="A252" s="5" t="inlineStr">
        <is>
          <t>01a1212c-7dfb-75d7-ba94-122fd9117b76</t>
        </is>
      </c>
      <c r="C252" s="5" t="inlineStr">
        <is>
          <t>01a1212c-4b57-70cf-80fd-c2192cb3bf81</t>
        </is>
      </c>
      <c r="D252" s="4" t="n">
        <v>46304.6241480939</v>
      </c>
      <c r="E252" s="4" t="n">
        <v>46304.62430218125</v>
      </c>
      <c r="F252" t="b">
        <v>1</v>
      </c>
      <c r="H252" t="inlineStr">
        <is>
          <t>2024-01-03 | PARCEL |  A200 | 10.0000 unit</t>
        </is>
      </c>
      <c r="I252" s="5" t="inlineStr">
        <is>
          <t>01a1212c-7df9-763b-94c5-8a6bbc14e1f3</t>
        </is>
      </c>
      <c r="J252" t="n">
        <v>10</v>
      </c>
      <c r="K252" t="n">
        <v>1</v>
      </c>
      <c r="L252" s="6" t="n">
        <v>45294</v>
      </c>
      <c r="O252" t="inlineStr">
        <is>
          <t>A200</t>
        </is>
      </c>
      <c r="P252" t="n">
        <v>10</v>
      </c>
      <c r="Q252" t="b">
        <v>0</v>
      </c>
      <c r="R252" t="inlineStr">
        <is>
          <t>AUD</t>
        </is>
      </c>
      <c r="S252" t="n">
        <v>0.95</v>
      </c>
      <c r="T252" t="inlineStr">
        <is>
          <t>AUD</t>
        </is>
      </c>
      <c r="U252" t="n">
        <v>1267.3923</v>
      </c>
      <c r="V252" t="inlineStr">
        <is>
          <t>AUD</t>
        </is>
      </c>
      <c r="W252" t="n">
        <v>126.73923</v>
      </c>
      <c r="X252" t="n">
        <v/>
      </c>
    </row>
    <row r="253">
      <c r="A253" s="5" t="inlineStr">
        <is>
          <t>01a1212c-7e10-777c-a374-00f6692d2a3f</t>
        </is>
      </c>
      <c r="C253" s="5" t="inlineStr">
        <is>
          <t>01a1212c-4b57-70cf-80fd-c2192cb3bf81</t>
        </is>
      </c>
      <c r="D253" s="4" t="n">
        <v>46304.62414834191</v>
      </c>
      <c r="E253" s="4" t="n">
        <v>46304.62431470404</v>
      </c>
      <c r="F253" t="b">
        <v>1</v>
      </c>
      <c r="H253" t="inlineStr">
        <is>
          <t>2024-01-03 | PARCEL |  VGS | 13.0000 unit</t>
        </is>
      </c>
      <c r="I253" s="5" t="inlineStr">
        <is>
          <t>01a1212c-7e0f-72cd-8586-3671797cc2aa</t>
        </is>
      </c>
      <c r="J253" t="n">
        <v>13</v>
      </c>
      <c r="K253" t="n">
        <v>1</v>
      </c>
      <c r="L253" s="6" t="n">
        <v>45294</v>
      </c>
      <c r="O253" t="inlineStr">
        <is>
          <t>VGS</t>
        </is>
      </c>
      <c r="P253" t="n">
        <v>13</v>
      </c>
      <c r="Q253" t="b">
        <v>0</v>
      </c>
      <c r="R253" t="inlineStr">
        <is>
          <t>AUD</t>
        </is>
      </c>
      <c r="S253" t="n">
        <v>0.730769</v>
      </c>
      <c r="T253" t="inlineStr">
        <is>
          <t>AUD</t>
        </is>
      </c>
      <c r="U253" t="n">
        <v>1448.2481</v>
      </c>
      <c r="V253" t="inlineStr">
        <is>
          <t>AUD</t>
        </is>
      </c>
      <c r="W253" t="n">
        <v>111.4037</v>
      </c>
      <c r="X253" t="n">
        <v/>
      </c>
    </row>
    <row r="254">
      <c r="A254" s="5" t="inlineStr">
        <is>
          <t>01a1212c-7e26-770e-ac4d-91ace45df0b3</t>
        </is>
      </c>
      <c r="C254" s="5" t="inlineStr">
        <is>
          <t>01a1212c-4b57-70cf-80fd-c2192cb3bf81</t>
        </is>
      </c>
      <c r="D254" s="4" t="n">
        <v>46304.62414858965</v>
      </c>
      <c r="E254" s="4" t="n">
        <v>46304.62414858971</v>
      </c>
      <c r="F254" t="b">
        <v>1</v>
      </c>
      <c r="H254" t="inlineStr">
        <is>
          <t>2024-01-15 | PARCEL |  BHP | 17.0000 unit</t>
        </is>
      </c>
      <c r="I254" s="5" t="inlineStr">
        <is>
          <t>01a1212c-7e24-726a-a7f9-c023fd4c5380</t>
        </is>
      </c>
      <c r="J254" t="n">
        <v>17</v>
      </c>
      <c r="K254" t="n">
        <v>1</v>
      </c>
      <c r="L254" s="6" t="n">
        <v>45306</v>
      </c>
      <c r="O254" t="inlineStr">
        <is>
          <t>BHP</t>
        </is>
      </c>
      <c r="P254" t="n">
        <v>17</v>
      </c>
      <c r="Q254" t="b">
        <v>0</v>
      </c>
      <c r="R254" t="inlineStr">
        <is>
          <t>AUD</t>
        </is>
      </c>
      <c r="S254" t="n">
        <v>1.173529</v>
      </c>
      <c r="T254" t="inlineStr">
        <is>
          <t>AUD</t>
        </is>
      </c>
      <c r="U254" t="n">
        <v>823.54</v>
      </c>
      <c r="V254" t="inlineStr">
        <is>
          <t>AUD</t>
        </is>
      </c>
      <c r="W254" t="n">
        <v>48.443529</v>
      </c>
      <c r="X254" t="n">
        <v/>
      </c>
    </row>
    <row r="255">
      <c r="A255" s="5" t="inlineStr">
        <is>
          <t>01a1212c-7e3a-7261-b26b-ee9cb1a95a7b</t>
        </is>
      </c>
      <c r="C255" s="5" t="inlineStr">
        <is>
          <t>01a1212c-4b57-70cf-80fd-c2192cb3bf81</t>
        </is>
      </c>
      <c r="D255" s="4" t="n">
        <v>46304.62414883073</v>
      </c>
      <c r="E255" s="4" t="n">
        <v>46304.62414883079</v>
      </c>
      <c r="F255" t="b">
        <v>1</v>
      </c>
      <c r="H255" t="inlineStr">
        <is>
          <t>2024-01-16 | PARCEL |  AAPL | 4.0000 unit</t>
        </is>
      </c>
      <c r="I255" s="5" t="inlineStr">
        <is>
          <t>01a1212c-7e38-76d9-a128-9ba18f05f453</t>
        </is>
      </c>
      <c r="J255" t="n">
        <v>4</v>
      </c>
      <c r="K255" t="n">
        <v>1</v>
      </c>
      <c r="L255" s="6" t="n">
        <v>45307</v>
      </c>
      <c r="O255" t="inlineStr">
        <is>
          <t>AAPL</t>
        </is>
      </c>
      <c r="P255" t="n">
        <v>4</v>
      </c>
      <c r="Q255" t="b">
        <v>0</v>
      </c>
      <c r="R255" t="inlineStr">
        <is>
          <t>AUD</t>
        </is>
      </c>
      <c r="S255" t="n">
        <v>1.875</v>
      </c>
      <c r="T255" t="inlineStr">
        <is>
          <t>AUD</t>
        </is>
      </c>
      <c r="U255" t="n">
        <v>1109.28</v>
      </c>
      <c r="V255" t="inlineStr">
        <is>
          <t>AUD</t>
        </is>
      </c>
      <c r="W255" t="n">
        <v>277.32</v>
      </c>
      <c r="X255" t="n">
        <v/>
      </c>
    </row>
    <row r="256">
      <c r="A256" s="5" t="inlineStr">
        <is>
          <t>01a1212c-7e50-73f9-807d-1e47e88c5210</t>
        </is>
      </c>
      <c r="C256" s="5" t="inlineStr">
        <is>
          <t>01a1212c-4b57-70cf-80fd-c2192cb3bf81</t>
        </is>
      </c>
      <c r="D256" s="4" t="n">
        <v>46304.62414907834</v>
      </c>
      <c r="E256" s="4" t="n">
        <v>46304.62430555822</v>
      </c>
      <c r="F256" t="b">
        <v>1</v>
      </c>
      <c r="H256" t="inlineStr">
        <is>
          <t>2024-02-05 | PARCEL |  A200 | 7.0000 unit</t>
        </is>
      </c>
      <c r="I256" s="5" t="inlineStr">
        <is>
          <t>01a1212c-7e4f-7135-b7c7-fe55f91a5e47</t>
        </is>
      </c>
      <c r="J256" t="n">
        <v>7</v>
      </c>
      <c r="K256" t="n">
        <v>1</v>
      </c>
      <c r="L256" s="6" t="n">
        <v>45327</v>
      </c>
      <c r="O256" t="inlineStr">
        <is>
          <t>A200</t>
        </is>
      </c>
      <c r="P256" t="n">
        <v>7</v>
      </c>
      <c r="Q256" t="b">
        <v>0</v>
      </c>
      <c r="R256" t="inlineStr">
        <is>
          <t>AUD</t>
        </is>
      </c>
      <c r="S256" t="n">
        <v>1.357143</v>
      </c>
      <c r="T256" t="inlineStr">
        <is>
          <t>AUD</t>
        </is>
      </c>
      <c r="U256" t="n">
        <v>902.5888</v>
      </c>
      <c r="V256" t="inlineStr">
        <is>
          <t>AUD</t>
        </is>
      </c>
      <c r="W256" t="n">
        <v>128.941257</v>
      </c>
      <c r="X256" t="n">
        <v/>
      </c>
    </row>
    <row r="257">
      <c r="A257" s="5" t="inlineStr">
        <is>
          <t>01a1212c-7e65-7249-9d82-ba878df56810</t>
        </is>
      </c>
      <c r="C257" s="5" t="inlineStr">
        <is>
          <t>01a1212c-4b57-70cf-80fd-c2192cb3bf81</t>
        </is>
      </c>
      <c r="D257" s="4" t="n">
        <v>46304.62414932899</v>
      </c>
      <c r="E257" s="4" t="n">
        <v>46304.6243150206</v>
      </c>
      <c r="F257" t="b">
        <v>1</v>
      </c>
      <c r="H257" t="inlineStr">
        <is>
          <t>2024-02-05 | PARCEL |  VGS | 10.0000 unit</t>
        </is>
      </c>
      <c r="I257" s="5" t="inlineStr">
        <is>
          <t>01a1212c-7e64-7284-a356-7ab5b3b4845b</t>
        </is>
      </c>
      <c r="J257" t="n">
        <v>10</v>
      </c>
      <c r="K257" t="n">
        <v>1</v>
      </c>
      <c r="L257" s="6" t="n">
        <v>45327</v>
      </c>
      <c r="O257" t="inlineStr">
        <is>
          <t>VGS</t>
        </is>
      </c>
      <c r="P257" t="n">
        <v>10</v>
      </c>
      <c r="Q257" t="b">
        <v>0</v>
      </c>
      <c r="R257" t="inlineStr">
        <is>
          <t>AUD</t>
        </is>
      </c>
      <c r="S257" t="n">
        <v>0.95</v>
      </c>
      <c r="T257" t="inlineStr">
        <is>
          <t>AUD</t>
        </is>
      </c>
      <c r="U257" t="n">
        <v>1196.7925</v>
      </c>
      <c r="V257" t="inlineStr">
        <is>
          <t>AUD</t>
        </is>
      </c>
      <c r="W257" t="n">
        <v>119.67925</v>
      </c>
      <c r="X257" t="n">
        <v/>
      </c>
    </row>
    <row r="258">
      <c r="A258" s="5" t="inlineStr">
        <is>
          <t>01a1212c-7e7b-76c0-818c-fef3acac6fca</t>
        </is>
      </c>
      <c r="C258" s="5" t="inlineStr">
        <is>
          <t>01a1212c-4b57-70cf-80fd-c2192cb3bf81</t>
        </is>
      </c>
      <c r="D258" s="4" t="n">
        <v>46304.6241495788</v>
      </c>
      <c r="E258" s="4" t="n">
        <v>46304.62430539396</v>
      </c>
      <c r="F258" t="b">
        <v>1</v>
      </c>
      <c r="H258" t="inlineStr">
        <is>
          <t>2024-03-04 | PARCEL |  A200 | 11.0000 unit</t>
        </is>
      </c>
      <c r="I258" s="5" t="inlineStr">
        <is>
          <t>01a1212c-7e7a-73eb-8cd7-ad44ce318df9</t>
        </is>
      </c>
      <c r="J258" t="n">
        <v>11</v>
      </c>
      <c r="K258" t="n">
        <v>1</v>
      </c>
      <c r="L258" s="6" t="n">
        <v>45355</v>
      </c>
      <c r="O258" t="inlineStr">
        <is>
          <t>A200</t>
        </is>
      </c>
      <c r="P258" t="n">
        <v>11</v>
      </c>
      <c r="Q258" t="b">
        <v>0</v>
      </c>
      <c r="R258" t="inlineStr">
        <is>
          <t>AUD</t>
        </is>
      </c>
      <c r="S258" t="n">
        <v>0.863636</v>
      </c>
      <c r="T258" t="inlineStr">
        <is>
          <t>AUD</t>
        </is>
      </c>
      <c r="U258" t="n">
        <v>1441.384</v>
      </c>
      <c r="V258" t="inlineStr">
        <is>
          <t>AUD</t>
        </is>
      </c>
      <c r="W258" t="n">
        <v>131.034909</v>
      </c>
      <c r="X258" t="n">
        <v/>
      </c>
    </row>
    <row r="259">
      <c r="A259" s="5" t="inlineStr">
        <is>
          <t>01a1212c-7e90-7233-ab00-a795c8d91f6d</t>
        </is>
      </c>
      <c r="C259" s="5" t="inlineStr">
        <is>
          <t>01a1212c-4b57-70cf-80fd-c2192cb3bf81</t>
        </is>
      </c>
      <c r="D259" s="4" t="n">
        <v>46304.62414982673</v>
      </c>
      <c r="E259" s="4" t="n">
        <v>46304.62431680468</v>
      </c>
      <c r="F259" t="b">
        <v>1</v>
      </c>
      <c r="H259" t="inlineStr">
        <is>
          <t>2024-03-04 | PARCEL |  VGS | 15.0000 unit</t>
        </is>
      </c>
      <c r="I259" s="5" t="inlineStr">
        <is>
          <t>01a1212c-7e8f-750e-a1cf-c1a01224a76d</t>
        </is>
      </c>
      <c r="J259" t="n">
        <v>15</v>
      </c>
      <c r="K259" t="n">
        <v>1</v>
      </c>
      <c r="L259" s="6" t="n">
        <v>45355</v>
      </c>
      <c r="O259" t="inlineStr">
        <is>
          <t>VGS</t>
        </is>
      </c>
      <c r="P259" t="n">
        <v>15</v>
      </c>
      <c r="Q259" t="b">
        <v>0</v>
      </c>
      <c r="R259" t="inlineStr">
        <is>
          <t>AUD</t>
        </is>
      </c>
      <c r="S259" t="n">
        <v>0.633333</v>
      </c>
      <c r="T259" t="inlineStr">
        <is>
          <t>AUD</t>
        </is>
      </c>
      <c r="U259" t="n">
        <v>1857.3602</v>
      </c>
      <c r="V259" t="inlineStr">
        <is>
          <t>AUD</t>
        </is>
      </c>
      <c r="W259" t="n">
        <v>123.824013</v>
      </c>
      <c r="X259" t="n">
        <v/>
      </c>
    </row>
    <row r="260">
      <c r="A260" s="5" t="inlineStr">
        <is>
          <t>01a1212c-7ea6-71ad-9cc5-23cdd231e2ec</t>
        </is>
      </c>
      <c r="C260" s="5" t="inlineStr">
        <is>
          <t>01a1212c-4b57-70cf-80fd-c2192cb3bf81</t>
        </is>
      </c>
      <c r="D260" s="4" t="n">
        <v>46304.62415007909</v>
      </c>
      <c r="E260" s="4" t="n">
        <v>46304.62430246967</v>
      </c>
      <c r="F260" t="b">
        <v>1</v>
      </c>
      <c r="H260" t="inlineStr">
        <is>
          <t>2024-04-04 | PARCEL |  A200 | 5.0000 unit</t>
        </is>
      </c>
      <c r="I260" s="5" t="inlineStr">
        <is>
          <t>01a1212c-7ea5-7351-9fa5-40e693bf21bf</t>
        </is>
      </c>
      <c r="J260" t="n">
        <v>5</v>
      </c>
      <c r="K260" t="n">
        <v>1</v>
      </c>
      <c r="L260" s="6" t="n">
        <v>45386</v>
      </c>
      <c r="O260" t="inlineStr">
        <is>
          <t>A200</t>
        </is>
      </c>
      <c r="P260" t="n">
        <v>5</v>
      </c>
      <c r="Q260" t="b">
        <v>0</v>
      </c>
      <c r="R260" t="inlineStr">
        <is>
          <t>AUD</t>
        </is>
      </c>
      <c r="S260" t="n">
        <v>1.9</v>
      </c>
      <c r="T260" t="inlineStr">
        <is>
          <t>AUD</t>
        </is>
      </c>
      <c r="U260" t="n">
        <v>666.3853</v>
      </c>
      <c r="V260" t="inlineStr">
        <is>
          <t>AUD</t>
        </is>
      </c>
      <c r="W260" t="n">
        <v>133.27706</v>
      </c>
      <c r="X260" t="n">
        <v/>
      </c>
    </row>
    <row r="261">
      <c r="A261" s="5" t="inlineStr">
        <is>
          <t>01a1212c-7ebd-72be-82a1-cd941a25caaa</t>
        </is>
      </c>
      <c r="C261" s="5" t="inlineStr">
        <is>
          <t>01a1212c-4b57-70cf-80fd-c2192cb3bf81</t>
        </is>
      </c>
      <c r="D261" s="4" t="n">
        <v>46304.62415033902</v>
      </c>
      <c r="E261" s="4" t="n">
        <v>46304.62431567016</v>
      </c>
      <c r="F261" t="b">
        <v>1</v>
      </c>
      <c r="H261" t="inlineStr">
        <is>
          <t>2024-04-04 | PARCEL |  VGS | 7.0000 unit</t>
        </is>
      </c>
      <c r="I261" s="5" t="inlineStr">
        <is>
          <t>01a1212c-7ebb-7048-9549-54631120463f</t>
        </is>
      </c>
      <c r="J261" t="n">
        <v>7</v>
      </c>
      <c r="K261" t="n">
        <v>1</v>
      </c>
      <c r="L261" s="6" t="n">
        <v>45386</v>
      </c>
      <c r="O261" t="inlineStr">
        <is>
          <t>VGS</t>
        </is>
      </c>
      <c r="P261" t="n">
        <v>7</v>
      </c>
      <c r="Q261" t="b">
        <v>0</v>
      </c>
      <c r="R261" t="inlineStr">
        <is>
          <t>AUD</t>
        </is>
      </c>
      <c r="S261" t="n">
        <v>1.357143</v>
      </c>
      <c r="T261" t="inlineStr">
        <is>
          <t>AUD</t>
        </is>
      </c>
      <c r="U261" t="n">
        <v>872.2433</v>
      </c>
      <c r="V261" t="inlineStr">
        <is>
          <t>AUD</t>
        </is>
      </c>
      <c r="W261" t="n">
        <v>124.606186</v>
      </c>
      <c r="X261" t="n">
        <v/>
      </c>
    </row>
    <row r="262">
      <c r="A262" s="5" t="inlineStr">
        <is>
          <t>01a1212c-7ed6-739f-9195-669859544633</t>
        </is>
      </c>
      <c r="C262" s="5" t="inlineStr">
        <is>
          <t>01a1212c-4b57-70cf-80fd-c2192cb3bf81</t>
        </is>
      </c>
      <c r="D262" s="4" t="n">
        <v>46304.62415063243</v>
      </c>
      <c r="E262" s="4" t="n">
        <v>46304.62415063248</v>
      </c>
      <c r="F262" t="b">
        <v>1</v>
      </c>
      <c r="H262" t="inlineStr">
        <is>
          <t>2024-04-22 | PARCEL |  AAPL | 3.0000 unit</t>
        </is>
      </c>
      <c r="I262" s="5" t="inlineStr">
        <is>
          <t>01a1212c-7ed3-73eb-8baa-51fc00bb3f5c</t>
        </is>
      </c>
      <c r="J262" t="n">
        <v>3</v>
      </c>
      <c r="K262" t="n">
        <v>1</v>
      </c>
      <c r="L262" s="6" t="n">
        <v>45404</v>
      </c>
      <c r="O262" t="inlineStr">
        <is>
          <t>AAPL</t>
        </is>
      </c>
      <c r="P262" t="n">
        <v>3</v>
      </c>
      <c r="Q262" t="b">
        <v>0</v>
      </c>
      <c r="R262" t="inlineStr">
        <is>
          <t>AUD</t>
        </is>
      </c>
      <c r="S262" t="n">
        <v>2.5</v>
      </c>
      <c r="T262" t="inlineStr">
        <is>
          <t>AUD</t>
        </is>
      </c>
      <c r="U262" t="n">
        <v>753.78</v>
      </c>
      <c r="V262" t="inlineStr">
        <is>
          <t>AUD</t>
        </is>
      </c>
      <c r="W262" t="n">
        <v>251.26</v>
      </c>
      <c r="X262" t="n">
        <v/>
      </c>
    </row>
    <row r="263">
      <c r="A263" s="5" t="inlineStr">
        <is>
          <t>01a1212c-7efa-74ec-985a-91b7de0bbd04</t>
        </is>
      </c>
      <c r="C263" s="5" t="inlineStr">
        <is>
          <t>01a1212c-4b57-70cf-80fd-c2192cb3bf81</t>
        </is>
      </c>
      <c r="D263" s="4" t="n">
        <v>46304.62415105381</v>
      </c>
      <c r="E263" s="4" t="n">
        <v>46304.62415105387</v>
      </c>
      <c r="F263" t="b">
        <v>1</v>
      </c>
      <c r="H263" t="inlineStr">
        <is>
          <t>2024-04-29 | PARCEL |  AMZN | 2.0000 unit</t>
        </is>
      </c>
      <c r="I263" s="5" t="inlineStr">
        <is>
          <t>01a1212c-7ef6-7117-bc9b-4c035bb0042a</t>
        </is>
      </c>
      <c r="J263" t="n">
        <v>2</v>
      </c>
      <c r="K263" t="n">
        <v>1</v>
      </c>
      <c r="L263" s="6" t="n">
        <v>45411</v>
      </c>
      <c r="O263" t="inlineStr">
        <is>
          <t>AMZN</t>
        </is>
      </c>
      <c r="P263" t="n">
        <v>2</v>
      </c>
      <c r="Q263" t="b">
        <v>0</v>
      </c>
      <c r="R263" t="inlineStr">
        <is>
          <t>AUD</t>
        </is>
      </c>
      <c r="S263" t="n">
        <v>3.75</v>
      </c>
      <c r="T263" t="inlineStr">
        <is>
          <t>AUD</t>
        </is>
      </c>
      <c r="U263" t="n">
        <v>550.38</v>
      </c>
      <c r="V263" t="inlineStr">
        <is>
          <t>AUD</t>
        </is>
      </c>
      <c r="W263" t="n">
        <v>275.19</v>
      </c>
      <c r="X263" t="n">
        <v/>
      </c>
    </row>
    <row r="264">
      <c r="A264" s="5" t="inlineStr">
        <is>
          <t>01a1212c-7f14-75f8-8ffb-196cb0bbed88</t>
        </is>
      </c>
      <c r="C264" s="5" t="inlineStr">
        <is>
          <t>01a1212c-4b57-70cf-80fd-c2192cb3bf81</t>
        </is>
      </c>
      <c r="D264" s="4" t="n">
        <v>46304.62415134903</v>
      </c>
      <c r="E264" s="4" t="n">
        <v>46304.62430479873</v>
      </c>
      <c r="F264" t="b">
        <v>1</v>
      </c>
      <c r="H264" t="inlineStr">
        <is>
          <t>2024-05-06 | PARCEL |  A200 | 7.0000 unit</t>
        </is>
      </c>
      <c r="I264" s="5" t="inlineStr">
        <is>
          <t>01a1212c-7f13-71ce-98a0-11bfdd90658b</t>
        </is>
      </c>
      <c r="J264" t="n">
        <v>7</v>
      </c>
      <c r="K264" t="n">
        <v>1</v>
      </c>
      <c r="L264" s="6" t="n">
        <v>45418</v>
      </c>
      <c r="O264" t="inlineStr">
        <is>
          <t>A200</t>
        </is>
      </c>
      <c r="P264" t="n">
        <v>7</v>
      </c>
      <c r="Q264" t="b">
        <v>0</v>
      </c>
      <c r="R264" t="inlineStr">
        <is>
          <t>AUD</t>
        </is>
      </c>
      <c r="S264" t="n">
        <v>1.357143</v>
      </c>
      <c r="T264" t="inlineStr">
        <is>
          <t>AUD</t>
        </is>
      </c>
      <c r="U264" t="n">
        <v>912.9367999999999</v>
      </c>
      <c r="V264" t="inlineStr">
        <is>
          <t>AUD</t>
        </is>
      </c>
      <c r="W264" t="n">
        <v>130.419543</v>
      </c>
      <c r="X264" t="n">
        <v/>
      </c>
    </row>
    <row r="265">
      <c r="A265" s="5" t="inlineStr">
        <is>
          <t>01a1212c-7f2c-75c9-9309-0af4d65f362e</t>
        </is>
      </c>
      <c r="C265" s="5" t="inlineStr">
        <is>
          <t>01a1212c-4b57-70cf-80fd-c2192cb3bf81</t>
        </is>
      </c>
      <c r="D265" s="4" t="n">
        <v>46304.62415163118</v>
      </c>
      <c r="E265" s="4" t="n">
        <v>46304.62431525977</v>
      </c>
      <c r="F265" t="b">
        <v>1</v>
      </c>
      <c r="H265" t="inlineStr">
        <is>
          <t>2024-05-06 | PARCEL |  VGS | 10.0000 unit</t>
        </is>
      </c>
      <c r="I265" s="5" t="inlineStr">
        <is>
          <t>01a1212c-7f2a-75e7-bcd1-b286cfaa138b</t>
        </is>
      </c>
      <c r="J265" t="n">
        <v>10</v>
      </c>
      <c r="K265" t="n">
        <v>1</v>
      </c>
      <c r="L265" s="6" t="n">
        <v>45418</v>
      </c>
      <c r="O265" t="inlineStr">
        <is>
          <t>VGS</t>
        </is>
      </c>
      <c r="P265" t="n">
        <v>10</v>
      </c>
      <c r="Q265" t="b">
        <v>0</v>
      </c>
      <c r="R265" t="inlineStr">
        <is>
          <t>AUD</t>
        </is>
      </c>
      <c r="S265" t="n">
        <v>0.95</v>
      </c>
      <c r="T265" t="inlineStr">
        <is>
          <t>AUD</t>
        </is>
      </c>
      <c r="U265" t="n">
        <v>1217.7639</v>
      </c>
      <c r="V265" t="inlineStr">
        <is>
          <t>AUD</t>
        </is>
      </c>
      <c r="W265" t="n">
        <v>121.77639</v>
      </c>
      <c r="X265" t="n">
        <v/>
      </c>
    </row>
    <row r="266">
      <c r="A266" s="5" t="inlineStr">
        <is>
          <t>01a1212c-7f4b-74ac-885c-dc25fc05e747</t>
        </is>
      </c>
      <c r="C266" s="5" t="inlineStr">
        <is>
          <t>01a1212c-4b57-70cf-80fd-c2192cb3bf81</t>
        </is>
      </c>
      <c r="D266" s="4" t="n">
        <v>46304.62415198323</v>
      </c>
      <c r="E266" s="4" t="n">
        <v>46304.62415198328</v>
      </c>
      <c r="F266" t="b">
        <v>1</v>
      </c>
      <c r="H266" t="inlineStr">
        <is>
          <t>2024-05-20 | PARCEL |  AMZN | 3.0000 unit</t>
        </is>
      </c>
      <c r="I266" s="5" t="inlineStr">
        <is>
          <t>01a1212c-7f48-7550-9e0f-85bb1e709e9f</t>
        </is>
      </c>
      <c r="J266" t="n">
        <v>3</v>
      </c>
      <c r="K266" t="n">
        <v>1</v>
      </c>
      <c r="L266" s="6" t="n">
        <v>45432</v>
      </c>
      <c r="O266" t="inlineStr">
        <is>
          <t>AMZN</t>
        </is>
      </c>
      <c r="P266" t="n">
        <v>3</v>
      </c>
      <c r="Q266" t="b">
        <v>0</v>
      </c>
      <c r="R266" t="inlineStr">
        <is>
          <t>AUD</t>
        </is>
      </c>
      <c r="S266" t="n">
        <v>2.5</v>
      </c>
      <c r="T266" t="inlineStr">
        <is>
          <t>AUD</t>
        </is>
      </c>
      <c r="U266" t="n">
        <v>833.4299999999999</v>
      </c>
      <c r="V266" t="inlineStr">
        <is>
          <t>AUD</t>
        </is>
      </c>
      <c r="W266" t="n">
        <v>277.81</v>
      </c>
      <c r="X266" t="n">
        <v/>
      </c>
    </row>
    <row r="267">
      <c r="A267" s="5" t="inlineStr">
        <is>
          <t>01a1212c-7f61-7533-8196-5477e4952cf6</t>
        </is>
      </c>
      <c r="C267" s="5" t="inlineStr">
        <is>
          <t>01a1212c-4b57-70cf-80fd-c2192cb3bf81</t>
        </is>
      </c>
      <c r="D267" s="4" t="n">
        <v>46304.62415223667</v>
      </c>
      <c r="E267" s="4" t="n">
        <v>46304.62430316095</v>
      </c>
      <c r="F267" t="b">
        <v>1</v>
      </c>
      <c r="H267" t="inlineStr">
        <is>
          <t>2024-06-03 | PARCEL |  A200 | 6.0000 unit</t>
        </is>
      </c>
      <c r="I267" s="5" t="inlineStr">
        <is>
          <t>01a1212c-7f5f-704a-8626-ebc0f10f8241</t>
        </is>
      </c>
      <c r="J267" t="n">
        <v>6</v>
      </c>
      <c r="K267" t="n">
        <v>1</v>
      </c>
      <c r="L267" s="6" t="n">
        <v>45446</v>
      </c>
      <c r="O267" t="inlineStr">
        <is>
          <t>A200</t>
        </is>
      </c>
      <c r="P267" t="n">
        <v>6</v>
      </c>
      <c r="Q267" t="b">
        <v>0</v>
      </c>
      <c r="R267" t="inlineStr">
        <is>
          <t>AUD</t>
        </is>
      </c>
      <c r="S267" t="n">
        <v>1.583333</v>
      </c>
      <c r="T267" t="inlineStr">
        <is>
          <t>AUD</t>
        </is>
      </c>
      <c r="U267" t="n">
        <v>795.2573</v>
      </c>
      <c r="V267" t="inlineStr">
        <is>
          <t>AUD</t>
        </is>
      </c>
      <c r="W267" t="n">
        <v>132.542883</v>
      </c>
      <c r="X267" t="n">
        <v/>
      </c>
    </row>
    <row r="268">
      <c r="A268" s="5" t="inlineStr">
        <is>
          <t>01a1212c-7f76-750b-8c82-933100b7cca2</t>
        </is>
      </c>
      <c r="C268" s="5" t="inlineStr">
        <is>
          <t>01a1212c-4b57-70cf-80fd-c2192cb3bf81</t>
        </is>
      </c>
      <c r="D268" s="4" t="n">
        <v>46304.62415248777</v>
      </c>
      <c r="E268" s="4" t="n">
        <v>46304.62431652245</v>
      </c>
      <c r="F268" t="b">
        <v>1</v>
      </c>
      <c r="H268" t="inlineStr">
        <is>
          <t>2024-06-03 | PARCEL |  VGS | 8.0000 unit</t>
        </is>
      </c>
      <c r="I268" s="5" t="inlineStr">
        <is>
          <t>01a1212c-7f75-7351-af67-27693688e9c5</t>
        </is>
      </c>
      <c r="J268" t="n">
        <v>8</v>
      </c>
      <c r="K268" t="n">
        <v>1</v>
      </c>
      <c r="L268" s="6" t="n">
        <v>45446</v>
      </c>
      <c r="O268" t="inlineStr">
        <is>
          <t>VGS</t>
        </is>
      </c>
      <c r="P268" t="n">
        <v>8</v>
      </c>
      <c r="Q268" t="b">
        <v>0</v>
      </c>
      <c r="R268" t="inlineStr">
        <is>
          <t>AUD</t>
        </is>
      </c>
      <c r="S268" t="n">
        <v>1.1875</v>
      </c>
      <c r="T268" t="inlineStr">
        <is>
          <t>AUD</t>
        </is>
      </c>
      <c r="U268" t="n">
        <v>1002.2825</v>
      </c>
      <c r="V268" t="inlineStr">
        <is>
          <t>AUD</t>
        </is>
      </c>
      <c r="W268" t="n">
        <v>125.285312</v>
      </c>
      <c r="X268" t="n">
        <v/>
      </c>
    </row>
    <row r="269">
      <c r="A269" s="5" t="inlineStr">
        <is>
          <t>01a1212c-7f8d-74e9-9145-5dfc237edf08</t>
        </is>
      </c>
      <c r="C269" s="5" t="inlineStr">
        <is>
          <t>01a1212c-4b57-70cf-80fd-c2192cb3bf81</t>
        </is>
      </c>
      <c r="D269" s="4" t="n">
        <v>46304.62415274844</v>
      </c>
      <c r="E269" s="4" t="n">
        <v>46304.6241527485</v>
      </c>
      <c r="F269" t="b">
        <v>1</v>
      </c>
      <c r="H269" t="inlineStr">
        <is>
          <t>2024-06-20 | PARCEL |  AAPL | 3.0000 unit</t>
        </is>
      </c>
      <c r="I269" s="5" t="inlineStr">
        <is>
          <t>01a1212c-7f8a-7748-a8d5-550ebd580924</t>
        </is>
      </c>
      <c r="J269" t="n">
        <v>3</v>
      </c>
      <c r="K269" t="n">
        <v>1</v>
      </c>
      <c r="L269" s="6" t="n">
        <v>45463</v>
      </c>
      <c r="O269" t="inlineStr">
        <is>
          <t>AAPL</t>
        </is>
      </c>
      <c r="P269" t="n">
        <v>3</v>
      </c>
      <c r="Q269" t="b">
        <v>0</v>
      </c>
      <c r="R269" t="inlineStr">
        <is>
          <t>AUD</t>
        </is>
      </c>
      <c r="S269" t="n">
        <v>2.5</v>
      </c>
      <c r="T269" t="inlineStr">
        <is>
          <t>AUD</t>
        </is>
      </c>
      <c r="U269" t="n">
        <v>951.0599999999999</v>
      </c>
      <c r="V269" t="inlineStr">
        <is>
          <t>AUD</t>
        </is>
      </c>
      <c r="W269" t="n">
        <v>317.02</v>
      </c>
      <c r="X269" t="n">
        <v/>
      </c>
    </row>
    <row r="270">
      <c r="A270" s="5" t="inlineStr">
        <is>
          <t>01a1212c-7fa4-7173-99b5-867d9d063b1f</t>
        </is>
      </c>
      <c r="C270" s="5" t="inlineStr">
        <is>
          <t>01a1212c-4b57-70cf-80fd-c2192cb3bf81</t>
        </is>
      </c>
      <c r="D270" s="4" t="n">
        <v>46304.62415301831</v>
      </c>
      <c r="E270" s="4" t="n">
        <v>46304.62430382086</v>
      </c>
      <c r="F270" t="b">
        <v>1</v>
      </c>
      <c r="H270" t="inlineStr">
        <is>
          <t>2024-07-02 | PARCEL |  A200 | 10.0000 unit</t>
        </is>
      </c>
      <c r="I270" s="5" t="inlineStr">
        <is>
          <t>01a1212c-7fa3-76cd-b0b0-84d966be0af6</t>
        </is>
      </c>
      <c r="J270" t="n">
        <v>10</v>
      </c>
      <c r="K270" t="n">
        <v>1</v>
      </c>
      <c r="L270" s="6" t="n">
        <v>45475</v>
      </c>
      <c r="O270" t="inlineStr">
        <is>
          <t>A200</t>
        </is>
      </c>
      <c r="P270" t="n">
        <v>10</v>
      </c>
      <c r="Q270" t="b">
        <v>0</v>
      </c>
      <c r="R270" t="inlineStr">
        <is>
          <t>AUD</t>
        </is>
      </c>
      <c r="S270" t="n">
        <v>0.95</v>
      </c>
      <c r="T270" t="inlineStr">
        <is>
          <t>AUD</t>
        </is>
      </c>
      <c r="U270" t="n">
        <v>1305.7573</v>
      </c>
      <c r="V270" t="inlineStr">
        <is>
          <t>AUD</t>
        </is>
      </c>
      <c r="W270" t="n">
        <v>130.57573</v>
      </c>
      <c r="X270" t="n">
        <v/>
      </c>
    </row>
    <row r="271">
      <c r="A271" s="5" t="inlineStr">
        <is>
          <t>01a1212c-7fbb-72bc-a78d-49a973132be2</t>
        </is>
      </c>
      <c r="C271" s="5" t="inlineStr">
        <is>
          <t>01a1212c-4b57-70cf-80fd-c2192cb3bf81</t>
        </is>
      </c>
      <c r="D271" s="4" t="n">
        <v>46304.62415328279</v>
      </c>
      <c r="E271" s="4" t="n">
        <v>46304.62431860378</v>
      </c>
      <c r="F271" t="b">
        <v>1</v>
      </c>
      <c r="H271" t="inlineStr">
        <is>
          <t>2024-07-02 | PARCEL |  VGS | 13.0000 unit</t>
        </is>
      </c>
      <c r="I271" s="5" t="inlineStr">
        <is>
          <t>01a1212c-7fba-7081-bccb-8f4e7301f47d</t>
        </is>
      </c>
      <c r="J271" t="n">
        <v>13</v>
      </c>
      <c r="K271" t="n">
        <v>1</v>
      </c>
      <c r="L271" s="6" t="n">
        <v>45475</v>
      </c>
      <c r="O271" t="inlineStr">
        <is>
          <t>VGS</t>
        </is>
      </c>
      <c r="P271" t="n">
        <v>13</v>
      </c>
      <c r="Q271" t="b">
        <v>0</v>
      </c>
      <c r="R271" t="inlineStr">
        <is>
          <t>AUD</t>
        </is>
      </c>
      <c r="S271" t="n">
        <v>0.730769</v>
      </c>
      <c r="T271" t="inlineStr">
        <is>
          <t>AUD</t>
        </is>
      </c>
      <c r="U271" t="n">
        <v>1621.7358</v>
      </c>
      <c r="V271" t="inlineStr">
        <is>
          <t>AUD</t>
        </is>
      </c>
      <c r="W271" t="n">
        <v>124.748908</v>
      </c>
      <c r="X271" t="n">
        <v/>
      </c>
    </row>
    <row r="272">
      <c r="A272" s="5" t="inlineStr">
        <is>
          <t>01a1212c-7fd2-7231-aacb-7904f54b1267</t>
        </is>
      </c>
      <c r="C272" s="5" t="inlineStr">
        <is>
          <t>01a1212c-4b57-70cf-80fd-c2192cb3bf81</t>
        </is>
      </c>
      <c r="D272" s="4" t="n">
        <v>46304.6241535445</v>
      </c>
      <c r="E272" s="4" t="n">
        <v>46304.62430588873</v>
      </c>
      <c r="F272" t="b">
        <v>1</v>
      </c>
      <c r="H272" t="inlineStr">
        <is>
          <t>2024-08-05 | PARCEL |  A200 | 7.0000 unit</t>
        </is>
      </c>
      <c r="I272" s="5" t="inlineStr">
        <is>
          <t>01a1212c-7fd0-71e8-bd87-62ba868a4fa6</t>
        </is>
      </c>
      <c r="J272" t="n">
        <v>7</v>
      </c>
      <c r="K272" t="n">
        <v>1</v>
      </c>
      <c r="L272" s="6" t="n">
        <v>45509</v>
      </c>
      <c r="O272" t="inlineStr">
        <is>
          <t>A200</t>
        </is>
      </c>
      <c r="P272" t="n">
        <v>7</v>
      </c>
      <c r="Q272" t="b">
        <v>0</v>
      </c>
      <c r="R272" t="inlineStr">
        <is>
          <t>AUD</t>
        </is>
      </c>
      <c r="S272" t="n">
        <v>1.357143</v>
      </c>
      <c r="T272" t="inlineStr">
        <is>
          <t>AUD</t>
        </is>
      </c>
      <c r="U272" t="n">
        <v>909.0137</v>
      </c>
      <c r="V272" t="inlineStr">
        <is>
          <t>AUD</t>
        </is>
      </c>
      <c r="W272" t="n">
        <v>129.8591</v>
      </c>
      <c r="X272" t="n">
        <v/>
      </c>
    </row>
    <row r="273">
      <c r="A273" s="5" t="inlineStr">
        <is>
          <t>01a1212c-7fe7-724d-8a89-076f1a271cfd</t>
        </is>
      </c>
      <c r="C273" s="5" t="inlineStr">
        <is>
          <t>01a1212c-4b57-70cf-80fd-c2192cb3bf81</t>
        </is>
      </c>
      <c r="D273" s="4" t="n">
        <v>46304.62415379639</v>
      </c>
      <c r="E273" s="4" t="n">
        <v>46304.62431802971</v>
      </c>
      <c r="F273" t="b">
        <v>1</v>
      </c>
      <c r="H273" t="inlineStr">
        <is>
          <t>2024-08-05 | PARCEL |  VGS | 9.0000 unit</t>
        </is>
      </c>
      <c r="I273" s="5" t="inlineStr">
        <is>
          <t>01a1212c-7fe6-760d-8606-eb99dd1bbcc7</t>
        </is>
      </c>
      <c r="J273" t="n">
        <v>9</v>
      </c>
      <c r="K273" t="n">
        <v>1</v>
      </c>
      <c r="L273" s="6" t="n">
        <v>45509</v>
      </c>
      <c r="O273" t="inlineStr">
        <is>
          <t>VGS</t>
        </is>
      </c>
      <c r="P273" t="n">
        <v>9</v>
      </c>
      <c r="Q273" t="b">
        <v>0</v>
      </c>
      <c r="R273" t="inlineStr">
        <is>
          <t>AUD</t>
        </is>
      </c>
      <c r="S273" t="n">
        <v>1.055556</v>
      </c>
      <c r="T273" t="inlineStr">
        <is>
          <t>AUD</t>
        </is>
      </c>
      <c r="U273" t="n">
        <v>1107.5978</v>
      </c>
      <c r="V273" t="inlineStr">
        <is>
          <t>AUD</t>
        </is>
      </c>
      <c r="W273" t="n">
        <v>123.066422</v>
      </c>
      <c r="X273" t="n">
        <v/>
      </c>
    </row>
    <row r="274">
      <c r="A274" s="5" t="inlineStr">
        <is>
          <t>01a1212c-7ffd-75da-ba2d-0ae9777055b3</t>
        </is>
      </c>
      <c r="C274" s="5" t="inlineStr">
        <is>
          <t>01a1212c-4b57-70cf-80fd-c2192cb3bf81</t>
        </is>
      </c>
      <c r="D274" s="4" t="n">
        <v>46304.62415405214</v>
      </c>
      <c r="E274" s="4" t="n">
        <v>46304.62430299388</v>
      </c>
      <c r="F274" t="b">
        <v>1</v>
      </c>
      <c r="H274" t="inlineStr">
        <is>
          <t>2024-09-06 | PARCEL |  A200 | 5.0000 unit</t>
        </is>
      </c>
      <c r="I274" s="5" t="inlineStr">
        <is>
          <t>01a1212c-7ffc-70ef-aa8d-ba401aabf1cc</t>
        </is>
      </c>
      <c r="J274" t="n">
        <v>5</v>
      </c>
      <c r="K274" t="n">
        <v>1</v>
      </c>
      <c r="L274" s="6" t="n">
        <v>45541</v>
      </c>
      <c r="O274" t="inlineStr">
        <is>
          <t>A200</t>
        </is>
      </c>
      <c r="P274" t="n">
        <v>5</v>
      </c>
      <c r="Q274" t="b">
        <v>0</v>
      </c>
      <c r="R274" t="inlineStr">
        <is>
          <t>AUD</t>
        </is>
      </c>
      <c r="S274" t="n">
        <v>1.9</v>
      </c>
      <c r="T274" t="inlineStr">
        <is>
          <t>AUD</t>
        </is>
      </c>
      <c r="U274" t="n">
        <v>686.8009</v>
      </c>
      <c r="V274" t="inlineStr">
        <is>
          <t>AUD</t>
        </is>
      </c>
      <c r="W274" t="n">
        <v>137.36018</v>
      </c>
      <c r="X274" t="n">
        <v/>
      </c>
    </row>
    <row r="275">
      <c r="A275" s="5" t="inlineStr">
        <is>
          <t>01a1212c-8013-700d-9ef5-c42363865635</t>
        </is>
      </c>
      <c r="C275" s="5" t="inlineStr">
        <is>
          <t>01a1212c-4b57-70cf-80fd-c2192cb3bf81</t>
        </is>
      </c>
      <c r="D275" s="4" t="n">
        <v>46304.62415429681</v>
      </c>
      <c r="E275" s="4" t="n">
        <v>46304.62431583585</v>
      </c>
      <c r="F275" t="b">
        <v>1</v>
      </c>
      <c r="H275" t="inlineStr">
        <is>
          <t>2024-09-06 | PARCEL |  VGS | 6.0000 unit</t>
        </is>
      </c>
      <c r="I275" s="5" t="inlineStr">
        <is>
          <t>01a1212c-8011-721f-9150-4abde0b91ec3</t>
        </is>
      </c>
      <c r="J275" t="n">
        <v>6</v>
      </c>
      <c r="K275" t="n">
        <v>1</v>
      </c>
      <c r="L275" s="6" t="n">
        <v>45541</v>
      </c>
      <c r="O275" t="inlineStr">
        <is>
          <t>VGS</t>
        </is>
      </c>
      <c r="P275" t="n">
        <v>6</v>
      </c>
      <c r="Q275" t="b">
        <v>0</v>
      </c>
      <c r="R275" t="inlineStr">
        <is>
          <t>AUD</t>
        </is>
      </c>
      <c r="S275" t="n">
        <v>1.583333</v>
      </c>
      <c r="T275" t="inlineStr">
        <is>
          <t>AUD</t>
        </is>
      </c>
      <c r="U275" t="n">
        <v>754.3147</v>
      </c>
      <c r="V275" t="inlineStr">
        <is>
          <t>AUD</t>
        </is>
      </c>
      <c r="W275" t="n">
        <v>125.719117</v>
      </c>
      <c r="X275" t="n">
        <v/>
      </c>
    </row>
    <row r="276">
      <c r="A276" s="5" t="inlineStr">
        <is>
          <t>01a1212c-8028-745b-b530-f777d34a50a3</t>
        </is>
      </c>
      <c r="C276" s="5" t="inlineStr">
        <is>
          <t>01a1212c-4b57-70cf-80fd-c2192cb3bf81</t>
        </is>
      </c>
      <c r="D276" s="4" t="n">
        <v>46304.62415454472</v>
      </c>
      <c r="E276" s="4" t="n">
        <v>46304.62430496118</v>
      </c>
      <c r="F276" t="b">
        <v>1</v>
      </c>
      <c r="H276" t="inlineStr">
        <is>
          <t>2024-10-07 | PARCEL |  A200 | 6.0000 unit</t>
        </is>
      </c>
      <c r="I276" s="5" t="inlineStr">
        <is>
          <t>01a1212c-8027-71d0-aa64-e867630d627a</t>
        </is>
      </c>
      <c r="J276" t="n">
        <v>6</v>
      </c>
      <c r="K276" t="n">
        <v>1</v>
      </c>
      <c r="L276" s="6" t="n">
        <v>45572</v>
      </c>
      <c r="O276" t="inlineStr">
        <is>
          <t>A200</t>
        </is>
      </c>
      <c r="P276" t="n">
        <v>6</v>
      </c>
      <c r="Q276" t="b">
        <v>0</v>
      </c>
      <c r="R276" t="inlineStr">
        <is>
          <t>AUD</t>
        </is>
      </c>
      <c r="S276" t="n">
        <v>1.583333</v>
      </c>
      <c r="T276" t="inlineStr">
        <is>
          <t>AUD</t>
        </is>
      </c>
      <c r="U276" t="n">
        <v>837.1963</v>
      </c>
      <c r="V276" t="inlineStr">
        <is>
          <t>AUD</t>
        </is>
      </c>
      <c r="W276" t="n">
        <v>139.532717</v>
      </c>
      <c r="X276" t="n">
        <v/>
      </c>
    </row>
    <row r="277">
      <c r="A277" s="5" t="inlineStr">
        <is>
          <t>01a1212c-803e-75cd-9153-4043ba44d097</t>
        </is>
      </c>
      <c r="C277" s="5" t="inlineStr">
        <is>
          <t>01a1212c-4b57-70cf-80fd-c2192cb3bf81</t>
        </is>
      </c>
      <c r="D277" s="4" t="n">
        <v>46304.62415479993</v>
      </c>
      <c r="E277" s="4" t="n">
        <v>46304.62431668382</v>
      </c>
      <c r="F277" t="b">
        <v>1</v>
      </c>
      <c r="H277" t="inlineStr">
        <is>
          <t>2024-10-07 | PARCEL |  VGS | 8.0000 unit</t>
        </is>
      </c>
      <c r="I277" s="5" t="inlineStr">
        <is>
          <t>01a1212c-803d-7353-a9f7-0cc6a15af790</t>
        </is>
      </c>
      <c r="J277" t="n">
        <v>8</v>
      </c>
      <c r="K277" t="n">
        <v>1</v>
      </c>
      <c r="L277" s="6" t="n">
        <v>45572</v>
      </c>
      <c r="O277" t="inlineStr">
        <is>
          <t>VGS</t>
        </is>
      </c>
      <c r="P277" t="n">
        <v>8</v>
      </c>
      <c r="Q277" t="b">
        <v>0</v>
      </c>
      <c r="R277" t="inlineStr">
        <is>
          <t>AUD</t>
        </is>
      </c>
      <c r="S277" t="n">
        <v>1.1875</v>
      </c>
      <c r="T277" t="inlineStr">
        <is>
          <t>AUD</t>
        </is>
      </c>
      <c r="U277" t="n">
        <v>1028.3144</v>
      </c>
      <c r="V277" t="inlineStr">
        <is>
          <t>AUD</t>
        </is>
      </c>
      <c r="W277" t="n">
        <v>128.5393</v>
      </c>
      <c r="X277" t="n">
        <v/>
      </c>
    </row>
    <row r="278">
      <c r="A278" s="5" t="inlineStr">
        <is>
          <t>01a1212c-8054-7378-8841-54bfa8d8dc2e</t>
        </is>
      </c>
      <c r="C278" s="5" t="inlineStr">
        <is>
          <t>01a1212c-4b57-70cf-80fd-c2192cb3bf81</t>
        </is>
      </c>
      <c r="D278" s="4" t="n">
        <v>46304.6241550536</v>
      </c>
      <c r="E278" s="4" t="n">
        <v>46304.62430580775</v>
      </c>
      <c r="F278" t="b">
        <v>1</v>
      </c>
      <c r="H278" t="inlineStr">
        <is>
          <t>2024-11-04 | PARCEL |  A200 | 10.0000 unit</t>
        </is>
      </c>
      <c r="I278" s="5" t="inlineStr">
        <is>
          <t>01a1212c-8053-70f3-ade5-a64703aff997</t>
        </is>
      </c>
      <c r="J278" t="n">
        <v>10</v>
      </c>
      <c r="K278" t="n">
        <v>1</v>
      </c>
      <c r="L278" s="6" t="n">
        <v>45600</v>
      </c>
      <c r="O278" t="inlineStr">
        <is>
          <t>A200</t>
        </is>
      </c>
      <c r="P278" t="n">
        <v>10</v>
      </c>
      <c r="Q278" t="b">
        <v>0</v>
      </c>
      <c r="R278" t="inlineStr">
        <is>
          <t>AUD</t>
        </is>
      </c>
      <c r="S278" t="n">
        <v>0.95</v>
      </c>
      <c r="T278" t="inlineStr">
        <is>
          <t>AUD</t>
        </is>
      </c>
      <c r="U278" t="n">
        <v>1382.1158</v>
      </c>
      <c r="V278" t="inlineStr">
        <is>
          <t>AUD</t>
        </is>
      </c>
      <c r="W278" t="n">
        <v>138.21158</v>
      </c>
      <c r="X278" t="n">
        <v/>
      </c>
    </row>
    <row r="279">
      <c r="A279" s="5" t="inlineStr">
        <is>
          <t>01a1212c-806b-73e3-b04e-830d52655dcb</t>
        </is>
      </c>
      <c r="C279" s="5" t="inlineStr">
        <is>
          <t>01a1212c-4b57-70cf-80fd-c2192cb3bf81</t>
        </is>
      </c>
      <c r="D279" s="4" t="n">
        <v>46304.62415531812</v>
      </c>
      <c r="E279" s="4" t="n">
        <v>46304.62426974711</v>
      </c>
      <c r="F279" t="b">
        <v>1</v>
      </c>
      <c r="H279" t="inlineStr">
        <is>
          <t>2024-11-04 | PARCEL |  MSFT | 2.0000 unit</t>
        </is>
      </c>
      <c r="I279" s="5" t="inlineStr">
        <is>
          <t>01a1212c-8068-7650-b39f-055fd505ed79</t>
        </is>
      </c>
      <c r="J279" t="n">
        <v>2</v>
      </c>
      <c r="K279" t="n">
        <v>1</v>
      </c>
      <c r="L279" s="6" t="n">
        <v>45600</v>
      </c>
      <c r="N279" s="6" t="n">
        <v>45608</v>
      </c>
      <c r="O279" t="inlineStr">
        <is>
          <t>MSFT</t>
        </is>
      </c>
      <c r="P279" t="n">
        <v>0</v>
      </c>
      <c r="Q279" t="b">
        <v>1</v>
      </c>
      <c r="R279" t="inlineStr">
        <is>
          <t>AUD</t>
        </is>
      </c>
      <c r="S279" t="n">
        <v>3.75</v>
      </c>
      <c r="T279" t="inlineStr">
        <is>
          <t>AUD</t>
        </is>
      </c>
      <c r="U279" t="n">
        <v>1232.88</v>
      </c>
      <c r="V279" t="inlineStr">
        <is>
          <t>AUD</t>
        </is>
      </c>
      <c r="W279" t="n">
        <v>616.4400000000001</v>
      </c>
      <c r="X279" t="n">
        <v/>
      </c>
    </row>
    <row r="280">
      <c r="A280" s="5" t="inlineStr">
        <is>
          <t>01a1212c-8081-7236-9494-69a5fc9bb481</t>
        </is>
      </c>
      <c r="C280" s="5" t="inlineStr">
        <is>
          <t>01a1212c-4b57-70cf-80fd-c2192cb3bf81</t>
        </is>
      </c>
      <c r="D280" s="4" t="n">
        <v>46304.62415556903</v>
      </c>
      <c r="E280" s="4" t="n">
        <v>46304.62431490037</v>
      </c>
      <c r="F280" t="b">
        <v>1</v>
      </c>
      <c r="H280" t="inlineStr">
        <is>
          <t>2024-11-04 | PARCEL |  VGS | 13.0000 unit</t>
        </is>
      </c>
      <c r="I280" s="5" t="inlineStr">
        <is>
          <t>01a1212c-807f-7147-a9a1-f4cfbdbef33c</t>
        </is>
      </c>
      <c r="J280" t="n">
        <v>13</v>
      </c>
      <c r="K280" t="n">
        <v>1</v>
      </c>
      <c r="L280" s="6" t="n">
        <v>45600</v>
      </c>
      <c r="O280" t="inlineStr">
        <is>
          <t>VGS</t>
        </is>
      </c>
      <c r="P280" t="n">
        <v>13</v>
      </c>
      <c r="Q280" t="b">
        <v>0</v>
      </c>
      <c r="R280" t="inlineStr">
        <is>
          <t>AUD</t>
        </is>
      </c>
      <c r="S280" t="n">
        <v>0.730769</v>
      </c>
      <c r="T280" t="inlineStr">
        <is>
          <t>AUD</t>
        </is>
      </c>
      <c r="U280" t="n">
        <v>1701.4644</v>
      </c>
      <c r="V280" t="inlineStr">
        <is>
          <t>AUD</t>
        </is>
      </c>
      <c r="W280" t="n">
        <v>130.881877</v>
      </c>
      <c r="X280" t="n">
        <v/>
      </c>
    </row>
    <row r="281">
      <c r="A281" s="5" t="inlineStr">
        <is>
          <t>01a1212c-8096-75b4-a199-17279e0a51df</t>
        </is>
      </c>
      <c r="C281" s="5" t="inlineStr">
        <is>
          <t>01a1212c-4b57-70cf-80fd-c2192cb3bf81</t>
        </is>
      </c>
      <c r="D281" s="4" t="n">
        <v>46304.62415581728</v>
      </c>
      <c r="E281" s="4" t="n">
        <v>46304.62430500535</v>
      </c>
      <c r="F281" t="b">
        <v>1</v>
      </c>
      <c r="H281" t="inlineStr">
        <is>
          <t>2024-12-04 | PARCEL |  A200 | 7.0000 unit</t>
        </is>
      </c>
      <c r="I281" s="5" t="inlineStr">
        <is>
          <t>01a1212c-8095-77dc-8ed0-bad4b2b5f322</t>
        </is>
      </c>
      <c r="J281" t="n">
        <v>7</v>
      </c>
      <c r="K281" t="n">
        <v>1</v>
      </c>
      <c r="L281" s="6" t="n">
        <v>45630</v>
      </c>
      <c r="O281" t="inlineStr">
        <is>
          <t>A200</t>
        </is>
      </c>
      <c r="P281" t="n">
        <v>7</v>
      </c>
      <c r="Q281" t="b">
        <v>0</v>
      </c>
      <c r="R281" t="inlineStr">
        <is>
          <t>AUD</t>
        </is>
      </c>
      <c r="S281" t="n">
        <v>1.357143</v>
      </c>
      <c r="T281" t="inlineStr">
        <is>
          <t>AUD</t>
        </is>
      </c>
      <c r="U281" t="n">
        <v>1007.8525</v>
      </c>
      <c r="V281" t="inlineStr">
        <is>
          <t>AUD</t>
        </is>
      </c>
      <c r="W281" t="n">
        <v>143.978929</v>
      </c>
      <c r="X281" t="n">
        <v/>
      </c>
    </row>
    <row r="282">
      <c r="A282" s="5" t="inlineStr">
        <is>
          <t>01a1212c-80ab-7143-8f0c-20e785d1552f</t>
        </is>
      </c>
      <c r="C282" s="5" t="inlineStr">
        <is>
          <t>01a1212c-4b57-70cf-80fd-c2192cb3bf81</t>
        </is>
      </c>
      <c r="D282" s="4" t="n">
        <v>46304.62415606454</v>
      </c>
      <c r="E282" s="4" t="n">
        <v>46304.62431749629</v>
      </c>
      <c r="F282" t="b">
        <v>1</v>
      </c>
      <c r="H282" t="inlineStr">
        <is>
          <t>2024-12-04 | PARCEL |  VGS | 9.0000 unit</t>
        </is>
      </c>
      <c r="I282" s="5" t="inlineStr">
        <is>
          <t>01a1212c-80aa-74e7-afd8-bbaa36411269</t>
        </is>
      </c>
      <c r="J282" t="n">
        <v>9</v>
      </c>
      <c r="K282" t="n">
        <v>1</v>
      </c>
      <c r="L282" s="6" t="n">
        <v>45630</v>
      </c>
      <c r="O282" t="inlineStr">
        <is>
          <t>VGS</t>
        </is>
      </c>
      <c r="P282" t="n">
        <v>9</v>
      </c>
      <c r="Q282" t="b">
        <v>0</v>
      </c>
      <c r="R282" t="inlineStr">
        <is>
          <t>AUD</t>
        </is>
      </c>
      <c r="S282" t="n">
        <v>1.055556</v>
      </c>
      <c r="T282" t="inlineStr">
        <is>
          <t>AUD</t>
        </is>
      </c>
      <c r="U282" t="n">
        <v>1264.894</v>
      </c>
      <c r="V282" t="inlineStr">
        <is>
          <t>AUD</t>
        </is>
      </c>
      <c r="W282" t="n">
        <v>140.543778</v>
      </c>
      <c r="X282" t="n">
        <v/>
      </c>
    </row>
    <row r="283">
      <c r="A283" s="5" t="inlineStr">
        <is>
          <t>01a1212c-80c2-70e0-a4e0-c45bebc4f530</t>
        </is>
      </c>
      <c r="C283" s="5" t="inlineStr">
        <is>
          <t>01a1212c-4b57-70cf-80fd-c2192cb3bf81</t>
        </is>
      </c>
      <c r="D283" s="4" t="n">
        <v>46304.62415632355</v>
      </c>
      <c r="E283" s="4" t="n">
        <v>46304.62415632361</v>
      </c>
      <c r="F283" t="b">
        <v>1</v>
      </c>
      <c r="H283" t="inlineStr">
        <is>
          <t>2024-12-09 | PARCEL |  AMZN | 2.0000 unit</t>
        </is>
      </c>
      <c r="I283" s="5" t="inlineStr">
        <is>
          <t>01a1212c-80bf-7358-bbc6-f300461ec881</t>
        </is>
      </c>
      <c r="J283" t="n">
        <v>2</v>
      </c>
      <c r="K283" t="n">
        <v>1</v>
      </c>
      <c r="L283" s="6" t="n">
        <v>45635</v>
      </c>
      <c r="O283" t="inlineStr">
        <is>
          <t>AMZN</t>
        </is>
      </c>
      <c r="P283" t="n">
        <v>2</v>
      </c>
      <c r="Q283" t="b">
        <v>0</v>
      </c>
      <c r="R283" t="inlineStr">
        <is>
          <t>AUD</t>
        </is>
      </c>
      <c r="S283" t="n">
        <v>3.75</v>
      </c>
      <c r="T283" t="inlineStr">
        <is>
          <t>AUD</t>
        </is>
      </c>
      <c r="U283" t="n">
        <v>685.77</v>
      </c>
      <c r="V283" t="inlineStr">
        <is>
          <t>AUD</t>
        </is>
      </c>
      <c r="W283" t="n">
        <v>342.885</v>
      </c>
      <c r="X283" t="n">
        <v/>
      </c>
    </row>
    <row r="284">
      <c r="A284" s="5" t="inlineStr">
        <is>
          <t>01a1212c-80d9-7407-9602-ba6eff3b2ecb</t>
        </is>
      </c>
      <c r="C284" s="5" t="inlineStr">
        <is>
          <t>01a1212c-4b57-70cf-80fd-c2192cb3bf81</t>
        </is>
      </c>
      <c r="D284" s="4" t="n">
        <v>46304.62415659193</v>
      </c>
      <c r="E284" s="4" t="n">
        <v>46304.62415659199</v>
      </c>
      <c r="F284" t="b">
        <v>1</v>
      </c>
      <c r="H284" t="inlineStr">
        <is>
          <t>2024-12-09 | PARCEL |  MSFT | 1.0000 unit</t>
        </is>
      </c>
      <c r="I284" s="5" t="inlineStr">
        <is>
          <t>01a1212c-80d7-751c-816a-f91f737bf8a7</t>
        </is>
      </c>
      <c r="J284" t="n">
        <v>1</v>
      </c>
      <c r="K284" t="n">
        <v>1</v>
      </c>
      <c r="L284" s="6" t="n">
        <v>45635</v>
      </c>
      <c r="O284" t="inlineStr">
        <is>
          <t>MSFT</t>
        </is>
      </c>
      <c r="P284" t="n">
        <v>1</v>
      </c>
      <c r="Q284" t="b">
        <v>0</v>
      </c>
      <c r="R284" t="inlineStr">
        <is>
          <t>AUD</t>
        </is>
      </c>
      <c r="S284" t="n">
        <v>7.5</v>
      </c>
      <c r="T284" t="inlineStr">
        <is>
          <t>AUD</t>
        </is>
      </c>
      <c r="U284" t="n">
        <v>676.53</v>
      </c>
      <c r="V284" t="inlineStr">
        <is>
          <t>AUD</t>
        </is>
      </c>
      <c r="W284" t="n">
        <v>676.53</v>
      </c>
      <c r="X284" t="n">
        <v/>
      </c>
    </row>
    <row r="285">
      <c r="A285" s="5" t="inlineStr">
        <is>
          <t>01a1212c-80f0-744b-a890-3949f0d14d87</t>
        </is>
      </c>
      <c r="C285" s="5" t="inlineStr">
        <is>
          <t>01a1212c-4b57-70cf-80fd-c2192cb3bf81</t>
        </is>
      </c>
      <c r="D285" s="4" t="n">
        <v>46304.62415685657</v>
      </c>
      <c r="E285" s="4" t="n">
        <v>46304.62430563633</v>
      </c>
      <c r="F285" t="b">
        <v>1</v>
      </c>
      <c r="H285" t="inlineStr">
        <is>
          <t>2025-01-06 | PARCEL |  A200 | 5.0000 unit</t>
        </is>
      </c>
      <c r="I285" s="5" t="inlineStr">
        <is>
          <t>01a1212c-80ef-76ee-a826-fc5322c25fd5</t>
        </is>
      </c>
      <c r="J285" t="n">
        <v>5</v>
      </c>
      <c r="K285" t="n">
        <v>1</v>
      </c>
      <c r="L285" s="6" t="n">
        <v>45663</v>
      </c>
      <c r="O285" t="inlineStr">
        <is>
          <t>A200</t>
        </is>
      </c>
      <c r="P285" t="n">
        <v>5</v>
      </c>
      <c r="Q285" t="b">
        <v>0</v>
      </c>
      <c r="R285" t="inlineStr">
        <is>
          <t>AUD</t>
        </is>
      </c>
      <c r="S285" t="n">
        <v>1.9</v>
      </c>
      <c r="T285" t="inlineStr">
        <is>
          <t>AUD</t>
        </is>
      </c>
      <c r="U285" t="n">
        <v>699.495</v>
      </c>
      <c r="V285" t="inlineStr">
        <is>
          <t>AUD</t>
        </is>
      </c>
      <c r="W285" t="n">
        <v>139.899</v>
      </c>
      <c r="X285" t="n">
        <v/>
      </c>
    </row>
    <row r="286">
      <c r="A286" s="5" t="inlineStr">
        <is>
          <t>01a1212c-8106-7659-9535-a5011aae9303</t>
        </is>
      </c>
      <c r="C286" s="5" t="inlineStr">
        <is>
          <t>01a1212c-4b57-70cf-80fd-c2192cb3bf81</t>
        </is>
      </c>
      <c r="D286" s="4" t="n">
        <v>46304.62415711091</v>
      </c>
      <c r="E286" s="4" t="n">
        <v>46304.62431888976</v>
      </c>
      <c r="F286" t="b">
        <v>1</v>
      </c>
      <c r="H286" t="inlineStr">
        <is>
          <t>2025-01-06 | PARCEL |  VGS | 6.0000 unit</t>
        </is>
      </c>
      <c r="I286" s="5" t="inlineStr">
        <is>
          <t>01a1212c-8104-721f-b07b-d817aed45cbb</t>
        </is>
      </c>
      <c r="J286" t="n">
        <v>6</v>
      </c>
      <c r="K286" t="n">
        <v>1</v>
      </c>
      <c r="L286" s="6" t="n">
        <v>45663</v>
      </c>
      <c r="O286" t="inlineStr">
        <is>
          <t>VGS</t>
        </is>
      </c>
      <c r="P286" t="n">
        <v>6</v>
      </c>
      <c r="Q286" t="b">
        <v>0</v>
      </c>
      <c r="R286" t="inlineStr">
        <is>
          <t>AUD</t>
        </is>
      </c>
      <c r="S286" t="n">
        <v>1.583333</v>
      </c>
      <c r="T286" t="inlineStr">
        <is>
          <t>AUD</t>
        </is>
      </c>
      <c r="U286" t="n">
        <v>851.4323000000001</v>
      </c>
      <c r="V286" t="inlineStr">
        <is>
          <t>AUD</t>
        </is>
      </c>
      <c r="W286" t="n">
        <v>141.905383</v>
      </c>
      <c r="X286" t="n">
        <v/>
      </c>
    </row>
    <row r="287">
      <c r="A287" s="5" t="inlineStr">
        <is>
          <t>01a1212c-811c-7548-8cd1-9aeba16d6df0</t>
        </is>
      </c>
      <c r="C287" s="5" t="inlineStr">
        <is>
          <t>01a1212c-4b57-70cf-80fd-c2192cb3bf81</t>
        </is>
      </c>
      <c r="D287" s="4" t="n">
        <v>46304.6241573675</v>
      </c>
      <c r="E287" s="4" t="n">
        <v>46304.62430214134</v>
      </c>
      <c r="F287" t="b">
        <v>1</v>
      </c>
      <c r="H287" t="inlineStr">
        <is>
          <t>2025-02-03 | PARCEL |  A200 | 6.0000 unit</t>
        </is>
      </c>
      <c r="I287" s="5" t="inlineStr">
        <is>
          <t>01a1212c-811b-70df-a4fa-efcc1f216056</t>
        </is>
      </c>
      <c r="J287" t="n">
        <v>6</v>
      </c>
      <c r="K287" t="n">
        <v>1</v>
      </c>
      <c r="L287" s="6" t="n">
        <v>45691</v>
      </c>
      <c r="O287" t="inlineStr">
        <is>
          <t>A200</t>
        </is>
      </c>
      <c r="P287" t="n">
        <v>6</v>
      </c>
      <c r="Q287" t="b">
        <v>0</v>
      </c>
      <c r="R287" t="inlineStr">
        <is>
          <t>AUD</t>
        </is>
      </c>
      <c r="S287" t="n">
        <v>1.583333</v>
      </c>
      <c r="T287" t="inlineStr">
        <is>
          <t>AUD</t>
        </is>
      </c>
      <c r="U287" t="n">
        <v>849.2071999999999</v>
      </c>
      <c r="V287" t="inlineStr">
        <is>
          <t>AUD</t>
        </is>
      </c>
      <c r="W287" t="n">
        <v>141.534533</v>
      </c>
      <c r="X287" t="n">
        <v/>
      </c>
    </row>
    <row r="288">
      <c r="A288" s="5" t="inlineStr">
        <is>
          <t>01a1212c-8132-7112-9580-f3f901374736</t>
        </is>
      </c>
      <c r="C288" s="5" t="inlineStr">
        <is>
          <t>01a1212c-4b57-70cf-80fd-c2192cb3bf81</t>
        </is>
      </c>
      <c r="D288" s="4" t="n">
        <v>46304.62415761747</v>
      </c>
      <c r="E288" s="4" t="n">
        <v>46304.62431876508</v>
      </c>
      <c r="F288" t="b">
        <v>1</v>
      </c>
      <c r="H288" t="inlineStr">
        <is>
          <t>2025-02-03 | PARCEL |  VGS | 7.0000 unit</t>
        </is>
      </c>
      <c r="I288" s="5" t="inlineStr">
        <is>
          <t>01a1212c-8130-7134-9882-2e3c8daf93de</t>
        </is>
      </c>
      <c r="J288" t="n">
        <v>7</v>
      </c>
      <c r="K288" t="n">
        <v>1</v>
      </c>
      <c r="L288" s="6" t="n">
        <v>45691</v>
      </c>
      <c r="O288" t="inlineStr">
        <is>
          <t>VGS</t>
        </is>
      </c>
      <c r="P288" t="n">
        <v>7</v>
      </c>
      <c r="Q288" t="b">
        <v>0</v>
      </c>
      <c r="R288" t="inlineStr">
        <is>
          <t>AUD</t>
        </is>
      </c>
      <c r="S288" t="n">
        <v>1.357143</v>
      </c>
      <c r="T288" t="inlineStr">
        <is>
          <t>AUD</t>
        </is>
      </c>
      <c r="U288" t="n">
        <v>1009.2494</v>
      </c>
      <c r="V288" t="inlineStr">
        <is>
          <t>AUD</t>
        </is>
      </c>
      <c r="W288" t="n">
        <v>144.178486</v>
      </c>
      <c r="X288" t="n">
        <v/>
      </c>
    </row>
    <row r="289">
      <c r="A289" s="5" t="inlineStr">
        <is>
          <t>01a1212c-8148-73bb-ab33-071c0312bd35</t>
        </is>
      </c>
      <c r="C289" s="5" t="inlineStr">
        <is>
          <t>01a1212c-4b57-70cf-80fd-c2192cb3bf81</t>
        </is>
      </c>
      <c r="D289" s="4" t="n">
        <v>46304.62415788072</v>
      </c>
      <c r="E289" s="4" t="n">
        <v>46304.62415788077</v>
      </c>
      <c r="F289" t="b">
        <v>1</v>
      </c>
      <c r="H289" t="inlineStr">
        <is>
          <t>2025-02-14 | PARCEL |  AAPL | 2.0000 unit</t>
        </is>
      </c>
      <c r="I289" s="5" t="inlineStr">
        <is>
          <t>01a1212c-8146-724f-abfb-c1393f08f2cd</t>
        </is>
      </c>
      <c r="J289" t="n">
        <v>2</v>
      </c>
      <c r="K289" t="n">
        <v>1</v>
      </c>
      <c r="L289" s="6" t="n">
        <v>45702</v>
      </c>
      <c r="O289" t="inlineStr">
        <is>
          <t>AAPL</t>
        </is>
      </c>
      <c r="P289" t="n">
        <v>2</v>
      </c>
      <c r="Q289" t="b">
        <v>0</v>
      </c>
      <c r="R289" t="inlineStr">
        <is>
          <t>AUD</t>
        </is>
      </c>
      <c r="S289" t="n">
        <v>3.75</v>
      </c>
      <c r="T289" t="inlineStr">
        <is>
          <t>AUD</t>
        </is>
      </c>
      <c r="U289" t="n">
        <v>741.3</v>
      </c>
      <c r="V289" t="inlineStr">
        <is>
          <t>AUD</t>
        </is>
      </c>
      <c r="W289" t="n">
        <v>370.65</v>
      </c>
      <c r="X289" t="n">
        <v/>
      </c>
    </row>
    <row r="290">
      <c r="A290" s="5" t="inlineStr">
        <is>
          <t>01a1212c-815e-7000-bd78-b468fcf130ee</t>
        </is>
      </c>
      <c r="C290" s="5" t="inlineStr">
        <is>
          <t>01a1212c-4b57-70cf-80fd-c2192cb3bf81</t>
        </is>
      </c>
      <c r="D290" s="4" t="n">
        <v>46304.62415813291</v>
      </c>
      <c r="E290" s="4" t="n">
        <v>46304.62430413972</v>
      </c>
      <c r="F290" t="b">
        <v>1</v>
      </c>
      <c r="H290" t="inlineStr">
        <is>
          <t>2025-03-03 | PARCEL |  A200 | 6.0000 unit</t>
        </is>
      </c>
      <c r="I290" s="5" t="inlineStr">
        <is>
          <t>01a1212c-815d-7796-8cbe-45bdcab8a7fb</t>
        </is>
      </c>
      <c r="J290" t="n">
        <v>6</v>
      </c>
      <c r="K290" t="n">
        <v>1</v>
      </c>
      <c r="L290" s="6" t="n">
        <v>45719</v>
      </c>
      <c r="O290" t="inlineStr">
        <is>
          <t>A200</t>
        </is>
      </c>
      <c r="P290" t="n">
        <v>6</v>
      </c>
      <c r="Q290" t="b">
        <v>0</v>
      </c>
      <c r="R290" t="inlineStr">
        <is>
          <t>AUD</t>
        </is>
      </c>
      <c r="S290" t="n">
        <v>1.583333</v>
      </c>
      <c r="T290" t="inlineStr">
        <is>
          <t>AUD</t>
        </is>
      </c>
      <c r="U290" t="n">
        <v>839.7403</v>
      </c>
      <c r="V290" t="inlineStr">
        <is>
          <t>AUD</t>
        </is>
      </c>
      <c r="W290" t="n">
        <v>139.956717</v>
      </c>
      <c r="X290" t="n">
        <v/>
      </c>
    </row>
    <row r="291">
      <c r="A291" s="5" t="inlineStr">
        <is>
          <t>01a1212c-8174-703a-b0ff-1dee8bca62ce</t>
        </is>
      </c>
      <c r="C291" s="5" t="inlineStr">
        <is>
          <t>01a1212c-4b57-70cf-80fd-c2192cb3bf81</t>
        </is>
      </c>
      <c r="D291" s="4" t="n">
        <v>46304.62415838247</v>
      </c>
      <c r="E291" s="4" t="n">
        <v>46304.62431587541</v>
      </c>
      <c r="F291" t="b">
        <v>1</v>
      </c>
      <c r="H291" t="inlineStr">
        <is>
          <t>2025-03-03 | PARCEL |  VGS | 8.0000 unit</t>
        </is>
      </c>
      <c r="I291" s="5" t="inlineStr">
        <is>
          <t>01a1212c-8172-736f-bead-e6251dc94aed</t>
        </is>
      </c>
      <c r="J291" t="n">
        <v>8</v>
      </c>
      <c r="K291" t="n">
        <v>1</v>
      </c>
      <c r="L291" s="6" t="n">
        <v>45719</v>
      </c>
      <c r="O291" t="inlineStr">
        <is>
          <t>VGS</t>
        </is>
      </c>
      <c r="P291" t="n">
        <v>8</v>
      </c>
      <c r="Q291" t="b">
        <v>0</v>
      </c>
      <c r="R291" t="inlineStr">
        <is>
          <t>AUD</t>
        </is>
      </c>
      <c r="S291" t="n">
        <v>1.1875</v>
      </c>
      <c r="T291" t="inlineStr">
        <is>
          <t>AUD</t>
        </is>
      </c>
      <c r="U291" t="n">
        <v>1157.1852</v>
      </c>
      <c r="V291" t="inlineStr">
        <is>
          <t>AUD</t>
        </is>
      </c>
      <c r="W291" t="n">
        <v>144.64815</v>
      </c>
      <c r="X291" t="n">
        <v/>
      </c>
    </row>
    <row r="292">
      <c r="A292" s="5" t="inlineStr">
        <is>
          <t>01a1212c-818a-75a0-8b3e-376743b5bf4a</t>
        </is>
      </c>
      <c r="C292" s="5" t="inlineStr">
        <is>
          <t>01a1212c-4b57-70cf-80fd-c2192cb3bf81</t>
        </is>
      </c>
      <c r="D292" s="4" t="n">
        <v>46304.62415863628</v>
      </c>
      <c r="E292" s="4" t="n">
        <v>46304.62430242945</v>
      </c>
      <c r="F292" t="b">
        <v>1</v>
      </c>
      <c r="H292" t="inlineStr">
        <is>
          <t>2025-04-07 | PARCEL |  A200 | 12.0000 unit</t>
        </is>
      </c>
      <c r="I292" s="5" t="inlineStr">
        <is>
          <t>01a1212c-8188-7156-ad04-1cad0fa78b2c</t>
        </is>
      </c>
      <c r="J292" t="n">
        <v>12</v>
      </c>
      <c r="K292" t="n">
        <v>1</v>
      </c>
      <c r="L292" s="6" t="n">
        <v>45754</v>
      </c>
      <c r="O292" t="inlineStr">
        <is>
          <t>A200</t>
        </is>
      </c>
      <c r="P292" t="n">
        <v>12</v>
      </c>
      <c r="Q292" t="b">
        <v>0</v>
      </c>
      <c r="R292" t="inlineStr">
        <is>
          <t>AUD</t>
        </is>
      </c>
      <c r="S292" t="n">
        <v>0.791667</v>
      </c>
      <c r="T292" t="inlineStr">
        <is>
          <t>AUD</t>
        </is>
      </c>
      <c r="U292" t="n">
        <v>1489.4435</v>
      </c>
      <c r="V292" t="inlineStr">
        <is>
          <t>AUD</t>
        </is>
      </c>
      <c r="W292" t="n">
        <v>124.120292</v>
      </c>
      <c r="X292" t="n">
        <v/>
      </c>
    </row>
    <row r="293">
      <c r="A293" s="5" t="inlineStr">
        <is>
          <t>01a1212c-819f-704e-8265-3989eef0ef89</t>
        </is>
      </c>
      <c r="C293" s="5" t="inlineStr">
        <is>
          <t>01a1212c-4b57-70cf-80fd-c2192cb3bf81</t>
        </is>
      </c>
      <c r="D293" s="4" t="n">
        <v>46304.62415888695</v>
      </c>
      <c r="E293" s="4" t="n">
        <v>46304.62431916942</v>
      </c>
      <c r="F293" t="b">
        <v>1</v>
      </c>
      <c r="H293" t="inlineStr">
        <is>
          <t>2025-04-07 | PARCEL |  VGS | 15.0000 unit</t>
        </is>
      </c>
      <c r="I293" s="5" t="inlineStr">
        <is>
          <t>01a1212c-819e-7027-afe0-2e7d2648323b</t>
        </is>
      </c>
      <c r="J293" t="n">
        <v>15</v>
      </c>
      <c r="K293" t="n">
        <v>1</v>
      </c>
      <c r="L293" s="6" t="n">
        <v>45754</v>
      </c>
      <c r="O293" t="inlineStr">
        <is>
          <t>VGS</t>
        </is>
      </c>
      <c r="P293" t="n">
        <v>15</v>
      </c>
      <c r="Q293" t="b">
        <v>0</v>
      </c>
      <c r="R293" t="inlineStr">
        <is>
          <t>AUD</t>
        </is>
      </c>
      <c r="S293" t="n">
        <v>0.633333</v>
      </c>
      <c r="T293" t="inlineStr">
        <is>
          <t>AUD</t>
        </is>
      </c>
      <c r="U293" t="n">
        <v>1859.1842</v>
      </c>
      <c r="V293" t="inlineStr">
        <is>
          <t>AUD</t>
        </is>
      </c>
      <c r="W293" t="n">
        <v>123.945613</v>
      </c>
      <c r="X293" t="n">
        <v/>
      </c>
    </row>
    <row r="294">
      <c r="A294" s="5" t="inlineStr">
        <is>
          <t>01a1212c-81b6-702d-9ef5-3e3b27767aad</t>
        </is>
      </c>
      <c r="C294" s="5" t="inlineStr">
        <is>
          <t>01a1212c-4b57-70cf-80fd-c2192cb3bf81</t>
        </is>
      </c>
      <c r="D294" s="4" t="n">
        <v>46304.62415914828</v>
      </c>
      <c r="E294" s="4" t="n">
        <v>46304.62415914833</v>
      </c>
      <c r="F294" t="b">
        <v>1</v>
      </c>
      <c r="H294" t="inlineStr">
        <is>
          <t>2025-04-11 | PARCEL |  AAPL | 1.0000 unit</t>
        </is>
      </c>
      <c r="I294" s="5" t="inlineStr">
        <is>
          <t>01a1212c-81b3-7712-9aff-68ef92d337dc</t>
        </is>
      </c>
      <c r="J294" t="n">
        <v>1</v>
      </c>
      <c r="K294" t="n">
        <v>1</v>
      </c>
      <c r="L294" s="6" t="n">
        <v>45758</v>
      </c>
      <c r="O294" t="inlineStr">
        <is>
          <t>AAPL</t>
        </is>
      </c>
      <c r="P294" t="n">
        <v>1</v>
      </c>
      <c r="Q294" t="b">
        <v>0</v>
      </c>
      <c r="R294" t="inlineStr">
        <is>
          <t>AUD</t>
        </is>
      </c>
      <c r="S294" t="n">
        <v>7.5</v>
      </c>
      <c r="T294" t="inlineStr">
        <is>
          <t>AUD</t>
        </is>
      </c>
      <c r="U294" t="n">
        <v>304.725</v>
      </c>
      <c r="V294" t="inlineStr">
        <is>
          <t>AUD</t>
        </is>
      </c>
      <c r="W294" t="n">
        <v>304.725</v>
      </c>
      <c r="X294" t="n">
        <v/>
      </c>
    </row>
    <row r="295">
      <c r="A295" s="5" t="inlineStr">
        <is>
          <t>01a1212c-81cc-7193-aa6d-f9da7479948d</t>
        </is>
      </c>
      <c r="C295" s="5" t="inlineStr">
        <is>
          <t>01a1212c-4b57-70cf-80fd-c2192cb3bf81</t>
        </is>
      </c>
      <c r="D295" s="4" t="n">
        <v>46304.624159409</v>
      </c>
      <c r="E295" s="4" t="n">
        <v>46304.62430446786</v>
      </c>
      <c r="F295" t="b">
        <v>1</v>
      </c>
      <c r="H295" t="inlineStr">
        <is>
          <t>2025-05-05 | PARCEL |  A200 | 5.0000 unit</t>
        </is>
      </c>
      <c r="I295" s="5" t="inlineStr">
        <is>
          <t>01a1212c-81cb-76cb-be16-0103f4d4c132</t>
        </is>
      </c>
      <c r="J295" t="n">
        <v>5</v>
      </c>
      <c r="K295" t="n">
        <v>1</v>
      </c>
      <c r="L295" s="6" t="n">
        <v>45782</v>
      </c>
      <c r="O295" t="inlineStr">
        <is>
          <t>A200</t>
        </is>
      </c>
      <c r="P295" t="n">
        <v>5</v>
      </c>
      <c r="Q295" t="b">
        <v>0</v>
      </c>
      <c r="R295" t="inlineStr">
        <is>
          <t>AUD</t>
        </is>
      </c>
      <c r="S295" t="n">
        <v>1.9</v>
      </c>
      <c r="T295" t="inlineStr">
        <is>
          <t>AUD</t>
        </is>
      </c>
      <c r="U295" t="n">
        <v>693.7041</v>
      </c>
      <c r="V295" t="inlineStr">
        <is>
          <t>AUD</t>
        </is>
      </c>
      <c r="W295" t="n">
        <v>138.74082</v>
      </c>
      <c r="X295" t="n">
        <v/>
      </c>
    </row>
    <row r="296">
      <c r="A296" s="5" t="inlineStr">
        <is>
          <t>01a1212c-81e3-749e-920a-7ad74e769466</t>
        </is>
      </c>
      <c r="C296" s="5" t="inlineStr">
        <is>
          <t>01a1212c-4b57-70cf-80fd-c2192cb3bf81</t>
        </is>
      </c>
      <c r="D296" s="4" t="n">
        <v>46304.62415966592</v>
      </c>
      <c r="E296" s="4" t="n">
        <v>46304.62431770169</v>
      </c>
      <c r="F296" t="b">
        <v>1</v>
      </c>
      <c r="H296" t="inlineStr">
        <is>
          <t>2025-05-05 | PARCEL |  VGS | 7.0000 unit</t>
        </is>
      </c>
      <c r="I296" s="5" t="inlineStr">
        <is>
          <t>01a1212c-81e1-73bf-b1f7-f2f6cbc821c5</t>
        </is>
      </c>
      <c r="J296" t="n">
        <v>7</v>
      </c>
      <c r="K296" t="n">
        <v>1</v>
      </c>
      <c r="L296" s="6" t="n">
        <v>45782</v>
      </c>
      <c r="O296" t="inlineStr">
        <is>
          <t>VGS</t>
        </is>
      </c>
      <c r="P296" t="n">
        <v>7</v>
      </c>
      <c r="Q296" t="b">
        <v>0</v>
      </c>
      <c r="R296" t="inlineStr">
        <is>
          <t>AUD</t>
        </is>
      </c>
      <c r="S296" t="n">
        <v>1.357143</v>
      </c>
      <c r="T296" t="inlineStr">
        <is>
          <t>AUD</t>
        </is>
      </c>
      <c r="U296" t="n">
        <v>937.9911</v>
      </c>
      <c r="V296" t="inlineStr">
        <is>
          <t>AUD</t>
        </is>
      </c>
      <c r="W296" t="n">
        <v>133.998729</v>
      </c>
      <c r="X296" t="n">
        <v/>
      </c>
    </row>
    <row r="297">
      <c r="A297" s="5" t="inlineStr">
        <is>
          <t>01a1212c-81f8-7770-a513-1c1ecf61ab04</t>
        </is>
      </c>
      <c r="C297" s="5" t="inlineStr">
        <is>
          <t>01a1212c-4b57-70cf-80fd-c2192cb3bf81</t>
        </is>
      </c>
      <c r="D297" s="4" t="n">
        <v>46304.624159919</v>
      </c>
      <c r="E297" s="4" t="n">
        <v>46304.62430303845</v>
      </c>
      <c r="F297" t="b">
        <v>1</v>
      </c>
      <c r="H297" t="inlineStr">
        <is>
          <t>2025-06-02 | PARCEL |  A200 | 5.0000 unit</t>
        </is>
      </c>
      <c r="I297" s="5" t="inlineStr">
        <is>
          <t>01a1212c-81f7-71e4-974a-5630654a2e1c</t>
        </is>
      </c>
      <c r="J297" t="n">
        <v>5</v>
      </c>
      <c r="K297" t="n">
        <v>1</v>
      </c>
      <c r="L297" s="6" t="n">
        <v>45810</v>
      </c>
      <c r="O297" t="inlineStr">
        <is>
          <t>A200</t>
        </is>
      </c>
      <c r="P297" t="n">
        <v>5</v>
      </c>
      <c r="Q297" t="b">
        <v>0</v>
      </c>
      <c r="R297" t="inlineStr">
        <is>
          <t>AUD</t>
        </is>
      </c>
      <c r="S297" t="n">
        <v>1.9</v>
      </c>
      <c r="T297" t="inlineStr">
        <is>
          <t>AUD</t>
        </is>
      </c>
      <c r="U297" t="n">
        <v>717.765</v>
      </c>
      <c r="V297" t="inlineStr">
        <is>
          <t>AUD</t>
        </is>
      </c>
      <c r="W297" t="n">
        <v>143.553</v>
      </c>
      <c r="X297" t="n">
        <v/>
      </c>
    </row>
    <row r="298">
      <c r="A298" s="5" t="inlineStr">
        <is>
          <t>01a1212c-8212-72d6-9900-7bfbfd0d603b</t>
        </is>
      </c>
      <c r="C298" s="5" t="inlineStr">
        <is>
          <t>01a1212c-4b57-70cf-80fd-c2192cb3bf81</t>
        </is>
      </c>
      <c r="D298" s="4" t="n">
        <v>46304.62416021881</v>
      </c>
      <c r="E298" s="4" t="n">
        <v>46304.62416021887</v>
      </c>
      <c r="F298" t="b">
        <v>1</v>
      </c>
      <c r="H298" t="inlineStr">
        <is>
          <t>2025-06-02 | PARCEL |  MSFT | 1.0000 unit</t>
        </is>
      </c>
      <c r="I298" s="5" t="inlineStr">
        <is>
          <t>01a1212c-8210-7182-8a8b-ce738fb98a25</t>
        </is>
      </c>
      <c r="J298" t="n">
        <v>1</v>
      </c>
      <c r="K298" t="n">
        <v>1</v>
      </c>
      <c r="L298" s="6" t="n">
        <v>45810</v>
      </c>
      <c r="O298" t="inlineStr">
        <is>
          <t>MSFT</t>
        </is>
      </c>
      <c r="P298" t="n">
        <v>1</v>
      </c>
      <c r="Q298" t="b">
        <v>0</v>
      </c>
      <c r="R298" t="inlineStr">
        <is>
          <t>AUD</t>
        </is>
      </c>
      <c r="S298" t="n">
        <v>7.5</v>
      </c>
      <c r="T298" t="inlineStr">
        <is>
          <t>AUD</t>
        </is>
      </c>
      <c r="U298" t="n">
        <v>700.455</v>
      </c>
      <c r="V298" t="inlineStr">
        <is>
          <t>AUD</t>
        </is>
      </c>
      <c r="W298" t="n">
        <v>700.455</v>
      </c>
      <c r="X298" t="n">
        <v/>
      </c>
    </row>
    <row r="299">
      <c r="A299" s="5" t="inlineStr">
        <is>
          <t>01a1212c-822a-7156-ba3d-e499465ae100</t>
        </is>
      </c>
      <c r="C299" s="5" t="inlineStr">
        <is>
          <t>01a1212c-4b57-70cf-80fd-c2192cb3bf81</t>
        </is>
      </c>
      <c r="D299" s="4" t="n">
        <v>46304.62416049254</v>
      </c>
      <c r="E299" s="4" t="n">
        <v>46304.62431852594</v>
      </c>
      <c r="F299" t="b">
        <v>1</v>
      </c>
      <c r="H299" t="inlineStr">
        <is>
          <t>2025-06-02 | PARCEL |  VGS | 7.0000 unit</t>
        </is>
      </c>
      <c r="I299" s="5" t="inlineStr">
        <is>
          <t>01a1212c-8229-770c-b91a-9f73c8267d2f</t>
        </is>
      </c>
      <c r="J299" t="n">
        <v>7</v>
      </c>
      <c r="K299" t="n">
        <v>1</v>
      </c>
      <c r="L299" s="6" t="n">
        <v>45810</v>
      </c>
      <c r="O299" t="inlineStr">
        <is>
          <t>VGS</t>
        </is>
      </c>
      <c r="P299" t="n">
        <v>7</v>
      </c>
      <c r="Q299" t="b">
        <v>0</v>
      </c>
      <c r="R299" t="inlineStr">
        <is>
          <t>AUD</t>
        </is>
      </c>
      <c r="S299" t="n">
        <v>1.357143</v>
      </c>
      <c r="T299" t="inlineStr">
        <is>
          <t>AUD</t>
        </is>
      </c>
      <c r="U299" t="n">
        <v>977.8162</v>
      </c>
      <c r="V299" t="inlineStr">
        <is>
          <t>AUD</t>
        </is>
      </c>
      <c r="W299" t="n">
        <v>139.688029</v>
      </c>
      <c r="X299" t="n">
        <v/>
      </c>
    </row>
    <row r="300">
      <c r="A300" s="5" t="inlineStr">
        <is>
          <t>01a1212c-8243-7511-9a38-cd7c001e94db</t>
        </is>
      </c>
      <c r="C300" s="5" t="inlineStr">
        <is>
          <t>01a1212c-4b57-70cf-80fd-c2192cb3bf81</t>
        </is>
      </c>
      <c r="D300" s="4" t="n">
        <v>46304.62416077834</v>
      </c>
      <c r="E300" s="4" t="n">
        <v>46304.6241607784</v>
      </c>
      <c r="F300" t="b">
        <v>1</v>
      </c>
      <c r="H300" t="inlineStr">
        <is>
          <t>2025-06-05 | PARCEL |  MSFT | 2.0000 unit</t>
        </is>
      </c>
      <c r="I300" s="5" t="inlineStr">
        <is>
          <t>01a1212c-8240-70de-aec5-ed0705075d2a</t>
        </is>
      </c>
      <c r="J300" t="n">
        <v>2</v>
      </c>
      <c r="K300" t="n">
        <v>1</v>
      </c>
      <c r="L300" s="6" t="n">
        <v>45813</v>
      </c>
      <c r="O300" t="inlineStr">
        <is>
          <t>MSFT</t>
        </is>
      </c>
      <c r="P300" t="n">
        <v>2</v>
      </c>
      <c r="Q300" t="b">
        <v>0</v>
      </c>
      <c r="R300" t="inlineStr">
        <is>
          <t>AUD</t>
        </is>
      </c>
      <c r="S300" t="n">
        <v>3.75</v>
      </c>
      <c r="T300" t="inlineStr">
        <is>
          <t>AUD</t>
        </is>
      </c>
      <c r="U300" t="n">
        <v>1410.54</v>
      </c>
      <c r="V300" t="inlineStr">
        <is>
          <t>AUD</t>
        </is>
      </c>
      <c r="W300" t="n">
        <v>705.27</v>
      </c>
      <c r="X300" t="n">
        <v/>
      </c>
    </row>
    <row r="301">
      <c r="A301" s="5" t="inlineStr">
        <is>
          <t>01a1212c-8259-77b2-b555-ee55312d1840</t>
        </is>
      </c>
      <c r="C301" s="5" t="inlineStr">
        <is>
          <t>01a1212c-4b57-70cf-80fd-c2192cb3bf81</t>
        </is>
      </c>
      <c r="D301" s="4" t="n">
        <v>46304.62416103562</v>
      </c>
      <c r="E301" s="4" t="n">
        <v>46304.62430543233</v>
      </c>
      <c r="F301" t="b">
        <v>1</v>
      </c>
      <c r="H301" t="inlineStr">
        <is>
          <t>2025-07-02 | PARCEL |  A200 | 5.0000 unit</t>
        </is>
      </c>
      <c r="I301" s="5" t="inlineStr">
        <is>
          <t>01a1212c-8257-77bb-b357-c22cdae6a847</t>
        </is>
      </c>
      <c r="J301" t="n">
        <v>5</v>
      </c>
      <c r="K301" t="n">
        <v>1</v>
      </c>
      <c r="L301" s="6" t="n">
        <v>45840</v>
      </c>
      <c r="O301" t="inlineStr">
        <is>
          <t>A200</t>
        </is>
      </c>
      <c r="P301" t="n">
        <v>5</v>
      </c>
      <c r="Q301" t="b">
        <v>0</v>
      </c>
      <c r="R301" t="inlineStr">
        <is>
          <t>AUD</t>
        </is>
      </c>
      <c r="S301" t="n">
        <v>1.9</v>
      </c>
      <c r="T301" t="inlineStr">
        <is>
          <t>AUD</t>
        </is>
      </c>
      <c r="U301" t="n">
        <v>728.7633</v>
      </c>
      <c r="V301" t="inlineStr">
        <is>
          <t>AUD</t>
        </is>
      </c>
      <c r="W301" t="n">
        <v>145.75266</v>
      </c>
      <c r="X301" t="n">
        <v/>
      </c>
    </row>
    <row r="302">
      <c r="A302" s="5" t="inlineStr">
        <is>
          <t>01a1212c-826f-705b-b71c-c6e2b71c1728</t>
        </is>
      </c>
      <c r="C302" s="5" t="inlineStr">
        <is>
          <t>01a1212c-4b57-70cf-80fd-c2192cb3bf81</t>
        </is>
      </c>
      <c r="D302" s="4" t="n">
        <v>46304.62416128697</v>
      </c>
      <c r="E302" s="4" t="n">
        <v>46304.62431441293</v>
      </c>
      <c r="F302" t="b">
        <v>1</v>
      </c>
      <c r="H302" t="inlineStr">
        <is>
          <t>2025-07-02 | PARCEL |  VGS | 6.0000 unit</t>
        </is>
      </c>
      <c r="I302" s="5" t="inlineStr">
        <is>
          <t>01a1212c-826d-7730-854d-b7558dd37e4a</t>
        </is>
      </c>
      <c r="J302" t="n">
        <v>6</v>
      </c>
      <c r="K302" t="n">
        <v>1</v>
      </c>
      <c r="L302" s="6" t="n">
        <v>45840</v>
      </c>
      <c r="O302" t="inlineStr">
        <is>
          <t>VGS</t>
        </is>
      </c>
      <c r="P302" t="n">
        <v>6</v>
      </c>
      <c r="Q302" t="b">
        <v>0</v>
      </c>
      <c r="R302" t="inlineStr">
        <is>
          <t>AUD</t>
        </is>
      </c>
      <c r="S302" t="n">
        <v>1.583333</v>
      </c>
      <c r="T302" t="inlineStr">
        <is>
          <t>AUD</t>
        </is>
      </c>
      <c r="U302" t="n">
        <v>857.7736</v>
      </c>
      <c r="V302" t="inlineStr">
        <is>
          <t>AUD</t>
        </is>
      </c>
      <c r="W302" t="n">
        <v>142.962267</v>
      </c>
      <c r="X302" t="n">
        <v/>
      </c>
    </row>
    <row r="303">
      <c r="A303" s="5" t="inlineStr">
        <is>
          <t>01a1212c-8285-7655-b3ee-d79b8fb46e75</t>
        </is>
      </c>
      <c r="C303" s="5" t="inlineStr">
        <is>
          <t>01a1212c-4b57-70cf-80fd-c2192cb3bf81</t>
        </is>
      </c>
      <c r="D303" s="4" t="n">
        <v>46304.62416154963</v>
      </c>
      <c r="E303" s="4" t="n">
        <v>46304.62416154969</v>
      </c>
      <c r="F303" t="b">
        <v>1</v>
      </c>
      <c r="H303" t="inlineStr">
        <is>
          <t>2025-07-30 | PARCEL |  AMZN | 2.0000 unit</t>
        </is>
      </c>
      <c r="I303" s="5" t="inlineStr">
        <is>
          <t>01a1212c-8283-7499-9118-4a00a8e8e8ce</t>
        </is>
      </c>
      <c r="J303" t="n">
        <v>2</v>
      </c>
      <c r="K303" t="n">
        <v>1</v>
      </c>
      <c r="L303" s="6" t="n">
        <v>45868</v>
      </c>
      <c r="O303" t="inlineStr">
        <is>
          <t>AMZN</t>
        </is>
      </c>
      <c r="P303" t="n">
        <v>2</v>
      </c>
      <c r="Q303" t="b">
        <v>0</v>
      </c>
      <c r="R303" t="inlineStr">
        <is>
          <t>AUD</t>
        </is>
      </c>
      <c r="S303" t="n">
        <v>3.75</v>
      </c>
      <c r="T303" t="inlineStr">
        <is>
          <t>AUD</t>
        </is>
      </c>
      <c r="U303" t="n">
        <v>698.0700000000001</v>
      </c>
      <c r="V303" t="inlineStr">
        <is>
          <t>AUD</t>
        </is>
      </c>
      <c r="W303" t="n">
        <v>349.035</v>
      </c>
      <c r="X303" t="n">
        <v/>
      </c>
    </row>
    <row r="304">
      <c r="A304" s="5" t="inlineStr">
        <is>
          <t>01a1212c-829b-7422-b61a-3efdbb1bb81a</t>
        </is>
      </c>
      <c r="C304" s="5" t="inlineStr">
        <is>
          <t>01a1212c-4b57-70cf-80fd-c2192cb3bf81</t>
        </is>
      </c>
      <c r="D304" s="4" t="n">
        <v>46304.62416179684</v>
      </c>
      <c r="E304" s="4" t="n">
        <v>46304.62430454884</v>
      </c>
      <c r="F304" t="b">
        <v>1</v>
      </c>
      <c r="H304" t="inlineStr">
        <is>
          <t>2025-08-04 | PARCEL |  A200 | 4.0000 unit</t>
        </is>
      </c>
      <c r="I304" s="5" t="inlineStr">
        <is>
          <t>01a1212c-8299-70ad-a87f-ceb6a1a59817</t>
        </is>
      </c>
      <c r="J304" t="n">
        <v>4</v>
      </c>
      <c r="K304" t="n">
        <v>1</v>
      </c>
      <c r="L304" s="6" t="n">
        <v>45873</v>
      </c>
      <c r="O304" t="inlineStr">
        <is>
          <t>A200</t>
        </is>
      </c>
      <c r="P304" t="n">
        <v>4</v>
      </c>
      <c r="Q304" t="b">
        <v>0</v>
      </c>
      <c r="R304" t="inlineStr">
        <is>
          <t>AUD</t>
        </is>
      </c>
      <c r="S304" t="n">
        <v>2.375</v>
      </c>
      <c r="T304" t="inlineStr">
        <is>
          <t>AUD</t>
        </is>
      </c>
      <c r="U304" t="n">
        <v>588.6666</v>
      </c>
      <c r="V304" t="inlineStr">
        <is>
          <t>AUD</t>
        </is>
      </c>
      <c r="W304" t="n">
        <v>147.16665</v>
      </c>
      <c r="X304" t="n">
        <v/>
      </c>
    </row>
    <row r="305">
      <c r="A305" s="5" t="inlineStr">
        <is>
          <t>01a1212c-82b1-75eb-b393-9d51b1774d5b</t>
        </is>
      </c>
      <c r="C305" s="5" t="inlineStr">
        <is>
          <t>01a1212c-4b57-70cf-80fd-c2192cb3bf81</t>
        </is>
      </c>
      <c r="D305" s="4" t="n">
        <v>46304.62416205735</v>
      </c>
      <c r="E305" s="4" t="n">
        <v>46304.62431607875</v>
      </c>
      <c r="F305" t="b">
        <v>1</v>
      </c>
      <c r="H305" t="inlineStr">
        <is>
          <t>2025-08-04 | PARCEL |  VGS | 6.0000 unit</t>
        </is>
      </c>
      <c r="I305" s="5" t="inlineStr">
        <is>
          <t>01a1212c-82b0-711c-b0bb-cf5cfb68ca19</t>
        </is>
      </c>
      <c r="J305" t="n">
        <v>6</v>
      </c>
      <c r="K305" t="n">
        <v>1</v>
      </c>
      <c r="L305" s="6" t="n">
        <v>45873</v>
      </c>
      <c r="O305" t="inlineStr">
        <is>
          <t>VGS</t>
        </is>
      </c>
      <c r="P305" t="n">
        <v>6</v>
      </c>
      <c r="Q305" t="b">
        <v>0</v>
      </c>
      <c r="R305" t="inlineStr">
        <is>
          <t>AUD</t>
        </is>
      </c>
      <c r="S305" t="n">
        <v>1.583333</v>
      </c>
      <c r="T305" t="inlineStr">
        <is>
          <t>AUD</t>
        </is>
      </c>
      <c r="U305" t="n">
        <v>871.0016000000001</v>
      </c>
      <c r="V305" t="inlineStr">
        <is>
          <t>AUD</t>
        </is>
      </c>
      <c r="W305" t="n">
        <v>145.166933</v>
      </c>
      <c r="X305" t="n">
        <v/>
      </c>
    </row>
    <row r="306">
      <c r="A306" s="5" t="inlineStr">
        <is>
          <t>01a1212c-82c7-7533-ad39-56515ecfa367</t>
        </is>
      </c>
      <c r="C306" s="5" t="inlineStr">
        <is>
          <t>01a1212c-4b57-70cf-80fd-c2192cb3bf81</t>
        </is>
      </c>
      <c r="D306" s="4" t="n">
        <v>46304.62416231086</v>
      </c>
      <c r="E306" s="4" t="n">
        <v>46304.62416231092</v>
      </c>
      <c r="F306" t="b">
        <v>1</v>
      </c>
      <c r="H306" t="inlineStr">
        <is>
          <t>2025-08-14 | PARCEL |  CBA | 3.0000 unit</t>
        </is>
      </c>
      <c r="I306" s="5" t="inlineStr">
        <is>
          <t>01a1212c-82c6-7346-8dc9-bee94ed3cd12</t>
        </is>
      </c>
      <c r="J306" t="n">
        <v>3</v>
      </c>
      <c r="K306" t="n">
        <v>1</v>
      </c>
      <c r="L306" s="6" t="n">
        <v>45883</v>
      </c>
      <c r="O306" t="inlineStr">
        <is>
          <t>CBA</t>
        </is>
      </c>
      <c r="P306" t="n">
        <v>3</v>
      </c>
      <c r="Q306" t="b">
        <v>0</v>
      </c>
      <c r="R306" t="inlineStr">
        <is>
          <t>AUD</t>
        </is>
      </c>
      <c r="S306" t="n">
        <v>6.65</v>
      </c>
      <c r="T306" t="inlineStr">
        <is>
          <t>AUD</t>
        </is>
      </c>
      <c r="U306" t="n">
        <v>521.58</v>
      </c>
      <c r="V306" t="inlineStr">
        <is>
          <t>AUD</t>
        </is>
      </c>
      <c r="W306" t="n">
        <v>173.86</v>
      </c>
      <c r="X306" t="n">
        <v/>
      </c>
    </row>
    <row r="307">
      <c r="A307" s="5" t="inlineStr">
        <is>
          <t>01a1212c-82db-713e-9859-d71d34471c09</t>
        </is>
      </c>
      <c r="C307" s="5" t="inlineStr">
        <is>
          <t>01a1212c-4b57-70cf-80fd-c2192cb3bf81</t>
        </is>
      </c>
      <c r="D307" s="4" t="n">
        <v>46304.62416254737</v>
      </c>
      <c r="E307" s="4" t="n">
        <v>46304.62430592934</v>
      </c>
      <c r="F307" t="b">
        <v>1</v>
      </c>
      <c r="H307" t="inlineStr">
        <is>
          <t>2025-09-04 | PARCEL |  A200 | 7.0000 unit</t>
        </is>
      </c>
      <c r="I307" s="5" t="inlineStr">
        <is>
          <t>01a1212c-82da-750f-891b-19ed82330f9e</t>
        </is>
      </c>
      <c r="J307" t="n">
        <v>7</v>
      </c>
      <c r="K307" t="n">
        <v>1</v>
      </c>
      <c r="L307" s="6" t="n">
        <v>45904</v>
      </c>
      <c r="O307" t="inlineStr">
        <is>
          <t>A200</t>
        </is>
      </c>
      <c r="P307" t="n">
        <v>7</v>
      </c>
      <c r="Q307" t="b">
        <v>0</v>
      </c>
      <c r="R307" t="inlineStr">
        <is>
          <t>AUD</t>
        </is>
      </c>
      <c r="S307" t="n">
        <v>1.357143</v>
      </c>
      <c r="T307" t="inlineStr">
        <is>
          <t>AUD</t>
        </is>
      </c>
      <c r="U307" t="n">
        <v>1050.9861</v>
      </c>
      <c r="V307" t="inlineStr">
        <is>
          <t>AUD</t>
        </is>
      </c>
      <c r="W307" t="n">
        <v>150.140871</v>
      </c>
      <c r="X307" t="n">
        <v/>
      </c>
    </row>
    <row r="308">
      <c r="A308" s="5" t="inlineStr">
        <is>
          <t>01a1212c-82f1-756e-a25f-468327fcda66</t>
        </is>
      </c>
      <c r="C308" s="5" t="inlineStr">
        <is>
          <t>01a1212c-4b57-70cf-80fd-c2192cb3bf81</t>
        </is>
      </c>
      <c r="D308" s="4" t="n">
        <v>46304.62416279745</v>
      </c>
      <c r="E308" s="4" t="n">
        <v>46304.62431900941</v>
      </c>
      <c r="F308" t="b">
        <v>1</v>
      </c>
      <c r="H308" t="inlineStr">
        <is>
          <t>2025-09-04 | PARCEL |  VGS | 8.0000 unit</t>
        </is>
      </c>
      <c r="I308" s="5" t="inlineStr">
        <is>
          <t>01a1212c-82f0-7613-b65c-51b3ccdc7053</t>
        </is>
      </c>
      <c r="J308" t="n">
        <v>8</v>
      </c>
      <c r="K308" t="n">
        <v>1</v>
      </c>
      <c r="L308" s="6" t="n">
        <v>45904</v>
      </c>
      <c r="O308" t="inlineStr">
        <is>
          <t>VGS</t>
        </is>
      </c>
      <c r="P308" t="n">
        <v>8</v>
      </c>
      <c r="Q308" t="b">
        <v>0</v>
      </c>
      <c r="R308" t="inlineStr">
        <is>
          <t>AUD</t>
        </is>
      </c>
      <c r="S308" t="n">
        <v>1.1875</v>
      </c>
      <c r="T308" t="inlineStr">
        <is>
          <t>AUD</t>
        </is>
      </c>
      <c r="U308" t="n">
        <v>1188.7686</v>
      </c>
      <c r="V308" t="inlineStr">
        <is>
          <t>AUD</t>
        </is>
      </c>
      <c r="W308" t="n">
        <v>148.596075</v>
      </c>
      <c r="X308" t="n">
        <v/>
      </c>
    </row>
    <row r="309">
      <c r="A309" s="5" t="inlineStr">
        <is>
          <t>01a1212c-8308-752a-9119-38a477d468d3</t>
        </is>
      </c>
      <c r="C309" s="5" t="inlineStr">
        <is>
          <t>01a1212c-4b57-70cf-80fd-c2192cb3bf81</t>
        </is>
      </c>
      <c r="D309" s="4" t="n">
        <v>46304.62416306087</v>
      </c>
      <c r="E309" s="4" t="n">
        <v>46304.62416306093</v>
      </c>
      <c r="F309" t="b">
        <v>1</v>
      </c>
      <c r="H309" t="inlineStr">
        <is>
          <t>2025-09-15 | PARCEL |  AMZN | 1.0000 unit</t>
        </is>
      </c>
      <c r="I309" s="5" t="inlineStr">
        <is>
          <t>01a1212c-8305-7712-8631-1fd63dc37c26</t>
        </is>
      </c>
      <c r="J309" t="n">
        <v>1</v>
      </c>
      <c r="K309" t="n">
        <v>1</v>
      </c>
      <c r="L309" s="6" t="n">
        <v>45915</v>
      </c>
      <c r="O309" t="inlineStr">
        <is>
          <t>AMZN</t>
        </is>
      </c>
      <c r="P309" t="n">
        <v>1</v>
      </c>
      <c r="Q309" t="b">
        <v>0</v>
      </c>
      <c r="R309" t="inlineStr">
        <is>
          <t>AUD</t>
        </is>
      </c>
      <c r="S309" t="n">
        <v>7.5</v>
      </c>
      <c r="T309" t="inlineStr">
        <is>
          <t>AUD</t>
        </is>
      </c>
      <c r="U309" t="n">
        <v>354.645</v>
      </c>
      <c r="V309" t="inlineStr">
        <is>
          <t>AUD</t>
        </is>
      </c>
      <c r="W309" t="n">
        <v>354.645</v>
      </c>
      <c r="X309" t="n">
        <v/>
      </c>
    </row>
    <row r="310">
      <c r="A310" s="5" t="inlineStr">
        <is>
          <t>01a1212c-831d-7560-b311-d417ff76b79b</t>
        </is>
      </c>
      <c r="C310" s="5" t="inlineStr">
        <is>
          <t>01a1212c-4b57-70cf-80fd-c2192cb3bf81</t>
        </is>
      </c>
      <c r="D310" s="4" t="n">
        <v>46304.62416330945</v>
      </c>
      <c r="E310" s="4" t="n">
        <v>46304.62430341062</v>
      </c>
      <c r="F310" t="b">
        <v>1</v>
      </c>
      <c r="H310" t="inlineStr">
        <is>
          <t>2025-10-06 | PARCEL |  A200 | 9.0000 unit</t>
        </is>
      </c>
      <c r="I310" s="5" t="inlineStr">
        <is>
          <t>01a1212c-831c-73d7-a747-6530efa55d82</t>
        </is>
      </c>
      <c r="J310" t="n">
        <v>9</v>
      </c>
      <c r="K310" t="n">
        <v>1</v>
      </c>
      <c r="L310" s="6" t="n">
        <v>45936</v>
      </c>
      <c r="O310" t="inlineStr">
        <is>
          <t>A200</t>
        </is>
      </c>
      <c r="P310" t="n">
        <v>9</v>
      </c>
      <c r="Q310" t="b">
        <v>0</v>
      </c>
      <c r="R310" t="inlineStr">
        <is>
          <t>AUD</t>
        </is>
      </c>
      <c r="S310" t="n">
        <v>1.055556</v>
      </c>
      <c r="T310" t="inlineStr">
        <is>
          <t>AUD</t>
        </is>
      </c>
      <c r="U310" t="n">
        <v>1359.4484</v>
      </c>
      <c r="V310" t="inlineStr">
        <is>
          <t>AUD</t>
        </is>
      </c>
      <c r="W310" t="n">
        <v>151.049822</v>
      </c>
      <c r="X310" t="n">
        <v/>
      </c>
    </row>
    <row r="311">
      <c r="A311" s="5" t="inlineStr">
        <is>
          <t>01a1212c-8333-7364-9bcd-810d3684daf4</t>
        </is>
      </c>
      <c r="C311" s="5" t="inlineStr">
        <is>
          <t>01a1212c-4b57-70cf-80fd-c2192cb3bf81</t>
        </is>
      </c>
      <c r="D311" s="4" t="n">
        <v>46304.62416355616</v>
      </c>
      <c r="E311" s="4" t="n">
        <v>46304.62431462049</v>
      </c>
      <c r="F311" t="b">
        <v>1</v>
      </c>
      <c r="H311" t="inlineStr">
        <is>
          <t>2025-10-06 | PARCEL |  VGS | 11.0000 unit</t>
        </is>
      </c>
      <c r="I311" s="5" t="inlineStr">
        <is>
          <t>01a1212c-8331-7066-b64c-91da1ce177e4</t>
        </is>
      </c>
      <c r="J311" t="n">
        <v>11</v>
      </c>
      <c r="K311" t="n">
        <v>1</v>
      </c>
      <c r="L311" s="6" t="n">
        <v>45936</v>
      </c>
      <c r="O311" t="inlineStr">
        <is>
          <t>VGS</t>
        </is>
      </c>
      <c r="P311" t="n">
        <v>11</v>
      </c>
      <c r="Q311" t="b">
        <v>0</v>
      </c>
      <c r="R311" t="inlineStr">
        <is>
          <t>AUD</t>
        </is>
      </c>
      <c r="S311" t="n">
        <v>0.863636</v>
      </c>
      <c r="T311" t="inlineStr">
        <is>
          <t>AUD</t>
        </is>
      </c>
      <c r="U311" t="n">
        <v>1681.9773</v>
      </c>
      <c r="V311" t="inlineStr">
        <is>
          <t>AUD</t>
        </is>
      </c>
      <c r="W311" t="n">
        <v>152.907027</v>
      </c>
      <c r="X311" t="n">
        <v/>
      </c>
    </row>
    <row r="312">
      <c r="A312" s="5" t="inlineStr">
        <is>
          <t>01a1212c-834a-751a-95db-7ae3444b1277</t>
        </is>
      </c>
      <c r="C312" s="5" t="inlineStr">
        <is>
          <t>01a1212c-4b57-70cf-80fd-c2192cb3bf81</t>
        </is>
      </c>
      <c r="D312" s="4" t="n">
        <v>46304.62416382218</v>
      </c>
      <c r="E312" s="4" t="n">
        <v>46304.62416382223</v>
      </c>
      <c r="F312" t="b">
        <v>1</v>
      </c>
      <c r="H312" t="inlineStr">
        <is>
          <t>2025-10-09 | PARCEL |  MSFT | 1.0000 unit</t>
        </is>
      </c>
      <c r="I312" s="5" t="inlineStr">
        <is>
          <t>01a1212c-8347-7477-ae39-33c830090504</t>
        </is>
      </c>
      <c r="J312" t="n">
        <v>1</v>
      </c>
      <c r="K312" t="n">
        <v>1</v>
      </c>
      <c r="L312" s="6" t="n">
        <v>45939</v>
      </c>
      <c r="O312" t="inlineStr">
        <is>
          <t>MSFT</t>
        </is>
      </c>
      <c r="P312" t="n">
        <v>1</v>
      </c>
      <c r="Q312" t="b">
        <v>0</v>
      </c>
      <c r="R312" t="inlineStr">
        <is>
          <t>AUD</t>
        </is>
      </c>
      <c r="S312" t="n">
        <v>7.5</v>
      </c>
      <c r="T312" t="inlineStr">
        <is>
          <t>AUD</t>
        </is>
      </c>
      <c r="U312" t="n">
        <v>791.1</v>
      </c>
      <c r="V312" t="inlineStr">
        <is>
          <t>AUD</t>
        </is>
      </c>
      <c r="W312" t="n">
        <v>791.1</v>
      </c>
      <c r="X312" t="n">
        <v/>
      </c>
    </row>
    <row r="313">
      <c r="A313" s="5" t="inlineStr">
        <is>
          <t>01a1212c-8362-7163-be71-842d7a8a6fd2</t>
        </is>
      </c>
      <c r="C313" s="5" t="inlineStr">
        <is>
          <t>01a1212c-4b57-70cf-80fd-c2192cb3bf81</t>
        </is>
      </c>
      <c r="D313" s="4" t="n">
        <v>46304.62416410972</v>
      </c>
      <c r="E313" s="4" t="n">
        <v>46304.62416410978</v>
      </c>
      <c r="F313" t="b">
        <v>1</v>
      </c>
      <c r="H313" t="inlineStr">
        <is>
          <t>2025-10-16 | PARCEL |  AAPL | 1.0000 unit</t>
        </is>
      </c>
      <c r="I313" s="5" t="inlineStr">
        <is>
          <t>01a1212c-8360-72a1-bf9d-e428d71200a4</t>
        </is>
      </c>
      <c r="J313" t="n">
        <v>1</v>
      </c>
      <c r="K313" t="n">
        <v>1</v>
      </c>
      <c r="L313" s="6" t="n">
        <v>45946</v>
      </c>
      <c r="O313" t="inlineStr">
        <is>
          <t>AAPL</t>
        </is>
      </c>
      <c r="P313" t="n">
        <v>1</v>
      </c>
      <c r="Q313" t="b">
        <v>0</v>
      </c>
      <c r="R313" t="inlineStr">
        <is>
          <t>AUD</t>
        </is>
      </c>
      <c r="S313" t="n">
        <v>7.5</v>
      </c>
      <c r="T313" t="inlineStr">
        <is>
          <t>AUD</t>
        </is>
      </c>
      <c r="U313" t="n">
        <v>378.675</v>
      </c>
      <c r="V313" t="inlineStr">
        <is>
          <t>AUD</t>
        </is>
      </c>
      <c r="W313" t="n">
        <v>378.675</v>
      </c>
      <c r="X313" t="n">
        <v/>
      </c>
    </row>
    <row r="314">
      <c r="A314" s="5" t="inlineStr">
        <is>
          <t>01a1212c-8379-70a3-bca0-09014acc3a82</t>
        </is>
      </c>
      <c r="C314" s="5" t="inlineStr">
        <is>
          <t>01a1212c-4b57-70cf-80fd-c2192cb3bf81</t>
        </is>
      </c>
      <c r="D314" s="4" t="n">
        <v>46304.62416437036</v>
      </c>
      <c r="E314" s="4" t="n">
        <v>46304.62430522624</v>
      </c>
      <c r="F314" t="b">
        <v>1</v>
      </c>
      <c r="H314" t="inlineStr">
        <is>
          <t>2025-11-03 | PARCEL |  A200 | 8.0000 unit</t>
        </is>
      </c>
      <c r="I314" s="5" t="inlineStr">
        <is>
          <t>01a1212c-8378-716a-ab1f-88122f9295b1</t>
        </is>
      </c>
      <c r="J314" t="n">
        <v>8</v>
      </c>
      <c r="K314" t="n">
        <v>1</v>
      </c>
      <c r="L314" s="6" t="n">
        <v>45964</v>
      </c>
      <c r="O314" t="inlineStr">
        <is>
          <t>A200</t>
        </is>
      </c>
      <c r="P314" t="n">
        <v>8</v>
      </c>
      <c r="Q314" t="b">
        <v>0</v>
      </c>
      <c r="R314" t="inlineStr">
        <is>
          <t>AUD</t>
        </is>
      </c>
      <c r="S314" t="n">
        <v>1.1875</v>
      </c>
      <c r="T314" t="inlineStr">
        <is>
          <t>AUD</t>
        </is>
      </c>
      <c r="U314" t="n">
        <v>1198.8679</v>
      </c>
      <c r="V314" t="inlineStr">
        <is>
          <t>AUD</t>
        </is>
      </c>
      <c r="W314" t="n">
        <v>149.858488</v>
      </c>
      <c r="X314" t="n">
        <v/>
      </c>
    </row>
    <row r="315">
      <c r="A315" s="5" t="inlineStr">
        <is>
          <t>01a1212c-838e-721d-90de-8c635a36411e</t>
        </is>
      </c>
      <c r="C315" s="5" t="inlineStr">
        <is>
          <t>01a1212c-4b57-70cf-80fd-c2192cb3bf81</t>
        </is>
      </c>
      <c r="D315" s="4" t="n">
        <v>46304.6241646144</v>
      </c>
      <c r="E315" s="4" t="n">
        <v>46304.62431453861</v>
      </c>
      <c r="F315" t="b">
        <v>1</v>
      </c>
      <c r="H315" t="inlineStr">
        <is>
          <t>2025-11-03 | PARCEL |  VGS | 9.0000 unit</t>
        </is>
      </c>
      <c r="I315" s="5" t="inlineStr">
        <is>
          <t>01a1212c-838d-70b6-b7f7-ba926650afeb</t>
        </is>
      </c>
      <c r="J315" t="n">
        <v>9</v>
      </c>
      <c r="K315" t="n">
        <v>1</v>
      </c>
      <c r="L315" s="6" t="n">
        <v>45964</v>
      </c>
      <c r="O315" t="inlineStr">
        <is>
          <t>VGS</t>
        </is>
      </c>
      <c r="P315" t="n">
        <v>9</v>
      </c>
      <c r="Q315" t="b">
        <v>0</v>
      </c>
      <c r="R315" t="inlineStr">
        <is>
          <t>AUD</t>
        </is>
      </c>
      <c r="S315" t="n">
        <v>1.055556</v>
      </c>
      <c r="T315" t="inlineStr">
        <is>
          <t>AUD</t>
        </is>
      </c>
      <c r="U315" t="n">
        <v>1404.5797</v>
      </c>
      <c r="V315" t="inlineStr">
        <is>
          <t>AUD</t>
        </is>
      </c>
      <c r="W315" t="n">
        <v>156.064411</v>
      </c>
      <c r="X315" t="n">
        <v/>
      </c>
    </row>
    <row r="316">
      <c r="A316" s="5" t="inlineStr">
        <is>
          <t>01a1212c-83a3-772e-bd97-dbf01515129f</t>
        </is>
      </c>
      <c r="C316" s="5" t="inlineStr">
        <is>
          <t>01a1212c-4b57-70cf-80fd-c2192cb3bf81</t>
        </is>
      </c>
      <c r="D316" s="4" t="n">
        <v>46304.62416486039</v>
      </c>
      <c r="E316" s="4" t="n">
        <v>46304.62416486044</v>
      </c>
      <c r="F316" t="b">
        <v>1</v>
      </c>
      <c r="H316" t="inlineStr">
        <is>
          <t>2025-11-13 | PARCEL |  BHP | 25.0000 unit</t>
        </is>
      </c>
      <c r="I316" s="5" t="inlineStr">
        <is>
          <t>01a1212c-83a2-7152-8258-8f2ad1a10a66</t>
        </is>
      </c>
      <c r="J316" t="n">
        <v>25</v>
      </c>
      <c r="K316" t="n">
        <v>1</v>
      </c>
      <c r="L316" s="6" t="n">
        <v>45974</v>
      </c>
      <c r="O316" t="inlineStr">
        <is>
          <t>BHP</t>
        </is>
      </c>
      <c r="P316" t="n">
        <v>25</v>
      </c>
      <c r="Q316" t="b">
        <v>0</v>
      </c>
      <c r="R316" t="inlineStr">
        <is>
          <t>AUD</t>
        </is>
      </c>
      <c r="S316" t="n">
        <v>0.798</v>
      </c>
      <c r="T316" t="inlineStr">
        <is>
          <t>AUD</t>
        </is>
      </c>
      <c r="U316" t="n">
        <v>1103.2</v>
      </c>
      <c r="V316" t="inlineStr">
        <is>
          <t>AUD</t>
        </is>
      </c>
      <c r="W316" t="n">
        <v>44.128</v>
      </c>
      <c r="X316" t="n">
        <v/>
      </c>
    </row>
    <row r="317">
      <c r="A317" s="5" t="inlineStr">
        <is>
          <t>01a1212c-83b7-7040-a89b-3d8f371aa5e1</t>
        </is>
      </c>
      <c r="C317" s="5" t="inlineStr">
        <is>
          <t>01a1212c-4b57-70cf-80fd-c2192cb3bf81</t>
        </is>
      </c>
      <c r="D317" s="4" t="n">
        <v>46304.62416508932</v>
      </c>
      <c r="E317" s="4" t="n">
        <v>46304.62430572125</v>
      </c>
      <c r="F317" t="b">
        <v>1</v>
      </c>
      <c r="H317" t="inlineStr">
        <is>
          <t>2025-12-08 | PARCEL |  A200 | 9.0000 unit</t>
        </is>
      </c>
      <c r="I317" s="5" t="inlineStr">
        <is>
          <t>01a1212c-83b6-7324-8169-323347395f2b</t>
        </is>
      </c>
      <c r="J317" t="n">
        <v>9</v>
      </c>
      <c r="K317" t="n">
        <v>1</v>
      </c>
      <c r="L317" s="6" t="n">
        <v>45999</v>
      </c>
      <c r="O317" t="inlineStr">
        <is>
          <t>A200</t>
        </is>
      </c>
      <c r="P317" t="n">
        <v>9</v>
      </c>
      <c r="Q317" t="b">
        <v>0</v>
      </c>
      <c r="R317" t="inlineStr">
        <is>
          <t>AUD</t>
        </is>
      </c>
      <c r="S317" t="n">
        <v>1.055556</v>
      </c>
      <c r="T317" t="inlineStr">
        <is>
          <t>AUD</t>
        </is>
      </c>
      <c r="U317" t="n">
        <v>1311.2319</v>
      </c>
      <c r="V317" t="inlineStr">
        <is>
          <t>AUD</t>
        </is>
      </c>
      <c r="W317" t="n">
        <v>145.692433</v>
      </c>
      <c r="X317" t="n">
        <v/>
      </c>
    </row>
    <row r="318">
      <c r="A318" s="5" t="inlineStr">
        <is>
          <t>01a1212c-83cf-7302-9de3-8d447adfd89f</t>
        </is>
      </c>
      <c r="C318" s="5" t="inlineStr">
        <is>
          <t>01a1212c-4b57-70cf-80fd-c2192cb3bf81</t>
        </is>
      </c>
      <c r="D318" s="4" t="n">
        <v>46304.62416536071</v>
      </c>
      <c r="E318" s="4" t="n">
        <v>46304.62416536079</v>
      </c>
      <c r="F318" t="b">
        <v>1</v>
      </c>
      <c r="H318" t="inlineStr">
        <is>
          <t>2025-12-08 | PARCEL |  AMZN | 2.0000 unit</t>
        </is>
      </c>
      <c r="I318" s="5" t="inlineStr">
        <is>
          <t>01a1212c-83cc-7016-9878-03e9934e35f1</t>
        </is>
      </c>
      <c r="J318" t="n">
        <v>2</v>
      </c>
      <c r="K318" t="n">
        <v>1</v>
      </c>
      <c r="L318" s="6" t="n">
        <v>45999</v>
      </c>
      <c r="O318" t="inlineStr">
        <is>
          <t>AMZN</t>
        </is>
      </c>
      <c r="P318" t="n">
        <v>2</v>
      </c>
      <c r="Q318" t="b">
        <v>0</v>
      </c>
      <c r="R318" t="inlineStr">
        <is>
          <t>AUD</t>
        </is>
      </c>
      <c r="S318" t="n">
        <v>3.75</v>
      </c>
      <c r="T318" t="inlineStr">
        <is>
          <t>AUD</t>
        </is>
      </c>
      <c r="U318" t="n">
        <v>688.17</v>
      </c>
      <c r="V318" t="inlineStr">
        <is>
          <t>AUD</t>
        </is>
      </c>
      <c r="W318" t="n">
        <v>344.085</v>
      </c>
      <c r="X318" t="n">
        <v/>
      </c>
    </row>
    <row r="319">
      <c r="A319" s="5" t="inlineStr">
        <is>
          <t>01a1212c-83e6-76ce-b9ce-6ff1405fdb11</t>
        </is>
      </c>
      <c r="C319" s="5" t="inlineStr">
        <is>
          <t>01a1212c-4b57-70cf-80fd-c2192cb3bf81</t>
        </is>
      </c>
      <c r="D319" s="4" t="n">
        <v>46304.62416562897</v>
      </c>
      <c r="E319" s="4" t="n">
        <v>46304.62431819875</v>
      </c>
      <c r="F319" t="b">
        <v>1</v>
      </c>
      <c r="H319" t="inlineStr">
        <is>
          <t>2025-12-08 | PARCEL |  VGS | 10.0000 unit</t>
        </is>
      </c>
      <c r="I319" s="5" t="inlineStr">
        <is>
          <t>01a1212c-83e4-7556-a543-cd357d8bcc3c</t>
        </is>
      </c>
      <c r="J319" t="n">
        <v>10</v>
      </c>
      <c r="K319" t="n">
        <v>1</v>
      </c>
      <c r="L319" s="6" t="n">
        <v>45999</v>
      </c>
      <c r="O319" t="inlineStr">
        <is>
          <t>VGS</t>
        </is>
      </c>
      <c r="P319" t="n">
        <v>10</v>
      </c>
      <c r="Q319" t="b">
        <v>0</v>
      </c>
      <c r="R319" t="inlineStr">
        <is>
          <t>AUD</t>
        </is>
      </c>
      <c r="S319" t="n">
        <v>0.95</v>
      </c>
      <c r="T319" t="inlineStr">
        <is>
          <t>AUD</t>
        </is>
      </c>
      <c r="U319" t="n">
        <v>1550.8319</v>
      </c>
      <c r="V319" t="inlineStr">
        <is>
          <t>AUD</t>
        </is>
      </c>
      <c r="W319" t="n">
        <v>155.08319</v>
      </c>
      <c r="X319" t="n">
        <v/>
      </c>
    </row>
    <row r="320">
      <c r="A320" s="5" t="inlineStr">
        <is>
          <t>01a1212c-83ff-7531-b3a7-897ec3441b19</t>
        </is>
      </c>
      <c r="C320" s="5" t="inlineStr">
        <is>
          <t>01a1212c-4b57-70cf-80fd-c2192cb3bf81</t>
        </is>
      </c>
      <c r="D320" s="4" t="n">
        <v>46304.6241659243</v>
      </c>
      <c r="E320" s="4" t="n">
        <v>46304.62430358325</v>
      </c>
      <c r="F320" t="b">
        <v>1</v>
      </c>
      <c r="H320" t="inlineStr">
        <is>
          <t>2026-01-05 | PARCEL |  A200 | 9.0000 unit</t>
        </is>
      </c>
      <c r="I320" s="5" t="inlineStr">
        <is>
          <t>01a1212c-83fe-7064-92aa-69fcb9cf4032</t>
        </is>
      </c>
      <c r="J320" t="n">
        <v>9</v>
      </c>
      <c r="K320" t="n">
        <v>1</v>
      </c>
      <c r="L320" s="6" t="n">
        <v>46027</v>
      </c>
      <c r="O320" t="inlineStr">
        <is>
          <t>A200</t>
        </is>
      </c>
      <c r="P320" t="n">
        <v>9</v>
      </c>
      <c r="Q320" t="b">
        <v>0</v>
      </c>
      <c r="R320" t="inlineStr">
        <is>
          <t>AUD</t>
        </is>
      </c>
      <c r="S320" t="n">
        <v>1.055556</v>
      </c>
      <c r="T320" t="inlineStr">
        <is>
          <t>AUD</t>
        </is>
      </c>
      <c r="U320" t="n">
        <v>1319.2124</v>
      </c>
      <c r="V320" t="inlineStr">
        <is>
          <t>AUD</t>
        </is>
      </c>
      <c r="W320" t="n">
        <v>146.579156</v>
      </c>
      <c r="X320" t="n">
        <v/>
      </c>
    </row>
    <row r="321">
      <c r="A321" s="5" t="inlineStr">
        <is>
          <t>01a1212c-8417-735c-9382-89614b404121</t>
        </is>
      </c>
      <c r="C321" s="5" t="inlineStr">
        <is>
          <t>01a1212c-4b57-70cf-80fd-c2192cb3bf81</t>
        </is>
      </c>
      <c r="D321" s="4" t="n">
        <v>46304.62416619834</v>
      </c>
      <c r="E321" s="4" t="n">
        <v>46304.62431437192</v>
      </c>
      <c r="F321" t="b">
        <v>1</v>
      </c>
      <c r="H321" t="inlineStr">
        <is>
          <t>2026-01-05 | PARCEL |  VGS | 11.0000 unit</t>
        </is>
      </c>
      <c r="I321" s="5" t="inlineStr">
        <is>
          <t>01a1212c-8416-7222-94b9-d729946b05ab</t>
        </is>
      </c>
      <c r="J321" t="n">
        <v>11</v>
      </c>
      <c r="K321" t="n">
        <v>1</v>
      </c>
      <c r="L321" s="6" t="n">
        <v>46027</v>
      </c>
      <c r="O321" t="inlineStr">
        <is>
          <t>VGS</t>
        </is>
      </c>
      <c r="P321" t="n">
        <v>11</v>
      </c>
      <c r="Q321" t="b">
        <v>0</v>
      </c>
      <c r="R321" t="inlineStr">
        <is>
          <t>AUD</t>
        </is>
      </c>
      <c r="S321" t="n">
        <v>0.863636</v>
      </c>
      <c r="T321" t="inlineStr">
        <is>
          <t>AUD</t>
        </is>
      </c>
      <c r="U321" t="n">
        <v>1703.8153</v>
      </c>
      <c r="V321" t="inlineStr">
        <is>
          <t>AUD</t>
        </is>
      </c>
      <c r="W321" t="n">
        <v>154.8923</v>
      </c>
      <c r="X321" t="n">
        <v/>
      </c>
    </row>
    <row r="322">
      <c r="A322" s="5" t="inlineStr">
        <is>
          <t>01a1212c-842f-7507-af43-8010f1e8bad1</t>
        </is>
      </c>
      <c r="C322" s="5" t="inlineStr">
        <is>
          <t>01a1212c-4b57-70cf-80fd-c2192cb3bf81</t>
        </is>
      </c>
      <c r="D322" s="4" t="n">
        <v>46304.62416648043</v>
      </c>
      <c r="E322" s="4" t="n">
        <v>46304.62416648048</v>
      </c>
      <c r="F322" t="b">
        <v>1</v>
      </c>
      <c r="H322" t="inlineStr">
        <is>
          <t>2026-01-09 | PARCEL |  MSFT | 1.0000 unit</t>
        </is>
      </c>
      <c r="I322" s="5" t="inlineStr">
        <is>
          <t>01a1212c-842c-7366-aae8-36e827126ce3</t>
        </is>
      </c>
      <c r="J322" t="n">
        <v>1</v>
      </c>
      <c r="K322" t="n">
        <v>1</v>
      </c>
      <c r="L322" s="6" t="n">
        <v>46031</v>
      </c>
      <c r="O322" t="inlineStr">
        <is>
          <t>MSFT</t>
        </is>
      </c>
      <c r="P322" t="n">
        <v>1</v>
      </c>
      <c r="Q322" t="b">
        <v>0</v>
      </c>
      <c r="R322" t="inlineStr">
        <is>
          <t>AUD</t>
        </is>
      </c>
      <c r="S322" t="n">
        <v>7.5</v>
      </c>
      <c r="T322" t="inlineStr">
        <is>
          <t>AUD</t>
        </is>
      </c>
      <c r="U322" t="n">
        <v>726.42</v>
      </c>
      <c r="V322" t="inlineStr">
        <is>
          <t>AUD</t>
        </is>
      </c>
      <c r="W322" t="n">
        <v>726.42</v>
      </c>
      <c r="X322" t="n">
        <v/>
      </c>
    </row>
    <row r="323">
      <c r="A323" s="5" t="inlineStr">
        <is>
          <t>01a1212c-8446-7415-b4a5-e91995a90f46</t>
        </is>
      </c>
      <c r="C323" s="5" t="inlineStr">
        <is>
          <t>01a1212c-4b57-70cf-80fd-c2192cb3bf81</t>
        </is>
      </c>
      <c r="D323" s="4" t="n">
        <v>46304.62416674595</v>
      </c>
      <c r="E323" s="4" t="n">
        <v>46304.62430584809</v>
      </c>
      <c r="F323" t="b">
        <v>1</v>
      </c>
      <c r="H323" t="inlineStr">
        <is>
          <t>2026-02-02 | PARCEL |  A200 | 6.0000 unit</t>
        </is>
      </c>
      <c r="I323" s="5" t="inlineStr">
        <is>
          <t>01a1212c-8445-775a-9196-87725e4576ec</t>
        </is>
      </c>
      <c r="J323" t="n">
        <v>6</v>
      </c>
      <c r="K323" t="n">
        <v>1</v>
      </c>
      <c r="L323" s="6" t="n">
        <v>46055</v>
      </c>
      <c r="O323" t="inlineStr">
        <is>
          <t>A200</t>
        </is>
      </c>
      <c r="P323" t="n">
        <v>6</v>
      </c>
      <c r="Q323" t="b">
        <v>0</v>
      </c>
      <c r="R323" t="inlineStr">
        <is>
          <t>AUD</t>
        </is>
      </c>
      <c r="S323" t="n">
        <v>1.583333</v>
      </c>
      <c r="T323" t="inlineStr">
        <is>
          <t>AUD</t>
        </is>
      </c>
      <c r="U323" t="n">
        <v>887.3019</v>
      </c>
      <c r="V323" t="inlineStr">
        <is>
          <t>AUD</t>
        </is>
      </c>
      <c r="W323" t="n">
        <v>147.88365</v>
      </c>
      <c r="X323" t="n">
        <v/>
      </c>
    </row>
    <row r="324">
      <c r="A324" s="5" t="inlineStr">
        <is>
          <t>01a1212c-845d-7270-9d05-3fab51eb08af</t>
        </is>
      </c>
      <c r="C324" s="5" t="inlineStr">
        <is>
          <t>01a1212c-4b57-70cf-80fd-c2192cb3bf81</t>
        </is>
      </c>
      <c r="D324" s="4" t="n">
        <v>46304.6241670114</v>
      </c>
      <c r="E324" s="4" t="n">
        <v>46304.62431482325</v>
      </c>
      <c r="F324" t="b">
        <v>1</v>
      </c>
      <c r="H324" t="inlineStr">
        <is>
          <t>2026-02-02 | PARCEL |  VGS | 7.0000 unit</t>
        </is>
      </c>
      <c r="I324" s="5" t="inlineStr">
        <is>
          <t>01a1212c-845c-7353-ab38-a953598332d0</t>
        </is>
      </c>
      <c r="J324" t="n">
        <v>7</v>
      </c>
      <c r="K324" t="n">
        <v>1</v>
      </c>
      <c r="L324" s="6" t="n">
        <v>46055</v>
      </c>
      <c r="O324" t="inlineStr">
        <is>
          <t>VGS</t>
        </is>
      </c>
      <c r="P324" t="n">
        <v>7</v>
      </c>
      <c r="Q324" t="b">
        <v>0</v>
      </c>
      <c r="R324" t="inlineStr">
        <is>
          <t>AUD</t>
        </is>
      </c>
      <c r="S324" t="n">
        <v>1.357143</v>
      </c>
      <c r="T324" t="inlineStr">
        <is>
          <t>AUD</t>
        </is>
      </c>
      <c r="U324" t="n">
        <v>1051.5489</v>
      </c>
      <c r="V324" t="inlineStr">
        <is>
          <t>AUD</t>
        </is>
      </c>
      <c r="W324" t="n">
        <v>150.221271</v>
      </c>
      <c r="X324" t="n">
        <v/>
      </c>
    </row>
    <row r="325">
      <c r="A325" s="5" t="inlineStr">
        <is>
          <t>01a1212c-8474-71c2-9645-faa3bff524cb</t>
        </is>
      </c>
      <c r="C325" s="5" t="inlineStr">
        <is>
          <t>01a1212c-4b57-70cf-80fd-c2192cb3bf81</t>
        </is>
      </c>
      <c r="D325" s="4" t="n">
        <v>46304.62416727805</v>
      </c>
      <c r="E325" s="4" t="n">
        <v>46304.62430397783</v>
      </c>
      <c r="F325" t="b">
        <v>1</v>
      </c>
      <c r="H325" t="inlineStr">
        <is>
          <t>2026-03-04 | PARCEL |  A200 | 10.0000 unit</t>
        </is>
      </c>
      <c r="I325" s="5" t="inlineStr">
        <is>
          <t>01a1212c-8473-7293-ada3-f800990c657f</t>
        </is>
      </c>
      <c r="J325" t="n">
        <v>10</v>
      </c>
      <c r="K325" t="n">
        <v>1</v>
      </c>
      <c r="L325" s="6" t="n">
        <v>46085</v>
      </c>
      <c r="O325" t="inlineStr">
        <is>
          <t>A200</t>
        </is>
      </c>
      <c r="P325" t="n">
        <v>10</v>
      </c>
      <c r="Q325" t="b">
        <v>0</v>
      </c>
      <c r="R325" t="inlineStr">
        <is>
          <t>AUD</t>
        </is>
      </c>
      <c r="S325" t="n">
        <v>0.95</v>
      </c>
      <c r="T325" t="inlineStr">
        <is>
          <t>AUD</t>
        </is>
      </c>
      <c r="U325" t="n">
        <v>1501.3395</v>
      </c>
      <c r="V325" t="inlineStr">
        <is>
          <t>AUD</t>
        </is>
      </c>
      <c r="W325" t="n">
        <v>150.13395</v>
      </c>
      <c r="X325" t="n">
        <v/>
      </c>
    </row>
    <row r="326">
      <c r="A326" s="5" t="inlineStr">
        <is>
          <t>01a1212c-848c-720f-9460-81637af98d2e</t>
        </is>
      </c>
      <c r="C326" s="5" t="inlineStr">
        <is>
          <t>01a1212c-4b57-70cf-80fd-c2192cb3bf81</t>
        </is>
      </c>
      <c r="D326" s="4" t="n">
        <v>46304.62416755252</v>
      </c>
      <c r="E326" s="4" t="n">
        <v>46304.62431844504</v>
      </c>
      <c r="F326" t="b">
        <v>1</v>
      </c>
      <c r="H326" t="inlineStr">
        <is>
          <t>2026-03-04 | PARCEL |  VGS | 13.0000 unit</t>
        </is>
      </c>
      <c r="I326" s="5" t="inlineStr">
        <is>
          <t>01a1212c-848b-7247-a6ca-f53a0ef9bc74</t>
        </is>
      </c>
      <c r="J326" t="n">
        <v>13</v>
      </c>
      <c r="K326" t="n">
        <v>1</v>
      </c>
      <c r="L326" s="6" t="n">
        <v>46085</v>
      </c>
      <c r="O326" t="inlineStr">
        <is>
          <t>VGS</t>
        </is>
      </c>
      <c r="P326" t="n">
        <v>13</v>
      </c>
      <c r="Q326" t="b">
        <v>0</v>
      </c>
      <c r="R326" t="inlineStr">
        <is>
          <t>AUD</t>
        </is>
      </c>
      <c r="S326" t="n">
        <v>0.730769</v>
      </c>
      <c r="T326" t="inlineStr">
        <is>
          <t>AUD</t>
        </is>
      </c>
      <c r="U326" t="n">
        <v>1906.4505</v>
      </c>
      <c r="V326" t="inlineStr">
        <is>
          <t>AUD</t>
        </is>
      </c>
      <c r="W326" t="n">
        <v>146.650038</v>
      </c>
      <c r="X326" t="n">
        <v/>
      </c>
    </row>
    <row r="327">
      <c r="A327" s="5" t="inlineStr">
        <is>
          <t>01a1212c-84a5-773c-b095-81815e9305fc</t>
        </is>
      </c>
      <c r="C327" s="5" t="inlineStr">
        <is>
          <t>01a1212c-4b57-70cf-80fd-c2192cb3bf81</t>
        </is>
      </c>
      <c r="D327" s="4" t="n">
        <v>46304.62416784563</v>
      </c>
      <c r="E327" s="4" t="n">
        <v>46304.62430559609</v>
      </c>
      <c r="F327" t="b">
        <v>1</v>
      </c>
      <c r="H327" t="inlineStr">
        <is>
          <t>2026-04-07 | PARCEL |  A200 | 4.0000 unit</t>
        </is>
      </c>
      <c r="I327" s="5" t="inlineStr">
        <is>
          <t>01a1212c-84a4-7537-b06f-3b575ecb0e64</t>
        </is>
      </c>
      <c r="J327" t="n">
        <v>4</v>
      </c>
      <c r="K327" t="n">
        <v>1</v>
      </c>
      <c r="L327" s="6" t="n">
        <v>46119</v>
      </c>
      <c r="O327" t="inlineStr">
        <is>
          <t>A200</t>
        </is>
      </c>
      <c r="P327" t="n">
        <v>4</v>
      </c>
      <c r="Q327" t="b">
        <v>0</v>
      </c>
      <c r="R327" t="inlineStr">
        <is>
          <t>AUD</t>
        </is>
      </c>
      <c r="S327" t="n">
        <v>2.375</v>
      </c>
      <c r="T327" t="inlineStr">
        <is>
          <t>AUD</t>
        </is>
      </c>
      <c r="U327" t="n">
        <v>592.5056</v>
      </c>
      <c r="V327" t="inlineStr">
        <is>
          <t>AUD</t>
        </is>
      </c>
      <c r="W327" t="n">
        <v>148.1264</v>
      </c>
      <c r="X327" t="n">
        <v/>
      </c>
    </row>
    <row r="328">
      <c r="A328" s="5" t="inlineStr">
        <is>
          <t>01a1212c-84bf-721d-8018-983ed730ec1f</t>
        </is>
      </c>
      <c r="C328" s="5" t="inlineStr">
        <is>
          <t>01a1212c-4b57-70cf-80fd-c2192cb3bf81</t>
        </is>
      </c>
      <c r="D328" s="4" t="n">
        <v>46304.62416814738</v>
      </c>
      <c r="E328" s="4" t="n">
        <v>46304.624316846</v>
      </c>
      <c r="F328" t="b">
        <v>1</v>
      </c>
      <c r="H328" t="inlineStr">
        <is>
          <t>2026-04-07 | PARCEL |  VGS | 6.0000 unit</t>
        </is>
      </c>
      <c r="I328" s="5" t="inlineStr">
        <is>
          <t>01a1212c-84be-77fa-8ccc-c7ebefd4abda</t>
        </is>
      </c>
      <c r="J328" t="n">
        <v>6</v>
      </c>
      <c r="K328" t="n">
        <v>1</v>
      </c>
      <c r="L328" s="6" t="n">
        <v>46119</v>
      </c>
      <c r="O328" t="inlineStr">
        <is>
          <t>VGS</t>
        </is>
      </c>
      <c r="P328" t="n">
        <v>6</v>
      </c>
      <c r="Q328" t="b">
        <v>0</v>
      </c>
      <c r="R328" t="inlineStr">
        <is>
          <t>AUD</t>
        </is>
      </c>
      <c r="S328" t="n">
        <v>1.583333</v>
      </c>
      <c r="T328" t="inlineStr">
        <is>
          <t>AUD</t>
        </is>
      </c>
      <c r="U328" t="n">
        <v>872.0826</v>
      </c>
      <c r="V328" t="inlineStr">
        <is>
          <t>AUD</t>
        </is>
      </c>
      <c r="W328" t="n">
        <v>145.3471</v>
      </c>
      <c r="X328" t="n">
        <v/>
      </c>
    </row>
    <row r="329">
      <c r="A329" s="5" t="inlineStr">
        <is>
          <t>01a1212c-84d7-73dc-8092-e9a17d84fcf1</t>
        </is>
      </c>
      <c r="C329" s="5" t="inlineStr">
        <is>
          <t>01a1212c-4b57-70cf-80fd-c2192cb3bf81</t>
        </is>
      </c>
      <c r="D329" s="4" t="n">
        <v>46304.62416842658</v>
      </c>
      <c r="E329" s="4" t="n">
        <v>46304.62416842664</v>
      </c>
      <c r="F329" t="b">
        <v>1</v>
      </c>
      <c r="H329" t="inlineStr">
        <is>
          <t>2026-04-20 | PARCEL |  AAPL | 2.0000 unit</t>
        </is>
      </c>
      <c r="I329" s="5" t="inlineStr">
        <is>
          <t>01a1212c-84d5-771f-9fff-1e3083a01506</t>
        </is>
      </c>
      <c r="J329" t="n">
        <v>2</v>
      </c>
      <c r="K329" t="n">
        <v>1</v>
      </c>
      <c r="L329" s="6" t="n">
        <v>46132</v>
      </c>
      <c r="O329" t="inlineStr">
        <is>
          <t>AAPL</t>
        </is>
      </c>
      <c r="P329" t="n">
        <v>2</v>
      </c>
      <c r="Q329" t="b">
        <v>0</v>
      </c>
      <c r="R329" t="inlineStr">
        <is>
          <t>AUD</t>
        </is>
      </c>
      <c r="S329" t="n">
        <v>3.75</v>
      </c>
      <c r="T329" t="inlineStr">
        <is>
          <t>AUD</t>
        </is>
      </c>
      <c r="U329" t="n">
        <v>826.65</v>
      </c>
      <c r="V329" t="inlineStr">
        <is>
          <t>AUD</t>
        </is>
      </c>
      <c r="W329" t="n">
        <v>413.325</v>
      </c>
      <c r="X329" t="n">
        <v/>
      </c>
    </row>
    <row r="330">
      <c r="A330" s="5" t="inlineStr">
        <is>
          <t>01a1212c-84f0-73f7-810f-88576e21df54</t>
        </is>
      </c>
      <c r="C330" s="5" t="inlineStr">
        <is>
          <t>01a1212c-4b57-70cf-80fd-c2192cb3bf81</t>
        </is>
      </c>
      <c r="D330" s="4" t="n">
        <v>46304.6241687115</v>
      </c>
      <c r="E330" s="4" t="n">
        <v>46304.62416871155</v>
      </c>
      <c r="F330" t="b">
        <v>1</v>
      </c>
      <c r="H330" t="inlineStr">
        <is>
          <t>2026-04-27 | PARCEL |  AAPL | 1.0000 unit</t>
        </is>
      </c>
      <c r="I330" s="5" t="inlineStr">
        <is>
          <t>01a1212c-84ed-7717-af40-4f63b2996ee8</t>
        </is>
      </c>
      <c r="J330" t="n">
        <v>1</v>
      </c>
      <c r="K330" t="n">
        <v>1</v>
      </c>
      <c r="L330" s="6" t="n">
        <v>46139</v>
      </c>
      <c r="O330" t="inlineStr">
        <is>
          <t>AAPL</t>
        </is>
      </c>
      <c r="P330" t="n">
        <v>1</v>
      </c>
      <c r="Q330" t="b">
        <v>0</v>
      </c>
      <c r="R330" t="inlineStr">
        <is>
          <t>AUD</t>
        </is>
      </c>
      <c r="S330" t="n">
        <v>7.5</v>
      </c>
      <c r="T330" t="inlineStr">
        <is>
          <t>AUD</t>
        </is>
      </c>
      <c r="U330" t="n">
        <v>408.915</v>
      </c>
      <c r="V330" t="inlineStr">
        <is>
          <t>AUD</t>
        </is>
      </c>
      <c r="W330" t="n">
        <v>408.915</v>
      </c>
      <c r="X330" t="n">
        <v/>
      </c>
    </row>
    <row r="331">
      <c r="A331" s="5" t="inlineStr">
        <is>
          <t>01a1212c-8507-7491-bb00-aabe1de651f7</t>
        </is>
      </c>
      <c r="C331" s="5" t="inlineStr">
        <is>
          <t>01a1212c-4b57-70cf-80fd-c2192cb3bf81</t>
        </is>
      </c>
      <c r="D331" s="4" t="n">
        <v>46304.62416898008</v>
      </c>
      <c r="E331" s="4" t="n">
        <v>46304.62430286545</v>
      </c>
      <c r="F331" t="b">
        <v>1</v>
      </c>
      <c r="H331" t="inlineStr">
        <is>
          <t>2026-05-04 | PARCEL |  A200 | 9.0000 unit</t>
        </is>
      </c>
      <c r="I331" s="5" t="inlineStr">
        <is>
          <t>01a1212c-8506-7390-80b7-409af973ad1d</t>
        </is>
      </c>
      <c r="J331" t="n">
        <v>9</v>
      </c>
      <c r="K331" t="n">
        <v>1</v>
      </c>
      <c r="L331" s="6" t="n">
        <v>46146</v>
      </c>
      <c r="O331" t="inlineStr">
        <is>
          <t>A200</t>
        </is>
      </c>
      <c r="P331" t="n">
        <v>9</v>
      </c>
      <c r="Q331" t="b">
        <v>0</v>
      </c>
      <c r="R331" t="inlineStr">
        <is>
          <t>AUD</t>
        </is>
      </c>
      <c r="S331" t="n">
        <v>1.055556</v>
      </c>
      <c r="T331" t="inlineStr">
        <is>
          <t>AUD</t>
        </is>
      </c>
      <c r="U331" t="n">
        <v>1318.0069</v>
      </c>
      <c r="V331" t="inlineStr">
        <is>
          <t>AUD</t>
        </is>
      </c>
      <c r="W331" t="n">
        <v>146.445211</v>
      </c>
      <c r="X331" t="n">
        <v/>
      </c>
    </row>
    <row r="332">
      <c r="A332" s="5" t="inlineStr">
        <is>
          <t>01a1212c-8520-7696-ae82-69cebf4a4821</t>
        </is>
      </c>
      <c r="C332" s="5" t="inlineStr">
        <is>
          <t>01a1212c-4b57-70cf-80fd-c2192cb3bf81</t>
        </is>
      </c>
      <c r="D332" s="4" t="n">
        <v>46304.62416927135</v>
      </c>
      <c r="E332" s="4" t="n">
        <v>46304.62431628347</v>
      </c>
      <c r="F332" t="b">
        <v>1</v>
      </c>
      <c r="H332" t="inlineStr">
        <is>
          <t>2026-05-04 | PARCEL |  VGS | 11.0000 unit</t>
        </is>
      </c>
      <c r="I332" s="5" t="inlineStr">
        <is>
          <t>01a1212c-851f-76df-bf62-167b46716891</t>
        </is>
      </c>
      <c r="J332" t="n">
        <v>11</v>
      </c>
      <c r="K332" t="n">
        <v>1</v>
      </c>
      <c r="L332" s="6" t="n">
        <v>46146</v>
      </c>
      <c r="O332" t="inlineStr">
        <is>
          <t>VGS</t>
        </is>
      </c>
      <c r="P332" t="n">
        <v>11</v>
      </c>
      <c r="Q332" t="b">
        <v>0</v>
      </c>
      <c r="R332" t="inlineStr">
        <is>
          <t>AUD</t>
        </is>
      </c>
      <c r="S332" t="n">
        <v>0.863636</v>
      </c>
      <c r="T332" t="inlineStr">
        <is>
          <t>AUD</t>
        </is>
      </c>
      <c r="U332" t="n">
        <v>1658.6133</v>
      </c>
      <c r="V332" t="inlineStr">
        <is>
          <t>AUD</t>
        </is>
      </c>
      <c r="W332" t="n">
        <v>150.783027</v>
      </c>
      <c r="X332" t="n">
        <v/>
      </c>
    </row>
    <row r="333">
      <c r="A333" s="5" t="inlineStr">
        <is>
          <t>01a1212c-853b-7135-b021-23ca5a1e6c2d</t>
        </is>
      </c>
      <c r="C333" s="5" t="inlineStr">
        <is>
          <t>01a1212c-4b57-70cf-80fd-c2192cb3bf81</t>
        </is>
      </c>
      <c r="D333" s="4" t="n">
        <v>46304.62416958062</v>
      </c>
      <c r="E333" s="4" t="n">
        <v>46304.62430551774</v>
      </c>
      <c r="F333" t="b">
        <v>1</v>
      </c>
      <c r="H333" t="inlineStr">
        <is>
          <t>2026-06-09 | PARCEL |  A200 | 10.0000 unit</t>
        </is>
      </c>
      <c r="I333" s="5" t="inlineStr">
        <is>
          <t>01a1212c-853a-718d-a485-85bc0e48f6c4</t>
        </is>
      </c>
      <c r="J333" t="n">
        <v>10</v>
      </c>
      <c r="K333" t="n">
        <v>1</v>
      </c>
      <c r="L333" s="6" t="n">
        <v>46182</v>
      </c>
      <c r="O333" t="inlineStr">
        <is>
          <t>A200</t>
        </is>
      </c>
      <c r="P333" t="n">
        <v>10</v>
      </c>
      <c r="Q333" t="b">
        <v>0</v>
      </c>
      <c r="R333" t="inlineStr">
        <is>
          <t>AUD</t>
        </is>
      </c>
      <c r="S333" t="n">
        <v>0.95</v>
      </c>
      <c r="T333" t="inlineStr">
        <is>
          <t>AUD</t>
        </is>
      </c>
      <c r="U333" t="n">
        <v>1453.4401</v>
      </c>
      <c r="V333" t="inlineStr">
        <is>
          <t>AUD</t>
        </is>
      </c>
      <c r="W333" t="n">
        <v>145.34401</v>
      </c>
      <c r="X333" t="n">
        <v/>
      </c>
    </row>
    <row r="334">
      <c r="A334" s="5" t="inlineStr">
        <is>
          <t>01a1212c-8554-7219-95e5-6c0454a0fcfb</t>
        </is>
      </c>
      <c r="C334" s="5" t="inlineStr">
        <is>
          <t>01a1212c-4b57-70cf-80fd-c2192cb3bf81</t>
        </is>
      </c>
      <c r="D334" s="4" t="n">
        <v>46304.62416986713</v>
      </c>
      <c r="E334" s="4" t="n">
        <v>46304.62431864343</v>
      </c>
      <c r="F334" t="b">
        <v>1</v>
      </c>
      <c r="H334" t="inlineStr">
        <is>
          <t>2026-06-09 | PARCEL |  VGS | 11.0000 unit</t>
        </is>
      </c>
      <c r="I334" s="5" t="inlineStr">
        <is>
          <t>01a1212c-8553-778d-9735-082a1f499d4e</t>
        </is>
      </c>
      <c r="J334" t="n">
        <v>11</v>
      </c>
      <c r="K334" t="n">
        <v>1</v>
      </c>
      <c r="L334" s="6" t="n">
        <v>46182</v>
      </c>
      <c r="O334" t="inlineStr">
        <is>
          <t>VGS</t>
        </is>
      </c>
      <c r="P334" t="n">
        <v>11</v>
      </c>
      <c r="Q334" t="b">
        <v>0</v>
      </c>
      <c r="R334" t="inlineStr">
        <is>
          <t>AUD</t>
        </is>
      </c>
      <c r="S334" t="n">
        <v>0.863636</v>
      </c>
      <c r="T334" t="inlineStr">
        <is>
          <t>AUD</t>
        </is>
      </c>
      <c r="U334" t="n">
        <v>1729.6092</v>
      </c>
      <c r="V334" t="inlineStr">
        <is>
          <t>AUD</t>
        </is>
      </c>
      <c r="W334" t="n">
        <v>157.2372</v>
      </c>
      <c r="X334" t="n">
        <v/>
      </c>
    </row>
    <row r="335">
      <c r="A335" s="5" t="inlineStr">
        <is>
          <t>01a1212c-856b-7012-8768-5a003f81593c</t>
        </is>
      </c>
      <c r="C335" s="5" t="inlineStr">
        <is>
          <t>01a1212c-4b57-70cf-80fd-c2192cb3bf81</t>
        </is>
      </c>
      <c r="D335" s="4" t="n">
        <v>46304.62417013584</v>
      </c>
      <c r="E335" s="4" t="n">
        <v>46304.6241701359</v>
      </c>
      <c r="F335" t="b">
        <v>1</v>
      </c>
      <c r="H335" t="inlineStr">
        <is>
          <t>2026-07-02 | PARCEL |  AMZN | 2.0000 unit</t>
        </is>
      </c>
      <c r="I335" s="5" t="inlineStr">
        <is>
          <t>01a1212c-8568-716e-ac4f-69f2c4b35fe8</t>
        </is>
      </c>
      <c r="J335" t="n">
        <v>2</v>
      </c>
      <c r="K335" t="n">
        <v>1</v>
      </c>
      <c r="L335" s="6" t="n">
        <v>46205</v>
      </c>
      <c r="O335" t="inlineStr">
        <is>
          <t>AMZN</t>
        </is>
      </c>
      <c r="P335" t="n">
        <v>2</v>
      </c>
      <c r="Q335" t="b">
        <v>0</v>
      </c>
      <c r="R335" t="inlineStr">
        <is>
          <t>AUD</t>
        </is>
      </c>
      <c r="S335" t="n">
        <v>3.75</v>
      </c>
      <c r="T335" t="inlineStr">
        <is>
          <t>AUD</t>
        </is>
      </c>
      <c r="U335" t="n">
        <v>735.51</v>
      </c>
      <c r="V335" t="inlineStr">
        <is>
          <t>AUD</t>
        </is>
      </c>
      <c r="W335" t="n">
        <v>367.755</v>
      </c>
      <c r="X335" t="n">
        <v/>
      </c>
    </row>
    <row r="336">
      <c r="A336" s="5" t="inlineStr">
        <is>
          <t>01a1212c-8584-7263-9881-6a3af7b61546</t>
        </is>
      </c>
      <c r="C336" s="5" t="inlineStr">
        <is>
          <t>01a1212c-4b57-70cf-80fd-c2192cb3bf81</t>
        </is>
      </c>
      <c r="D336" s="4" t="n">
        <v>46304.62417042449</v>
      </c>
      <c r="E336" s="4" t="n">
        <v>46304.62417042456</v>
      </c>
      <c r="F336" t="b">
        <v>1</v>
      </c>
      <c r="H336" t="inlineStr">
        <is>
          <t>2026-07-06 | PARCEL |  A200 | 9.0000 unit</t>
        </is>
      </c>
      <c r="I336" s="5" t="inlineStr">
        <is>
          <t>01a1212c-8583-77aa-b358-8a274a8dce5e</t>
        </is>
      </c>
      <c r="J336" t="n">
        <v>9</v>
      </c>
      <c r="K336" t="n">
        <v>1</v>
      </c>
      <c r="L336" s="6" t="n">
        <v>46209</v>
      </c>
      <c r="O336" t="inlineStr">
        <is>
          <t>A200</t>
        </is>
      </c>
      <c r="P336" t="n">
        <v>9</v>
      </c>
      <c r="Q336" t="b">
        <v>0</v>
      </c>
      <c r="R336" t="inlineStr">
        <is>
          <t>AUD</t>
        </is>
      </c>
      <c r="S336" t="n">
        <v>1.055556</v>
      </c>
      <c r="T336" t="inlineStr">
        <is>
          <t>AUD</t>
        </is>
      </c>
      <c r="U336" t="n">
        <v>1334.39</v>
      </c>
      <c r="V336" t="inlineStr">
        <is>
          <t>AUD</t>
        </is>
      </c>
      <c r="W336" t="n">
        <v>148.265556</v>
      </c>
      <c r="X336" t="n">
        <v/>
      </c>
    </row>
    <row r="337">
      <c r="A337" s="5" t="inlineStr">
        <is>
          <t>01a1212c-85a2-731c-a963-0a1ae327affa</t>
        </is>
      </c>
      <c r="C337" s="5" t="inlineStr">
        <is>
          <t>01a1212c-4b57-70cf-80fd-c2192cb3bf81</t>
        </is>
      </c>
      <c r="D337" s="4" t="n">
        <v>46304.62417077314</v>
      </c>
      <c r="E337" s="4" t="n">
        <v>46304.62417077326</v>
      </c>
      <c r="F337" t="b">
        <v>1</v>
      </c>
      <c r="H337" t="inlineStr">
        <is>
          <t>2026-07-06 | PARCEL |  AMZN | 2.0000 unit</t>
        </is>
      </c>
      <c r="I337" s="5" t="inlineStr">
        <is>
          <t>01a1212c-859d-70c2-a736-3746b3277cc7</t>
        </is>
      </c>
      <c r="J337" t="n">
        <v>2</v>
      </c>
      <c r="K337" t="n">
        <v>1</v>
      </c>
      <c r="L337" s="6" t="n">
        <v>46209</v>
      </c>
      <c r="O337" t="inlineStr">
        <is>
          <t>AMZN</t>
        </is>
      </c>
      <c r="P337" t="n">
        <v>2</v>
      </c>
      <c r="Q337" t="b">
        <v>0</v>
      </c>
      <c r="R337" t="inlineStr">
        <is>
          <t>AUD</t>
        </is>
      </c>
      <c r="S337" t="n">
        <v>3.75</v>
      </c>
      <c r="T337" t="inlineStr">
        <is>
          <t>AUD</t>
        </is>
      </c>
      <c r="U337" t="n">
        <v>739.98</v>
      </c>
      <c r="V337" t="inlineStr">
        <is>
          <t>AUD</t>
        </is>
      </c>
      <c r="W337" t="n">
        <v>369.99</v>
      </c>
      <c r="X337" t="n">
        <v/>
      </c>
    </row>
    <row r="338">
      <c r="A338" s="5" t="inlineStr">
        <is>
          <t>01a1212c-85c8-763d-9f48-fcca4244327b</t>
        </is>
      </c>
      <c r="C338" s="5" t="inlineStr">
        <is>
          <t>01a1212c-4b57-70cf-80fd-c2192cb3bf81</t>
        </is>
      </c>
      <c r="D338" s="4" t="n">
        <v>46304.62417120817</v>
      </c>
      <c r="E338" s="4" t="n">
        <v>46304.62417120823</v>
      </c>
      <c r="F338" t="b">
        <v>1</v>
      </c>
      <c r="H338" t="inlineStr">
        <is>
          <t>2026-07-06 | PARCEL |  MSFT | 2.0000 unit</t>
        </is>
      </c>
      <c r="I338" s="5" t="inlineStr">
        <is>
          <t>01a1212c-85c6-7650-b66c-e506ab2958cf</t>
        </is>
      </c>
      <c r="J338" t="n">
        <v>2</v>
      </c>
      <c r="K338" t="n">
        <v>1</v>
      </c>
      <c r="L338" s="6" t="n">
        <v>46209</v>
      </c>
      <c r="O338" t="inlineStr">
        <is>
          <t>MSFT</t>
        </is>
      </c>
      <c r="P338" t="n">
        <v>2</v>
      </c>
      <c r="Q338" t="b">
        <v>0</v>
      </c>
      <c r="R338" t="inlineStr">
        <is>
          <t>AUD</t>
        </is>
      </c>
      <c r="S338" t="n">
        <v>3.75</v>
      </c>
      <c r="T338" t="inlineStr">
        <is>
          <t>AUD</t>
        </is>
      </c>
      <c r="U338" t="n">
        <v>1167.72</v>
      </c>
      <c r="V338" t="inlineStr">
        <is>
          <t>AUD</t>
        </is>
      </c>
      <c r="W338" t="n">
        <v>583.86</v>
      </c>
      <c r="X338" t="n">
        <v/>
      </c>
    </row>
    <row r="339">
      <c r="A339" s="5" t="inlineStr">
        <is>
          <t>01a1212c-85e2-7442-be7c-9922e2171f31</t>
        </is>
      </c>
      <c r="C339" s="5" t="inlineStr">
        <is>
          <t>01a1212c-4b57-70cf-80fd-c2192cb3bf81</t>
        </is>
      </c>
      <c r="D339" s="4" t="n">
        <v>46304.62417151448</v>
      </c>
      <c r="E339" s="4" t="n">
        <v>46304.62417151457</v>
      </c>
      <c r="F339" t="b">
        <v>1</v>
      </c>
      <c r="H339" t="inlineStr">
        <is>
          <t>2026-07-06 | PARCEL |  VGS | 10.0000 unit</t>
        </is>
      </c>
      <c r="I339" s="5" t="inlineStr">
        <is>
          <t>01a1212c-85e1-7059-b34a-c093a37892aa</t>
        </is>
      </c>
      <c r="J339" t="n">
        <v>10</v>
      </c>
      <c r="K339" t="n">
        <v>1</v>
      </c>
      <c r="L339" s="6" t="n">
        <v>46209</v>
      </c>
      <c r="O339" t="inlineStr">
        <is>
          <t>VGS</t>
        </is>
      </c>
      <c r="P339" t="n">
        <v>10</v>
      </c>
      <c r="Q339" t="b">
        <v>0</v>
      </c>
      <c r="R339" t="inlineStr">
        <is>
          <t>AUD</t>
        </is>
      </c>
      <c r="S339" t="n">
        <v>0.95</v>
      </c>
      <c r="T339" t="inlineStr">
        <is>
          <t>AUD</t>
        </is>
      </c>
      <c r="U339" t="n">
        <v>1622.1</v>
      </c>
      <c r="V339" t="inlineStr">
        <is>
          <t>AUD</t>
        </is>
      </c>
      <c r="W339" t="n">
        <v>162.21</v>
      </c>
      <c r="X339" t="n">
        <v/>
      </c>
    </row>
    <row r="340">
      <c r="A340" s="5" t="inlineStr">
        <is>
          <t>01a1212c-85fe-7401-bfcc-516bdb835ec5</t>
        </is>
      </c>
      <c r="C340" s="5" t="inlineStr">
        <is>
          <t>01a1212c-4b57-70cf-80fd-c2192cb3bf81</t>
        </is>
      </c>
      <c r="D340" s="4" t="n">
        <v>46304.62417184082</v>
      </c>
      <c r="E340" s="4" t="n">
        <v>46304.62417184088</v>
      </c>
      <c r="F340" t="b">
        <v>1</v>
      </c>
      <c r="H340" t="inlineStr">
        <is>
          <t>2026-07-20 | PARCEL |  AMZN | 2.0000 unit</t>
        </is>
      </c>
      <c r="I340" s="5" t="inlineStr">
        <is>
          <t>01a1212c-85fb-7290-89a0-89b2309e8174</t>
        </is>
      </c>
      <c r="J340" t="n">
        <v>2</v>
      </c>
      <c r="K340" t="n">
        <v>1</v>
      </c>
      <c r="L340" s="6" t="n">
        <v>46223</v>
      </c>
      <c r="O340" t="inlineStr">
        <is>
          <t>AMZN</t>
        </is>
      </c>
      <c r="P340" t="n">
        <v>2</v>
      </c>
      <c r="Q340" t="b">
        <v>0</v>
      </c>
      <c r="R340" t="inlineStr">
        <is>
          <t>AUD</t>
        </is>
      </c>
      <c r="S340" t="n">
        <v>3.75</v>
      </c>
      <c r="T340" t="inlineStr">
        <is>
          <t>AUD</t>
        </is>
      </c>
      <c r="U340" t="n">
        <v>757.47</v>
      </c>
      <c r="V340" t="inlineStr">
        <is>
          <t>AUD</t>
        </is>
      </c>
      <c r="W340" t="n">
        <v>378.735</v>
      </c>
      <c r="X340" t="n">
        <v/>
      </c>
    </row>
    <row r="341">
      <c r="A341" s="5" t="inlineStr">
        <is>
          <t>01a1212c-8616-77a0-8f8a-705b574f86b3</t>
        </is>
      </c>
      <c r="C341" s="5" t="inlineStr">
        <is>
          <t>01a1212c-4b57-70cf-80fd-c2192cb3bf81</t>
        </is>
      </c>
      <c r="D341" s="4" t="n">
        <v>46304.62417211394</v>
      </c>
      <c r="E341" s="4" t="n">
        <v>46304.624172114</v>
      </c>
      <c r="F341" t="b">
        <v>1</v>
      </c>
      <c r="H341" t="inlineStr">
        <is>
          <t>2026-08-03 | PARCEL |  A200 | 8.0000 unit</t>
        </is>
      </c>
      <c r="I341" s="5" t="inlineStr">
        <is>
          <t>01a1212c-8615-73dc-a84f-90b270bbae76</t>
        </is>
      </c>
      <c r="J341" t="n">
        <v>8</v>
      </c>
      <c r="K341" t="n">
        <v>1</v>
      </c>
      <c r="L341" s="6" t="n">
        <v>46237</v>
      </c>
      <c r="O341" t="inlineStr">
        <is>
          <t>A200</t>
        </is>
      </c>
      <c r="P341" t="n">
        <v>8</v>
      </c>
      <c r="Q341" t="b">
        <v>0</v>
      </c>
      <c r="R341" t="inlineStr">
        <is>
          <t>AUD</t>
        </is>
      </c>
      <c r="S341" t="n">
        <v>1.1875</v>
      </c>
      <c r="T341" t="inlineStr">
        <is>
          <t>AUD</t>
        </is>
      </c>
      <c r="U341" t="n">
        <v>1212.86</v>
      </c>
      <c r="V341" t="inlineStr">
        <is>
          <t>AUD</t>
        </is>
      </c>
      <c r="W341" t="n">
        <v>151.6075</v>
      </c>
      <c r="X341" t="n">
        <v/>
      </c>
    </row>
    <row r="342">
      <c r="A342" s="5" t="inlineStr">
        <is>
          <t>01a1212c-862d-70b7-96d1-5fc101750b45</t>
        </is>
      </c>
      <c r="C342" s="5" t="inlineStr">
        <is>
          <t>01a1212c-4b57-70cf-80fd-c2192cb3bf81</t>
        </is>
      </c>
      <c r="D342" s="4" t="n">
        <v>46304.62417237982</v>
      </c>
      <c r="E342" s="4" t="n">
        <v>46304.62417237987</v>
      </c>
      <c r="F342" t="b">
        <v>1</v>
      </c>
      <c r="H342" t="inlineStr">
        <is>
          <t>2026-08-03 | PARCEL |  AMZN | 3.0000 unit</t>
        </is>
      </c>
      <c r="I342" s="5" t="inlineStr">
        <is>
          <t>01a1212c-862a-7268-b322-b22afb87febe</t>
        </is>
      </c>
      <c r="J342" t="n">
        <v>3</v>
      </c>
      <c r="K342" t="n">
        <v>1</v>
      </c>
      <c r="L342" s="6" t="n">
        <v>46237</v>
      </c>
      <c r="O342" t="inlineStr">
        <is>
          <t>AMZN</t>
        </is>
      </c>
      <c r="P342" t="n">
        <v>3</v>
      </c>
      <c r="Q342" t="b">
        <v>0</v>
      </c>
      <c r="R342" t="inlineStr">
        <is>
          <t>AUD</t>
        </is>
      </c>
      <c r="S342" t="n">
        <v>2.5</v>
      </c>
      <c r="T342" t="inlineStr">
        <is>
          <t>AUD</t>
        </is>
      </c>
      <c r="U342" t="n">
        <v>1285.59</v>
      </c>
      <c r="V342" t="inlineStr">
        <is>
          <t>AUD</t>
        </is>
      </c>
      <c r="W342" t="n">
        <v>428.53</v>
      </c>
      <c r="X342" t="n">
        <v/>
      </c>
    </row>
    <row r="343">
      <c r="A343" s="5" t="inlineStr">
        <is>
          <t>01a1212c-8643-75dd-babc-7b8b2214a3d0</t>
        </is>
      </c>
      <c r="C343" s="5" t="inlineStr">
        <is>
          <t>01a1212c-4b57-70cf-80fd-c2192cb3bf81</t>
        </is>
      </c>
      <c r="D343" s="4" t="n">
        <v>46304.62417263617</v>
      </c>
      <c r="E343" s="4" t="n">
        <v>46304.62417263624</v>
      </c>
      <c r="F343" t="b">
        <v>1</v>
      </c>
      <c r="H343" t="inlineStr">
        <is>
          <t>2026-08-03 | PARCEL |  VGS | 9.0000 unit</t>
        </is>
      </c>
      <c r="I343" s="5" t="inlineStr">
        <is>
          <t>01a1212c-8642-7375-8ff5-05ff920aa011</t>
        </is>
      </c>
      <c r="J343" t="n">
        <v>9</v>
      </c>
      <c r="K343" t="n">
        <v>1</v>
      </c>
      <c r="L343" s="6" t="n">
        <v>46237</v>
      </c>
      <c r="O343" t="inlineStr">
        <is>
          <t>VGS</t>
        </is>
      </c>
      <c r="P343" t="n">
        <v>9</v>
      </c>
      <c r="Q343" t="b">
        <v>0</v>
      </c>
      <c r="R343" t="inlineStr">
        <is>
          <t>AUD</t>
        </is>
      </c>
      <c r="S343" t="n">
        <v>1.055556</v>
      </c>
      <c r="T343" t="inlineStr">
        <is>
          <t>AUD</t>
        </is>
      </c>
      <c r="U343" t="n">
        <v>1447.97</v>
      </c>
      <c r="V343" t="inlineStr">
        <is>
          <t>AUD</t>
        </is>
      </c>
      <c r="W343" t="n">
        <v>160.885556</v>
      </c>
      <c r="X343" t="n">
        <v/>
      </c>
    </row>
    <row r="344">
      <c r="A344" s="5" t="inlineStr">
        <is>
          <t>01a1212c-865a-7515-99f8-b138bb10be4a</t>
        </is>
      </c>
      <c r="C344" s="5" t="inlineStr">
        <is>
          <t>01a1212c-4b57-70cf-80fd-c2192cb3bf81</t>
        </is>
      </c>
      <c r="D344" s="4" t="n">
        <v>46304.62417289586</v>
      </c>
      <c r="E344" s="4" t="n">
        <v>46304.62417289591</v>
      </c>
      <c r="F344" t="b">
        <v>1</v>
      </c>
      <c r="H344" t="inlineStr">
        <is>
          <t>2026-08-10 | PARCEL |  MSFT | 2.0000 unit</t>
        </is>
      </c>
      <c r="I344" s="5" t="inlineStr">
        <is>
          <t>01a1212c-8657-71be-ac72-f0f659d43cf3</t>
        </is>
      </c>
      <c r="J344" t="n">
        <v>2</v>
      </c>
      <c r="K344" t="n">
        <v>1</v>
      </c>
      <c r="L344" s="6" t="n">
        <v>46244</v>
      </c>
      <c r="O344" t="inlineStr">
        <is>
          <t>MSFT</t>
        </is>
      </c>
      <c r="P344" t="n">
        <v>2</v>
      </c>
      <c r="Q344" t="b">
        <v>0</v>
      </c>
      <c r="R344" t="inlineStr">
        <is>
          <t>AUD</t>
        </is>
      </c>
      <c r="S344" t="n">
        <v>3.75</v>
      </c>
      <c r="T344" t="inlineStr">
        <is>
          <t>AUD</t>
        </is>
      </c>
      <c r="U344" t="n">
        <v>1525.68</v>
      </c>
      <c r="V344" t="inlineStr">
        <is>
          <t>AUD</t>
        </is>
      </c>
      <c r="W344" t="n">
        <v>762.84</v>
      </c>
      <c r="X344" t="n">
        <v/>
      </c>
    </row>
    <row r="345">
      <c r="A345" s="5" t="inlineStr">
        <is>
          <t>01a1212c-8671-759d-a2ef-27954d24f526</t>
        </is>
      </c>
      <c r="C345" s="5" t="inlineStr">
        <is>
          <t>01a1212c-4b57-70cf-80fd-c2192cb3bf81</t>
        </is>
      </c>
      <c r="D345" s="4" t="n">
        <v>46304.62417317039</v>
      </c>
      <c r="E345" s="4" t="n">
        <v>46304.62417317044</v>
      </c>
      <c r="F345" t="b">
        <v>1</v>
      </c>
      <c r="H345" t="inlineStr">
        <is>
          <t>2026-08-31 | PARCEL |  AAPL | 1.0000 unit</t>
        </is>
      </c>
      <c r="I345" s="5" t="inlineStr">
        <is>
          <t>01a1212c-866f-752e-87ad-5f30364197b6</t>
        </is>
      </c>
      <c r="J345" t="n">
        <v>1</v>
      </c>
      <c r="K345" t="n">
        <v>1</v>
      </c>
      <c r="L345" s="6" t="n">
        <v>46265</v>
      </c>
      <c r="O345" t="inlineStr">
        <is>
          <t>AAPL</t>
        </is>
      </c>
      <c r="P345" t="n">
        <v>1</v>
      </c>
      <c r="Q345" t="b">
        <v>0</v>
      </c>
      <c r="R345" t="inlineStr">
        <is>
          <t>AUD</t>
        </is>
      </c>
      <c r="S345" t="n">
        <v>7.5</v>
      </c>
      <c r="T345" t="inlineStr">
        <is>
          <t>AUD</t>
        </is>
      </c>
      <c r="U345" t="n">
        <v>482.775</v>
      </c>
      <c r="V345" t="inlineStr">
        <is>
          <t>AUD</t>
        </is>
      </c>
      <c r="W345" t="n">
        <v>482.775</v>
      </c>
      <c r="X345" t="n">
        <v/>
      </c>
    </row>
    <row r="346">
      <c r="A346" s="5" t="inlineStr">
        <is>
          <t>01a1212c-8689-7275-b4be-0976116dc0ea</t>
        </is>
      </c>
      <c r="C346" s="5" t="inlineStr">
        <is>
          <t>01a1212c-4b57-70cf-80fd-c2192cb3bf81</t>
        </is>
      </c>
      <c r="D346" s="4" t="n">
        <v>46304.62417343941</v>
      </c>
      <c r="E346" s="4" t="n">
        <v>46304.62417343949</v>
      </c>
      <c r="F346" t="b">
        <v>1</v>
      </c>
      <c r="H346" t="inlineStr">
        <is>
          <t>2026-09-02 | PARCEL |  A200 | 11.0000 unit</t>
        </is>
      </c>
      <c r="I346" s="5" t="inlineStr">
        <is>
          <t>01a1212c-8687-7743-828e-6c0cc5bf67e2</t>
        </is>
      </c>
      <c r="J346" t="n">
        <v>11</v>
      </c>
      <c r="K346" t="n">
        <v>1</v>
      </c>
      <c r="L346" s="6" t="n">
        <v>46267</v>
      </c>
      <c r="O346" t="inlineStr">
        <is>
          <t>A200</t>
        </is>
      </c>
      <c r="P346" t="n">
        <v>11</v>
      </c>
      <c r="Q346" t="b">
        <v>0</v>
      </c>
      <c r="R346" t="inlineStr">
        <is>
          <t>AUD</t>
        </is>
      </c>
      <c r="S346" t="n">
        <v>0.863636</v>
      </c>
      <c r="T346" t="inlineStr">
        <is>
          <t>AUD</t>
        </is>
      </c>
      <c r="U346" t="n">
        <v>1665.99</v>
      </c>
      <c r="V346" t="inlineStr">
        <is>
          <t>AUD</t>
        </is>
      </c>
      <c r="W346" t="n">
        <v>151.453636</v>
      </c>
      <c r="X346" t="n">
        <v/>
      </c>
    </row>
    <row r="347">
      <c r="A347" s="5" t="inlineStr">
        <is>
          <t>01a1212c-869f-746f-80d5-393136afdc3c</t>
        </is>
      </c>
      <c r="C347" s="5" t="inlineStr">
        <is>
          <t>01a1212c-4b57-70cf-80fd-c2192cb3bf81</t>
        </is>
      </c>
      <c r="D347" s="4" t="n">
        <v>46304.62417369442</v>
      </c>
      <c r="E347" s="4" t="n">
        <v>46304.62417369448</v>
      </c>
      <c r="F347" t="b">
        <v>1</v>
      </c>
      <c r="H347" t="inlineStr">
        <is>
          <t>2026-09-02 | PARCEL |  VGS | 12.0000 unit</t>
        </is>
      </c>
      <c r="I347" s="5" t="inlineStr">
        <is>
          <t>01a1212c-869d-7430-aaf1-691b139a2b8c</t>
        </is>
      </c>
      <c r="J347" t="n">
        <v>12</v>
      </c>
      <c r="K347" t="n">
        <v>1</v>
      </c>
      <c r="L347" s="6" t="n">
        <v>46267</v>
      </c>
      <c r="O347" t="inlineStr">
        <is>
          <t>VGS</t>
        </is>
      </c>
      <c r="P347" t="n">
        <v>12</v>
      </c>
      <c r="Q347" t="b">
        <v>0</v>
      </c>
      <c r="R347" t="inlineStr">
        <is>
          <t>AUD</t>
        </is>
      </c>
      <c r="S347" t="n">
        <v>0.791667</v>
      </c>
      <c r="T347" t="inlineStr">
        <is>
          <t>AUD</t>
        </is>
      </c>
      <c r="U347" t="n">
        <v>1916.18</v>
      </c>
      <c r="V347" t="inlineStr">
        <is>
          <t>AUD</t>
        </is>
      </c>
      <c r="W347" t="n">
        <v>159.681667</v>
      </c>
      <c r="X347" t="n">
        <v/>
      </c>
    </row>
    <row r="348">
      <c r="A348" s="5" t="inlineStr">
        <is>
          <t>01a1212c-86b6-7330-b246-59ffe16f0703</t>
        </is>
      </c>
      <c r="C348" s="5" t="inlineStr">
        <is>
          <t>01a1212c-4b57-70cf-80fd-c2192cb3bf81</t>
        </is>
      </c>
      <c r="D348" s="4" t="n">
        <v>46304.62417396405</v>
      </c>
      <c r="E348" s="4" t="n">
        <v>46304.62417396411</v>
      </c>
      <c r="F348" t="b">
        <v>1</v>
      </c>
      <c r="H348" t="inlineStr">
        <is>
          <t>2026-09-08 | PARCEL |  MSFT | 2.0000 unit</t>
        </is>
      </c>
      <c r="I348" s="5" t="inlineStr">
        <is>
          <t>01a1212c-86b3-7523-a795-c06b7aa573dc</t>
        </is>
      </c>
      <c r="J348" t="n">
        <v>2</v>
      </c>
      <c r="K348" t="n">
        <v>1</v>
      </c>
      <c r="L348" s="6" t="n">
        <v>46273</v>
      </c>
      <c r="O348" t="inlineStr">
        <is>
          <t>MSFT</t>
        </is>
      </c>
      <c r="P348" t="n">
        <v>2</v>
      </c>
      <c r="Q348" t="b">
        <v>0</v>
      </c>
      <c r="R348" t="inlineStr">
        <is>
          <t>AUD</t>
        </is>
      </c>
      <c r="S348" t="n">
        <v>3.75</v>
      </c>
      <c r="T348" t="inlineStr">
        <is>
          <t>AUD</t>
        </is>
      </c>
      <c r="U348" t="n">
        <v>1489.35</v>
      </c>
      <c r="V348" t="inlineStr">
        <is>
          <t>AUD</t>
        </is>
      </c>
      <c r="W348" t="n">
        <v>744.675</v>
      </c>
      <c r="X348" t="n">
        <v/>
      </c>
    </row>
    <row r="349">
      <c r="A349" s="5" t="inlineStr">
        <is>
          <t>01a1212c-89ef-7630-ad3f-fd37a2fe2e20</t>
        </is>
      </c>
      <c r="C349" s="5" t="inlineStr">
        <is>
          <t>01a1212c-4b57-70cf-80fd-c2192cb3bf81</t>
        </is>
      </c>
      <c r="D349" s="4" t="n">
        <v>46304.62418351243</v>
      </c>
      <c r="E349" s="4" t="n">
        <v>46304.62418791455</v>
      </c>
      <c r="F349" t="b">
        <v>1</v>
      </c>
      <c r="H349" t="inlineStr">
        <is>
          <t>2017-09-04 | PARCEL |  VAS | 3.0000 unit</t>
        </is>
      </c>
      <c r="I349" s="5" t="inlineStr">
        <is>
          <t>01a1212c-6b2e-762b-b2d4-1925c074cd6f</t>
        </is>
      </c>
      <c r="J349" t="n">
        <v>3</v>
      </c>
      <c r="K349" t="n">
        <v>1</v>
      </c>
      <c r="L349" s="6" t="n">
        <v>43538</v>
      </c>
      <c r="N349" s="6" t="n">
        <v>43538</v>
      </c>
      <c r="O349" t="inlineStr">
        <is>
          <t>VAS</t>
        </is>
      </c>
      <c r="P349" t="n">
        <v>0</v>
      </c>
      <c r="Q349" t="b">
        <v>1</v>
      </c>
      <c r="R349" t="inlineStr">
        <is>
          <t>AUD</t>
        </is>
      </c>
      <c r="S349" t="n">
        <v>0.59375</v>
      </c>
      <c r="T349" t="inlineStr">
        <is>
          <t>AUD</t>
        </is>
      </c>
      <c r="U349" t="n">
        <v>221.30235</v>
      </c>
      <c r="V349" t="inlineStr">
        <is>
          <t>AUD</t>
        </is>
      </c>
      <c r="W349" t="n">
        <v>73.76745</v>
      </c>
      <c r="X349" s="5" t="inlineStr">
        <is>
          <t>01a1212c-6b2f-77a6-aa39-efb9282482c9</t>
        </is>
      </c>
    </row>
    <row r="350">
      <c r="A350" s="5" t="inlineStr">
        <is>
          <t>01a1212c-89f4-7113-8008-3b3bfc79728b</t>
        </is>
      </c>
      <c r="C350" s="5" t="inlineStr">
        <is>
          <t>01a1212c-4b57-70cf-80fd-c2192cb3bf81</t>
        </is>
      </c>
      <c r="D350" s="4" t="n">
        <v>46304.62418357697</v>
      </c>
      <c r="E350" s="4" t="n">
        <v>46304.6241930664</v>
      </c>
      <c r="F350" t="b">
        <v>1</v>
      </c>
      <c r="H350" t="inlineStr">
        <is>
          <t>2017-09-04 | PARCEL |  VAS | 13.0000 unit</t>
        </is>
      </c>
      <c r="I350" s="5" t="inlineStr">
        <is>
          <t>01a1212c-6b2e-762b-b2d4-1925c074cd6f</t>
        </is>
      </c>
      <c r="J350" t="n">
        <v>13</v>
      </c>
      <c r="K350" t="n">
        <v>1</v>
      </c>
      <c r="L350" s="6" t="n">
        <v>43538</v>
      </c>
      <c r="N350" s="6" t="n">
        <v>43697</v>
      </c>
      <c r="O350" t="inlineStr">
        <is>
          <t>VAS</t>
        </is>
      </c>
      <c r="P350" t="n">
        <v>0</v>
      </c>
      <c r="Q350" t="b">
        <v>1</v>
      </c>
      <c r="R350" t="inlineStr">
        <is>
          <t>AUD</t>
        </is>
      </c>
      <c r="S350" t="n">
        <v>0.59375</v>
      </c>
      <c r="T350" t="inlineStr">
        <is>
          <t>AUD</t>
        </is>
      </c>
      <c r="U350" t="n">
        <v>959.74935</v>
      </c>
      <c r="V350" t="inlineStr">
        <is>
          <t>AUD</t>
        </is>
      </c>
      <c r="W350" t="n">
        <v>73.82687300000001</v>
      </c>
      <c r="X350" s="5" t="inlineStr">
        <is>
          <t>01a1212c-6b2f-77a6-aa39-efb9282482c9</t>
        </is>
      </c>
    </row>
    <row r="351">
      <c r="A351" s="5" t="inlineStr">
        <is>
          <t>01a1212c-90b1-7292-9e21-6b1080dd740e</t>
        </is>
      </c>
      <c r="C351" s="5" t="inlineStr">
        <is>
          <t>01a1212c-4b57-70cf-80fd-c2192cb3bf81</t>
        </is>
      </c>
      <c r="D351" s="4" t="n">
        <v>46304.62420354431</v>
      </c>
      <c r="E351" s="4" t="n">
        <v>46304.62420354436</v>
      </c>
      <c r="F351" t="b">
        <v>1</v>
      </c>
      <c r="H351" t="inlineStr">
        <is>
          <t>2017-03-06 | PARCEL |  AAPL | 16.0000 unit</t>
        </is>
      </c>
      <c r="I351" s="5" t="inlineStr">
        <is>
          <t>01a1212c-69ac-7241-84ed-8fe8fe8eb84d</t>
        </is>
      </c>
      <c r="J351" t="n">
        <v>16</v>
      </c>
      <c r="K351" t="n">
        <v>4</v>
      </c>
      <c r="L351" s="6" t="n">
        <v>44074</v>
      </c>
      <c r="O351" t="inlineStr">
        <is>
          <t>AAPL</t>
        </is>
      </c>
      <c r="P351" t="n">
        <v>16</v>
      </c>
      <c r="Q351" t="b">
        <v>0</v>
      </c>
      <c r="R351" t="inlineStr">
        <is>
          <t>AUD</t>
        </is>
      </c>
      <c r="S351" t="n">
        <v>0.46875</v>
      </c>
      <c r="T351" t="inlineStr">
        <is>
          <t>AUD</t>
        </is>
      </c>
      <c r="U351" t="n">
        <v>843.54</v>
      </c>
      <c r="V351" t="inlineStr">
        <is>
          <t>AUD</t>
        </is>
      </c>
      <c r="W351" t="n">
        <v>52.72125</v>
      </c>
      <c r="X351" s="5" t="inlineStr">
        <is>
          <t>01a1212c-69af-71ca-bedb-c45e7e2a2285</t>
        </is>
      </c>
    </row>
    <row r="352">
      <c r="A352" s="5" t="inlineStr">
        <is>
          <t>01a1212c-90bc-7571-9ae2-4c598f309c24</t>
        </is>
      </c>
      <c r="C352" s="5" t="inlineStr">
        <is>
          <t>01a1212c-4b57-70cf-80fd-c2192cb3bf81</t>
        </is>
      </c>
      <c r="D352" s="4" t="n">
        <v>46304.62420366013</v>
      </c>
      <c r="E352" s="4" t="n">
        <v>46304.62420366018</v>
      </c>
      <c r="F352" t="b">
        <v>1</v>
      </c>
      <c r="H352" t="inlineStr">
        <is>
          <t>2017-05-22 | PARCEL |  AAPL | 24.0000 unit</t>
        </is>
      </c>
      <c r="I352" s="5" t="inlineStr">
        <is>
          <t>01a1212c-6a57-7475-abf5-8b726f12a96c</t>
        </is>
      </c>
      <c r="J352" t="n">
        <v>24</v>
      </c>
      <c r="K352" t="n">
        <v>4</v>
      </c>
      <c r="L352" s="6" t="n">
        <v>44074</v>
      </c>
      <c r="O352" t="inlineStr">
        <is>
          <t>AAPL</t>
        </is>
      </c>
      <c r="P352" t="n">
        <v>24</v>
      </c>
      <c r="Q352" t="b">
        <v>0</v>
      </c>
      <c r="R352" t="inlineStr">
        <is>
          <t>AUD</t>
        </is>
      </c>
      <c r="S352" t="n">
        <v>0.3125</v>
      </c>
      <c r="T352" t="inlineStr">
        <is>
          <t>AUD</t>
        </is>
      </c>
      <c r="U352" t="n">
        <v>1393.41</v>
      </c>
      <c r="V352" t="inlineStr">
        <is>
          <t>AUD</t>
        </is>
      </c>
      <c r="W352" t="n">
        <v>58.05875</v>
      </c>
      <c r="X352" s="5" t="inlineStr">
        <is>
          <t>01a1212c-6a59-75ca-b91e-09b95d96c758</t>
        </is>
      </c>
    </row>
    <row r="353">
      <c r="A353" s="5" t="inlineStr">
        <is>
          <t>01a1212c-90c5-76b4-90f2-2721255a737f</t>
        </is>
      </c>
      <c r="C353" s="5" t="inlineStr">
        <is>
          <t>01a1212c-4b57-70cf-80fd-c2192cb3bf81</t>
        </is>
      </c>
      <c r="D353" s="4" t="n">
        <v>46304.624203766</v>
      </c>
      <c r="E353" s="4" t="n">
        <v>46304.62420376606</v>
      </c>
      <c r="F353" t="b">
        <v>1</v>
      </c>
      <c r="H353" t="inlineStr">
        <is>
          <t>2017-06-22 | PARCEL |  AAPL | 16.0000 unit</t>
        </is>
      </c>
      <c r="I353" s="5" t="inlineStr">
        <is>
          <t>01a1212c-6a96-75c0-828c-f2adeb894525</t>
        </is>
      </c>
      <c r="J353" t="n">
        <v>16</v>
      </c>
      <c r="K353" t="n">
        <v>4</v>
      </c>
      <c r="L353" s="6" t="n">
        <v>44074</v>
      </c>
      <c r="O353" t="inlineStr">
        <is>
          <t>AAPL</t>
        </is>
      </c>
      <c r="P353" t="n">
        <v>16</v>
      </c>
      <c r="Q353" t="b">
        <v>0</v>
      </c>
      <c r="R353" t="inlineStr">
        <is>
          <t>AUD</t>
        </is>
      </c>
      <c r="S353" t="n">
        <v>0.46875</v>
      </c>
      <c r="T353" t="inlineStr">
        <is>
          <t>AUD</t>
        </is>
      </c>
      <c r="U353" t="n">
        <v>881.28</v>
      </c>
      <c r="V353" t="inlineStr">
        <is>
          <t>AUD</t>
        </is>
      </c>
      <c r="W353" t="n">
        <v>55.08</v>
      </c>
      <c r="X353" s="5" t="inlineStr">
        <is>
          <t>01a1212c-6a99-7744-a90f-0e15183ead98</t>
        </is>
      </c>
    </row>
    <row r="354">
      <c r="A354" s="5" t="inlineStr">
        <is>
          <t>01a1212c-90cf-77d2-92c3-d590ddce0a81</t>
        </is>
      </c>
      <c r="C354" s="5" t="inlineStr">
        <is>
          <t>01a1212c-4b57-70cf-80fd-c2192cb3bf81</t>
        </is>
      </c>
      <c r="D354" s="4" t="n">
        <v>46304.62420388179</v>
      </c>
      <c r="E354" s="4" t="n">
        <v>46304.62420388184</v>
      </c>
      <c r="F354" t="b">
        <v>1</v>
      </c>
      <c r="H354" t="inlineStr">
        <is>
          <t>2018-10-11 | PARCEL |  AAPL | 8.0000 unit</t>
        </is>
      </c>
      <c r="I354" s="5" t="inlineStr">
        <is>
          <t>01a1212c-6e35-73d9-84f5-8c15ff01e4dc</t>
        </is>
      </c>
      <c r="J354" t="n">
        <v>8</v>
      </c>
      <c r="K354" t="n">
        <v>4</v>
      </c>
      <c r="L354" s="6" t="n">
        <v>44074</v>
      </c>
      <c r="O354" t="inlineStr">
        <is>
          <t>AAPL</t>
        </is>
      </c>
      <c r="P354" t="n">
        <v>8</v>
      </c>
      <c r="Q354" t="b">
        <v>0</v>
      </c>
      <c r="R354" t="inlineStr">
        <is>
          <t>AUD</t>
        </is>
      </c>
      <c r="S354" t="n">
        <v>0.9375</v>
      </c>
      <c r="T354" t="inlineStr">
        <is>
          <t>AUD</t>
        </is>
      </c>
      <c r="U354" t="n">
        <v>650.85</v>
      </c>
      <c r="V354" t="inlineStr">
        <is>
          <t>AUD</t>
        </is>
      </c>
      <c r="W354" t="n">
        <v>81.35625</v>
      </c>
      <c r="X354" s="5" t="inlineStr">
        <is>
          <t>01a1212c-6e38-77f0-a4c7-b52be288421b</t>
        </is>
      </c>
    </row>
    <row r="355">
      <c r="A355" s="5" t="inlineStr">
        <is>
          <t>01a1212c-90d9-76fe-b8a9-835631fd594a</t>
        </is>
      </c>
      <c r="C355" s="5" t="inlineStr">
        <is>
          <t>01a1212c-4b57-70cf-80fd-c2192cb3bf81</t>
        </is>
      </c>
      <c r="D355" s="4" t="n">
        <v>46304.62420400149</v>
      </c>
      <c r="E355" s="4" t="n">
        <v>46304.62420400155</v>
      </c>
      <c r="F355" t="b">
        <v>1</v>
      </c>
      <c r="H355" t="inlineStr">
        <is>
          <t>2018-11-21 | PARCEL |  AAPL | 12.0000 unit</t>
        </is>
      </c>
      <c r="I355" s="5" t="inlineStr">
        <is>
          <t>01a1212c-6ea5-762f-866b-24e9cc4ef986</t>
        </is>
      </c>
      <c r="J355" t="n">
        <v>12</v>
      </c>
      <c r="K355" t="n">
        <v>4</v>
      </c>
      <c r="L355" s="6" t="n">
        <v>44074</v>
      </c>
      <c r="O355" t="inlineStr">
        <is>
          <t>AAPL</t>
        </is>
      </c>
      <c r="P355" t="n">
        <v>12</v>
      </c>
      <c r="Q355" t="b">
        <v>0</v>
      </c>
      <c r="R355" t="inlineStr">
        <is>
          <t>AUD</t>
        </is>
      </c>
      <c r="S355" t="n">
        <v>0.625</v>
      </c>
      <c r="T355" t="inlineStr">
        <is>
          <t>AUD</t>
        </is>
      </c>
      <c r="U355" t="n">
        <v>803.01</v>
      </c>
      <c r="V355" t="inlineStr">
        <is>
          <t>AUD</t>
        </is>
      </c>
      <c r="W355" t="n">
        <v>66.9175</v>
      </c>
      <c r="X355" s="5" t="inlineStr">
        <is>
          <t>01a1212c-6ea7-74a3-8ee3-677989aa03d3</t>
        </is>
      </c>
    </row>
    <row r="356">
      <c r="A356" s="5" t="inlineStr">
        <is>
          <t>01a1212c-90e3-76b6-b4ca-d6a5b2aeacd2</t>
        </is>
      </c>
      <c r="C356" s="5" t="inlineStr">
        <is>
          <t>01a1212c-4b57-70cf-80fd-c2192cb3bf81</t>
        </is>
      </c>
      <c r="D356" s="4" t="n">
        <v>46304.62420411832</v>
      </c>
      <c r="E356" s="4" t="n">
        <v>46304.62420411837</v>
      </c>
      <c r="F356" t="b">
        <v>1</v>
      </c>
      <c r="H356" t="inlineStr">
        <is>
          <t>2019-03-11 | PARCEL |  AAPL | 8.0000 unit</t>
        </is>
      </c>
      <c r="I356" s="5" t="inlineStr">
        <is>
          <t>01a1212c-6fa9-74e9-9167-1ccb66b3496e</t>
        </is>
      </c>
      <c r="J356" t="n">
        <v>8</v>
      </c>
      <c r="K356" t="n">
        <v>4</v>
      </c>
      <c r="L356" s="6" t="n">
        <v>44074</v>
      </c>
      <c r="O356" t="inlineStr">
        <is>
          <t>AAPL</t>
        </is>
      </c>
      <c r="P356" t="n">
        <v>8</v>
      </c>
      <c r="Q356" t="b">
        <v>0</v>
      </c>
      <c r="R356" t="inlineStr">
        <is>
          <t>AUD</t>
        </is>
      </c>
      <c r="S356" t="n">
        <v>0.9375</v>
      </c>
      <c r="T356" t="inlineStr">
        <is>
          <t>AUD</t>
        </is>
      </c>
      <c r="U356" t="n">
        <v>544.2</v>
      </c>
      <c r="V356" t="inlineStr">
        <is>
          <t>AUD</t>
        </is>
      </c>
      <c r="W356" t="n">
        <v>68.02500000000001</v>
      </c>
      <c r="X356" s="5" t="inlineStr">
        <is>
          <t>01a1212c-6fac-76e5-bb28-9e374b6000b7</t>
        </is>
      </c>
    </row>
    <row r="357">
      <c r="A357" s="5" t="inlineStr">
        <is>
          <t>01a1212c-90ee-7429-99c1-3575a720665f</t>
        </is>
      </c>
      <c r="C357" s="5" t="inlineStr">
        <is>
          <t>01a1212c-4b57-70cf-80fd-c2192cb3bf81</t>
        </is>
      </c>
      <c r="D357" s="4" t="n">
        <v>46304.62420424174</v>
      </c>
      <c r="E357" s="4" t="n">
        <v>46304.62420424179</v>
      </c>
      <c r="F357" t="b">
        <v>1</v>
      </c>
      <c r="H357" t="inlineStr">
        <is>
          <t>2019-10-21 | PARCEL |  AAPL | 12.0000 unit</t>
        </is>
      </c>
      <c r="I357" s="5" t="inlineStr">
        <is>
          <t>01a1212c-716c-762b-a8d4-46b155c77093</t>
        </is>
      </c>
      <c r="J357" t="n">
        <v>12</v>
      </c>
      <c r="K357" t="n">
        <v>4</v>
      </c>
      <c r="L357" s="6" t="n">
        <v>44074</v>
      </c>
      <c r="O357" t="inlineStr">
        <is>
          <t>AAPL</t>
        </is>
      </c>
      <c r="P357" t="n">
        <v>12</v>
      </c>
      <c r="Q357" t="b">
        <v>0</v>
      </c>
      <c r="R357" t="inlineStr">
        <is>
          <t>AUD</t>
        </is>
      </c>
      <c r="S357" t="n">
        <v>0.625</v>
      </c>
      <c r="T357" t="inlineStr">
        <is>
          <t>AUD</t>
        </is>
      </c>
      <c r="U357" t="n">
        <v>1089.795</v>
      </c>
      <c r="V357" t="inlineStr">
        <is>
          <t>AUD</t>
        </is>
      </c>
      <c r="W357" t="n">
        <v>90.81625</v>
      </c>
      <c r="X357" s="5" t="inlineStr">
        <is>
          <t>01a1212c-716f-7245-8737-8644ca7db7b1</t>
        </is>
      </c>
    </row>
    <row r="358">
      <c r="A358" s="5" t="inlineStr">
        <is>
          <t>01a1212c-90f7-7620-9c62-38f092efba05</t>
        </is>
      </c>
      <c r="C358" s="5" t="inlineStr">
        <is>
          <t>01a1212c-4b57-70cf-80fd-c2192cb3bf81</t>
        </is>
      </c>
      <c r="D358" s="4" t="n">
        <v>46304.62420435112</v>
      </c>
      <c r="E358" s="4" t="n">
        <v>46304.62420435118</v>
      </c>
      <c r="F358" t="b">
        <v>1</v>
      </c>
      <c r="H358" t="inlineStr">
        <is>
          <t>2020-01-16 | PARCEL |  AAPL | 8.0000 unit</t>
        </is>
      </c>
      <c r="I358" s="5" t="inlineStr">
        <is>
          <t>01a1212c-7202-76d7-8c9c-2a905ef3b8d1</t>
        </is>
      </c>
      <c r="J358" t="n">
        <v>8</v>
      </c>
      <c r="K358" t="n">
        <v>4</v>
      </c>
      <c r="L358" s="6" t="n">
        <v>44074</v>
      </c>
      <c r="O358" t="inlineStr">
        <is>
          <t>AAPL</t>
        </is>
      </c>
      <c r="P358" t="n">
        <v>8</v>
      </c>
      <c r="Q358" t="b">
        <v>0</v>
      </c>
      <c r="R358" t="inlineStr">
        <is>
          <t>AUD</t>
        </is>
      </c>
      <c r="S358" t="n">
        <v>0.9375</v>
      </c>
      <c r="T358" t="inlineStr">
        <is>
          <t>AUD</t>
        </is>
      </c>
      <c r="U358" t="n">
        <v>953.22</v>
      </c>
      <c r="V358" t="inlineStr">
        <is>
          <t>AUD</t>
        </is>
      </c>
      <c r="W358" t="n">
        <v>119.1525</v>
      </c>
      <c r="X358" s="5" t="inlineStr">
        <is>
          <t>01a1212c-7205-7696-a929-279b9baca395</t>
        </is>
      </c>
    </row>
    <row r="359">
      <c r="A359" s="5" t="inlineStr">
        <is>
          <t>01a1212c-9101-775e-99f9-54047cfa40cb</t>
        </is>
      </c>
      <c r="C359" s="5" t="inlineStr">
        <is>
          <t>01a1212c-4b57-70cf-80fd-c2192cb3bf81</t>
        </is>
      </c>
      <c r="D359" s="4" t="n">
        <v>46304.62420445977</v>
      </c>
      <c r="E359" s="4" t="n">
        <v>46304.62420445983</v>
      </c>
      <c r="F359" t="b">
        <v>1</v>
      </c>
      <c r="H359" t="inlineStr">
        <is>
          <t>2020-07-27 | PARCEL |  AAPL | 8.0000 unit</t>
        </is>
      </c>
      <c r="I359" s="5" t="inlineStr">
        <is>
          <t>01a1212c-73c2-71bd-8928-ead4da41e250</t>
        </is>
      </c>
      <c r="J359" t="n">
        <v>8</v>
      </c>
      <c r="K359" t="n">
        <v>4</v>
      </c>
      <c r="L359" s="6" t="n">
        <v>44074</v>
      </c>
      <c r="O359" t="inlineStr">
        <is>
          <t>AAPL</t>
        </is>
      </c>
      <c r="P359" t="n">
        <v>8</v>
      </c>
      <c r="Q359" t="b">
        <v>0</v>
      </c>
      <c r="R359" t="inlineStr">
        <is>
          <t>AUD</t>
        </is>
      </c>
      <c r="S359" t="n">
        <v>0.9375</v>
      </c>
      <c r="T359" t="inlineStr">
        <is>
          <t>AUD</t>
        </is>
      </c>
      <c r="U359" t="n">
        <v>1145.22</v>
      </c>
      <c r="V359" t="inlineStr">
        <is>
          <t>AUD</t>
        </is>
      </c>
      <c r="W359" t="n">
        <v>143.1525</v>
      </c>
      <c r="X359" s="5" t="inlineStr">
        <is>
          <t>01a1212c-73c5-70bb-97ca-8b8b236ed442</t>
        </is>
      </c>
    </row>
    <row r="360">
      <c r="A360" s="5" t="inlineStr">
        <is>
          <t>01a1212c-910a-7440-9481-a017d62af194</t>
        </is>
      </c>
      <c r="C360" s="5" t="inlineStr">
        <is>
          <t>01a1212c-4b57-70cf-80fd-c2192cb3bf81</t>
        </is>
      </c>
      <c r="D360" s="4" t="n">
        <v>46304.62420456976</v>
      </c>
      <c r="E360" s="4" t="n">
        <v>46304.62420456982</v>
      </c>
      <c r="F360" t="b">
        <v>1</v>
      </c>
      <c r="H360" t="inlineStr">
        <is>
          <t>2020-07-28 | PARCEL |  AAPL | 4.0000 unit</t>
        </is>
      </c>
      <c r="I360" s="5" t="inlineStr">
        <is>
          <t>01a1212c-73d9-716a-a7c7-7c2131a7a41e</t>
        </is>
      </c>
      <c r="J360" t="n">
        <v>4</v>
      </c>
      <c r="K360" t="n">
        <v>4</v>
      </c>
      <c r="L360" s="6" t="n">
        <v>44074</v>
      </c>
      <c r="O360" t="inlineStr">
        <is>
          <t>AAPL</t>
        </is>
      </c>
      <c r="P360" t="n">
        <v>4</v>
      </c>
      <c r="Q360" t="b">
        <v>0</v>
      </c>
      <c r="R360" t="inlineStr">
        <is>
          <t>AUD</t>
        </is>
      </c>
      <c r="S360" t="n">
        <v>1.875</v>
      </c>
      <c r="T360" t="inlineStr">
        <is>
          <t>AUD</t>
        </is>
      </c>
      <c r="U360" t="n">
        <v>567.015</v>
      </c>
      <c r="V360" t="inlineStr">
        <is>
          <t>AUD</t>
        </is>
      </c>
      <c r="W360" t="n">
        <v>141.75375</v>
      </c>
      <c r="X360" s="5" t="inlineStr">
        <is>
          <t>01a1212c-73dc-7776-bb86-5aa639647d91</t>
        </is>
      </c>
    </row>
    <row r="361">
      <c r="A361" s="5" t="inlineStr">
        <is>
          <t>01a1212c-953b-70b8-b464-88a79fd80177</t>
        </is>
      </c>
      <c r="C361" s="5" t="inlineStr">
        <is>
          <t>01a1212c-4b57-70cf-80fd-c2192cb3bf81</t>
        </is>
      </c>
      <c r="D361" s="4" t="n">
        <v>46304.62421698874</v>
      </c>
      <c r="E361" s="4" t="n">
        <v>46304.6242169888</v>
      </c>
      <c r="F361" t="b">
        <v>1</v>
      </c>
      <c r="H361" t="inlineStr">
        <is>
          <t>2017-01-20 | PARCEL |  AMZN | 20.0000 unit</t>
        </is>
      </c>
      <c r="I361" s="5" t="inlineStr">
        <is>
          <t>01a1212c-6942-7744-b214-a353f8423f46</t>
        </is>
      </c>
      <c r="J361" t="n">
        <v>20</v>
      </c>
      <c r="K361" t="n">
        <v>20</v>
      </c>
      <c r="L361" s="6" t="n">
        <v>44718</v>
      </c>
      <c r="O361" t="inlineStr">
        <is>
          <t>AMZN</t>
        </is>
      </c>
      <c r="P361" t="n">
        <v>20</v>
      </c>
      <c r="Q361" t="b">
        <v>0</v>
      </c>
      <c r="R361" t="inlineStr">
        <is>
          <t>AUD</t>
        </is>
      </c>
      <c r="S361" t="n">
        <v>0.375</v>
      </c>
      <c r="T361" t="inlineStr">
        <is>
          <t>AUD</t>
        </is>
      </c>
      <c r="U361" t="n">
        <v>1219.995</v>
      </c>
      <c r="V361" t="inlineStr">
        <is>
          <t>AUD</t>
        </is>
      </c>
      <c r="W361" t="n">
        <v>60.99975</v>
      </c>
      <c r="X361" s="5" t="inlineStr">
        <is>
          <t>01a1212c-6945-7758-a2bb-6ef14801d9ae</t>
        </is>
      </c>
    </row>
    <row r="362">
      <c r="A362" s="5" t="inlineStr">
        <is>
          <t>01a1212c-9545-7354-8ce4-48e0b08ef9a0</t>
        </is>
      </c>
      <c r="C362" s="5" t="inlineStr">
        <is>
          <t>01a1212c-4b57-70cf-80fd-c2192cb3bf81</t>
        </is>
      </c>
      <c r="D362" s="4" t="n">
        <v>46304.62421710505</v>
      </c>
      <c r="E362" s="4" t="n">
        <v>46304.62421710511</v>
      </c>
      <c r="F362" t="b">
        <v>1</v>
      </c>
      <c r="H362" t="inlineStr">
        <is>
          <t>2017-09-26 | PARCEL |  AMZN | 20.0000 unit</t>
        </is>
      </c>
      <c r="I362" s="5" t="inlineStr">
        <is>
          <t>01a1212c-6b59-757d-83f8-44adb6a3f5cd</t>
        </is>
      </c>
      <c r="J362" t="n">
        <v>20</v>
      </c>
      <c r="K362" t="n">
        <v>20</v>
      </c>
      <c r="L362" s="6" t="n">
        <v>44718</v>
      </c>
      <c r="O362" t="inlineStr">
        <is>
          <t>AMZN</t>
        </is>
      </c>
      <c r="P362" t="n">
        <v>20</v>
      </c>
      <c r="Q362" t="b">
        <v>0</v>
      </c>
      <c r="R362" t="inlineStr">
        <is>
          <t>AUD</t>
        </is>
      </c>
      <c r="S362" t="n">
        <v>0.375</v>
      </c>
      <c r="T362" t="inlineStr">
        <is>
          <t>AUD</t>
        </is>
      </c>
      <c r="U362" t="n">
        <v>1415.4</v>
      </c>
      <c r="V362" t="inlineStr">
        <is>
          <t>AUD</t>
        </is>
      </c>
      <c r="W362" t="n">
        <v>70.77</v>
      </c>
      <c r="X362" s="5" t="inlineStr">
        <is>
          <t>01a1212c-6b5c-7567-9272-2a6cd633eea0</t>
        </is>
      </c>
    </row>
    <row r="363">
      <c r="A363" s="5" t="inlineStr">
        <is>
          <t>01a1212c-954e-772f-a9b6-c85211e8f1c8</t>
        </is>
      </c>
      <c r="C363" s="5" t="inlineStr">
        <is>
          <t>01a1212c-4b57-70cf-80fd-c2192cb3bf81</t>
        </is>
      </c>
      <c r="D363" s="4" t="n">
        <v>46304.62421721222</v>
      </c>
      <c r="E363" s="4" t="n">
        <v>46304.62421721227</v>
      </c>
      <c r="F363" t="b">
        <v>1</v>
      </c>
      <c r="H363" t="inlineStr">
        <is>
          <t>2018-01-19 | PARCEL |  AMZN | 20.0000 unit</t>
        </is>
      </c>
      <c r="I363" s="5" t="inlineStr">
        <is>
          <t>01a1212c-6c31-7765-b47f-d50d37cde967</t>
        </is>
      </c>
      <c r="J363" t="n">
        <v>20</v>
      </c>
      <c r="K363" t="n">
        <v>20</v>
      </c>
      <c r="L363" s="6" t="n">
        <v>44718</v>
      </c>
      <c r="O363" t="inlineStr">
        <is>
          <t>AMZN</t>
        </is>
      </c>
      <c r="P363" t="n">
        <v>20</v>
      </c>
      <c r="Q363" t="b">
        <v>0</v>
      </c>
      <c r="R363" t="inlineStr">
        <is>
          <t>AUD</t>
        </is>
      </c>
      <c r="S363" t="n">
        <v>0.375</v>
      </c>
      <c r="T363" t="inlineStr">
        <is>
          <t>AUD</t>
        </is>
      </c>
      <c r="U363" t="n">
        <v>1949.36985</v>
      </c>
      <c r="V363" t="inlineStr">
        <is>
          <t>AUD</t>
        </is>
      </c>
      <c r="W363" t="n">
        <v>97.468492</v>
      </c>
      <c r="X363" s="5" t="inlineStr">
        <is>
          <t>01a1212c-6c33-715f-b319-7dd28b9c219f</t>
        </is>
      </c>
    </row>
    <row r="364">
      <c r="A364" s="5" t="inlineStr">
        <is>
          <t>01a1212c-9558-719a-8282-aa936683e6c3</t>
        </is>
      </c>
      <c r="C364" s="5" t="inlineStr">
        <is>
          <t>01a1212c-4b57-70cf-80fd-c2192cb3bf81</t>
        </is>
      </c>
      <c r="D364" s="4" t="n">
        <v>46304.62421732713</v>
      </c>
      <c r="E364" s="4" t="n">
        <v>46304.62421732717</v>
      </c>
      <c r="F364" t="b">
        <v>1</v>
      </c>
      <c r="H364" t="inlineStr">
        <is>
          <t>2018-03-05 | PARCEL |  AMZN | 20.0000 unit</t>
        </is>
      </c>
      <c r="I364" s="5" t="inlineStr">
        <is>
          <t>01a1212c-6c85-77e8-b9d2-30d95d91474f</t>
        </is>
      </c>
      <c r="J364" t="n">
        <v>20</v>
      </c>
      <c r="K364" t="n">
        <v>20</v>
      </c>
      <c r="L364" s="6" t="n">
        <v>44718</v>
      </c>
      <c r="O364" t="inlineStr">
        <is>
          <t>AMZN</t>
        </is>
      </c>
      <c r="P364" t="n">
        <v>20</v>
      </c>
      <c r="Q364" t="b">
        <v>0</v>
      </c>
      <c r="R364" t="inlineStr">
        <is>
          <t>AUD</t>
        </is>
      </c>
      <c r="S364" t="n">
        <v>0.375</v>
      </c>
      <c r="T364" t="inlineStr">
        <is>
          <t>AUD</t>
        </is>
      </c>
      <c r="U364" t="n">
        <v>2292.91485</v>
      </c>
      <c r="V364" t="inlineStr">
        <is>
          <t>AUD</t>
        </is>
      </c>
      <c r="W364" t="n">
        <v>114.645742</v>
      </c>
      <c r="X364" s="5" t="inlineStr">
        <is>
          <t>01a1212c-6c87-70ea-a508-19437734ce23</t>
        </is>
      </c>
    </row>
    <row r="365">
      <c r="A365" s="5" t="inlineStr">
        <is>
          <t>01a1212c-9562-7501-a3a2-e2ad4cc2a1a5</t>
        </is>
      </c>
      <c r="C365" s="5" t="inlineStr">
        <is>
          <t>01a1212c-4b57-70cf-80fd-c2192cb3bf81</t>
        </is>
      </c>
      <c r="D365" s="4" t="n">
        <v>46304.62421743407</v>
      </c>
      <c r="E365" s="4" t="n">
        <v>46304.62421743411</v>
      </c>
      <c r="F365" t="b">
        <v>1</v>
      </c>
      <c r="H365" t="inlineStr">
        <is>
          <t>2019-01-07 | PARCEL |  AMZN | 20.0000 unit</t>
        </is>
      </c>
      <c r="I365" s="5" t="inlineStr">
        <is>
          <t>01a1212c-6f27-72f6-ae30-8e238e0b45b9</t>
        </is>
      </c>
      <c r="J365" t="n">
        <v>20</v>
      </c>
      <c r="K365" t="n">
        <v>20</v>
      </c>
      <c r="L365" s="6" t="n">
        <v>44718</v>
      </c>
      <c r="O365" t="inlineStr">
        <is>
          <t>AMZN</t>
        </is>
      </c>
      <c r="P365" t="n">
        <v>20</v>
      </c>
      <c r="Q365" t="b">
        <v>0</v>
      </c>
      <c r="R365" t="inlineStr">
        <is>
          <t>AUD</t>
        </is>
      </c>
      <c r="S365" t="n">
        <v>0.375</v>
      </c>
      <c r="T365" t="inlineStr">
        <is>
          <t>AUD</t>
        </is>
      </c>
      <c r="U365" t="n">
        <v>2451.765</v>
      </c>
      <c r="V365" t="inlineStr">
        <is>
          <t>AUD</t>
        </is>
      </c>
      <c r="W365" t="n">
        <v>122.58825</v>
      </c>
      <c r="X365" s="5" t="inlineStr">
        <is>
          <t>01a1212c-6f2a-72fc-951c-e1b3b59a3675</t>
        </is>
      </c>
    </row>
    <row r="366">
      <c r="A366" s="5" t="inlineStr">
        <is>
          <t>01a1212c-956b-77b5-95e3-19ca811da995</t>
        </is>
      </c>
      <c r="C366" s="5" t="inlineStr">
        <is>
          <t>01a1212c-4b57-70cf-80fd-c2192cb3bf81</t>
        </is>
      </c>
      <c r="D366" s="4" t="n">
        <v>46304.62421754536</v>
      </c>
      <c r="E366" s="4" t="n">
        <v>46304.6242175454</v>
      </c>
      <c r="F366" t="b">
        <v>1</v>
      </c>
      <c r="H366" t="inlineStr">
        <is>
          <t>2019-02-06 | PARCEL |  AMZN | 20.0000 unit</t>
        </is>
      </c>
      <c r="I366" s="5" t="inlineStr">
        <is>
          <t>01a1212c-6f67-7210-8b21-e20f1a8220e0</t>
        </is>
      </c>
      <c r="J366" t="n">
        <v>20</v>
      </c>
      <c r="K366" t="n">
        <v>20</v>
      </c>
      <c r="L366" s="6" t="n">
        <v>44718</v>
      </c>
      <c r="O366" t="inlineStr">
        <is>
          <t>AMZN</t>
        </is>
      </c>
      <c r="P366" t="n">
        <v>20</v>
      </c>
      <c r="Q366" t="b">
        <v>0</v>
      </c>
      <c r="R366" t="inlineStr">
        <is>
          <t>AUD</t>
        </is>
      </c>
      <c r="S366" t="n">
        <v>0.375</v>
      </c>
      <c r="T366" t="inlineStr">
        <is>
          <t>AUD</t>
        </is>
      </c>
      <c r="U366" t="n">
        <v>2467.89</v>
      </c>
      <c r="V366" t="inlineStr">
        <is>
          <t>AUD</t>
        </is>
      </c>
      <c r="W366" t="n">
        <v>123.3945</v>
      </c>
      <c r="X366" s="5" t="inlineStr">
        <is>
          <t>01a1212c-6f6a-77eb-9cc2-fc7b8077ff4c</t>
        </is>
      </c>
    </row>
    <row r="367">
      <c r="A367" s="5" t="inlineStr">
        <is>
          <t>01a1212c-9574-73b2-940e-ce77245432c9</t>
        </is>
      </c>
      <c r="C367" s="5" t="inlineStr">
        <is>
          <t>01a1212c-4b57-70cf-80fd-c2192cb3bf81</t>
        </is>
      </c>
      <c r="D367" s="4" t="n">
        <v>46304.62421765171</v>
      </c>
      <c r="E367" s="4" t="n">
        <v>46304.62421765177</v>
      </c>
      <c r="F367" t="b">
        <v>1</v>
      </c>
      <c r="H367" t="inlineStr">
        <is>
          <t>2019-07-12 | PARCEL |  AMZN | 20.0000 unit</t>
        </is>
      </c>
      <c r="I367" s="5" t="inlineStr">
        <is>
          <t>01a1212c-70a6-743b-83db-89232ecb1b6e</t>
        </is>
      </c>
      <c r="J367" t="n">
        <v>20</v>
      </c>
      <c r="K367" t="n">
        <v>20</v>
      </c>
      <c r="L367" s="6" t="n">
        <v>44718</v>
      </c>
      <c r="O367" t="inlineStr">
        <is>
          <t>AMZN</t>
        </is>
      </c>
      <c r="P367" t="n">
        <v>20</v>
      </c>
      <c r="Q367" t="b">
        <v>0</v>
      </c>
      <c r="R367" t="inlineStr">
        <is>
          <t>AUD</t>
        </is>
      </c>
      <c r="S367" t="n">
        <v>0.375</v>
      </c>
      <c r="T367" t="inlineStr">
        <is>
          <t>AUD</t>
        </is>
      </c>
      <c r="U367" t="n">
        <v>3024.00015</v>
      </c>
      <c r="V367" t="inlineStr">
        <is>
          <t>AUD</t>
        </is>
      </c>
      <c r="W367" t="n">
        <v>151.200008</v>
      </c>
      <c r="X367" s="5" t="inlineStr">
        <is>
          <t>01a1212c-70a9-75ca-85f0-85669f6327ea</t>
        </is>
      </c>
    </row>
    <row r="368">
      <c r="A368" s="5" t="inlineStr">
        <is>
          <t>01a1212c-957f-77ef-95c5-2bd2b07ba4ad</t>
        </is>
      </c>
      <c r="C368" s="5" t="inlineStr">
        <is>
          <t>01a1212c-4b57-70cf-80fd-c2192cb3bf81</t>
        </is>
      </c>
      <c r="D368" s="4" t="n">
        <v>46304.62421776971</v>
      </c>
      <c r="E368" s="4" t="n">
        <v>46304.62421776977</v>
      </c>
      <c r="F368" t="b">
        <v>1</v>
      </c>
      <c r="H368" t="inlineStr">
        <is>
          <t>2019-07-15 | PARCEL |  AMZN | 20.0000 unit</t>
        </is>
      </c>
      <c r="I368" s="5" t="inlineStr">
        <is>
          <t>01a1212c-70bd-70db-bad8-0873db5612b4</t>
        </is>
      </c>
      <c r="J368" t="n">
        <v>20</v>
      </c>
      <c r="K368" t="n">
        <v>20</v>
      </c>
      <c r="L368" s="6" t="n">
        <v>44718</v>
      </c>
      <c r="O368" t="inlineStr">
        <is>
          <t>AMZN</t>
        </is>
      </c>
      <c r="P368" t="n">
        <v>20</v>
      </c>
      <c r="Q368" t="b">
        <v>0</v>
      </c>
      <c r="R368" t="inlineStr">
        <is>
          <t>AUD</t>
        </is>
      </c>
      <c r="S368" t="n">
        <v>0.375</v>
      </c>
      <c r="T368" t="inlineStr">
        <is>
          <t>AUD</t>
        </is>
      </c>
      <c r="U368" t="n">
        <v>3038.985</v>
      </c>
      <c r="V368" t="inlineStr">
        <is>
          <t>AUD</t>
        </is>
      </c>
      <c r="W368" t="n">
        <v>151.94925</v>
      </c>
      <c r="X368" s="5" t="inlineStr">
        <is>
          <t>01a1212c-70c0-772a-966f-363572dc7f77</t>
        </is>
      </c>
    </row>
    <row r="369">
      <c r="A369" s="5" t="inlineStr">
        <is>
          <t>01a1212c-9589-715d-81e9-87e286a37b33</t>
        </is>
      </c>
      <c r="C369" s="5" t="inlineStr">
        <is>
          <t>01a1212c-4b57-70cf-80fd-c2192cb3bf81</t>
        </is>
      </c>
      <c r="D369" s="4" t="n">
        <v>46304.6242178864</v>
      </c>
      <c r="E369" s="4" t="n">
        <v>46304.62421788646</v>
      </c>
      <c r="F369" t="b">
        <v>1</v>
      </c>
      <c r="H369" t="inlineStr">
        <is>
          <t>2020-06-22 | PARCEL |  AMZN | 20.0000 unit</t>
        </is>
      </c>
      <c r="I369" s="5" t="inlineStr">
        <is>
          <t>01a1212c-7368-712b-9d41-a7df8c7e4459</t>
        </is>
      </c>
      <c r="J369" t="n">
        <v>20</v>
      </c>
      <c r="K369" t="n">
        <v>20</v>
      </c>
      <c r="L369" s="6" t="n">
        <v>44718</v>
      </c>
      <c r="O369" t="inlineStr">
        <is>
          <t>AMZN</t>
        </is>
      </c>
      <c r="P369" t="n">
        <v>20</v>
      </c>
      <c r="Q369" t="b">
        <v>0</v>
      </c>
      <c r="R369" t="inlineStr">
        <is>
          <t>AUD</t>
        </is>
      </c>
      <c r="S369" t="n">
        <v>0.375</v>
      </c>
      <c r="T369" t="inlineStr">
        <is>
          <t>AUD</t>
        </is>
      </c>
      <c r="U369" t="n">
        <v>4078.22985</v>
      </c>
      <c r="V369" t="inlineStr">
        <is>
          <t>AUD</t>
        </is>
      </c>
      <c r="W369" t="n">
        <v>203.911492</v>
      </c>
      <c r="X369" s="5" t="inlineStr">
        <is>
          <t>01a1212c-736b-73df-bd22-6fadaba8c1fd</t>
        </is>
      </c>
    </row>
    <row r="370">
      <c r="A370" s="5" t="inlineStr">
        <is>
          <t>01a1212c-9593-732d-a986-394bf651d98d</t>
        </is>
      </c>
      <c r="C370" s="5" t="inlineStr">
        <is>
          <t>01a1212c-4b57-70cf-80fd-c2192cb3bf81</t>
        </is>
      </c>
      <c r="D370" s="4" t="n">
        <v>46304.6242180056</v>
      </c>
      <c r="E370" s="4" t="n">
        <v>46304.62421800565</v>
      </c>
      <c r="F370" t="b">
        <v>1</v>
      </c>
      <c r="H370" t="inlineStr">
        <is>
          <t>2020-09-09 | PARCEL |  AMZN | 20.0000 unit</t>
        </is>
      </c>
      <c r="I370" s="5" t="inlineStr">
        <is>
          <t>01a1212c-7447-7042-b6a7-3dbe887ea9bc</t>
        </is>
      </c>
      <c r="J370" t="n">
        <v>20</v>
      </c>
      <c r="K370" t="n">
        <v>20</v>
      </c>
      <c r="L370" s="6" t="n">
        <v>44718</v>
      </c>
      <c r="O370" t="inlineStr">
        <is>
          <t>AMZN</t>
        </is>
      </c>
      <c r="P370" t="n">
        <v>20</v>
      </c>
      <c r="Q370" t="b">
        <v>0</v>
      </c>
      <c r="R370" t="inlineStr">
        <is>
          <t>AUD</t>
        </is>
      </c>
      <c r="S370" t="n">
        <v>0.375</v>
      </c>
      <c r="T370" t="inlineStr">
        <is>
          <t>AUD</t>
        </is>
      </c>
      <c r="U370" t="n">
        <v>4910.41485</v>
      </c>
      <c r="V370" t="inlineStr">
        <is>
          <t>AUD</t>
        </is>
      </c>
      <c r="W370" t="n">
        <v>245.520742</v>
      </c>
      <c r="X370" s="5" t="inlineStr">
        <is>
          <t>01a1212c-7449-7178-9abe-7dae925a4d57</t>
        </is>
      </c>
    </row>
    <row r="371">
      <c r="A371" s="5" t="inlineStr">
        <is>
          <t>01a1212c-959d-77df-97db-52c79980eae9</t>
        </is>
      </c>
      <c r="C371" s="5" t="inlineStr">
        <is>
          <t>01a1212c-4b57-70cf-80fd-c2192cb3bf81</t>
        </is>
      </c>
      <c r="D371" s="4" t="n">
        <v>46304.62421812584</v>
      </c>
      <c r="E371" s="4" t="n">
        <v>46304.6242181259</v>
      </c>
      <c r="F371" t="b">
        <v>1</v>
      </c>
      <c r="H371" t="inlineStr">
        <is>
          <t>2021-05-19 | PARCEL |  AMZN | 20.0000 unit</t>
        </is>
      </c>
      <c r="I371" s="5" t="inlineStr">
        <is>
          <t>01a1212c-7600-7598-987b-823775dd3c6e</t>
        </is>
      </c>
      <c r="J371" t="n">
        <v>20</v>
      </c>
      <c r="K371" t="n">
        <v>20</v>
      </c>
      <c r="L371" s="6" t="n">
        <v>44718</v>
      </c>
      <c r="O371" t="inlineStr">
        <is>
          <t>AMZN</t>
        </is>
      </c>
      <c r="P371" t="n">
        <v>20</v>
      </c>
      <c r="Q371" t="b">
        <v>0</v>
      </c>
      <c r="R371" t="inlineStr">
        <is>
          <t>AUD</t>
        </is>
      </c>
      <c r="S371" t="n">
        <v>0.375</v>
      </c>
      <c r="T371" t="inlineStr">
        <is>
          <t>AUD</t>
        </is>
      </c>
      <c r="U371" t="n">
        <v>4855.19985</v>
      </c>
      <c r="V371" t="inlineStr">
        <is>
          <t>AUD</t>
        </is>
      </c>
      <c r="W371" t="n">
        <v>242.759992</v>
      </c>
      <c r="X371" s="5" t="inlineStr">
        <is>
          <t>01a1212c-7602-762d-a695-8bacc5cebbca</t>
        </is>
      </c>
    </row>
    <row r="372">
      <c r="A372" s="5" t="inlineStr">
        <is>
          <t>01a1212c-95a7-763c-b693-c3e4da527d5f</t>
        </is>
      </c>
      <c r="C372" s="5" t="inlineStr">
        <is>
          <t>01a1212c-4b57-70cf-80fd-c2192cb3bf81</t>
        </is>
      </c>
      <c r="D372" s="4" t="n">
        <v>46304.62421823595</v>
      </c>
      <c r="E372" s="4" t="n">
        <v>46304.62421823599</v>
      </c>
      <c r="F372" t="b">
        <v>1</v>
      </c>
      <c r="H372" t="inlineStr">
        <is>
          <t>2021-07-19 | PARCEL |  AMZN | 20.0000 unit</t>
        </is>
      </c>
      <c r="I372" s="5" t="inlineStr">
        <is>
          <t>01a1212c-766f-74a4-9043-81d59a135736</t>
        </is>
      </c>
      <c r="J372" t="n">
        <v>20</v>
      </c>
      <c r="K372" t="n">
        <v>20</v>
      </c>
      <c r="L372" s="6" t="n">
        <v>44718</v>
      </c>
      <c r="O372" t="inlineStr">
        <is>
          <t>AMZN</t>
        </is>
      </c>
      <c r="P372" t="n">
        <v>20</v>
      </c>
      <c r="Q372" t="b">
        <v>0</v>
      </c>
      <c r="R372" t="inlineStr">
        <is>
          <t>AUD</t>
        </is>
      </c>
      <c r="S372" t="n">
        <v>0.375</v>
      </c>
      <c r="T372" t="inlineStr">
        <is>
          <t>AUD</t>
        </is>
      </c>
      <c r="U372" t="n">
        <v>5331.88515</v>
      </c>
      <c r="V372" t="inlineStr">
        <is>
          <t>AUD</t>
        </is>
      </c>
      <c r="W372" t="n">
        <v>266.594258</v>
      </c>
      <c r="X372" s="5" t="inlineStr">
        <is>
          <t>01a1212c-7671-767d-96fc-2f49859fdb63</t>
        </is>
      </c>
    </row>
    <row r="373">
      <c r="A373" s="5" t="inlineStr">
        <is>
          <t>01a1212c-95b1-77e9-b5ec-f75b710b916a</t>
        </is>
      </c>
      <c r="C373" s="5" t="inlineStr">
        <is>
          <t>01a1212c-4b57-70cf-80fd-c2192cb3bf81</t>
        </is>
      </c>
      <c r="D373" s="4" t="n">
        <v>46304.62421835064</v>
      </c>
      <c r="E373" s="4" t="n">
        <v>46304.62421835068</v>
      </c>
      <c r="F373" t="b">
        <v>1</v>
      </c>
      <c r="H373" t="inlineStr">
        <is>
          <t>2022-03-07 | PARCEL |  AMZN | 20.0000 unit</t>
        </is>
      </c>
      <c r="I373" s="5" t="inlineStr">
        <is>
          <t>01a1212c-787e-714b-a7ef-6ee488bf66de</t>
        </is>
      </c>
      <c r="J373" t="n">
        <v>20</v>
      </c>
      <c r="K373" t="n">
        <v>20</v>
      </c>
      <c r="L373" s="6" t="n">
        <v>44718</v>
      </c>
      <c r="O373" t="inlineStr">
        <is>
          <t>AMZN</t>
        </is>
      </c>
      <c r="P373" t="n">
        <v>20</v>
      </c>
      <c r="Q373" t="b">
        <v>0</v>
      </c>
      <c r="R373" t="inlineStr">
        <is>
          <t>AUD</t>
        </is>
      </c>
      <c r="S373" t="n">
        <v>0.375</v>
      </c>
      <c r="T373" t="inlineStr">
        <is>
          <t>AUD</t>
        </is>
      </c>
      <c r="U373" t="n">
        <v>4131.09015</v>
      </c>
      <c r="V373" t="inlineStr">
        <is>
          <t>AUD</t>
        </is>
      </c>
      <c r="W373" t="n">
        <v>206.554508</v>
      </c>
      <c r="X373" s="5" t="inlineStr">
        <is>
          <t>01a1212c-7881-75f1-91e2-0e9d58316516</t>
        </is>
      </c>
    </row>
    <row r="374">
      <c r="A374" s="5" t="inlineStr">
        <is>
          <t>01a1212c-a7dc-72bc-aa73-197f788ae91a</t>
        </is>
      </c>
      <c r="C374" s="5" t="inlineStr">
        <is>
          <t>01a1212c-4b57-70cf-80fd-c2192cb3bf81</t>
        </is>
      </c>
      <c r="D374" s="4" t="n">
        <v>46304.62427218278</v>
      </c>
      <c r="E374" s="4" t="n">
        <v>46304.62427236717</v>
      </c>
      <c r="F374" t="b">
        <v>1</v>
      </c>
      <c r="H374" t="inlineStr">
        <is>
          <t>2019-09-30 | PARCEL |  MSFT | 1.0000 unit</t>
        </is>
      </c>
      <c r="I374" s="5" t="inlineStr">
        <is>
          <t>01a1212c-712a-7112-aec0-e1f8195d4fb0</t>
        </is>
      </c>
      <c r="J374" t="n">
        <v>1</v>
      </c>
      <c r="K374" t="n">
        <v>1</v>
      </c>
      <c r="L374" s="6" t="n">
        <v>45608</v>
      </c>
      <c r="N374" s="6" t="n">
        <v>45608</v>
      </c>
      <c r="O374" t="inlineStr">
        <is>
          <t>MSFT</t>
        </is>
      </c>
      <c r="P374" t="n">
        <v>0</v>
      </c>
      <c r="Q374" t="b">
        <v>1</v>
      </c>
      <c r="R374" t="inlineStr">
        <is>
          <t>AUD</t>
        </is>
      </c>
      <c r="S374" t="n">
        <v>1.25</v>
      </c>
      <c r="T374" t="inlineStr">
        <is>
          <t>AUD</t>
        </is>
      </c>
      <c r="U374" t="n">
        <v>209.795</v>
      </c>
      <c r="V374" t="inlineStr">
        <is>
          <t>AUD</t>
        </is>
      </c>
      <c r="W374" t="n">
        <v>209.795</v>
      </c>
      <c r="X374" s="5" t="inlineStr">
        <is>
          <t>01a1212c-712d-7791-bf63-8cb9a725a863</t>
        </is>
      </c>
    </row>
    <row r="375">
      <c r="A375" s="5" t="inlineStr">
        <is>
          <t>01a1212c-a7e2-7597-b6aa-f3ed2da0f9b2</t>
        </is>
      </c>
      <c r="C375" s="5" t="inlineStr">
        <is>
          <t>01a1212c-4b57-70cf-80fd-c2192cb3bf81</t>
        </is>
      </c>
      <c r="D375" s="4" t="n">
        <v>46304.6242722532</v>
      </c>
      <c r="E375" s="4" t="n">
        <v>46304.62427225326</v>
      </c>
      <c r="F375" t="b">
        <v>1</v>
      </c>
      <c r="H375" t="inlineStr">
        <is>
          <t>2019-09-30 | PARCEL |  MSFT | 5.0000 unit</t>
        </is>
      </c>
      <c r="I375" s="5" t="inlineStr">
        <is>
          <t>01a1212c-712a-7112-aec0-e1f8195d4fb0</t>
        </is>
      </c>
      <c r="J375" t="n">
        <v>5</v>
      </c>
      <c r="K375" t="n">
        <v>1</v>
      </c>
      <c r="L375" s="6" t="n">
        <v>45608</v>
      </c>
      <c r="O375" t="inlineStr">
        <is>
          <t>MSFT</t>
        </is>
      </c>
      <c r="P375" t="n">
        <v>5</v>
      </c>
      <c r="Q375" t="b">
        <v>0</v>
      </c>
      <c r="R375" t="inlineStr">
        <is>
          <t>AUD</t>
        </is>
      </c>
      <c r="S375" t="n">
        <v>1.25</v>
      </c>
      <c r="T375" t="inlineStr">
        <is>
          <t>AUD</t>
        </is>
      </c>
      <c r="U375" t="n">
        <v>1048.975</v>
      </c>
      <c r="V375" t="inlineStr">
        <is>
          <t>AUD</t>
        </is>
      </c>
      <c r="W375" t="n">
        <v>209.795</v>
      </c>
      <c r="X375" s="5" t="inlineStr">
        <is>
          <t>01a1212c-712d-7791-bf63-8cb9a725a863</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Q43"/>
  <sheetViews>
    <sheetView workbookViewId="0">
      <pane ySplit="1" topLeftCell="A2" activePane="bottomLeft" state="frozen"/>
      <selection pane="bottomLeft" activeCell="A1" sqref="A1"/>
    </sheetView>
  </sheetViews>
  <sheetFormatPr baseColWidth="8" defaultRowHeight="15"/>
  <cols>
    <col width="38.2" customWidth="1" min="1" max="1"/>
    <col width="13.2" customWidth="1" min="2" max="2"/>
    <col width="38.2" customWidth="1" min="3" max="3"/>
    <col width="28.2" customWidth="1" min="4" max="4"/>
    <col width="28.2" customWidth="1" min="5" max="5"/>
    <col width="11.2" customWidth="1" min="6" max="6"/>
    <col width="82.2" customWidth="1" min="7" max="7"/>
    <col width="27.2" customWidth="1" min="8" max="8"/>
    <col width="19.2" customWidth="1" min="9" max="9"/>
    <col width="38.2" customWidth="1" min="10" max="10"/>
    <col width="38.2" customWidth="1" min="11" max="11"/>
    <col width="10.2" customWidth="1" min="12" max="12"/>
    <col width="22.2" customWidth="1" min="13" max="13"/>
    <col width="30.2" customWidth="1" min="14" max="14"/>
    <col width="22.2" customWidth="1" min="15" max="15"/>
    <col width="40.2" customWidth="1" min="16" max="16"/>
    <col width="31.2" customWidth="1" min="17" max="17"/>
  </cols>
  <sheetData>
    <row r="1" ht="32" customHeight="1">
      <c r="A1" s="1" t="inlineStr">
        <is>
          <t>id</t>
        </is>
      </c>
      <c r="B1" s="1" t="inlineStr">
        <is>
          <t>legacy_id</t>
        </is>
      </c>
      <c r="C1" s="1" t="inlineStr">
        <is>
          <t>account_id</t>
        </is>
      </c>
      <c r="D1" s="1" t="inlineStr">
        <is>
          <t>created_at</t>
        </is>
      </c>
      <c r="E1" s="1" t="inlineStr">
        <is>
          <t>updated_at</t>
        </is>
      </c>
      <c r="F1" s="1" t="inlineStr">
        <is>
          <t>is_active</t>
        </is>
      </c>
      <c r="G1" s="1" t="inlineStr">
        <is>
          <t>notes</t>
        </is>
      </c>
      <c r="H1" s="1" t="inlineStr">
        <is>
          <t>description</t>
        </is>
      </c>
      <c r="I1" s="1" t="inlineStr">
        <is>
          <t>_creation_handled</t>
        </is>
      </c>
      <c r="J1" s="1" t="inlineStr">
        <is>
          <t>parcel_id</t>
        </is>
      </c>
      <c r="K1" s="1" t="inlineStr">
        <is>
          <t>sell_id</t>
        </is>
      </c>
      <c r="L1" s="1" t="inlineStr">
        <is>
          <t>quantity</t>
        </is>
      </c>
      <c r="M1" s="1" t="inlineStr">
        <is>
          <t>calculated_sale_date</t>
        </is>
      </c>
      <c r="N1" s="1" t="inlineStr">
        <is>
          <t>calculated_fiscal_year__name</t>
        </is>
      </c>
      <c r="O1" s="1" t="inlineStr">
        <is>
          <t>calculated_days_held</t>
        </is>
      </c>
      <c r="P1" s="1" t="inlineStr">
        <is>
          <t>calculated_total_capital_gain_currency</t>
        </is>
      </c>
      <c r="Q1" s="1" t="inlineStr">
        <is>
          <t>calculated_total_capital_gain</t>
        </is>
      </c>
    </row>
    <row r="2">
      <c r="A2" s="5" t="inlineStr">
        <is>
          <t>01a1212c-893d-71a0-b868-7a52b8b1213d</t>
        </is>
      </c>
      <c r="B2" t="n">
        <v/>
      </c>
      <c r="C2" s="5" t="inlineStr">
        <is>
          <t>01a1212c-4b57-70cf-80fd-c2192cb3bf81</t>
        </is>
      </c>
      <c r="D2" s="4" t="n">
        <v>46304.62418146072</v>
      </c>
      <c r="E2" s="4" t="n">
        <v>46304.62418607763</v>
      </c>
      <c r="F2" t="b">
        <v>1</v>
      </c>
      <c r="G2" t="n">
        <v/>
      </c>
      <c r="H2" t="inlineStr">
        <is>
          <t>2019-03-14 VAS | 14.0000</t>
        </is>
      </c>
      <c r="I2" t="b">
        <v>1</v>
      </c>
      <c r="J2" s="5" t="inlineStr">
        <is>
          <t>01a1212c-687d-7722-9e5b-4cd037c726f7</t>
        </is>
      </c>
      <c r="K2" s="5" t="inlineStr">
        <is>
          <t>01a1212c-8931-72b2-8b0b-4048274a900f</t>
        </is>
      </c>
      <c r="L2" t="n">
        <v>14</v>
      </c>
      <c r="M2" s="6" t="n">
        <v>43538</v>
      </c>
      <c r="N2" t="inlineStr">
        <is>
          <t>FY2018/19</t>
        </is>
      </c>
      <c r="O2" t="n">
        <v>892</v>
      </c>
      <c r="P2" t="inlineStr">
        <is>
          <t>AUD</t>
        </is>
      </c>
      <c r="Q2" t="n">
        <v>108.024473</v>
      </c>
    </row>
    <row r="3">
      <c r="A3" s="5" t="inlineStr">
        <is>
          <t>01a1212c-894e-7598-86f6-0f7df7d020a6</t>
        </is>
      </c>
      <c r="B3" t="n">
        <v/>
      </c>
      <c r="C3" s="5" t="inlineStr">
        <is>
          <t>01a1212c-4b57-70cf-80fd-c2192cb3bf81</t>
        </is>
      </c>
      <c r="D3" s="4" t="n">
        <v>46304.62418165749</v>
      </c>
      <c r="E3" s="4" t="n">
        <v>46304.62418751733</v>
      </c>
      <c r="F3" t="b">
        <v>1</v>
      </c>
      <c r="G3" t="n">
        <v/>
      </c>
      <c r="H3" t="inlineStr">
        <is>
          <t>2019-03-14 VAS | 24.0000</t>
        </is>
      </c>
      <c r="I3" t="b">
        <v>1</v>
      </c>
      <c r="J3" s="5" t="inlineStr">
        <is>
          <t>01a1212c-68ac-7533-acb8-393d5f7dde20</t>
        </is>
      </c>
      <c r="K3" s="5" t="inlineStr">
        <is>
          <t>01a1212c-8931-72b2-8b0b-4048274a900f</t>
        </is>
      </c>
      <c r="L3" t="n">
        <v>24</v>
      </c>
      <c r="M3" s="6" t="n">
        <v>43538</v>
      </c>
      <c r="N3" t="inlineStr">
        <is>
          <t>FY2018/19</t>
        </is>
      </c>
      <c r="O3" t="n">
        <v>862</v>
      </c>
      <c r="P3" t="inlineStr">
        <is>
          <t>AUD</t>
        </is>
      </c>
      <c r="Q3" t="n">
        <v>295.25204</v>
      </c>
    </row>
    <row r="4">
      <c r="A4" s="5" t="inlineStr">
        <is>
          <t>01a1212c-895f-72a6-b073-d69c6051b6c7</t>
        </is>
      </c>
      <c r="B4" t="n">
        <v/>
      </c>
      <c r="C4" s="5" t="inlineStr">
        <is>
          <t>01a1212c-4b57-70cf-80fd-c2192cb3bf81</t>
        </is>
      </c>
      <c r="D4" s="4" t="n">
        <v>46304.6241818542</v>
      </c>
      <c r="E4" s="4" t="n">
        <v>46304.62418653374</v>
      </c>
      <c r="F4" t="b">
        <v>1</v>
      </c>
      <c r="G4" t="n">
        <v/>
      </c>
      <c r="H4" t="inlineStr">
        <is>
          <t>2019-03-14 VAS | 18.0000</t>
        </is>
      </c>
      <c r="I4" t="b">
        <v>1</v>
      </c>
      <c r="J4" s="5" t="inlineStr">
        <is>
          <t>01a1212c-68da-77ea-a20b-34434b4e9654</t>
        </is>
      </c>
      <c r="K4" s="5" t="inlineStr">
        <is>
          <t>01a1212c-8931-72b2-8b0b-4048274a900f</t>
        </is>
      </c>
      <c r="L4" t="n">
        <v>18</v>
      </c>
      <c r="M4" s="6" t="n">
        <v>43538</v>
      </c>
      <c r="N4" t="inlineStr">
        <is>
          <t>FY2018/19</t>
        </is>
      </c>
      <c r="O4" t="n">
        <v>828</v>
      </c>
      <c r="P4" t="inlineStr">
        <is>
          <t>AUD</t>
        </is>
      </c>
      <c r="Q4" t="n">
        <v>166.39318</v>
      </c>
    </row>
    <row r="5">
      <c r="A5" s="5" t="inlineStr">
        <is>
          <t>01a1212c-896f-7208-ae4f-cca8d77d115f</t>
        </is>
      </c>
      <c r="B5" t="n">
        <v/>
      </c>
      <c r="C5" s="5" t="inlineStr">
        <is>
          <t>01a1212c-4b57-70cf-80fd-c2192cb3bf81</t>
        </is>
      </c>
      <c r="D5" s="4" t="n">
        <v>46304.6241820475</v>
      </c>
      <c r="E5" s="4" t="n">
        <v>46304.62418722707</v>
      </c>
      <c r="F5" t="b">
        <v>1</v>
      </c>
      <c r="G5" t="n">
        <v/>
      </c>
      <c r="H5" t="inlineStr">
        <is>
          <t>2019-03-14 VAS | 21.0000</t>
        </is>
      </c>
      <c r="I5" t="b">
        <v>1</v>
      </c>
      <c r="J5" s="5" t="inlineStr">
        <is>
          <t>01a1212c-691a-70d4-a1c4-6f72b59d4cde</t>
        </is>
      </c>
      <c r="K5" s="5" t="inlineStr">
        <is>
          <t>01a1212c-8931-72b2-8b0b-4048274a900f</t>
        </is>
      </c>
      <c r="L5" t="n">
        <v>21</v>
      </c>
      <c r="M5" s="6" t="n">
        <v>43538</v>
      </c>
      <c r="N5" t="inlineStr">
        <is>
          <t>FY2018/19</t>
        </is>
      </c>
      <c r="O5" t="n">
        <v>797</v>
      </c>
      <c r="P5" t="inlineStr">
        <is>
          <t>AUD</t>
        </is>
      </c>
      <c r="Q5" t="n">
        <v>126.48221</v>
      </c>
    </row>
    <row r="6">
      <c r="A6" s="5" t="inlineStr">
        <is>
          <t>01a1212c-8980-75db-9f5a-38af85e31ab8</t>
        </is>
      </c>
      <c r="B6" t="n">
        <v/>
      </c>
      <c r="C6" s="5" t="inlineStr">
        <is>
          <t>01a1212c-4b57-70cf-80fd-c2192cb3bf81</t>
        </is>
      </c>
      <c r="D6" s="4" t="n">
        <v>46304.6241822388</v>
      </c>
      <c r="E6" s="4" t="n">
        <v>46304.6241871223</v>
      </c>
      <c r="F6" t="b">
        <v>1</v>
      </c>
      <c r="G6" t="n">
        <v/>
      </c>
      <c r="H6" t="inlineStr">
        <is>
          <t>2019-03-14 VAS | 20.0000</t>
        </is>
      </c>
      <c r="I6" t="b">
        <v>1</v>
      </c>
      <c r="J6" s="5" t="inlineStr">
        <is>
          <t>01a1212c-695a-74e1-944f-cf3c745c8111</t>
        </is>
      </c>
      <c r="K6" s="5" t="inlineStr">
        <is>
          <t>01a1212c-8931-72b2-8b0b-4048274a900f</t>
        </is>
      </c>
      <c r="L6" t="n">
        <v>20</v>
      </c>
      <c r="M6" s="6" t="n">
        <v>43538</v>
      </c>
      <c r="N6" t="inlineStr">
        <is>
          <t>FY2018/19</t>
        </is>
      </c>
      <c r="O6" t="n">
        <v>766</v>
      </c>
      <c r="P6" t="inlineStr">
        <is>
          <t>AUD</t>
        </is>
      </c>
      <c r="Q6" t="n">
        <v>155.077133</v>
      </c>
    </row>
    <row r="7">
      <c r="A7" s="5" t="inlineStr">
        <is>
          <t>01a1212c-8990-74ff-909d-49ae494bc005</t>
        </is>
      </c>
      <c r="B7" t="n">
        <v/>
      </c>
      <c r="C7" s="5" t="inlineStr">
        <is>
          <t>01a1212c-4b57-70cf-80fd-c2192cb3bf81</t>
        </is>
      </c>
      <c r="D7" s="4" t="n">
        <v>46304.62418242115</v>
      </c>
      <c r="E7" s="4" t="n">
        <v>46304.62418597165</v>
      </c>
      <c r="F7" t="b">
        <v>1</v>
      </c>
      <c r="G7" t="n">
        <v/>
      </c>
      <c r="H7" t="inlineStr">
        <is>
          <t>2019-03-14 VAS | 8.0000</t>
        </is>
      </c>
      <c r="I7" t="b">
        <v>1</v>
      </c>
      <c r="J7" s="5" t="inlineStr">
        <is>
          <t>01a1212c-6982-7355-ba70-8f6993dd73bd</t>
        </is>
      </c>
      <c r="K7" s="5" t="inlineStr">
        <is>
          <t>01a1212c-8931-72b2-8b0b-4048274a900f</t>
        </is>
      </c>
      <c r="L7" t="n">
        <v>8</v>
      </c>
      <c r="M7" s="6" t="n">
        <v>43538</v>
      </c>
      <c r="N7" t="inlineStr">
        <is>
          <t>FY2018/19</t>
        </is>
      </c>
      <c r="O7" t="n">
        <v>741</v>
      </c>
      <c r="P7" t="inlineStr">
        <is>
          <t>AUD</t>
        </is>
      </c>
      <c r="Q7" t="n">
        <v>40.273513</v>
      </c>
    </row>
    <row r="8">
      <c r="A8" s="5" t="inlineStr">
        <is>
          <t>01a1212c-899f-7389-821e-79a891b53d34</t>
        </is>
      </c>
      <c r="B8" t="n">
        <v/>
      </c>
      <c r="C8" s="5" t="inlineStr">
        <is>
          <t>01a1212c-4b57-70cf-80fd-c2192cb3bf81</t>
        </is>
      </c>
      <c r="D8" s="4" t="n">
        <v>46304.6241825977</v>
      </c>
      <c r="E8" s="4" t="n">
        <v>46304.62418695272</v>
      </c>
      <c r="F8" t="b">
        <v>1</v>
      </c>
      <c r="G8" t="n">
        <v/>
      </c>
      <c r="H8" t="inlineStr">
        <is>
          <t>2019-03-14 VAS | 19.0000</t>
        </is>
      </c>
      <c r="I8" t="b">
        <v>1</v>
      </c>
      <c r="J8" s="5" t="inlineStr">
        <is>
          <t>01a1212c-69d8-7623-b5ab-9b8cc7866ed9</t>
        </is>
      </c>
      <c r="K8" s="5" t="inlineStr">
        <is>
          <t>01a1212c-8931-72b2-8b0b-4048274a900f</t>
        </is>
      </c>
      <c r="L8" t="n">
        <v>19</v>
      </c>
      <c r="M8" s="6" t="n">
        <v>43538</v>
      </c>
      <c r="N8" t="inlineStr">
        <is>
          <t>FY2018/19</t>
        </is>
      </c>
      <c r="O8" t="n">
        <v>709</v>
      </c>
      <c r="P8" t="inlineStr">
        <is>
          <t>AUD</t>
        </is>
      </c>
      <c r="Q8" t="n">
        <v>82.750756</v>
      </c>
    </row>
    <row r="9">
      <c r="A9" s="5" t="inlineStr">
        <is>
          <t>01a1212c-89af-74dd-91e2-4cbb63420d11</t>
        </is>
      </c>
      <c r="B9" t="n">
        <v/>
      </c>
      <c r="C9" s="5" t="inlineStr">
        <is>
          <t>01a1212c-4b57-70cf-80fd-c2192cb3bf81</t>
        </is>
      </c>
      <c r="D9" s="4" t="n">
        <v>46304.6241827776</v>
      </c>
      <c r="E9" s="4" t="n">
        <v>46304.62418636216</v>
      </c>
      <c r="F9" t="b">
        <v>1</v>
      </c>
      <c r="G9" t="n">
        <v/>
      </c>
      <c r="H9" t="inlineStr">
        <is>
          <t>2019-03-14 VAS | 17.0000</t>
        </is>
      </c>
      <c r="I9" t="b">
        <v>1</v>
      </c>
      <c r="J9" s="5" t="inlineStr">
        <is>
          <t>01a1212c-6a18-70d0-a47b-125a1b405792</t>
        </is>
      </c>
      <c r="K9" s="5" t="inlineStr">
        <is>
          <t>01a1212c-8931-72b2-8b0b-4048274a900f</t>
        </is>
      </c>
      <c r="L9" t="n">
        <v>17</v>
      </c>
      <c r="M9" s="6" t="n">
        <v>43538</v>
      </c>
      <c r="N9" t="inlineStr">
        <is>
          <t>FY2018/19</t>
        </is>
      </c>
      <c r="O9" t="n">
        <v>678</v>
      </c>
      <c r="P9" t="inlineStr">
        <is>
          <t>AUD</t>
        </is>
      </c>
      <c r="Q9" t="n">
        <v>73.439803</v>
      </c>
    </row>
    <row r="10">
      <c r="A10" s="5" t="inlineStr">
        <is>
          <t>01a1212c-89bf-7771-8009-abd2463ed986</t>
        </is>
      </c>
      <c r="B10" t="n">
        <v/>
      </c>
      <c r="C10" s="5" t="inlineStr">
        <is>
          <t>01a1212c-4b57-70cf-80fd-c2192cb3bf81</t>
        </is>
      </c>
      <c r="D10" s="4" t="n">
        <v>46304.62418296189</v>
      </c>
      <c r="E10" s="4" t="n">
        <v>46304.62418618693</v>
      </c>
      <c r="F10" t="b">
        <v>1</v>
      </c>
      <c r="G10" t="n">
        <v/>
      </c>
      <c r="H10" t="inlineStr">
        <is>
          <t>2019-03-14 VAS | 14.0000</t>
        </is>
      </c>
      <c r="I10" t="b">
        <v>1</v>
      </c>
      <c r="J10" s="5" t="inlineStr">
        <is>
          <t>01a1212c-6a6e-7311-9954-d2b7382fadc3</t>
        </is>
      </c>
      <c r="K10" s="5" t="inlineStr">
        <is>
          <t>01a1212c-8931-72b2-8b0b-4048274a900f</t>
        </is>
      </c>
      <c r="L10" t="n">
        <v>14</v>
      </c>
      <c r="M10" s="6" t="n">
        <v>43538</v>
      </c>
      <c r="N10" t="inlineStr">
        <is>
          <t>FY2018/19</t>
        </is>
      </c>
      <c r="O10" t="n">
        <v>647</v>
      </c>
      <c r="P10" t="inlineStr">
        <is>
          <t>AUD</t>
        </is>
      </c>
      <c r="Q10" t="n">
        <v>70.33247299999999</v>
      </c>
    </row>
    <row r="11">
      <c r="A11" s="5" t="inlineStr">
        <is>
          <t>01a1212c-89ce-7745-9835-82bf049f8808</t>
        </is>
      </c>
      <c r="B11" t="n">
        <v/>
      </c>
      <c r="C11" s="5" t="inlineStr">
        <is>
          <t>01a1212c-4b57-70cf-80fd-c2192cb3bf81</t>
        </is>
      </c>
      <c r="D11" s="4" t="n">
        <v>46304.62418314209</v>
      </c>
      <c r="E11" s="4" t="n">
        <v>46304.62418733341</v>
      </c>
      <c r="F11" t="b">
        <v>1</v>
      </c>
      <c r="G11" t="n">
        <v/>
      </c>
      <c r="H11" t="inlineStr">
        <is>
          <t>2019-03-14 VAS | 21.0000</t>
        </is>
      </c>
      <c r="I11" t="b">
        <v>1</v>
      </c>
      <c r="J11" s="5" t="inlineStr">
        <is>
          <t>01a1212c-6aae-7071-b34e-f040cbd8af32</t>
        </is>
      </c>
      <c r="K11" s="5" t="inlineStr">
        <is>
          <t>01a1212c-8931-72b2-8b0b-4048274a900f</t>
        </is>
      </c>
      <c r="L11" t="n">
        <v>21</v>
      </c>
      <c r="M11" s="6" t="n">
        <v>43538</v>
      </c>
      <c r="N11" t="inlineStr">
        <is>
          <t>FY2018/19</t>
        </is>
      </c>
      <c r="O11" t="n">
        <v>618</v>
      </c>
      <c r="P11" t="inlineStr">
        <is>
          <t>AUD</t>
        </is>
      </c>
      <c r="Q11" t="n">
        <v>107.74471</v>
      </c>
    </row>
    <row r="12">
      <c r="A12" s="5" t="inlineStr">
        <is>
          <t>01a1212c-89dd-75e7-b856-5b7f55b29423</t>
        </is>
      </c>
      <c r="B12" t="n">
        <v/>
      </c>
      <c r="C12" s="5" t="inlineStr">
        <is>
          <t>01a1212c-4b57-70cf-80fd-c2192cb3bf81</t>
        </is>
      </c>
      <c r="D12" s="4" t="n">
        <v>46304.62418331744</v>
      </c>
      <c r="E12" s="4" t="n">
        <v>46304.62418663642</v>
      </c>
      <c r="F12" t="b">
        <v>1</v>
      </c>
      <c r="G12" t="n">
        <v/>
      </c>
      <c r="H12" t="inlineStr">
        <is>
          <t>2019-03-14 VAS | 18.0000</t>
        </is>
      </c>
      <c r="I12" t="b">
        <v>1</v>
      </c>
      <c r="J12" s="5" t="inlineStr">
        <is>
          <t>01a1212c-6b06-7635-8cc2-f08f1c899ffd</t>
        </is>
      </c>
      <c r="K12" s="5" t="inlineStr">
        <is>
          <t>01a1212c-8931-72b2-8b0b-4048274a900f</t>
        </is>
      </c>
      <c r="L12" t="n">
        <v>18</v>
      </c>
      <c r="M12" s="6" t="n">
        <v>43538</v>
      </c>
      <c r="N12" t="inlineStr">
        <is>
          <t>FY2018/19</t>
        </is>
      </c>
      <c r="O12" t="n">
        <v>584</v>
      </c>
      <c r="P12" t="inlineStr">
        <is>
          <t>AUD</t>
        </is>
      </c>
      <c r="Q12" t="n">
        <v>93.07138</v>
      </c>
    </row>
    <row r="13">
      <c r="A13" s="5" t="inlineStr">
        <is>
          <t>01a1212c-89ed-7478-a788-82b6c8b4bac9</t>
        </is>
      </c>
      <c r="B13" t="n">
        <v/>
      </c>
      <c r="C13" s="5" t="inlineStr">
        <is>
          <t>01a1212c-4b57-70cf-80fd-c2192cb3bf81</t>
        </is>
      </c>
      <c r="D13" s="4" t="n">
        <v>46304.62418349826</v>
      </c>
      <c r="E13" s="4" t="n">
        <v>46304.62418585507</v>
      </c>
      <c r="F13" t="b">
        <v>1</v>
      </c>
      <c r="G13" t="n">
        <v/>
      </c>
      <c r="H13" t="inlineStr">
        <is>
          <t>2019-03-14 VAS | 3.0000</t>
        </is>
      </c>
      <c r="I13" t="b">
        <v>1</v>
      </c>
      <c r="J13" s="5" t="inlineStr">
        <is>
          <t>01a1212c-89ef-7630-ad3f-fd37a2fe2e20</t>
        </is>
      </c>
      <c r="K13" s="5" t="inlineStr">
        <is>
          <t>01a1212c-8931-72b2-8b0b-4048274a900f</t>
        </is>
      </c>
      <c r="L13" t="n">
        <v>3</v>
      </c>
      <c r="M13" s="6" t="n">
        <v>43538</v>
      </c>
      <c r="N13" t="inlineStr">
        <is>
          <t>FY2018/19</t>
        </is>
      </c>
      <c r="O13" t="n">
        <v>556</v>
      </c>
      <c r="P13" t="inlineStr">
        <is>
          <t>AUD</t>
        </is>
      </c>
      <c r="Q13" t="n">
        <v>15.85298</v>
      </c>
    </row>
    <row r="14">
      <c r="A14" s="5" t="inlineStr">
        <is>
          <t>01a1212c-8d24-7410-9d71-21f7f7defcbd</t>
        </is>
      </c>
      <c r="B14" t="n">
        <v/>
      </c>
      <c r="C14" s="5" t="inlineStr">
        <is>
          <t>01a1212c-4b57-70cf-80fd-c2192cb3bf81</t>
        </is>
      </c>
      <c r="D14" s="4" t="n">
        <v>46304.62419302933</v>
      </c>
      <c r="E14" s="4" t="n">
        <v>46304.62419302941</v>
      </c>
      <c r="F14" t="b">
        <v>1</v>
      </c>
      <c r="G14" t="n">
        <v/>
      </c>
      <c r="H14" t="inlineStr">
        <is>
          <t>2019-08-20 VAS | 13.0000</t>
        </is>
      </c>
      <c r="I14" t="b">
        <v>1</v>
      </c>
      <c r="J14" s="5" t="inlineStr">
        <is>
          <t>01a1212c-89f4-7113-8008-3b3bfc79728b</t>
        </is>
      </c>
      <c r="K14" s="5" t="inlineStr">
        <is>
          <t>01a1212c-8d1b-74a4-a181-6d258da22399</t>
        </is>
      </c>
      <c r="L14" t="n">
        <v>13</v>
      </c>
      <c r="M14" s="6" t="n">
        <v>43697</v>
      </c>
      <c r="N14" t="inlineStr">
        <is>
          <t>FY2019/20</t>
        </is>
      </c>
      <c r="O14" t="n">
        <v>715</v>
      </c>
      <c r="P14" t="inlineStr">
        <is>
          <t>AUD</t>
        </is>
      </c>
      <c r="Q14" t="n">
        <v>121.297902</v>
      </c>
    </row>
    <row r="15">
      <c r="A15" s="5" t="inlineStr">
        <is>
          <t>01a1212c-8d36-7300-af16-eacb604df2b4</t>
        </is>
      </c>
      <c r="B15" t="n">
        <v/>
      </c>
      <c r="C15" s="5" t="inlineStr">
        <is>
          <t>01a1212c-4b57-70cf-80fd-c2192cb3bf81</t>
        </is>
      </c>
      <c r="D15" s="4" t="n">
        <v>46304.62419323178</v>
      </c>
      <c r="E15" s="4" t="n">
        <v>46304.62419323187</v>
      </c>
      <c r="F15" t="b">
        <v>1</v>
      </c>
      <c r="G15" t="n">
        <v/>
      </c>
      <c r="H15" t="inlineStr">
        <is>
          <t>2019-08-20 VAS | 11.0000</t>
        </is>
      </c>
      <c r="I15" t="b">
        <v>1</v>
      </c>
      <c r="J15" s="5" t="inlineStr">
        <is>
          <t>01a1212c-6b72-74ed-b4f6-5b4d5a03ef71</t>
        </is>
      </c>
      <c r="K15" s="5" t="inlineStr">
        <is>
          <t>01a1212c-8d1b-74a4-a181-6d258da22399</t>
        </is>
      </c>
      <c r="L15" t="n">
        <v>11</v>
      </c>
      <c r="M15" s="6" t="n">
        <v>43697</v>
      </c>
      <c r="N15" t="inlineStr">
        <is>
          <t>FY2019/20</t>
        </is>
      </c>
      <c r="O15" t="n">
        <v>684</v>
      </c>
      <c r="P15" t="inlineStr">
        <is>
          <t>AUD</t>
        </is>
      </c>
      <c r="Q15" t="n">
        <v>112.40049</v>
      </c>
    </row>
    <row r="16">
      <c r="A16" s="5" t="inlineStr">
        <is>
          <t>01a1212c-8d45-764c-9d23-68b9a9e4e5a1</t>
        </is>
      </c>
      <c r="B16" t="n">
        <v/>
      </c>
      <c r="C16" s="5" t="inlineStr">
        <is>
          <t>01a1212c-4b57-70cf-80fd-c2192cb3bf81</t>
        </is>
      </c>
      <c r="D16" s="4" t="n">
        <v>46304.62419340699</v>
      </c>
      <c r="E16" s="4" t="n">
        <v>46304.62419340706</v>
      </c>
      <c r="F16" t="b">
        <v>1</v>
      </c>
      <c r="G16" t="n">
        <v/>
      </c>
      <c r="H16" t="inlineStr">
        <is>
          <t>2019-08-20 VAS | 13.0000</t>
        </is>
      </c>
      <c r="I16" t="b">
        <v>1</v>
      </c>
      <c r="J16" s="5" t="inlineStr">
        <is>
          <t>01a1212c-6bb4-759b-b5fd-3065dd129d0f</t>
        </is>
      </c>
      <c r="K16" s="5" t="inlineStr">
        <is>
          <t>01a1212c-8d1b-74a4-a181-6d258da22399</t>
        </is>
      </c>
      <c r="L16" t="n">
        <v>13</v>
      </c>
      <c r="M16" s="6" t="n">
        <v>43697</v>
      </c>
      <c r="N16" t="inlineStr">
        <is>
          <t>FY2019/20</t>
        </is>
      </c>
      <c r="O16" t="n">
        <v>652</v>
      </c>
      <c r="P16" t="inlineStr">
        <is>
          <t>AUD</t>
        </is>
      </c>
      <c r="Q16" t="n">
        <v>85.382352</v>
      </c>
    </row>
    <row r="17">
      <c r="A17" s="5" t="inlineStr">
        <is>
          <t>01a1212c-8d54-768f-a9d3-23bde71feca9</t>
        </is>
      </c>
      <c r="B17" t="n">
        <v/>
      </c>
      <c r="C17" s="5" t="inlineStr">
        <is>
          <t>01a1212c-4b57-70cf-80fd-c2192cb3bf81</t>
        </is>
      </c>
      <c r="D17" s="4" t="n">
        <v>46304.6241935803</v>
      </c>
      <c r="E17" s="4" t="n">
        <v>46304.62419358037</v>
      </c>
      <c r="F17" t="b">
        <v>1</v>
      </c>
      <c r="G17" t="n">
        <v/>
      </c>
      <c r="H17" t="inlineStr">
        <is>
          <t>2019-08-20 VAS | 13.0000</t>
        </is>
      </c>
      <c r="I17" t="b">
        <v>1</v>
      </c>
      <c r="J17" s="5" t="inlineStr">
        <is>
          <t>01a1212c-6bde-777f-aa74-d04c84c2a216</t>
        </is>
      </c>
      <c r="K17" s="5" t="inlineStr">
        <is>
          <t>01a1212c-8d1b-74a4-a181-6d258da22399</t>
        </is>
      </c>
      <c r="L17" t="n">
        <v>13</v>
      </c>
      <c r="M17" s="6" t="n">
        <v>43697</v>
      </c>
      <c r="N17" t="inlineStr">
        <is>
          <t>FY2019/20</t>
        </is>
      </c>
      <c r="O17" t="n">
        <v>624</v>
      </c>
      <c r="P17" t="inlineStr">
        <is>
          <t>AUD</t>
        </is>
      </c>
      <c r="Q17" t="n">
        <v>73.158152</v>
      </c>
    </row>
    <row r="18">
      <c r="A18" s="5" t="inlineStr">
        <is>
          <t>01a1212c-8d63-71fd-abd5-79832c6ae051</t>
        </is>
      </c>
      <c r="B18" t="n">
        <v/>
      </c>
      <c r="C18" s="5" t="inlineStr">
        <is>
          <t>01a1212c-4b57-70cf-80fd-c2192cb3bf81</t>
        </is>
      </c>
      <c r="D18" s="4" t="n">
        <v>46304.6241937511</v>
      </c>
      <c r="E18" s="4" t="n">
        <v>46304.62419375117</v>
      </c>
      <c r="F18" t="b">
        <v>1</v>
      </c>
      <c r="G18" t="n">
        <v/>
      </c>
      <c r="H18" t="inlineStr">
        <is>
          <t>2019-08-20 VAS | 20.0000</t>
        </is>
      </c>
      <c r="I18" t="b">
        <v>1</v>
      </c>
      <c r="J18" s="5" t="inlineStr">
        <is>
          <t>01a1212c-6c08-71b7-9210-9718c95a0269</t>
        </is>
      </c>
      <c r="K18" s="5" t="inlineStr">
        <is>
          <t>01a1212c-8d1b-74a4-a181-6d258da22399</t>
        </is>
      </c>
      <c r="L18" t="n">
        <v>20</v>
      </c>
      <c r="M18" s="6" t="n">
        <v>43697</v>
      </c>
      <c r="N18" t="inlineStr">
        <is>
          <t>FY2019/20</t>
        </is>
      </c>
      <c r="O18" t="n">
        <v>592</v>
      </c>
      <c r="P18" t="inlineStr">
        <is>
          <t>AUD</t>
        </is>
      </c>
      <c r="Q18" t="n">
        <v>93.001918</v>
      </c>
    </row>
    <row r="19">
      <c r="A19" s="5" t="inlineStr">
        <is>
          <t>01a1212c-8d73-70a0-842b-ea8f502e8e09</t>
        </is>
      </c>
      <c r="B19" t="n">
        <v/>
      </c>
      <c r="C19" s="5" t="inlineStr">
        <is>
          <t>01a1212c-4b57-70cf-80fd-c2192cb3bf81</t>
        </is>
      </c>
      <c r="D19" s="4" t="n">
        <v>46304.62419393533</v>
      </c>
      <c r="E19" s="4" t="n">
        <v>46304.62419393539</v>
      </c>
      <c r="F19" t="b">
        <v>1</v>
      </c>
      <c r="G19" t="n">
        <v/>
      </c>
      <c r="H19" t="inlineStr">
        <is>
          <t>2019-08-20 VAS | 14.0000</t>
        </is>
      </c>
      <c r="I19" t="b">
        <v>1</v>
      </c>
      <c r="J19" s="5" t="inlineStr">
        <is>
          <t>01a1212c-6c49-7160-b8e0-1ae2951d4c69</t>
        </is>
      </c>
      <c r="K19" s="5" t="inlineStr">
        <is>
          <t>01a1212c-8d1b-74a4-a181-6d258da22399</t>
        </is>
      </c>
      <c r="L19" t="n">
        <v>14</v>
      </c>
      <c r="M19" s="6" t="n">
        <v>43697</v>
      </c>
      <c r="N19" t="inlineStr">
        <is>
          <t>FY2019/20</t>
        </is>
      </c>
      <c r="O19" t="n">
        <v>564</v>
      </c>
      <c r="P19" t="inlineStr">
        <is>
          <t>AUD</t>
        </is>
      </c>
      <c r="Q19" t="n">
        <v>61.826833</v>
      </c>
    </row>
    <row r="20">
      <c r="A20" s="5" t="inlineStr">
        <is>
          <t>01a1212c-8d82-749a-bccb-f1be245f0e53</t>
        </is>
      </c>
      <c r="B20" t="n">
        <v/>
      </c>
      <c r="C20" s="5" t="inlineStr">
        <is>
          <t>01a1212c-4b57-70cf-80fd-c2192cb3bf81</t>
        </is>
      </c>
      <c r="D20" s="4" t="n">
        <v>46304.62419411171</v>
      </c>
      <c r="E20" s="4" t="n">
        <v>46304.62419411178</v>
      </c>
      <c r="F20" t="b">
        <v>1</v>
      </c>
      <c r="G20" t="n">
        <v/>
      </c>
      <c r="H20" t="inlineStr">
        <is>
          <t>2019-08-20 VAS | 20.0000</t>
        </is>
      </c>
      <c r="I20" t="b">
        <v>1</v>
      </c>
      <c r="J20" s="5" t="inlineStr">
        <is>
          <t>01a1212c-6c9e-75f8-990d-1f420daecde4</t>
        </is>
      </c>
      <c r="K20" s="5" t="inlineStr">
        <is>
          <t>01a1212c-8d1b-74a4-a181-6d258da22399</t>
        </is>
      </c>
      <c r="L20" t="n">
        <v>20</v>
      </c>
      <c r="M20" s="6" t="n">
        <v>43697</v>
      </c>
      <c r="N20" t="inlineStr">
        <is>
          <t>FY2019/20</t>
        </is>
      </c>
      <c r="O20" t="n">
        <v>532</v>
      </c>
      <c r="P20" t="inlineStr">
        <is>
          <t>AUD</t>
        </is>
      </c>
      <c r="Q20" t="n">
        <v>117.530818</v>
      </c>
    </row>
    <row r="21">
      <c r="A21" s="5" t="inlineStr">
        <is>
          <t>01a1212c-8d91-7221-bbe2-db81bdf51382</t>
        </is>
      </c>
      <c r="B21" t="n">
        <v/>
      </c>
      <c r="C21" s="5" t="inlineStr">
        <is>
          <t>01a1212c-4b57-70cf-80fd-c2192cb3bf81</t>
        </is>
      </c>
      <c r="D21" s="4" t="n">
        <v>46304.62419428729</v>
      </c>
      <c r="E21" s="4" t="n">
        <v>46304.62419428737</v>
      </c>
      <c r="F21" t="b">
        <v>1</v>
      </c>
      <c r="G21" t="n">
        <v/>
      </c>
      <c r="H21" t="inlineStr">
        <is>
          <t>2019-08-20 VAS | 12.0000</t>
        </is>
      </c>
      <c r="I21" t="b">
        <v>1</v>
      </c>
      <c r="J21" s="5" t="inlineStr">
        <is>
          <t>01a1212c-6cc9-776e-89ba-82d2ec02eeba</t>
        </is>
      </c>
      <c r="K21" s="5" t="inlineStr">
        <is>
          <t>01a1212c-8d1b-74a4-a181-6d258da22399</t>
        </is>
      </c>
      <c r="L21" t="n">
        <v>12</v>
      </c>
      <c r="M21" s="6" t="n">
        <v>43697</v>
      </c>
      <c r="N21" t="inlineStr">
        <is>
          <t>FY2019/20</t>
        </is>
      </c>
      <c r="O21" t="n">
        <v>501</v>
      </c>
      <c r="P21" t="inlineStr">
        <is>
          <t>AUD</t>
        </is>
      </c>
      <c r="Q21" t="n">
        <v>99.448671</v>
      </c>
    </row>
    <row r="22">
      <c r="A22" s="5" t="inlineStr">
        <is>
          <t>01a1212c-8da0-7081-a438-19f7b70f5095</t>
        </is>
      </c>
      <c r="B22" t="n">
        <v/>
      </c>
      <c r="C22" s="5" t="inlineStr">
        <is>
          <t>01a1212c-4b57-70cf-80fd-c2192cb3bf81</t>
        </is>
      </c>
      <c r="D22" s="4" t="n">
        <v>46304.62419446961</v>
      </c>
      <c r="E22" s="4" t="n">
        <v>46304.62419446975</v>
      </c>
      <c r="F22" t="b">
        <v>1</v>
      </c>
      <c r="G22" t="n">
        <v/>
      </c>
      <c r="H22" t="inlineStr">
        <is>
          <t>2019-08-20 VAS | 15.0000</t>
        </is>
      </c>
      <c r="I22" t="b">
        <v>1</v>
      </c>
      <c r="J22" s="5" t="inlineStr">
        <is>
          <t>01a1212c-6cf4-716f-80ca-3b34218d873a</t>
        </is>
      </c>
      <c r="K22" s="5" t="inlineStr">
        <is>
          <t>01a1212c-8d1b-74a4-a181-6d258da22399</t>
        </is>
      </c>
      <c r="L22" t="n">
        <v>15</v>
      </c>
      <c r="M22" s="6" t="n">
        <v>43697</v>
      </c>
      <c r="N22" t="inlineStr">
        <is>
          <t>FY2019/20</t>
        </is>
      </c>
      <c r="O22" t="n">
        <v>470</v>
      </c>
      <c r="P22" t="inlineStr">
        <is>
          <t>AUD</t>
        </is>
      </c>
      <c r="Q22" t="n">
        <v>69.348214</v>
      </c>
    </row>
    <row r="23">
      <c r="A23" s="5" t="inlineStr">
        <is>
          <t>01a1212c-8dc2-7152-ba5d-8c885e857f9e</t>
        </is>
      </c>
      <c r="B23" t="n">
        <v/>
      </c>
      <c r="C23" s="5" t="inlineStr">
        <is>
          <t>01a1212c-4b57-70cf-80fd-c2192cb3bf81</t>
        </is>
      </c>
      <c r="D23" s="4" t="n">
        <v>46304.62419484839</v>
      </c>
      <c r="E23" s="4" t="n">
        <v>46304.62419484847</v>
      </c>
      <c r="F23" t="b">
        <v>1</v>
      </c>
      <c r="G23" t="n">
        <v/>
      </c>
      <c r="H23" t="inlineStr">
        <is>
          <t>2019-10-15 TLS | 195.0000</t>
        </is>
      </c>
      <c r="I23" t="b">
        <v>1</v>
      </c>
      <c r="J23" s="5" t="inlineStr">
        <is>
          <t>01a1212c-6906-7630-a5f2-751e7e213be3</t>
        </is>
      </c>
      <c r="K23" s="5" t="inlineStr">
        <is>
          <t>01a1212c-8dbd-7320-af7b-aa5adf7f799a</t>
        </is>
      </c>
      <c r="L23" t="n">
        <v>195</v>
      </c>
      <c r="M23" s="6" t="n">
        <v>43753</v>
      </c>
      <c r="N23" t="inlineStr">
        <is>
          <t>FY2019/20</t>
        </is>
      </c>
      <c r="O23" t="n">
        <v>1037</v>
      </c>
      <c r="P23" t="inlineStr">
        <is>
          <t>AUD</t>
        </is>
      </c>
      <c r="Q23" t="n">
        <v>-297.189864</v>
      </c>
    </row>
    <row r="24">
      <c r="A24" s="5" t="inlineStr">
        <is>
          <t>01a1212c-8dd2-7112-8cb5-ede6a10ce26a</t>
        </is>
      </c>
      <c r="B24" t="n">
        <v/>
      </c>
      <c r="C24" s="5" t="inlineStr">
        <is>
          <t>01a1212c-4b57-70cf-80fd-c2192cb3bf81</t>
        </is>
      </c>
      <c r="D24" s="4" t="n">
        <v>46304.62419504335</v>
      </c>
      <c r="E24" s="4" t="n">
        <v>46304.62419504341</v>
      </c>
      <c r="F24" t="b">
        <v>1</v>
      </c>
      <c r="G24" t="n">
        <v/>
      </c>
      <c r="H24" t="inlineStr">
        <is>
          <t>2019-10-15 TLS | 299.0000</t>
        </is>
      </c>
      <c r="I24" t="b">
        <v>1</v>
      </c>
      <c r="J24" s="5" t="inlineStr">
        <is>
          <t>01a1212c-6a44-73c6-91b4-550ecb04beb8</t>
        </is>
      </c>
      <c r="K24" s="5" t="inlineStr">
        <is>
          <t>01a1212c-8dbd-7320-af7b-aa5adf7f799a</t>
        </is>
      </c>
      <c r="L24" t="n">
        <v>299</v>
      </c>
      <c r="M24" s="6" t="n">
        <v>43753</v>
      </c>
      <c r="N24" t="inlineStr">
        <is>
          <t>FY2019/20</t>
        </is>
      </c>
      <c r="O24" t="n">
        <v>883</v>
      </c>
      <c r="P24" t="inlineStr">
        <is>
          <t>AUD</t>
        </is>
      </c>
      <c r="Q24" t="n">
        <v>-280.601125</v>
      </c>
    </row>
    <row r="25">
      <c r="A25" s="5" t="inlineStr">
        <is>
          <t>01a1212c-8de2-761b-a3cf-ed60b618c80a</t>
        </is>
      </c>
      <c r="B25" t="n">
        <v/>
      </c>
      <c r="C25" s="5" t="inlineStr">
        <is>
          <t>01a1212c-4b57-70cf-80fd-c2192cb3bf81</t>
        </is>
      </c>
      <c r="D25" s="4" t="n">
        <v>46304.6241952309</v>
      </c>
      <c r="E25" s="4" t="n">
        <v>46304.62419523099</v>
      </c>
      <c r="F25" t="b">
        <v>1</v>
      </c>
      <c r="G25" t="n">
        <v/>
      </c>
      <c r="H25" t="inlineStr">
        <is>
          <t>2019-10-15 TLS | 315.0000</t>
        </is>
      </c>
      <c r="I25" t="b">
        <v>1</v>
      </c>
      <c r="J25" s="5" t="inlineStr">
        <is>
          <t>01a1212c-6c72-7096-8800-b496d4330923</t>
        </is>
      </c>
      <c r="K25" s="5" t="inlineStr">
        <is>
          <t>01a1212c-8dbd-7320-af7b-aa5adf7f799a</t>
        </is>
      </c>
      <c r="L25" t="n">
        <v>315</v>
      </c>
      <c r="M25" s="6" t="n">
        <v>43753</v>
      </c>
      <c r="N25" t="inlineStr">
        <is>
          <t>FY2019/20</t>
        </is>
      </c>
      <c r="O25" t="n">
        <v>614</v>
      </c>
      <c r="P25" t="inlineStr">
        <is>
          <t>AUD</t>
        </is>
      </c>
      <c r="Q25" t="n">
        <v>-29.949011</v>
      </c>
    </row>
    <row r="26">
      <c r="A26" s="5" t="inlineStr">
        <is>
          <t>01a1212c-9501-75fe-b310-c9c77613ae68</t>
        </is>
      </c>
      <c r="B26" t="inlineStr">
        <is>
          <t>S004 - B073</t>
        </is>
      </c>
      <c r="C26" s="5" t="inlineStr">
        <is>
          <t>01a1212c-4b57-70cf-80fd-c2192cb3bf81</t>
        </is>
      </c>
      <c r="D26" s="4" t="n">
        <v>46304.6242163326</v>
      </c>
      <c r="E26" s="4" t="n">
        <v>46304.6242163327</v>
      </c>
      <c r="F26" t="b">
        <v>1</v>
      </c>
      <c r="G26" s="3" t="inlineStr">
        <is>
          <t>FAKE DATA - generated for demonstration, not a real portfolio. lookup_legacy_sell and lookup_legacy_buy must match the legacy_id of the Sell and Buy rows.</t>
        </is>
      </c>
      <c r="H26" t="inlineStr">
        <is>
          <t>2022-03-22 WES | 14.0000</t>
        </is>
      </c>
      <c r="I26" t="b">
        <v>1</v>
      </c>
      <c r="J26" s="5" t="inlineStr">
        <is>
          <t>01a1212c-6e92-7029-9245-e448e27a2feb</t>
        </is>
      </c>
      <c r="K26" s="5" t="inlineStr">
        <is>
          <t>01a1212c-94f1-7019-b336-ee1945198e1f</t>
        </is>
      </c>
      <c r="L26" t="n">
        <v>14</v>
      </c>
      <c r="M26" s="6" t="n">
        <v>44642</v>
      </c>
      <c r="N26" t="inlineStr">
        <is>
          <t>FY2021/22</t>
        </is>
      </c>
      <c r="O26" t="n">
        <v>1226</v>
      </c>
      <c r="P26" t="inlineStr">
        <is>
          <t>AUD</t>
        </is>
      </c>
      <c r="Q26" t="n">
        <v>209.145246</v>
      </c>
    </row>
    <row r="27">
      <c r="A27" s="5" t="inlineStr">
        <is>
          <t>01a1212c-9515-77af-9dae-02ccb8dcf7c7</t>
        </is>
      </c>
      <c r="B27" t="inlineStr">
        <is>
          <t>S004 - B091</t>
        </is>
      </c>
      <c r="C27" s="5" t="inlineStr">
        <is>
          <t>01a1212c-4b57-70cf-80fd-c2192cb3bf81</t>
        </is>
      </c>
      <c r="D27" s="4" t="n">
        <v>46304.62421655957</v>
      </c>
      <c r="E27" s="4" t="n">
        <v>46304.62421655964</v>
      </c>
      <c r="F27" t="b">
        <v>1</v>
      </c>
      <c r="G27" t="n">
        <v/>
      </c>
      <c r="H27" t="inlineStr">
        <is>
          <t>2022-03-22 WES | 23.0000</t>
        </is>
      </c>
      <c r="I27" t="b">
        <v>1</v>
      </c>
      <c r="J27" s="5" t="inlineStr">
        <is>
          <t>01a1212c-7014-7234-b2a6-2982f2ea46fd</t>
        </is>
      </c>
      <c r="K27" s="5" t="inlineStr">
        <is>
          <t>01a1212c-94f1-7019-b336-ee1945198e1f</t>
        </is>
      </c>
      <c r="L27" t="n">
        <v>23</v>
      </c>
      <c r="M27" s="6" t="n">
        <v>44642</v>
      </c>
      <c r="N27" t="inlineStr">
        <is>
          <t>FY2021/22</t>
        </is>
      </c>
      <c r="O27" t="n">
        <v>1037</v>
      </c>
      <c r="P27" t="inlineStr">
        <is>
          <t>AUD</t>
        </is>
      </c>
      <c r="Q27" t="n">
        <v>291.558462</v>
      </c>
    </row>
    <row r="28">
      <c r="A28" s="5" t="inlineStr">
        <is>
          <t>01a1212c-9527-7102-8f20-6c4a5136695a</t>
        </is>
      </c>
      <c r="B28" t="inlineStr">
        <is>
          <t>S004 - B120</t>
        </is>
      </c>
      <c r="C28" s="5" t="inlineStr">
        <is>
          <t>01a1212c-4b57-70cf-80fd-c2192cb3bf81</t>
        </is>
      </c>
      <c r="D28" s="4" t="n">
        <v>46304.62421676578</v>
      </c>
      <c r="E28" s="4" t="n">
        <v>46304.62421676584</v>
      </c>
      <c r="F28" t="b">
        <v>1</v>
      </c>
      <c r="G28" t="n">
        <v/>
      </c>
      <c r="H28" t="inlineStr">
        <is>
          <t>2022-03-22 WES | 28.0000</t>
        </is>
      </c>
      <c r="I28" t="b">
        <v>1</v>
      </c>
      <c r="J28" s="5" t="inlineStr">
        <is>
          <t>01a1212c-728e-775e-8dc9-c0226890c8c9</t>
        </is>
      </c>
      <c r="K28" s="5" t="inlineStr">
        <is>
          <t>01a1212c-94f1-7019-b336-ee1945198e1f</t>
        </is>
      </c>
      <c r="L28" t="n">
        <v>28</v>
      </c>
      <c r="M28" s="6" t="n">
        <v>44642</v>
      </c>
      <c r="N28" t="inlineStr">
        <is>
          <t>FY2021/22</t>
        </is>
      </c>
      <c r="O28" t="n">
        <v>732</v>
      </c>
      <c r="P28" t="inlineStr">
        <is>
          <t>AUD</t>
        </is>
      </c>
      <c r="Q28" t="n">
        <v>455.317692</v>
      </c>
    </row>
    <row r="29">
      <c r="A29" s="5" t="inlineStr">
        <is>
          <t>01a1212c-a706-7745-a01a-76c0a28f472f</t>
        </is>
      </c>
      <c r="B29" t="n">
        <v/>
      </c>
      <c r="C29" s="5" t="inlineStr">
        <is>
          <t>01a1212c-4b57-70cf-80fd-c2192cb3bf81</t>
        </is>
      </c>
      <c r="D29" s="4" t="n">
        <v>46304.6242697147</v>
      </c>
      <c r="E29" s="4" t="n">
        <v>46304.6242697148</v>
      </c>
      <c r="F29" t="b">
        <v>1</v>
      </c>
      <c r="G29" t="n">
        <v/>
      </c>
      <c r="H29" t="inlineStr">
        <is>
          <t>2024-11-12 MSFT | 2.0000</t>
        </is>
      </c>
      <c r="I29" t="b">
        <v>1</v>
      </c>
      <c r="J29" s="5" t="inlineStr">
        <is>
          <t>01a1212c-806b-73e3-b04e-830d52655dcb</t>
        </is>
      </c>
      <c r="K29" s="5" t="inlineStr">
        <is>
          <t>01a1212c-a6de-7492-bdde-9705213068e5</t>
        </is>
      </c>
      <c r="L29" t="n">
        <v>2</v>
      </c>
      <c r="M29" s="6" t="n">
        <v>45608</v>
      </c>
      <c r="N29" t="inlineStr">
        <is>
          <t>FY2024/25</t>
        </is>
      </c>
      <c r="O29" t="n">
        <v>8</v>
      </c>
      <c r="P29" t="inlineStr">
        <is>
          <t>AUD</t>
        </is>
      </c>
      <c r="Q29" t="n">
        <v>35.726129</v>
      </c>
    </row>
    <row r="30">
      <c r="A30" s="5" t="inlineStr">
        <is>
          <t>01a1212c-a717-73f1-a890-e134990cc0ce</t>
        </is>
      </c>
      <c r="B30" t="n">
        <v/>
      </c>
      <c r="C30" s="5" t="inlineStr">
        <is>
          <t>01a1212c-4b57-70cf-80fd-c2192cb3bf81</t>
        </is>
      </c>
      <c r="D30" s="4" t="n">
        <v>46304.6242699027</v>
      </c>
      <c r="E30" s="4" t="n">
        <v>46304.62426990276</v>
      </c>
      <c r="F30" t="b">
        <v>1</v>
      </c>
      <c r="G30" t="n">
        <v/>
      </c>
      <c r="H30" t="inlineStr">
        <is>
          <t>2024-11-12 MSFT | 1.0000</t>
        </is>
      </c>
      <c r="I30" t="b">
        <v>1</v>
      </c>
      <c r="J30" s="5" t="inlineStr">
        <is>
          <t>01a1212c-7de4-74fb-8447-aee738aec9e9</t>
        </is>
      </c>
      <c r="K30" s="5" t="inlineStr">
        <is>
          <t>01a1212c-a6de-7492-bdde-9705213068e5</t>
        </is>
      </c>
      <c r="L30" t="n">
        <v>1</v>
      </c>
      <c r="M30" s="6" t="n">
        <v>45608</v>
      </c>
      <c r="N30" t="inlineStr">
        <is>
          <t>FY2024/25</t>
        </is>
      </c>
      <c r="O30" t="n">
        <v>337</v>
      </c>
      <c r="P30" t="inlineStr">
        <is>
          <t>AUD</t>
        </is>
      </c>
      <c r="Q30" t="n">
        <v>69.853065</v>
      </c>
    </row>
    <row r="31">
      <c r="A31" s="5" t="inlineStr">
        <is>
          <t>01a1212c-a725-7071-83a0-27fdd38ceabd</t>
        </is>
      </c>
      <c r="B31" t="n">
        <v/>
      </c>
      <c r="C31" s="5" t="inlineStr">
        <is>
          <t>01a1212c-4b57-70cf-80fd-c2192cb3bf81</t>
        </is>
      </c>
      <c r="D31" s="4" t="n">
        <v>46304.62427007369</v>
      </c>
      <c r="E31" s="4" t="n">
        <v>46304.62427007376</v>
      </c>
      <c r="F31" t="b">
        <v>1</v>
      </c>
      <c r="G31" t="n">
        <v/>
      </c>
      <c r="H31" t="inlineStr">
        <is>
          <t>2024-11-12 MSFT | 1.0000</t>
        </is>
      </c>
      <c r="I31" t="b">
        <v>1</v>
      </c>
      <c r="J31" s="5" t="inlineStr">
        <is>
          <t>01a1212c-7d1d-7176-810f-e34a8b03dcf5</t>
        </is>
      </c>
      <c r="K31" s="5" t="inlineStr">
        <is>
          <t>01a1212c-a6de-7492-bdde-9705213068e5</t>
        </is>
      </c>
      <c r="L31" t="n">
        <v>1</v>
      </c>
      <c r="M31" s="6" t="n">
        <v>45608</v>
      </c>
      <c r="N31" t="inlineStr">
        <is>
          <t>FY2024/25</t>
        </is>
      </c>
      <c r="O31" t="n">
        <v>417</v>
      </c>
      <c r="P31" t="inlineStr">
        <is>
          <t>AUD</t>
        </is>
      </c>
      <c r="Q31" t="n">
        <v>151.288065</v>
      </c>
    </row>
    <row r="32">
      <c r="A32" s="5" t="inlineStr">
        <is>
          <t>01a1212c-a734-7087-bc4e-5c89efb8fe3f</t>
        </is>
      </c>
      <c r="B32" t="n">
        <v/>
      </c>
      <c r="C32" s="5" t="inlineStr">
        <is>
          <t>01a1212c-4b57-70cf-80fd-c2192cb3bf81</t>
        </is>
      </c>
      <c r="D32" s="4" t="n">
        <v>46304.62427024076</v>
      </c>
      <c r="E32" s="4" t="n">
        <v>46304.62427024084</v>
      </c>
      <c r="F32" t="b">
        <v>1</v>
      </c>
      <c r="G32" t="n">
        <v/>
      </c>
      <c r="H32" t="inlineStr">
        <is>
          <t>2024-11-12 MSFT | 2.0000</t>
        </is>
      </c>
      <c r="I32" t="b">
        <v>1</v>
      </c>
      <c r="J32" s="5" t="inlineStr">
        <is>
          <t>01a1212c-77eb-71d2-8d3e-c87dbf224379</t>
        </is>
      </c>
      <c r="K32" s="5" t="inlineStr">
        <is>
          <t>01a1212c-a6de-7492-bdde-9705213068e5</t>
        </is>
      </c>
      <c r="L32" t="n">
        <v>2</v>
      </c>
      <c r="M32" s="6" t="n">
        <v>45608</v>
      </c>
      <c r="N32" t="inlineStr">
        <is>
          <t>FY2024/25</t>
        </is>
      </c>
      <c r="O32" t="n">
        <v>1020</v>
      </c>
      <c r="P32" t="inlineStr">
        <is>
          <t>AUD</t>
        </is>
      </c>
      <c r="Q32" t="n">
        <v>361.586129</v>
      </c>
    </row>
    <row r="33">
      <c r="A33" s="5" t="inlineStr">
        <is>
          <t>01a1212c-a742-75ee-bfcf-3894d54b39da</t>
        </is>
      </c>
      <c r="B33" t="n">
        <v/>
      </c>
      <c r="C33" s="5" t="inlineStr">
        <is>
          <t>01a1212c-4b57-70cf-80fd-c2192cb3bf81</t>
        </is>
      </c>
      <c r="D33" s="4" t="n">
        <v>46304.624270411</v>
      </c>
      <c r="E33" s="4" t="n">
        <v>46304.62427041108</v>
      </c>
      <c r="F33" t="b">
        <v>1</v>
      </c>
      <c r="G33" t="n">
        <v/>
      </c>
      <c r="H33" t="inlineStr">
        <is>
          <t>2024-11-12 MSFT | 3.0000</t>
        </is>
      </c>
      <c r="I33" t="b">
        <v>1</v>
      </c>
      <c r="J33" s="5" t="inlineStr">
        <is>
          <t>01a1212c-76f3-737d-b876-ef8067dafb8e</t>
        </is>
      </c>
      <c r="K33" s="5" t="inlineStr">
        <is>
          <t>01a1212c-a6de-7492-bdde-9705213068e5</t>
        </is>
      </c>
      <c r="L33" t="n">
        <v>3</v>
      </c>
      <c r="M33" s="6" t="n">
        <v>45608</v>
      </c>
      <c r="N33" t="inlineStr">
        <is>
          <t>FY2024/25</t>
        </is>
      </c>
      <c r="O33" t="n">
        <v>1134</v>
      </c>
      <c r="P33" t="inlineStr">
        <is>
          <t>AUD</t>
        </is>
      </c>
      <c r="Q33" t="n">
        <v>595.989194</v>
      </c>
    </row>
    <row r="34">
      <c r="A34" s="5" t="inlineStr">
        <is>
          <t>01a1212c-a751-7689-8bc3-a9a9ef73811f</t>
        </is>
      </c>
      <c r="B34" t="n">
        <v/>
      </c>
      <c r="C34" s="5" t="inlineStr">
        <is>
          <t>01a1212c-4b57-70cf-80fd-c2192cb3bf81</t>
        </is>
      </c>
      <c r="D34" s="4" t="n">
        <v>46304.62427057926</v>
      </c>
      <c r="E34" s="4" t="n">
        <v>46304.62427057933</v>
      </c>
      <c r="F34" t="b">
        <v>1</v>
      </c>
      <c r="G34" t="n">
        <v/>
      </c>
      <c r="H34" t="inlineStr">
        <is>
          <t>2024-11-12 MSFT | 2.0000</t>
        </is>
      </c>
      <c r="I34" t="b">
        <v>1</v>
      </c>
      <c r="J34" s="5" t="inlineStr">
        <is>
          <t>01a1212c-7b96-70e2-926b-fb99be4701c0</t>
        </is>
      </c>
      <c r="K34" s="5" t="inlineStr">
        <is>
          <t>01a1212c-a6de-7492-bdde-9705213068e5</t>
        </is>
      </c>
      <c r="L34" t="n">
        <v>2</v>
      </c>
      <c r="M34" s="6" t="n">
        <v>45608</v>
      </c>
      <c r="N34" t="inlineStr">
        <is>
          <t>FY2024/25</t>
        </is>
      </c>
      <c r="O34" t="n">
        <v>596</v>
      </c>
      <c r="P34" t="inlineStr">
        <is>
          <t>AUD</t>
        </is>
      </c>
      <c r="Q34" t="n">
        <v>431.966129</v>
      </c>
    </row>
    <row r="35">
      <c r="A35" s="5" t="inlineStr">
        <is>
          <t>01a1212c-a760-73a6-a722-f7236c4cbfa8</t>
        </is>
      </c>
      <c r="B35" t="n">
        <v/>
      </c>
      <c r="C35" s="5" t="inlineStr">
        <is>
          <t>01a1212c-4b57-70cf-80fd-c2192cb3bf81</t>
        </is>
      </c>
      <c r="D35" s="4" t="n">
        <v>46304.6242707534</v>
      </c>
      <c r="E35" s="4" t="n">
        <v>46304.62427075348</v>
      </c>
      <c r="F35" t="b">
        <v>1</v>
      </c>
      <c r="G35" t="n">
        <v/>
      </c>
      <c r="H35" t="inlineStr">
        <is>
          <t>2024-11-12 MSFT | 3.0000</t>
        </is>
      </c>
      <c r="I35" t="b">
        <v>1</v>
      </c>
      <c r="J35" s="5" t="inlineStr">
        <is>
          <t>01a1212c-75c1-742a-8398-7e18f922e19c</t>
        </is>
      </c>
      <c r="K35" s="5" t="inlineStr">
        <is>
          <t>01a1212c-a6de-7492-bdde-9705213068e5</t>
        </is>
      </c>
      <c r="L35" t="n">
        <v>3</v>
      </c>
      <c r="M35" s="6" t="n">
        <v>45608</v>
      </c>
      <c r="N35" t="inlineStr">
        <is>
          <t>FY2024/25</t>
        </is>
      </c>
      <c r="O35" t="n">
        <v>1296</v>
      </c>
      <c r="P35" t="inlineStr">
        <is>
          <t>AUD</t>
        </is>
      </c>
      <c r="Q35" t="n">
        <v>718.434194</v>
      </c>
    </row>
    <row r="36">
      <c r="A36" s="5" t="inlineStr">
        <is>
          <t>01a1212c-a76f-70a7-bfa9-e7375c73360e</t>
        </is>
      </c>
      <c r="B36" t="n">
        <v/>
      </c>
      <c r="C36" s="5" t="inlineStr">
        <is>
          <t>01a1212c-4b57-70cf-80fd-c2192cb3bf81</t>
        </is>
      </c>
      <c r="D36" s="4" t="n">
        <v>46304.62427092626</v>
      </c>
      <c r="E36" s="4" t="n">
        <v>46304.62427092635</v>
      </c>
      <c r="F36" t="b">
        <v>1</v>
      </c>
      <c r="G36" t="n">
        <v/>
      </c>
      <c r="H36" t="inlineStr">
        <is>
          <t>2024-11-12 MSFT | 3.0000</t>
        </is>
      </c>
      <c r="I36" t="b">
        <v>1</v>
      </c>
      <c r="J36" s="5" t="inlineStr">
        <is>
          <t>01a1212c-799a-70d0-82fd-9710f60067ae</t>
        </is>
      </c>
      <c r="K36" s="5" t="inlineStr">
        <is>
          <t>01a1212c-a6de-7492-bdde-9705213068e5</t>
        </is>
      </c>
      <c r="L36" t="n">
        <v>3</v>
      </c>
      <c r="M36" s="6" t="n">
        <v>45608</v>
      </c>
      <c r="N36" t="inlineStr">
        <is>
          <t>FY2024/25</t>
        </is>
      </c>
      <c r="O36" t="n">
        <v>841</v>
      </c>
      <c r="P36" t="inlineStr">
        <is>
          <t>AUD</t>
        </is>
      </c>
      <c r="Q36" t="n">
        <v>730.6741940000001</v>
      </c>
    </row>
    <row r="37">
      <c r="A37" s="5" t="inlineStr">
        <is>
          <t>01a1212c-a77e-754f-92e8-609107ccddaf</t>
        </is>
      </c>
      <c r="B37" t="n">
        <v/>
      </c>
      <c r="C37" s="5" t="inlineStr">
        <is>
          <t>01a1212c-4b57-70cf-80fd-c2192cb3bf81</t>
        </is>
      </c>
      <c r="D37" s="4" t="n">
        <v>46304.62427110308</v>
      </c>
      <c r="E37" s="4" t="n">
        <v>46304.62427110316</v>
      </c>
      <c r="F37" t="b">
        <v>1</v>
      </c>
      <c r="G37" t="n">
        <v/>
      </c>
      <c r="H37" t="inlineStr">
        <is>
          <t>2024-11-12 MSFT | 1.0000</t>
        </is>
      </c>
      <c r="I37" t="b">
        <v>1</v>
      </c>
      <c r="J37" s="5" t="inlineStr">
        <is>
          <t>01a1212c-7b52-7525-b821-0bd3ac752abd</t>
        </is>
      </c>
      <c r="K37" s="5" t="inlineStr">
        <is>
          <t>01a1212c-a6de-7492-bdde-9705213068e5</t>
        </is>
      </c>
      <c r="L37" t="n">
        <v>1</v>
      </c>
      <c r="M37" s="6" t="n">
        <v>45608</v>
      </c>
      <c r="N37" t="inlineStr">
        <is>
          <t>FY2024/25</t>
        </is>
      </c>
      <c r="O37" t="n">
        <v>624</v>
      </c>
      <c r="P37" t="inlineStr">
        <is>
          <t>AUD</t>
        </is>
      </c>
      <c r="Q37" t="n">
        <v>251.563065</v>
      </c>
    </row>
    <row r="38">
      <c r="A38" s="5" t="inlineStr">
        <is>
          <t>01a1212c-a78e-714e-8187-5fd11ef3c556</t>
        </is>
      </c>
      <c r="B38" t="n">
        <v/>
      </c>
      <c r="C38" s="5" t="inlineStr">
        <is>
          <t>01a1212c-4b57-70cf-80fd-c2192cb3bf81</t>
        </is>
      </c>
      <c r="D38" s="4" t="n">
        <v>46304.62427128798</v>
      </c>
      <c r="E38" s="4" t="n">
        <v>46304.62427128806</v>
      </c>
      <c r="F38" t="b">
        <v>1</v>
      </c>
      <c r="G38" t="n">
        <v/>
      </c>
      <c r="H38" t="inlineStr">
        <is>
          <t>2024-11-12 MSFT | 2.0000</t>
        </is>
      </c>
      <c r="I38" t="b">
        <v>1</v>
      </c>
      <c r="J38" s="5" t="inlineStr">
        <is>
          <t>01a1212c-7a7a-77ee-bd4b-6ddf9a2de81e</t>
        </is>
      </c>
      <c r="K38" s="5" t="inlineStr">
        <is>
          <t>01a1212c-a6de-7492-bdde-9705213068e5</t>
        </is>
      </c>
      <c r="L38" t="n">
        <v>2</v>
      </c>
      <c r="M38" s="6" t="n">
        <v>45608</v>
      </c>
      <c r="N38" t="inlineStr">
        <is>
          <t>FY2024/25</t>
        </is>
      </c>
      <c r="O38" t="n">
        <v>749</v>
      </c>
      <c r="P38" t="inlineStr">
        <is>
          <t>AUD</t>
        </is>
      </c>
      <c r="Q38" t="n">
        <v>509.126129</v>
      </c>
    </row>
    <row r="39">
      <c r="A39" s="5" t="inlineStr">
        <is>
          <t>01a1212c-a79d-72b8-8c3d-d4c0a782fe35</t>
        </is>
      </c>
      <c r="B39" t="n">
        <v/>
      </c>
      <c r="C39" s="5" t="inlineStr">
        <is>
          <t>01a1212c-4b57-70cf-80fd-c2192cb3bf81</t>
        </is>
      </c>
      <c r="D39" s="4" t="n">
        <v>46304.62427146177</v>
      </c>
      <c r="E39" s="4" t="n">
        <v>46304.62427146184</v>
      </c>
      <c r="F39" t="b">
        <v>1</v>
      </c>
      <c r="G39" t="n">
        <v/>
      </c>
      <c r="H39" t="inlineStr">
        <is>
          <t>2024-11-12 MSFT | 1.0000</t>
        </is>
      </c>
      <c r="I39" t="b">
        <v>1</v>
      </c>
      <c r="J39" s="5" t="inlineStr">
        <is>
          <t>01a1212c-73ad-745b-8a07-678f5df8a317</t>
        </is>
      </c>
      <c r="K39" s="5" t="inlineStr">
        <is>
          <t>01a1212c-a6de-7492-bdde-9705213068e5</t>
        </is>
      </c>
      <c r="L39" t="n">
        <v>1</v>
      </c>
      <c r="M39" s="6" t="n">
        <v>45608</v>
      </c>
      <c r="N39" t="inlineStr">
        <is>
          <t>FY2024/25</t>
        </is>
      </c>
      <c r="O39" t="n">
        <v>1583</v>
      </c>
      <c r="P39" t="inlineStr">
        <is>
          <t>AUD</t>
        </is>
      </c>
      <c r="Q39" t="n">
        <v>316.198065</v>
      </c>
    </row>
    <row r="40">
      <c r="A40" s="5" t="inlineStr">
        <is>
          <t>01a1212c-a7ac-7795-9f28-951cfb6eb930</t>
        </is>
      </c>
      <c r="B40" t="n">
        <v/>
      </c>
      <c r="C40" s="5" t="inlineStr">
        <is>
          <t>01a1212c-4b57-70cf-80fd-c2192cb3bf81</t>
        </is>
      </c>
      <c r="D40" s="4" t="n">
        <v>46304.62427162923</v>
      </c>
      <c r="E40" s="4" t="n">
        <v>46304.62427162929</v>
      </c>
      <c r="F40" t="b">
        <v>1</v>
      </c>
      <c r="G40" t="n">
        <v/>
      </c>
      <c r="H40" t="inlineStr">
        <is>
          <t>2024-11-12 MSFT | 4.0000</t>
        </is>
      </c>
      <c r="I40" t="b">
        <v>1</v>
      </c>
      <c r="J40" s="5" t="inlineStr">
        <is>
          <t>01a1212c-7353-706a-8a0c-c686449758b5</t>
        </is>
      </c>
      <c r="K40" s="5" t="inlineStr">
        <is>
          <t>01a1212c-a6de-7492-bdde-9705213068e5</t>
        </is>
      </c>
      <c r="L40" t="n">
        <v>4</v>
      </c>
      <c r="M40" s="6" t="n">
        <v>45608</v>
      </c>
      <c r="N40" t="inlineStr">
        <is>
          <t>FY2024/25</t>
        </is>
      </c>
      <c r="O40" t="n">
        <v>1618</v>
      </c>
      <c r="P40" t="inlineStr">
        <is>
          <t>AUD</t>
        </is>
      </c>
      <c r="Q40" t="n">
        <v>1399.552258</v>
      </c>
    </row>
    <row r="41">
      <c r="A41" s="5" t="inlineStr">
        <is>
          <t>01a1212c-a7bc-7131-8263-2f07f6768620</t>
        </is>
      </c>
      <c r="B41" t="n">
        <v/>
      </c>
      <c r="C41" s="5" t="inlineStr">
        <is>
          <t>01a1212c-4b57-70cf-80fd-c2192cb3bf81</t>
        </is>
      </c>
      <c r="D41" s="4" t="n">
        <v>46304.62427181227</v>
      </c>
      <c r="E41" s="4" t="n">
        <v>46304.62427181234</v>
      </c>
      <c r="F41" t="b">
        <v>1</v>
      </c>
      <c r="G41" t="n">
        <v/>
      </c>
      <c r="H41" t="inlineStr">
        <is>
          <t>2024-11-12 MSFT | 3.0000</t>
        </is>
      </c>
      <c r="I41" t="b">
        <v>1</v>
      </c>
      <c r="J41" s="5" t="inlineStr">
        <is>
          <t>01a1212c-724d-74c4-af7f-8de289e051bc</t>
        </is>
      </c>
      <c r="K41" s="5" t="inlineStr">
        <is>
          <t>01a1212c-a6de-7492-bdde-9705213068e5</t>
        </is>
      </c>
      <c r="L41" t="n">
        <v>3</v>
      </c>
      <c r="M41" s="6" t="n">
        <v>45608</v>
      </c>
      <c r="N41" t="inlineStr">
        <is>
          <t>FY2024/25</t>
        </is>
      </c>
      <c r="O41" t="n">
        <v>1729</v>
      </c>
      <c r="P41" t="inlineStr">
        <is>
          <t>AUD</t>
        </is>
      </c>
      <c r="Q41" t="n">
        <v>1052.874194</v>
      </c>
    </row>
    <row r="42">
      <c r="A42" s="5" t="inlineStr">
        <is>
          <t>01a1212c-a7cb-77e4-bfef-c832259ed48f</t>
        </is>
      </c>
      <c r="B42" t="n">
        <v/>
      </c>
      <c r="C42" s="5" t="inlineStr">
        <is>
          <t>01a1212c-4b57-70cf-80fd-c2192cb3bf81</t>
        </is>
      </c>
      <c r="D42" s="4" t="n">
        <v>46304.62427199053</v>
      </c>
      <c r="E42" s="4" t="n">
        <v>46304.6242719906</v>
      </c>
      <c r="F42" t="b">
        <v>1</v>
      </c>
      <c r="G42" t="n">
        <v/>
      </c>
      <c r="H42" t="inlineStr">
        <is>
          <t>2024-11-12 MSFT | 2.0000</t>
        </is>
      </c>
      <c r="I42" t="b">
        <v>1</v>
      </c>
      <c r="J42" s="5" t="inlineStr">
        <is>
          <t>01a1212c-72b9-7463-88f2-0ff2ba9e0d6d</t>
        </is>
      </c>
      <c r="K42" s="5" t="inlineStr">
        <is>
          <t>01a1212c-a6de-7492-bdde-9705213068e5</t>
        </is>
      </c>
      <c r="L42" t="n">
        <v>2</v>
      </c>
      <c r="M42" s="6" t="n">
        <v>45608</v>
      </c>
      <c r="N42" t="inlineStr">
        <is>
          <t>FY2024/25</t>
        </is>
      </c>
      <c r="O42" t="n">
        <v>1685</v>
      </c>
      <c r="P42" t="inlineStr">
        <is>
          <t>AUD</t>
        </is>
      </c>
      <c r="Q42" t="n">
        <v>795.326129</v>
      </c>
    </row>
    <row r="43">
      <c r="A43" s="5" t="inlineStr">
        <is>
          <t>01a1212c-a7da-75a2-8c68-fd0d666a54c4</t>
        </is>
      </c>
      <c r="B43" t="n">
        <v/>
      </c>
      <c r="C43" s="5" t="inlineStr">
        <is>
          <t>01a1212c-4b57-70cf-80fd-c2192cb3bf81</t>
        </is>
      </c>
      <c r="D43" s="4" t="n">
        <v>46304.62427216877</v>
      </c>
      <c r="E43" s="4" t="n">
        <v>46304.62427216884</v>
      </c>
      <c r="F43" t="b">
        <v>1</v>
      </c>
      <c r="G43" t="n">
        <v/>
      </c>
      <c r="H43" t="inlineStr">
        <is>
          <t>2024-11-12 MSFT | 1.0000</t>
        </is>
      </c>
      <c r="I43" t="b">
        <v>1</v>
      </c>
      <c r="J43" s="5" t="inlineStr">
        <is>
          <t>01a1212c-a7dc-72bc-aa73-197f788ae91a</t>
        </is>
      </c>
      <c r="K43" s="5" t="inlineStr">
        <is>
          <t>01a1212c-a6de-7492-bdde-9705213068e5</t>
        </is>
      </c>
      <c r="L43" t="n">
        <v>1</v>
      </c>
      <c r="M43" s="6" t="n">
        <v>45608</v>
      </c>
      <c r="N43" t="inlineStr">
        <is>
          <t>FY2024/25</t>
        </is>
      </c>
      <c r="O43" t="n">
        <v>1870</v>
      </c>
      <c r="P43" t="inlineStr">
        <is>
          <t>AUD</t>
        </is>
      </c>
      <c r="Q43" t="n">
        <v>424.508065</v>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P3"/>
  <sheetViews>
    <sheetView workbookViewId="0">
      <pane ySplit="1" topLeftCell="A2" activePane="bottomLeft" state="frozen"/>
      <selection pane="bottomLeft" activeCell="A1" sqref="A1"/>
    </sheetView>
  </sheetViews>
  <sheetFormatPr baseColWidth="8" defaultRowHeight="15"/>
  <cols>
    <col width="38.2" customWidth="1" min="1" max="1"/>
    <col width="11.2" customWidth="1" min="2" max="2"/>
    <col width="17.2" customWidth="1" min="3" max="3"/>
    <col width="38.2" customWidth="1" min="4" max="4"/>
    <col width="28.2" customWidth="1" min="5" max="5"/>
    <col width="28.2" customWidth="1" min="6" max="6"/>
    <col width="11.2" customWidth="1" min="7" max="7"/>
    <col width="63.2" customWidth="1" min="8" max="8"/>
    <col width="18.2" customWidth="1" min="9" max="9"/>
    <col width="17.2" customWidth="1" min="10" max="10"/>
    <col width="16.2" customWidth="1" min="11" max="11"/>
    <col width="12.2" customWidth="1" min="12" max="12"/>
    <col width="6.2" customWidth="1" min="13" max="13"/>
    <col width="19.2" customWidth="1" min="14" max="14"/>
    <col width="29.2" customWidth="1" min="15" max="15"/>
    <col width="29.2" customWidth="1" min="16" max="16"/>
  </cols>
  <sheetData>
    <row r="1" ht="32" customHeight="1">
      <c r="A1" s="1" t="inlineStr">
        <is>
          <t>id</t>
        </is>
      </c>
      <c r="B1" s="1" t="inlineStr">
        <is>
          <t>legacy_id</t>
        </is>
      </c>
      <c r="C1" s="1" t="inlineStr">
        <is>
          <t>description</t>
        </is>
      </c>
      <c r="D1" s="1" t="inlineStr">
        <is>
          <t>account_id</t>
        </is>
      </c>
      <c r="E1" s="1" t="inlineStr">
        <is>
          <t>created_at</t>
        </is>
      </c>
      <c r="F1" s="1" t="inlineStr">
        <is>
          <t>updated_at</t>
        </is>
      </c>
      <c r="G1" s="1" t="inlineStr">
        <is>
          <t>is_active</t>
        </is>
      </c>
      <c r="H1" s="1" t="inlineStr">
        <is>
          <t>notes</t>
        </is>
      </c>
      <c r="I1" s="1" t="inlineStr">
        <is>
          <t>instrument__name</t>
        </is>
      </c>
      <c r="J1" s="1" t="inlineStr">
        <is>
          <t>quantity_before</t>
        </is>
      </c>
      <c r="K1" s="1" t="inlineStr">
        <is>
          <t>quantity_after</t>
        </is>
      </c>
      <c r="L1" s="1" t="inlineStr">
        <is>
          <t>date</t>
        </is>
      </c>
      <c r="M1" s="1" t="inlineStr">
        <is>
          <t>file</t>
        </is>
      </c>
      <c r="N1" s="1" t="inlineStr">
        <is>
          <t>_creation_handled</t>
        </is>
      </c>
      <c r="O1" s="1" t="inlineStr">
        <is>
          <t>calculated_split_multiplier</t>
        </is>
      </c>
      <c r="P1" s="1" t="inlineStr">
        <is>
          <t>calculated_affected_parcels</t>
        </is>
      </c>
    </row>
    <row r="2">
      <c r="A2" s="5" t="inlineStr">
        <is>
          <t>01a1212c-90ae-7371-b744-28b3cfce041b</t>
        </is>
      </c>
      <c r="B2" t="inlineStr">
        <is>
          <t>SP1</t>
        </is>
      </c>
      <c r="C2" t="inlineStr">
        <is>
          <t>AAPL 1:4 split</t>
        </is>
      </c>
      <c r="D2" s="5" t="inlineStr">
        <is>
          <t>01a1212c-4b57-70cf-80fd-c2192cb3bf81</t>
        </is>
      </c>
      <c r="E2" s="4" t="n">
        <v>46304.62420351737</v>
      </c>
      <c r="F2" s="4" t="n">
        <v>46304.62420351745</v>
      </c>
      <c r="G2" t="b">
        <v>1</v>
      </c>
      <c r="H2" t="inlineStr">
        <is>
          <t>FAKE DATA - generated for demonstration, not a real portfolio</t>
        </is>
      </c>
      <c r="I2" t="inlineStr">
        <is>
          <t>AAPL</t>
        </is>
      </c>
      <c r="J2" t="n">
        <v>1</v>
      </c>
      <c r="K2" t="n">
        <v>4</v>
      </c>
      <c r="L2" s="6" t="n">
        <v>44074</v>
      </c>
      <c r="M2" t="inlineStr"/>
      <c r="N2" t="b">
        <v>1</v>
      </c>
      <c r="O2" t="n">
        <v>4</v>
      </c>
    </row>
    <row r="3">
      <c r="A3" s="5" t="inlineStr">
        <is>
          <t>01a1212c-9538-7222-b98e-02142c4d19e9</t>
        </is>
      </c>
      <c r="B3" t="inlineStr">
        <is>
          <t>SP2</t>
        </is>
      </c>
      <c r="C3" t="inlineStr">
        <is>
          <t>AMZN 1:20 split</t>
        </is>
      </c>
      <c r="D3" s="5" t="inlineStr">
        <is>
          <t>01a1212c-4b57-70cf-80fd-c2192cb3bf81</t>
        </is>
      </c>
      <c r="E3" s="4" t="n">
        <v>46304.62421696357</v>
      </c>
      <c r="F3" s="4" t="n">
        <v>46304.62421696366</v>
      </c>
      <c r="G3" t="b">
        <v>1</v>
      </c>
      <c r="H3" t="n">
        <v/>
      </c>
      <c r="I3" t="inlineStr">
        <is>
          <t>AMZN</t>
        </is>
      </c>
      <c r="J3" t="n">
        <v>1</v>
      </c>
      <c r="K3" t="n">
        <v>20</v>
      </c>
      <c r="L3" s="6" t="n">
        <v>44718</v>
      </c>
      <c r="M3" t="inlineStr"/>
      <c r="N3" t="b">
        <v>1</v>
      </c>
      <c r="O3" t="n">
        <v>20</v>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2"/>
  <sheetViews>
    <sheetView workbookViewId="0">
      <pane ySplit="1" topLeftCell="A2" activePane="bottomLeft" state="frozen"/>
      <selection pane="bottomLeft" activeCell="A1" sqref="A1"/>
    </sheetView>
  </sheetViews>
  <sheetFormatPr baseColWidth="8" defaultRowHeight="15"/>
  <cols>
    <col width="38.2" customWidth="1" min="1" max="1"/>
    <col width="11.2" customWidth="1" min="2" max="2"/>
    <col width="82.2" customWidth="1" min="3" max="3"/>
    <col width="38.2" customWidth="1" min="4" max="4"/>
    <col width="28.2" customWidth="1" min="5" max="5"/>
    <col width="28.2" customWidth="1" min="6" max="6"/>
    <col width="11.2" customWidth="1" min="7" max="7"/>
    <col width="63.2" customWidth="1" min="8" max="8"/>
    <col width="29.2" customWidth="1" min="9" max="9"/>
    <col width="20.2" customWidth="1" min="10" max="10"/>
    <col width="18.2" customWidth="1" min="11" max="11"/>
    <col width="25.2" customWidth="1" min="12" max="12"/>
    <col width="6.2" customWidth="1" min="13" max="13"/>
    <col width="19.2" customWidth="1" min="14" max="14"/>
    <col width="30.2" customWidth="1" min="15" max="15"/>
    <col width="50.2" customWidth="1" min="16" max="16"/>
    <col width="41.2" customWidth="1" min="17" max="17"/>
    <col width="19.2" customWidth="1" min="18" max="18"/>
  </cols>
  <sheetData>
    <row r="1" ht="32" customHeight="1">
      <c r="A1" s="1" t="inlineStr">
        <is>
          <t>id</t>
        </is>
      </c>
      <c r="B1" s="1" t="inlineStr">
        <is>
          <t>legacy_id</t>
        </is>
      </c>
      <c r="C1" s="1" t="inlineStr">
        <is>
          <t>description</t>
        </is>
      </c>
      <c r="D1" s="1" t="inlineStr">
        <is>
          <t>account_id</t>
        </is>
      </c>
      <c r="E1" s="1" t="inlineStr">
        <is>
          <t>created_at</t>
        </is>
      </c>
      <c r="F1" s="1" t="inlineStr">
        <is>
          <t>updated_at</t>
        </is>
      </c>
      <c r="G1" s="1" t="inlineStr">
        <is>
          <t>is_active</t>
        </is>
      </c>
      <c r="H1" s="1" t="inlineStr">
        <is>
          <t>notes</t>
        </is>
      </c>
      <c r="I1" s="1" t="inlineStr">
        <is>
          <t>cost_base_increase_currency</t>
        </is>
      </c>
      <c r="J1" s="1" t="inlineStr">
        <is>
          <t>cost_base_increase</t>
        </is>
      </c>
      <c r="K1" s="1" t="inlineStr">
        <is>
          <t>instrument__name</t>
        </is>
      </c>
      <c r="L1" s="1" t="inlineStr">
        <is>
          <t>financial_year_end_date</t>
        </is>
      </c>
      <c r="M1" s="1" t="inlineStr">
        <is>
          <t>file</t>
        </is>
      </c>
      <c r="N1" s="1" t="inlineStr">
        <is>
          <t>_creation_handled</t>
        </is>
      </c>
      <c r="O1" s="1" t="inlineStr">
        <is>
          <t>calculated_fiscal_year__name</t>
        </is>
      </c>
      <c r="P1" s="1" t="inlineStr">
        <is>
          <t>calculated_cost_base_increase_converted_currency</t>
        </is>
      </c>
      <c r="Q1" s="1" t="inlineStr">
        <is>
          <t>calculated_cost_base_increase_converted</t>
        </is>
      </c>
      <c r="R1" s="1" t="inlineStr">
        <is>
          <t>allocation_method</t>
        </is>
      </c>
    </row>
    <row r="2">
      <c r="A2" s="5" t="inlineStr">
        <is>
          <t>01a1212c-86e3-7746-8ba0-0ab6783a06f8</t>
        </is>
      </c>
      <c r="B2" t="inlineStr">
        <is>
          <t>A001</t>
        </is>
      </c>
      <c r="C2" s="3" t="inlineStr">
        <is>
          <t>01a1212c-86e3-7746-8ba0-0ab6783a06f8 | 2017-06-30 | Adjustment of VAS | Cost base increase = A$2.70</t>
        </is>
      </c>
      <c r="D2" s="5" t="inlineStr">
        <is>
          <t>01a1212c-4b57-70cf-80fd-c2192cb3bf81</t>
        </is>
      </c>
      <c r="E2" s="4" t="n">
        <v>46304.62417448911</v>
      </c>
      <c r="F2" s="4" t="n">
        <v>46304.62417448919</v>
      </c>
      <c r="G2" t="b">
        <v>1</v>
      </c>
      <c r="H2" t="inlineStr">
        <is>
          <t>FAKE DATA - generated for demonstration, not a real portfolio</t>
        </is>
      </c>
      <c r="I2" t="inlineStr">
        <is>
          <t>AUD</t>
        </is>
      </c>
      <c r="J2" t="n">
        <v>2.7</v>
      </c>
      <c r="K2" t="inlineStr">
        <is>
          <t>VAS</t>
        </is>
      </c>
      <c r="L2" s="6" t="n">
        <v>42916</v>
      </c>
      <c r="M2" t="inlineStr"/>
      <c r="N2" t="b">
        <v>1</v>
      </c>
      <c r="O2" t="inlineStr">
        <is>
          <t>FY2016/17</t>
        </is>
      </c>
      <c r="P2" t="inlineStr">
        <is>
          <t>AUD</t>
        </is>
      </c>
      <c r="Q2" t="n">
        <v>2.7</v>
      </c>
      <c r="R2" t="inlineStr">
        <is>
          <t>QTY_HELD</t>
        </is>
      </c>
    </row>
    <row r="3">
      <c r="A3" s="5" t="inlineStr">
        <is>
          <t>01a1212c-8740-73af-aba7-780bf5c0bd86</t>
        </is>
      </c>
      <c r="B3" t="inlineStr">
        <is>
          <t>A002</t>
        </is>
      </c>
      <c r="C3" s="3" t="inlineStr">
        <is>
          <t>01a1212c-8740-73af-aba7-780bf5c0bd86 | 2017-06-30 | Adjustment of VGS | Cost base increase = A$7.49</t>
        </is>
      </c>
      <c r="D3" s="5" t="inlineStr">
        <is>
          <t>01a1212c-4b57-70cf-80fd-c2192cb3bf81</t>
        </is>
      </c>
      <c r="E3" s="4" t="n">
        <v>46304.62417556575</v>
      </c>
      <c r="F3" s="4" t="n">
        <v>46304.62417556582</v>
      </c>
      <c r="G3" t="b">
        <v>1</v>
      </c>
      <c r="H3" t="n">
        <v/>
      </c>
      <c r="I3" t="inlineStr">
        <is>
          <t>AUD</t>
        </is>
      </c>
      <c r="J3" t="n">
        <v>7.49</v>
      </c>
      <c r="K3" t="inlineStr">
        <is>
          <t>VGS</t>
        </is>
      </c>
      <c r="L3" s="6" t="n">
        <v>42916</v>
      </c>
      <c r="M3" t="inlineStr"/>
      <c r="N3" t="b">
        <v>1</v>
      </c>
      <c r="O3" t="inlineStr">
        <is>
          <t>FY2016/17</t>
        </is>
      </c>
      <c r="P3" t="inlineStr">
        <is>
          <t>AUD</t>
        </is>
      </c>
      <c r="Q3" t="n">
        <v>7.49</v>
      </c>
      <c r="R3" t="inlineStr">
        <is>
          <t>QTY_HELD</t>
        </is>
      </c>
    </row>
    <row r="4">
      <c r="A4" s="5" t="inlineStr">
        <is>
          <t>01a1212c-879d-732d-8fe0-5b1ea9c45809</t>
        </is>
      </c>
      <c r="B4" t="inlineStr">
        <is>
          <t>A003</t>
        </is>
      </c>
      <c r="C4" s="3" t="inlineStr">
        <is>
          <t>01a1212c-879d-732d-8fe0-5b1ea9c45809 | 2018-06-30 | Adjustment of VAS | Cost base increase = -A$67.83</t>
        </is>
      </c>
      <c r="D4" s="5" t="inlineStr">
        <is>
          <t>01a1212c-4b57-70cf-80fd-c2192cb3bf81</t>
        </is>
      </c>
      <c r="E4" s="4" t="n">
        <v>46304.62417663856</v>
      </c>
      <c r="F4" s="4" t="n">
        <v>46304.62417663864</v>
      </c>
      <c r="G4" t="b">
        <v>1</v>
      </c>
      <c r="H4" t="n">
        <v/>
      </c>
      <c r="I4" t="inlineStr">
        <is>
          <t>AUD</t>
        </is>
      </c>
      <c r="J4" t="n">
        <v>-67.83</v>
      </c>
      <c r="K4" t="inlineStr">
        <is>
          <t>VAS</t>
        </is>
      </c>
      <c r="L4" s="6" t="n">
        <v>43281</v>
      </c>
      <c r="M4" t="inlineStr"/>
      <c r="N4" t="b">
        <v>1</v>
      </c>
      <c r="O4" t="inlineStr">
        <is>
          <t>FY2017/18</t>
        </is>
      </c>
      <c r="P4" t="inlineStr">
        <is>
          <t>AUD</t>
        </is>
      </c>
      <c r="Q4" t="n">
        <v>-67.83</v>
      </c>
      <c r="R4" t="inlineStr">
        <is>
          <t>QTY_HELD</t>
        </is>
      </c>
    </row>
    <row r="5">
      <c r="A5" s="5" t="inlineStr">
        <is>
          <t>01a1212c-8862-7551-bc30-d78825299412</t>
        </is>
      </c>
      <c r="B5" t="inlineStr">
        <is>
          <t>A004</t>
        </is>
      </c>
      <c r="C5" s="3" t="inlineStr">
        <is>
          <t>01a1212c-8862-7551-bc30-d78825299412 | 2018-06-30 | Adjustment of VGS | Cost base increase = -A$60.31</t>
        </is>
      </c>
      <c r="D5" s="5" t="inlineStr">
        <is>
          <t>01a1212c-4b57-70cf-80fd-c2192cb3bf81</t>
        </is>
      </c>
      <c r="E5" s="4" t="n">
        <v>46304.62417891775</v>
      </c>
      <c r="F5" s="4" t="n">
        <v>46304.62417891782</v>
      </c>
      <c r="G5" t="b">
        <v>1</v>
      </c>
      <c r="H5" t="n">
        <v/>
      </c>
      <c r="I5" t="inlineStr">
        <is>
          <t>AUD</t>
        </is>
      </c>
      <c r="J5" t="n">
        <v>-60.31</v>
      </c>
      <c r="K5" t="inlineStr">
        <is>
          <t>VGS</t>
        </is>
      </c>
      <c r="L5" s="6" t="n">
        <v>43281</v>
      </c>
      <c r="M5" t="inlineStr"/>
      <c r="N5" t="b">
        <v>1</v>
      </c>
      <c r="O5" t="inlineStr">
        <is>
          <t>FY2017/18</t>
        </is>
      </c>
      <c r="P5" t="inlineStr">
        <is>
          <t>AUD</t>
        </is>
      </c>
      <c r="Q5" t="n">
        <v>-60.31</v>
      </c>
      <c r="R5" t="inlineStr">
        <is>
          <t>QTY_HELD</t>
        </is>
      </c>
    </row>
    <row r="6">
      <c r="A6" s="5" t="inlineStr">
        <is>
          <t>01a1212c-8a2c-7766-8599-0bc070d57414</t>
        </is>
      </c>
      <c r="B6" t="inlineStr">
        <is>
          <t>A005</t>
        </is>
      </c>
      <c r="C6" s="3" t="inlineStr">
        <is>
          <t>01a1212c-8a2c-7766-8599-0bc070d57414 | 2019-06-30 | Adjustment of A200 | Cost base increase = A$14.66</t>
        </is>
      </c>
      <c r="D6" s="5" t="inlineStr">
        <is>
          <t>01a1212c-4b57-70cf-80fd-c2192cb3bf81</t>
        </is>
      </c>
      <c r="E6" s="4" t="n">
        <v>46304.62418422433</v>
      </c>
      <c r="F6" s="4" t="n">
        <v>46304.62418422441</v>
      </c>
      <c r="G6" t="b">
        <v>1</v>
      </c>
      <c r="H6" t="n">
        <v/>
      </c>
      <c r="I6" t="inlineStr">
        <is>
          <t>AUD</t>
        </is>
      </c>
      <c r="J6" t="n">
        <v>14.66</v>
      </c>
      <c r="K6" t="inlineStr">
        <is>
          <t>A200</t>
        </is>
      </c>
      <c r="L6" s="6" t="n">
        <v>43646</v>
      </c>
      <c r="M6" t="inlineStr"/>
      <c r="N6" t="b">
        <v>1</v>
      </c>
      <c r="O6" t="inlineStr">
        <is>
          <t>FY2018/19</t>
        </is>
      </c>
      <c r="P6" t="inlineStr">
        <is>
          <t>AUD</t>
        </is>
      </c>
      <c r="Q6" t="n">
        <v>14.66</v>
      </c>
      <c r="R6" t="inlineStr">
        <is>
          <t>QTY_HELD</t>
        </is>
      </c>
    </row>
    <row r="7">
      <c r="A7" s="5" t="inlineStr">
        <is>
          <t>01a1212c-8ab0-7595-bc11-bfe51cdde84f</t>
        </is>
      </c>
      <c r="B7" t="inlineStr">
        <is>
          <t>A006</t>
        </is>
      </c>
      <c r="C7" s="3" t="inlineStr">
        <is>
          <t>01a1212c-8ab0-7595-bc11-bfe51cdde84f | 2019-06-30 | Adjustment of VAS | Cost base increase = A$54.17</t>
        </is>
      </c>
      <c r="D7" s="5" t="inlineStr">
        <is>
          <t>01a1212c-4b57-70cf-80fd-c2192cb3bf81</t>
        </is>
      </c>
      <c r="E7" s="4" t="n">
        <v>46304.62418575103</v>
      </c>
      <c r="F7" s="4" t="n">
        <v>46304.62418575112</v>
      </c>
      <c r="G7" t="b">
        <v>1</v>
      </c>
      <c r="H7" t="n">
        <v/>
      </c>
      <c r="I7" t="inlineStr">
        <is>
          <t>AUD</t>
        </is>
      </c>
      <c r="J7" t="n">
        <v>54.17</v>
      </c>
      <c r="K7" t="inlineStr">
        <is>
          <t>VAS</t>
        </is>
      </c>
      <c r="L7" s="6" t="n">
        <v>43646</v>
      </c>
      <c r="M7" t="inlineStr"/>
      <c r="N7" t="b">
        <v>1</v>
      </c>
      <c r="O7" t="inlineStr">
        <is>
          <t>FY2018/19</t>
        </is>
      </c>
      <c r="P7" t="inlineStr">
        <is>
          <t>AUD</t>
        </is>
      </c>
      <c r="Q7" t="n">
        <v>54.17</v>
      </c>
      <c r="R7" t="inlineStr">
        <is>
          <t>QTY_HELD</t>
        </is>
      </c>
    </row>
    <row r="8">
      <c r="A8" s="5" t="inlineStr">
        <is>
          <t>01a1212c-8baa-744f-813f-f3d3bee6fb69</t>
        </is>
      </c>
      <c r="B8" t="inlineStr">
        <is>
          <t>A007</t>
        </is>
      </c>
      <c r="C8" s="3" t="inlineStr">
        <is>
          <t>01a1212c-8baa-744f-813f-f3d3bee6fb69 | 2019-06-30 | Adjustment of VGS | Cost base increase = A$46.66</t>
        </is>
      </c>
      <c r="D8" s="5" t="inlineStr">
        <is>
          <t>01a1212c-4b57-70cf-80fd-c2192cb3bf81</t>
        </is>
      </c>
      <c r="E8" s="4" t="n">
        <v>46304.62418863969</v>
      </c>
      <c r="F8" s="4" t="n">
        <v>46304.62418863977</v>
      </c>
      <c r="G8" t="b">
        <v>1</v>
      </c>
      <c r="H8" t="n">
        <v/>
      </c>
      <c r="I8" t="inlineStr">
        <is>
          <t>AUD</t>
        </is>
      </c>
      <c r="J8" t="n">
        <v>46.66</v>
      </c>
      <c r="K8" t="inlineStr">
        <is>
          <t>VGS</t>
        </is>
      </c>
      <c r="L8" s="6" t="n">
        <v>43646</v>
      </c>
      <c r="M8" t="inlineStr"/>
      <c r="N8" t="b">
        <v>1</v>
      </c>
      <c r="O8" t="inlineStr">
        <is>
          <t>FY2018/19</t>
        </is>
      </c>
      <c r="P8" t="inlineStr">
        <is>
          <t>AUD</t>
        </is>
      </c>
      <c r="Q8" t="n">
        <v>46.66</v>
      </c>
      <c r="R8" t="inlineStr">
        <is>
          <t>QTY_HELD</t>
        </is>
      </c>
    </row>
    <row r="9">
      <c r="A9" s="5" t="inlineStr">
        <is>
          <t>01a1212c-8dfd-70da-97a5-30b2c43d79af</t>
        </is>
      </c>
      <c r="B9" t="inlineStr">
        <is>
          <t>A008</t>
        </is>
      </c>
      <c r="C9" s="3" t="inlineStr">
        <is>
          <t>01a1212c-8dfd-70da-97a5-30b2c43d79af | 2020-06-30 | Adjustment of A200 | Cost base increase = A$54.14</t>
        </is>
      </c>
      <c r="D9" s="5" t="inlineStr">
        <is>
          <t>01a1212c-4b57-70cf-80fd-c2192cb3bf81</t>
        </is>
      </c>
      <c r="E9" s="4" t="n">
        <v>46304.62419552774</v>
      </c>
      <c r="F9" s="4" t="n">
        <v>46304.62419552782</v>
      </c>
      <c r="G9" t="b">
        <v>1</v>
      </c>
      <c r="H9" t="n">
        <v/>
      </c>
      <c r="I9" t="inlineStr">
        <is>
          <t>AUD</t>
        </is>
      </c>
      <c r="J9" t="n">
        <v>54.14</v>
      </c>
      <c r="K9" t="inlineStr">
        <is>
          <t>A200</t>
        </is>
      </c>
      <c r="L9" s="6" t="n">
        <v>44012</v>
      </c>
      <c r="M9" t="inlineStr"/>
      <c r="N9" t="b">
        <v>1</v>
      </c>
      <c r="O9" t="inlineStr">
        <is>
          <t>FY2019/20</t>
        </is>
      </c>
      <c r="P9" t="inlineStr">
        <is>
          <t>AUD</t>
        </is>
      </c>
      <c r="Q9" t="n">
        <v>54.14</v>
      </c>
      <c r="R9" t="inlineStr">
        <is>
          <t>QTY_HELD</t>
        </is>
      </c>
    </row>
    <row r="10">
      <c r="A10" s="5" t="inlineStr">
        <is>
          <t>01a1212c-8ef2-7480-a493-3ead5a163b78</t>
        </is>
      </c>
      <c r="B10" t="inlineStr">
        <is>
          <t>A009</t>
        </is>
      </c>
      <c r="C10" s="3" t="inlineStr">
        <is>
          <t>01a1212c-8ef2-7480-a493-3ead5a163b78 | 2020-06-30 | Adjustment of VGS | Cost base increase = A$167.97</t>
        </is>
      </c>
      <c r="D10" s="5" t="inlineStr">
        <is>
          <t>01a1212c-4b57-70cf-80fd-c2192cb3bf81</t>
        </is>
      </c>
      <c r="E10" s="4" t="n">
        <v>46304.62419837275</v>
      </c>
      <c r="F10" s="4" t="n">
        <v>46304.62419837283</v>
      </c>
      <c r="G10" t="b">
        <v>1</v>
      </c>
      <c r="H10" t="n">
        <v/>
      </c>
      <c r="I10" t="inlineStr">
        <is>
          <t>AUD</t>
        </is>
      </c>
      <c r="J10" t="n">
        <v>167.97</v>
      </c>
      <c r="K10" t="inlineStr">
        <is>
          <t>VGS</t>
        </is>
      </c>
      <c r="L10" s="6" t="n">
        <v>44012</v>
      </c>
      <c r="M10" t="inlineStr"/>
      <c r="N10" t="b">
        <v>1</v>
      </c>
      <c r="O10" t="inlineStr">
        <is>
          <t>FY2019/20</t>
        </is>
      </c>
      <c r="P10" t="inlineStr">
        <is>
          <t>AUD</t>
        </is>
      </c>
      <c r="Q10" t="n">
        <v>167.97</v>
      </c>
      <c r="R10" t="inlineStr">
        <is>
          <t>QTY_HELD</t>
        </is>
      </c>
    </row>
    <row r="11">
      <c r="A11" s="5" t="inlineStr">
        <is>
          <t>01a1212c-9145-7407-94b2-8ca10c380294</t>
        </is>
      </c>
      <c r="B11" t="inlineStr">
        <is>
          <t>A010</t>
        </is>
      </c>
      <c r="C11" s="3" t="inlineStr">
        <is>
          <t>01a1212c-9145-7407-94b2-8ca10c380294 | 2021-06-30 | Adjustment of A200 | Cost base increase = A$48.94</t>
        </is>
      </c>
      <c r="D11" s="5" t="inlineStr">
        <is>
          <t>01a1212c-4b57-70cf-80fd-c2192cb3bf81</t>
        </is>
      </c>
      <c r="E11" s="4" t="n">
        <v>46304.62420524879</v>
      </c>
      <c r="F11" s="4" t="n">
        <v>46304.62420524887</v>
      </c>
      <c r="G11" t="b">
        <v>1</v>
      </c>
      <c r="H11" t="n">
        <v/>
      </c>
      <c r="I11" t="inlineStr">
        <is>
          <t>AUD</t>
        </is>
      </c>
      <c r="J11" t="n">
        <v>48.94</v>
      </c>
      <c r="K11" t="inlineStr">
        <is>
          <t>A200</t>
        </is>
      </c>
      <c r="L11" s="6" t="n">
        <v>44377</v>
      </c>
      <c r="M11" t="inlineStr"/>
      <c r="N11" t="b">
        <v>1</v>
      </c>
      <c r="O11" t="inlineStr">
        <is>
          <t>FY2020/21</t>
        </is>
      </c>
      <c r="P11" t="inlineStr">
        <is>
          <t>AUD</t>
        </is>
      </c>
      <c r="Q11" t="n">
        <v>48.94</v>
      </c>
      <c r="R11" t="inlineStr">
        <is>
          <t>QTY_HELD</t>
        </is>
      </c>
    </row>
    <row r="12">
      <c r="A12" s="5" t="inlineStr">
        <is>
          <t>01a1212c-92bc-721b-87d2-9965816a5873</t>
        </is>
      </c>
      <c r="B12" t="inlineStr">
        <is>
          <t>A011</t>
        </is>
      </c>
      <c r="C12" s="3" t="inlineStr">
        <is>
          <t>01a1212c-92bc-721b-87d2-9965816a5873 | 2021-06-30 | Adjustment of VGS | Cost base increase = A$99.96</t>
        </is>
      </c>
      <c r="D12" s="5" t="inlineStr">
        <is>
          <t>01a1212c-4b57-70cf-80fd-c2192cb3bf81</t>
        </is>
      </c>
      <c r="E12" s="4" t="n">
        <v>46304.62420959071</v>
      </c>
      <c r="F12" s="4" t="n">
        <v>46304.62420959079</v>
      </c>
      <c r="G12" t="b">
        <v>1</v>
      </c>
      <c r="H12" t="n">
        <v/>
      </c>
      <c r="I12" t="inlineStr">
        <is>
          <t>AUD</t>
        </is>
      </c>
      <c r="J12" t="n">
        <v>99.95999999999999</v>
      </c>
      <c r="K12" t="inlineStr">
        <is>
          <t>VGS</t>
        </is>
      </c>
      <c r="L12" s="6" t="n">
        <v>44377</v>
      </c>
      <c r="M12" t="inlineStr"/>
      <c r="N12" t="b">
        <v>1</v>
      </c>
      <c r="O12" t="inlineStr">
        <is>
          <t>FY2020/21</t>
        </is>
      </c>
      <c r="P12" t="inlineStr">
        <is>
          <t>AUD</t>
        </is>
      </c>
      <c r="Q12" t="n">
        <v>99.95999999999999</v>
      </c>
      <c r="R12" t="inlineStr">
        <is>
          <t>QTY_HELD</t>
        </is>
      </c>
    </row>
    <row r="13">
      <c r="A13" s="5" t="inlineStr">
        <is>
          <t>01a1212c-95f5-76f4-bbee-039f3f452abb</t>
        </is>
      </c>
      <c r="B13" t="inlineStr">
        <is>
          <t>A012</t>
        </is>
      </c>
      <c r="C13" s="3" t="inlineStr">
        <is>
          <t>01a1212c-95f5-76f4-bbee-039f3f452abb | 2022-06-30 | Adjustment of A200 | Cost base increase = A$147.91</t>
        </is>
      </c>
      <c r="D13" s="5" t="inlineStr">
        <is>
          <t>01a1212c-4b57-70cf-80fd-c2192cb3bf81</t>
        </is>
      </c>
      <c r="E13" s="4" t="n">
        <v>46304.624219146</v>
      </c>
      <c r="F13" s="4" t="n">
        <v>46304.62421914609</v>
      </c>
      <c r="G13" t="b">
        <v>1</v>
      </c>
      <c r="H13" t="n">
        <v/>
      </c>
      <c r="I13" t="inlineStr">
        <is>
          <t>AUD</t>
        </is>
      </c>
      <c r="J13" t="n">
        <v>147.91</v>
      </c>
      <c r="K13" t="inlineStr">
        <is>
          <t>A200</t>
        </is>
      </c>
      <c r="L13" s="6" t="n">
        <v>44742</v>
      </c>
      <c r="M13" t="inlineStr"/>
      <c r="N13" t="b">
        <v>1</v>
      </c>
      <c r="O13" t="inlineStr">
        <is>
          <t>FY2021/22</t>
        </is>
      </c>
      <c r="P13" t="inlineStr">
        <is>
          <t>AUD</t>
        </is>
      </c>
      <c r="Q13" t="n">
        <v>147.91</v>
      </c>
      <c r="R13" t="inlineStr">
        <is>
          <t>QTY_HELD</t>
        </is>
      </c>
    </row>
    <row r="14">
      <c r="A14" s="5" t="inlineStr">
        <is>
          <t>01a1212c-981b-74a7-bdd8-ec219dc8c198</t>
        </is>
      </c>
      <c r="B14" t="inlineStr">
        <is>
          <t>A013</t>
        </is>
      </c>
      <c r="C14" s="3" t="inlineStr">
        <is>
          <t>01a1212c-981b-74a7-bdd8-ec219dc8c198 | 2022-06-30 | Adjustment of VGS | Cost base increase = A$189.54</t>
        </is>
      </c>
      <c r="D14" s="5" t="inlineStr">
        <is>
          <t>01a1212c-4b57-70cf-80fd-c2192cb3bf81</t>
        </is>
      </c>
      <c r="E14" s="4" t="n">
        <v>46304.62422551014</v>
      </c>
      <c r="F14" s="4" t="n">
        <v>46304.62422551023</v>
      </c>
      <c r="G14" t="b">
        <v>1</v>
      </c>
      <c r="H14" t="n">
        <v/>
      </c>
      <c r="I14" t="inlineStr">
        <is>
          <t>AUD</t>
        </is>
      </c>
      <c r="J14" t="n">
        <v>189.54</v>
      </c>
      <c r="K14" t="inlineStr">
        <is>
          <t>VGS</t>
        </is>
      </c>
      <c r="L14" s="6" t="n">
        <v>44742</v>
      </c>
      <c r="M14" t="inlineStr"/>
      <c r="N14" t="b">
        <v>1</v>
      </c>
      <c r="O14" t="inlineStr">
        <is>
          <t>FY2021/22</t>
        </is>
      </c>
      <c r="P14" t="inlineStr">
        <is>
          <t>AUD</t>
        </is>
      </c>
      <c r="Q14" t="n">
        <v>189.54</v>
      </c>
      <c r="R14" t="inlineStr">
        <is>
          <t>QTY_HELD</t>
        </is>
      </c>
    </row>
    <row r="15">
      <c r="A15" s="5" t="inlineStr">
        <is>
          <t>01a1212c-9ad0-74f0-a00e-4a6eab2b410a</t>
        </is>
      </c>
      <c r="B15" t="inlineStr">
        <is>
          <t>A014</t>
        </is>
      </c>
      <c r="C15" s="3" t="inlineStr">
        <is>
          <t>01a1212c-9ad0-74f0-a00e-4a6eab2b410a | 2023-06-30 | Adjustment of A200 | Cost base increase = -A$416.72</t>
        </is>
      </c>
      <c r="D15" s="5" t="inlineStr">
        <is>
          <t>01a1212c-4b57-70cf-80fd-c2192cb3bf81</t>
        </is>
      </c>
      <c r="E15" s="4" t="n">
        <v>46304.62423352731</v>
      </c>
      <c r="F15" s="4" t="n">
        <v>46304.62423352739</v>
      </c>
      <c r="G15" t="b">
        <v>1</v>
      </c>
      <c r="H15" t="n">
        <v/>
      </c>
      <c r="I15" t="inlineStr">
        <is>
          <t>AUD</t>
        </is>
      </c>
      <c r="J15" t="n">
        <v>-416.72</v>
      </c>
      <c r="K15" t="inlineStr">
        <is>
          <t>A200</t>
        </is>
      </c>
      <c r="L15" s="6" t="n">
        <v>45107</v>
      </c>
      <c r="M15" t="inlineStr"/>
      <c r="N15" t="b">
        <v>1</v>
      </c>
      <c r="O15" t="inlineStr">
        <is>
          <t>FY2022/23</t>
        </is>
      </c>
      <c r="P15" t="inlineStr">
        <is>
          <t>AUD</t>
        </is>
      </c>
      <c r="Q15" t="n">
        <v>-416.72</v>
      </c>
      <c r="R15" t="inlineStr">
        <is>
          <t>QTY_HELD</t>
        </is>
      </c>
    </row>
    <row r="16">
      <c r="A16" s="5" t="inlineStr">
        <is>
          <t>01a1212c-9d2e-765e-8221-1aed4db59a08</t>
        </is>
      </c>
      <c r="B16" t="inlineStr">
        <is>
          <t>A015</t>
        </is>
      </c>
      <c r="C16" s="3" t="inlineStr">
        <is>
          <t>01a1212c-9d2e-765e-8221-1aed4db59a08 | 2023-06-30 | Adjustment of VGS | Cost base increase = -A$89.96</t>
        </is>
      </c>
      <c r="D16" s="5" t="inlineStr">
        <is>
          <t>01a1212c-4b57-70cf-80fd-c2192cb3bf81</t>
        </is>
      </c>
      <c r="E16" s="4" t="n">
        <v>46304.62424054019</v>
      </c>
      <c r="F16" s="4" t="n">
        <v>46304.62424054028</v>
      </c>
      <c r="G16" t="b">
        <v>1</v>
      </c>
      <c r="H16" t="n">
        <v/>
      </c>
      <c r="I16" t="inlineStr">
        <is>
          <t>AUD</t>
        </is>
      </c>
      <c r="J16" t="n">
        <v>-89.95999999999999</v>
      </c>
      <c r="K16" t="inlineStr">
        <is>
          <t>VGS</t>
        </is>
      </c>
      <c r="L16" s="6" t="n">
        <v>45107</v>
      </c>
      <c r="M16" t="inlineStr"/>
      <c r="N16" t="b">
        <v>1</v>
      </c>
      <c r="O16" t="inlineStr">
        <is>
          <t>FY2022/23</t>
        </is>
      </c>
      <c r="P16" t="inlineStr">
        <is>
          <t>AUD</t>
        </is>
      </c>
      <c r="Q16" t="n">
        <v>-89.95999999999999</v>
      </c>
      <c r="R16" t="inlineStr">
        <is>
          <t>QTY_HELD</t>
        </is>
      </c>
    </row>
    <row r="17">
      <c r="A17" s="5" t="inlineStr">
        <is>
          <t>01a1212c-a047-707f-a63b-12a2e2f2c961</t>
        </is>
      </c>
      <c r="B17" t="inlineStr">
        <is>
          <t>A016</t>
        </is>
      </c>
      <c r="C17" s="3" t="inlineStr">
        <is>
          <t>01a1212c-a047-707f-a63b-12a2e2f2c961 | 2024-06-30 | Adjustment of A200 | Cost base increase = A$117.92</t>
        </is>
      </c>
      <c r="D17" s="5" t="inlineStr">
        <is>
          <t>01a1212c-4b57-70cf-80fd-c2192cb3bf81</t>
        </is>
      </c>
      <c r="E17" s="4" t="n">
        <v>46304.62424971591</v>
      </c>
      <c r="F17" s="4" t="n">
        <v>46304.624249716</v>
      </c>
      <c r="G17" t="b">
        <v>1</v>
      </c>
      <c r="H17" t="n">
        <v/>
      </c>
      <c r="I17" t="inlineStr">
        <is>
          <t>AUD</t>
        </is>
      </c>
      <c r="J17" t="n">
        <v>117.92</v>
      </c>
      <c r="K17" t="inlineStr">
        <is>
          <t>A200</t>
        </is>
      </c>
      <c r="L17" s="6" t="n">
        <v>45473</v>
      </c>
      <c r="M17" t="inlineStr"/>
      <c r="N17" t="b">
        <v>1</v>
      </c>
      <c r="O17" t="inlineStr">
        <is>
          <t>FY2023/24</t>
        </is>
      </c>
      <c r="P17" t="inlineStr">
        <is>
          <t>AUD</t>
        </is>
      </c>
      <c r="Q17" t="n">
        <v>117.92</v>
      </c>
      <c r="R17" t="inlineStr">
        <is>
          <t>QTY_HELD</t>
        </is>
      </c>
    </row>
    <row r="18">
      <c r="A18" s="5" t="inlineStr">
        <is>
          <t>01a1212c-a31f-7418-b8c4-7e234f854ae3</t>
        </is>
      </c>
      <c r="B18" t="inlineStr">
        <is>
          <t>A017</t>
        </is>
      </c>
      <c r="C18" s="3" t="inlineStr">
        <is>
          <t>01a1212c-a31f-7418-b8c4-7e234f854ae3 | 2024-06-30 | Adjustment of VGS | Cost base increase = A$609.24</t>
        </is>
      </c>
      <c r="D18" s="5" t="inlineStr">
        <is>
          <t>01a1212c-4b57-70cf-80fd-c2192cb3bf81</t>
        </is>
      </c>
      <c r="E18" s="4" t="n">
        <v>46304.62425814302</v>
      </c>
      <c r="F18" s="4" t="n">
        <v>46304.6242581431</v>
      </c>
      <c r="G18" t="b">
        <v>1</v>
      </c>
      <c r="H18" t="n">
        <v/>
      </c>
      <c r="I18" t="inlineStr">
        <is>
          <t>AUD</t>
        </is>
      </c>
      <c r="J18" t="n">
        <v>609.24</v>
      </c>
      <c r="K18" t="inlineStr">
        <is>
          <t>VGS</t>
        </is>
      </c>
      <c r="L18" s="6" t="n">
        <v>45473</v>
      </c>
      <c r="M18" t="inlineStr"/>
      <c r="N18" t="b">
        <v>1</v>
      </c>
      <c r="O18" t="inlineStr">
        <is>
          <t>FY2023/24</t>
        </is>
      </c>
      <c r="P18" t="inlineStr">
        <is>
          <t>AUD</t>
        </is>
      </c>
      <c r="Q18" t="n">
        <v>609.24</v>
      </c>
      <c r="R18" t="inlineStr">
        <is>
          <t>QTY_HELD</t>
        </is>
      </c>
    </row>
    <row r="19">
      <c r="A19" s="5" t="inlineStr">
        <is>
          <t>01a1212c-a805-700c-af80-50bada88a708</t>
        </is>
      </c>
      <c r="B19" t="inlineStr">
        <is>
          <t>A018</t>
        </is>
      </c>
      <c r="C19" s="3" t="inlineStr">
        <is>
          <t>01a1212c-a805-700c-af80-50bada88a708 | 2025-06-30 | Adjustment of A200 | Cost base increase = A$288.25</t>
        </is>
      </c>
      <c r="D19" s="5" t="inlineStr">
        <is>
          <t>01a1212c-4b57-70cf-80fd-c2192cb3bf81</t>
        </is>
      </c>
      <c r="E19" s="4" t="n">
        <v>46304.62427266646</v>
      </c>
      <c r="F19" s="4" t="n">
        <v>46304.62427266653</v>
      </c>
      <c r="G19" t="b">
        <v>1</v>
      </c>
      <c r="H19" t="n">
        <v/>
      </c>
      <c r="I19" t="inlineStr">
        <is>
          <t>AUD</t>
        </is>
      </c>
      <c r="J19" t="n">
        <v>288.25</v>
      </c>
      <c r="K19" t="inlineStr">
        <is>
          <t>A200</t>
        </is>
      </c>
      <c r="L19" s="6" t="n">
        <v>45838</v>
      </c>
      <c r="M19" t="inlineStr"/>
      <c r="N19" t="b">
        <v>1</v>
      </c>
      <c r="O19" t="inlineStr">
        <is>
          <t>FY2024/25</t>
        </is>
      </c>
      <c r="P19" t="inlineStr">
        <is>
          <t>AUD</t>
        </is>
      </c>
      <c r="Q19" t="n">
        <v>288.25</v>
      </c>
      <c r="R19" t="inlineStr">
        <is>
          <t>QTY_HELD</t>
        </is>
      </c>
    </row>
    <row r="20">
      <c r="A20" s="5" t="inlineStr">
        <is>
          <t>01a1212c-ab70-70ef-b386-0646b6e677c5</t>
        </is>
      </c>
      <c r="B20" t="inlineStr">
        <is>
          <t>A019</t>
        </is>
      </c>
      <c r="C20" s="3" t="inlineStr">
        <is>
          <t>01a1212c-ab70-70ef-b386-0646b6e677c5 | 2025-06-30 | Adjustment of VGS | Cost base increase = A$701.45</t>
        </is>
      </c>
      <c r="D20" s="5" t="inlineStr">
        <is>
          <t>01a1212c-4b57-70cf-80fd-c2192cb3bf81</t>
        </is>
      </c>
      <c r="E20" s="4" t="n">
        <v>46304.62428278878</v>
      </c>
      <c r="F20" s="4" t="n">
        <v>46304.62428278886</v>
      </c>
      <c r="G20" t="b">
        <v>1</v>
      </c>
      <c r="H20" t="n">
        <v/>
      </c>
      <c r="I20" t="inlineStr">
        <is>
          <t>AUD</t>
        </is>
      </c>
      <c r="J20" t="n">
        <v>701.45</v>
      </c>
      <c r="K20" t="inlineStr">
        <is>
          <t>VGS</t>
        </is>
      </c>
      <c r="L20" s="6" t="n">
        <v>45838</v>
      </c>
      <c r="M20" t="inlineStr"/>
      <c r="N20" t="b">
        <v>1</v>
      </c>
      <c r="O20" t="inlineStr">
        <is>
          <t>FY2024/25</t>
        </is>
      </c>
      <c r="P20" t="inlineStr">
        <is>
          <t>AUD</t>
        </is>
      </c>
      <c r="Q20" t="n">
        <v>701.45</v>
      </c>
      <c r="R20" t="inlineStr">
        <is>
          <t>QTY_HELD</t>
        </is>
      </c>
    </row>
    <row r="21">
      <c r="A21" s="5" t="inlineStr">
        <is>
          <t>01a1212c-af76-73a3-8cc5-b6a47faf79d7</t>
        </is>
      </c>
      <c r="B21" t="inlineStr">
        <is>
          <t>A020</t>
        </is>
      </c>
      <c r="C21" s="3" t="inlineStr">
        <is>
          <t>01a1212c-af76-73a3-8cc5-b6a47faf79d7 | 2026-06-30 | Adjustment of A200 | Cost base increase = A$494.99</t>
        </is>
      </c>
      <c r="D21" s="5" t="inlineStr">
        <is>
          <t>01a1212c-4b57-70cf-80fd-c2192cb3bf81</t>
        </is>
      </c>
      <c r="E21" s="4" t="n">
        <v>46304.62429471714</v>
      </c>
      <c r="F21" s="4" t="n">
        <v>46304.62429471724</v>
      </c>
      <c r="G21" t="b">
        <v>1</v>
      </c>
      <c r="H21" t="n">
        <v/>
      </c>
      <c r="I21" t="inlineStr">
        <is>
          <t>AUD</t>
        </is>
      </c>
      <c r="J21" t="n">
        <v>494.99</v>
      </c>
      <c r="K21" t="inlineStr">
        <is>
          <t>A200</t>
        </is>
      </c>
      <c r="L21" s="6" t="n">
        <v>46203</v>
      </c>
      <c r="M21" t="inlineStr"/>
      <c r="N21" t="b">
        <v>1</v>
      </c>
      <c r="O21" t="inlineStr">
        <is>
          <t>FY2025/26</t>
        </is>
      </c>
      <c r="P21" t="inlineStr">
        <is>
          <t>AUD</t>
        </is>
      </c>
      <c r="Q21" t="n">
        <v>494.99</v>
      </c>
      <c r="R21" t="inlineStr">
        <is>
          <t>QTY_HELD</t>
        </is>
      </c>
    </row>
    <row r="22">
      <c r="A22" s="5" t="inlineStr">
        <is>
          <t>01a1212c-b349-71cd-b6ad-2d162f34bcd9</t>
        </is>
      </c>
      <c r="B22" t="inlineStr">
        <is>
          <t>A021</t>
        </is>
      </c>
      <c r="C22" s="3" t="inlineStr">
        <is>
          <t>01a1212c-b349-71cd-b6ad-2d162f34bcd9 | 2026-06-30 | Adjustment of VGS | Cost base increase = A$109.68</t>
        </is>
      </c>
      <c r="D22" s="5" t="inlineStr">
        <is>
          <t>01a1212c-4b57-70cf-80fd-c2192cb3bf81</t>
        </is>
      </c>
      <c r="E22" s="4" t="n">
        <v>46304.62430603523</v>
      </c>
      <c r="F22" s="4" t="n">
        <v>46304.6243060353</v>
      </c>
      <c r="G22" t="b">
        <v>1</v>
      </c>
      <c r="H22" t="n">
        <v/>
      </c>
      <c r="I22" t="inlineStr">
        <is>
          <t>AUD</t>
        </is>
      </c>
      <c r="J22" t="n">
        <v>109.68</v>
      </c>
      <c r="K22" t="inlineStr">
        <is>
          <t>VGS</t>
        </is>
      </c>
      <c r="L22" s="6" t="n">
        <v>46203</v>
      </c>
      <c r="M22" t="inlineStr"/>
      <c r="N22" t="b">
        <v>1</v>
      </c>
      <c r="O22" t="inlineStr">
        <is>
          <t>FY2025/26</t>
        </is>
      </c>
      <c r="P22" t="inlineStr">
        <is>
          <t>AUD</t>
        </is>
      </c>
      <c r="Q22" t="n">
        <v>109.68</v>
      </c>
      <c r="R22" t="inlineStr">
        <is>
          <t>QTY_HELD</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N1123"/>
  <sheetViews>
    <sheetView workbookViewId="0">
      <pane ySplit="1" topLeftCell="A2" activePane="bottomLeft" state="frozen"/>
      <selection pane="bottomLeft" activeCell="A1" sqref="A1"/>
    </sheetView>
  </sheetViews>
  <sheetFormatPr baseColWidth="8" defaultRowHeight="15"/>
  <cols>
    <col width="38.2" customWidth="1" min="1" max="1"/>
    <col width="11.2" customWidth="1" min="2" max="2"/>
    <col width="13.2" customWidth="1" min="3" max="3"/>
    <col width="38.2" customWidth="1" min="4" max="4"/>
    <col width="28.2" customWidth="1" min="5" max="5"/>
    <col width="28.2" customWidth="1" min="6" max="6"/>
    <col width="11.2" customWidth="1" min="7" max="7"/>
    <col width="7.2" customWidth="1" min="8" max="8"/>
    <col width="29.2" customWidth="1" min="9" max="9"/>
    <col width="20.2" customWidth="1" min="10" max="10"/>
    <col width="38.2" customWidth="1" min="11" max="11"/>
    <col width="38.2" customWidth="1" min="12" max="12"/>
    <col width="17.2" customWidth="1" min="13" max="13"/>
    <col width="19.2" customWidth="1" min="14" max="14"/>
  </cols>
  <sheetData>
    <row r="1" ht="32" customHeight="1">
      <c r="A1" s="1" t="inlineStr">
        <is>
          <t>id</t>
        </is>
      </c>
      <c r="B1" s="1" t="inlineStr">
        <is>
          <t>legacy_id</t>
        </is>
      </c>
      <c r="C1" s="1" t="inlineStr">
        <is>
          <t>description</t>
        </is>
      </c>
      <c r="D1" s="1" t="inlineStr">
        <is>
          <t>account_id</t>
        </is>
      </c>
      <c r="E1" s="1" t="inlineStr">
        <is>
          <t>created_at</t>
        </is>
      </c>
      <c r="F1" s="1" t="inlineStr">
        <is>
          <t>updated_at</t>
        </is>
      </c>
      <c r="G1" s="1" t="inlineStr">
        <is>
          <t>is_active</t>
        </is>
      </c>
      <c r="H1" s="1" t="inlineStr">
        <is>
          <t>notes</t>
        </is>
      </c>
      <c r="I1" s="1" t="inlineStr">
        <is>
          <t>cost_base_increase_currency</t>
        </is>
      </c>
      <c r="J1" s="1" t="inlineStr">
        <is>
          <t>cost_base_increase</t>
        </is>
      </c>
      <c r="K1" s="1" t="inlineStr">
        <is>
          <t>parcel_id</t>
        </is>
      </c>
      <c r="L1" s="1" t="inlineStr">
        <is>
          <t>cost_base_adjustment_id</t>
        </is>
      </c>
      <c r="M1" s="1" t="inlineStr">
        <is>
          <t>activation_date</t>
        </is>
      </c>
      <c r="N1" s="1" t="inlineStr">
        <is>
          <t>deactivation_date</t>
        </is>
      </c>
    </row>
    <row r="2">
      <c r="A2" s="5" t="inlineStr">
        <is>
          <t>01a1212c-86e6-7354-a29e-3331d90e3aa3</t>
        </is>
      </c>
      <c r="D2" s="5" t="inlineStr">
        <is>
          <t>01a1212c-4b57-70cf-80fd-c2192cb3bf81</t>
        </is>
      </c>
      <c r="E2" s="4" t="n">
        <v>46304.62417451716</v>
      </c>
      <c r="F2" s="4" t="n">
        <v>46304.62417451724</v>
      </c>
      <c r="G2" t="b">
        <v>1</v>
      </c>
      <c r="I2" t="inlineStr">
        <is>
          <t>AUD</t>
        </is>
      </c>
      <c r="J2" t="n">
        <v>0.0412</v>
      </c>
      <c r="K2" s="5" t="inlineStr">
        <is>
          <t>01a1212c-6a6e-7311-9954-d2b7382fadc3</t>
        </is>
      </c>
      <c r="L2" s="5" t="inlineStr">
        <is>
          <t>01a1212c-86e3-7746-8ba0-0ab6783a06f8</t>
        </is>
      </c>
      <c r="M2" s="6" t="n">
        <v>42552</v>
      </c>
    </row>
    <row r="3">
      <c r="A3" s="5" t="inlineStr">
        <is>
          <t>01a1212c-86ec-74cd-816b-f9712645aabb</t>
        </is>
      </c>
      <c r="D3" s="5" t="inlineStr">
        <is>
          <t>01a1212c-4b57-70cf-80fd-c2192cb3bf81</t>
        </is>
      </c>
      <c r="E3" s="4" t="n">
        <v>46304.6241745935</v>
      </c>
      <c r="F3" s="4" t="n">
        <v>46304.62417459356</v>
      </c>
      <c r="G3" t="b">
        <v>1</v>
      </c>
      <c r="I3" t="inlineStr">
        <is>
          <t>AUD</t>
        </is>
      </c>
      <c r="J3" t="n">
        <v>0.1086</v>
      </c>
      <c r="K3" s="5" t="inlineStr">
        <is>
          <t>01a1212c-6982-7355-ba70-8f6993dd73bd</t>
        </is>
      </c>
      <c r="L3" s="5" t="inlineStr">
        <is>
          <t>01a1212c-86e3-7746-8ba0-0ab6783a06f8</t>
        </is>
      </c>
      <c r="M3" s="6" t="n">
        <v>42552</v>
      </c>
    </row>
    <row r="4">
      <c r="A4" s="5" t="inlineStr">
        <is>
          <t>01a1212c-86f2-77c6-a596-3dc34c3e490b</t>
        </is>
      </c>
      <c r="D4" s="5" t="inlineStr">
        <is>
          <t>01a1212c-4b57-70cf-80fd-c2192cb3bf81</t>
        </is>
      </c>
      <c r="E4" s="4" t="n">
        <v>46304.62417465827</v>
      </c>
      <c r="F4" s="4" t="n">
        <v>46304.62417465835</v>
      </c>
      <c r="G4" t="b">
        <v>1</v>
      </c>
      <c r="I4" t="inlineStr">
        <is>
          <t>AUD</t>
        </is>
      </c>
      <c r="J4" t="n">
        <v>0.1096</v>
      </c>
      <c r="K4" s="5" t="inlineStr">
        <is>
          <t>01a1212c-6a18-70d0-a47b-125a1b405792</t>
        </is>
      </c>
      <c r="L4" s="5" t="inlineStr">
        <is>
          <t>01a1212c-86e3-7746-8ba0-0ab6783a06f8</t>
        </is>
      </c>
      <c r="M4" s="6" t="n">
        <v>42552</v>
      </c>
    </row>
    <row r="5">
      <c r="A5" s="5" t="inlineStr">
        <is>
          <t>01a1212c-86f8-767b-adcb-23fdf366513b</t>
        </is>
      </c>
      <c r="D5" s="5" t="inlineStr">
        <is>
          <t>01a1212c-4b57-70cf-80fd-c2192cb3bf81</t>
        </is>
      </c>
      <c r="E5" s="4" t="n">
        <v>46304.62417472755</v>
      </c>
      <c r="F5" s="4" t="n">
        <v>46304.62417472761</v>
      </c>
      <c r="G5" t="b">
        <v>1</v>
      </c>
      <c r="I5" t="inlineStr">
        <is>
          <t>AUD</t>
        </is>
      </c>
      <c r="J5" t="n">
        <v>0.1892</v>
      </c>
      <c r="K5" s="5" t="inlineStr">
        <is>
          <t>01a1212c-69d8-7623-b5ab-9b8cc7866ed9</t>
        </is>
      </c>
      <c r="L5" s="5" t="inlineStr">
        <is>
          <t>01a1212c-86e3-7746-8ba0-0ab6783a06f8</t>
        </is>
      </c>
      <c r="M5" s="6" t="n">
        <v>42552</v>
      </c>
    </row>
    <row r="6">
      <c r="A6" s="5" t="inlineStr">
        <is>
          <t>01a1212c-86fe-73cc-a5f3-2d749b7ecb06</t>
        </is>
      </c>
      <c r="D6" s="5" t="inlineStr">
        <is>
          <t>01a1212c-4b57-70cf-80fd-c2192cb3bf81</t>
        </is>
      </c>
      <c r="E6" s="4" t="n">
        <v>46304.62417479573</v>
      </c>
      <c r="F6" s="4" t="n">
        <v>46304.6241747958</v>
      </c>
      <c r="G6" t="b">
        <v>1</v>
      </c>
      <c r="I6" t="inlineStr">
        <is>
          <t>AUD</t>
        </is>
      </c>
      <c r="J6" t="n">
        <v>0.3281</v>
      </c>
      <c r="K6" s="5" t="inlineStr">
        <is>
          <t>01a1212c-695a-74e1-944f-cf3c745c8111</t>
        </is>
      </c>
      <c r="L6" s="5" t="inlineStr">
        <is>
          <t>01a1212c-86e3-7746-8ba0-0ab6783a06f8</t>
        </is>
      </c>
      <c r="M6" s="6" t="n">
        <v>42552</v>
      </c>
    </row>
    <row r="7">
      <c r="A7" s="5" t="inlineStr">
        <is>
          <t>01a1212c-8703-72d7-af81-6058e035fdb2</t>
        </is>
      </c>
      <c r="D7" s="5" t="inlineStr">
        <is>
          <t>01a1212c-4b57-70cf-80fd-c2192cb3bf81</t>
        </is>
      </c>
      <c r="E7" s="4" t="n">
        <v>46304.62417486141</v>
      </c>
      <c r="F7" s="4" t="n">
        <v>46304.62417486148</v>
      </c>
      <c r="G7" t="b">
        <v>1</v>
      </c>
      <c r="I7" t="inlineStr">
        <is>
          <t>AUD</t>
        </is>
      </c>
      <c r="J7" t="n">
        <v>0.4182</v>
      </c>
      <c r="K7" s="5" t="inlineStr">
        <is>
          <t>01a1212c-691a-70d4-a1c4-6f72b59d4cde</t>
        </is>
      </c>
      <c r="L7" s="5" t="inlineStr">
        <is>
          <t>01a1212c-86e3-7746-8ba0-0ab6783a06f8</t>
        </is>
      </c>
      <c r="M7" s="6" t="n">
        <v>42552</v>
      </c>
    </row>
    <row r="8">
      <c r="A8" s="5" t="inlineStr">
        <is>
          <t>01a1212c-8709-7102-a633-f01ce114126a</t>
        </is>
      </c>
      <c r="D8" s="5" t="inlineStr">
        <is>
          <t>01a1212c-4b57-70cf-80fd-c2192cb3bf81</t>
        </is>
      </c>
      <c r="E8" s="4" t="n">
        <v>46304.62417492887</v>
      </c>
      <c r="F8" s="4" t="n">
        <v>46304.62417492895</v>
      </c>
      <c r="G8" t="b">
        <v>1</v>
      </c>
      <c r="I8" t="inlineStr">
        <is>
          <t>AUD</t>
        </is>
      </c>
      <c r="J8" t="n">
        <v>0.4215</v>
      </c>
      <c r="K8" s="5" t="inlineStr">
        <is>
          <t>01a1212c-68da-77ea-a20b-34434b4e9654</t>
        </is>
      </c>
      <c r="L8" s="5" t="inlineStr">
        <is>
          <t>01a1212c-86e3-7746-8ba0-0ab6783a06f8</t>
        </is>
      </c>
      <c r="M8" s="6" t="n">
        <v>42552</v>
      </c>
    </row>
    <row r="9">
      <c r="A9" s="5" t="inlineStr">
        <is>
          <t>01a1212c-870f-72bb-ade5-f7b3a9b7fb91</t>
        </is>
      </c>
      <c r="D9" s="5" t="inlineStr">
        <is>
          <t>01a1212c-4b57-70cf-80fd-c2192cb3bf81</t>
        </is>
      </c>
      <c r="E9" s="4" t="n">
        <v>46304.62417499796</v>
      </c>
      <c r="F9" s="4" t="n">
        <v>46304.62417499803</v>
      </c>
      <c r="G9" t="b">
        <v>1</v>
      </c>
      <c r="I9" t="inlineStr">
        <is>
          <t>AUD</t>
        </is>
      </c>
      <c r="J9" t="n">
        <v>0.4292</v>
      </c>
      <c r="K9" s="5" t="inlineStr">
        <is>
          <t>01a1212c-687d-7722-9e5b-4cd037c726f7</t>
        </is>
      </c>
      <c r="L9" s="5" t="inlineStr">
        <is>
          <t>01a1212c-86e3-7746-8ba0-0ab6783a06f8</t>
        </is>
      </c>
      <c r="M9" s="6" t="n">
        <v>42552</v>
      </c>
    </row>
    <row r="10">
      <c r="A10" s="5" t="inlineStr">
        <is>
          <t>01a1212c-8715-7083-bf9f-b6b148fd6dfc</t>
        </is>
      </c>
      <c r="D10" s="5" t="inlineStr">
        <is>
          <t>01a1212c-4b57-70cf-80fd-c2192cb3bf81</t>
        </is>
      </c>
      <c r="E10" s="4" t="n">
        <v>46304.62417507049</v>
      </c>
      <c r="F10" s="4" t="n">
        <v>46304.62417507057</v>
      </c>
      <c r="G10" t="b">
        <v>1</v>
      </c>
      <c r="I10" t="inlineStr">
        <is>
          <t>AUD</t>
        </is>
      </c>
      <c r="J10" t="n">
        <v>0.6544</v>
      </c>
      <c r="K10" s="5" t="inlineStr">
        <is>
          <t>01a1212c-68ac-7533-acb8-393d5f7dde20</t>
        </is>
      </c>
      <c r="L10" s="5" t="inlineStr">
        <is>
          <t>01a1212c-86e3-7746-8ba0-0ab6783a06f8</t>
        </is>
      </c>
      <c r="M10" s="6" t="n">
        <v>42552</v>
      </c>
    </row>
    <row r="11">
      <c r="A11" s="5" t="inlineStr">
        <is>
          <t>01a1212c-8742-77d6-bbed-236882171dff</t>
        </is>
      </c>
      <c r="D11" s="5" t="inlineStr">
        <is>
          <t>01a1212c-4b57-70cf-80fd-c2192cb3bf81</t>
        </is>
      </c>
      <c r="E11" s="4" t="n">
        <v>46304.62417558748</v>
      </c>
      <c r="F11" s="4" t="n">
        <v>46304.62417558755</v>
      </c>
      <c r="G11" t="b">
        <v>1</v>
      </c>
      <c r="I11" t="inlineStr">
        <is>
          <t>AUD</t>
        </is>
      </c>
      <c r="J11" t="n">
        <v>0.1068</v>
      </c>
      <c r="K11" s="5" t="inlineStr">
        <is>
          <t>01a1212c-6a83-75e3-a976-646e71a73596</t>
        </is>
      </c>
      <c r="L11" s="5" t="inlineStr">
        <is>
          <t>01a1212c-8740-73af-aba7-780bf5c0bd86</t>
        </is>
      </c>
      <c r="M11" s="6" t="n">
        <v>42552</v>
      </c>
    </row>
    <row r="12">
      <c r="A12" s="5" t="inlineStr">
        <is>
          <t>01a1212c-8749-72b8-ab46-dca815d2253e</t>
        </is>
      </c>
      <c r="D12" s="5" t="inlineStr">
        <is>
          <t>01a1212c-4b57-70cf-80fd-c2192cb3bf81</t>
        </is>
      </c>
      <c r="E12" s="4" t="n">
        <v>46304.62417566632</v>
      </c>
      <c r="F12" s="4" t="n">
        <v>46304.62417566641</v>
      </c>
      <c r="G12" t="b">
        <v>1</v>
      </c>
      <c r="I12" t="inlineStr">
        <is>
          <t>AUD</t>
        </is>
      </c>
      <c r="J12" t="n">
        <v>0.2926</v>
      </c>
      <c r="K12" s="5" t="inlineStr">
        <is>
          <t>01a1212c-6a2e-75f8-b19d-5dc788e0d375</t>
        </is>
      </c>
      <c r="L12" s="5" t="inlineStr">
        <is>
          <t>01a1212c-8740-73af-aba7-780bf5c0bd86</t>
        </is>
      </c>
      <c r="M12" s="6" t="n">
        <v>42552</v>
      </c>
    </row>
    <row r="13">
      <c r="A13" s="5" t="inlineStr">
        <is>
          <t>01a1212c-874f-71b1-92ef-ea5446e30f87</t>
        </is>
      </c>
      <c r="D13" s="5" t="inlineStr">
        <is>
          <t>01a1212c-4b57-70cf-80fd-c2192cb3bf81</t>
        </is>
      </c>
      <c r="E13" s="4" t="n">
        <v>46304.62417573579</v>
      </c>
      <c r="F13" s="4" t="n">
        <v>46304.62417573586</v>
      </c>
      <c r="G13" t="b">
        <v>1</v>
      </c>
      <c r="I13" t="inlineStr">
        <is>
          <t>AUD</t>
        </is>
      </c>
      <c r="J13" t="n">
        <v>0.2957</v>
      </c>
      <c r="K13" s="5" t="inlineStr">
        <is>
          <t>01a1212c-6998-74b0-bc81-af5dbb051f7a</t>
        </is>
      </c>
      <c r="L13" s="5" t="inlineStr">
        <is>
          <t>01a1212c-8740-73af-aba7-780bf5c0bd86</t>
        </is>
      </c>
      <c r="M13" s="6" t="n">
        <v>42552</v>
      </c>
    </row>
    <row r="14">
      <c r="A14" s="5" t="inlineStr">
        <is>
          <t>01a1212c-8755-7181-80fc-5aba31337739</t>
        </is>
      </c>
      <c r="D14" s="5" t="inlineStr">
        <is>
          <t>01a1212c-4b57-70cf-80fd-c2192cb3bf81</t>
        </is>
      </c>
      <c r="E14" s="4" t="n">
        <v>46304.62417580179</v>
      </c>
      <c r="F14" s="4" t="n">
        <v>46304.62417580185</v>
      </c>
      <c r="G14" t="b">
        <v>1</v>
      </c>
      <c r="I14" t="inlineStr">
        <is>
          <t>AUD</t>
        </is>
      </c>
      <c r="J14" t="n">
        <v>0.5421</v>
      </c>
      <c r="K14" s="5" t="inlineStr">
        <is>
          <t>01a1212c-69ed-703d-98c7-86793a7bce47</t>
        </is>
      </c>
      <c r="L14" s="5" t="inlineStr">
        <is>
          <t>01a1212c-8740-73af-aba7-780bf5c0bd86</t>
        </is>
      </c>
      <c r="M14" s="6" t="n">
        <v>42552</v>
      </c>
    </row>
    <row r="15">
      <c r="A15" s="5" t="inlineStr">
        <is>
          <t>01a1212c-875b-72b3-833c-53172c508e53</t>
        </is>
      </c>
      <c r="D15" s="5" t="inlineStr">
        <is>
          <t>01a1212c-4b57-70cf-80fd-c2192cb3bf81</t>
        </is>
      </c>
      <c r="E15" s="4" t="n">
        <v>46304.62417587331</v>
      </c>
      <c r="F15" s="4" t="n">
        <v>46304.62417587338</v>
      </c>
      <c r="G15" t="b">
        <v>1</v>
      </c>
      <c r="I15" t="inlineStr">
        <is>
          <t>AUD</t>
        </is>
      </c>
      <c r="J15" t="n">
        <v>0.8933</v>
      </c>
      <c r="K15" s="5" t="inlineStr">
        <is>
          <t>01a1212c-696e-7146-9e01-741d10f2bed2</t>
        </is>
      </c>
      <c r="L15" s="5" t="inlineStr">
        <is>
          <t>01a1212c-8740-73af-aba7-780bf5c0bd86</t>
        </is>
      </c>
      <c r="M15" s="6" t="n">
        <v>42552</v>
      </c>
    </row>
    <row r="16">
      <c r="A16" s="5" t="inlineStr">
        <is>
          <t>01a1212c-8761-705b-b6bc-e4cc109aad78</t>
        </is>
      </c>
      <c r="D16" s="5" t="inlineStr">
        <is>
          <t>01a1212c-4b57-70cf-80fd-c2192cb3bf81</t>
        </is>
      </c>
      <c r="E16" s="4" t="n">
        <v>46304.62417594174</v>
      </c>
      <c r="F16" s="4" t="n">
        <v>46304.6241759418</v>
      </c>
      <c r="G16" t="b">
        <v>1</v>
      </c>
      <c r="I16" t="inlineStr">
        <is>
          <t>AUD</t>
        </is>
      </c>
      <c r="J16" t="n">
        <v>1.1477</v>
      </c>
      <c r="K16" s="5" t="inlineStr">
        <is>
          <t>01a1212c-68f0-738d-8d20-79a1c973b960</t>
        </is>
      </c>
      <c r="L16" s="5" t="inlineStr">
        <is>
          <t>01a1212c-8740-73af-aba7-780bf5c0bd86</t>
        </is>
      </c>
      <c r="M16" s="6" t="n">
        <v>42552</v>
      </c>
    </row>
    <row r="17">
      <c r="A17" s="5" t="inlineStr">
        <is>
          <t>01a1212c-8766-77be-94fc-4b09e7a138c8</t>
        </is>
      </c>
      <c r="D17" s="5" t="inlineStr">
        <is>
          <t>01a1212c-4b57-70cf-80fd-c2192cb3bf81</t>
        </is>
      </c>
      <c r="E17" s="4" t="n">
        <v>46304.62417600501</v>
      </c>
      <c r="F17" s="4" t="n">
        <v>46304.62417600508</v>
      </c>
      <c r="G17" t="b">
        <v>1</v>
      </c>
      <c r="I17" t="inlineStr">
        <is>
          <t>AUD</t>
        </is>
      </c>
      <c r="J17" t="n">
        <v>1.1565</v>
      </c>
      <c r="K17" s="5" t="inlineStr">
        <is>
          <t>01a1212c-692f-76c3-8991-b28be5dbbe78</t>
        </is>
      </c>
      <c r="L17" s="5" t="inlineStr">
        <is>
          <t>01a1212c-8740-73af-aba7-780bf5c0bd86</t>
        </is>
      </c>
      <c r="M17" s="6" t="n">
        <v>42552</v>
      </c>
    </row>
    <row r="18">
      <c r="A18" s="5" t="inlineStr">
        <is>
          <t>01a1212c-876c-741f-924a-f779dda70ecd</t>
        </is>
      </c>
      <c r="D18" s="5" t="inlineStr">
        <is>
          <t>01a1212c-4b57-70cf-80fd-c2192cb3bf81</t>
        </is>
      </c>
      <c r="E18" s="4" t="n">
        <v>46304.62417607466</v>
      </c>
      <c r="F18" s="4" t="n">
        <v>46304.62417607472</v>
      </c>
      <c r="G18" t="b">
        <v>1</v>
      </c>
      <c r="I18" t="inlineStr">
        <is>
          <t>AUD</t>
        </is>
      </c>
      <c r="J18" t="n">
        <v>1.2243</v>
      </c>
      <c r="K18" s="5" t="inlineStr">
        <is>
          <t>01a1212c-6896-70d6-844d-33deb9ce2d14</t>
        </is>
      </c>
      <c r="L18" s="5" t="inlineStr">
        <is>
          <t>01a1212c-8740-73af-aba7-780bf5c0bd86</t>
        </is>
      </c>
      <c r="M18" s="6" t="n">
        <v>42552</v>
      </c>
    </row>
    <row r="19">
      <c r="A19" s="5" t="inlineStr">
        <is>
          <t>01a1212c-8772-740b-a7c8-94c0b2c0b582</t>
        </is>
      </c>
      <c r="D19" s="5" t="inlineStr">
        <is>
          <t>01a1212c-4b57-70cf-80fd-c2192cb3bf81</t>
        </is>
      </c>
      <c r="E19" s="4" t="n">
        <v>46304.62417614222</v>
      </c>
      <c r="F19" s="4" t="n">
        <v>46304.62417614228</v>
      </c>
      <c r="G19" t="b">
        <v>1</v>
      </c>
      <c r="I19" t="inlineStr">
        <is>
          <t>AUD</t>
        </is>
      </c>
      <c r="J19" t="n">
        <v>1.831</v>
      </c>
      <c r="K19" s="5" t="inlineStr">
        <is>
          <t>01a1212c-68c3-7400-8c25-aa53cd5ab679</t>
        </is>
      </c>
      <c r="L19" s="5" t="inlineStr">
        <is>
          <t>01a1212c-8740-73af-aba7-780bf5c0bd86</t>
        </is>
      </c>
      <c r="M19" s="6" t="n">
        <v>42552</v>
      </c>
    </row>
    <row r="20">
      <c r="A20" s="5" t="inlineStr">
        <is>
          <t>01a1212c-879f-7524-a16a-e110daa6ae32</t>
        </is>
      </c>
      <c r="D20" s="5" t="inlineStr">
        <is>
          <t>01a1212c-4b57-70cf-80fd-c2192cb3bf81</t>
        </is>
      </c>
      <c r="E20" s="4" t="n">
        <v>46304.62417666678</v>
      </c>
      <c r="F20" s="4" t="n">
        <v>46304.62417666686</v>
      </c>
      <c r="G20" t="b">
        <v>1</v>
      </c>
      <c r="I20" t="inlineStr">
        <is>
          <t>AUD</t>
        </is>
      </c>
      <c r="J20" t="n">
        <v>-0.5987</v>
      </c>
      <c r="K20" s="5" t="inlineStr">
        <is>
          <t>01a1212c-6cf4-716f-80ca-3b34218d873a</t>
        </is>
      </c>
      <c r="L20" s="5" t="inlineStr">
        <is>
          <t>01a1212c-879d-732d-8fe0-5b1ea9c45809</t>
        </is>
      </c>
      <c r="M20" s="6" t="n">
        <v>42917</v>
      </c>
    </row>
    <row r="21">
      <c r="A21" s="5" t="inlineStr">
        <is>
          <t>01a1212c-87a6-72c5-b167-270a797f96e6</t>
        </is>
      </c>
      <c r="D21" s="5" t="inlineStr">
        <is>
          <t>01a1212c-4b57-70cf-80fd-c2192cb3bf81</t>
        </is>
      </c>
      <c r="E21" s="4" t="n">
        <v>46304.62417674392</v>
      </c>
      <c r="F21" s="4" t="n">
        <v>46304.62417674403</v>
      </c>
      <c r="G21" t="b">
        <v>1</v>
      </c>
      <c r="I21" t="inlineStr">
        <is>
          <t>AUD</t>
        </is>
      </c>
      <c r="J21" t="n">
        <v>-0.749</v>
      </c>
      <c r="K21" s="5" t="inlineStr">
        <is>
          <t>01a1212c-6cc9-776e-89ba-82d2ec02eeba</t>
        </is>
      </c>
      <c r="L21" s="5" t="inlineStr">
        <is>
          <t>01a1212c-879d-732d-8fe0-5b1ea9c45809</t>
        </is>
      </c>
      <c r="M21" s="6" t="n">
        <v>42917</v>
      </c>
    </row>
    <row r="22">
      <c r="A22" s="5" t="inlineStr">
        <is>
          <t>01a1212c-87ad-70c3-97e9-1503d7b47be4</t>
        </is>
      </c>
      <c r="D22" s="5" t="inlineStr">
        <is>
          <t>01a1212c-4b57-70cf-80fd-c2192cb3bf81</t>
        </is>
      </c>
      <c r="E22" s="4" t="n">
        <v>46304.62417682486</v>
      </c>
      <c r="F22" s="4" t="n">
        <v>46304.62417682493</v>
      </c>
      <c r="G22" t="b">
        <v>1</v>
      </c>
      <c r="I22" t="inlineStr">
        <is>
          <t>AUD</t>
        </is>
      </c>
      <c r="J22" t="n">
        <v>-1.5139</v>
      </c>
      <c r="K22" s="5" t="inlineStr">
        <is>
          <t>01a1212c-6c49-7160-b8e0-1ae2951d4c69</t>
        </is>
      </c>
      <c r="L22" s="5" t="inlineStr">
        <is>
          <t>01a1212c-879d-732d-8fe0-5b1ea9c45809</t>
        </is>
      </c>
      <c r="M22" s="6" t="n">
        <v>42917</v>
      </c>
    </row>
    <row r="23">
      <c r="A23" s="5" t="inlineStr">
        <is>
          <t>01a1212c-87b3-73c8-8ce2-4c15fbcec810</t>
        </is>
      </c>
      <c r="D23" s="5" t="inlineStr">
        <is>
          <t>01a1212c-4b57-70cf-80fd-c2192cb3bf81</t>
        </is>
      </c>
      <c r="E23" s="4" t="n">
        <v>46304.62417689374</v>
      </c>
      <c r="F23" s="4" t="n">
        <v>46304.62417689381</v>
      </c>
      <c r="G23" t="b">
        <v>1</v>
      </c>
      <c r="I23" t="inlineStr">
        <is>
          <t>AUD</t>
        </is>
      </c>
      <c r="J23" t="n">
        <v>-1.6983</v>
      </c>
      <c r="K23" s="5" t="inlineStr">
        <is>
          <t>01a1212c-6c9e-75f8-990d-1f420daecde4</t>
        </is>
      </c>
      <c r="L23" s="5" t="inlineStr">
        <is>
          <t>01a1212c-879d-732d-8fe0-5b1ea9c45809</t>
        </is>
      </c>
      <c r="M23" s="6" t="n">
        <v>42917</v>
      </c>
    </row>
    <row r="24">
      <c r="A24" s="5" t="inlineStr">
        <is>
          <t>01a1212c-87b9-725f-b642-026b34fa624b</t>
        </is>
      </c>
      <c r="D24" s="5" t="inlineStr">
        <is>
          <t>01a1212c-4b57-70cf-80fd-c2192cb3bf81</t>
        </is>
      </c>
      <c r="E24" s="4" t="n">
        <v>46304.62417696528</v>
      </c>
      <c r="F24" s="4" t="n">
        <v>46304.62417696535</v>
      </c>
      <c r="G24" t="b">
        <v>1</v>
      </c>
      <c r="I24" t="inlineStr">
        <is>
          <t>AUD</t>
        </is>
      </c>
      <c r="J24" t="n">
        <v>-1.9719</v>
      </c>
      <c r="K24" s="5" t="inlineStr">
        <is>
          <t>01a1212c-6bde-777f-aa74-d04c84c2a216</t>
        </is>
      </c>
      <c r="L24" s="5" t="inlineStr">
        <is>
          <t>01a1212c-879d-732d-8fe0-5b1ea9c45809</t>
        </is>
      </c>
      <c r="M24" s="6" t="n">
        <v>42917</v>
      </c>
    </row>
    <row r="25">
      <c r="A25" s="5" t="inlineStr">
        <is>
          <t>01a1212c-87bf-765e-96da-14ebfd0a0c61</t>
        </is>
      </c>
      <c r="D25" s="5" t="inlineStr">
        <is>
          <t>01a1212c-4b57-70cf-80fd-c2192cb3bf81</t>
        </is>
      </c>
      <c r="E25" s="4" t="n">
        <v>46304.62417703054</v>
      </c>
      <c r="F25" s="4" t="n">
        <v>46304.6241770306</v>
      </c>
      <c r="G25" t="b">
        <v>1</v>
      </c>
      <c r="I25" t="inlineStr">
        <is>
          <t>AUD</t>
        </is>
      </c>
      <c r="J25" t="n">
        <v>-2.1192</v>
      </c>
      <c r="K25" s="5" t="inlineStr">
        <is>
          <t>01a1212c-6982-7355-ba70-8f6993dd73bd</t>
        </is>
      </c>
      <c r="L25" s="5" t="inlineStr">
        <is>
          <t>01a1212c-879d-732d-8fe0-5b1ea9c45809</t>
        </is>
      </c>
      <c r="M25" s="6" t="n">
        <v>42917</v>
      </c>
    </row>
    <row r="26">
      <c r="A26" s="5" t="inlineStr">
        <is>
          <t>01a1212c-87c5-739a-b876-93d82e7f819d</t>
        </is>
      </c>
      <c r="D26" s="5" t="inlineStr">
        <is>
          <t>01a1212c-4b57-70cf-80fd-c2192cb3bf81</t>
        </is>
      </c>
      <c r="E26" s="4" t="n">
        <v>46304.62417709694</v>
      </c>
      <c r="F26" s="4" t="n">
        <v>46304.62417709702</v>
      </c>
      <c r="G26" t="b">
        <v>1</v>
      </c>
      <c r="I26" t="inlineStr">
        <is>
          <t>AUD</t>
        </is>
      </c>
      <c r="J26" t="n">
        <v>-2.1475</v>
      </c>
      <c r="K26" s="5" t="inlineStr">
        <is>
          <t>01a1212c-6b72-74ed-b4f6-5b4d5a03ef71</t>
        </is>
      </c>
      <c r="L26" s="5" t="inlineStr">
        <is>
          <t>01a1212c-879d-732d-8fe0-5b1ea9c45809</t>
        </is>
      </c>
      <c r="M26" s="6" t="n">
        <v>42917</v>
      </c>
    </row>
    <row r="27">
      <c r="A27" s="5" t="inlineStr">
        <is>
          <t>01a1212c-87cb-7235-bff5-83f9fe2b5ff3</t>
        </is>
      </c>
      <c r="D27" s="5" t="inlineStr">
        <is>
          <t>01a1212c-4b57-70cf-80fd-c2192cb3bf81</t>
        </is>
      </c>
      <c r="E27" s="4" t="n">
        <v>46304.62417716671</v>
      </c>
      <c r="F27" s="4" t="n">
        <v>46304.62417716678</v>
      </c>
      <c r="G27" t="b">
        <v>1</v>
      </c>
      <c r="I27" t="inlineStr">
        <is>
          <t>AUD</t>
        </is>
      </c>
      <c r="J27" t="n">
        <v>-2.2361</v>
      </c>
      <c r="K27" s="5" t="inlineStr">
        <is>
          <t>01a1212c-6bb4-759b-b5fd-3065dd129d0f</t>
        </is>
      </c>
      <c r="L27" s="5" t="inlineStr">
        <is>
          <t>01a1212c-879d-732d-8fe0-5b1ea9c45809</t>
        </is>
      </c>
      <c r="M27" s="6" t="n">
        <v>42917</v>
      </c>
    </row>
    <row r="28">
      <c r="A28" s="5" t="inlineStr">
        <is>
          <t>01a1212c-87d0-7559-b17f-e4b074369702</t>
        </is>
      </c>
      <c r="D28" s="5" t="inlineStr">
        <is>
          <t>01a1212c-4b57-70cf-80fd-c2192cb3bf81</t>
        </is>
      </c>
      <c r="E28" s="4" t="n">
        <v>46304.62417723454</v>
      </c>
      <c r="F28" s="4" t="n">
        <v>46304.6241772346</v>
      </c>
      <c r="G28" t="b">
        <v>1</v>
      </c>
      <c r="I28" t="inlineStr">
        <is>
          <t>AUD</t>
        </is>
      </c>
      <c r="J28" t="n">
        <v>-2.5692</v>
      </c>
      <c r="K28" s="5" t="inlineStr">
        <is>
          <t>01a1212c-6c08-71b7-9210-9718c95a0269</t>
        </is>
      </c>
      <c r="L28" s="5" t="inlineStr">
        <is>
          <t>01a1212c-879d-732d-8fe0-5b1ea9c45809</t>
        </is>
      </c>
      <c r="M28" s="6" t="n">
        <v>42917</v>
      </c>
    </row>
    <row r="29">
      <c r="A29" s="5" t="inlineStr">
        <is>
          <t>01a1212c-87d6-7779-817a-1a9ca33245ba</t>
        </is>
      </c>
      <c r="D29" s="5" t="inlineStr">
        <is>
          <t>01a1212c-4b57-70cf-80fd-c2192cb3bf81</t>
        </is>
      </c>
      <c r="E29" s="4" t="n">
        <v>46304.62417730143</v>
      </c>
      <c r="F29" s="4" t="n">
        <v>46304.62418381655</v>
      </c>
      <c r="G29" t="b">
        <v>0</v>
      </c>
      <c r="I29" t="inlineStr">
        <is>
          <t>AUD</t>
        </is>
      </c>
      <c r="J29" t="n">
        <v>-3.4836</v>
      </c>
      <c r="K29" s="5" t="inlineStr">
        <is>
          <t>01a1212c-6b2f-77a6-aa39-efb9282482c9</t>
        </is>
      </c>
      <c r="L29" s="5" t="inlineStr">
        <is>
          <t>01a1212c-879d-732d-8fe0-5b1ea9c45809</t>
        </is>
      </c>
      <c r="M29" s="6" t="n">
        <v>42917</v>
      </c>
      <c r="N29" s="6" t="n">
        <v>43538</v>
      </c>
    </row>
    <row r="30">
      <c r="A30" s="5" t="inlineStr">
        <is>
          <t>01a1212c-87dc-729a-baa1-c89f1df576ae</t>
        </is>
      </c>
      <c r="D30" s="5" t="inlineStr">
        <is>
          <t>01a1212c-4b57-70cf-80fd-c2192cb3bf81</t>
        </is>
      </c>
      <c r="E30" s="4" t="n">
        <v>46304.62417736767</v>
      </c>
      <c r="F30" s="4" t="n">
        <v>46304.62417736775</v>
      </c>
      <c r="G30" t="b">
        <v>1</v>
      </c>
      <c r="I30" t="inlineStr">
        <is>
          <t>AUD</t>
        </is>
      </c>
      <c r="J30" t="n">
        <v>-3.7086</v>
      </c>
      <c r="K30" s="5" t="inlineStr">
        <is>
          <t>01a1212c-687d-7722-9e5b-4cd037c726f7</t>
        </is>
      </c>
      <c r="L30" s="5" t="inlineStr">
        <is>
          <t>01a1212c-879d-732d-8fe0-5b1ea9c45809</t>
        </is>
      </c>
      <c r="M30" s="6" t="n">
        <v>42917</v>
      </c>
    </row>
    <row r="31">
      <c r="A31" s="5" t="inlineStr">
        <is>
          <t>01a1212c-87e2-7078-9cbc-95d4fa3e4a99</t>
        </is>
      </c>
      <c r="D31" s="5" t="inlineStr">
        <is>
          <t>01a1212c-4b57-70cf-80fd-c2192cb3bf81</t>
        </is>
      </c>
      <c r="E31" s="4" t="n">
        <v>46304.62417743479</v>
      </c>
      <c r="F31" s="4" t="n">
        <v>46304.62417743487</v>
      </c>
      <c r="G31" t="b">
        <v>1</v>
      </c>
      <c r="I31" t="inlineStr">
        <is>
          <t>AUD</t>
        </is>
      </c>
      <c r="J31" t="n">
        <v>-3.7086</v>
      </c>
      <c r="K31" s="5" t="inlineStr">
        <is>
          <t>01a1212c-6a6e-7311-9954-d2b7382fadc3</t>
        </is>
      </c>
      <c r="L31" s="5" t="inlineStr">
        <is>
          <t>01a1212c-879d-732d-8fe0-5b1ea9c45809</t>
        </is>
      </c>
      <c r="M31" s="6" t="n">
        <v>42917</v>
      </c>
    </row>
    <row r="32">
      <c r="A32" s="5" t="inlineStr">
        <is>
          <t>01a1212c-87e8-75ed-88a8-ad471aa975d8</t>
        </is>
      </c>
      <c r="D32" s="5" t="inlineStr">
        <is>
          <t>01a1212c-4b57-70cf-80fd-c2192cb3bf81</t>
        </is>
      </c>
      <c r="E32" s="4" t="n">
        <v>46304.62417750395</v>
      </c>
      <c r="F32" s="4" t="n">
        <v>46304.62417750403</v>
      </c>
      <c r="G32" t="b">
        <v>1</v>
      </c>
      <c r="I32" t="inlineStr">
        <is>
          <t>AUD</t>
        </is>
      </c>
      <c r="J32" t="n">
        <v>-4.2849</v>
      </c>
      <c r="K32" s="5" t="inlineStr">
        <is>
          <t>01a1212c-6b06-7635-8cc2-f08f1c899ffd</t>
        </is>
      </c>
      <c r="L32" s="5" t="inlineStr">
        <is>
          <t>01a1212c-879d-732d-8fe0-5b1ea9c45809</t>
        </is>
      </c>
      <c r="M32" s="6" t="n">
        <v>42917</v>
      </c>
    </row>
    <row r="33">
      <c r="A33" s="5" t="inlineStr">
        <is>
          <t>01a1212c-87ee-707b-9599-82ad2bcbb366</t>
        </is>
      </c>
      <c r="D33" s="5" t="inlineStr">
        <is>
          <t>01a1212c-4b57-70cf-80fd-c2192cb3bf81</t>
        </is>
      </c>
      <c r="E33" s="4" t="n">
        <v>46304.62417757142</v>
      </c>
      <c r="F33" s="4" t="n">
        <v>46304.6241775715</v>
      </c>
      <c r="G33" t="b">
        <v>1</v>
      </c>
      <c r="I33" t="inlineStr">
        <is>
          <t>AUD</t>
        </is>
      </c>
      <c r="J33" t="n">
        <v>-4.5033</v>
      </c>
      <c r="K33" s="5" t="inlineStr">
        <is>
          <t>01a1212c-6a18-70d0-a47b-125a1b405792</t>
        </is>
      </c>
      <c r="L33" s="5" t="inlineStr">
        <is>
          <t>01a1212c-879d-732d-8fe0-5b1ea9c45809</t>
        </is>
      </c>
      <c r="M33" s="6" t="n">
        <v>42917</v>
      </c>
    </row>
    <row r="34">
      <c r="A34" s="5" t="inlineStr">
        <is>
          <t>01a1212c-87f3-7066-bbe7-fd4d6760a46d</t>
        </is>
      </c>
      <c r="D34" s="5" t="inlineStr">
        <is>
          <t>01a1212c-4b57-70cf-80fd-c2192cb3bf81</t>
        </is>
      </c>
      <c r="E34" s="4" t="n">
        <v>46304.62417763778</v>
      </c>
      <c r="F34" s="4" t="n">
        <v>46304.62417763784</v>
      </c>
      <c r="G34" t="b">
        <v>1</v>
      </c>
      <c r="I34" t="inlineStr">
        <is>
          <t>AUD</t>
        </is>
      </c>
      <c r="J34" t="n">
        <v>-4.7682</v>
      </c>
      <c r="K34" s="5" t="inlineStr">
        <is>
          <t>01a1212c-68da-77ea-a20b-34434b4e9654</t>
        </is>
      </c>
      <c r="L34" s="5" t="inlineStr">
        <is>
          <t>01a1212c-879d-732d-8fe0-5b1ea9c45809</t>
        </is>
      </c>
      <c r="M34" s="6" t="n">
        <v>42917</v>
      </c>
    </row>
    <row r="35">
      <c r="A35" s="5" t="inlineStr">
        <is>
          <t>01a1212c-87f9-758b-8c7f-728d98f2d678</t>
        </is>
      </c>
      <c r="D35" s="5" t="inlineStr">
        <is>
          <t>01a1212c-4b57-70cf-80fd-c2192cb3bf81</t>
        </is>
      </c>
      <c r="E35" s="4" t="n">
        <v>46304.62417770507</v>
      </c>
      <c r="F35" s="4" t="n">
        <v>46304.6241777052</v>
      </c>
      <c r="G35" t="b">
        <v>1</v>
      </c>
      <c r="I35" t="inlineStr">
        <is>
          <t>AUD</t>
        </is>
      </c>
      <c r="J35" t="n">
        <v>-5.0331</v>
      </c>
      <c r="K35" s="5" t="inlineStr">
        <is>
          <t>01a1212c-69d8-7623-b5ab-9b8cc7866ed9</t>
        </is>
      </c>
      <c r="L35" s="5" t="inlineStr">
        <is>
          <t>01a1212c-879d-732d-8fe0-5b1ea9c45809</t>
        </is>
      </c>
      <c r="M35" s="6" t="n">
        <v>42917</v>
      </c>
    </row>
    <row r="36">
      <c r="A36" s="5" t="inlineStr">
        <is>
          <t>01a1212c-87ff-7212-9a89-72c6a5271e21</t>
        </is>
      </c>
      <c r="D36" s="5" t="inlineStr">
        <is>
          <t>01a1212c-4b57-70cf-80fd-c2192cb3bf81</t>
        </is>
      </c>
      <c r="E36" s="4" t="n">
        <v>46304.62417777266</v>
      </c>
      <c r="F36" s="4" t="n">
        <v>46304.62417777273</v>
      </c>
      <c r="G36" t="b">
        <v>1</v>
      </c>
      <c r="I36" t="inlineStr">
        <is>
          <t>AUD</t>
        </is>
      </c>
      <c r="J36" t="n">
        <v>-5.298</v>
      </c>
      <c r="K36" s="5" t="inlineStr">
        <is>
          <t>01a1212c-695a-74e1-944f-cf3c745c8111</t>
        </is>
      </c>
      <c r="L36" s="5" t="inlineStr">
        <is>
          <t>01a1212c-879d-732d-8fe0-5b1ea9c45809</t>
        </is>
      </c>
      <c r="M36" s="6" t="n">
        <v>42917</v>
      </c>
    </row>
    <row r="37">
      <c r="A37" s="5" t="inlineStr">
        <is>
          <t>01a1212c-8805-775f-bf8d-701e98f887f4</t>
        </is>
      </c>
      <c r="D37" s="5" t="inlineStr">
        <is>
          <t>01a1212c-4b57-70cf-80fd-c2192cb3bf81</t>
        </is>
      </c>
      <c r="E37" s="4" t="n">
        <v>46304.62417783679</v>
      </c>
      <c r="F37" s="4" t="n">
        <v>46304.62417783686</v>
      </c>
      <c r="G37" t="b">
        <v>1</v>
      </c>
      <c r="I37" t="inlineStr">
        <is>
          <t>AUD</t>
        </is>
      </c>
      <c r="J37" t="n">
        <v>-5.5172</v>
      </c>
      <c r="K37" s="5" t="inlineStr">
        <is>
          <t>01a1212c-6aae-7071-b34e-f040cbd8af32</t>
        </is>
      </c>
      <c r="L37" s="5" t="inlineStr">
        <is>
          <t>01a1212c-879d-732d-8fe0-5b1ea9c45809</t>
        </is>
      </c>
      <c r="M37" s="6" t="n">
        <v>42917</v>
      </c>
    </row>
    <row r="38">
      <c r="A38" s="5" t="inlineStr">
        <is>
          <t>01a1212c-880a-7407-a7f8-2d7400df9805</t>
        </is>
      </c>
      <c r="D38" s="5" t="inlineStr">
        <is>
          <t>01a1212c-4b57-70cf-80fd-c2192cb3bf81</t>
        </is>
      </c>
      <c r="E38" s="4" t="n">
        <v>46304.62417790301</v>
      </c>
      <c r="F38" s="4" t="n">
        <v>46304.62417790307</v>
      </c>
      <c r="G38" t="b">
        <v>1</v>
      </c>
      <c r="I38" t="inlineStr">
        <is>
          <t>AUD</t>
        </is>
      </c>
      <c r="J38" t="n">
        <v>-5.5629</v>
      </c>
      <c r="K38" s="5" t="inlineStr">
        <is>
          <t>01a1212c-691a-70d4-a1c4-6f72b59d4cde</t>
        </is>
      </c>
      <c r="L38" s="5" t="inlineStr">
        <is>
          <t>01a1212c-879d-732d-8fe0-5b1ea9c45809</t>
        </is>
      </c>
      <c r="M38" s="6" t="n">
        <v>42917</v>
      </c>
    </row>
    <row r="39">
      <c r="A39" s="5" t="inlineStr">
        <is>
          <t>01a1212c-8810-70f6-8616-fa1c5666fddb</t>
        </is>
      </c>
      <c r="D39" s="5" t="inlineStr">
        <is>
          <t>01a1212c-4b57-70cf-80fd-c2192cb3bf81</t>
        </is>
      </c>
      <c r="E39" s="4" t="n">
        <v>46304.62417797517</v>
      </c>
      <c r="F39" s="4" t="n">
        <v>46304.62417797525</v>
      </c>
      <c r="G39" t="b">
        <v>1</v>
      </c>
      <c r="I39" t="inlineStr">
        <is>
          <t>AUD</t>
        </is>
      </c>
      <c r="J39" t="n">
        <v>-6.3578</v>
      </c>
      <c r="K39" s="5" t="inlineStr">
        <is>
          <t>01a1212c-68ac-7533-acb8-393d5f7dde20</t>
        </is>
      </c>
      <c r="L39" s="5" t="inlineStr">
        <is>
          <t>01a1212c-879d-732d-8fe0-5b1ea9c45809</t>
        </is>
      </c>
      <c r="M39" s="6" t="n">
        <v>42917</v>
      </c>
    </row>
    <row r="40">
      <c r="A40" s="5" t="inlineStr">
        <is>
          <t>01a1212c-8864-7382-aa63-1ad139e0b100</t>
        </is>
      </c>
      <c r="D40" s="5" t="inlineStr">
        <is>
          <t>01a1212c-4b57-70cf-80fd-c2192cb3bf81</t>
        </is>
      </c>
      <c r="E40" s="4" t="n">
        <v>46304.62417894435</v>
      </c>
      <c r="F40" s="4" t="n">
        <v>46304.62417894442</v>
      </c>
      <c r="G40" t="b">
        <v>1</v>
      </c>
      <c r="I40" t="inlineStr">
        <is>
          <t>AUD</t>
        </is>
      </c>
      <c r="J40" t="n">
        <v>-0.162</v>
      </c>
      <c r="K40" s="5" t="inlineStr">
        <is>
          <t>01a1212c-6d37-7104-9bae-6b11207df2ba</t>
        </is>
      </c>
      <c r="L40" s="5" t="inlineStr">
        <is>
          <t>01a1212c-8862-7551-bc30-d78825299412</t>
        </is>
      </c>
      <c r="M40" s="6" t="n">
        <v>42917</v>
      </c>
    </row>
    <row r="41">
      <c r="A41" s="5" t="inlineStr">
        <is>
          <t>01a1212c-886a-73e0-a0d9-1174d8bca686</t>
        </is>
      </c>
      <c r="D41" s="5" t="inlineStr">
        <is>
          <t>01a1212c-4b57-70cf-80fd-c2192cb3bf81</t>
        </is>
      </c>
      <c r="E41" s="4" t="n">
        <v>46304.62417901436</v>
      </c>
      <c r="F41" s="4" t="n">
        <v>46304.62417901442</v>
      </c>
      <c r="G41" t="b">
        <v>1</v>
      </c>
      <c r="I41" t="inlineStr">
        <is>
          <t>AUD</t>
        </is>
      </c>
      <c r="J41" t="n">
        <v>-0.5227000000000001</v>
      </c>
      <c r="K41" s="5" t="inlineStr">
        <is>
          <t>01a1212c-6d0a-76f3-b162-b89428bc8b86</t>
        </is>
      </c>
      <c r="L41" s="5" t="inlineStr">
        <is>
          <t>01a1212c-8862-7551-bc30-d78825299412</t>
        </is>
      </c>
      <c r="M41" s="6" t="n">
        <v>42917</v>
      </c>
    </row>
    <row r="42">
      <c r="A42" s="5" t="inlineStr">
        <is>
          <t>01a1212c-8870-7215-995d-6816b21a24e2</t>
        </is>
      </c>
      <c r="D42" s="5" t="inlineStr">
        <is>
          <t>01a1212c-4b57-70cf-80fd-c2192cb3bf81</t>
        </is>
      </c>
      <c r="E42" s="4" t="n">
        <v>46304.62417908189</v>
      </c>
      <c r="F42" s="4" t="n">
        <v>46304.62417908195</v>
      </c>
      <c r="G42" t="b">
        <v>1</v>
      </c>
      <c r="I42" t="inlineStr">
        <is>
          <t>AUD</t>
        </is>
      </c>
      <c r="J42" t="n">
        <v>-0.6316000000000001</v>
      </c>
      <c r="K42" s="5" t="inlineStr">
        <is>
          <t>01a1212c-6cde-735d-babb-fd56e63b9d5a</t>
        </is>
      </c>
      <c r="L42" s="5" t="inlineStr">
        <is>
          <t>01a1212c-8862-7551-bc30-d78825299412</t>
        </is>
      </c>
      <c r="M42" s="6" t="n">
        <v>42917</v>
      </c>
    </row>
    <row r="43">
      <c r="A43" s="5" t="inlineStr">
        <is>
          <t>01a1212c-8876-77be-bc39-abd62eaf9765</t>
        </is>
      </c>
      <c r="D43" s="5" t="inlineStr">
        <is>
          <t>01a1212c-4b57-70cf-80fd-c2192cb3bf81</t>
        </is>
      </c>
      <c r="E43" s="4" t="n">
        <v>46304.62417914706</v>
      </c>
      <c r="F43" s="4" t="n">
        <v>46304.62417914713</v>
      </c>
      <c r="G43" t="b">
        <v>1</v>
      </c>
      <c r="I43" t="inlineStr">
        <is>
          <t>AUD</t>
        </is>
      </c>
      <c r="J43" t="n">
        <v>-1.2873</v>
      </c>
      <c r="K43" s="5" t="inlineStr">
        <is>
          <t>01a1212c-6c5e-707b-87c6-5fa973c4227c</t>
        </is>
      </c>
      <c r="L43" s="5" t="inlineStr">
        <is>
          <t>01a1212c-8862-7551-bc30-d78825299412</t>
        </is>
      </c>
      <c r="M43" s="6" t="n">
        <v>42917</v>
      </c>
    </row>
    <row r="44">
      <c r="A44" s="5" t="inlineStr">
        <is>
          <t>01a1212c-887b-70cc-9f1c-cfef3fa927bc</t>
        </is>
      </c>
      <c r="D44" s="5" t="inlineStr">
        <is>
          <t>01a1212c-4b57-70cf-80fd-c2192cb3bf81</t>
        </is>
      </c>
      <c r="E44" s="4" t="n">
        <v>46304.62417921307</v>
      </c>
      <c r="F44" s="4" t="n">
        <v>46304.62417921315</v>
      </c>
      <c r="G44" t="b">
        <v>1</v>
      </c>
      <c r="I44" t="inlineStr">
        <is>
          <t>AUD</t>
        </is>
      </c>
      <c r="J44" t="n">
        <v>-1.4152</v>
      </c>
      <c r="K44" s="5" t="inlineStr">
        <is>
          <t>01a1212c-6cb3-74c4-b753-3ced98bb4fa1</t>
        </is>
      </c>
      <c r="L44" s="5" t="inlineStr">
        <is>
          <t>01a1212c-8862-7551-bc30-d78825299412</t>
        </is>
      </c>
      <c r="M44" s="6" t="n">
        <v>42917</v>
      </c>
    </row>
    <row r="45">
      <c r="A45" s="5" t="inlineStr">
        <is>
          <t>01a1212c-8881-723d-9d2e-f863a845b574</t>
        </is>
      </c>
      <c r="D45" s="5" t="inlineStr">
        <is>
          <t>01a1212c-4b57-70cf-80fd-c2192cb3bf81</t>
        </is>
      </c>
      <c r="E45" s="4" t="n">
        <v>46304.62417928344</v>
      </c>
      <c r="F45" s="4" t="n">
        <v>46304.62417928351</v>
      </c>
      <c r="G45" t="b">
        <v>1</v>
      </c>
      <c r="I45" t="inlineStr">
        <is>
          <t>AUD</t>
        </is>
      </c>
      <c r="J45" t="n">
        <v>-1.6251</v>
      </c>
      <c r="K45" s="5" t="inlineStr">
        <is>
          <t>01a1212c-6bf3-7787-bc84-0bf70e1c811f</t>
        </is>
      </c>
      <c r="L45" s="5" t="inlineStr">
        <is>
          <t>01a1212c-8862-7551-bc30-d78825299412</t>
        </is>
      </c>
      <c r="M45" s="6" t="n">
        <v>42917</v>
      </c>
    </row>
    <row r="46">
      <c r="A46" s="5" t="inlineStr">
        <is>
          <t>01a1212c-8887-7301-9ddd-13baf10631e2</t>
        </is>
      </c>
      <c r="D46" s="5" t="inlineStr">
        <is>
          <t>01a1212c-4b57-70cf-80fd-c2192cb3bf81</t>
        </is>
      </c>
      <c r="E46" s="4" t="n">
        <v>46304.62417935155</v>
      </c>
      <c r="F46" s="4" t="n">
        <v>46304.62417935162</v>
      </c>
      <c r="G46" t="b">
        <v>1</v>
      </c>
      <c r="I46" t="inlineStr">
        <is>
          <t>AUD</t>
        </is>
      </c>
      <c r="J46" t="n">
        <v>-1.7431</v>
      </c>
      <c r="K46" s="5" t="inlineStr">
        <is>
          <t>01a1212c-6b88-7320-ad83-9bb2175f9188</t>
        </is>
      </c>
      <c r="L46" s="5" t="inlineStr">
        <is>
          <t>01a1212c-8862-7551-bc30-d78825299412</t>
        </is>
      </c>
      <c r="M46" s="6" t="n">
        <v>42917</v>
      </c>
    </row>
    <row r="47">
      <c r="A47" s="5" t="inlineStr">
        <is>
          <t>01a1212c-888e-762d-bb24-e2fe1d312989</t>
        </is>
      </c>
      <c r="D47" s="5" t="inlineStr">
        <is>
          <t>01a1212c-4b57-70cf-80fd-c2192cb3bf81</t>
        </is>
      </c>
      <c r="E47" s="4" t="n">
        <v>46304.62417942526</v>
      </c>
      <c r="F47" s="4" t="n">
        <v>46304.62417942532</v>
      </c>
      <c r="G47" t="b">
        <v>1</v>
      </c>
      <c r="I47" t="inlineStr">
        <is>
          <t>AUD</t>
        </is>
      </c>
      <c r="J47" t="n">
        <v>-1.8921</v>
      </c>
      <c r="K47" s="5" t="inlineStr">
        <is>
          <t>01a1212c-6998-74b0-bc81-af5dbb051f7a</t>
        </is>
      </c>
      <c r="L47" s="5" t="inlineStr">
        <is>
          <t>01a1212c-8862-7551-bc30-d78825299412</t>
        </is>
      </c>
      <c r="M47" s="6" t="n">
        <v>42917</v>
      </c>
    </row>
    <row r="48">
      <c r="A48" s="5" t="inlineStr">
        <is>
          <t>01a1212c-8893-7794-a405-f5fe3d56c196</t>
        </is>
      </c>
      <c r="D48" s="5" t="inlineStr">
        <is>
          <t>01a1212c-4b57-70cf-80fd-c2192cb3bf81</t>
        </is>
      </c>
      <c r="E48" s="4" t="n">
        <v>46304.62417949091</v>
      </c>
      <c r="F48" s="4" t="n">
        <v>46304.62417949097</v>
      </c>
      <c r="G48" t="b">
        <v>1</v>
      </c>
      <c r="I48" t="inlineStr">
        <is>
          <t>AUD</t>
        </is>
      </c>
      <c r="J48" t="n">
        <v>-1.9452</v>
      </c>
      <c r="K48" s="5" t="inlineStr">
        <is>
          <t>01a1212c-6bc9-7747-8a7e-e6bec07ce141</t>
        </is>
      </c>
      <c r="L48" s="5" t="inlineStr">
        <is>
          <t>01a1212c-8862-7551-bc30-d78825299412</t>
        </is>
      </c>
      <c r="M48" s="6" t="n">
        <v>42917</v>
      </c>
    </row>
    <row r="49">
      <c r="A49" s="5" t="inlineStr">
        <is>
          <t>01a1212c-8899-7215-8382-039b4b1e5523</t>
        </is>
      </c>
      <c r="D49" s="5" t="inlineStr">
        <is>
          <t>01a1212c-4b57-70cf-80fd-c2192cb3bf81</t>
        </is>
      </c>
      <c r="E49" s="4" t="n">
        <v>46304.62417955707</v>
      </c>
      <c r="F49" s="4" t="n">
        <v>46304.62417955716</v>
      </c>
      <c r="G49" t="b">
        <v>1</v>
      </c>
      <c r="I49" t="inlineStr">
        <is>
          <t>AUD</t>
        </is>
      </c>
      <c r="J49" t="n">
        <v>-2.1409</v>
      </c>
      <c r="K49" s="5" t="inlineStr">
        <is>
          <t>01a1212c-6c1d-7297-ba65-fe335d60502e</t>
        </is>
      </c>
      <c r="L49" s="5" t="inlineStr">
        <is>
          <t>01a1212c-8862-7551-bc30-d78825299412</t>
        </is>
      </c>
      <c r="M49" s="6" t="n">
        <v>42917</v>
      </c>
    </row>
    <row r="50">
      <c r="A50" s="5" t="inlineStr">
        <is>
          <t>01a1212c-889f-74d6-8bc2-d35dd9e974e7</t>
        </is>
      </c>
      <c r="D50" s="5" t="inlineStr">
        <is>
          <t>01a1212c-4b57-70cf-80fd-c2192cb3bf81</t>
        </is>
      </c>
      <c r="E50" s="4" t="n">
        <v>46304.62417962942</v>
      </c>
      <c r="F50" s="4" t="n">
        <v>46304.62417962949</v>
      </c>
      <c r="G50" t="b">
        <v>1</v>
      </c>
      <c r="I50" t="inlineStr">
        <is>
          <t>AUD</t>
        </is>
      </c>
      <c r="J50" t="n">
        <v>-3.1103</v>
      </c>
      <c r="K50" s="5" t="inlineStr">
        <is>
          <t>01a1212c-6b44-7386-8841-c9a13ab8602b</t>
        </is>
      </c>
      <c r="L50" s="5" t="inlineStr">
        <is>
          <t>01a1212c-8862-7551-bc30-d78825299412</t>
        </is>
      </c>
      <c r="M50" s="6" t="n">
        <v>42917</v>
      </c>
    </row>
    <row r="51">
      <c r="A51" s="5" t="inlineStr">
        <is>
          <t>01a1212c-88a5-7577-ba6e-dac4ee0ce51f</t>
        </is>
      </c>
      <c r="D51" s="5" t="inlineStr">
        <is>
          <t>01a1212c-4b57-70cf-80fd-c2192cb3bf81</t>
        </is>
      </c>
      <c r="E51" s="4" t="n">
        <v>46304.6241796964</v>
      </c>
      <c r="F51" s="4" t="n">
        <v>46304.62417969647</v>
      </c>
      <c r="G51" t="b">
        <v>1</v>
      </c>
      <c r="I51" t="inlineStr">
        <is>
          <t>AUD</t>
        </is>
      </c>
      <c r="J51" t="n">
        <v>-3.1535</v>
      </c>
      <c r="K51" s="5" t="inlineStr">
        <is>
          <t>01a1212c-6a83-75e3-a976-646e71a73596</t>
        </is>
      </c>
      <c r="L51" s="5" t="inlineStr">
        <is>
          <t>01a1212c-8862-7551-bc30-d78825299412</t>
        </is>
      </c>
      <c r="M51" s="6" t="n">
        <v>42917</v>
      </c>
    </row>
    <row r="52">
      <c r="A52" s="5" t="inlineStr">
        <is>
          <t>01a1212c-88ab-738f-81d8-43c1235a504f</t>
        </is>
      </c>
      <c r="D52" s="5" t="inlineStr">
        <is>
          <t>01a1212c-4b57-70cf-80fd-c2192cb3bf81</t>
        </is>
      </c>
      <c r="E52" s="4" t="n">
        <v>46304.62417976786</v>
      </c>
      <c r="F52" s="4" t="n">
        <v>46304.62417976795</v>
      </c>
      <c r="G52" t="b">
        <v>1</v>
      </c>
      <c r="I52" t="inlineStr">
        <is>
          <t>AUD</t>
        </is>
      </c>
      <c r="J52" t="n">
        <v>-3.4688</v>
      </c>
      <c r="K52" s="5" t="inlineStr">
        <is>
          <t>01a1212c-6896-70d6-844d-33deb9ce2d14</t>
        </is>
      </c>
      <c r="L52" s="5" t="inlineStr">
        <is>
          <t>01a1212c-8862-7551-bc30-d78825299412</t>
        </is>
      </c>
      <c r="M52" s="6" t="n">
        <v>42917</v>
      </c>
    </row>
    <row r="53">
      <c r="A53" s="5" t="inlineStr">
        <is>
          <t>01a1212c-88b1-7279-b67d-4f39f5bfa4e5</t>
        </is>
      </c>
      <c r="D53" s="5" t="inlineStr">
        <is>
          <t>01a1212c-4b57-70cf-80fd-c2192cb3bf81</t>
        </is>
      </c>
      <c r="E53" s="4" t="n">
        <v>46304.62417983467</v>
      </c>
      <c r="F53" s="4" t="n">
        <v>46304.62417983475</v>
      </c>
      <c r="G53" t="b">
        <v>1</v>
      </c>
      <c r="I53" t="inlineStr">
        <is>
          <t>AUD</t>
        </is>
      </c>
      <c r="J53" t="n">
        <v>-3.8256</v>
      </c>
      <c r="K53" s="5" t="inlineStr">
        <is>
          <t>01a1212c-6b1b-73e9-a54d-e62e154ff71c</t>
        </is>
      </c>
      <c r="L53" s="5" t="inlineStr">
        <is>
          <t>01a1212c-8862-7551-bc30-d78825299412</t>
        </is>
      </c>
      <c r="M53" s="6" t="n">
        <v>42917</v>
      </c>
    </row>
    <row r="54">
      <c r="A54" s="5" t="inlineStr">
        <is>
          <t>01a1212c-88b7-703d-8c31-f5980d06b523</t>
        </is>
      </c>
      <c r="D54" s="5" t="inlineStr">
        <is>
          <t>01a1212c-4b57-70cf-80fd-c2192cb3bf81</t>
        </is>
      </c>
      <c r="E54" s="4" t="n">
        <v>46304.6241799007</v>
      </c>
      <c r="F54" s="4" t="n">
        <v>46304.62417990078</v>
      </c>
      <c r="G54" t="b">
        <v>1</v>
      </c>
      <c r="I54" t="inlineStr">
        <is>
          <t>AUD</t>
        </is>
      </c>
      <c r="J54" t="n">
        <v>-3.9418</v>
      </c>
      <c r="K54" s="5" t="inlineStr">
        <is>
          <t>01a1212c-6a2e-75f8-b19d-5dc788e0d375</t>
        </is>
      </c>
      <c r="L54" s="5" t="inlineStr">
        <is>
          <t>01a1212c-8862-7551-bc30-d78825299412</t>
        </is>
      </c>
      <c r="M54" s="6" t="n">
        <v>42917</v>
      </c>
    </row>
    <row r="55">
      <c r="A55" s="5" t="inlineStr">
        <is>
          <t>01a1212c-88bd-73e2-b69e-2e9a3731b5cb</t>
        </is>
      </c>
      <c r="D55" s="5" t="inlineStr">
        <is>
          <t>01a1212c-4b57-70cf-80fd-c2192cb3bf81</t>
        </is>
      </c>
      <c r="E55" s="4" t="n">
        <v>46304.62417996734</v>
      </c>
      <c r="F55" s="4" t="n">
        <v>46304.62417996741</v>
      </c>
      <c r="G55" t="b">
        <v>1</v>
      </c>
      <c r="I55" t="inlineStr">
        <is>
          <t>AUD</t>
        </is>
      </c>
      <c r="J55" t="n">
        <v>-4.2572</v>
      </c>
      <c r="K55" s="5" t="inlineStr">
        <is>
          <t>01a1212c-68f0-738d-8d20-79a1c973b960</t>
        </is>
      </c>
      <c r="L55" s="5" t="inlineStr">
        <is>
          <t>01a1212c-8862-7551-bc30-d78825299412</t>
        </is>
      </c>
      <c r="M55" s="6" t="n">
        <v>42917</v>
      </c>
    </row>
    <row r="56">
      <c r="A56" s="5" t="inlineStr">
        <is>
          <t>01a1212c-88c2-7518-aed3-2077cf15585d</t>
        </is>
      </c>
      <c r="D56" s="5" t="inlineStr">
        <is>
          <t>01a1212c-4b57-70cf-80fd-c2192cb3bf81</t>
        </is>
      </c>
      <c r="E56" s="4" t="n">
        <v>46304.62418003336</v>
      </c>
      <c r="F56" s="4" t="n">
        <v>46304.62418003344</v>
      </c>
      <c r="G56" t="b">
        <v>1</v>
      </c>
      <c r="I56" t="inlineStr">
        <is>
          <t>AUD</t>
        </is>
      </c>
      <c r="J56" t="n">
        <v>-4.7302</v>
      </c>
      <c r="K56" s="5" t="inlineStr">
        <is>
          <t>01a1212c-696e-7146-9e01-741d10f2bed2</t>
        </is>
      </c>
      <c r="L56" s="5" t="inlineStr">
        <is>
          <t>01a1212c-8862-7551-bc30-d78825299412</t>
        </is>
      </c>
      <c r="M56" s="6" t="n">
        <v>42917</v>
      </c>
    </row>
    <row r="57">
      <c r="A57" s="5" t="inlineStr">
        <is>
          <t>01a1212c-88c8-7077-b66e-9874dc39dace</t>
        </is>
      </c>
      <c r="D57" s="5" t="inlineStr">
        <is>
          <t>01a1212c-4b57-70cf-80fd-c2192cb3bf81</t>
        </is>
      </c>
      <c r="E57" s="4" t="n">
        <v>46304.62418010043</v>
      </c>
      <c r="F57" s="4" t="n">
        <v>46304.62418010049</v>
      </c>
      <c r="G57" t="b">
        <v>1</v>
      </c>
      <c r="I57" t="inlineStr">
        <is>
          <t>AUD</t>
        </is>
      </c>
      <c r="J57" t="n">
        <v>-4.7302</v>
      </c>
      <c r="K57" s="5" t="inlineStr">
        <is>
          <t>01a1212c-69ed-703d-98c7-86793a7bce47</t>
        </is>
      </c>
      <c r="L57" s="5" t="inlineStr">
        <is>
          <t>01a1212c-8862-7551-bc30-d78825299412</t>
        </is>
      </c>
      <c r="M57" s="6" t="n">
        <v>42917</v>
      </c>
    </row>
    <row r="58">
      <c r="A58" s="5" t="inlineStr">
        <is>
          <t>01a1212c-88ce-74e4-abbe-481462041776</t>
        </is>
      </c>
      <c r="D58" s="5" t="inlineStr">
        <is>
          <t>01a1212c-4b57-70cf-80fd-c2192cb3bf81</t>
        </is>
      </c>
      <c r="E58" s="4" t="n">
        <v>46304.62418016847</v>
      </c>
      <c r="F58" s="4" t="n">
        <v>46304.62418016854</v>
      </c>
      <c r="G58" t="b">
        <v>1</v>
      </c>
      <c r="I58" t="inlineStr">
        <is>
          <t>AUD</t>
        </is>
      </c>
      <c r="J58" t="n">
        <v>-4.8477</v>
      </c>
      <c r="K58" s="5" t="inlineStr">
        <is>
          <t>01a1212c-6ac3-7045-85af-681a40396939</t>
        </is>
      </c>
      <c r="L58" s="5" t="inlineStr">
        <is>
          <t>01a1212c-8862-7551-bc30-d78825299412</t>
        </is>
      </c>
      <c r="M58" s="6" t="n">
        <v>42917</v>
      </c>
    </row>
    <row r="59">
      <c r="A59" s="5" t="inlineStr">
        <is>
          <t>01a1212c-88d4-7502-b8c1-23d4ad929bab</t>
        </is>
      </c>
      <c r="D59" s="5" t="inlineStr">
        <is>
          <t>01a1212c-4b57-70cf-80fd-c2192cb3bf81</t>
        </is>
      </c>
      <c r="E59" s="4" t="n">
        <v>46304.62418023605</v>
      </c>
      <c r="F59" s="4" t="n">
        <v>46304.62418023613</v>
      </c>
      <c r="G59" t="b">
        <v>1</v>
      </c>
      <c r="I59" t="inlineStr">
        <is>
          <t>AUD</t>
        </is>
      </c>
      <c r="J59" t="n">
        <v>-5.0456</v>
      </c>
      <c r="K59" s="5" t="inlineStr">
        <is>
          <t>01a1212c-692f-76c3-8991-b28be5dbbe78</t>
        </is>
      </c>
      <c r="L59" s="5" t="inlineStr">
        <is>
          <t>01a1212c-8862-7551-bc30-d78825299412</t>
        </is>
      </c>
      <c r="M59" s="6" t="n">
        <v>42917</v>
      </c>
    </row>
    <row r="60">
      <c r="A60" s="5" t="inlineStr">
        <is>
          <t>01a1212c-88da-73cc-b1e0-bca2f2b2d7b7</t>
        </is>
      </c>
      <c r="D60" s="5" t="inlineStr">
        <is>
          <t>01a1212c-4b57-70cf-80fd-c2192cb3bf81</t>
        </is>
      </c>
      <c r="E60" s="4" t="n">
        <v>46304.62418030515</v>
      </c>
      <c r="F60" s="4" t="n">
        <v>46304.62418030523</v>
      </c>
      <c r="G60" t="b">
        <v>1</v>
      </c>
      <c r="I60" t="inlineStr">
        <is>
          <t>AUD</t>
        </is>
      </c>
      <c r="J60" t="n">
        <v>-5.8339</v>
      </c>
      <c r="K60" s="5" t="inlineStr">
        <is>
          <t>01a1212c-68c3-7400-8c25-aa53cd5ab679</t>
        </is>
      </c>
      <c r="L60" s="5" t="inlineStr">
        <is>
          <t>01a1212c-8862-7551-bc30-d78825299412</t>
        </is>
      </c>
      <c r="M60" s="6" t="n">
        <v>42917</v>
      </c>
    </row>
    <row r="61">
      <c r="A61" s="5" t="inlineStr">
        <is>
          <t>01a1212c-89fc-70ab-b935-6e2c2e5a6edc</t>
        </is>
      </c>
      <c r="D61" s="5" t="inlineStr">
        <is>
          <t>01a1212c-4b57-70cf-80fd-c2192cb3bf81</t>
        </is>
      </c>
      <c r="E61" s="4" t="n">
        <v>46304.62418367117</v>
      </c>
      <c r="F61" s="4" t="n">
        <v>46304.62418367123</v>
      </c>
      <c r="G61" t="b">
        <v>1</v>
      </c>
      <c r="I61" t="inlineStr">
        <is>
          <t>AUD</t>
        </is>
      </c>
      <c r="J61" t="n">
        <v>-0.6532</v>
      </c>
      <c r="K61" s="5" t="inlineStr">
        <is>
          <t>01a1212c-89ef-7630-ad3f-fd37a2fe2e20</t>
        </is>
      </c>
      <c r="L61" s="5" t="inlineStr">
        <is>
          <t>01a1212c-879d-732d-8fe0-5b1ea9c45809</t>
        </is>
      </c>
      <c r="M61" s="6" t="n">
        <v>43538</v>
      </c>
    </row>
    <row r="62">
      <c r="A62" s="5" t="inlineStr">
        <is>
          <t>01a1212c-8a03-7043-b5dd-7b2c96942c00</t>
        </is>
      </c>
      <c r="D62" s="5" t="inlineStr">
        <is>
          <t>01a1212c-4b57-70cf-80fd-c2192cb3bf81</t>
        </is>
      </c>
      <c r="E62" s="4" t="n">
        <v>46304.62418374111</v>
      </c>
      <c r="F62" s="4" t="n">
        <v>46304.62418374116</v>
      </c>
      <c r="G62" t="b">
        <v>1</v>
      </c>
      <c r="I62" t="inlineStr">
        <is>
          <t>AUD</t>
        </is>
      </c>
      <c r="J62" t="n">
        <v>-2.8304</v>
      </c>
      <c r="K62" s="5" t="inlineStr">
        <is>
          <t>01a1212c-89f4-7113-8008-3b3bfc79728b</t>
        </is>
      </c>
      <c r="L62" s="5" t="inlineStr">
        <is>
          <t>01a1212c-879d-732d-8fe0-5b1ea9c45809</t>
        </is>
      </c>
      <c r="M62" s="6" t="n">
        <v>43538</v>
      </c>
    </row>
    <row r="63">
      <c r="A63" s="5" t="inlineStr">
        <is>
          <t>01a1212c-8a2f-716d-a8e4-2061e088e1b0</t>
        </is>
      </c>
      <c r="D63" s="5" t="inlineStr">
        <is>
          <t>01a1212c-4b57-70cf-80fd-c2192cb3bf81</t>
        </is>
      </c>
      <c r="E63" s="4" t="n">
        <v>46304.624184255</v>
      </c>
      <c r="F63" s="4" t="n">
        <v>46304.6241842551</v>
      </c>
      <c r="G63" t="b">
        <v>1</v>
      </c>
      <c r="I63" t="inlineStr">
        <is>
          <t>AUD</t>
        </is>
      </c>
      <c r="J63" t="n">
        <v>0.1733</v>
      </c>
      <c r="K63" s="5" t="inlineStr">
        <is>
          <t>01a1212c-7028-718e-b2ce-9f6f2a580d3c</t>
        </is>
      </c>
      <c r="L63" s="5" t="inlineStr">
        <is>
          <t>01a1212c-8a2c-7766-8599-0bc070d57414</t>
        </is>
      </c>
      <c r="M63" s="6" t="n">
        <v>43282</v>
      </c>
    </row>
    <row r="64">
      <c r="A64" s="5" t="inlineStr">
        <is>
          <t>01a1212c-8a35-70eb-8f3d-8269ebb25fd5</t>
        </is>
      </c>
      <c r="D64" s="5" t="inlineStr">
        <is>
          <t>01a1212c-4b57-70cf-80fd-c2192cb3bf81</t>
        </is>
      </c>
      <c r="E64" s="4" t="n">
        <v>46304.62418432414</v>
      </c>
      <c r="F64" s="4" t="n">
        <v>46304.62418432421</v>
      </c>
      <c r="G64" t="b">
        <v>1</v>
      </c>
      <c r="I64" t="inlineStr">
        <is>
          <t>AUD</t>
        </is>
      </c>
      <c r="J64" t="n">
        <v>0.3301</v>
      </c>
      <c r="K64" s="5" t="inlineStr">
        <is>
          <t>01a1212c-6fc2-71f6-890f-f7e761000531</t>
        </is>
      </c>
      <c r="L64" s="5" t="inlineStr">
        <is>
          <t>01a1212c-8a2c-7766-8599-0bc070d57414</t>
        </is>
      </c>
      <c r="M64" s="6" t="n">
        <v>43282</v>
      </c>
    </row>
    <row r="65">
      <c r="A65" s="5" t="inlineStr">
        <is>
          <t>01a1212c-8a3b-7605-a647-f57d1876b6eb</t>
        </is>
      </c>
      <c r="D65" s="5" t="inlineStr">
        <is>
          <t>01a1212c-4b57-70cf-80fd-c2192cb3bf81</t>
        </is>
      </c>
      <c r="E65" s="4" t="n">
        <v>46304.6241843929</v>
      </c>
      <c r="F65" s="4" t="n">
        <v>46304.62418439296</v>
      </c>
      <c r="G65" t="b">
        <v>1</v>
      </c>
      <c r="I65" t="inlineStr">
        <is>
          <t>AUD</t>
        </is>
      </c>
      <c r="J65" t="n">
        <v>0.3595</v>
      </c>
      <c r="K65" s="5" t="inlineStr">
        <is>
          <t>01a1212c-6feb-74aa-bf31-ee2f8fd37754</t>
        </is>
      </c>
      <c r="L65" s="5" t="inlineStr">
        <is>
          <t>01a1212c-8a2c-7766-8599-0bc070d57414</t>
        </is>
      </c>
      <c r="M65" s="6" t="n">
        <v>43282</v>
      </c>
    </row>
    <row r="66">
      <c r="A66" s="5" t="inlineStr">
        <is>
          <t>01a1212c-8a41-731f-994f-d11cb6d4c548</t>
        </is>
      </c>
      <c r="D66" s="5" t="inlineStr">
        <is>
          <t>01a1212c-4b57-70cf-80fd-c2192cb3bf81</t>
        </is>
      </c>
      <c r="E66" s="4" t="n">
        <v>46304.62418445986</v>
      </c>
      <c r="F66" s="4" t="n">
        <v>46304.62418445992</v>
      </c>
      <c r="G66" t="b">
        <v>1</v>
      </c>
      <c r="I66" t="inlineStr">
        <is>
          <t>AUD</t>
        </is>
      </c>
      <c r="J66" t="n">
        <v>0.4365</v>
      </c>
      <c r="K66" s="5" t="inlineStr">
        <is>
          <t>01a1212c-6f7f-718f-b160-46cb1bfec403</t>
        </is>
      </c>
      <c r="L66" s="5" t="inlineStr">
        <is>
          <t>01a1212c-8a2c-7766-8599-0bc070d57414</t>
        </is>
      </c>
      <c r="M66" s="6" t="n">
        <v>43282</v>
      </c>
    </row>
    <row r="67">
      <c r="A67" s="5" t="inlineStr">
        <is>
          <t>01a1212c-8a46-74bd-8def-6498c299f521</t>
        </is>
      </c>
      <c r="D67" s="5" t="inlineStr">
        <is>
          <t>01a1212c-4b57-70cf-80fd-c2192cb3bf81</t>
        </is>
      </c>
      <c r="E67" s="4" t="n">
        <v>46304.62418452566</v>
      </c>
      <c r="F67" s="4" t="n">
        <v>46304.62418452573</v>
      </c>
      <c r="G67" t="b">
        <v>1</v>
      </c>
      <c r="I67" t="inlineStr">
        <is>
          <t>AUD</t>
        </is>
      </c>
      <c r="J67" t="n">
        <v>0.8542</v>
      </c>
      <c r="K67" s="5" t="inlineStr">
        <is>
          <t>01a1212c-6ebd-7084-8e12-1c2acb9ea8e3</t>
        </is>
      </c>
      <c r="L67" s="5" t="inlineStr">
        <is>
          <t>01a1212c-8a2c-7766-8599-0bc070d57414</t>
        </is>
      </c>
      <c r="M67" s="6" t="n">
        <v>43282</v>
      </c>
    </row>
    <row r="68">
      <c r="A68" s="5" t="inlineStr">
        <is>
          <t>01a1212c-8a4c-721f-905b-2acc67ac6498</t>
        </is>
      </c>
      <c r="D68" s="5" t="inlineStr">
        <is>
          <t>01a1212c-4b57-70cf-80fd-c2192cb3bf81</t>
        </is>
      </c>
      <c r="E68" s="4" t="n">
        <v>46304.62418459098</v>
      </c>
      <c r="F68" s="4" t="n">
        <v>46304.62418459104</v>
      </c>
      <c r="G68" t="b">
        <v>1</v>
      </c>
      <c r="I68" t="inlineStr">
        <is>
          <t>AUD</t>
        </is>
      </c>
      <c r="J68" t="n">
        <v>0.9372</v>
      </c>
      <c r="K68" s="5" t="inlineStr">
        <is>
          <t>01a1212c-6f3f-76d2-bfcb-3c0b514d7327</t>
        </is>
      </c>
      <c r="L68" s="5" t="inlineStr">
        <is>
          <t>01a1212c-8a2c-7766-8599-0bc070d57414</t>
        </is>
      </c>
      <c r="M68" s="6" t="n">
        <v>43282</v>
      </c>
    </row>
    <row r="69">
      <c r="A69" s="5" t="inlineStr">
        <is>
          <t>01a1212c-8a52-7328-9889-e27be9e7a86b</t>
        </is>
      </c>
      <c r="D69" s="5" t="inlineStr">
        <is>
          <t>01a1212c-4b57-70cf-80fd-c2192cb3bf81</t>
        </is>
      </c>
      <c r="E69" s="4" t="n">
        <v>46304.62418466026</v>
      </c>
      <c r="F69" s="4" t="n">
        <v>46304.62418466032</v>
      </c>
      <c r="G69" t="b">
        <v>1</v>
      </c>
      <c r="I69" t="inlineStr">
        <is>
          <t>AUD</t>
        </is>
      </c>
      <c r="J69" t="n">
        <v>1.061</v>
      </c>
      <c r="K69" s="5" t="inlineStr">
        <is>
          <t>01a1212c-6efd-73be-a0d7-c82e3f8af4ac</t>
        </is>
      </c>
      <c r="L69" s="5" t="inlineStr">
        <is>
          <t>01a1212c-8a2c-7766-8599-0bc070d57414</t>
        </is>
      </c>
      <c r="M69" s="6" t="n">
        <v>43282</v>
      </c>
    </row>
    <row r="70">
      <c r="A70" s="5" t="inlineStr">
        <is>
          <t>01a1212c-8a58-70e2-a76e-dd1f375d46d5</t>
        </is>
      </c>
      <c r="D70" s="5" t="inlineStr">
        <is>
          <t>01a1212c-4b57-70cf-80fd-c2192cb3bf81</t>
        </is>
      </c>
      <c r="E70" s="4" t="n">
        <v>46304.62418472494</v>
      </c>
      <c r="F70" s="4" t="n">
        <v>46304.62418472501</v>
      </c>
      <c r="G70" t="b">
        <v>1</v>
      </c>
      <c r="I70" t="inlineStr">
        <is>
          <t>AUD</t>
        </is>
      </c>
      <c r="J70" t="n">
        <v>1.3389</v>
      </c>
      <c r="K70" s="5" t="inlineStr">
        <is>
          <t>01a1212c-6d20-73ba-8f87-9892e2e99aec</t>
        </is>
      </c>
      <c r="L70" s="5" t="inlineStr">
        <is>
          <t>01a1212c-8a2c-7766-8599-0bc070d57414</t>
        </is>
      </c>
      <c r="M70" s="6" t="n">
        <v>43282</v>
      </c>
    </row>
    <row r="71">
      <c r="A71" s="5" t="inlineStr">
        <is>
          <t>01a1212c-8a5d-7436-ad24-6a681a5141be</t>
        </is>
      </c>
      <c r="D71" s="5" t="inlineStr">
        <is>
          <t>01a1212c-4b57-70cf-80fd-c2192cb3bf81</t>
        </is>
      </c>
      <c r="E71" s="4" t="n">
        <v>46304.62418479103</v>
      </c>
      <c r="F71" s="4" t="n">
        <v>46304.6241847911</v>
      </c>
      <c r="G71" t="b">
        <v>1</v>
      </c>
      <c r="I71" t="inlineStr">
        <is>
          <t>AUD</t>
        </is>
      </c>
      <c r="J71" t="n">
        <v>1.3802</v>
      </c>
      <c r="K71" s="5" t="inlineStr">
        <is>
          <t>01a1212c-6db6-75c6-a15a-3893db0236e1</t>
        </is>
      </c>
      <c r="L71" s="5" t="inlineStr">
        <is>
          <t>01a1212c-8a2c-7766-8599-0bc070d57414</t>
        </is>
      </c>
      <c r="M71" s="6" t="n">
        <v>43282</v>
      </c>
    </row>
    <row r="72">
      <c r="A72" s="5" t="inlineStr">
        <is>
          <t>01a1212c-8a64-76d7-a650-4ed2fd721e07</t>
        </is>
      </c>
      <c r="D72" s="5" t="inlineStr">
        <is>
          <t>01a1212c-4b57-70cf-80fd-c2192cb3bf81</t>
        </is>
      </c>
      <c r="E72" s="4" t="n">
        <v>46304.62418486838</v>
      </c>
      <c r="F72" s="4" t="n">
        <v>46304.62418486845</v>
      </c>
      <c r="G72" t="b">
        <v>1</v>
      </c>
      <c r="I72" t="inlineStr">
        <is>
          <t>AUD</t>
        </is>
      </c>
      <c r="J72" t="n">
        <v>1.4966</v>
      </c>
      <c r="K72" s="5" t="inlineStr">
        <is>
          <t>01a1212c-6e0b-74a6-b1c4-92fd51554f70</t>
        </is>
      </c>
      <c r="L72" s="5" t="inlineStr">
        <is>
          <t>01a1212c-8a2c-7766-8599-0bc070d57414</t>
        </is>
      </c>
      <c r="M72" s="6" t="n">
        <v>43282</v>
      </c>
    </row>
    <row r="73">
      <c r="A73" s="5" t="inlineStr">
        <is>
          <t>01a1212c-8a6a-76c1-ba7d-afc3d75b71dc</t>
        </is>
      </c>
      <c r="D73" s="5" t="inlineStr">
        <is>
          <t>01a1212c-4b57-70cf-80fd-c2192cb3bf81</t>
        </is>
      </c>
      <c r="E73" s="4" t="n">
        <v>46304.62418493636</v>
      </c>
      <c r="F73" s="4" t="n">
        <v>46304.62418493642</v>
      </c>
      <c r="G73" t="b">
        <v>1</v>
      </c>
      <c r="I73" t="inlineStr">
        <is>
          <t>AUD</t>
        </is>
      </c>
      <c r="J73" t="n">
        <v>1.6369</v>
      </c>
      <c r="K73" s="5" t="inlineStr">
        <is>
          <t>01a1212c-6e66-7046-82e1-a0df222b5449</t>
        </is>
      </c>
      <c r="L73" s="5" t="inlineStr">
        <is>
          <t>01a1212c-8a2c-7766-8599-0bc070d57414</t>
        </is>
      </c>
      <c r="M73" s="6" t="n">
        <v>43282</v>
      </c>
    </row>
    <row r="74">
      <c r="A74" s="5" t="inlineStr">
        <is>
          <t>01a1212c-8a70-7544-a03f-e818cb20ba36</t>
        </is>
      </c>
      <c r="D74" s="5" t="inlineStr">
        <is>
          <t>01a1212c-4b57-70cf-80fd-c2192cb3bf81</t>
        </is>
      </c>
      <c r="E74" s="4" t="n">
        <v>46304.62418501197</v>
      </c>
      <c r="F74" s="4" t="n">
        <v>46304.62418501206</v>
      </c>
      <c r="G74" t="b">
        <v>1</v>
      </c>
      <c r="I74" t="inlineStr">
        <is>
          <t>AUD</t>
        </is>
      </c>
      <c r="J74" t="n">
        <v>1.985</v>
      </c>
      <c r="K74" s="5" t="inlineStr">
        <is>
          <t>01a1212c-6d76-76a9-b3fa-2e49f1ec83bd</t>
        </is>
      </c>
      <c r="L74" s="5" t="inlineStr">
        <is>
          <t>01a1212c-8a2c-7766-8599-0bc070d57414</t>
        </is>
      </c>
      <c r="M74" s="6" t="n">
        <v>43282</v>
      </c>
    </row>
    <row r="75">
      <c r="A75" s="5" t="inlineStr">
        <is>
          <t>01a1212c-8a76-7796-85f7-718304f00ba3</t>
        </is>
      </c>
      <c r="D75" s="5" t="inlineStr">
        <is>
          <t>01a1212c-4b57-70cf-80fd-c2192cb3bf81</t>
        </is>
      </c>
      <c r="E75" s="4" t="n">
        <v>46304.62418507793</v>
      </c>
      <c r="F75" s="4" t="n">
        <v>46304.624185078</v>
      </c>
      <c r="G75" t="b">
        <v>1</v>
      </c>
      <c r="I75" t="inlineStr">
        <is>
          <t>AUD</t>
        </is>
      </c>
      <c r="J75" t="n">
        <v>2.6706</v>
      </c>
      <c r="K75" s="5" t="inlineStr">
        <is>
          <t>01a1212c-6d4c-7285-883b-40007c7bea5b</t>
        </is>
      </c>
      <c r="L75" s="5" t="inlineStr">
        <is>
          <t>01a1212c-8a2c-7766-8599-0bc070d57414</t>
        </is>
      </c>
      <c r="M75" s="6" t="n">
        <v>43282</v>
      </c>
    </row>
    <row r="76">
      <c r="A76" s="5" t="inlineStr">
        <is>
          <t>01a1212c-8ab3-76ab-bd66-634b9c9fc920</t>
        </is>
      </c>
      <c r="D76" s="5" t="inlineStr">
        <is>
          <t>01a1212c-4b57-70cf-80fd-c2192cb3bf81</t>
        </is>
      </c>
      <c r="E76" s="4" t="n">
        <v>46304.62418578082</v>
      </c>
      <c r="F76" s="4" t="n">
        <v>46304.62418578091</v>
      </c>
      <c r="G76" t="b">
        <v>1</v>
      </c>
      <c r="I76" t="inlineStr">
        <is>
          <t>AUD</t>
        </is>
      </c>
      <c r="J76" t="n">
        <v>0.4243</v>
      </c>
      <c r="K76" s="5" t="inlineStr">
        <is>
          <t>01a1212c-89ef-7630-ad3f-fd37a2fe2e20</t>
        </is>
      </c>
      <c r="L76" s="5" t="inlineStr">
        <is>
          <t>01a1212c-8ab0-7595-bc11-bfe51cdde84f</t>
        </is>
      </c>
      <c r="M76" s="6" t="n">
        <v>43282</v>
      </c>
    </row>
    <row r="77">
      <c r="A77" s="5" t="inlineStr">
        <is>
          <t>01a1212c-8abd-7363-8980-56a8a8eddb14</t>
        </is>
      </c>
      <c r="D77" s="5" t="inlineStr">
        <is>
          <t>01a1212c-4b57-70cf-80fd-c2192cb3bf81</t>
        </is>
      </c>
      <c r="E77" s="4" t="n">
        <v>46304.62418590338</v>
      </c>
      <c r="F77" s="4" t="n">
        <v>46304.62418590346</v>
      </c>
      <c r="G77" t="b">
        <v>1</v>
      </c>
      <c r="I77" t="inlineStr">
        <is>
          <t>AUD</t>
        </is>
      </c>
      <c r="J77" t="n">
        <v>1.1313</v>
      </c>
      <c r="K77" s="5" t="inlineStr">
        <is>
          <t>01a1212c-6982-7355-ba70-8f6993dd73bd</t>
        </is>
      </c>
      <c r="L77" s="5" t="inlineStr">
        <is>
          <t>01a1212c-8ab0-7595-bc11-bfe51cdde84f</t>
        </is>
      </c>
      <c r="M77" s="6" t="n">
        <v>43282</v>
      </c>
    </row>
    <row r="78">
      <c r="A78" s="5" t="inlineStr">
        <is>
          <t>01a1212c-8ac7-779b-9a4e-8716f0fe21d2</t>
        </is>
      </c>
      <c r="D78" s="5" t="inlineStr">
        <is>
          <t>01a1212c-4b57-70cf-80fd-c2192cb3bf81</t>
        </is>
      </c>
      <c r="E78" s="4" t="n">
        <v>46304.62418601621</v>
      </c>
      <c r="F78" s="4" t="n">
        <v>46304.62418601628</v>
      </c>
      <c r="G78" t="b">
        <v>1</v>
      </c>
      <c r="I78" t="inlineStr">
        <is>
          <t>AUD</t>
        </is>
      </c>
      <c r="J78" t="n">
        <v>1.9798</v>
      </c>
      <c r="K78" s="5" t="inlineStr">
        <is>
          <t>01a1212c-687d-7722-9e5b-4cd037c726f7</t>
        </is>
      </c>
      <c r="L78" s="5" t="inlineStr">
        <is>
          <t>01a1212c-8ab0-7595-bc11-bfe51cdde84f</t>
        </is>
      </c>
      <c r="M78" s="6" t="n">
        <v>43282</v>
      </c>
    </row>
    <row r="79">
      <c r="A79" s="5" t="inlineStr">
        <is>
          <t>01a1212c-8ad1-7060-8cef-4bee7179fc2b</t>
        </is>
      </c>
      <c r="D79" s="5" t="inlineStr">
        <is>
          <t>01a1212c-4b57-70cf-80fd-c2192cb3bf81</t>
        </is>
      </c>
      <c r="E79" s="4" t="n">
        <v>46304.62418612528</v>
      </c>
      <c r="F79" s="4" t="n">
        <v>46304.62418612536</v>
      </c>
      <c r="G79" t="b">
        <v>1</v>
      </c>
      <c r="I79" t="inlineStr">
        <is>
          <t>AUD</t>
        </is>
      </c>
      <c r="J79" t="n">
        <v>1.9798</v>
      </c>
      <c r="K79" s="5" t="inlineStr">
        <is>
          <t>01a1212c-6a6e-7311-9954-d2b7382fadc3</t>
        </is>
      </c>
      <c r="L79" s="5" t="inlineStr">
        <is>
          <t>01a1212c-8ab0-7595-bc11-bfe51cdde84f</t>
        </is>
      </c>
      <c r="M79" s="6" t="n">
        <v>43282</v>
      </c>
    </row>
    <row r="80">
      <c r="A80" s="5" t="inlineStr">
        <is>
          <t>01a1212c-8ada-7638-b2ff-d921c1b0c66f</t>
        </is>
      </c>
      <c r="D80" s="5" t="inlineStr">
        <is>
          <t>01a1212c-4b57-70cf-80fd-c2192cb3bf81</t>
        </is>
      </c>
      <c r="E80" s="4" t="n">
        <v>46304.62418623553</v>
      </c>
      <c r="F80" s="4" t="n">
        <v>46304.62418623561</v>
      </c>
      <c r="G80" t="b">
        <v>1</v>
      </c>
      <c r="I80" t="inlineStr">
        <is>
          <t>AUD</t>
        </is>
      </c>
      <c r="J80" t="n">
        <v>2.2093</v>
      </c>
      <c r="K80" s="5" t="inlineStr">
        <is>
          <t>01a1212c-6b72-74ed-b4f6-5b4d5a03ef71</t>
        </is>
      </c>
      <c r="L80" s="5" t="inlineStr">
        <is>
          <t>01a1212c-8ab0-7595-bc11-bfe51cdde84f</t>
        </is>
      </c>
      <c r="M80" s="6" t="n">
        <v>43282</v>
      </c>
    </row>
    <row r="81">
      <c r="A81" s="5" t="inlineStr">
        <is>
          <t>01a1212c-8ae0-73f5-ae1a-842265123606</t>
        </is>
      </c>
      <c r="D81" s="5" t="inlineStr">
        <is>
          <t>01a1212c-4b57-70cf-80fd-c2192cb3bf81</t>
        </is>
      </c>
      <c r="E81" s="4" t="n">
        <v>46304.62418630191</v>
      </c>
      <c r="F81" s="4" t="n">
        <v>46304.62418630198</v>
      </c>
      <c r="G81" t="b">
        <v>1</v>
      </c>
      <c r="I81" t="inlineStr">
        <is>
          <t>AUD</t>
        </is>
      </c>
      <c r="J81" t="n">
        <v>2.4041</v>
      </c>
      <c r="K81" s="5" t="inlineStr">
        <is>
          <t>01a1212c-6a18-70d0-a47b-125a1b405792</t>
        </is>
      </c>
      <c r="L81" s="5" t="inlineStr">
        <is>
          <t>01a1212c-8ab0-7595-bc11-bfe51cdde84f</t>
        </is>
      </c>
      <c r="M81" s="6" t="n">
        <v>43282</v>
      </c>
    </row>
    <row r="82">
      <c r="A82" s="5" t="inlineStr">
        <is>
          <t>01a1212c-8ae9-748c-8cdc-254b2145a664</t>
        </is>
      </c>
      <c r="D82" s="5" t="inlineStr">
        <is>
          <t>01a1212c-4b57-70cf-80fd-c2192cb3bf81</t>
        </is>
      </c>
      <c r="E82" s="4" t="n">
        <v>46304.62418640463</v>
      </c>
      <c r="F82" s="4" t="n">
        <v>46304.6241864047</v>
      </c>
      <c r="G82" t="b">
        <v>1</v>
      </c>
      <c r="I82" t="inlineStr">
        <is>
          <t>AUD</t>
        </is>
      </c>
      <c r="J82" t="n">
        <v>2.4101</v>
      </c>
      <c r="K82" s="5" t="inlineStr">
        <is>
          <t>01a1212c-6cc9-776e-89ba-82d2ec02eeba</t>
        </is>
      </c>
      <c r="L82" s="5" t="inlineStr">
        <is>
          <t>01a1212c-8ab0-7595-bc11-bfe51cdde84f</t>
        </is>
      </c>
      <c r="M82" s="6" t="n">
        <v>43282</v>
      </c>
    </row>
    <row r="83">
      <c r="A83" s="5" t="inlineStr">
        <is>
          <t>01a1212c-8aee-7438-94cf-a35353bc4821</t>
        </is>
      </c>
      <c r="D83" s="5" t="inlineStr">
        <is>
          <t>01a1212c-4b57-70cf-80fd-c2192cb3bf81</t>
        </is>
      </c>
      <c r="E83" s="4" t="n">
        <v>46304.62418647153</v>
      </c>
      <c r="F83" s="4" t="n">
        <v>46304.62418647163</v>
      </c>
      <c r="G83" t="b">
        <v>1</v>
      </c>
      <c r="I83" t="inlineStr">
        <is>
          <t>AUD</t>
        </is>
      </c>
      <c r="J83" t="n">
        <v>2.5455</v>
      </c>
      <c r="K83" s="5" t="inlineStr">
        <is>
          <t>01a1212c-68da-77ea-a20b-34434b4e9654</t>
        </is>
      </c>
      <c r="L83" s="5" t="inlineStr">
        <is>
          <t>01a1212c-8ab0-7595-bc11-bfe51cdde84f</t>
        </is>
      </c>
      <c r="M83" s="6" t="n">
        <v>43282</v>
      </c>
    </row>
    <row r="84">
      <c r="A84" s="5" t="inlineStr">
        <is>
          <t>01a1212c-8af8-70a3-9271-3307922897b9</t>
        </is>
      </c>
      <c r="D84" s="5" t="inlineStr">
        <is>
          <t>01a1212c-4b57-70cf-80fd-c2192cb3bf81</t>
        </is>
      </c>
      <c r="E84" s="4" t="n">
        <v>46304.6241865766</v>
      </c>
      <c r="F84" s="4" t="n">
        <v>46304.62418657666</v>
      </c>
      <c r="G84" t="b">
        <v>1</v>
      </c>
      <c r="I84" t="inlineStr">
        <is>
          <t>AUD</t>
        </is>
      </c>
      <c r="J84" t="n">
        <v>2.5455</v>
      </c>
      <c r="K84" s="5" t="inlineStr">
        <is>
          <t>01a1212c-6b06-7635-8cc2-f08f1c899ffd</t>
        </is>
      </c>
      <c r="L84" s="5" t="inlineStr">
        <is>
          <t>01a1212c-8ab0-7595-bc11-bfe51cdde84f</t>
        </is>
      </c>
      <c r="M84" s="6" t="n">
        <v>43282</v>
      </c>
    </row>
    <row r="85">
      <c r="A85" s="5" t="inlineStr">
        <is>
          <t>01a1212c-8b01-7234-9ea1-39fe3934ac76</t>
        </is>
      </c>
      <c r="D85" s="5" t="inlineStr">
        <is>
          <t>01a1212c-4b57-70cf-80fd-c2192cb3bf81</t>
        </is>
      </c>
      <c r="E85" s="4" t="n">
        <v>46304.62418668011</v>
      </c>
      <c r="F85" s="4" t="n">
        <v>46304.62418668017</v>
      </c>
      <c r="G85" t="b">
        <v>1</v>
      </c>
      <c r="I85" t="inlineStr">
        <is>
          <t>AUD</t>
        </is>
      </c>
      <c r="J85" t="n">
        <v>2.611</v>
      </c>
      <c r="K85" s="5" t="inlineStr">
        <is>
          <t>01a1212c-6bb4-759b-b5fd-3065dd129d0f</t>
        </is>
      </c>
      <c r="L85" s="5" t="inlineStr">
        <is>
          <t>01a1212c-8ab0-7595-bc11-bfe51cdde84f</t>
        </is>
      </c>
      <c r="M85" s="6" t="n">
        <v>43282</v>
      </c>
    </row>
    <row r="86">
      <c r="A86" s="5" t="inlineStr">
        <is>
          <t>01a1212c-8b07-73ac-80b7-a67e7773f8ec</t>
        </is>
      </c>
      <c r="D86" s="5" t="inlineStr">
        <is>
          <t>01a1212c-4b57-70cf-80fd-c2192cb3bf81</t>
        </is>
      </c>
      <c r="E86" s="4" t="n">
        <v>46304.62418674966</v>
      </c>
      <c r="F86" s="4" t="n">
        <v>46304.62418674974</v>
      </c>
      <c r="G86" t="b">
        <v>1</v>
      </c>
      <c r="I86" t="inlineStr">
        <is>
          <t>AUD</t>
        </is>
      </c>
      <c r="J86" t="n">
        <v>2.611</v>
      </c>
      <c r="K86" s="5" t="inlineStr">
        <is>
          <t>01a1212c-6bde-777f-aa74-d04c84c2a216</t>
        </is>
      </c>
      <c r="L86" s="5" t="inlineStr">
        <is>
          <t>01a1212c-8ab0-7595-bc11-bfe51cdde84f</t>
        </is>
      </c>
      <c r="M86" s="6" t="n">
        <v>43282</v>
      </c>
    </row>
    <row r="87">
      <c r="A87" s="5" t="inlineStr">
        <is>
          <t>01a1212c-8b0c-7622-945f-2ed2808cd9d2</t>
        </is>
      </c>
      <c r="D87" s="5" t="inlineStr">
        <is>
          <t>01a1212c-4b57-70cf-80fd-c2192cb3bf81</t>
        </is>
      </c>
      <c r="E87" s="4" t="n">
        <v>46304.62418681769</v>
      </c>
      <c r="F87" s="4" t="n">
        <v>46304.62418681775</v>
      </c>
      <c r="G87" t="b">
        <v>1</v>
      </c>
      <c r="I87" t="inlineStr">
        <is>
          <t>AUD</t>
        </is>
      </c>
      <c r="J87" t="n">
        <v>2.611</v>
      </c>
      <c r="K87" s="5" t="inlineStr">
        <is>
          <t>01a1212c-89f4-7113-8008-3b3bfc79728b</t>
        </is>
      </c>
      <c r="L87" s="5" t="inlineStr">
        <is>
          <t>01a1212c-8ab0-7595-bc11-bfe51cdde84f</t>
        </is>
      </c>
      <c r="M87" s="6" t="n">
        <v>43282</v>
      </c>
    </row>
    <row r="88">
      <c r="A88" s="5" t="inlineStr">
        <is>
          <t>01a1212c-8b13-736c-b752-6674d361915c</t>
        </is>
      </c>
      <c r="D88" s="5" t="inlineStr">
        <is>
          <t>01a1212c-4b57-70cf-80fd-c2192cb3bf81</t>
        </is>
      </c>
      <c r="E88" s="4" t="n">
        <v>46304.62418689163</v>
      </c>
      <c r="F88" s="4" t="n">
        <v>46304.6241868917</v>
      </c>
      <c r="G88" t="b">
        <v>1</v>
      </c>
      <c r="I88" t="inlineStr">
        <is>
          <t>AUD</t>
        </is>
      </c>
      <c r="J88" t="n">
        <v>2.6869</v>
      </c>
      <c r="K88" s="5" t="inlineStr">
        <is>
          <t>01a1212c-69d8-7623-b5ab-9b8cc7866ed9</t>
        </is>
      </c>
      <c r="L88" s="5" t="inlineStr">
        <is>
          <t>01a1212c-8ab0-7595-bc11-bfe51cdde84f</t>
        </is>
      </c>
      <c r="M88" s="6" t="n">
        <v>43282</v>
      </c>
    </row>
    <row r="89">
      <c r="A89" s="5" t="inlineStr">
        <is>
          <t>01a1212c-8b1c-73ac-8b6b-bf8f66858d8a</t>
        </is>
      </c>
      <c r="D89" s="5" t="inlineStr">
        <is>
          <t>01a1212c-4b57-70cf-80fd-c2192cb3bf81</t>
        </is>
      </c>
      <c r="E89" s="4" t="n">
        <v>46304.62418699526</v>
      </c>
      <c r="F89" s="4" t="n">
        <v>46304.62418699534</v>
      </c>
      <c r="G89" t="b">
        <v>1</v>
      </c>
      <c r="I89" t="inlineStr">
        <is>
          <t>AUD</t>
        </is>
      </c>
      <c r="J89" t="n">
        <v>2.8118</v>
      </c>
      <c r="K89" s="5" t="inlineStr">
        <is>
          <t>01a1212c-6c49-7160-b8e0-1ae2951d4c69</t>
        </is>
      </c>
      <c r="L89" s="5" t="inlineStr">
        <is>
          <t>01a1212c-8ab0-7595-bc11-bfe51cdde84f</t>
        </is>
      </c>
      <c r="M89" s="6" t="n">
        <v>43282</v>
      </c>
    </row>
    <row r="90">
      <c r="A90" s="5" t="inlineStr">
        <is>
          <t>01a1212c-8b22-7035-a6a4-4bb0aae3bcb3</t>
        </is>
      </c>
      <c r="D90" s="5" t="inlineStr">
        <is>
          <t>01a1212c-4b57-70cf-80fd-c2192cb3bf81</t>
        </is>
      </c>
      <c r="E90" s="4" t="n">
        <v>46304.62418706255</v>
      </c>
      <c r="F90" s="4" t="n">
        <v>46304.62418706262</v>
      </c>
      <c r="G90" t="b">
        <v>1</v>
      </c>
      <c r="I90" t="inlineStr">
        <is>
          <t>AUD</t>
        </is>
      </c>
      <c r="J90" t="n">
        <v>2.8283</v>
      </c>
      <c r="K90" s="5" t="inlineStr">
        <is>
          <t>01a1212c-695a-74e1-944f-cf3c745c8111</t>
        </is>
      </c>
      <c r="L90" s="5" t="inlineStr">
        <is>
          <t>01a1212c-8ab0-7595-bc11-bfe51cdde84f</t>
        </is>
      </c>
      <c r="M90" s="6" t="n">
        <v>43282</v>
      </c>
    </row>
    <row r="91">
      <c r="A91" s="5" t="inlineStr">
        <is>
          <t>01a1212c-8b2b-740b-9172-4036feab5b86</t>
        </is>
      </c>
      <c r="D91" s="5" t="inlineStr">
        <is>
          <t>01a1212c-4b57-70cf-80fd-c2192cb3bf81</t>
        </is>
      </c>
      <c r="E91" s="4" t="n">
        <v>46304.6241871659</v>
      </c>
      <c r="F91" s="4" t="n">
        <v>46304.62418716597</v>
      </c>
      <c r="G91" t="b">
        <v>1</v>
      </c>
      <c r="I91" t="inlineStr">
        <is>
          <t>AUD</t>
        </is>
      </c>
      <c r="J91" t="n">
        <v>2.9698</v>
      </c>
      <c r="K91" s="5" t="inlineStr">
        <is>
          <t>01a1212c-691a-70d4-a1c4-6f72b59d4cde</t>
        </is>
      </c>
      <c r="L91" s="5" t="inlineStr">
        <is>
          <t>01a1212c-8ab0-7595-bc11-bfe51cdde84f</t>
        </is>
      </c>
      <c r="M91" s="6" t="n">
        <v>43282</v>
      </c>
    </row>
    <row r="92">
      <c r="A92" s="5" t="inlineStr">
        <is>
          <t>01a1212c-8b33-73db-8e94-cb3c2674c6cc</t>
        </is>
      </c>
      <c r="D92" s="5" t="inlineStr">
        <is>
          <t>01a1212c-4b57-70cf-80fd-c2192cb3bf81</t>
        </is>
      </c>
      <c r="E92" s="4" t="n">
        <v>46304.62418726952</v>
      </c>
      <c r="F92" s="4" t="n">
        <v>46304.6241872696</v>
      </c>
      <c r="G92" t="b">
        <v>1</v>
      </c>
      <c r="I92" t="inlineStr">
        <is>
          <t>AUD</t>
        </is>
      </c>
      <c r="J92" t="n">
        <v>2.9698</v>
      </c>
      <c r="K92" s="5" t="inlineStr">
        <is>
          <t>01a1212c-6aae-7071-b34e-f040cbd8af32</t>
        </is>
      </c>
      <c r="L92" s="5" t="inlineStr">
        <is>
          <t>01a1212c-8ab0-7595-bc11-bfe51cdde84f</t>
        </is>
      </c>
      <c r="M92" s="6" t="n">
        <v>43282</v>
      </c>
    </row>
    <row r="93">
      <c r="A93" s="5" t="inlineStr">
        <is>
          <t>01a1212c-8b3d-717c-a7e0-70a330665863</t>
        </is>
      </c>
      <c r="D93" s="5" t="inlineStr">
        <is>
          <t>01a1212c-4b57-70cf-80fd-c2192cb3bf81</t>
        </is>
      </c>
      <c r="E93" s="4" t="n">
        <v>46304.62418737607</v>
      </c>
      <c r="F93" s="4" t="n">
        <v>46304.62418737613</v>
      </c>
      <c r="G93" t="b">
        <v>1</v>
      </c>
      <c r="I93" t="inlineStr">
        <is>
          <t>AUD</t>
        </is>
      </c>
      <c r="J93" t="n">
        <v>3.0127</v>
      </c>
      <c r="K93" s="5" t="inlineStr">
        <is>
          <t>01a1212c-6cf4-716f-80ca-3b34218d873a</t>
        </is>
      </c>
      <c r="L93" s="5" t="inlineStr">
        <is>
          <t>01a1212c-8ab0-7595-bc11-bfe51cdde84f</t>
        </is>
      </c>
      <c r="M93" s="6" t="n">
        <v>43282</v>
      </c>
    </row>
    <row r="94">
      <c r="A94" s="5" t="inlineStr">
        <is>
          <t>01a1212c-8b43-7689-ba5a-367e4c793540</t>
        </is>
      </c>
      <c r="D94" s="5" t="inlineStr">
        <is>
          <t>01a1212c-4b57-70cf-80fd-c2192cb3bf81</t>
        </is>
      </c>
      <c r="E94" s="4" t="n">
        <v>46304.62418745348</v>
      </c>
      <c r="F94" s="4" t="n">
        <v>46304.62418745354</v>
      </c>
      <c r="G94" t="b">
        <v>1</v>
      </c>
      <c r="I94" t="inlineStr">
        <is>
          <t>AUD</t>
        </is>
      </c>
      <c r="J94" t="n">
        <v>3.394</v>
      </c>
      <c r="K94" s="5" t="inlineStr">
        <is>
          <t>01a1212c-68ac-7533-acb8-393d5f7dde20</t>
        </is>
      </c>
      <c r="L94" s="5" t="inlineStr">
        <is>
          <t>01a1212c-8ab0-7595-bc11-bfe51cdde84f</t>
        </is>
      </c>
      <c r="M94" s="6" t="n">
        <v>43282</v>
      </c>
    </row>
    <row r="95">
      <c r="A95" s="5" t="inlineStr">
        <is>
          <t>01a1212c-8b4d-76b1-8ccd-e44b27194bb1</t>
        </is>
      </c>
      <c r="D95" s="5" t="inlineStr">
        <is>
          <t>01a1212c-4b57-70cf-80fd-c2192cb3bf81</t>
        </is>
      </c>
      <c r="E95" s="4" t="n">
        <v>46304.62418756359</v>
      </c>
      <c r="F95" s="4" t="n">
        <v>46304.62418756371</v>
      </c>
      <c r="G95" t="b">
        <v>1</v>
      </c>
      <c r="I95" t="inlineStr">
        <is>
          <t>AUD</t>
        </is>
      </c>
      <c r="J95" t="n">
        <v>4.0169</v>
      </c>
      <c r="K95" s="5" t="inlineStr">
        <is>
          <t>01a1212c-6c08-71b7-9210-9718c95a0269</t>
        </is>
      </c>
      <c r="L95" s="5" t="inlineStr">
        <is>
          <t>01a1212c-8ab0-7595-bc11-bfe51cdde84f</t>
        </is>
      </c>
      <c r="M95" s="6" t="n">
        <v>43282</v>
      </c>
    </row>
    <row r="96">
      <c r="A96" s="5" t="inlineStr">
        <is>
          <t>01a1212c-8b54-771c-9ff1-67235e28f727</t>
        </is>
      </c>
      <c r="D96" s="5" t="inlineStr">
        <is>
          <t>01a1212c-4b57-70cf-80fd-c2192cb3bf81</t>
        </is>
      </c>
      <c r="E96" s="4" t="n">
        <v>46304.62418764265</v>
      </c>
      <c r="F96" s="4" t="n">
        <v>46304.62418764273</v>
      </c>
      <c r="G96" t="b">
        <v>1</v>
      </c>
      <c r="I96" t="inlineStr">
        <is>
          <t>AUD</t>
        </is>
      </c>
      <c r="J96" t="n">
        <v>4.0171</v>
      </c>
      <c r="K96" s="5" t="inlineStr">
        <is>
          <t>01a1212c-6c9e-75f8-990d-1f420daecde4</t>
        </is>
      </c>
      <c r="L96" s="5" t="inlineStr">
        <is>
          <t>01a1212c-8ab0-7595-bc11-bfe51cdde84f</t>
        </is>
      </c>
      <c r="M96" s="6" t="n">
        <v>43282</v>
      </c>
    </row>
    <row r="97">
      <c r="A97" s="5" t="inlineStr">
        <is>
          <t>01a1212c-8bad-7495-9803-c85d5a49d811</t>
        </is>
      </c>
      <c r="D97" s="5" t="inlineStr">
        <is>
          <t>01a1212c-4b57-70cf-80fd-c2192cb3bf81</t>
        </is>
      </c>
      <c r="E97" s="4" t="n">
        <v>46304.62418867377</v>
      </c>
      <c r="F97" s="4" t="n">
        <v>46304.62418867384</v>
      </c>
      <c r="G97" t="b">
        <v>1</v>
      </c>
      <c r="I97" t="inlineStr">
        <is>
          <t>AUD</t>
        </is>
      </c>
      <c r="J97" t="n">
        <v>0.14</v>
      </c>
      <c r="K97" s="5" t="inlineStr">
        <is>
          <t>01a1212c-703e-7558-9c38-d3ff61fb4ef7</t>
        </is>
      </c>
      <c r="L97" s="5" t="inlineStr">
        <is>
          <t>01a1212c-8baa-744f-813f-f3d3bee6fb69</t>
        </is>
      </c>
      <c r="M97" s="6" t="n">
        <v>43282</v>
      </c>
    </row>
    <row r="98">
      <c r="A98" s="5" t="inlineStr">
        <is>
          <t>01a1212c-8bb3-758c-8d16-3900ba3ef77c</t>
        </is>
      </c>
      <c r="D98" s="5" t="inlineStr">
        <is>
          <t>01a1212c-4b57-70cf-80fd-c2192cb3bf81</t>
        </is>
      </c>
      <c r="E98" s="4" t="n">
        <v>46304.62418874603</v>
      </c>
      <c r="F98" s="4" t="n">
        <v>46304.62418874611</v>
      </c>
      <c r="G98" t="b">
        <v>1</v>
      </c>
      <c r="I98" t="inlineStr">
        <is>
          <t>AUD</t>
        </is>
      </c>
      <c r="J98" t="n">
        <v>0.2512</v>
      </c>
      <c r="K98" s="5" t="inlineStr">
        <is>
          <t>01a1212c-6fd7-7372-ba43-20c51ef00ee0</t>
        </is>
      </c>
      <c r="L98" s="5" t="inlineStr">
        <is>
          <t>01a1212c-8baa-744f-813f-f3d3bee6fb69</t>
        </is>
      </c>
      <c r="M98" s="6" t="n">
        <v>43282</v>
      </c>
    </row>
    <row r="99">
      <c r="A99" s="5" t="inlineStr">
        <is>
          <t>01a1212c-8bba-7064-9800-04997a7a7f77</t>
        </is>
      </c>
      <c r="D99" s="5" t="inlineStr">
        <is>
          <t>01a1212c-4b57-70cf-80fd-c2192cb3bf81</t>
        </is>
      </c>
      <c r="E99" s="4" t="n">
        <v>46304.62418882136</v>
      </c>
      <c r="F99" s="4" t="n">
        <v>46304.62418882142</v>
      </c>
      <c r="G99" t="b">
        <v>1</v>
      </c>
      <c r="I99" t="inlineStr">
        <is>
          <t>AUD</t>
        </is>
      </c>
      <c r="J99" t="n">
        <v>0.2791</v>
      </c>
      <c r="K99" s="5" t="inlineStr">
        <is>
          <t>01a1212c-7000-7766-ae79-871c98d5aa0c</t>
        </is>
      </c>
      <c r="L99" s="5" t="inlineStr">
        <is>
          <t>01a1212c-8baa-744f-813f-f3d3bee6fb69</t>
        </is>
      </c>
      <c r="M99" s="6" t="n">
        <v>43282</v>
      </c>
    </row>
    <row r="100">
      <c r="A100" s="5" t="inlineStr">
        <is>
          <t>01a1212c-8bc0-7599-837a-d5df906942cd</t>
        </is>
      </c>
      <c r="D100" s="5" t="inlineStr">
        <is>
          <t>01a1212c-4b57-70cf-80fd-c2192cb3bf81</t>
        </is>
      </c>
      <c r="E100" s="4" t="n">
        <v>46304.62418889073</v>
      </c>
      <c r="F100" s="4" t="n">
        <v>46304.62418889079</v>
      </c>
      <c r="G100" t="b">
        <v>1</v>
      </c>
      <c r="I100" t="inlineStr">
        <is>
          <t>AUD</t>
        </is>
      </c>
      <c r="J100" t="n">
        <v>0.3559</v>
      </c>
      <c r="K100" s="5" t="inlineStr">
        <is>
          <t>01a1212c-6f94-71c9-8280-59efd47efd80</t>
        </is>
      </c>
      <c r="L100" s="5" t="inlineStr">
        <is>
          <t>01a1212c-8baa-744f-813f-f3d3bee6fb69</t>
        </is>
      </c>
      <c r="M100" s="6" t="n">
        <v>43282</v>
      </c>
    </row>
    <row r="101">
      <c r="A101" s="5" t="inlineStr">
        <is>
          <t>01a1212c-8bc5-728c-b1f0-8dd4fa254a42</t>
        </is>
      </c>
      <c r="D101" s="5" t="inlineStr">
        <is>
          <t>01a1212c-4b57-70cf-80fd-c2192cb3bf81</t>
        </is>
      </c>
      <c r="E101" s="4" t="n">
        <v>46304.62418895739</v>
      </c>
      <c r="F101" s="4" t="n">
        <v>46304.62418895745</v>
      </c>
      <c r="G101" t="b">
        <v>1</v>
      </c>
      <c r="I101" t="inlineStr">
        <is>
          <t>AUD</t>
        </is>
      </c>
      <c r="J101" t="n">
        <v>0.6604</v>
      </c>
      <c r="K101" s="5" t="inlineStr">
        <is>
          <t>01a1212c-6ed1-75e4-b466-1b906512bd95</t>
        </is>
      </c>
      <c r="L101" s="5" t="inlineStr">
        <is>
          <t>01a1212c-8baa-744f-813f-f3d3bee6fb69</t>
        </is>
      </c>
      <c r="M101" s="6" t="n">
        <v>43282</v>
      </c>
    </row>
    <row r="102">
      <c r="A102" s="5" t="inlineStr">
        <is>
          <t>01a1212c-8bcc-712a-af10-df51181f3d35</t>
        </is>
      </c>
      <c r="D102" s="5" t="inlineStr">
        <is>
          <t>01a1212c-4b57-70cf-80fd-c2192cb3bf81</t>
        </is>
      </c>
      <c r="E102" s="4" t="n">
        <v>46304.62418903044</v>
      </c>
      <c r="F102" s="4" t="n">
        <v>46304.62418903051</v>
      </c>
      <c r="G102" t="b">
        <v>1</v>
      </c>
      <c r="I102" t="inlineStr">
        <is>
          <t>AUD</t>
        </is>
      </c>
      <c r="J102" t="n">
        <v>0.7569</v>
      </c>
      <c r="K102" s="5" t="inlineStr">
        <is>
          <t>01a1212c-6f53-7010-bee2-43a946747025</t>
        </is>
      </c>
      <c r="L102" s="5" t="inlineStr">
        <is>
          <t>01a1212c-8baa-744f-813f-f3d3bee6fb69</t>
        </is>
      </c>
      <c r="M102" s="6" t="n">
        <v>43282</v>
      </c>
    </row>
    <row r="103">
      <c r="A103" s="5" t="inlineStr">
        <is>
          <t>01a1212c-8bd1-759f-b28c-50e090d68a1c</t>
        </is>
      </c>
      <c r="D103" s="5" t="inlineStr">
        <is>
          <t>01a1212c-4b57-70cf-80fd-c2192cb3bf81</t>
        </is>
      </c>
      <c r="E103" s="4" t="n">
        <v>46304.62418909623</v>
      </c>
      <c r="F103" s="4" t="n">
        <v>46304.6241890963</v>
      </c>
      <c r="G103" t="b">
        <v>1</v>
      </c>
      <c r="I103" t="inlineStr">
        <is>
          <t>AUD</t>
        </is>
      </c>
      <c r="J103" t="n">
        <v>0.8163</v>
      </c>
      <c r="K103" s="5" t="inlineStr">
        <is>
          <t>01a1212c-6f14-75ce-b122-ae5ab106d8e8</t>
        </is>
      </c>
      <c r="L103" s="5" t="inlineStr">
        <is>
          <t>01a1212c-8baa-744f-813f-f3d3bee6fb69</t>
        </is>
      </c>
      <c r="M103" s="6" t="n">
        <v>43282</v>
      </c>
    </row>
    <row r="104">
      <c r="A104" s="5" t="inlineStr">
        <is>
          <t>01a1212c-8c00-75fa-a645-cc372c0aeae3</t>
        </is>
      </c>
      <c r="D104" s="5" t="inlineStr">
        <is>
          <t>01a1212c-4b57-70cf-80fd-c2192cb3bf81</t>
        </is>
      </c>
      <c r="E104" s="4" t="n">
        <v>46304.62418964064</v>
      </c>
      <c r="F104" s="4" t="n">
        <v>46304.62418964072</v>
      </c>
      <c r="G104" t="b">
        <v>1</v>
      </c>
      <c r="I104" t="inlineStr">
        <is>
          <t>AUD</t>
        </is>
      </c>
      <c r="J104" t="n">
        <v>0.8733</v>
      </c>
      <c r="K104" s="5" t="inlineStr">
        <is>
          <t>01a1212c-6998-74b0-bc81-af5dbb051f7a</t>
        </is>
      </c>
      <c r="L104" s="5" t="inlineStr">
        <is>
          <t>01a1212c-8baa-744f-813f-f3d3bee6fb69</t>
        </is>
      </c>
      <c r="M104" s="6" t="n">
        <v>43282</v>
      </c>
    </row>
    <row r="105">
      <c r="A105" s="5" t="inlineStr">
        <is>
          <t>01a1212c-8c06-76c6-9a69-ef67ed2a1945</t>
        </is>
      </c>
      <c r="D105" s="5" t="inlineStr">
        <is>
          <t>01a1212c-4b57-70cf-80fd-c2192cb3bf81</t>
        </is>
      </c>
      <c r="E105" s="4" t="n">
        <v>46304.62418970827</v>
      </c>
      <c r="F105" s="4" t="n">
        <v>46304.62418970833</v>
      </c>
      <c r="G105" t="b">
        <v>1</v>
      </c>
      <c r="I105" t="inlineStr">
        <is>
          <t>AUD</t>
        </is>
      </c>
      <c r="J105" t="n">
        <v>1.0803</v>
      </c>
      <c r="K105" s="5" t="inlineStr">
        <is>
          <t>01a1212c-6dcc-720d-a5fa-03db95e8cb05</t>
        </is>
      </c>
      <c r="L105" s="5" t="inlineStr">
        <is>
          <t>01a1212c-8baa-744f-813f-f3d3bee6fb69</t>
        </is>
      </c>
      <c r="M105" s="6" t="n">
        <v>43282</v>
      </c>
    </row>
    <row r="106">
      <c r="A106" s="5" t="inlineStr">
        <is>
          <t>01a1212c-8c0e-7074-8788-717f7972f337</t>
        </is>
      </c>
      <c r="D106" s="5" t="inlineStr">
        <is>
          <t>01a1212c-4b57-70cf-80fd-c2192cb3bf81</t>
        </is>
      </c>
      <c r="E106" s="4" t="n">
        <v>46304.62418979787</v>
      </c>
      <c r="F106" s="4" t="n">
        <v>46304.62418979804</v>
      </c>
      <c r="G106" t="b">
        <v>1</v>
      </c>
      <c r="I106" t="inlineStr">
        <is>
          <t>AUD</t>
        </is>
      </c>
      <c r="J106" t="n">
        <v>1.0916</v>
      </c>
      <c r="K106" s="5" t="inlineStr">
        <is>
          <t>01a1212c-6b88-7320-ad83-9bb2175f9188</t>
        </is>
      </c>
      <c r="L106" s="5" t="inlineStr">
        <is>
          <t>01a1212c-8baa-744f-813f-f3d3bee6fb69</t>
        </is>
      </c>
      <c r="M106" s="6" t="n">
        <v>43282</v>
      </c>
    </row>
    <row r="107">
      <c r="A107" s="5" t="inlineStr">
        <is>
          <t>01a1212c-8c16-7534-a085-0a2b343d2bb8</t>
        </is>
      </c>
      <c r="D107" s="5" t="inlineStr">
        <is>
          <t>01a1212c-4b57-70cf-80fd-c2192cb3bf81</t>
        </is>
      </c>
      <c r="E107" s="4" t="n">
        <v>46304.62418989183</v>
      </c>
      <c r="F107" s="4" t="n">
        <v>46304.62418989191</v>
      </c>
      <c r="G107" t="b">
        <v>1</v>
      </c>
      <c r="I107" t="inlineStr">
        <is>
          <t>AUD</t>
        </is>
      </c>
      <c r="J107" t="n">
        <v>1.0916</v>
      </c>
      <c r="K107" s="5" t="inlineStr">
        <is>
          <t>01a1212c-6d37-7104-9bae-6b11207df2ba</t>
        </is>
      </c>
      <c r="L107" s="5" t="inlineStr">
        <is>
          <t>01a1212c-8baa-744f-813f-f3d3bee6fb69</t>
        </is>
      </c>
      <c r="M107" s="6" t="n">
        <v>43282</v>
      </c>
    </row>
    <row r="108">
      <c r="A108" s="5" t="inlineStr">
        <is>
          <t>01a1212c-8c1e-71f9-a4be-b0b4f57b136c</t>
        </is>
      </c>
      <c r="D108" s="5" t="inlineStr">
        <is>
          <t>01a1212c-4b57-70cf-80fd-c2192cb3bf81</t>
        </is>
      </c>
      <c r="E108" s="4" t="n">
        <v>46304.62418998183</v>
      </c>
      <c r="F108" s="4" t="n">
        <v>46304.62418998196</v>
      </c>
      <c r="G108" t="b">
        <v>1</v>
      </c>
      <c r="I108" t="inlineStr">
        <is>
          <t>AUD</t>
        </is>
      </c>
      <c r="J108" t="n">
        <v>1.1389</v>
      </c>
      <c r="K108" s="5" t="inlineStr">
        <is>
          <t>01a1212c-6e20-73a5-aefe-85160cb166ee</t>
        </is>
      </c>
      <c r="L108" s="5" t="inlineStr">
        <is>
          <t>01a1212c-8baa-744f-813f-f3d3bee6fb69</t>
        </is>
      </c>
      <c r="M108" s="6" t="n">
        <v>43282</v>
      </c>
    </row>
    <row r="109">
      <c r="A109" s="5" t="inlineStr">
        <is>
          <t>01a1212c-8c25-76c9-816f-1c62cd19cad5</t>
        </is>
      </c>
      <c r="D109" s="5" t="inlineStr">
        <is>
          <t>01a1212c-4b57-70cf-80fd-c2192cb3bf81</t>
        </is>
      </c>
      <c r="E109" s="4" t="n">
        <v>46304.62419006239</v>
      </c>
      <c r="F109" s="4" t="n">
        <v>46304.62419006247</v>
      </c>
      <c r="G109" t="b">
        <v>1</v>
      </c>
      <c r="I109" t="inlineStr">
        <is>
          <t>AUD</t>
        </is>
      </c>
      <c r="J109" t="n">
        <v>1.2338</v>
      </c>
      <c r="K109" s="5" t="inlineStr">
        <is>
          <t>01a1212c-6e7d-7269-818d-4fc41e4043b6</t>
        </is>
      </c>
      <c r="L109" s="5" t="inlineStr">
        <is>
          <t>01a1212c-8baa-744f-813f-f3d3bee6fb69</t>
        </is>
      </c>
      <c r="M109" s="6" t="n">
        <v>43282</v>
      </c>
    </row>
    <row r="110">
      <c r="A110" s="5" t="inlineStr">
        <is>
          <t>01a1212c-8c2b-7693-bb6d-28cba76a53b2</t>
        </is>
      </c>
      <c r="D110" s="5" t="inlineStr">
        <is>
          <t>01a1212c-4b57-70cf-80fd-c2192cb3bf81</t>
        </is>
      </c>
      <c r="E110" s="4" t="n">
        <v>46304.6241901294</v>
      </c>
      <c r="F110" s="4" t="n">
        <v>46304.62419012947</v>
      </c>
      <c r="G110" t="b">
        <v>1</v>
      </c>
      <c r="I110" t="inlineStr">
        <is>
          <t>AUD</t>
        </is>
      </c>
      <c r="J110" t="n">
        <v>1.2372</v>
      </c>
      <c r="K110" s="5" t="inlineStr">
        <is>
          <t>01a1212c-6cde-735d-babb-fd56e63b9d5a</t>
        </is>
      </c>
      <c r="L110" s="5" t="inlineStr">
        <is>
          <t>01a1212c-8baa-744f-813f-f3d3bee6fb69</t>
        </is>
      </c>
      <c r="M110" s="6" t="n">
        <v>43282</v>
      </c>
    </row>
    <row r="111">
      <c r="A111" s="5" t="inlineStr">
        <is>
          <t>01a1212c-8c31-76c9-b51a-d7524a838d0e</t>
        </is>
      </c>
      <c r="D111" s="5" t="inlineStr">
        <is>
          <t>01a1212c-4b57-70cf-80fd-c2192cb3bf81</t>
        </is>
      </c>
      <c r="E111" s="4" t="n">
        <v>46304.62419020801</v>
      </c>
      <c r="F111" s="4" t="n">
        <v>46304.62419020808</v>
      </c>
      <c r="G111" t="b">
        <v>1</v>
      </c>
      <c r="I111" t="inlineStr">
        <is>
          <t>AUD</t>
        </is>
      </c>
      <c r="J111" t="n">
        <v>1.31</v>
      </c>
      <c r="K111" s="5" t="inlineStr">
        <is>
          <t>01a1212c-6bf3-7787-bc84-0bf70e1c811f</t>
        </is>
      </c>
      <c r="L111" s="5" t="inlineStr">
        <is>
          <t>01a1212c-8baa-744f-813f-f3d3bee6fb69</t>
        </is>
      </c>
      <c r="M111" s="6" t="n">
        <v>43282</v>
      </c>
    </row>
    <row r="112">
      <c r="A112" s="5" t="inlineStr">
        <is>
          <t>01a1212c-8c37-714e-9d08-e01f415860c0</t>
        </is>
      </c>
      <c r="D112" s="5" t="inlineStr">
        <is>
          <t>01a1212c-4b57-70cf-80fd-c2192cb3bf81</t>
        </is>
      </c>
      <c r="E112" s="4" t="n">
        <v>46304.62419027407</v>
      </c>
      <c r="F112" s="4" t="n">
        <v>46304.62419027413</v>
      </c>
      <c r="G112" t="b">
        <v>1</v>
      </c>
      <c r="I112" t="inlineStr">
        <is>
          <t>AUD</t>
        </is>
      </c>
      <c r="J112" t="n">
        <v>1.3828</v>
      </c>
      <c r="K112" s="5" t="inlineStr">
        <is>
          <t>01a1212c-6bc9-7747-8a7e-e6bec07ce141</t>
        </is>
      </c>
      <c r="L112" s="5" t="inlineStr">
        <is>
          <t>01a1212c-8baa-744f-813f-f3d3bee6fb69</t>
        </is>
      </c>
      <c r="M112" s="6" t="n">
        <v>43282</v>
      </c>
    </row>
    <row r="113">
      <c r="A113" s="5" t="inlineStr">
        <is>
          <t>01a1212c-8c3d-70bd-be8d-2d95e449ce94</t>
        </is>
      </c>
      <c r="D113" s="5" t="inlineStr">
        <is>
          <t>01a1212c-4b57-70cf-80fd-c2192cb3bf81</t>
        </is>
      </c>
      <c r="E113" s="4" t="n">
        <v>46304.62419034078</v>
      </c>
      <c r="F113" s="4" t="n">
        <v>46304.62419034086</v>
      </c>
      <c r="G113" t="b">
        <v>1</v>
      </c>
      <c r="I113" t="inlineStr">
        <is>
          <t>AUD</t>
        </is>
      </c>
      <c r="J113" t="n">
        <v>1.4555</v>
      </c>
      <c r="K113" s="5" t="inlineStr">
        <is>
          <t>01a1212c-6a83-75e3-a976-646e71a73596</t>
        </is>
      </c>
      <c r="L113" s="5" t="inlineStr">
        <is>
          <t>01a1212c-8baa-744f-813f-f3d3bee6fb69</t>
        </is>
      </c>
      <c r="M113" s="6" t="n">
        <v>43282</v>
      </c>
    </row>
    <row r="114">
      <c r="A114" s="5" t="inlineStr">
        <is>
          <t>01a1212c-8c43-7245-8820-44bef0943300</t>
        </is>
      </c>
      <c r="D114" s="5" t="inlineStr">
        <is>
          <t>01a1212c-4b57-70cf-80fd-c2192cb3bf81</t>
        </is>
      </c>
      <c r="E114" s="4" t="n">
        <v>46304.62419040666</v>
      </c>
      <c r="F114" s="4" t="n">
        <v>46304.62419040672</v>
      </c>
      <c r="G114" t="b">
        <v>1</v>
      </c>
      <c r="I114" t="inlineStr">
        <is>
          <t>AUD</t>
        </is>
      </c>
      <c r="J114" t="n">
        <v>1.4555</v>
      </c>
      <c r="K114" s="5" t="inlineStr">
        <is>
          <t>01a1212c-6c5e-707b-87c6-5fa973c4227c</t>
        </is>
      </c>
      <c r="L114" s="5" t="inlineStr">
        <is>
          <t>01a1212c-8baa-744f-813f-f3d3bee6fb69</t>
        </is>
      </c>
      <c r="M114" s="6" t="n">
        <v>43282</v>
      </c>
    </row>
    <row r="115">
      <c r="A115" s="5" t="inlineStr">
        <is>
          <t>01a1212c-8c48-7579-8583-a642716e7ba1</t>
        </is>
      </c>
      <c r="D115" s="5" t="inlineStr">
        <is>
          <t>01a1212c-4b57-70cf-80fd-c2192cb3bf81</t>
        </is>
      </c>
      <c r="E115" s="4" t="n">
        <v>46304.62419047133</v>
      </c>
      <c r="F115" s="4" t="n">
        <v>46304.6241904714</v>
      </c>
      <c r="G115" t="b">
        <v>1</v>
      </c>
      <c r="I115" t="inlineStr">
        <is>
          <t>AUD</t>
        </is>
      </c>
      <c r="J115" t="n">
        <v>1.5271</v>
      </c>
      <c r="K115" s="5" t="inlineStr">
        <is>
          <t>01a1212c-6d8a-7538-8ed2-1bed262cc3a3</t>
        </is>
      </c>
      <c r="L115" s="5" t="inlineStr">
        <is>
          <t>01a1212c-8baa-744f-813f-f3d3bee6fb69</t>
        </is>
      </c>
      <c r="M115" s="6" t="n">
        <v>43282</v>
      </c>
    </row>
    <row r="116">
      <c r="A116" s="5" t="inlineStr">
        <is>
          <t>01a1212c-8c4e-704b-a8b1-83c13259fcf9</t>
        </is>
      </c>
      <c r="D116" s="5" t="inlineStr">
        <is>
          <t>01a1212c-4b57-70cf-80fd-c2192cb3bf81</t>
        </is>
      </c>
      <c r="E116" s="4" t="n">
        <v>46304.62419053845</v>
      </c>
      <c r="F116" s="4" t="n">
        <v>46304.62419053853</v>
      </c>
      <c r="G116" t="b">
        <v>1</v>
      </c>
      <c r="I116" t="inlineStr">
        <is>
          <t>AUD</t>
        </is>
      </c>
      <c r="J116" t="n">
        <v>1.6011</v>
      </c>
      <c r="K116" s="5" t="inlineStr">
        <is>
          <t>01a1212c-6896-70d6-844d-33deb9ce2d14</t>
        </is>
      </c>
      <c r="L116" s="5" t="inlineStr">
        <is>
          <t>01a1212c-8baa-744f-813f-f3d3bee6fb69</t>
        </is>
      </c>
      <c r="M116" s="6" t="n">
        <v>43282</v>
      </c>
    </row>
    <row r="117">
      <c r="A117" s="5" t="inlineStr">
        <is>
          <t>01a1212c-8c54-7531-803f-2ab758340e09</t>
        </is>
      </c>
      <c r="D117" s="5" t="inlineStr">
        <is>
          <t>01a1212c-4b57-70cf-80fd-c2192cb3bf81</t>
        </is>
      </c>
      <c r="E117" s="4" t="n">
        <v>46304.62419060538</v>
      </c>
      <c r="F117" s="4" t="n">
        <v>46304.62419060544</v>
      </c>
      <c r="G117" t="b">
        <v>1</v>
      </c>
      <c r="I117" t="inlineStr">
        <is>
          <t>AUD</t>
        </is>
      </c>
      <c r="J117" t="n">
        <v>1.6011</v>
      </c>
      <c r="K117" s="5" t="inlineStr">
        <is>
          <t>01a1212c-6d0a-76f3-b162-b89428bc8b86</t>
        </is>
      </c>
      <c r="L117" s="5" t="inlineStr">
        <is>
          <t>01a1212c-8baa-744f-813f-f3d3bee6fb69</t>
        </is>
      </c>
      <c r="M117" s="6" t="n">
        <v>43282</v>
      </c>
    </row>
    <row r="118">
      <c r="A118" s="5" t="inlineStr">
        <is>
          <t>01a1212c-8c5a-7284-bea7-5594aa6b8eba</t>
        </is>
      </c>
      <c r="D118" s="5" t="inlineStr">
        <is>
          <t>01a1212c-4b57-70cf-80fd-c2192cb3bf81</t>
        </is>
      </c>
      <c r="E118" s="4" t="n">
        <v>46304.62419067389</v>
      </c>
      <c r="F118" s="4" t="n">
        <v>46304.62419067396</v>
      </c>
      <c r="G118" t="b">
        <v>1</v>
      </c>
      <c r="I118" t="inlineStr">
        <is>
          <t>AUD</t>
        </is>
      </c>
      <c r="J118" t="n">
        <v>1.7466</v>
      </c>
      <c r="K118" s="5" t="inlineStr">
        <is>
          <t>01a1212c-6b44-7386-8841-c9a13ab8602b</t>
        </is>
      </c>
      <c r="L118" s="5" t="inlineStr">
        <is>
          <t>01a1212c-8baa-744f-813f-f3d3bee6fb69</t>
        </is>
      </c>
      <c r="M118" s="6" t="n">
        <v>43282</v>
      </c>
    </row>
    <row r="119">
      <c r="A119" s="5" t="inlineStr">
        <is>
          <t>01a1212c-8c60-7356-a204-457141c8c5ba</t>
        </is>
      </c>
      <c r="D119" s="5" t="inlineStr">
        <is>
          <t>01a1212c-4b57-70cf-80fd-c2192cb3bf81</t>
        </is>
      </c>
      <c r="E119" s="4" t="n">
        <v>46304.62419075249</v>
      </c>
      <c r="F119" s="4" t="n">
        <v>46304.62419075255</v>
      </c>
      <c r="G119" t="b">
        <v>1</v>
      </c>
      <c r="I119" t="inlineStr">
        <is>
          <t>AUD</t>
        </is>
      </c>
      <c r="J119" t="n">
        <v>1.8194</v>
      </c>
      <c r="K119" s="5" t="inlineStr">
        <is>
          <t>01a1212c-6a2e-75f8-b19d-5dc788e0d375</t>
        </is>
      </c>
      <c r="L119" s="5" t="inlineStr">
        <is>
          <t>01a1212c-8baa-744f-813f-f3d3bee6fb69</t>
        </is>
      </c>
      <c r="M119" s="6" t="n">
        <v>43282</v>
      </c>
    </row>
    <row r="120">
      <c r="A120" s="5" t="inlineStr">
        <is>
          <t>01a1212c-8c66-77a5-9cae-66b2b64811b8</t>
        </is>
      </c>
      <c r="D120" s="5" t="inlineStr">
        <is>
          <t>01a1212c-4b57-70cf-80fd-c2192cb3bf81</t>
        </is>
      </c>
      <c r="E120" s="4" t="n">
        <v>46304.62419082255</v>
      </c>
      <c r="F120" s="4" t="n">
        <v>46304.62419082261</v>
      </c>
      <c r="G120" t="b">
        <v>1</v>
      </c>
      <c r="I120" t="inlineStr">
        <is>
          <t>AUD</t>
        </is>
      </c>
      <c r="J120" t="n">
        <v>1.965</v>
      </c>
      <c r="K120" s="5" t="inlineStr">
        <is>
          <t>01a1212c-68f0-738d-8d20-79a1c973b960</t>
        </is>
      </c>
      <c r="L120" s="5" t="inlineStr">
        <is>
          <t>01a1212c-8baa-744f-813f-f3d3bee6fb69</t>
        </is>
      </c>
      <c r="M120" s="6" t="n">
        <v>43282</v>
      </c>
    </row>
    <row r="121">
      <c r="A121" s="5" t="inlineStr">
        <is>
          <t>01a1212c-8c6c-73bf-b781-5a8d62323ad8</t>
        </is>
      </c>
      <c r="D121" s="5" t="inlineStr">
        <is>
          <t>01a1212c-4b57-70cf-80fd-c2192cb3bf81</t>
        </is>
      </c>
      <c r="E121" s="4" t="n">
        <v>46304.62419089121</v>
      </c>
      <c r="F121" s="4" t="n">
        <v>46304.6241908913</v>
      </c>
      <c r="G121" t="b">
        <v>1</v>
      </c>
      <c r="I121" t="inlineStr">
        <is>
          <t>AUD</t>
        </is>
      </c>
      <c r="J121" t="n">
        <v>1.965</v>
      </c>
      <c r="K121" s="5" t="inlineStr">
        <is>
          <t>01a1212c-6b1b-73e9-a54d-e62e154ff71c</t>
        </is>
      </c>
      <c r="L121" s="5" t="inlineStr">
        <is>
          <t>01a1212c-8baa-744f-813f-f3d3bee6fb69</t>
        </is>
      </c>
      <c r="M121" s="6" t="n">
        <v>43282</v>
      </c>
    </row>
    <row r="122">
      <c r="A122" s="5" t="inlineStr">
        <is>
          <t>01a1212c-8c72-7132-94bb-167c5e73b471</t>
        </is>
      </c>
      <c r="D122" s="5" t="inlineStr">
        <is>
          <t>01a1212c-4b57-70cf-80fd-c2192cb3bf81</t>
        </is>
      </c>
      <c r="E122" s="4" t="n">
        <v>46304.62419095723</v>
      </c>
      <c r="F122" s="4" t="n">
        <v>46304.6241909573</v>
      </c>
      <c r="G122" t="b">
        <v>1</v>
      </c>
      <c r="I122" t="inlineStr">
        <is>
          <t>AUD</t>
        </is>
      </c>
      <c r="J122" t="n">
        <v>2.0377</v>
      </c>
      <c r="K122" s="5" t="inlineStr">
        <is>
          <t>01a1212c-6c1d-7297-ba65-fe335d60502e</t>
        </is>
      </c>
      <c r="L122" s="5" t="inlineStr">
        <is>
          <t>01a1212c-8baa-744f-813f-f3d3bee6fb69</t>
        </is>
      </c>
      <c r="M122" s="6" t="n">
        <v>43282</v>
      </c>
    </row>
    <row r="123">
      <c r="A123" s="5" t="inlineStr">
        <is>
          <t>01a1212c-8c78-73e1-b50a-e5fef04c8f0c</t>
        </is>
      </c>
      <c r="D123" s="5" t="inlineStr">
        <is>
          <t>01a1212c-4b57-70cf-80fd-c2192cb3bf81</t>
        </is>
      </c>
      <c r="E123" s="4" t="n">
        <v>46304.62419102303</v>
      </c>
      <c r="F123" s="4" t="n">
        <v>46304.6241910231</v>
      </c>
      <c r="G123" t="b">
        <v>1</v>
      </c>
      <c r="I123" t="inlineStr">
        <is>
          <t>AUD</t>
        </is>
      </c>
      <c r="J123" t="n">
        <v>2.0377</v>
      </c>
      <c r="K123" s="5" t="inlineStr">
        <is>
          <t>01a1212c-6cb3-74c4-b753-3ced98bb4fa1</t>
        </is>
      </c>
      <c r="L123" s="5" t="inlineStr">
        <is>
          <t>01a1212c-8baa-744f-813f-f3d3bee6fb69</t>
        </is>
      </c>
      <c r="M123" s="6" t="n">
        <v>43282</v>
      </c>
    </row>
    <row r="124">
      <c r="A124" s="5" t="inlineStr">
        <is>
          <t>01a1212c-8c7e-77f8-a5a6-9031a253fd07</t>
        </is>
      </c>
      <c r="D124" s="5" t="inlineStr">
        <is>
          <t>01a1212c-4b57-70cf-80fd-c2192cb3bf81</t>
        </is>
      </c>
      <c r="E124" s="4" t="n">
        <v>46304.62419109442</v>
      </c>
      <c r="F124" s="4" t="n">
        <v>46304.62419109449</v>
      </c>
      <c r="G124" t="b">
        <v>1</v>
      </c>
      <c r="I124" t="inlineStr">
        <is>
          <t>AUD</t>
        </is>
      </c>
      <c r="J124" t="n">
        <v>2.1047</v>
      </c>
      <c r="K124" s="5" t="inlineStr">
        <is>
          <t>01a1212c-6d61-7172-937f-90562bb7a3f9</t>
        </is>
      </c>
      <c r="L124" s="5" t="inlineStr">
        <is>
          <t>01a1212c-8baa-744f-813f-f3d3bee6fb69</t>
        </is>
      </c>
      <c r="M124" s="6" t="n">
        <v>43282</v>
      </c>
    </row>
    <row r="125">
      <c r="A125" s="5" t="inlineStr">
        <is>
          <t>01a1212c-8c84-73d9-9045-e624ec56c628</t>
        </is>
      </c>
      <c r="D125" s="5" t="inlineStr">
        <is>
          <t>01a1212c-4b57-70cf-80fd-c2192cb3bf81</t>
        </is>
      </c>
      <c r="E125" s="4" t="n">
        <v>46304.62419116286</v>
      </c>
      <c r="F125" s="4" t="n">
        <v>46304.62419116293</v>
      </c>
      <c r="G125" t="b">
        <v>1</v>
      </c>
      <c r="I125" t="inlineStr">
        <is>
          <t>AUD</t>
        </is>
      </c>
      <c r="J125" t="n">
        <v>2.1833</v>
      </c>
      <c r="K125" s="5" t="inlineStr">
        <is>
          <t>01a1212c-696e-7146-9e01-741d10f2bed2</t>
        </is>
      </c>
      <c r="L125" s="5" t="inlineStr">
        <is>
          <t>01a1212c-8baa-744f-813f-f3d3bee6fb69</t>
        </is>
      </c>
      <c r="M125" s="6" t="n">
        <v>43282</v>
      </c>
    </row>
    <row r="126">
      <c r="A126" s="5" t="inlineStr">
        <is>
          <t>01a1212c-8c8a-7329-82e4-830472d59685</t>
        </is>
      </c>
      <c r="D126" s="5" t="inlineStr">
        <is>
          <t>01a1212c-4b57-70cf-80fd-c2192cb3bf81</t>
        </is>
      </c>
      <c r="E126" s="4" t="n">
        <v>46304.62419123013</v>
      </c>
      <c r="F126" s="4" t="n">
        <v>46304.62419123021</v>
      </c>
      <c r="G126" t="b">
        <v>1</v>
      </c>
      <c r="I126" t="inlineStr">
        <is>
          <t>AUD</t>
        </is>
      </c>
      <c r="J126" t="n">
        <v>2.1833</v>
      </c>
      <c r="K126" s="5" t="inlineStr">
        <is>
          <t>01a1212c-69ed-703d-98c7-86793a7bce47</t>
        </is>
      </c>
      <c r="L126" s="5" t="inlineStr">
        <is>
          <t>01a1212c-8baa-744f-813f-f3d3bee6fb69</t>
        </is>
      </c>
      <c r="M126" s="6" t="n">
        <v>43282</v>
      </c>
    </row>
    <row r="127">
      <c r="A127" s="5" t="inlineStr">
        <is>
          <t>01a1212c-8c90-7181-8824-5fc4e0d40331</t>
        </is>
      </c>
      <c r="D127" s="5" t="inlineStr">
        <is>
          <t>01a1212c-4b57-70cf-80fd-c2192cb3bf81</t>
        </is>
      </c>
      <c r="E127" s="4" t="n">
        <v>46304.62419130434</v>
      </c>
      <c r="F127" s="4" t="n">
        <v>46304.62419130442</v>
      </c>
      <c r="G127" t="b">
        <v>1</v>
      </c>
      <c r="I127" t="inlineStr">
        <is>
          <t>AUD</t>
        </is>
      </c>
      <c r="J127" t="n">
        <v>2.2561</v>
      </c>
      <c r="K127" s="5" t="inlineStr">
        <is>
          <t>01a1212c-6ac3-7045-85af-681a40396939</t>
        </is>
      </c>
      <c r="L127" s="5" t="inlineStr">
        <is>
          <t>01a1212c-8baa-744f-813f-f3d3bee6fb69</t>
        </is>
      </c>
      <c r="M127" s="6" t="n">
        <v>43282</v>
      </c>
    </row>
    <row r="128">
      <c r="A128" s="5" t="inlineStr">
        <is>
          <t>01a1212c-8c96-7587-8890-fde4c10f4616</t>
        </is>
      </c>
      <c r="D128" s="5" t="inlineStr">
        <is>
          <t>01a1212c-4b57-70cf-80fd-c2192cb3bf81</t>
        </is>
      </c>
      <c r="E128" s="4" t="n">
        <v>46304.62419137508</v>
      </c>
      <c r="F128" s="4" t="n">
        <v>46304.62419137517</v>
      </c>
      <c r="G128" t="b">
        <v>1</v>
      </c>
      <c r="I128" t="inlineStr">
        <is>
          <t>AUD</t>
        </is>
      </c>
      <c r="J128" t="n">
        <v>2.3288</v>
      </c>
      <c r="K128" s="5" t="inlineStr">
        <is>
          <t>01a1212c-692f-76c3-8991-b28be5dbbe78</t>
        </is>
      </c>
      <c r="L128" s="5" t="inlineStr">
        <is>
          <t>01a1212c-8baa-744f-813f-f3d3bee6fb69</t>
        </is>
      </c>
      <c r="M128" s="6" t="n">
        <v>43282</v>
      </c>
    </row>
    <row r="129">
      <c r="A129" s="5" t="inlineStr">
        <is>
          <t>01a1212c-8c9c-73ff-a763-526f8ca0040c</t>
        </is>
      </c>
      <c r="D129" s="5" t="inlineStr">
        <is>
          <t>01a1212c-4b57-70cf-80fd-c2192cb3bf81</t>
        </is>
      </c>
      <c r="E129" s="4" t="n">
        <v>46304.62419144648</v>
      </c>
      <c r="F129" s="4" t="n">
        <v>46304.62419144657</v>
      </c>
      <c r="G129" t="b">
        <v>1</v>
      </c>
      <c r="I129" t="inlineStr">
        <is>
          <t>AUD</t>
        </is>
      </c>
      <c r="J129" t="n">
        <v>2.6928</v>
      </c>
      <c r="K129" s="5" t="inlineStr">
        <is>
          <t>01a1212c-68c3-7400-8c25-aa53cd5ab679</t>
        </is>
      </c>
      <c r="L129" s="5" t="inlineStr">
        <is>
          <t>01a1212c-8baa-744f-813f-f3d3bee6fb69</t>
        </is>
      </c>
      <c r="M129" s="6" t="n">
        <v>43282</v>
      </c>
    </row>
    <row r="130">
      <c r="A130" s="5" t="inlineStr">
        <is>
          <t>01a1212c-8e00-7094-927f-17c12706099d</t>
        </is>
      </c>
      <c r="D130" s="5" t="inlineStr">
        <is>
          <t>01a1212c-4b57-70cf-80fd-c2192cb3bf81</t>
        </is>
      </c>
      <c r="E130" s="4" t="n">
        <v>46304.62419555985</v>
      </c>
      <c r="F130" s="4" t="n">
        <v>46304.62419555994</v>
      </c>
      <c r="G130" t="b">
        <v>1</v>
      </c>
      <c r="I130" t="inlineStr">
        <is>
          <t>AUD</t>
        </is>
      </c>
      <c r="J130" t="n">
        <v>0.2478</v>
      </c>
      <c r="K130" s="5" t="inlineStr">
        <is>
          <t>01a1212c-7327-74d8-96b9-c942c63d839c</t>
        </is>
      </c>
      <c r="L130" s="5" t="inlineStr">
        <is>
          <t>01a1212c-8dfd-70da-97a5-30b2c43d79af</t>
        </is>
      </c>
      <c r="M130" s="6" t="n">
        <v>43647</v>
      </c>
    </row>
    <row r="131">
      <c r="A131" s="5" t="inlineStr">
        <is>
          <t>01a1212c-8e06-76e0-aa53-7b54d670930e</t>
        </is>
      </c>
      <c r="D131" s="5" t="inlineStr">
        <is>
          <t>01a1212c-4b57-70cf-80fd-c2192cb3bf81</t>
        </is>
      </c>
      <c r="E131" s="4" t="n">
        <v>46304.62419563405</v>
      </c>
      <c r="F131" s="4" t="n">
        <v>46304.62419563412</v>
      </c>
      <c r="G131" t="b">
        <v>1</v>
      </c>
      <c r="I131" t="inlineStr">
        <is>
          <t>AUD</t>
        </is>
      </c>
      <c r="J131" t="n">
        <v>0.414</v>
      </c>
      <c r="K131" s="5" t="inlineStr">
        <is>
          <t>01a1212c-72a3-74de-af7e-8c21374ccb8d</t>
        </is>
      </c>
      <c r="L131" s="5" t="inlineStr">
        <is>
          <t>01a1212c-8dfd-70da-97a5-30b2c43d79af</t>
        </is>
      </c>
      <c r="M131" s="6" t="n">
        <v>43647</v>
      </c>
    </row>
    <row r="132">
      <c r="A132" s="5" t="inlineStr">
        <is>
          <t>01a1212c-8e0c-70aa-8133-788bbb083caa</t>
        </is>
      </c>
      <c r="D132" s="5" t="inlineStr">
        <is>
          <t>01a1212c-4b57-70cf-80fd-c2192cb3bf81</t>
        </is>
      </c>
      <c r="E132" s="4" t="n">
        <v>46304.6241957008</v>
      </c>
      <c r="F132" s="4" t="n">
        <v>46304.62419570087</v>
      </c>
      <c r="G132" t="b">
        <v>1</v>
      </c>
      <c r="I132" t="inlineStr">
        <is>
          <t>AUD</t>
        </is>
      </c>
      <c r="J132" t="n">
        <v>0.4955</v>
      </c>
      <c r="K132" s="5" t="inlineStr">
        <is>
          <t>01a1212c-72fa-746a-b6d8-923ee91edd31</t>
        </is>
      </c>
      <c r="L132" s="5" t="inlineStr">
        <is>
          <t>01a1212c-8dfd-70da-97a5-30b2c43d79af</t>
        </is>
      </c>
      <c r="M132" s="6" t="n">
        <v>43647</v>
      </c>
    </row>
    <row r="133">
      <c r="A133" s="5" t="inlineStr">
        <is>
          <t>01a1212c-8e13-7606-875a-7247ac3afe75</t>
        </is>
      </c>
      <c r="D133" s="5" t="inlineStr">
        <is>
          <t>01a1212c-4b57-70cf-80fd-c2192cb3bf81</t>
        </is>
      </c>
      <c r="E133" s="4" t="n">
        <v>46304.62419578251</v>
      </c>
      <c r="F133" s="4" t="n">
        <v>46304.62419578257</v>
      </c>
      <c r="G133" t="b">
        <v>1</v>
      </c>
      <c r="I133" t="inlineStr">
        <is>
          <t>AUD</t>
        </is>
      </c>
      <c r="J133" t="n">
        <v>0.6204</v>
      </c>
      <c r="K133" s="5" t="inlineStr">
        <is>
          <t>01a1212c-7264-75a0-a547-f07a5e635bc6</t>
        </is>
      </c>
      <c r="L133" s="5" t="inlineStr">
        <is>
          <t>01a1212c-8dfd-70da-97a5-30b2c43d79af</t>
        </is>
      </c>
      <c r="M133" s="6" t="n">
        <v>43647</v>
      </c>
    </row>
    <row r="134">
      <c r="A134" s="5" t="inlineStr">
        <is>
          <t>01a1212c-8e19-76db-aefe-7c1b87c3ea00</t>
        </is>
      </c>
      <c r="D134" s="5" t="inlineStr">
        <is>
          <t>01a1212c-4b57-70cf-80fd-c2192cb3bf81</t>
        </is>
      </c>
      <c r="E134" s="4" t="n">
        <v>46304.62419585056</v>
      </c>
      <c r="F134" s="4" t="n">
        <v>46304.62419585062</v>
      </c>
      <c r="G134" t="b">
        <v>1</v>
      </c>
      <c r="I134" t="inlineStr">
        <is>
          <t>AUD</t>
        </is>
      </c>
      <c r="J134" t="n">
        <v>0.7728</v>
      </c>
      <c r="K134" s="5" t="inlineStr">
        <is>
          <t>01a1212c-721a-74d7-b443-6cf4d510dcad</t>
        </is>
      </c>
      <c r="L134" s="5" t="inlineStr">
        <is>
          <t>01a1212c-8dfd-70da-97a5-30b2c43d79af</t>
        </is>
      </c>
      <c r="M134" s="6" t="n">
        <v>43647</v>
      </c>
    </row>
    <row r="135">
      <c r="A135" s="5" t="inlineStr">
        <is>
          <t>01a1212c-8e1f-7500-8344-1d929d12a458</t>
        </is>
      </c>
      <c r="D135" s="5" t="inlineStr">
        <is>
          <t>01a1212c-4b57-70cf-80fd-c2192cb3bf81</t>
        </is>
      </c>
      <c r="E135" s="4" t="n">
        <v>46304.62419592057</v>
      </c>
      <c r="F135" s="4" t="n">
        <v>46304.62419592066</v>
      </c>
      <c r="G135" t="b">
        <v>1</v>
      </c>
      <c r="I135" t="inlineStr">
        <is>
          <t>AUD</t>
        </is>
      </c>
      <c r="J135" t="n">
        <v>1.2512</v>
      </c>
      <c r="K135" s="5" t="inlineStr">
        <is>
          <t>01a1212c-7185-751c-93a4-e2a05054ca75</t>
        </is>
      </c>
      <c r="L135" s="5" t="inlineStr">
        <is>
          <t>01a1212c-8dfd-70da-97a5-30b2c43d79af</t>
        </is>
      </c>
      <c r="M135" s="6" t="n">
        <v>43647</v>
      </c>
    </row>
    <row r="136">
      <c r="A136" s="5" t="inlineStr">
        <is>
          <t>01a1212c-8e25-719c-bac0-3bcf11f3926c</t>
        </is>
      </c>
      <c r="D136" s="5" t="inlineStr">
        <is>
          <t>01a1212c-4b57-70cf-80fd-c2192cb3bf81</t>
        </is>
      </c>
      <c r="E136" s="4" t="n">
        <v>46304.62419598635</v>
      </c>
      <c r="F136" s="4" t="n">
        <v>46304.62419598642</v>
      </c>
      <c r="G136" t="b">
        <v>1</v>
      </c>
      <c r="I136" t="inlineStr">
        <is>
          <t>AUD</t>
        </is>
      </c>
      <c r="J136" t="n">
        <v>1.6285</v>
      </c>
      <c r="K136" s="5" t="inlineStr">
        <is>
          <t>01a1212c-71d9-7647-901b-c597ca2d48c9</t>
        </is>
      </c>
      <c r="L136" s="5" t="inlineStr">
        <is>
          <t>01a1212c-8dfd-70da-97a5-30b2c43d79af</t>
        </is>
      </c>
      <c r="M136" s="6" t="n">
        <v>43647</v>
      </c>
    </row>
    <row r="137">
      <c r="A137" s="5" t="inlineStr">
        <is>
          <t>01a1212c-8e2a-75c2-9810-56db21c72ddb</t>
        </is>
      </c>
      <c r="D137" s="5" t="inlineStr">
        <is>
          <t>01a1212c-4b57-70cf-80fd-c2192cb3bf81</t>
        </is>
      </c>
      <c r="E137" s="4" t="n">
        <v>46304.62419605243</v>
      </c>
      <c r="F137" s="4" t="n">
        <v>46304.6241960525</v>
      </c>
      <c r="G137" t="b">
        <v>1</v>
      </c>
      <c r="I137" t="inlineStr">
        <is>
          <t>AUD</t>
        </is>
      </c>
      <c r="J137" t="n">
        <v>1.7941</v>
      </c>
      <c r="K137" s="5" t="inlineStr">
        <is>
          <t>01a1212c-7142-74d1-a420-87616f78ba3b</t>
        </is>
      </c>
      <c r="L137" s="5" t="inlineStr">
        <is>
          <t>01a1212c-8dfd-70da-97a5-30b2c43d79af</t>
        </is>
      </c>
      <c r="M137" s="6" t="n">
        <v>43647</v>
      </c>
    </row>
    <row r="138">
      <c r="A138" s="5" t="inlineStr">
        <is>
          <t>01a1212c-8e30-7459-8688-7430a01187de</t>
        </is>
      </c>
      <c r="D138" s="5" t="inlineStr">
        <is>
          <t>01a1212c-4b57-70cf-80fd-c2192cb3bf81</t>
        </is>
      </c>
      <c r="E138" s="4" t="n">
        <v>46304.62419612258</v>
      </c>
      <c r="F138" s="4" t="n">
        <v>46304.62419612264</v>
      </c>
      <c r="G138" t="b">
        <v>1</v>
      </c>
      <c r="I138" t="inlineStr">
        <is>
          <t>AUD</t>
        </is>
      </c>
      <c r="J138" t="n">
        <v>1.9242</v>
      </c>
      <c r="K138" s="5" t="inlineStr">
        <is>
          <t>01a1212c-6d20-73ba-8f87-9892e2e99aec</t>
        </is>
      </c>
      <c r="L138" s="5" t="inlineStr">
        <is>
          <t>01a1212c-8dfd-70da-97a5-30b2c43d79af</t>
        </is>
      </c>
      <c r="M138" s="6" t="n">
        <v>43647</v>
      </c>
    </row>
    <row r="139">
      <c r="A139" s="5" t="inlineStr">
        <is>
          <t>01a1212c-8e36-724c-bd3a-cfe712d18f57</t>
        </is>
      </c>
      <c r="D139" s="5" t="inlineStr">
        <is>
          <t>01a1212c-4b57-70cf-80fd-c2192cb3bf81</t>
        </is>
      </c>
      <c r="E139" s="4" t="n">
        <v>46304.6241961891</v>
      </c>
      <c r="F139" s="4" t="n">
        <v>46304.62419618916</v>
      </c>
      <c r="G139" t="b">
        <v>1</v>
      </c>
      <c r="I139" t="inlineStr">
        <is>
          <t>AUD</t>
        </is>
      </c>
      <c r="J139" t="n">
        <v>1.9242</v>
      </c>
      <c r="K139" s="5" t="inlineStr">
        <is>
          <t>01a1212c-6f7f-718f-b160-46cb1bfec403</t>
        </is>
      </c>
      <c r="L139" s="5" t="inlineStr">
        <is>
          <t>01a1212c-8dfd-70da-97a5-30b2c43d79af</t>
        </is>
      </c>
      <c r="M139" s="6" t="n">
        <v>43647</v>
      </c>
    </row>
    <row r="140">
      <c r="A140" s="5" t="inlineStr">
        <is>
          <t>01a1212c-8e3c-7531-b66e-cb9fd39ec83b</t>
        </is>
      </c>
      <c r="D140" s="5" t="inlineStr">
        <is>
          <t>01a1212c-4b57-70cf-80fd-c2192cb3bf81</t>
        </is>
      </c>
      <c r="E140" s="4" t="n">
        <v>46304.62419625551</v>
      </c>
      <c r="F140" s="4" t="n">
        <v>46304.62419625558</v>
      </c>
      <c r="G140" t="b">
        <v>1</v>
      </c>
      <c r="I140" t="inlineStr">
        <is>
          <t>AUD</t>
        </is>
      </c>
      <c r="J140" t="n">
        <v>1.9242</v>
      </c>
      <c r="K140" s="5" t="inlineStr">
        <is>
          <t>01a1212c-6fc2-71f6-890f-f7e761000531</t>
        </is>
      </c>
      <c r="L140" s="5" t="inlineStr">
        <is>
          <t>01a1212c-8dfd-70da-97a5-30b2c43d79af</t>
        </is>
      </c>
      <c r="M140" s="6" t="n">
        <v>43647</v>
      </c>
    </row>
    <row r="141">
      <c r="A141" s="5" t="inlineStr">
        <is>
          <t>01a1212c-8e42-7196-8f63-db7f35af6469</t>
        </is>
      </c>
      <c r="D141" s="5" t="inlineStr">
        <is>
          <t>01a1212c-4b57-70cf-80fd-c2192cb3bf81</t>
        </is>
      </c>
      <c r="E141" s="4" t="n">
        <v>46304.62419632712</v>
      </c>
      <c r="F141" s="4" t="n">
        <v>46304.62419632719</v>
      </c>
      <c r="G141" t="b">
        <v>1</v>
      </c>
      <c r="I141" t="inlineStr">
        <is>
          <t>AUD</t>
        </is>
      </c>
      <c r="J141" t="n">
        <v>2.0799</v>
      </c>
      <c r="K141" s="5" t="inlineStr">
        <is>
          <t>01a1212c-71ae-7629-9101-f4aefddb3353</t>
        </is>
      </c>
      <c r="L141" s="5" t="inlineStr">
        <is>
          <t>01a1212c-8dfd-70da-97a5-30b2c43d79af</t>
        </is>
      </c>
      <c r="M141" s="6" t="n">
        <v>43647</v>
      </c>
    </row>
    <row r="142">
      <c r="A142" s="5" t="inlineStr">
        <is>
          <t>01a1212c-8e48-721e-8395-c16b8ca6bed6</t>
        </is>
      </c>
      <c r="D142" s="5" t="inlineStr">
        <is>
          <t>01a1212c-4b57-70cf-80fd-c2192cb3bf81</t>
        </is>
      </c>
      <c r="E142" s="4" t="n">
        <v>46304.62419639334</v>
      </c>
      <c r="F142" s="4" t="n">
        <v>46304.62419639342</v>
      </c>
      <c r="G142" t="b">
        <v>1</v>
      </c>
      <c r="I142" t="inlineStr">
        <is>
          <t>AUD</t>
        </is>
      </c>
      <c r="J142" t="n">
        <v>2.1647</v>
      </c>
      <c r="K142" s="5" t="inlineStr">
        <is>
          <t>01a1212c-6ebd-7084-8e12-1c2acb9ea8e3</t>
        </is>
      </c>
      <c r="L142" s="5" t="inlineStr">
        <is>
          <t>01a1212c-8dfd-70da-97a5-30b2c43d79af</t>
        </is>
      </c>
      <c r="M142" s="6" t="n">
        <v>43647</v>
      </c>
    </row>
    <row r="143">
      <c r="A143" s="5" t="inlineStr">
        <is>
          <t>01a1212c-8e4d-7397-90a6-9e63e3ad46d7</t>
        </is>
      </c>
      <c r="D143" s="5" t="inlineStr">
        <is>
          <t>01a1212c-4b57-70cf-80fd-c2192cb3bf81</t>
        </is>
      </c>
      <c r="E143" s="4" t="n">
        <v>46304.62419645653</v>
      </c>
      <c r="F143" s="4" t="n">
        <v>46304.6241964566</v>
      </c>
      <c r="G143" t="b">
        <v>1</v>
      </c>
      <c r="I143" t="inlineStr">
        <is>
          <t>AUD</t>
        </is>
      </c>
      <c r="J143" t="n">
        <v>2.3789</v>
      </c>
      <c r="K143" s="5" t="inlineStr">
        <is>
          <t>01a1212c-7066-75c9-8133-7c1e7c12164e</t>
        </is>
      </c>
      <c r="L143" s="5" t="inlineStr">
        <is>
          <t>01a1212c-8dfd-70da-97a5-30b2c43d79af</t>
        </is>
      </c>
      <c r="M143" s="6" t="n">
        <v>43647</v>
      </c>
    </row>
    <row r="144">
      <c r="A144" s="5" t="inlineStr">
        <is>
          <t>01a1212c-8e53-7430-bdee-9d97cd97af37</t>
        </is>
      </c>
      <c r="D144" s="5" t="inlineStr">
        <is>
          <t>01a1212c-4b57-70cf-80fd-c2192cb3bf81</t>
        </is>
      </c>
      <c r="E144" s="4" t="n">
        <v>46304.62419652502</v>
      </c>
      <c r="F144" s="4" t="n">
        <v>46304.62419652522</v>
      </c>
      <c r="G144" t="b">
        <v>1</v>
      </c>
      <c r="I144" t="inlineStr">
        <is>
          <t>AUD</t>
        </is>
      </c>
      <c r="J144" t="n">
        <v>2.4052</v>
      </c>
      <c r="K144" s="5" t="inlineStr">
        <is>
          <t>01a1212c-6db6-75c6-a15a-3893db0236e1</t>
        </is>
      </c>
      <c r="L144" s="5" t="inlineStr">
        <is>
          <t>01a1212c-8dfd-70da-97a5-30b2c43d79af</t>
        </is>
      </c>
      <c r="M144" s="6" t="n">
        <v>43647</v>
      </c>
    </row>
    <row r="145">
      <c r="A145" s="5" t="inlineStr">
        <is>
          <t>01a1212c-8e5a-731a-ba1b-1afe16c5eca5</t>
        </is>
      </c>
      <c r="D145" s="5" t="inlineStr">
        <is>
          <t>01a1212c-4b57-70cf-80fd-c2192cb3bf81</t>
        </is>
      </c>
      <c r="E145" s="4" t="n">
        <v>46304.62419660341</v>
      </c>
      <c r="F145" s="4" t="n">
        <v>46304.62419660349</v>
      </c>
      <c r="G145" t="b">
        <v>1</v>
      </c>
      <c r="I145" t="inlineStr">
        <is>
          <t>AUD</t>
        </is>
      </c>
      <c r="J145" t="n">
        <v>2.5886</v>
      </c>
      <c r="K145" s="5" t="inlineStr">
        <is>
          <t>01a1212c-7102-774f-b90a-23a16e3eac92</t>
        </is>
      </c>
      <c r="L145" s="5" t="inlineStr">
        <is>
          <t>01a1212c-8dfd-70da-97a5-30b2c43d79af</t>
        </is>
      </c>
      <c r="M145" s="6" t="n">
        <v>43647</v>
      </c>
    </row>
    <row r="146">
      <c r="A146" s="5" t="inlineStr">
        <is>
          <t>01a1212c-8e60-7153-a266-dc37e53da8e5</t>
        </is>
      </c>
      <c r="D146" s="5" t="inlineStr">
        <is>
          <t>01a1212c-4b57-70cf-80fd-c2192cb3bf81</t>
        </is>
      </c>
      <c r="E146" s="4" t="n">
        <v>46304.62419667203</v>
      </c>
      <c r="F146" s="4" t="n">
        <v>46304.62419667211</v>
      </c>
      <c r="G146" t="b">
        <v>1</v>
      </c>
      <c r="I146" t="inlineStr">
        <is>
          <t>AUD</t>
        </is>
      </c>
      <c r="J146" t="n">
        <v>2.8278</v>
      </c>
      <c r="K146" s="5" t="inlineStr">
        <is>
          <t>01a1212c-70d6-7608-9b7d-a9f3b20fcd42</t>
        </is>
      </c>
      <c r="L146" s="5" t="inlineStr">
        <is>
          <t>01a1212c-8dfd-70da-97a5-30b2c43d79af</t>
        </is>
      </c>
      <c r="M146" s="6" t="n">
        <v>43647</v>
      </c>
    </row>
    <row r="147">
      <c r="A147" s="5" t="inlineStr">
        <is>
          <t>01a1212c-8e66-73b6-894f-68ffa4289309</t>
        </is>
      </c>
      <c r="D147" s="5" t="inlineStr">
        <is>
          <t>01a1212c-4b57-70cf-80fd-c2192cb3bf81</t>
        </is>
      </c>
      <c r="E147" s="4" t="n">
        <v>46304.62419674762</v>
      </c>
      <c r="F147" s="4" t="n">
        <v>46304.6241967477</v>
      </c>
      <c r="G147" t="b">
        <v>1</v>
      </c>
      <c r="I147" t="inlineStr">
        <is>
          <t>AUD</t>
        </is>
      </c>
      <c r="J147" t="n">
        <v>2.8863</v>
      </c>
      <c r="K147" s="5" t="inlineStr">
        <is>
          <t>01a1212c-6e0b-74a6-b1c4-92fd51554f70</t>
        </is>
      </c>
      <c r="L147" s="5" t="inlineStr">
        <is>
          <t>01a1212c-8dfd-70da-97a5-30b2c43d79af</t>
        </is>
      </c>
      <c r="M147" s="6" t="n">
        <v>43647</v>
      </c>
    </row>
    <row r="148">
      <c r="A148" s="5" t="inlineStr">
        <is>
          <t>01a1212c-8e6c-76ad-be37-07ff2720d0e6</t>
        </is>
      </c>
      <c r="D148" s="5" t="inlineStr">
        <is>
          <t>01a1212c-4b57-70cf-80fd-c2192cb3bf81</t>
        </is>
      </c>
      <c r="E148" s="4" t="n">
        <v>46304.62419681515</v>
      </c>
      <c r="F148" s="4" t="n">
        <v>46304.62419681522</v>
      </c>
      <c r="G148" t="b">
        <v>1</v>
      </c>
      <c r="I148" t="inlineStr">
        <is>
          <t>AUD</t>
        </is>
      </c>
      <c r="J148" t="n">
        <v>3.1268</v>
      </c>
      <c r="K148" s="5" t="inlineStr">
        <is>
          <t>01a1212c-6d76-76a9-b3fa-2e49f1ec83bd</t>
        </is>
      </c>
      <c r="L148" s="5" t="inlineStr">
        <is>
          <t>01a1212c-8dfd-70da-97a5-30b2c43d79af</t>
        </is>
      </c>
      <c r="M148" s="6" t="n">
        <v>43647</v>
      </c>
    </row>
    <row r="149">
      <c r="A149" s="5" t="inlineStr">
        <is>
          <t>01a1212c-8e72-7188-b3d9-78fe6f7d4f22</t>
        </is>
      </c>
      <c r="D149" s="5" t="inlineStr">
        <is>
          <t>01a1212c-4b57-70cf-80fd-c2192cb3bf81</t>
        </is>
      </c>
      <c r="E149" s="4" t="n">
        <v>46304.62419688411</v>
      </c>
      <c r="F149" s="4" t="n">
        <v>46304.62419688418</v>
      </c>
      <c r="G149" t="b">
        <v>1</v>
      </c>
      <c r="I149" t="inlineStr">
        <is>
          <t>AUD</t>
        </is>
      </c>
      <c r="J149" t="n">
        <v>3.1268</v>
      </c>
      <c r="K149" s="5" t="inlineStr">
        <is>
          <t>01a1212c-6efd-73be-a0d7-c82e3f8af4ac</t>
        </is>
      </c>
      <c r="L149" s="5" t="inlineStr">
        <is>
          <t>01a1212c-8dfd-70da-97a5-30b2c43d79af</t>
        </is>
      </c>
      <c r="M149" s="6" t="n">
        <v>43647</v>
      </c>
    </row>
    <row r="150">
      <c r="A150" s="5" t="inlineStr">
        <is>
          <t>01a1212c-8e79-74d7-be15-c9d66e115c88</t>
        </is>
      </c>
      <c r="D150" s="5" t="inlineStr">
        <is>
          <t>01a1212c-4b57-70cf-80fd-c2192cb3bf81</t>
        </is>
      </c>
      <c r="E150" s="4" t="n">
        <v>46304.62419696249</v>
      </c>
      <c r="F150" s="4" t="n">
        <v>46304.62419696256</v>
      </c>
      <c r="G150" t="b">
        <v>1</v>
      </c>
      <c r="I150" t="inlineStr">
        <is>
          <t>AUD</t>
        </is>
      </c>
      <c r="J150" t="n">
        <v>3.3673</v>
      </c>
      <c r="K150" s="5" t="inlineStr">
        <is>
          <t>01a1212c-6f3f-76d2-bfcb-3c0b514d7327</t>
        </is>
      </c>
      <c r="L150" s="5" t="inlineStr">
        <is>
          <t>01a1212c-8dfd-70da-97a5-30b2c43d79af</t>
        </is>
      </c>
      <c r="M150" s="6" t="n">
        <v>43647</v>
      </c>
    </row>
    <row r="151">
      <c r="A151" s="5" t="inlineStr">
        <is>
          <t>01a1212c-8e7f-7079-b8fd-710ba8136769</t>
        </is>
      </c>
      <c r="D151" s="5" t="inlineStr">
        <is>
          <t>01a1212c-4b57-70cf-80fd-c2192cb3bf81</t>
        </is>
      </c>
      <c r="E151" s="4" t="n">
        <v>46304.62419702948</v>
      </c>
      <c r="F151" s="4" t="n">
        <v>46304.62419702955</v>
      </c>
      <c r="G151" t="b">
        <v>1</v>
      </c>
      <c r="I151" t="inlineStr">
        <is>
          <t>AUD</t>
        </is>
      </c>
      <c r="J151" t="n">
        <v>3.3673</v>
      </c>
      <c r="K151" s="5" t="inlineStr">
        <is>
          <t>01a1212c-6feb-74aa-bf31-ee2f8fd37754</t>
        </is>
      </c>
      <c r="L151" s="5" t="inlineStr">
        <is>
          <t>01a1212c-8dfd-70da-97a5-30b2c43d79af</t>
        </is>
      </c>
      <c r="M151" s="6" t="n">
        <v>43647</v>
      </c>
    </row>
    <row r="152">
      <c r="A152" s="5" t="inlineStr">
        <is>
          <t>01a1212c-8e85-73c7-8c32-06f36abf4d4f</t>
        </is>
      </c>
      <c r="D152" s="5" t="inlineStr">
        <is>
          <t>01a1212c-4b57-70cf-80fd-c2192cb3bf81</t>
        </is>
      </c>
      <c r="E152" s="4" t="n">
        <v>46304.6241970987</v>
      </c>
      <c r="F152" s="4" t="n">
        <v>46304.62419709876</v>
      </c>
      <c r="G152" t="b">
        <v>1</v>
      </c>
      <c r="I152" t="inlineStr">
        <is>
          <t>AUD</t>
        </is>
      </c>
      <c r="J152" t="n">
        <v>3.3673</v>
      </c>
      <c r="K152" s="5" t="inlineStr">
        <is>
          <t>01a1212c-7028-718e-b2ce-9f6f2a580d3c</t>
        </is>
      </c>
      <c r="L152" s="5" t="inlineStr">
        <is>
          <t>01a1212c-8dfd-70da-97a5-30b2c43d79af</t>
        </is>
      </c>
      <c r="M152" s="6" t="n">
        <v>43647</v>
      </c>
    </row>
    <row r="153">
      <c r="A153" s="5" t="inlineStr">
        <is>
          <t>01a1212c-8e8b-73c2-96b3-79b45c8d549b</t>
        </is>
      </c>
      <c r="D153" s="5" t="inlineStr">
        <is>
          <t>01a1212c-4b57-70cf-80fd-c2192cb3bf81</t>
        </is>
      </c>
      <c r="E153" s="4" t="n">
        <v>46304.62419716569</v>
      </c>
      <c r="F153" s="4" t="n">
        <v>46304.62419716577</v>
      </c>
      <c r="G153" t="b">
        <v>1</v>
      </c>
      <c r="I153" t="inlineStr">
        <is>
          <t>AUD</t>
        </is>
      </c>
      <c r="J153" t="n">
        <v>3.6078</v>
      </c>
      <c r="K153" s="5" t="inlineStr">
        <is>
          <t>01a1212c-6e66-7046-82e1-a0df222b5449</t>
        </is>
      </c>
      <c r="L153" s="5" t="inlineStr">
        <is>
          <t>01a1212c-8dfd-70da-97a5-30b2c43d79af</t>
        </is>
      </c>
      <c r="M153" s="6" t="n">
        <v>43647</v>
      </c>
    </row>
    <row r="154">
      <c r="A154" s="5" t="inlineStr">
        <is>
          <t>01a1212c-8e90-70c0-96ba-4b832d37616c</t>
        </is>
      </c>
      <c r="D154" s="5" t="inlineStr">
        <is>
          <t>01a1212c-4b57-70cf-80fd-c2192cb3bf81</t>
        </is>
      </c>
      <c r="E154" s="4" t="n">
        <v>46304.62419723076</v>
      </c>
      <c r="F154" s="4" t="n">
        <v>46304.62419723083</v>
      </c>
      <c r="G154" t="b">
        <v>1</v>
      </c>
      <c r="I154" t="inlineStr">
        <is>
          <t>AUD</t>
        </is>
      </c>
      <c r="J154" t="n">
        <v>3.8484</v>
      </c>
      <c r="K154" s="5" t="inlineStr">
        <is>
          <t>01a1212c-6d4c-7285-883b-40007c7bea5b</t>
        </is>
      </c>
      <c r="L154" s="5" t="inlineStr">
        <is>
          <t>01a1212c-8dfd-70da-97a5-30b2c43d79af</t>
        </is>
      </c>
      <c r="M154" s="6" t="n">
        <v>43647</v>
      </c>
    </row>
    <row r="155">
      <c r="A155" s="5" t="inlineStr">
        <is>
          <t>01a1212c-8ef6-732e-9bf1-15fb484a4d43</t>
        </is>
      </c>
      <c r="D155" s="5" t="inlineStr">
        <is>
          <t>01a1212c-4b57-70cf-80fd-c2192cb3bf81</t>
        </is>
      </c>
      <c r="E155" s="4" t="n">
        <v>46304.62419841486</v>
      </c>
      <c r="F155" s="4" t="n">
        <v>46304.62419841495</v>
      </c>
      <c r="G155" t="b">
        <v>1</v>
      </c>
      <c r="I155" t="inlineStr">
        <is>
          <t>AUD</t>
        </is>
      </c>
      <c r="J155" t="n">
        <v>0.3156</v>
      </c>
      <c r="K155" s="5" t="inlineStr">
        <is>
          <t>01a1212c-733d-76f3-baba-b9d3c48b5990</t>
        </is>
      </c>
      <c r="L155" s="5" t="inlineStr">
        <is>
          <t>01a1212c-8ef2-7480-a493-3ead5a163b78</t>
        </is>
      </c>
      <c r="M155" s="6" t="n">
        <v>43647</v>
      </c>
    </row>
    <row r="156">
      <c r="A156" s="5" t="inlineStr">
        <is>
          <t>01a1212c-8efd-754c-9d7e-96cf13e1425b</t>
        </is>
      </c>
      <c r="D156" s="5" t="inlineStr">
        <is>
          <t>01a1212c-4b57-70cf-80fd-c2192cb3bf81</t>
        </is>
      </c>
      <c r="E156" s="4" t="n">
        <v>46304.62419848645</v>
      </c>
      <c r="F156" s="4" t="n">
        <v>46304.62419848652</v>
      </c>
      <c r="G156" t="b">
        <v>1</v>
      </c>
      <c r="I156" t="inlineStr">
        <is>
          <t>AUD</t>
        </is>
      </c>
      <c r="J156" t="n">
        <v>0.513</v>
      </c>
      <c r="K156" s="5" t="inlineStr">
        <is>
          <t>01a1212c-72ce-758f-a1e1-774c3e0a5001</t>
        </is>
      </c>
      <c r="L156" s="5" t="inlineStr">
        <is>
          <t>01a1212c-8ef2-7480-a493-3ead5a163b78</t>
        </is>
      </c>
      <c r="M156" s="6" t="n">
        <v>43647</v>
      </c>
    </row>
    <row r="157">
      <c r="A157" s="5" t="inlineStr">
        <is>
          <t>01a1212c-8f03-7733-a46c-2b63cc03ded7</t>
        </is>
      </c>
      <c r="D157" s="5" t="inlineStr">
        <is>
          <t>01a1212c-4b57-70cf-80fd-c2192cb3bf81</t>
        </is>
      </c>
      <c r="E157" s="4" t="n">
        <v>46304.62419856046</v>
      </c>
      <c r="F157" s="4" t="n">
        <v>46304.62419856053</v>
      </c>
      <c r="G157" t="b">
        <v>1</v>
      </c>
      <c r="I157" t="inlineStr">
        <is>
          <t>AUD</t>
        </is>
      </c>
      <c r="J157" t="n">
        <v>0.6011</v>
      </c>
      <c r="K157" s="5" t="inlineStr">
        <is>
          <t>01a1212c-730f-762d-91e1-ab5755aaf176</t>
        </is>
      </c>
      <c r="L157" s="5" t="inlineStr">
        <is>
          <t>01a1212c-8ef2-7480-a493-3ead5a163b78</t>
        </is>
      </c>
      <c r="M157" s="6" t="n">
        <v>43647</v>
      </c>
    </row>
    <row r="158">
      <c r="A158" s="5" t="inlineStr">
        <is>
          <t>01a1212c-8f09-7687-96c8-62fc168b3587</t>
        </is>
      </c>
      <c r="D158" s="5" t="inlineStr">
        <is>
          <t>01a1212c-4b57-70cf-80fd-c2192cb3bf81</t>
        </is>
      </c>
      <c r="E158" s="4" t="n">
        <v>46304.62419863135</v>
      </c>
      <c r="F158" s="4" t="n">
        <v>46304.62419863143</v>
      </c>
      <c r="G158" t="b">
        <v>1</v>
      </c>
      <c r="I158" t="inlineStr">
        <is>
          <t>AUD</t>
        </is>
      </c>
      <c r="J158" t="n">
        <v>0.7338</v>
      </c>
      <c r="K158" s="5" t="inlineStr">
        <is>
          <t>01a1212c-7278-7734-b344-b828fba43ba6</t>
        </is>
      </c>
      <c r="L158" s="5" t="inlineStr">
        <is>
          <t>01a1212c-8ef2-7480-a493-3ead5a163b78</t>
        </is>
      </c>
      <c r="M158" s="6" t="n">
        <v>43647</v>
      </c>
    </row>
    <row r="159">
      <c r="A159" s="5" t="inlineStr">
        <is>
          <t>01a1212c-8f0f-7552-93c9-e15c891bcfa3</t>
        </is>
      </c>
      <c r="D159" s="5" t="inlineStr">
        <is>
          <t>01a1212c-4b57-70cf-80fd-c2192cb3bf81</t>
        </is>
      </c>
      <c r="E159" s="4" t="n">
        <v>46304.62419870324</v>
      </c>
      <c r="F159" s="4" t="n">
        <v>46304.62419870331</v>
      </c>
      <c r="G159" t="b">
        <v>1</v>
      </c>
      <c r="I159" t="inlineStr">
        <is>
          <t>AUD</t>
        </is>
      </c>
      <c r="J159" t="n">
        <v>1.0665</v>
      </c>
      <c r="K159" s="5" t="inlineStr">
        <is>
          <t>01a1212c-7230-7671-90fb-9b2a12ecb44c</t>
        </is>
      </c>
      <c r="L159" s="5" t="inlineStr">
        <is>
          <t>01a1212c-8ef2-7480-a493-3ead5a163b78</t>
        </is>
      </c>
      <c r="M159" s="6" t="n">
        <v>43647</v>
      </c>
    </row>
    <row r="160">
      <c r="A160" s="5" t="inlineStr">
        <is>
          <t>01a1212c-8f15-7759-a751-716b3f96c8cc</t>
        </is>
      </c>
      <c r="D160" s="5" t="inlineStr">
        <is>
          <t>01a1212c-4b57-70cf-80fd-c2192cb3bf81</t>
        </is>
      </c>
      <c r="E160" s="4" t="n">
        <v>46304.62419877242</v>
      </c>
      <c r="F160" s="4" t="n">
        <v>46304.62419877249</v>
      </c>
      <c r="G160" t="b">
        <v>1</v>
      </c>
      <c r="I160" t="inlineStr">
        <is>
          <t>AUD</t>
        </is>
      </c>
      <c r="J160" t="n">
        <v>1.85</v>
      </c>
      <c r="K160" s="5" t="inlineStr">
        <is>
          <t>01a1212c-719a-7616-bf3b-b6ee9e3119c7</t>
        </is>
      </c>
      <c r="L160" s="5" t="inlineStr">
        <is>
          <t>01a1212c-8ef2-7480-a493-3ead5a163b78</t>
        </is>
      </c>
      <c r="M160" s="6" t="n">
        <v>43647</v>
      </c>
    </row>
    <row r="161">
      <c r="A161" s="5" t="inlineStr">
        <is>
          <t>01a1212c-8f1b-7632-8acf-1068ee88442e</t>
        </is>
      </c>
      <c r="D161" s="5" t="inlineStr">
        <is>
          <t>01a1212c-4b57-70cf-80fd-c2192cb3bf81</t>
        </is>
      </c>
      <c r="E161" s="4" t="n">
        <v>46304.62419883787</v>
      </c>
      <c r="F161" s="4" t="n">
        <v>46304.62419883794</v>
      </c>
      <c r="G161" t="b">
        <v>1</v>
      </c>
      <c r="I161" t="inlineStr">
        <is>
          <t>AUD</t>
        </is>
      </c>
      <c r="J161" t="n">
        <v>2.2014</v>
      </c>
      <c r="K161" s="5" t="inlineStr">
        <is>
          <t>01a1212c-71ee-7697-ac4a-eeeb04d71bcc</t>
        </is>
      </c>
      <c r="L161" s="5" t="inlineStr">
        <is>
          <t>01a1212c-8ef2-7480-a493-3ead5a163b78</t>
        </is>
      </c>
      <c r="M161" s="6" t="n">
        <v>43647</v>
      </c>
    </row>
    <row r="162">
      <c r="A162" s="5" t="inlineStr">
        <is>
          <t>01a1212c-8f22-75a7-9eb8-059fc000040f</t>
        </is>
      </c>
      <c r="D162" s="5" t="inlineStr">
        <is>
          <t>01a1212c-4b57-70cf-80fd-c2192cb3bf81</t>
        </is>
      </c>
      <c r="E162" s="4" t="n">
        <v>46304.62419891777</v>
      </c>
      <c r="F162" s="4" t="n">
        <v>46304.62419891784</v>
      </c>
      <c r="G162" t="b">
        <v>1</v>
      </c>
      <c r="I162" t="inlineStr">
        <is>
          <t>AUD</t>
        </is>
      </c>
      <c r="J162" t="n">
        <v>2.276</v>
      </c>
      <c r="K162" s="5" t="inlineStr">
        <is>
          <t>01a1212c-6998-74b0-bc81-af5dbb051f7a</t>
        </is>
      </c>
      <c r="L162" s="5" t="inlineStr">
        <is>
          <t>01a1212c-8ef2-7480-a493-3ead5a163b78</t>
        </is>
      </c>
      <c r="M162" s="6" t="n">
        <v>43647</v>
      </c>
    </row>
    <row r="163">
      <c r="A163" s="5" t="inlineStr">
        <is>
          <t>01a1212c-8f28-740d-8045-b158fc14631f</t>
        </is>
      </c>
      <c r="D163" s="5" t="inlineStr">
        <is>
          <t>01a1212c-4b57-70cf-80fd-c2192cb3bf81</t>
        </is>
      </c>
      <c r="E163" s="4" t="n">
        <v>46304.62419898546</v>
      </c>
      <c r="F163" s="4" t="n">
        <v>46304.62419898552</v>
      </c>
      <c r="G163" t="b">
        <v>1</v>
      </c>
      <c r="I163" t="inlineStr">
        <is>
          <t>AUD</t>
        </is>
      </c>
      <c r="J163" t="n">
        <v>2.405</v>
      </c>
      <c r="K163" s="5" t="inlineStr">
        <is>
          <t>01a1212c-7157-7567-ba2e-f5a2ea2a31ab</t>
        </is>
      </c>
      <c r="L163" s="5" t="inlineStr">
        <is>
          <t>01a1212c-8ef2-7480-a493-3ead5a163b78</t>
        </is>
      </c>
      <c r="M163" s="6" t="n">
        <v>43647</v>
      </c>
    </row>
    <row r="164">
      <c r="A164" s="5" t="inlineStr">
        <is>
          <t>01a1212c-8f2d-739c-827a-6af869d17b8b</t>
        </is>
      </c>
      <c r="D164" s="5" t="inlineStr">
        <is>
          <t>01a1212c-4b57-70cf-80fd-c2192cb3bf81</t>
        </is>
      </c>
      <c r="E164" s="4" t="n">
        <v>46304.62419905155</v>
      </c>
      <c r="F164" s="4" t="n">
        <v>46304.62419905162</v>
      </c>
      <c r="G164" t="b">
        <v>1</v>
      </c>
      <c r="I164" t="inlineStr">
        <is>
          <t>AUD</t>
        </is>
      </c>
      <c r="J164" t="n">
        <v>2.6553</v>
      </c>
      <c r="K164" s="5" t="inlineStr">
        <is>
          <t>01a1212c-6fd7-7372-ba43-20c51ef00ee0</t>
        </is>
      </c>
      <c r="L164" s="5" t="inlineStr">
        <is>
          <t>01a1212c-8ef2-7480-a493-3ead5a163b78</t>
        </is>
      </c>
      <c r="M164" s="6" t="n">
        <v>43647</v>
      </c>
    </row>
    <row r="165">
      <c r="A165" s="5" t="inlineStr">
        <is>
          <t>01a1212c-8f34-7034-8559-879a157786e7</t>
        </is>
      </c>
      <c r="D165" s="5" t="inlineStr">
        <is>
          <t>01a1212c-4b57-70cf-80fd-c2192cb3bf81</t>
        </is>
      </c>
      <c r="E165" s="4" t="n">
        <v>46304.62419913008</v>
      </c>
      <c r="F165" s="4" t="n">
        <v>46304.62419913015</v>
      </c>
      <c r="G165" t="b">
        <v>1</v>
      </c>
      <c r="I165" t="inlineStr">
        <is>
          <t>AUD</t>
        </is>
      </c>
      <c r="J165" t="n">
        <v>2.8429</v>
      </c>
      <c r="K165" s="5" t="inlineStr">
        <is>
          <t>01a1212c-71c3-7032-9840-53a08ae86f9c</t>
        </is>
      </c>
      <c r="L165" s="5" t="inlineStr">
        <is>
          <t>01a1212c-8ef2-7480-a493-3ead5a163b78</t>
        </is>
      </c>
      <c r="M165" s="6" t="n">
        <v>43647</v>
      </c>
    </row>
    <row r="166">
      <c r="A166" s="5" t="inlineStr">
        <is>
          <t>01a1212c-8f3a-7667-85b2-487452cb13d0</t>
        </is>
      </c>
      <c r="D166" s="5" t="inlineStr">
        <is>
          <t>01a1212c-4b57-70cf-80fd-c2192cb3bf81</t>
        </is>
      </c>
      <c r="E166" s="4" t="n">
        <v>46304.6241991973</v>
      </c>
      <c r="F166" s="4" t="n">
        <v>46304.62419919737</v>
      </c>
      <c r="G166" t="b">
        <v>1</v>
      </c>
      <c r="I166" t="inlineStr">
        <is>
          <t>AUD</t>
        </is>
      </c>
      <c r="J166" t="n">
        <v>2.845</v>
      </c>
      <c r="K166" s="5" t="inlineStr">
        <is>
          <t>01a1212c-6b88-7320-ad83-9bb2175f9188</t>
        </is>
      </c>
      <c r="L166" s="5" t="inlineStr">
        <is>
          <t>01a1212c-8ef2-7480-a493-3ead5a163b78</t>
        </is>
      </c>
      <c r="M166" s="6" t="n">
        <v>43647</v>
      </c>
    </row>
    <row r="167">
      <c r="A167" s="5" t="inlineStr">
        <is>
          <t>01a1212c-8f40-71fb-a98f-6c2852798f11</t>
        </is>
      </c>
      <c r="D167" s="5" t="inlineStr">
        <is>
          <t>01a1212c-4b57-70cf-80fd-c2192cb3bf81</t>
        </is>
      </c>
      <c r="E167" s="4" t="n">
        <v>46304.62419926317</v>
      </c>
      <c r="F167" s="4" t="n">
        <v>46304.62419926324</v>
      </c>
      <c r="G167" t="b">
        <v>1</v>
      </c>
      <c r="I167" t="inlineStr">
        <is>
          <t>AUD</t>
        </is>
      </c>
      <c r="J167" t="n">
        <v>2.845</v>
      </c>
      <c r="K167" s="5" t="inlineStr">
        <is>
          <t>01a1212c-6d37-7104-9bae-6b11207df2ba</t>
        </is>
      </c>
      <c r="L167" s="5" t="inlineStr">
        <is>
          <t>01a1212c-8ef2-7480-a493-3ead5a163b78</t>
        </is>
      </c>
      <c r="M167" s="6" t="n">
        <v>43647</v>
      </c>
    </row>
    <row r="168">
      <c r="A168" s="5" t="inlineStr">
        <is>
          <t>01a1212c-8f46-718a-b10c-830c25f55841</t>
        </is>
      </c>
      <c r="D168" s="5" t="inlineStr">
        <is>
          <t>01a1212c-4b57-70cf-80fd-c2192cb3bf81</t>
        </is>
      </c>
      <c r="E168" s="4" t="n">
        <v>46304.62419932992</v>
      </c>
      <c r="F168" s="4" t="n">
        <v>46304.62419932999</v>
      </c>
      <c r="G168" t="b">
        <v>1</v>
      </c>
      <c r="I168" t="inlineStr">
        <is>
          <t>AUD</t>
        </is>
      </c>
      <c r="J168" t="n">
        <v>2.845</v>
      </c>
      <c r="K168" s="5" t="inlineStr">
        <is>
          <t>01a1212c-6f94-71c9-8280-59efd47efd80</t>
        </is>
      </c>
      <c r="L168" s="5" t="inlineStr">
        <is>
          <t>01a1212c-8ef2-7480-a493-3ead5a163b78</t>
        </is>
      </c>
      <c r="M168" s="6" t="n">
        <v>43647</v>
      </c>
    </row>
    <row r="169">
      <c r="A169" s="5" t="inlineStr">
        <is>
          <t>01a1212c-8f4b-7699-b27c-1b30fc36b4b8</t>
        </is>
      </c>
      <c r="D169" s="5" t="inlineStr">
        <is>
          <t>01a1212c-4b57-70cf-80fd-c2192cb3bf81</t>
        </is>
      </c>
      <c r="E169" s="4" t="n">
        <v>46304.62419939563</v>
      </c>
      <c r="F169" s="4" t="n">
        <v>46304.62419939569</v>
      </c>
      <c r="G169" t="b">
        <v>1</v>
      </c>
      <c r="I169" t="inlineStr">
        <is>
          <t>AUD</t>
        </is>
      </c>
      <c r="J169" t="n">
        <v>3.0347</v>
      </c>
      <c r="K169" s="5" t="inlineStr">
        <is>
          <t>01a1212c-6ed1-75e4-b466-1b906512bd95</t>
        </is>
      </c>
      <c r="L169" s="5" t="inlineStr">
        <is>
          <t>01a1212c-8ef2-7480-a493-3ead5a163b78</t>
        </is>
      </c>
      <c r="M169" s="6" t="n">
        <v>43647</v>
      </c>
    </row>
    <row r="170">
      <c r="A170" s="5" t="inlineStr">
        <is>
          <t>01a1212c-8f51-706b-a42a-47e0f12c981f</t>
        </is>
      </c>
      <c r="D170" s="5" t="inlineStr">
        <is>
          <t>01a1212c-4b57-70cf-80fd-c2192cb3bf81</t>
        </is>
      </c>
      <c r="E170" s="4" t="n">
        <v>46304.62419946537</v>
      </c>
      <c r="F170" s="4" t="n">
        <v>46304.62419946544</v>
      </c>
      <c r="G170" t="b">
        <v>1</v>
      </c>
      <c r="I170" t="inlineStr">
        <is>
          <t>AUD</t>
        </is>
      </c>
      <c r="J170" t="n">
        <v>3.2243</v>
      </c>
      <c r="K170" s="5" t="inlineStr">
        <is>
          <t>01a1212c-6cde-735d-babb-fd56e63b9d5a</t>
        </is>
      </c>
      <c r="L170" s="5" t="inlineStr">
        <is>
          <t>01a1212c-8ef2-7480-a493-3ead5a163b78</t>
        </is>
      </c>
      <c r="M170" s="6" t="n">
        <v>43647</v>
      </c>
    </row>
    <row r="171">
      <c r="A171" s="5" t="inlineStr">
        <is>
          <t>01a1212c-8f57-728b-a6b0-0ef1c39461cd</t>
        </is>
      </c>
      <c r="D171" s="5" t="inlineStr">
        <is>
          <t>01a1212c-4b57-70cf-80fd-c2192cb3bf81</t>
        </is>
      </c>
      <c r="E171" s="4" t="n">
        <v>46304.62419953237</v>
      </c>
      <c r="F171" s="4" t="n">
        <v>46304.62419953245</v>
      </c>
      <c r="G171" t="b">
        <v>1</v>
      </c>
      <c r="I171" t="inlineStr">
        <is>
          <t>AUD</t>
        </is>
      </c>
      <c r="J171" t="n">
        <v>3.3767</v>
      </c>
      <c r="K171" s="5" t="inlineStr">
        <is>
          <t>01a1212c-7093-74e6-b33d-06958030fa15</t>
        </is>
      </c>
      <c r="L171" s="5" t="inlineStr">
        <is>
          <t>01a1212c-8ef2-7480-a493-3ead5a163b78</t>
        </is>
      </c>
      <c r="M171" s="6" t="n">
        <v>43647</v>
      </c>
    </row>
    <row r="172">
      <c r="A172" s="5" t="inlineStr">
        <is>
          <t>01a1212c-8f5d-72c8-aad6-c43207c09d56</t>
        </is>
      </c>
      <c r="D172" s="5" t="inlineStr">
        <is>
          <t>01a1212c-4b57-70cf-80fd-c2192cb3bf81</t>
        </is>
      </c>
      <c r="E172" s="4" t="n">
        <v>46304.62419959898</v>
      </c>
      <c r="F172" s="4" t="n">
        <v>46304.62419959904</v>
      </c>
      <c r="G172" t="b">
        <v>1</v>
      </c>
      <c r="I172" t="inlineStr">
        <is>
          <t>AUD</t>
        </is>
      </c>
      <c r="J172" t="n">
        <v>3.414</v>
      </c>
      <c r="K172" s="5" t="inlineStr">
        <is>
          <t>01a1212c-6bf3-7787-bc84-0bf70e1c811f</t>
        </is>
      </c>
      <c r="L172" s="5" t="inlineStr">
        <is>
          <t>01a1212c-8ef2-7480-a493-3ead5a163b78</t>
        </is>
      </c>
      <c r="M172" s="6" t="n">
        <v>43647</v>
      </c>
    </row>
    <row r="173">
      <c r="A173" s="5" t="inlineStr">
        <is>
          <t>01a1212c-8f63-72ee-a8ef-05735574472b</t>
        </is>
      </c>
      <c r="D173" s="5" t="inlineStr">
        <is>
          <t>01a1212c-4b57-70cf-80fd-c2192cb3bf81</t>
        </is>
      </c>
      <c r="E173" s="4" t="n">
        <v>46304.62419967596</v>
      </c>
      <c r="F173" s="4" t="n">
        <v>46304.62419967602</v>
      </c>
      <c r="G173" t="b">
        <v>1</v>
      </c>
      <c r="I173" t="inlineStr">
        <is>
          <t>AUD</t>
        </is>
      </c>
      <c r="J173" t="n">
        <v>3.414</v>
      </c>
      <c r="K173" s="5" t="inlineStr">
        <is>
          <t>01a1212c-6dcc-720d-a5fa-03db95e8cb05</t>
        </is>
      </c>
      <c r="L173" s="5" t="inlineStr">
        <is>
          <t>01a1212c-8ef2-7480-a493-3ead5a163b78</t>
        </is>
      </c>
      <c r="M173" s="6" t="n">
        <v>43647</v>
      </c>
    </row>
    <row r="174">
      <c r="A174" s="5" t="inlineStr">
        <is>
          <t>01a1212c-8f69-7013-aeb1-274ec091aa35</t>
        </is>
      </c>
      <c r="D174" s="5" t="inlineStr">
        <is>
          <t>01a1212c-4b57-70cf-80fd-c2192cb3bf81</t>
        </is>
      </c>
      <c r="E174" s="4" t="n">
        <v>46304.62419974294</v>
      </c>
      <c r="F174" s="4" t="n">
        <v>46304.62419974301</v>
      </c>
      <c r="G174" t="b">
        <v>1</v>
      </c>
      <c r="I174" t="inlineStr">
        <is>
          <t>AUD</t>
        </is>
      </c>
      <c r="J174" t="n">
        <v>3.6037</v>
      </c>
      <c r="K174" s="5" t="inlineStr">
        <is>
          <t>01a1212c-6bc9-7747-8a7e-e6bec07ce141</t>
        </is>
      </c>
      <c r="L174" s="5" t="inlineStr">
        <is>
          <t>01a1212c-8ef2-7480-a493-3ead5a163b78</t>
        </is>
      </c>
      <c r="M174" s="6" t="n">
        <v>43647</v>
      </c>
    </row>
    <row r="175">
      <c r="A175" s="5" t="inlineStr">
        <is>
          <t>01a1212c-8f6f-765f-ae2b-d57dd7920dd5</t>
        </is>
      </c>
      <c r="D175" s="5" t="inlineStr">
        <is>
          <t>01a1212c-4b57-70cf-80fd-c2192cb3bf81</t>
        </is>
      </c>
      <c r="E175" s="4" t="n">
        <v>46304.62419980932</v>
      </c>
      <c r="F175" s="4" t="n">
        <v>46304.62419980939</v>
      </c>
      <c r="G175" t="b">
        <v>1</v>
      </c>
      <c r="I175" t="inlineStr">
        <is>
          <t>AUD</t>
        </is>
      </c>
      <c r="J175" t="n">
        <v>3.6114</v>
      </c>
      <c r="K175" s="5" t="inlineStr">
        <is>
          <t>01a1212c-7117-7388-8792-335c487cf88f</t>
        </is>
      </c>
      <c r="L175" s="5" t="inlineStr">
        <is>
          <t>01a1212c-8ef2-7480-a493-3ead5a163b78</t>
        </is>
      </c>
      <c r="M175" s="6" t="n">
        <v>43647</v>
      </c>
    </row>
    <row r="176">
      <c r="A176" s="5" t="inlineStr">
        <is>
          <t>01a1212c-8f75-7317-b580-3eab5f3a2ecd</t>
        </is>
      </c>
      <c r="D176" s="5" t="inlineStr">
        <is>
          <t>01a1212c-4b57-70cf-80fd-c2192cb3bf81</t>
        </is>
      </c>
      <c r="E176" s="4" t="n">
        <v>46304.62419988109</v>
      </c>
      <c r="F176" s="4" t="n">
        <v>46304.62419988118</v>
      </c>
      <c r="G176" t="b">
        <v>1</v>
      </c>
      <c r="I176" t="inlineStr">
        <is>
          <t>AUD</t>
        </is>
      </c>
      <c r="J176" t="n">
        <v>3.7933</v>
      </c>
      <c r="K176" s="5" t="inlineStr">
        <is>
          <t>01a1212c-6a83-75e3-a976-646e71a73596</t>
        </is>
      </c>
      <c r="L176" s="5" t="inlineStr">
        <is>
          <t>01a1212c-8ef2-7480-a493-3ead5a163b78</t>
        </is>
      </c>
      <c r="M176" s="6" t="n">
        <v>43647</v>
      </c>
    </row>
    <row r="177">
      <c r="A177" s="5" t="inlineStr">
        <is>
          <t>01a1212c-8f7b-76df-9819-0d8589c4474b</t>
        </is>
      </c>
      <c r="D177" s="5" t="inlineStr">
        <is>
          <t>01a1212c-4b57-70cf-80fd-c2192cb3bf81</t>
        </is>
      </c>
      <c r="E177" s="4" t="n">
        <v>46304.62419994915</v>
      </c>
      <c r="F177" s="4" t="n">
        <v>46304.62419994923</v>
      </c>
      <c r="G177" t="b">
        <v>1</v>
      </c>
      <c r="I177" t="inlineStr">
        <is>
          <t>AUD</t>
        </is>
      </c>
      <c r="J177" t="n">
        <v>3.7933</v>
      </c>
      <c r="K177" s="5" t="inlineStr">
        <is>
          <t>01a1212c-6c5e-707b-87c6-5fa973c4227c</t>
        </is>
      </c>
      <c r="L177" s="5" t="inlineStr">
        <is>
          <t>01a1212c-8ef2-7480-a493-3ead5a163b78</t>
        </is>
      </c>
      <c r="M177" s="6" t="n">
        <v>43647</v>
      </c>
    </row>
    <row r="178">
      <c r="A178" s="5" t="inlineStr">
        <is>
          <t>01a1212c-8f81-7571-9d9b-e2e63a4a295c</t>
        </is>
      </c>
      <c r="D178" s="5" t="inlineStr">
        <is>
          <t>01a1212c-4b57-70cf-80fd-c2192cb3bf81</t>
        </is>
      </c>
      <c r="E178" s="4" t="n">
        <v>46304.62420001577</v>
      </c>
      <c r="F178" s="4" t="n">
        <v>46304.62420001583</v>
      </c>
      <c r="G178" t="b">
        <v>1</v>
      </c>
      <c r="I178" t="inlineStr">
        <is>
          <t>AUD</t>
        </is>
      </c>
      <c r="J178" t="n">
        <v>3.983</v>
      </c>
      <c r="K178" s="5" t="inlineStr">
        <is>
          <t>01a1212c-6e20-73a5-aefe-85160cb166ee</t>
        </is>
      </c>
      <c r="L178" s="5" t="inlineStr">
        <is>
          <t>01a1212c-8ef2-7480-a493-3ead5a163b78</t>
        </is>
      </c>
      <c r="M178" s="6" t="n">
        <v>43647</v>
      </c>
    </row>
    <row r="179">
      <c r="A179" s="5" t="inlineStr">
        <is>
          <t>01a1212c-8f86-73d8-8f4d-245889906a2e</t>
        </is>
      </c>
      <c r="D179" s="5" t="inlineStr">
        <is>
          <t>01a1212c-4b57-70cf-80fd-c2192cb3bf81</t>
        </is>
      </c>
      <c r="E179" s="4" t="n">
        <v>46304.62420007997</v>
      </c>
      <c r="F179" s="4" t="n">
        <v>46304.62420008003</v>
      </c>
      <c r="G179" t="b">
        <v>1</v>
      </c>
      <c r="I179" t="inlineStr">
        <is>
          <t>AUD</t>
        </is>
      </c>
      <c r="J179" t="n">
        <v>4.1167</v>
      </c>
      <c r="K179" s="5" t="inlineStr">
        <is>
          <t>01a1212c-70ec-7549-97f2-cc3906a47674</t>
        </is>
      </c>
      <c r="L179" s="5" t="inlineStr">
        <is>
          <t>01a1212c-8ef2-7480-a493-3ead5a163b78</t>
        </is>
      </c>
      <c r="M179" s="6" t="n">
        <v>43647</v>
      </c>
    </row>
    <row r="180">
      <c r="A180" s="5" t="inlineStr">
        <is>
          <t>01a1212c-8f8c-76b7-8d78-229feb155392</t>
        </is>
      </c>
      <c r="D180" s="5" t="inlineStr">
        <is>
          <t>01a1212c-4b57-70cf-80fd-c2192cb3bf81</t>
        </is>
      </c>
      <c r="E180" s="4" t="n">
        <v>46304.62420014587</v>
      </c>
      <c r="F180" s="4" t="n">
        <v>46304.62420014594</v>
      </c>
      <c r="G180" t="b">
        <v>1</v>
      </c>
      <c r="I180" t="inlineStr">
        <is>
          <t>AUD</t>
        </is>
      </c>
      <c r="J180" t="n">
        <v>4.1727</v>
      </c>
      <c r="K180" s="5" t="inlineStr">
        <is>
          <t>01a1212c-6896-70d6-844d-33deb9ce2d14</t>
        </is>
      </c>
      <c r="L180" s="5" t="inlineStr">
        <is>
          <t>01a1212c-8ef2-7480-a493-3ead5a163b78</t>
        </is>
      </c>
      <c r="M180" s="6" t="n">
        <v>43647</v>
      </c>
    </row>
    <row r="181">
      <c r="A181" s="5" t="inlineStr">
        <is>
          <t>01a1212c-8f92-7094-8754-00d054d22607</t>
        </is>
      </c>
      <c r="D181" s="5" t="inlineStr">
        <is>
          <t>01a1212c-4b57-70cf-80fd-c2192cb3bf81</t>
        </is>
      </c>
      <c r="E181" s="4" t="n">
        <v>46304.62420021566</v>
      </c>
      <c r="F181" s="4" t="n">
        <v>46304.62420021573</v>
      </c>
      <c r="G181" t="b">
        <v>1</v>
      </c>
      <c r="I181" t="inlineStr">
        <is>
          <t>AUD</t>
        </is>
      </c>
      <c r="J181" t="n">
        <v>4.1727</v>
      </c>
      <c r="K181" s="5" t="inlineStr">
        <is>
          <t>01a1212c-6d0a-76f3-b162-b89428bc8b86</t>
        </is>
      </c>
      <c r="L181" s="5" t="inlineStr">
        <is>
          <t>01a1212c-8ef2-7480-a493-3ead5a163b78</t>
        </is>
      </c>
      <c r="M181" s="6" t="n">
        <v>43647</v>
      </c>
    </row>
    <row r="182">
      <c r="A182" s="5" t="inlineStr">
        <is>
          <t>01a1212c-8f98-72a9-8703-75498b8f4f55</t>
        </is>
      </c>
      <c r="D182" s="5" t="inlineStr">
        <is>
          <t>01a1212c-4b57-70cf-80fd-c2192cb3bf81</t>
        </is>
      </c>
      <c r="E182" s="4" t="n">
        <v>46304.62420028431</v>
      </c>
      <c r="F182" s="4" t="n">
        <v>46304.6242002844</v>
      </c>
      <c r="G182" t="b">
        <v>1</v>
      </c>
      <c r="I182" t="inlineStr">
        <is>
          <t>AUD</t>
        </is>
      </c>
      <c r="J182" t="n">
        <v>4.3623</v>
      </c>
      <c r="K182" s="5" t="inlineStr">
        <is>
          <t>01a1212c-6d8a-7538-8ed2-1bed262cc3a3</t>
        </is>
      </c>
      <c r="L182" s="5" t="inlineStr">
        <is>
          <t>01a1212c-8ef2-7480-a493-3ead5a163b78</t>
        </is>
      </c>
      <c r="M182" s="6" t="n">
        <v>43647</v>
      </c>
    </row>
    <row r="183">
      <c r="A183" s="5" t="inlineStr">
        <is>
          <t>01a1212c-8f9e-736b-b126-29447e2807cb</t>
        </is>
      </c>
      <c r="D183" s="5" t="inlineStr">
        <is>
          <t>01a1212c-4b57-70cf-80fd-c2192cb3bf81</t>
        </is>
      </c>
      <c r="E183" s="4" t="n">
        <v>46304.62420035362</v>
      </c>
      <c r="F183" s="4" t="n">
        <v>46304.62420035369</v>
      </c>
      <c r="G183" t="b">
        <v>1</v>
      </c>
      <c r="I183" t="inlineStr">
        <is>
          <t>AUD</t>
        </is>
      </c>
      <c r="J183" t="n">
        <v>4.3623</v>
      </c>
      <c r="K183" s="5" t="inlineStr">
        <is>
          <t>01a1212c-6f14-75ce-b122-ae5ab106d8e8</t>
        </is>
      </c>
      <c r="L183" s="5" t="inlineStr">
        <is>
          <t>01a1212c-8ef2-7480-a493-3ead5a163b78</t>
        </is>
      </c>
      <c r="M183" s="6" t="n">
        <v>43647</v>
      </c>
    </row>
    <row r="184">
      <c r="A184" s="5" t="inlineStr">
        <is>
          <t>01a1212c-8fa5-7371-9722-d893ef66395f</t>
        </is>
      </c>
      <c r="D184" s="5" t="inlineStr">
        <is>
          <t>01a1212c-4b57-70cf-80fd-c2192cb3bf81</t>
        </is>
      </c>
      <c r="E184" s="4" t="n">
        <v>46304.62420043009</v>
      </c>
      <c r="F184" s="4" t="n">
        <v>46304.62420043017</v>
      </c>
      <c r="G184" t="b">
        <v>1</v>
      </c>
      <c r="I184" t="inlineStr">
        <is>
          <t>AUD</t>
        </is>
      </c>
      <c r="J184" t="n">
        <v>4.552</v>
      </c>
      <c r="K184" s="5" t="inlineStr">
        <is>
          <t>01a1212c-6b44-7386-8841-c9a13ab8602b</t>
        </is>
      </c>
      <c r="L184" s="5" t="inlineStr">
        <is>
          <t>01a1212c-8ef2-7480-a493-3ead5a163b78</t>
        </is>
      </c>
      <c r="M184" s="6" t="n">
        <v>43647</v>
      </c>
    </row>
    <row r="185">
      <c r="A185" s="5" t="inlineStr">
        <is>
          <t>01a1212c-8fab-7387-8c40-a038477e7288</t>
        </is>
      </c>
      <c r="D185" s="5" t="inlineStr">
        <is>
          <t>01a1212c-4b57-70cf-80fd-c2192cb3bf81</t>
        </is>
      </c>
      <c r="E185" s="4" t="n">
        <v>46304.62420049885</v>
      </c>
      <c r="F185" s="4" t="n">
        <v>46304.62420049891</v>
      </c>
      <c r="G185" t="b">
        <v>1</v>
      </c>
      <c r="I185" t="inlineStr">
        <is>
          <t>AUD</t>
        </is>
      </c>
      <c r="J185" t="n">
        <v>4.7417</v>
      </c>
      <c r="K185" s="5" t="inlineStr">
        <is>
          <t>01a1212c-6a2e-75f8-b19d-5dc788e0d375</t>
        </is>
      </c>
      <c r="L185" s="5" t="inlineStr">
        <is>
          <t>01a1212c-8ef2-7480-a493-3ead5a163b78</t>
        </is>
      </c>
      <c r="M185" s="6" t="n">
        <v>43647</v>
      </c>
    </row>
    <row r="186">
      <c r="A186" s="5" t="inlineStr">
        <is>
          <t>01a1212c-8fb1-750b-b080-c9ab06114f91</t>
        </is>
      </c>
      <c r="D186" s="5" t="inlineStr">
        <is>
          <t>01a1212c-4b57-70cf-80fd-c2192cb3bf81</t>
        </is>
      </c>
      <c r="E186" s="4" t="n">
        <v>46304.62420057152</v>
      </c>
      <c r="F186" s="4" t="n">
        <v>46304.62420057162</v>
      </c>
      <c r="G186" t="b">
        <v>1</v>
      </c>
      <c r="I186" t="inlineStr">
        <is>
          <t>AUD</t>
        </is>
      </c>
      <c r="J186" t="n">
        <v>4.7417</v>
      </c>
      <c r="K186" s="5" t="inlineStr">
        <is>
          <t>01a1212c-7000-7766-ae79-871c98d5aa0c</t>
        </is>
      </c>
      <c r="L186" s="5" t="inlineStr">
        <is>
          <t>01a1212c-8ef2-7480-a493-3ead5a163b78</t>
        </is>
      </c>
      <c r="M186" s="6" t="n">
        <v>43647</v>
      </c>
    </row>
    <row r="187">
      <c r="A187" s="5" t="inlineStr">
        <is>
          <t>01a1212c-8fb7-76d5-acd4-6756ac38794a</t>
        </is>
      </c>
      <c r="D187" s="5" t="inlineStr">
        <is>
          <t>01a1212c-4b57-70cf-80fd-c2192cb3bf81</t>
        </is>
      </c>
      <c r="E187" s="4" t="n">
        <v>46304.62420064084</v>
      </c>
      <c r="F187" s="4" t="n">
        <v>46304.62420064092</v>
      </c>
      <c r="G187" t="b">
        <v>1</v>
      </c>
      <c r="I187" t="inlineStr">
        <is>
          <t>AUD</t>
        </is>
      </c>
      <c r="J187" t="n">
        <v>4.9313</v>
      </c>
      <c r="K187" s="5" t="inlineStr">
        <is>
          <t>01a1212c-6e7d-7269-818d-4fc41e4043b6</t>
        </is>
      </c>
      <c r="L187" s="5" t="inlineStr">
        <is>
          <t>01a1212c-8ef2-7480-a493-3ead5a163b78</t>
        </is>
      </c>
      <c r="M187" s="6" t="n">
        <v>43647</v>
      </c>
    </row>
    <row r="188">
      <c r="A188" s="5" t="inlineStr">
        <is>
          <t>01a1212c-8fbd-70c5-aece-2a7ac324e22e</t>
        </is>
      </c>
      <c r="D188" s="5" t="inlineStr">
        <is>
          <t>01a1212c-4b57-70cf-80fd-c2192cb3bf81</t>
        </is>
      </c>
      <c r="E188" s="4" t="n">
        <v>46304.62420070828</v>
      </c>
      <c r="F188" s="4" t="n">
        <v>46304.62420070836</v>
      </c>
      <c r="G188" t="b">
        <v>1</v>
      </c>
      <c r="I188" t="inlineStr">
        <is>
          <t>AUD</t>
        </is>
      </c>
      <c r="J188" t="n">
        <v>4.9313</v>
      </c>
      <c r="K188" s="5" t="inlineStr">
        <is>
          <t>01a1212c-6f53-7010-bee2-43a946747025</t>
        </is>
      </c>
      <c r="L188" s="5" t="inlineStr">
        <is>
          <t>01a1212c-8ef2-7480-a493-3ead5a163b78</t>
        </is>
      </c>
      <c r="M188" s="6" t="n">
        <v>43647</v>
      </c>
    </row>
    <row r="189">
      <c r="A189" s="5" t="inlineStr">
        <is>
          <t>01a1212c-8fc3-74d6-8e28-25b357abbcde</t>
        </is>
      </c>
      <c r="D189" s="5" t="inlineStr">
        <is>
          <t>01a1212c-4b57-70cf-80fd-c2192cb3bf81</t>
        </is>
      </c>
      <c r="E189" s="4" t="n">
        <v>46304.62420078149</v>
      </c>
      <c r="F189" s="4" t="n">
        <v>46304.62420078155</v>
      </c>
      <c r="G189" t="b">
        <v>1</v>
      </c>
      <c r="I189" t="inlineStr">
        <is>
          <t>AUD</t>
        </is>
      </c>
      <c r="J189" t="n">
        <v>4.9313</v>
      </c>
      <c r="K189" s="5" t="inlineStr">
        <is>
          <t>01a1212c-703e-7558-9c38-d3ff61fb4ef7</t>
        </is>
      </c>
      <c r="L189" s="5" t="inlineStr">
        <is>
          <t>01a1212c-8ef2-7480-a493-3ead5a163b78</t>
        </is>
      </c>
      <c r="M189" s="6" t="n">
        <v>43647</v>
      </c>
    </row>
    <row r="190">
      <c r="A190" s="5" t="inlineStr">
        <is>
          <t>01a1212c-8fc9-725a-a09a-4a894bf11a77</t>
        </is>
      </c>
      <c r="D190" s="5" t="inlineStr">
        <is>
          <t>01a1212c-4b57-70cf-80fd-c2192cb3bf81</t>
        </is>
      </c>
      <c r="E190" s="4" t="n">
        <v>46304.6242008535</v>
      </c>
      <c r="F190" s="4" t="n">
        <v>46304.62420085358</v>
      </c>
      <c r="G190" t="b">
        <v>1</v>
      </c>
      <c r="I190" t="inlineStr">
        <is>
          <t>AUD</t>
        </is>
      </c>
      <c r="J190" t="n">
        <v>5.121</v>
      </c>
      <c r="K190" s="5" t="inlineStr">
        <is>
          <t>01a1212c-68f0-738d-8d20-79a1c973b960</t>
        </is>
      </c>
      <c r="L190" s="5" t="inlineStr">
        <is>
          <t>01a1212c-8ef2-7480-a493-3ead5a163b78</t>
        </is>
      </c>
      <c r="M190" s="6" t="n">
        <v>43647</v>
      </c>
    </row>
    <row r="191">
      <c r="A191" s="5" t="inlineStr">
        <is>
          <t>01a1212c-8fcf-776c-85fe-96dc205cce58</t>
        </is>
      </c>
      <c r="D191" s="5" t="inlineStr">
        <is>
          <t>01a1212c-4b57-70cf-80fd-c2192cb3bf81</t>
        </is>
      </c>
      <c r="E191" s="4" t="n">
        <v>46304.62420091851</v>
      </c>
      <c r="F191" s="4" t="n">
        <v>46304.62420091857</v>
      </c>
      <c r="G191" t="b">
        <v>1</v>
      </c>
      <c r="I191" t="inlineStr">
        <is>
          <t>AUD</t>
        </is>
      </c>
      <c r="J191" t="n">
        <v>5.121</v>
      </c>
      <c r="K191" s="5" t="inlineStr">
        <is>
          <t>01a1212c-6b1b-73e9-a54d-e62e154ff71c</t>
        </is>
      </c>
      <c r="L191" s="5" t="inlineStr">
        <is>
          <t>01a1212c-8ef2-7480-a493-3ead5a163b78</t>
        </is>
      </c>
      <c r="M191" s="6" t="n">
        <v>43647</v>
      </c>
    </row>
    <row r="192">
      <c r="A192" s="5" t="inlineStr">
        <is>
          <t>01a1212c-8fd5-7289-8377-9944b5672094</t>
        </is>
      </c>
      <c r="D192" s="5" t="inlineStr">
        <is>
          <t>01a1212c-4b57-70cf-80fd-c2192cb3bf81</t>
        </is>
      </c>
      <c r="E192" s="4" t="n">
        <v>46304.62420098529</v>
      </c>
      <c r="F192" s="4" t="n">
        <v>46304.62420098536</v>
      </c>
      <c r="G192" t="b">
        <v>1</v>
      </c>
      <c r="I192" t="inlineStr">
        <is>
          <t>AUD</t>
        </is>
      </c>
      <c r="J192" t="n">
        <v>5.3106</v>
      </c>
      <c r="K192" s="5" t="inlineStr">
        <is>
          <t>01a1212c-6c1d-7297-ba65-fe335d60502e</t>
        </is>
      </c>
      <c r="L192" s="5" t="inlineStr">
        <is>
          <t>01a1212c-8ef2-7480-a493-3ead5a163b78</t>
        </is>
      </c>
      <c r="M192" s="6" t="n">
        <v>43647</v>
      </c>
    </row>
    <row r="193">
      <c r="A193" s="5" t="inlineStr">
        <is>
          <t>01a1212c-8fdb-72d6-845f-ed6819c1ea40</t>
        </is>
      </c>
      <c r="D193" s="5" t="inlineStr">
        <is>
          <t>01a1212c-4b57-70cf-80fd-c2192cb3bf81</t>
        </is>
      </c>
      <c r="E193" s="4" t="n">
        <v>46304.62420105676</v>
      </c>
      <c r="F193" s="4" t="n">
        <v>46304.62420105683</v>
      </c>
      <c r="G193" t="b">
        <v>1</v>
      </c>
      <c r="I193" t="inlineStr">
        <is>
          <t>AUD</t>
        </is>
      </c>
      <c r="J193" t="n">
        <v>5.3106</v>
      </c>
      <c r="K193" s="5" t="inlineStr">
        <is>
          <t>01a1212c-6cb3-74c4-b753-3ced98bb4fa1</t>
        </is>
      </c>
      <c r="L193" s="5" t="inlineStr">
        <is>
          <t>01a1212c-8ef2-7480-a493-3ead5a163b78</t>
        </is>
      </c>
      <c r="M193" s="6" t="n">
        <v>43647</v>
      </c>
    </row>
    <row r="194">
      <c r="A194" s="5" t="inlineStr">
        <is>
          <t>01a1212c-8fe1-74fe-8e40-1c25db3cd846</t>
        </is>
      </c>
      <c r="D194" s="5" t="inlineStr">
        <is>
          <t>01a1212c-4b57-70cf-80fd-c2192cb3bf81</t>
        </is>
      </c>
      <c r="E194" s="4" t="n">
        <v>46304.62420112374</v>
      </c>
      <c r="F194" s="4" t="n">
        <v>46304.62420112381</v>
      </c>
      <c r="G194" t="b">
        <v>1</v>
      </c>
      <c r="I194" t="inlineStr">
        <is>
          <t>AUD</t>
        </is>
      </c>
      <c r="J194" t="n">
        <v>5.5003</v>
      </c>
      <c r="K194" s="5" t="inlineStr">
        <is>
          <t>01a1212c-6d61-7172-937f-90562bb7a3f9</t>
        </is>
      </c>
      <c r="L194" s="5" t="inlineStr">
        <is>
          <t>01a1212c-8ef2-7480-a493-3ead5a163b78</t>
        </is>
      </c>
      <c r="M194" s="6" t="n">
        <v>43647</v>
      </c>
    </row>
    <row r="195">
      <c r="A195" s="5" t="inlineStr">
        <is>
          <t>01a1212c-8fe6-706d-8eeb-b679a70b0313</t>
        </is>
      </c>
      <c r="D195" s="5" t="inlineStr">
        <is>
          <t>01a1212c-4b57-70cf-80fd-c2192cb3bf81</t>
        </is>
      </c>
      <c r="E195" s="4" t="n">
        <v>46304.62420118989</v>
      </c>
      <c r="F195" s="4" t="n">
        <v>46304.62420118997</v>
      </c>
      <c r="G195" t="b">
        <v>1</v>
      </c>
      <c r="I195" t="inlineStr">
        <is>
          <t>AUD</t>
        </is>
      </c>
      <c r="J195" t="n">
        <v>5.69</v>
      </c>
      <c r="K195" s="5" t="inlineStr">
        <is>
          <t>01a1212c-696e-7146-9e01-741d10f2bed2</t>
        </is>
      </c>
      <c r="L195" s="5" t="inlineStr">
        <is>
          <t>01a1212c-8ef2-7480-a493-3ead5a163b78</t>
        </is>
      </c>
      <c r="M195" s="6" t="n">
        <v>43647</v>
      </c>
    </row>
    <row r="196">
      <c r="A196" s="5" t="inlineStr">
        <is>
          <t>01a1212c-8fec-73a0-9afe-2f7c3da192cb</t>
        </is>
      </c>
      <c r="D196" s="5" t="inlineStr">
        <is>
          <t>01a1212c-4b57-70cf-80fd-c2192cb3bf81</t>
        </is>
      </c>
      <c r="E196" s="4" t="n">
        <v>46304.62420126097</v>
      </c>
      <c r="F196" s="4" t="n">
        <v>46304.62420126104</v>
      </c>
      <c r="G196" t="b">
        <v>1</v>
      </c>
      <c r="I196" t="inlineStr">
        <is>
          <t>AUD</t>
        </is>
      </c>
      <c r="J196" t="n">
        <v>5.69</v>
      </c>
      <c r="K196" s="5" t="inlineStr">
        <is>
          <t>01a1212c-69ed-703d-98c7-86793a7bce47</t>
        </is>
      </c>
      <c r="L196" s="5" t="inlineStr">
        <is>
          <t>01a1212c-8ef2-7480-a493-3ead5a163b78</t>
        </is>
      </c>
      <c r="M196" s="6" t="n">
        <v>43647</v>
      </c>
    </row>
    <row r="197">
      <c r="A197" s="5" t="inlineStr">
        <is>
          <t>01a1212c-8ff2-7174-af31-5b756f560b7b</t>
        </is>
      </c>
      <c r="D197" s="5" t="inlineStr">
        <is>
          <t>01a1212c-4b57-70cf-80fd-c2192cb3bf81</t>
        </is>
      </c>
      <c r="E197" s="4" t="n">
        <v>46304.62420132793</v>
      </c>
      <c r="F197" s="4" t="n">
        <v>46304.62420132802</v>
      </c>
      <c r="G197" t="b">
        <v>1</v>
      </c>
      <c r="I197" t="inlineStr">
        <is>
          <t>AUD</t>
        </is>
      </c>
      <c r="J197" t="n">
        <v>5.8796</v>
      </c>
      <c r="K197" s="5" t="inlineStr">
        <is>
          <t>01a1212c-6ac3-7045-85af-681a40396939</t>
        </is>
      </c>
      <c r="L197" s="5" t="inlineStr">
        <is>
          <t>01a1212c-8ef2-7480-a493-3ead5a163b78</t>
        </is>
      </c>
      <c r="M197" s="6" t="n">
        <v>43647</v>
      </c>
    </row>
    <row r="198">
      <c r="A198" s="5" t="inlineStr">
        <is>
          <t>01a1212c-8ff8-764f-94b5-8267b56d8c93</t>
        </is>
      </c>
      <c r="D198" s="5" t="inlineStr">
        <is>
          <t>01a1212c-4b57-70cf-80fd-c2192cb3bf81</t>
        </is>
      </c>
      <c r="E198" s="4" t="n">
        <v>46304.6242013993</v>
      </c>
      <c r="F198" s="4" t="n">
        <v>46304.62420139936</v>
      </c>
      <c r="G198" t="b">
        <v>1</v>
      </c>
      <c r="I198" t="inlineStr">
        <is>
          <t>AUD</t>
        </is>
      </c>
      <c r="J198" t="n">
        <v>6.0693</v>
      </c>
      <c r="K198" s="5" t="inlineStr">
        <is>
          <t>01a1212c-692f-76c3-8991-b28be5dbbe78</t>
        </is>
      </c>
      <c r="L198" s="5" t="inlineStr">
        <is>
          <t>01a1212c-8ef2-7480-a493-3ead5a163b78</t>
        </is>
      </c>
      <c r="M198" s="6" t="n">
        <v>43647</v>
      </c>
    </row>
    <row r="199">
      <c r="A199" s="5" t="inlineStr">
        <is>
          <t>01a1212c-8ffe-7275-b81e-1e0ef53c4301</t>
        </is>
      </c>
      <c r="D199" s="5" t="inlineStr">
        <is>
          <t>01a1212c-4b57-70cf-80fd-c2192cb3bf81</t>
        </is>
      </c>
      <c r="E199" s="4" t="n">
        <v>46304.62420146709</v>
      </c>
      <c r="F199" s="4" t="n">
        <v>46304.62420146717</v>
      </c>
      <c r="G199" t="b">
        <v>1</v>
      </c>
      <c r="I199" t="inlineStr">
        <is>
          <t>AUD</t>
        </is>
      </c>
      <c r="J199" t="n">
        <v>7.0176</v>
      </c>
      <c r="K199" s="5" t="inlineStr">
        <is>
          <t>01a1212c-68c3-7400-8c25-aa53cd5ab679</t>
        </is>
      </c>
      <c r="L199" s="5" t="inlineStr">
        <is>
          <t>01a1212c-8ef2-7480-a493-3ead5a163b78</t>
        </is>
      </c>
      <c r="M199" s="6" t="n">
        <v>43647</v>
      </c>
    </row>
    <row r="200">
      <c r="A200" s="5" t="inlineStr">
        <is>
          <t>01a1212c-9148-77a3-8f20-cb0796f06ba0</t>
        </is>
      </c>
      <c r="D200" s="5" t="inlineStr">
        <is>
          <t>01a1212c-4b57-70cf-80fd-c2192cb3bf81</t>
        </is>
      </c>
      <c r="E200" s="4" t="n">
        <v>46304.62420528418</v>
      </c>
      <c r="F200" s="4" t="n">
        <v>46304.62420528425</v>
      </c>
      <c r="G200" t="b">
        <v>1</v>
      </c>
      <c r="I200" t="inlineStr">
        <is>
          <t>AUD</t>
        </is>
      </c>
      <c r="J200" t="n">
        <v>0.0545</v>
      </c>
      <c r="K200" s="5" t="inlineStr">
        <is>
          <t>01a1212c-7619-710a-ac50-f0a300913659</t>
        </is>
      </c>
      <c r="L200" s="5" t="inlineStr">
        <is>
          <t>01a1212c-9145-7407-94b2-8ca10c380294</t>
        </is>
      </c>
      <c r="M200" s="6" t="n">
        <v>44013</v>
      </c>
    </row>
    <row r="201">
      <c r="A201" s="5" t="inlineStr">
        <is>
          <t>01a1212c-9150-73d8-8e1d-4d6aeda78a83</t>
        </is>
      </c>
      <c r="D201" s="5" t="inlineStr">
        <is>
          <t>01a1212c-4b57-70cf-80fd-c2192cb3bf81</t>
        </is>
      </c>
      <c r="E201" s="4" t="n">
        <v>46304.62420537403</v>
      </c>
      <c r="F201" s="4" t="n">
        <v>46304.62420537411</v>
      </c>
      <c r="G201" t="b">
        <v>1</v>
      </c>
      <c r="I201" t="inlineStr">
        <is>
          <t>AUD</t>
        </is>
      </c>
      <c r="J201" t="n">
        <v>0.2882</v>
      </c>
      <c r="K201" s="5" t="inlineStr">
        <is>
          <t>01a1212c-75d7-729a-8044-f297ce4ce9a3</t>
        </is>
      </c>
      <c r="L201" s="5" t="inlineStr">
        <is>
          <t>01a1212c-9145-7407-94b2-8ca10c380294</t>
        </is>
      </c>
      <c r="M201" s="6" t="n">
        <v>44013</v>
      </c>
    </row>
    <row r="202">
      <c r="A202" s="5" t="inlineStr">
        <is>
          <t>01a1212c-9156-723f-843e-c27b7807cf41</t>
        </is>
      </c>
      <c r="D202" s="5" t="inlineStr">
        <is>
          <t>01a1212c-4b57-70cf-80fd-c2192cb3bf81</t>
        </is>
      </c>
      <c r="E202" s="4" t="n">
        <v>46304.62420544625</v>
      </c>
      <c r="F202" s="4" t="n">
        <v>46304.62420544633</v>
      </c>
      <c r="G202" t="b">
        <v>1</v>
      </c>
      <c r="I202" t="inlineStr">
        <is>
          <t>AUD</t>
        </is>
      </c>
      <c r="J202" t="n">
        <v>0.2908</v>
      </c>
      <c r="K202" s="5" t="inlineStr">
        <is>
          <t>01a1212c-7595-7792-8e63-1f39b92bd8b3</t>
        </is>
      </c>
      <c r="L202" s="5" t="inlineStr">
        <is>
          <t>01a1212c-9145-7407-94b2-8ca10c380294</t>
        </is>
      </c>
      <c r="M202" s="6" t="n">
        <v>44013</v>
      </c>
    </row>
    <row r="203">
      <c r="A203" s="5" t="inlineStr">
        <is>
          <t>01a1212c-915c-7763-a2b7-8261c0a36dd2</t>
        </is>
      </c>
      <c r="D203" s="5" t="inlineStr">
        <is>
          <t>01a1212c-4b57-70cf-80fd-c2192cb3bf81</t>
        </is>
      </c>
      <c r="E203" s="4" t="n">
        <v>46304.62420552164</v>
      </c>
      <c r="F203" s="4" t="n">
        <v>46304.62420552172</v>
      </c>
      <c r="G203" t="b">
        <v>1</v>
      </c>
      <c r="I203" t="inlineStr">
        <is>
          <t>AUD</t>
        </is>
      </c>
      <c r="J203" t="n">
        <v>0.4471</v>
      </c>
      <c r="K203" s="5" t="inlineStr">
        <is>
          <t>01a1212c-7568-7011-9b33-32dc2471f741</t>
        </is>
      </c>
      <c r="L203" s="5" t="inlineStr">
        <is>
          <t>01a1212c-9145-7407-94b2-8ca10c380294</t>
        </is>
      </c>
      <c r="M203" s="6" t="n">
        <v>44013</v>
      </c>
    </row>
    <row r="204">
      <c r="A204" s="5" t="inlineStr">
        <is>
          <t>01a1212c-9163-75ea-83c3-fd6644c8860f</t>
        </is>
      </c>
      <c r="D204" s="5" t="inlineStr">
        <is>
          <t>01a1212c-4b57-70cf-80fd-c2192cb3bf81</t>
        </is>
      </c>
      <c r="E204" s="4" t="n">
        <v>46304.62420559536</v>
      </c>
      <c r="F204" s="4" t="n">
        <v>46304.62420559544</v>
      </c>
      <c r="G204" t="b">
        <v>1</v>
      </c>
      <c r="I204" t="inlineStr">
        <is>
          <t>AUD</t>
        </is>
      </c>
      <c r="J204" t="n">
        <v>0.6019</v>
      </c>
      <c r="K204" s="5" t="inlineStr">
        <is>
          <t>01a1212c-74ff-71e8-bddf-7c46f57ce7fb</t>
        </is>
      </c>
      <c r="L204" s="5" t="inlineStr">
        <is>
          <t>01a1212c-9145-7407-94b2-8ca10c380294</t>
        </is>
      </c>
      <c r="M204" s="6" t="n">
        <v>44013</v>
      </c>
    </row>
    <row r="205">
      <c r="A205" s="5" t="inlineStr">
        <is>
          <t>01a1212c-9169-723f-8bdd-1f528207466f</t>
        </is>
      </c>
      <c r="D205" s="5" t="inlineStr">
        <is>
          <t>01a1212c-4b57-70cf-80fd-c2192cb3bf81</t>
        </is>
      </c>
      <c r="E205" s="4" t="n">
        <v>46304.62420566491</v>
      </c>
      <c r="F205" s="4" t="n">
        <v>46304.62420566498</v>
      </c>
      <c r="G205" t="b">
        <v>1</v>
      </c>
      <c r="I205" t="inlineStr">
        <is>
          <t>AUD</t>
        </is>
      </c>
      <c r="J205" t="n">
        <v>0.7124</v>
      </c>
      <c r="K205" s="5" t="inlineStr">
        <is>
          <t>01a1212c-74a5-7646-bf4b-157c0a1a7665</t>
        </is>
      </c>
      <c r="L205" s="5" t="inlineStr">
        <is>
          <t>01a1212c-9145-7407-94b2-8ca10c380294</t>
        </is>
      </c>
      <c r="M205" s="6" t="n">
        <v>44013</v>
      </c>
    </row>
    <row r="206">
      <c r="A206" s="5" t="inlineStr">
        <is>
          <t>01a1212c-9170-74d8-bbfc-b05fe33c1701</t>
        </is>
      </c>
      <c r="D206" s="5" t="inlineStr">
        <is>
          <t>01a1212c-4b57-70cf-80fd-c2192cb3bf81</t>
        </is>
      </c>
      <c r="E206" s="4" t="n">
        <v>46304.6242057439</v>
      </c>
      <c r="F206" s="4" t="n">
        <v>46304.62420574397</v>
      </c>
      <c r="G206" t="b">
        <v>1</v>
      </c>
      <c r="I206" t="inlineStr">
        <is>
          <t>AUD</t>
        </is>
      </c>
      <c r="J206" t="n">
        <v>0.7229</v>
      </c>
      <c r="K206" s="5" t="inlineStr">
        <is>
          <t>01a1212c-752a-73d9-a17f-d259f6529c46</t>
        </is>
      </c>
      <c r="L206" s="5" t="inlineStr">
        <is>
          <t>01a1212c-9145-7407-94b2-8ca10c380294</t>
        </is>
      </c>
      <c r="M206" s="6" t="n">
        <v>44013</v>
      </c>
    </row>
    <row r="207">
      <c r="A207" s="5" t="inlineStr">
        <is>
          <t>01a1212c-9176-7539-94a5-980eea43ba52</t>
        </is>
      </c>
      <c r="D207" s="5" t="inlineStr">
        <is>
          <t>01a1212c-4b57-70cf-80fd-c2192cb3bf81</t>
        </is>
      </c>
      <c r="E207" s="4" t="n">
        <v>46304.62420581622</v>
      </c>
      <c r="F207" s="4" t="n">
        <v>46304.62420581628</v>
      </c>
      <c r="G207" t="b">
        <v>1</v>
      </c>
      <c r="I207" t="inlineStr">
        <is>
          <t>AUD</t>
        </is>
      </c>
      <c r="J207" t="n">
        <v>0.7484</v>
      </c>
      <c r="K207" s="5" t="inlineStr">
        <is>
          <t>01a1212c-73f1-7653-991a-7a458d0c9e1e</t>
        </is>
      </c>
      <c r="L207" s="5" t="inlineStr">
        <is>
          <t>01a1212c-9145-7407-94b2-8ca10c380294</t>
        </is>
      </c>
      <c r="M207" s="6" t="n">
        <v>44013</v>
      </c>
    </row>
    <row r="208">
      <c r="A208" s="5" t="inlineStr">
        <is>
          <t>01a1212c-917c-71d1-af71-f610d3888af9</t>
        </is>
      </c>
      <c r="D208" s="5" t="inlineStr">
        <is>
          <t>01a1212c-4b57-70cf-80fd-c2192cb3bf81</t>
        </is>
      </c>
      <c r="E208" s="4" t="n">
        <v>46304.62420588662</v>
      </c>
      <c r="F208" s="4" t="n">
        <v>46304.62420588669</v>
      </c>
      <c r="G208" t="b">
        <v>1</v>
      </c>
      <c r="I208" t="inlineStr">
        <is>
          <t>AUD</t>
        </is>
      </c>
      <c r="J208" t="n">
        <v>0.9599</v>
      </c>
      <c r="K208" s="5" t="inlineStr">
        <is>
          <t>01a1212c-72a3-74de-af7e-8c21374ccb8d</t>
        </is>
      </c>
      <c r="L208" s="5" t="inlineStr">
        <is>
          <t>01a1212c-9145-7407-94b2-8ca10c380294</t>
        </is>
      </c>
      <c r="M208" s="6" t="n">
        <v>44013</v>
      </c>
    </row>
    <row r="209">
      <c r="A209" s="5" t="inlineStr">
        <is>
          <t>01a1212c-9182-74dc-b680-aaa11ea98511</t>
        </is>
      </c>
      <c r="D209" s="5" t="inlineStr">
        <is>
          <t>01a1212c-4b57-70cf-80fd-c2192cb3bf81</t>
        </is>
      </c>
      <c r="E209" s="4" t="n">
        <v>46304.62420596155</v>
      </c>
      <c r="F209" s="4" t="n">
        <v>46304.62420596162</v>
      </c>
      <c r="G209" t="b">
        <v>1</v>
      </c>
      <c r="I209" t="inlineStr">
        <is>
          <t>AUD</t>
        </is>
      </c>
      <c r="J209" t="n">
        <v>1.0062</v>
      </c>
      <c r="K209" s="5" t="inlineStr">
        <is>
          <t>01a1212c-74d0-7378-b4d7-9789d59f4dc6</t>
        </is>
      </c>
      <c r="L209" s="5" t="inlineStr">
        <is>
          <t>01a1212c-9145-7407-94b2-8ca10c380294</t>
        </is>
      </c>
      <c r="M209" s="6" t="n">
        <v>44013</v>
      </c>
    </row>
    <row r="210">
      <c r="A210" s="5" t="inlineStr">
        <is>
          <t>01a1212c-9189-7416-b93e-95d1a5ae038c</t>
        </is>
      </c>
      <c r="D210" s="5" t="inlineStr">
        <is>
          <t>01a1212c-4b57-70cf-80fd-c2192cb3bf81</t>
        </is>
      </c>
      <c r="E210" s="4" t="n">
        <v>46304.62420603244</v>
      </c>
      <c r="F210" s="4" t="n">
        <v>46304.62420603251</v>
      </c>
      <c r="G210" t="b">
        <v>1</v>
      </c>
      <c r="I210" t="inlineStr">
        <is>
          <t>AUD</t>
        </is>
      </c>
      <c r="J210" t="n">
        <v>1.0971</v>
      </c>
      <c r="K210" s="5" t="inlineStr">
        <is>
          <t>01a1212c-6d20-73ba-8f87-9892e2e99aec</t>
        </is>
      </c>
      <c r="L210" s="5" t="inlineStr">
        <is>
          <t>01a1212c-9145-7407-94b2-8ca10c380294</t>
        </is>
      </c>
      <c r="M210" s="6" t="n">
        <v>44013</v>
      </c>
    </row>
    <row r="211">
      <c r="A211" s="5" t="inlineStr">
        <is>
          <t>01a1212c-918f-744c-b8d4-f1f61dac7c93</t>
        </is>
      </c>
      <c r="D211" s="5" t="inlineStr">
        <is>
          <t>01a1212c-4b57-70cf-80fd-c2192cb3bf81</t>
        </is>
      </c>
      <c r="E211" s="4" t="n">
        <v>46304.62420611237</v>
      </c>
      <c r="F211" s="4" t="n">
        <v>46304.62420611245</v>
      </c>
      <c r="G211" t="b">
        <v>1</v>
      </c>
      <c r="I211" t="inlineStr">
        <is>
          <t>AUD</t>
        </is>
      </c>
      <c r="J211" t="n">
        <v>1.0971</v>
      </c>
      <c r="K211" s="5" t="inlineStr">
        <is>
          <t>01a1212c-6f7f-718f-b160-46cb1bfec403</t>
        </is>
      </c>
      <c r="L211" s="5" t="inlineStr">
        <is>
          <t>01a1212c-9145-7407-94b2-8ca10c380294</t>
        </is>
      </c>
      <c r="M211" s="6" t="n">
        <v>44013</v>
      </c>
    </row>
    <row r="212">
      <c r="A212" s="5" t="inlineStr">
        <is>
          <t>01a1212c-9197-76bb-b176-ea39d30e6d8b</t>
        </is>
      </c>
      <c r="D212" s="5" t="inlineStr">
        <is>
          <t>01a1212c-4b57-70cf-80fd-c2192cb3bf81</t>
        </is>
      </c>
      <c r="E212" s="4" t="n">
        <v>46304.62420619685</v>
      </c>
      <c r="F212" s="4" t="n">
        <v>46304.62420619692</v>
      </c>
      <c r="G212" t="b">
        <v>1</v>
      </c>
      <c r="I212" t="inlineStr">
        <is>
          <t>AUD</t>
        </is>
      </c>
      <c r="J212" t="n">
        <v>1.0971</v>
      </c>
      <c r="K212" s="5" t="inlineStr">
        <is>
          <t>01a1212c-6fc2-71f6-890f-f7e761000531</t>
        </is>
      </c>
      <c r="L212" s="5" t="inlineStr">
        <is>
          <t>01a1212c-9145-7407-94b2-8ca10c380294</t>
        </is>
      </c>
      <c r="M212" s="6" t="n">
        <v>44013</v>
      </c>
    </row>
    <row r="213">
      <c r="A213" s="5" t="inlineStr">
        <is>
          <t>01a1212c-919d-7757-be3b-70b067471fa0</t>
        </is>
      </c>
      <c r="D213" s="5" t="inlineStr">
        <is>
          <t>01a1212c-4b57-70cf-80fd-c2192cb3bf81</t>
        </is>
      </c>
      <c r="E213" s="4" t="n">
        <v>46304.62420626398</v>
      </c>
      <c r="F213" s="4" t="n">
        <v>46304.62420626405</v>
      </c>
      <c r="G213" t="b">
        <v>1</v>
      </c>
      <c r="I213" t="inlineStr">
        <is>
          <t>AUD</t>
        </is>
      </c>
      <c r="J213" t="n">
        <v>1.0971</v>
      </c>
      <c r="K213" s="5" t="inlineStr">
        <is>
          <t>01a1212c-7185-751c-93a4-e2a05054ca75</t>
        </is>
      </c>
      <c r="L213" s="5" t="inlineStr">
        <is>
          <t>01a1212c-9145-7407-94b2-8ca10c380294</t>
        </is>
      </c>
      <c r="M213" s="6" t="n">
        <v>44013</v>
      </c>
    </row>
    <row r="214">
      <c r="A214" s="5" t="inlineStr">
        <is>
          <t>01a1212c-91a3-71c3-8477-71f1c6e1fc3c</t>
        </is>
      </c>
      <c r="D214" s="5" t="inlineStr">
        <is>
          <t>01a1212c-4b57-70cf-80fd-c2192cb3bf81</t>
        </is>
      </c>
      <c r="E214" s="4" t="n">
        <v>46304.62420633767</v>
      </c>
      <c r="F214" s="4" t="n">
        <v>46304.62420633774</v>
      </c>
      <c r="G214" t="b">
        <v>1</v>
      </c>
      <c r="I214" t="inlineStr">
        <is>
          <t>AUD</t>
        </is>
      </c>
      <c r="J214" t="n">
        <v>1.0971</v>
      </c>
      <c r="K214" s="5" t="inlineStr">
        <is>
          <t>01a1212c-721a-74d7-b443-6cf4d510dcad</t>
        </is>
      </c>
      <c r="L214" s="5" t="inlineStr">
        <is>
          <t>01a1212c-9145-7407-94b2-8ca10c380294</t>
        </is>
      </c>
      <c r="M214" s="6" t="n">
        <v>44013</v>
      </c>
    </row>
    <row r="215">
      <c r="A215" s="5" t="inlineStr">
        <is>
          <t>01a1212c-91a9-74f1-9eb6-d71c5ea551c1</t>
        </is>
      </c>
      <c r="D215" s="5" t="inlineStr">
        <is>
          <t>01a1212c-4b57-70cf-80fd-c2192cb3bf81</t>
        </is>
      </c>
      <c r="E215" s="4" t="n">
        <v>46304.62420640508</v>
      </c>
      <c r="F215" s="4" t="n">
        <v>46304.62420640515</v>
      </c>
      <c r="G215" t="b">
        <v>1</v>
      </c>
      <c r="I215" t="inlineStr">
        <is>
          <t>AUD</t>
        </is>
      </c>
      <c r="J215" t="n">
        <v>1.0971</v>
      </c>
      <c r="K215" s="5" t="inlineStr">
        <is>
          <t>01a1212c-7264-75a0-a547-f07a5e635bc6</t>
        </is>
      </c>
      <c r="L215" s="5" t="inlineStr">
        <is>
          <t>01a1212c-9145-7407-94b2-8ca10c380294</t>
        </is>
      </c>
      <c r="M215" s="6" t="n">
        <v>44013</v>
      </c>
    </row>
    <row r="216">
      <c r="A216" s="5" t="inlineStr">
        <is>
          <t>01a1212c-91af-7078-89d4-41cda985e214</t>
        </is>
      </c>
      <c r="D216" s="5" t="inlineStr">
        <is>
          <t>01a1212c-4b57-70cf-80fd-c2192cb3bf81</t>
        </is>
      </c>
      <c r="E216" s="4" t="n">
        <v>46304.62420647233</v>
      </c>
      <c r="F216" s="4" t="n">
        <v>46304.6242064724</v>
      </c>
      <c r="G216" t="b">
        <v>1</v>
      </c>
      <c r="I216" t="inlineStr">
        <is>
          <t>AUD</t>
        </is>
      </c>
      <c r="J216" t="n">
        <v>1.2342</v>
      </c>
      <c r="K216" s="5" t="inlineStr">
        <is>
          <t>01a1212c-6ebd-7084-8e12-1c2acb9ea8e3</t>
        </is>
      </c>
      <c r="L216" s="5" t="inlineStr">
        <is>
          <t>01a1212c-9145-7407-94b2-8ca10c380294</t>
        </is>
      </c>
      <c r="M216" s="6" t="n">
        <v>44013</v>
      </c>
    </row>
    <row r="217">
      <c r="A217" s="5" t="inlineStr">
        <is>
          <t>01a1212c-91b5-7297-89bb-d069013a52b0</t>
        </is>
      </c>
      <c r="D217" s="5" t="inlineStr">
        <is>
          <t>01a1212c-4b57-70cf-80fd-c2192cb3bf81</t>
        </is>
      </c>
      <c r="E217" s="4" t="n">
        <v>46304.624206542</v>
      </c>
      <c r="F217" s="4" t="n">
        <v>46304.62420654207</v>
      </c>
      <c r="G217" t="b">
        <v>1</v>
      </c>
      <c r="I217" t="inlineStr">
        <is>
          <t>AUD</t>
        </is>
      </c>
      <c r="J217" t="n">
        <v>1.3714</v>
      </c>
      <c r="K217" s="5" t="inlineStr">
        <is>
          <t>01a1212c-6db6-75c6-a15a-3893db0236e1</t>
        </is>
      </c>
      <c r="L217" s="5" t="inlineStr">
        <is>
          <t>01a1212c-9145-7407-94b2-8ca10c380294</t>
        </is>
      </c>
      <c r="M217" s="6" t="n">
        <v>44013</v>
      </c>
    </row>
    <row r="218">
      <c r="A218" s="5" t="inlineStr">
        <is>
          <t>01a1212c-91ba-765d-9a0d-bd446bc49bc6</t>
        </is>
      </c>
      <c r="D218" s="5" t="inlineStr">
        <is>
          <t>01a1212c-4b57-70cf-80fd-c2192cb3bf81</t>
        </is>
      </c>
      <c r="E218" s="4" t="n">
        <v>46304.62420660666</v>
      </c>
      <c r="F218" s="4" t="n">
        <v>46304.62420660673</v>
      </c>
      <c r="G218" t="b">
        <v>1</v>
      </c>
      <c r="I218" t="inlineStr">
        <is>
          <t>AUD</t>
        </is>
      </c>
      <c r="J218" t="n">
        <v>1.3714</v>
      </c>
      <c r="K218" s="5" t="inlineStr">
        <is>
          <t>01a1212c-7066-75c9-8133-7c1e7c12164e</t>
        </is>
      </c>
      <c r="L218" s="5" t="inlineStr">
        <is>
          <t>01a1212c-9145-7407-94b2-8ca10c380294</t>
        </is>
      </c>
      <c r="M218" s="6" t="n">
        <v>44013</v>
      </c>
    </row>
    <row r="219">
      <c r="A219" s="5" t="inlineStr">
        <is>
          <t>01a1212c-91c0-7199-9305-7154cd09af87</t>
        </is>
      </c>
      <c r="D219" s="5" t="inlineStr">
        <is>
          <t>01a1212c-4b57-70cf-80fd-c2192cb3bf81</t>
        </is>
      </c>
      <c r="E219" s="4" t="n">
        <v>46304.62420667409</v>
      </c>
      <c r="F219" s="4" t="n">
        <v>46304.62420667415</v>
      </c>
      <c r="G219" t="b">
        <v>1</v>
      </c>
      <c r="I219" t="inlineStr">
        <is>
          <t>AUD</t>
        </is>
      </c>
      <c r="J219" t="n">
        <v>1.3714</v>
      </c>
      <c r="K219" s="5" t="inlineStr">
        <is>
          <t>01a1212c-7142-74d1-a420-87616f78ba3b</t>
        </is>
      </c>
      <c r="L219" s="5" t="inlineStr">
        <is>
          <t>01a1212c-9145-7407-94b2-8ca10c380294</t>
        </is>
      </c>
      <c r="M219" s="6" t="n">
        <v>44013</v>
      </c>
    </row>
    <row r="220">
      <c r="A220" s="5" t="inlineStr">
        <is>
          <t>01a1212c-91c8-758c-8ab9-ed567f25b980</t>
        </is>
      </c>
      <c r="D220" s="5" t="inlineStr">
        <is>
          <t>01a1212c-4b57-70cf-80fd-c2192cb3bf81</t>
        </is>
      </c>
      <c r="E220" s="4" t="n">
        <v>46304.6242067659</v>
      </c>
      <c r="F220" s="4" t="n">
        <v>46304.62420676596</v>
      </c>
      <c r="G220" t="b">
        <v>1</v>
      </c>
      <c r="I220" t="inlineStr">
        <is>
          <t>AUD</t>
        </is>
      </c>
      <c r="J220" t="n">
        <v>1.4149</v>
      </c>
      <c r="K220" s="5" t="inlineStr">
        <is>
          <t>01a1212c-7461-718b-a08a-ae58aa67a4dc</t>
        </is>
      </c>
      <c r="L220" s="5" t="inlineStr">
        <is>
          <t>01a1212c-9145-7407-94b2-8ca10c380294</t>
        </is>
      </c>
      <c r="M220" s="6" t="n">
        <v>44013</v>
      </c>
    </row>
    <row r="221">
      <c r="A221" s="5" t="inlineStr">
        <is>
          <t>01a1212c-91ce-72ed-831c-b225913b217a</t>
        </is>
      </c>
      <c r="D221" s="5" t="inlineStr">
        <is>
          <t>01a1212c-4b57-70cf-80fd-c2192cb3bf81</t>
        </is>
      </c>
      <c r="E221" s="4" t="n">
        <v>46304.62420683397</v>
      </c>
      <c r="F221" s="4" t="n">
        <v>46304.62420683404</v>
      </c>
      <c r="G221" t="b">
        <v>1</v>
      </c>
      <c r="I221" t="inlineStr">
        <is>
          <t>AUD</t>
        </is>
      </c>
      <c r="J221" t="n">
        <v>1.6456</v>
      </c>
      <c r="K221" s="5" t="inlineStr">
        <is>
          <t>01a1212c-6e0b-74a6-b1c4-92fd51554f70</t>
        </is>
      </c>
      <c r="L221" s="5" t="inlineStr">
        <is>
          <t>01a1212c-9145-7407-94b2-8ca10c380294</t>
        </is>
      </c>
      <c r="M221" s="6" t="n">
        <v>44013</v>
      </c>
    </row>
    <row r="222">
      <c r="A222" s="5" t="inlineStr">
        <is>
          <t>01a1212c-91d5-7393-81ef-aedfeb512492</t>
        </is>
      </c>
      <c r="D222" s="5" t="inlineStr">
        <is>
          <t>01a1212c-4b57-70cf-80fd-c2192cb3bf81</t>
        </is>
      </c>
      <c r="E222" s="4" t="n">
        <v>46304.62420691339</v>
      </c>
      <c r="F222" s="4" t="n">
        <v>46304.62420691346</v>
      </c>
      <c r="G222" t="b">
        <v>1</v>
      </c>
      <c r="I222" t="inlineStr">
        <is>
          <t>AUD</t>
        </is>
      </c>
      <c r="J222" t="n">
        <v>1.6738</v>
      </c>
      <c r="K222" s="5" t="inlineStr">
        <is>
          <t>01a1212c-741c-732e-b238-83e9eab5ef79</t>
        </is>
      </c>
      <c r="L222" s="5" t="inlineStr">
        <is>
          <t>01a1212c-9145-7407-94b2-8ca10c380294</t>
        </is>
      </c>
      <c r="M222" s="6" t="n">
        <v>44013</v>
      </c>
    </row>
    <row r="223">
      <c r="A223" s="5" t="inlineStr">
        <is>
          <t>01a1212c-91db-772f-92e1-df2f85b68005</t>
        </is>
      </c>
      <c r="D223" s="5" t="inlineStr">
        <is>
          <t>01a1212c-4b57-70cf-80fd-c2192cb3bf81</t>
        </is>
      </c>
      <c r="E223" s="4" t="n">
        <v>46304.62420698097</v>
      </c>
      <c r="F223" s="4" t="n">
        <v>46304.62420698104</v>
      </c>
      <c r="G223" t="b">
        <v>1</v>
      </c>
      <c r="I223" t="inlineStr">
        <is>
          <t>AUD</t>
        </is>
      </c>
      <c r="J223" t="n">
        <v>1.7583</v>
      </c>
      <c r="K223" s="5" t="inlineStr">
        <is>
          <t>01a1212c-7381-769a-8076-e7b050fbdfd3</t>
        </is>
      </c>
      <c r="L223" s="5" t="inlineStr">
        <is>
          <t>01a1212c-9145-7407-94b2-8ca10c380294</t>
        </is>
      </c>
      <c r="M223" s="6" t="n">
        <v>44013</v>
      </c>
    </row>
    <row r="224">
      <c r="A224" s="5" t="inlineStr">
        <is>
          <t>01a1212c-91e1-741d-b3bb-2e3788e5c878</t>
        </is>
      </c>
      <c r="D224" s="5" t="inlineStr">
        <is>
          <t>01a1212c-4b57-70cf-80fd-c2192cb3bf81</t>
        </is>
      </c>
      <c r="E224" s="4" t="n">
        <v>46304.62420705022</v>
      </c>
      <c r="F224" s="4" t="n">
        <v>46304.6242070503</v>
      </c>
      <c r="G224" t="b">
        <v>1</v>
      </c>
      <c r="I224" t="inlineStr">
        <is>
          <t>AUD</t>
        </is>
      </c>
      <c r="J224" t="n">
        <v>1.7828</v>
      </c>
      <c r="K224" s="5" t="inlineStr">
        <is>
          <t>01a1212c-6d76-76a9-b3fa-2e49f1ec83bd</t>
        </is>
      </c>
      <c r="L224" s="5" t="inlineStr">
        <is>
          <t>01a1212c-9145-7407-94b2-8ca10c380294</t>
        </is>
      </c>
      <c r="M224" s="6" t="n">
        <v>44013</v>
      </c>
    </row>
    <row r="225">
      <c r="A225" s="5" t="inlineStr">
        <is>
          <t>01a1212c-91e7-740e-9d35-25176358f48f</t>
        </is>
      </c>
      <c r="D225" s="5" t="inlineStr">
        <is>
          <t>01a1212c-4b57-70cf-80fd-c2192cb3bf81</t>
        </is>
      </c>
      <c r="E225" s="4" t="n">
        <v>46304.62420712168</v>
      </c>
      <c r="F225" s="4" t="n">
        <v>46304.62420712176</v>
      </c>
      <c r="G225" t="b">
        <v>1</v>
      </c>
      <c r="I225" t="inlineStr">
        <is>
          <t>AUD</t>
        </is>
      </c>
      <c r="J225" t="n">
        <v>1.7828</v>
      </c>
      <c r="K225" s="5" t="inlineStr">
        <is>
          <t>01a1212c-6efd-73be-a0d7-c82e3f8af4ac</t>
        </is>
      </c>
      <c r="L225" s="5" t="inlineStr">
        <is>
          <t>01a1212c-9145-7407-94b2-8ca10c380294</t>
        </is>
      </c>
      <c r="M225" s="6" t="n">
        <v>44013</v>
      </c>
    </row>
    <row r="226">
      <c r="A226" s="5" t="inlineStr">
        <is>
          <t>01a1212c-91ed-7542-8fd2-bb156dcc4d9c</t>
        </is>
      </c>
      <c r="D226" s="5" t="inlineStr">
        <is>
          <t>01a1212c-4b57-70cf-80fd-c2192cb3bf81</t>
        </is>
      </c>
      <c r="E226" s="4" t="n">
        <v>46304.62420719087</v>
      </c>
      <c r="F226" s="4" t="n">
        <v>46304.62420719094</v>
      </c>
      <c r="G226" t="b">
        <v>1</v>
      </c>
      <c r="I226" t="inlineStr">
        <is>
          <t>AUD</t>
        </is>
      </c>
      <c r="J226" t="n">
        <v>1.7828</v>
      </c>
      <c r="K226" s="5" t="inlineStr">
        <is>
          <t>01a1212c-70d6-7608-9b7d-a9f3b20fcd42</t>
        </is>
      </c>
      <c r="L226" s="5" t="inlineStr">
        <is>
          <t>01a1212c-9145-7407-94b2-8ca10c380294</t>
        </is>
      </c>
      <c r="M226" s="6" t="n">
        <v>44013</v>
      </c>
    </row>
    <row r="227">
      <c r="A227" s="5" t="inlineStr">
        <is>
          <t>01a1212c-91f3-7637-bb12-235e50cfa0fe</t>
        </is>
      </c>
      <c r="D227" s="5" t="inlineStr">
        <is>
          <t>01a1212c-4b57-70cf-80fd-c2192cb3bf81</t>
        </is>
      </c>
      <c r="E227" s="4" t="n">
        <v>46304.62420726889</v>
      </c>
      <c r="F227" s="4" t="n">
        <v>46304.62420726897</v>
      </c>
      <c r="G227" t="b">
        <v>1</v>
      </c>
      <c r="I227" t="inlineStr">
        <is>
          <t>AUD</t>
        </is>
      </c>
      <c r="J227" t="n">
        <v>1.7828</v>
      </c>
      <c r="K227" s="5" t="inlineStr">
        <is>
          <t>01a1212c-7102-774f-b90a-23a16e3eac92</t>
        </is>
      </c>
      <c r="L227" s="5" t="inlineStr">
        <is>
          <t>01a1212c-9145-7407-94b2-8ca10c380294</t>
        </is>
      </c>
      <c r="M227" s="6" t="n">
        <v>44013</v>
      </c>
    </row>
    <row r="228">
      <c r="A228" s="5" t="inlineStr">
        <is>
          <t>01a1212c-91fa-71f8-8692-e2d9d6674cb8</t>
        </is>
      </c>
      <c r="D228" s="5" t="inlineStr">
        <is>
          <t>01a1212c-4b57-70cf-80fd-c2192cb3bf81</t>
        </is>
      </c>
      <c r="E228" s="4" t="n">
        <v>46304.62420734164</v>
      </c>
      <c r="F228" s="4" t="n">
        <v>46304.62420734174</v>
      </c>
      <c r="G228" t="b">
        <v>1</v>
      </c>
      <c r="I228" t="inlineStr">
        <is>
          <t>AUD</t>
        </is>
      </c>
      <c r="J228" t="n">
        <v>1.7828</v>
      </c>
      <c r="K228" s="5" t="inlineStr">
        <is>
          <t>01a1212c-72fa-746a-b6d8-923ee91edd31</t>
        </is>
      </c>
      <c r="L228" s="5" t="inlineStr">
        <is>
          <t>01a1212c-9145-7407-94b2-8ca10c380294</t>
        </is>
      </c>
      <c r="M228" s="6" t="n">
        <v>44013</v>
      </c>
    </row>
    <row r="229">
      <c r="A229" s="5" t="inlineStr">
        <is>
          <t>01a1212c-9200-701b-9a11-0c7fc8414c2f</t>
        </is>
      </c>
      <c r="D229" s="5" t="inlineStr">
        <is>
          <t>01a1212c-4b57-70cf-80fd-c2192cb3bf81</t>
        </is>
      </c>
      <c r="E229" s="4" t="n">
        <v>46304.62420741131</v>
      </c>
      <c r="F229" s="4" t="n">
        <v>46304.62420741138</v>
      </c>
      <c r="G229" t="b">
        <v>1</v>
      </c>
      <c r="I229" t="inlineStr">
        <is>
          <t>AUD</t>
        </is>
      </c>
      <c r="J229" t="n">
        <v>1.7828</v>
      </c>
      <c r="K229" s="5" t="inlineStr">
        <is>
          <t>01a1212c-7327-74d8-96b9-c942c63d839c</t>
        </is>
      </c>
      <c r="L229" s="5" t="inlineStr">
        <is>
          <t>01a1212c-9145-7407-94b2-8ca10c380294</t>
        </is>
      </c>
      <c r="M229" s="6" t="n">
        <v>44013</v>
      </c>
    </row>
    <row r="230">
      <c r="A230" s="5" t="inlineStr">
        <is>
          <t>01a1212c-9206-771e-b316-6cf35b2ad745</t>
        </is>
      </c>
      <c r="D230" s="5" t="inlineStr">
        <is>
          <t>01a1212c-4b57-70cf-80fd-c2192cb3bf81</t>
        </is>
      </c>
      <c r="E230" s="4" t="n">
        <v>46304.62420747842</v>
      </c>
      <c r="F230" s="4" t="n">
        <v>46304.6242074785</v>
      </c>
      <c r="G230" t="b">
        <v>1</v>
      </c>
      <c r="I230" t="inlineStr">
        <is>
          <t>AUD</t>
        </is>
      </c>
      <c r="J230" t="n">
        <v>1.9199</v>
      </c>
      <c r="K230" s="5" t="inlineStr">
        <is>
          <t>01a1212c-6f3f-76d2-bfcb-3c0b514d7327</t>
        </is>
      </c>
      <c r="L230" s="5" t="inlineStr">
        <is>
          <t>01a1212c-9145-7407-94b2-8ca10c380294</t>
        </is>
      </c>
      <c r="M230" s="6" t="n">
        <v>44013</v>
      </c>
    </row>
    <row r="231">
      <c r="A231" s="5" t="inlineStr">
        <is>
          <t>01a1212c-920b-70dc-b652-c604f3bdbf5e</t>
        </is>
      </c>
      <c r="D231" s="5" t="inlineStr">
        <is>
          <t>01a1212c-4b57-70cf-80fd-c2192cb3bf81</t>
        </is>
      </c>
      <c r="E231" s="4" t="n">
        <v>46304.62420754584</v>
      </c>
      <c r="F231" s="4" t="n">
        <v>46304.6242075459</v>
      </c>
      <c r="G231" t="b">
        <v>1</v>
      </c>
      <c r="I231" t="inlineStr">
        <is>
          <t>AUD</t>
        </is>
      </c>
      <c r="J231" t="n">
        <v>1.9199</v>
      </c>
      <c r="K231" s="5" t="inlineStr">
        <is>
          <t>01a1212c-6feb-74aa-bf31-ee2f8fd37754</t>
        </is>
      </c>
      <c r="L231" s="5" t="inlineStr">
        <is>
          <t>01a1212c-9145-7407-94b2-8ca10c380294</t>
        </is>
      </c>
      <c r="M231" s="6" t="n">
        <v>44013</v>
      </c>
    </row>
    <row r="232">
      <c r="A232" s="5" t="inlineStr">
        <is>
          <t>01a1212c-9211-7315-88c2-161dfec390d0</t>
        </is>
      </c>
      <c r="D232" s="5" t="inlineStr">
        <is>
          <t>01a1212c-4b57-70cf-80fd-c2192cb3bf81</t>
        </is>
      </c>
      <c r="E232" s="4" t="n">
        <v>46304.62420761649</v>
      </c>
      <c r="F232" s="4" t="n">
        <v>46304.62420761657</v>
      </c>
      <c r="G232" t="b">
        <v>1</v>
      </c>
      <c r="I232" t="inlineStr">
        <is>
          <t>AUD</t>
        </is>
      </c>
      <c r="J232" t="n">
        <v>1.9199</v>
      </c>
      <c r="K232" s="5" t="inlineStr">
        <is>
          <t>01a1212c-7028-718e-b2ce-9f6f2a580d3c</t>
        </is>
      </c>
      <c r="L232" s="5" t="inlineStr">
        <is>
          <t>01a1212c-9145-7407-94b2-8ca10c380294</t>
        </is>
      </c>
      <c r="M232" s="6" t="n">
        <v>44013</v>
      </c>
    </row>
    <row r="233">
      <c r="A233" s="5" t="inlineStr">
        <is>
          <t>01a1212c-9217-7373-b504-a6a8de6550c4</t>
        </is>
      </c>
      <c r="D233" s="5" t="inlineStr">
        <is>
          <t>01a1212c-4b57-70cf-80fd-c2192cb3bf81</t>
        </is>
      </c>
      <c r="E233" s="4" t="n">
        <v>46304.62420768359</v>
      </c>
      <c r="F233" s="4" t="n">
        <v>46304.62420768366</v>
      </c>
      <c r="G233" t="b">
        <v>1</v>
      </c>
      <c r="I233" t="inlineStr">
        <is>
          <t>AUD</t>
        </is>
      </c>
      <c r="J233" t="n">
        <v>1.9199</v>
      </c>
      <c r="K233" s="5" t="inlineStr">
        <is>
          <t>01a1212c-71d9-7647-901b-c597ca2d48c9</t>
        </is>
      </c>
      <c r="L233" s="5" t="inlineStr">
        <is>
          <t>01a1212c-9145-7407-94b2-8ca10c380294</t>
        </is>
      </c>
      <c r="M233" s="6" t="n">
        <v>44013</v>
      </c>
    </row>
    <row r="234">
      <c r="A234" s="5" t="inlineStr">
        <is>
          <t>01a1212c-921d-771b-9f84-68ec7fe52787</t>
        </is>
      </c>
      <c r="D234" s="5" t="inlineStr">
        <is>
          <t>01a1212c-4b57-70cf-80fd-c2192cb3bf81</t>
        </is>
      </c>
      <c r="E234" s="4" t="n">
        <v>46304.62420775236</v>
      </c>
      <c r="F234" s="4" t="n">
        <v>46304.62420775243</v>
      </c>
      <c r="G234" t="b">
        <v>1</v>
      </c>
      <c r="I234" t="inlineStr">
        <is>
          <t>AUD</t>
        </is>
      </c>
      <c r="J234" t="n">
        <v>2.057</v>
      </c>
      <c r="K234" s="5" t="inlineStr">
        <is>
          <t>01a1212c-6e66-7046-82e1-a0df222b5449</t>
        </is>
      </c>
      <c r="L234" s="5" t="inlineStr">
        <is>
          <t>01a1212c-9145-7407-94b2-8ca10c380294</t>
        </is>
      </c>
      <c r="M234" s="6" t="n">
        <v>44013</v>
      </c>
    </row>
    <row r="235">
      <c r="A235" s="5" t="inlineStr">
        <is>
          <t>01a1212c-9225-72be-b639-7d5e5afae27a</t>
        </is>
      </c>
      <c r="D235" s="5" t="inlineStr">
        <is>
          <t>01a1212c-4b57-70cf-80fd-c2192cb3bf81</t>
        </is>
      </c>
      <c r="E235" s="4" t="n">
        <v>46304.6242078375</v>
      </c>
      <c r="F235" s="4" t="n">
        <v>46304.62420783757</v>
      </c>
      <c r="G235" t="b">
        <v>1</v>
      </c>
      <c r="I235" t="inlineStr">
        <is>
          <t>AUD</t>
        </is>
      </c>
      <c r="J235" t="n">
        <v>2.057</v>
      </c>
      <c r="K235" s="5" t="inlineStr">
        <is>
          <t>01a1212c-71ae-7629-9101-f4aefddb3353</t>
        </is>
      </c>
      <c r="L235" s="5" t="inlineStr">
        <is>
          <t>01a1212c-9145-7407-94b2-8ca10c380294</t>
        </is>
      </c>
      <c r="M235" s="6" t="n">
        <v>44013</v>
      </c>
    </row>
    <row r="236">
      <c r="A236" s="5" t="inlineStr">
        <is>
          <t>01a1212c-922a-716e-9a48-a4ee8523e1cf</t>
        </is>
      </c>
      <c r="D236" s="5" t="inlineStr">
        <is>
          <t>01a1212c-4b57-70cf-80fd-c2192cb3bf81</t>
        </is>
      </c>
      <c r="E236" s="4" t="n">
        <v>46304.62420790265</v>
      </c>
      <c r="F236" s="4" t="n">
        <v>46304.62420790272</v>
      </c>
      <c r="G236" t="b">
        <v>1</v>
      </c>
      <c r="I236" t="inlineStr">
        <is>
          <t>AUD</t>
        </is>
      </c>
      <c r="J236" t="n">
        <v>2.1937</v>
      </c>
      <c r="K236" s="5" t="inlineStr">
        <is>
          <t>01a1212c-6d4c-7285-883b-40007c7bea5b</t>
        </is>
      </c>
      <c r="L236" s="5" t="inlineStr">
        <is>
          <t>01a1212c-9145-7407-94b2-8ca10c380294</t>
        </is>
      </c>
      <c r="M236" s="6" t="n">
        <v>44013</v>
      </c>
    </row>
    <row r="237">
      <c r="A237" s="5" t="inlineStr">
        <is>
          <t>01a1212c-92c0-7162-b3c1-4260e9b4500d</t>
        </is>
      </c>
      <c r="D237" s="5" t="inlineStr">
        <is>
          <t>01a1212c-4b57-70cf-80fd-c2192cb3bf81</t>
        </is>
      </c>
      <c r="E237" s="4" t="n">
        <v>46304.62420963948</v>
      </c>
      <c r="F237" s="4" t="n">
        <v>46304.62420963956</v>
      </c>
      <c r="G237" t="b">
        <v>1</v>
      </c>
      <c r="I237" t="inlineStr">
        <is>
          <t>AUD</t>
        </is>
      </c>
      <c r="J237" t="n">
        <v>0.065</v>
      </c>
      <c r="K237" s="5" t="inlineStr">
        <is>
          <t>01a1212c-762f-7733-8b01-f44cad85b151</t>
        </is>
      </c>
      <c r="L237" s="5" t="inlineStr">
        <is>
          <t>01a1212c-92bc-721b-87d2-9965816a5873</t>
        </is>
      </c>
      <c r="M237" s="6" t="n">
        <v>44013</v>
      </c>
    </row>
    <row r="238">
      <c r="A238" s="5" t="inlineStr">
        <is>
          <t>01a1212c-92c7-75e9-9e11-28ea83a0f28b</t>
        </is>
      </c>
      <c r="D238" s="5" t="inlineStr">
        <is>
          <t>01a1212c-4b57-70cf-80fd-c2192cb3bf81</t>
        </is>
      </c>
      <c r="E238" s="4" t="n">
        <v>46304.62420971227</v>
      </c>
      <c r="F238" s="4" t="n">
        <v>46304.62420971234</v>
      </c>
      <c r="G238" t="b">
        <v>1</v>
      </c>
      <c r="I238" t="inlineStr">
        <is>
          <t>AUD</t>
        </is>
      </c>
      <c r="J238" t="n">
        <v>0.3084</v>
      </c>
      <c r="K238" s="5" t="inlineStr">
        <is>
          <t>01a1212c-75ec-7606-87d2-d682d2730242</t>
        </is>
      </c>
      <c r="L238" s="5" t="inlineStr">
        <is>
          <t>01a1212c-92bc-721b-87d2-9965816a5873</t>
        </is>
      </c>
      <c r="M238" s="6" t="n">
        <v>44013</v>
      </c>
    </row>
    <row r="239">
      <c r="A239" s="5" t="inlineStr">
        <is>
          <t>01a1212c-92cc-723f-bbfa-acf7c8992b1f</t>
        </is>
      </c>
      <c r="D239" s="5" t="inlineStr">
        <is>
          <t>01a1212c-4b57-70cf-80fd-c2192cb3bf81</t>
        </is>
      </c>
      <c r="E239" s="4" t="n">
        <v>46304.62420977656</v>
      </c>
      <c r="F239" s="4" t="n">
        <v>46304.62420977662</v>
      </c>
      <c r="G239" t="b">
        <v>1</v>
      </c>
      <c r="I239" t="inlineStr">
        <is>
          <t>AUD</t>
        </is>
      </c>
      <c r="J239" t="n">
        <v>0.3211</v>
      </c>
      <c r="K239" s="5" t="inlineStr">
        <is>
          <t>01a1212c-75aa-735b-b4ee-0e53e375e6f4</t>
        </is>
      </c>
      <c r="L239" s="5" t="inlineStr">
        <is>
          <t>01a1212c-92bc-721b-87d2-9965816a5873</t>
        </is>
      </c>
      <c r="M239" s="6" t="n">
        <v>44013</v>
      </c>
    </row>
    <row r="240">
      <c r="A240" s="5" t="inlineStr">
        <is>
          <t>01a1212c-92d2-7095-b62b-1a70dbe2b837</t>
        </is>
      </c>
      <c r="D240" s="5" t="inlineStr">
        <is>
          <t>01a1212c-4b57-70cf-80fd-c2192cb3bf81</t>
        </is>
      </c>
      <c r="E240" s="4" t="n">
        <v>46304.62420984544</v>
      </c>
      <c r="F240" s="4" t="n">
        <v>46304.62420984551</v>
      </c>
      <c r="G240" t="b">
        <v>1</v>
      </c>
      <c r="I240" t="inlineStr">
        <is>
          <t>AUD</t>
        </is>
      </c>
      <c r="J240" t="n">
        <v>0.4739</v>
      </c>
      <c r="K240" s="5" t="inlineStr">
        <is>
          <t>01a1212c-757f-767f-8272-690dfe1bbf2a</t>
        </is>
      </c>
      <c r="L240" s="5" t="inlineStr">
        <is>
          <t>01a1212c-92bc-721b-87d2-9965816a5873</t>
        </is>
      </c>
      <c r="M240" s="6" t="n">
        <v>44013</v>
      </c>
    </row>
    <row r="241">
      <c r="A241" s="5" t="inlineStr">
        <is>
          <t>01a1212c-92d8-7404-b3fc-f126be4bcf3b</t>
        </is>
      </c>
      <c r="D241" s="5" t="inlineStr">
        <is>
          <t>01a1212c-4b57-70cf-80fd-c2192cb3bf81</t>
        </is>
      </c>
      <c r="E241" s="4" t="n">
        <v>46304.62420991108</v>
      </c>
      <c r="F241" s="4" t="n">
        <v>46304.62420991115</v>
      </c>
      <c r="G241" t="b">
        <v>1</v>
      </c>
      <c r="I241" t="inlineStr">
        <is>
          <t>AUD</t>
        </is>
      </c>
      <c r="J241" t="n">
        <v>0.6646</v>
      </c>
      <c r="K241" s="5" t="inlineStr">
        <is>
          <t>01a1212c-7515-75a9-bea4-d4a41e7286ba</t>
        </is>
      </c>
      <c r="L241" s="5" t="inlineStr">
        <is>
          <t>01a1212c-92bc-721b-87d2-9965816a5873</t>
        </is>
      </c>
      <c r="M241" s="6" t="n">
        <v>44013</v>
      </c>
    </row>
    <row r="242">
      <c r="A242" s="5" t="inlineStr">
        <is>
          <t>01a1212c-92dd-775e-b451-95b7bfbf9fa3</t>
        </is>
      </c>
      <c r="D242" s="5" t="inlineStr">
        <is>
          <t>01a1212c-4b57-70cf-80fd-c2192cb3bf81</t>
        </is>
      </c>
      <c r="E242" s="4" t="n">
        <v>46304.62420997732</v>
      </c>
      <c r="F242" s="4" t="n">
        <v>46304.62420997738</v>
      </c>
      <c r="G242" t="b">
        <v>1</v>
      </c>
      <c r="I242" t="inlineStr">
        <is>
          <t>AUD</t>
        </is>
      </c>
      <c r="J242" t="n">
        <v>0.7669</v>
      </c>
      <c r="K242" s="5" t="inlineStr">
        <is>
          <t>01a1212c-74bb-70c4-8e52-54a02ff26207</t>
        </is>
      </c>
      <c r="L242" s="5" t="inlineStr">
        <is>
          <t>01a1212c-92bc-721b-87d2-9965816a5873</t>
        </is>
      </c>
      <c r="M242" s="6" t="n">
        <v>44013</v>
      </c>
    </row>
    <row r="243">
      <c r="A243" s="5" t="inlineStr">
        <is>
          <t>01a1212c-92e3-7091-a0cc-3c7a7ed439cf</t>
        </is>
      </c>
      <c r="D243" s="5" t="inlineStr">
        <is>
          <t>01a1212c-4b57-70cf-80fd-c2192cb3bf81</t>
        </is>
      </c>
      <c r="E243" s="4" t="n">
        <v>46304.62421004425</v>
      </c>
      <c r="F243" s="4" t="n">
        <v>46304.62421004432</v>
      </c>
      <c r="G243" t="b">
        <v>1</v>
      </c>
      <c r="I243" t="inlineStr">
        <is>
          <t>AUD</t>
        </is>
      </c>
      <c r="J243" t="n">
        <v>0.7736</v>
      </c>
      <c r="K243" s="5" t="inlineStr">
        <is>
          <t>01a1212c-753f-736c-986a-a53b3d31334e</t>
        </is>
      </c>
      <c r="L243" s="5" t="inlineStr">
        <is>
          <t>01a1212c-92bc-721b-87d2-9965816a5873</t>
        </is>
      </c>
      <c r="M243" s="6" t="n">
        <v>44013</v>
      </c>
    </row>
    <row r="244">
      <c r="A244" s="5" t="inlineStr">
        <is>
          <t>01a1212c-92e9-7105-8927-c24444a3ef36</t>
        </is>
      </c>
      <c r="D244" s="5" t="inlineStr">
        <is>
          <t>01a1212c-4b57-70cf-80fd-c2192cb3bf81</t>
        </is>
      </c>
      <c r="E244" s="4" t="n">
        <v>46304.62421010992</v>
      </c>
      <c r="F244" s="4" t="n">
        <v>46304.62421010999</v>
      </c>
      <c r="G244" t="b">
        <v>1</v>
      </c>
      <c r="I244" t="inlineStr">
        <is>
          <t>AUD</t>
        </is>
      </c>
      <c r="J244" t="n">
        <v>0.8264</v>
      </c>
      <c r="K244" s="5" t="inlineStr">
        <is>
          <t>01a1212c-7406-7791-9482-a05d6cc76c10</t>
        </is>
      </c>
      <c r="L244" s="5" t="inlineStr">
        <is>
          <t>01a1212c-92bc-721b-87d2-9965816a5873</t>
        </is>
      </c>
      <c r="M244" s="6" t="n">
        <v>44013</v>
      </c>
    </row>
    <row r="245">
      <c r="A245" s="5" t="inlineStr">
        <is>
          <t>01a1212c-92ef-7261-afcb-ed5ebc09089c</t>
        </is>
      </c>
      <c r="D245" s="5" t="inlineStr">
        <is>
          <t>01a1212c-4b57-70cf-80fd-c2192cb3bf81</t>
        </is>
      </c>
      <c r="E245" s="4" t="n">
        <v>46304.62421018267</v>
      </c>
      <c r="F245" s="4" t="n">
        <v>46304.62421018274</v>
      </c>
      <c r="G245" t="b">
        <v>1</v>
      </c>
      <c r="I245" t="inlineStr">
        <is>
          <t>AUD</t>
        </is>
      </c>
      <c r="J245" t="n">
        <v>0.9993</v>
      </c>
      <c r="K245" s="5" t="inlineStr">
        <is>
          <t>01a1212c-72ce-758f-a1e1-774c3e0a5001</t>
        </is>
      </c>
      <c r="L245" s="5" t="inlineStr">
        <is>
          <t>01a1212c-92bc-721b-87d2-9965816a5873</t>
        </is>
      </c>
      <c r="M245" s="6" t="n">
        <v>44013</v>
      </c>
    </row>
    <row r="246">
      <c r="A246" s="5" t="inlineStr">
        <is>
          <t>01a1212c-92f5-74fd-bbfb-3514e4bc2e96</t>
        </is>
      </c>
      <c r="D246" s="5" t="inlineStr">
        <is>
          <t>01a1212c-4b57-70cf-80fd-c2192cb3bf81</t>
        </is>
      </c>
      <c r="E246" s="4" t="n">
        <v>46304.62421025152</v>
      </c>
      <c r="F246" s="4" t="n">
        <v>46304.6242102516</v>
      </c>
      <c r="G246" t="b">
        <v>1</v>
      </c>
      <c r="I246" t="inlineStr">
        <is>
          <t>AUD</t>
        </is>
      </c>
      <c r="J246" t="n">
        <v>1.0902</v>
      </c>
      <c r="K246" s="5" t="inlineStr">
        <is>
          <t>01a1212c-6998-74b0-bc81-af5dbb051f7a</t>
        </is>
      </c>
      <c r="L246" s="5" t="inlineStr">
        <is>
          <t>01a1212c-92bc-721b-87d2-9965816a5873</t>
        </is>
      </c>
      <c r="M246" s="6" t="n">
        <v>44013</v>
      </c>
    </row>
    <row r="247">
      <c r="A247" s="5" t="inlineStr">
        <is>
          <t>01a1212c-92fb-7211-a3b9-e0a42445302f</t>
        </is>
      </c>
      <c r="D247" s="5" t="inlineStr">
        <is>
          <t>01a1212c-4b57-70cf-80fd-c2192cb3bf81</t>
        </is>
      </c>
      <c r="E247" s="4" t="n">
        <v>46304.62421031894</v>
      </c>
      <c r="F247" s="4" t="n">
        <v>46304.62421031902</v>
      </c>
      <c r="G247" t="b">
        <v>1</v>
      </c>
      <c r="I247" t="inlineStr">
        <is>
          <t>AUD</t>
        </is>
      </c>
      <c r="J247" t="n">
        <v>1.0902</v>
      </c>
      <c r="K247" s="5" t="inlineStr">
        <is>
          <t>01a1212c-7278-7734-b344-b828fba43ba6</t>
        </is>
      </c>
      <c r="L247" s="5" t="inlineStr">
        <is>
          <t>01a1212c-92bc-721b-87d2-9965816a5873</t>
        </is>
      </c>
      <c r="M247" s="6" t="n">
        <v>44013</v>
      </c>
    </row>
    <row r="248">
      <c r="A248" s="5" t="inlineStr">
        <is>
          <t>01a1212c-9301-725e-96e1-84b7f319cc91</t>
        </is>
      </c>
      <c r="D248" s="5" t="inlineStr">
        <is>
          <t>01a1212c-4b57-70cf-80fd-c2192cb3bf81</t>
        </is>
      </c>
      <c r="E248" s="4" t="n">
        <v>46304.62421038884</v>
      </c>
      <c r="F248" s="4" t="n">
        <v>46304.62421038891</v>
      </c>
      <c r="G248" t="b">
        <v>1</v>
      </c>
      <c r="I248" t="inlineStr">
        <is>
          <t>AUD</t>
        </is>
      </c>
      <c r="J248" t="n">
        <v>1.128</v>
      </c>
      <c r="K248" s="5" t="inlineStr">
        <is>
          <t>01a1212c-74e5-7395-a1a4-2bc2487a534d</t>
        </is>
      </c>
      <c r="L248" s="5" t="inlineStr">
        <is>
          <t>01a1212c-92bc-721b-87d2-9965816a5873</t>
        </is>
      </c>
      <c r="M248" s="6" t="n">
        <v>44013</v>
      </c>
    </row>
    <row r="249">
      <c r="A249" s="5" t="inlineStr">
        <is>
          <t>01a1212c-9307-7241-ae30-c0c45c4175b6</t>
        </is>
      </c>
      <c r="D249" s="5" t="inlineStr">
        <is>
          <t>01a1212c-4b57-70cf-80fd-c2192cb3bf81</t>
        </is>
      </c>
      <c r="E249" s="4" t="n">
        <v>46304.6242104566</v>
      </c>
      <c r="F249" s="4" t="n">
        <v>46304.62421045668</v>
      </c>
      <c r="G249" t="b">
        <v>1</v>
      </c>
      <c r="I249" t="inlineStr">
        <is>
          <t>AUD</t>
        </is>
      </c>
      <c r="J249" t="n">
        <v>1.2719</v>
      </c>
      <c r="K249" s="5" t="inlineStr">
        <is>
          <t>01a1212c-6fd7-7372-ba43-20c51ef00ee0</t>
        </is>
      </c>
      <c r="L249" s="5" t="inlineStr">
        <is>
          <t>01a1212c-92bc-721b-87d2-9965816a5873</t>
        </is>
      </c>
      <c r="M249" s="6" t="n">
        <v>44013</v>
      </c>
    </row>
    <row r="250">
      <c r="A250" s="5" t="inlineStr">
        <is>
          <t>01a1212c-930d-7191-925a-4b1f2851fd4b</t>
        </is>
      </c>
      <c r="D250" s="5" t="inlineStr">
        <is>
          <t>01a1212c-4b57-70cf-80fd-c2192cb3bf81</t>
        </is>
      </c>
      <c r="E250" s="4" t="n">
        <v>46304.62421053299</v>
      </c>
      <c r="F250" s="4" t="n">
        <v>46304.6242105333</v>
      </c>
      <c r="G250" t="b">
        <v>1</v>
      </c>
      <c r="I250" t="inlineStr">
        <is>
          <t>AUD</t>
        </is>
      </c>
      <c r="J250" t="n">
        <v>1.2719</v>
      </c>
      <c r="K250" s="5" t="inlineStr">
        <is>
          <t>01a1212c-7230-7671-90fb-9b2a12ecb44c</t>
        </is>
      </c>
      <c r="L250" s="5" t="inlineStr">
        <is>
          <t>01a1212c-92bc-721b-87d2-9965816a5873</t>
        </is>
      </c>
      <c r="M250" s="6" t="n">
        <v>44013</v>
      </c>
    </row>
    <row r="251">
      <c r="A251" s="5" t="inlineStr">
        <is>
          <t>01a1212c-9314-75e3-af52-642be7ce0cbd</t>
        </is>
      </c>
      <c r="D251" s="5" t="inlineStr">
        <is>
          <t>01a1212c-4b57-70cf-80fd-c2192cb3bf81</t>
        </is>
      </c>
      <c r="E251" s="4" t="n">
        <v>46304.62421060364</v>
      </c>
      <c r="F251" s="4" t="n">
        <v>46304.6242106037</v>
      </c>
      <c r="G251" t="b">
        <v>1</v>
      </c>
      <c r="I251" t="inlineStr">
        <is>
          <t>AUD</t>
        </is>
      </c>
      <c r="J251" t="n">
        <v>1.3627</v>
      </c>
      <c r="K251" s="5" t="inlineStr">
        <is>
          <t>01a1212c-6b88-7320-ad83-9bb2175f9188</t>
        </is>
      </c>
      <c r="L251" s="5" t="inlineStr">
        <is>
          <t>01a1212c-92bc-721b-87d2-9965816a5873</t>
        </is>
      </c>
      <c r="M251" s="6" t="n">
        <v>44013</v>
      </c>
    </row>
    <row r="252">
      <c r="A252" s="5" t="inlineStr">
        <is>
          <t>01a1212c-931a-74c4-a99f-28e87c78873a</t>
        </is>
      </c>
      <c r="D252" s="5" t="inlineStr">
        <is>
          <t>01a1212c-4b57-70cf-80fd-c2192cb3bf81</t>
        </is>
      </c>
      <c r="E252" s="4" t="n">
        <v>46304.62421067271</v>
      </c>
      <c r="F252" s="4" t="n">
        <v>46304.62421067278</v>
      </c>
      <c r="G252" t="b">
        <v>1</v>
      </c>
      <c r="I252" t="inlineStr">
        <is>
          <t>AUD</t>
        </is>
      </c>
      <c r="J252" t="n">
        <v>1.3627</v>
      </c>
      <c r="K252" s="5" t="inlineStr">
        <is>
          <t>01a1212c-6d37-7104-9bae-6b11207df2ba</t>
        </is>
      </c>
      <c r="L252" s="5" t="inlineStr">
        <is>
          <t>01a1212c-92bc-721b-87d2-9965816a5873</t>
        </is>
      </c>
      <c r="M252" s="6" t="n">
        <v>44013</v>
      </c>
    </row>
    <row r="253">
      <c r="A253" s="5" t="inlineStr">
        <is>
          <t>01a1212c-9321-75a8-9953-51a9ff049ccf</t>
        </is>
      </c>
      <c r="D253" s="5" t="inlineStr">
        <is>
          <t>01a1212c-4b57-70cf-80fd-c2192cb3bf81</t>
        </is>
      </c>
      <c r="E253" s="4" t="n">
        <v>46304.62421075427</v>
      </c>
      <c r="F253" s="4" t="n">
        <v>46304.62421075434</v>
      </c>
      <c r="G253" t="b">
        <v>1</v>
      </c>
      <c r="I253" t="inlineStr">
        <is>
          <t>AUD</t>
        </is>
      </c>
      <c r="J253" t="n">
        <v>1.3627</v>
      </c>
      <c r="K253" s="5" t="inlineStr">
        <is>
          <t>01a1212c-6f94-71c9-8280-59efd47efd80</t>
        </is>
      </c>
      <c r="L253" s="5" t="inlineStr">
        <is>
          <t>01a1212c-92bc-721b-87d2-9965816a5873</t>
        </is>
      </c>
      <c r="M253" s="6" t="n">
        <v>44013</v>
      </c>
    </row>
    <row r="254">
      <c r="A254" s="5" t="inlineStr">
        <is>
          <t>01a1212c-9327-7409-8c69-caec06e2b79d</t>
        </is>
      </c>
      <c r="D254" s="5" t="inlineStr">
        <is>
          <t>01a1212c-4b57-70cf-80fd-c2192cb3bf81</t>
        </is>
      </c>
      <c r="E254" s="4" t="n">
        <v>46304.62421082459</v>
      </c>
      <c r="F254" s="4" t="n">
        <v>46304.62421082467</v>
      </c>
      <c r="G254" t="b">
        <v>1</v>
      </c>
      <c r="I254" t="inlineStr">
        <is>
          <t>AUD</t>
        </is>
      </c>
      <c r="J254" t="n">
        <v>1.3627</v>
      </c>
      <c r="K254" s="5" t="inlineStr">
        <is>
          <t>01a1212c-719a-7616-bf3b-b6ee9e3119c7</t>
        </is>
      </c>
      <c r="L254" s="5" t="inlineStr">
        <is>
          <t>01a1212c-92bc-721b-87d2-9965816a5873</t>
        </is>
      </c>
      <c r="M254" s="6" t="n">
        <v>44013</v>
      </c>
    </row>
    <row r="255">
      <c r="A255" s="5" t="inlineStr">
        <is>
          <t>01a1212c-932d-723d-a243-58dff4ca2668</t>
        </is>
      </c>
      <c r="D255" s="5" t="inlineStr">
        <is>
          <t>01a1212c-4b57-70cf-80fd-c2192cb3bf81</t>
        </is>
      </c>
      <c r="E255" s="4" t="n">
        <v>46304.62421089287</v>
      </c>
      <c r="F255" s="4" t="n">
        <v>46304.62421089294</v>
      </c>
      <c r="G255" t="b">
        <v>1</v>
      </c>
      <c r="I255" t="inlineStr">
        <is>
          <t>AUD</t>
        </is>
      </c>
      <c r="J255" t="n">
        <v>1.4536</v>
      </c>
      <c r="K255" s="5" t="inlineStr">
        <is>
          <t>01a1212c-6ed1-75e4-b466-1b906512bd95</t>
        </is>
      </c>
      <c r="L255" s="5" t="inlineStr">
        <is>
          <t>01a1212c-92bc-721b-87d2-9965816a5873</t>
        </is>
      </c>
      <c r="M255" s="6" t="n">
        <v>44013</v>
      </c>
    </row>
    <row r="256">
      <c r="A256" s="5" t="inlineStr">
        <is>
          <t>01a1212c-9333-72f5-8d50-200337c67e70</t>
        </is>
      </c>
      <c r="D256" s="5" t="inlineStr">
        <is>
          <t>01a1212c-4b57-70cf-80fd-c2192cb3bf81</t>
        </is>
      </c>
      <c r="E256" s="4" t="n">
        <v>46304.62421096588</v>
      </c>
      <c r="F256" s="4" t="n">
        <v>46304.62421096595</v>
      </c>
      <c r="G256" t="b">
        <v>1</v>
      </c>
      <c r="I256" t="inlineStr">
        <is>
          <t>AUD</t>
        </is>
      </c>
      <c r="J256" t="n">
        <v>1.473</v>
      </c>
      <c r="K256" s="5" t="inlineStr">
        <is>
          <t>01a1212c-7479-730c-8151-93b8e93442c2</t>
        </is>
      </c>
      <c r="L256" s="5" t="inlineStr">
        <is>
          <t>01a1212c-92bc-721b-87d2-9965816a5873</t>
        </is>
      </c>
      <c r="M256" s="6" t="n">
        <v>44013</v>
      </c>
    </row>
    <row r="257">
      <c r="A257" s="5" t="inlineStr">
        <is>
          <t>01a1212c-9339-71da-9313-fb54a0bbdd25</t>
        </is>
      </c>
      <c r="D257" s="5" t="inlineStr">
        <is>
          <t>01a1212c-4b57-70cf-80fd-c2192cb3bf81</t>
        </is>
      </c>
      <c r="E257" s="4" t="n">
        <v>46304.62421103331</v>
      </c>
      <c r="F257" s="4" t="n">
        <v>46304.62421103338</v>
      </c>
      <c r="G257" t="b">
        <v>1</v>
      </c>
      <c r="I257" t="inlineStr">
        <is>
          <t>AUD</t>
        </is>
      </c>
      <c r="J257" t="n">
        <v>1.5444</v>
      </c>
      <c r="K257" s="5" t="inlineStr">
        <is>
          <t>01a1212c-6cde-735d-babb-fd56e63b9d5a</t>
        </is>
      </c>
      <c r="L257" s="5" t="inlineStr">
        <is>
          <t>01a1212c-92bc-721b-87d2-9965816a5873</t>
        </is>
      </c>
      <c r="M257" s="6" t="n">
        <v>44013</v>
      </c>
    </row>
    <row r="258">
      <c r="A258" s="5" t="inlineStr">
        <is>
          <t>01a1212c-933e-7546-be30-acb651f3f8a1</t>
        </is>
      </c>
      <c r="D258" s="5" t="inlineStr">
        <is>
          <t>01a1212c-4b57-70cf-80fd-c2192cb3bf81</t>
        </is>
      </c>
      <c r="E258" s="4" t="n">
        <v>46304.62421110036</v>
      </c>
      <c r="F258" s="4" t="n">
        <v>46304.62421110042</v>
      </c>
      <c r="G258" t="b">
        <v>1</v>
      </c>
      <c r="I258" t="inlineStr">
        <is>
          <t>AUD</t>
        </is>
      </c>
      <c r="J258" t="n">
        <v>1.5444</v>
      </c>
      <c r="K258" s="5" t="inlineStr">
        <is>
          <t>01a1212c-7157-7567-ba2e-f5a2ea2a31ab</t>
        </is>
      </c>
      <c r="L258" s="5" t="inlineStr">
        <is>
          <t>01a1212c-92bc-721b-87d2-9965816a5873</t>
        </is>
      </c>
      <c r="M258" s="6" t="n">
        <v>44013</v>
      </c>
    </row>
    <row r="259">
      <c r="A259" s="5" t="inlineStr">
        <is>
          <t>01a1212c-9346-732d-b3ce-b74f160fef62</t>
        </is>
      </c>
      <c r="D259" s="5" t="inlineStr">
        <is>
          <t>01a1212c-4b57-70cf-80fd-c2192cb3bf81</t>
        </is>
      </c>
      <c r="E259" s="4" t="n">
        <v>46304.62421118529</v>
      </c>
      <c r="F259" s="4" t="n">
        <v>46304.62421118536</v>
      </c>
      <c r="G259" t="b">
        <v>1</v>
      </c>
      <c r="I259" t="inlineStr">
        <is>
          <t>AUD</t>
        </is>
      </c>
      <c r="J259" t="n">
        <v>1.6353</v>
      </c>
      <c r="K259" s="5" t="inlineStr">
        <is>
          <t>01a1212c-6bf3-7787-bc84-0bf70e1c811f</t>
        </is>
      </c>
      <c r="L259" s="5" t="inlineStr">
        <is>
          <t>01a1212c-92bc-721b-87d2-9965816a5873</t>
        </is>
      </c>
      <c r="M259" s="6" t="n">
        <v>44013</v>
      </c>
    </row>
    <row r="260">
      <c r="A260" s="5" t="inlineStr">
        <is>
          <t>01a1212c-934c-76f3-9333-daa76bf7dfc3</t>
        </is>
      </c>
      <c r="D260" s="5" t="inlineStr">
        <is>
          <t>01a1212c-4b57-70cf-80fd-c2192cb3bf81</t>
        </is>
      </c>
      <c r="E260" s="4" t="n">
        <v>46304.62421125215</v>
      </c>
      <c r="F260" s="4" t="n">
        <v>46304.62421125222</v>
      </c>
      <c r="G260" t="b">
        <v>1</v>
      </c>
      <c r="I260" t="inlineStr">
        <is>
          <t>AUD</t>
        </is>
      </c>
      <c r="J260" t="n">
        <v>1.6353</v>
      </c>
      <c r="K260" s="5" t="inlineStr">
        <is>
          <t>01a1212c-6dcc-720d-a5fa-03db95e8cb05</t>
        </is>
      </c>
      <c r="L260" s="5" t="inlineStr">
        <is>
          <t>01a1212c-92bc-721b-87d2-9965816a5873</t>
        </is>
      </c>
      <c r="M260" s="6" t="n">
        <v>44013</v>
      </c>
    </row>
    <row r="261">
      <c r="A261" s="5" t="inlineStr">
        <is>
          <t>01a1212c-9352-706e-8eb4-3c70e993f22d</t>
        </is>
      </c>
      <c r="D261" s="5" t="inlineStr">
        <is>
          <t>01a1212c-4b57-70cf-80fd-c2192cb3bf81</t>
        </is>
      </c>
      <c r="E261" s="4" t="n">
        <v>46304.62421132245</v>
      </c>
      <c r="F261" s="4" t="n">
        <v>46304.62421132252</v>
      </c>
      <c r="G261" t="b">
        <v>1</v>
      </c>
      <c r="I261" t="inlineStr">
        <is>
          <t>AUD</t>
        </is>
      </c>
      <c r="J261" t="n">
        <v>1.6353</v>
      </c>
      <c r="K261" s="5" t="inlineStr">
        <is>
          <t>01a1212c-7093-74e6-b33d-06958030fa15</t>
        </is>
      </c>
      <c r="L261" s="5" t="inlineStr">
        <is>
          <t>01a1212c-92bc-721b-87d2-9965816a5873</t>
        </is>
      </c>
      <c r="M261" s="6" t="n">
        <v>44013</v>
      </c>
    </row>
    <row r="262">
      <c r="A262" s="5" t="inlineStr">
        <is>
          <t>01a1212c-9357-71e7-8ef9-070d58286914</t>
        </is>
      </c>
      <c r="D262" s="5" t="inlineStr">
        <is>
          <t>01a1212c-4b57-70cf-80fd-c2192cb3bf81</t>
        </is>
      </c>
      <c r="E262" s="4" t="n">
        <v>46304.62421138879</v>
      </c>
      <c r="F262" s="4" t="n">
        <v>46304.62421138885</v>
      </c>
      <c r="G262" t="b">
        <v>1</v>
      </c>
      <c r="I262" t="inlineStr">
        <is>
          <t>AUD</t>
        </is>
      </c>
      <c r="J262" t="n">
        <v>1.7002</v>
      </c>
      <c r="K262" s="5" t="inlineStr">
        <is>
          <t>01a1212c-7431-7269-8782-d6ec933249b5</t>
        </is>
      </c>
      <c r="L262" s="5" t="inlineStr">
        <is>
          <t>01a1212c-92bc-721b-87d2-9965816a5873</t>
        </is>
      </c>
      <c r="M262" s="6" t="n">
        <v>44013</v>
      </c>
    </row>
    <row r="263">
      <c r="A263" s="5" t="inlineStr">
        <is>
          <t>01a1212c-935d-744e-9119-223e12cae85a</t>
        </is>
      </c>
      <c r="D263" s="5" t="inlineStr">
        <is>
          <t>01a1212c-4b57-70cf-80fd-c2192cb3bf81</t>
        </is>
      </c>
      <c r="E263" s="4" t="n">
        <v>46304.62421145346</v>
      </c>
      <c r="F263" s="4" t="n">
        <v>46304.62421145353</v>
      </c>
      <c r="G263" t="b">
        <v>1</v>
      </c>
      <c r="I263" t="inlineStr">
        <is>
          <t>AUD</t>
        </is>
      </c>
      <c r="J263" t="n">
        <v>1.7261</v>
      </c>
      <c r="K263" s="5" t="inlineStr">
        <is>
          <t>01a1212c-6bc9-7747-8a7e-e6bec07ce141</t>
        </is>
      </c>
      <c r="L263" s="5" t="inlineStr">
        <is>
          <t>01a1212c-92bc-721b-87d2-9965816a5873</t>
        </is>
      </c>
      <c r="M263" s="6" t="n">
        <v>44013</v>
      </c>
    </row>
    <row r="264">
      <c r="A264" s="5" t="inlineStr">
        <is>
          <t>01a1212c-9363-72b9-96ba-f846c6846443</t>
        </is>
      </c>
      <c r="D264" s="5" t="inlineStr">
        <is>
          <t>01a1212c-4b57-70cf-80fd-c2192cb3bf81</t>
        </is>
      </c>
      <c r="E264" s="4" t="n">
        <v>46304.62421152743</v>
      </c>
      <c r="F264" s="4" t="n">
        <v>46304.6242115275</v>
      </c>
      <c r="G264" t="b">
        <v>1</v>
      </c>
      <c r="I264" t="inlineStr">
        <is>
          <t>AUD</t>
        </is>
      </c>
      <c r="J264" t="n">
        <v>1.817</v>
      </c>
      <c r="K264" s="5" t="inlineStr">
        <is>
          <t>01a1212c-6a83-75e3-a976-646e71a73596</t>
        </is>
      </c>
      <c r="L264" s="5" t="inlineStr">
        <is>
          <t>01a1212c-92bc-721b-87d2-9965816a5873</t>
        </is>
      </c>
      <c r="M264" s="6" t="n">
        <v>44013</v>
      </c>
    </row>
    <row r="265">
      <c r="A265" s="5" t="inlineStr">
        <is>
          <t>01a1212c-9369-771f-b927-a8466e9763e4</t>
        </is>
      </c>
      <c r="D265" s="5" t="inlineStr">
        <is>
          <t>01a1212c-4b57-70cf-80fd-c2192cb3bf81</t>
        </is>
      </c>
      <c r="E265" s="4" t="n">
        <v>46304.62421159453</v>
      </c>
      <c r="F265" s="4" t="n">
        <v>46304.62421159459</v>
      </c>
      <c r="G265" t="b">
        <v>1</v>
      </c>
      <c r="I265" t="inlineStr">
        <is>
          <t>AUD</t>
        </is>
      </c>
      <c r="J265" t="n">
        <v>1.817</v>
      </c>
      <c r="K265" s="5" t="inlineStr">
        <is>
          <t>01a1212c-6c5e-707b-87c6-5fa973c4227c</t>
        </is>
      </c>
      <c r="L265" s="5" t="inlineStr">
        <is>
          <t>01a1212c-92bc-721b-87d2-9965816a5873</t>
        </is>
      </c>
      <c r="M265" s="6" t="n">
        <v>44013</v>
      </c>
    </row>
    <row r="266">
      <c r="A266" s="5" t="inlineStr">
        <is>
          <t>01a1212c-936f-7230-8852-602ab55cc840</t>
        </is>
      </c>
      <c r="D266" s="5" t="inlineStr">
        <is>
          <t>01a1212c-4b57-70cf-80fd-c2192cb3bf81</t>
        </is>
      </c>
      <c r="E266" s="4" t="n">
        <v>46304.6242116635</v>
      </c>
      <c r="F266" s="4" t="n">
        <v>46304.62421166356</v>
      </c>
      <c r="G266" t="b">
        <v>1</v>
      </c>
      <c r="I266" t="inlineStr">
        <is>
          <t>AUD</t>
        </is>
      </c>
      <c r="J266" t="n">
        <v>1.817</v>
      </c>
      <c r="K266" s="5" t="inlineStr">
        <is>
          <t>01a1212c-730f-762d-91e1-ab5755aaf176</t>
        </is>
      </c>
      <c r="L266" s="5" t="inlineStr">
        <is>
          <t>01a1212c-92bc-721b-87d2-9965816a5873</t>
        </is>
      </c>
      <c r="M266" s="6" t="n">
        <v>44013</v>
      </c>
    </row>
    <row r="267">
      <c r="A267" s="5" t="inlineStr">
        <is>
          <t>01a1212c-9375-7079-a3e8-009d86645655</t>
        </is>
      </c>
      <c r="D267" s="5" t="inlineStr">
        <is>
          <t>01a1212c-4b57-70cf-80fd-c2192cb3bf81</t>
        </is>
      </c>
      <c r="E267" s="4" t="n">
        <v>46304.62421173255</v>
      </c>
      <c r="F267" s="4" t="n">
        <v>46304.62421173262</v>
      </c>
      <c r="G267" t="b">
        <v>1</v>
      </c>
      <c r="I267" t="inlineStr">
        <is>
          <t>AUD</t>
        </is>
      </c>
      <c r="J267" t="n">
        <v>1.8817</v>
      </c>
      <c r="K267" s="5" t="inlineStr">
        <is>
          <t>01a1212c-7396-7143-a0d0-9983b89d9143</t>
        </is>
      </c>
      <c r="L267" s="5" t="inlineStr">
        <is>
          <t>01a1212c-92bc-721b-87d2-9965816a5873</t>
        </is>
      </c>
      <c r="M267" s="6" t="n">
        <v>44013</v>
      </c>
    </row>
    <row r="268">
      <c r="A268" s="5" t="inlineStr">
        <is>
          <t>01a1212c-937b-755b-b405-596707874b2d</t>
        </is>
      </c>
      <c r="D268" s="5" t="inlineStr">
        <is>
          <t>01a1212c-4b57-70cf-80fd-c2192cb3bf81</t>
        </is>
      </c>
      <c r="E268" s="4" t="n">
        <v>46304.62421179736</v>
      </c>
      <c r="F268" s="4" t="n">
        <v>46304.62421179743</v>
      </c>
      <c r="G268" t="b">
        <v>1</v>
      </c>
      <c r="I268" t="inlineStr">
        <is>
          <t>AUD</t>
        </is>
      </c>
      <c r="J268" t="n">
        <v>1.9078</v>
      </c>
      <c r="K268" s="5" t="inlineStr">
        <is>
          <t>01a1212c-6e20-73a5-aefe-85160cb166ee</t>
        </is>
      </c>
      <c r="L268" s="5" t="inlineStr">
        <is>
          <t>01a1212c-92bc-721b-87d2-9965816a5873</t>
        </is>
      </c>
      <c r="M268" s="6" t="n">
        <v>44013</v>
      </c>
    </row>
    <row r="269">
      <c r="A269" s="5" t="inlineStr">
        <is>
          <t>01a1212c-9381-7395-951f-32de4c0b4f2a</t>
        </is>
      </c>
      <c r="D269" s="5" t="inlineStr">
        <is>
          <t>01a1212c-4b57-70cf-80fd-c2192cb3bf81</t>
        </is>
      </c>
      <c r="E269" s="4" t="n">
        <v>46304.6242118758</v>
      </c>
      <c r="F269" s="4" t="n">
        <v>46304.62421187587</v>
      </c>
      <c r="G269" t="b">
        <v>1</v>
      </c>
      <c r="I269" t="inlineStr">
        <is>
          <t>AUD</t>
        </is>
      </c>
      <c r="J269" t="n">
        <v>1.9078</v>
      </c>
      <c r="K269" s="5" t="inlineStr">
        <is>
          <t>01a1212c-733d-76f3-baba-b9d3c48b5990</t>
        </is>
      </c>
      <c r="L269" s="5" t="inlineStr">
        <is>
          <t>01a1212c-92bc-721b-87d2-9965816a5873</t>
        </is>
      </c>
      <c r="M269" s="6" t="n">
        <v>44013</v>
      </c>
    </row>
    <row r="270">
      <c r="A270" s="5" t="inlineStr">
        <is>
          <t>01a1212c-9387-729e-a178-959e05a87e93</t>
        </is>
      </c>
      <c r="D270" s="5" t="inlineStr">
        <is>
          <t>01a1212c-4b57-70cf-80fd-c2192cb3bf81</t>
        </is>
      </c>
      <c r="E270" s="4" t="n">
        <v>46304.62421194435</v>
      </c>
      <c r="F270" s="4" t="n">
        <v>46304.62421194442</v>
      </c>
      <c r="G270" t="b">
        <v>1</v>
      </c>
      <c r="I270" t="inlineStr">
        <is>
          <t>AUD</t>
        </is>
      </c>
      <c r="J270" t="n">
        <v>1.9987</v>
      </c>
      <c r="K270" s="5" t="inlineStr">
        <is>
          <t>01a1212c-6896-70d6-844d-33deb9ce2d14</t>
        </is>
      </c>
      <c r="L270" s="5" t="inlineStr">
        <is>
          <t>01a1212c-92bc-721b-87d2-9965816a5873</t>
        </is>
      </c>
      <c r="M270" s="6" t="n">
        <v>44013</v>
      </c>
    </row>
    <row r="271">
      <c r="A271" s="5" t="inlineStr">
        <is>
          <t>01a1212c-938d-7629-8029-eeba4977c2fd</t>
        </is>
      </c>
      <c r="D271" s="5" t="inlineStr">
        <is>
          <t>01a1212c-4b57-70cf-80fd-c2192cb3bf81</t>
        </is>
      </c>
      <c r="E271" s="4" t="n">
        <v>46304.62421201358</v>
      </c>
      <c r="F271" s="4" t="n">
        <v>46304.62421201366</v>
      </c>
      <c r="G271" t="b">
        <v>1</v>
      </c>
      <c r="I271" t="inlineStr">
        <is>
          <t>AUD</t>
        </is>
      </c>
      <c r="J271" t="n">
        <v>1.9987</v>
      </c>
      <c r="K271" s="5" t="inlineStr">
        <is>
          <t>01a1212c-6d0a-76f3-b162-b89428bc8b86</t>
        </is>
      </c>
      <c r="L271" s="5" t="inlineStr">
        <is>
          <t>01a1212c-92bc-721b-87d2-9965816a5873</t>
        </is>
      </c>
      <c r="M271" s="6" t="n">
        <v>44013</v>
      </c>
    </row>
    <row r="272">
      <c r="A272" s="5" t="inlineStr">
        <is>
          <t>01a1212c-9393-729e-a218-a72e1708d2e8</t>
        </is>
      </c>
      <c r="D272" s="5" t="inlineStr">
        <is>
          <t>01a1212c-4b57-70cf-80fd-c2192cb3bf81</t>
        </is>
      </c>
      <c r="E272" s="4" t="n">
        <v>46304.62421208133</v>
      </c>
      <c r="F272" s="4" t="n">
        <v>46304.6242120814</v>
      </c>
      <c r="G272" t="b">
        <v>1</v>
      </c>
      <c r="I272" t="inlineStr">
        <is>
          <t>AUD</t>
        </is>
      </c>
      <c r="J272" t="n">
        <v>2.0895</v>
      </c>
      <c r="K272" s="5" t="inlineStr">
        <is>
          <t>01a1212c-6d8a-7538-8ed2-1bed262cc3a3</t>
        </is>
      </c>
      <c r="L272" s="5" t="inlineStr">
        <is>
          <t>01a1212c-92bc-721b-87d2-9965816a5873</t>
        </is>
      </c>
      <c r="M272" s="6" t="n">
        <v>44013</v>
      </c>
    </row>
    <row r="273">
      <c r="A273" s="5" t="inlineStr">
        <is>
          <t>01a1212c-9399-73d0-b507-43c0b41baac3</t>
        </is>
      </c>
      <c r="D273" s="5" t="inlineStr">
        <is>
          <t>01a1212c-4b57-70cf-80fd-c2192cb3bf81</t>
        </is>
      </c>
      <c r="E273" s="4" t="n">
        <v>46304.62421214958</v>
      </c>
      <c r="F273" s="4" t="n">
        <v>46304.62421214965</v>
      </c>
      <c r="G273" t="b">
        <v>1</v>
      </c>
      <c r="I273" t="inlineStr">
        <is>
          <t>AUD</t>
        </is>
      </c>
      <c r="J273" t="n">
        <v>2.0895</v>
      </c>
      <c r="K273" s="5" t="inlineStr">
        <is>
          <t>01a1212c-6f14-75ce-b122-ae5ab106d8e8</t>
        </is>
      </c>
      <c r="L273" s="5" t="inlineStr">
        <is>
          <t>01a1212c-92bc-721b-87d2-9965816a5873</t>
        </is>
      </c>
      <c r="M273" s="6" t="n">
        <v>44013</v>
      </c>
    </row>
    <row r="274">
      <c r="A274" s="5" t="inlineStr">
        <is>
          <t>01a1212c-939f-771f-9554-872a4e16151d</t>
        </is>
      </c>
      <c r="D274" s="5" t="inlineStr">
        <is>
          <t>01a1212c-4b57-70cf-80fd-c2192cb3bf81</t>
        </is>
      </c>
      <c r="E274" s="4" t="n">
        <v>46304.62421221792</v>
      </c>
      <c r="F274" s="4" t="n">
        <v>46304.624212218</v>
      </c>
      <c r="G274" t="b">
        <v>1</v>
      </c>
      <c r="I274" t="inlineStr">
        <is>
          <t>AUD</t>
        </is>
      </c>
      <c r="J274" t="n">
        <v>2.0895</v>
      </c>
      <c r="K274" s="5" t="inlineStr">
        <is>
          <t>01a1212c-7117-7388-8792-335c487cf88f</t>
        </is>
      </c>
      <c r="L274" s="5" t="inlineStr">
        <is>
          <t>01a1212c-92bc-721b-87d2-9965816a5873</t>
        </is>
      </c>
      <c r="M274" s="6" t="n">
        <v>44013</v>
      </c>
    </row>
    <row r="275">
      <c r="A275" s="5" t="inlineStr">
        <is>
          <t>01a1212c-93a5-7434-bbad-f00fc1e97990</t>
        </is>
      </c>
      <c r="D275" s="5" t="inlineStr">
        <is>
          <t>01a1212c-4b57-70cf-80fd-c2192cb3bf81</t>
        </is>
      </c>
      <c r="E275" s="4" t="n">
        <v>46304.6242122823</v>
      </c>
      <c r="F275" s="4" t="n">
        <v>46304.62421228236</v>
      </c>
      <c r="G275" t="b">
        <v>1</v>
      </c>
      <c r="I275" t="inlineStr">
        <is>
          <t>AUD</t>
        </is>
      </c>
      <c r="J275" t="n">
        <v>2.1804</v>
      </c>
      <c r="K275" s="5" t="inlineStr">
        <is>
          <t>01a1212c-6b44-7386-8841-c9a13ab8602b</t>
        </is>
      </c>
      <c r="L275" s="5" t="inlineStr">
        <is>
          <t>01a1212c-92bc-721b-87d2-9965816a5873</t>
        </is>
      </c>
      <c r="M275" s="6" t="n">
        <v>44013</v>
      </c>
    </row>
    <row r="276">
      <c r="A276" s="5" t="inlineStr">
        <is>
          <t>01a1212c-93aa-7302-8073-a53ddfff3c9f</t>
        </is>
      </c>
      <c r="D276" s="5" t="inlineStr">
        <is>
          <t>01a1212c-4b57-70cf-80fd-c2192cb3bf81</t>
        </is>
      </c>
      <c r="E276" s="4" t="n">
        <v>46304.62421234902</v>
      </c>
      <c r="F276" s="4" t="n">
        <v>46304.62421234909</v>
      </c>
      <c r="G276" t="b">
        <v>1</v>
      </c>
      <c r="I276" t="inlineStr">
        <is>
          <t>AUD</t>
        </is>
      </c>
      <c r="J276" t="n">
        <v>2.1804</v>
      </c>
      <c r="K276" s="5" t="inlineStr">
        <is>
          <t>01a1212c-70ec-7549-97f2-cc3906a47674</t>
        </is>
      </c>
      <c r="L276" s="5" t="inlineStr">
        <is>
          <t>01a1212c-92bc-721b-87d2-9965816a5873</t>
        </is>
      </c>
      <c r="M276" s="6" t="n">
        <v>44013</v>
      </c>
    </row>
    <row r="277">
      <c r="A277" s="5" t="inlineStr">
        <is>
          <t>01a1212c-93b2-77d1-9e6c-17e98d0c683f</t>
        </is>
      </c>
      <c r="D277" s="5" t="inlineStr">
        <is>
          <t>01a1212c-4b57-70cf-80fd-c2192cb3bf81</t>
        </is>
      </c>
      <c r="E277" s="4" t="n">
        <v>46304.6242124438</v>
      </c>
      <c r="F277" s="4" t="n">
        <v>46304.62421244392</v>
      </c>
      <c r="G277" t="b">
        <v>1</v>
      </c>
      <c r="I277" t="inlineStr">
        <is>
          <t>AUD</t>
        </is>
      </c>
      <c r="J277" t="n">
        <v>2.1804</v>
      </c>
      <c r="K277" s="5" t="inlineStr">
        <is>
          <t>01a1212c-71ee-7697-ac4a-eeeb04d71bcc</t>
        </is>
      </c>
      <c r="L277" s="5" t="inlineStr">
        <is>
          <t>01a1212c-92bc-721b-87d2-9965816a5873</t>
        </is>
      </c>
      <c r="M277" s="6" t="n">
        <v>44013</v>
      </c>
    </row>
    <row r="278">
      <c r="A278" s="5" t="inlineStr">
        <is>
          <t>01a1212c-93bc-7665-8dc9-4291d023d01c</t>
        </is>
      </c>
      <c r="D278" s="5" t="inlineStr">
        <is>
          <t>01a1212c-4b57-70cf-80fd-c2192cb3bf81</t>
        </is>
      </c>
      <c r="E278" s="4" t="n">
        <v>46304.62421255872</v>
      </c>
      <c r="F278" s="4" t="n">
        <v>46304.62421255884</v>
      </c>
      <c r="G278" t="b">
        <v>1</v>
      </c>
      <c r="I278" t="inlineStr">
        <is>
          <t>AUD</t>
        </is>
      </c>
      <c r="J278" t="n">
        <v>2.2712</v>
      </c>
      <c r="K278" s="5" t="inlineStr">
        <is>
          <t>01a1212c-6a2e-75f8-b19d-5dc788e0d375</t>
        </is>
      </c>
      <c r="L278" s="5" t="inlineStr">
        <is>
          <t>01a1212c-92bc-721b-87d2-9965816a5873</t>
        </is>
      </c>
      <c r="M278" s="6" t="n">
        <v>44013</v>
      </c>
    </row>
    <row r="279">
      <c r="A279" s="5" t="inlineStr">
        <is>
          <t>01a1212c-93c5-75d1-9dd4-94c94a24b140</t>
        </is>
      </c>
      <c r="D279" s="5" t="inlineStr">
        <is>
          <t>01a1212c-4b57-70cf-80fd-c2192cb3bf81</t>
        </is>
      </c>
      <c r="E279" s="4" t="n">
        <v>46304.62421265222</v>
      </c>
      <c r="F279" s="4" t="n">
        <v>46304.62421265231</v>
      </c>
      <c r="G279" t="b">
        <v>1</v>
      </c>
      <c r="I279" t="inlineStr">
        <is>
          <t>AUD</t>
        </is>
      </c>
      <c r="J279" t="n">
        <v>2.2712</v>
      </c>
      <c r="K279" s="5" t="inlineStr">
        <is>
          <t>01a1212c-7000-7766-ae79-871c98d5aa0c</t>
        </is>
      </c>
      <c r="L279" s="5" t="inlineStr">
        <is>
          <t>01a1212c-92bc-721b-87d2-9965816a5873</t>
        </is>
      </c>
      <c r="M279" s="6" t="n">
        <v>44013</v>
      </c>
    </row>
    <row r="280">
      <c r="A280" s="5" t="inlineStr">
        <is>
          <t>01a1212c-93cc-73bb-bb32-8ccfb0c6e75e</t>
        </is>
      </c>
      <c r="D280" s="5" t="inlineStr">
        <is>
          <t>01a1212c-4b57-70cf-80fd-c2192cb3bf81</t>
        </is>
      </c>
      <c r="E280" s="4" t="n">
        <v>46304.62421273491</v>
      </c>
      <c r="F280" s="4" t="n">
        <v>46304.62421273499</v>
      </c>
      <c r="G280" t="b">
        <v>1</v>
      </c>
      <c r="I280" t="inlineStr">
        <is>
          <t>AUD</t>
        </is>
      </c>
      <c r="J280" t="n">
        <v>2.3621</v>
      </c>
      <c r="K280" s="5" t="inlineStr">
        <is>
          <t>01a1212c-6e7d-7269-818d-4fc41e4043b6</t>
        </is>
      </c>
      <c r="L280" s="5" t="inlineStr">
        <is>
          <t>01a1212c-92bc-721b-87d2-9965816a5873</t>
        </is>
      </c>
      <c r="M280" s="6" t="n">
        <v>44013</v>
      </c>
    </row>
    <row r="281">
      <c r="A281" s="5" t="inlineStr">
        <is>
          <t>01a1212c-93d3-7406-8eb2-2090a7a7ebd0</t>
        </is>
      </c>
      <c r="D281" s="5" t="inlineStr">
        <is>
          <t>01a1212c-4b57-70cf-80fd-c2192cb3bf81</t>
        </is>
      </c>
      <c r="E281" s="4" t="n">
        <v>46304.62421282312</v>
      </c>
      <c r="F281" s="4" t="n">
        <v>46304.6242128232</v>
      </c>
      <c r="G281" t="b">
        <v>1</v>
      </c>
      <c r="I281" t="inlineStr">
        <is>
          <t>AUD</t>
        </is>
      </c>
      <c r="J281" t="n">
        <v>2.3621</v>
      </c>
      <c r="K281" s="5" t="inlineStr">
        <is>
          <t>01a1212c-6f53-7010-bee2-43a946747025</t>
        </is>
      </c>
      <c r="L281" s="5" t="inlineStr">
        <is>
          <t>01a1212c-92bc-721b-87d2-9965816a5873</t>
        </is>
      </c>
      <c r="M281" s="6" t="n">
        <v>44013</v>
      </c>
    </row>
    <row r="282">
      <c r="A282" s="5" t="inlineStr">
        <is>
          <t>01a1212c-93da-733e-8a90-414cf23bd313</t>
        </is>
      </c>
      <c r="D282" s="5" t="inlineStr">
        <is>
          <t>01a1212c-4b57-70cf-80fd-c2192cb3bf81</t>
        </is>
      </c>
      <c r="E282" s="4" t="n">
        <v>46304.62421289981</v>
      </c>
      <c r="F282" s="4" t="n">
        <v>46304.62421289987</v>
      </c>
      <c r="G282" t="b">
        <v>1</v>
      </c>
      <c r="I282" t="inlineStr">
        <is>
          <t>AUD</t>
        </is>
      </c>
      <c r="J282" t="n">
        <v>2.3621</v>
      </c>
      <c r="K282" s="5" t="inlineStr">
        <is>
          <t>01a1212c-703e-7558-9c38-d3ff61fb4ef7</t>
        </is>
      </c>
      <c r="L282" s="5" t="inlineStr">
        <is>
          <t>01a1212c-92bc-721b-87d2-9965816a5873</t>
        </is>
      </c>
      <c r="M282" s="6" t="n">
        <v>44013</v>
      </c>
    </row>
    <row r="283">
      <c r="A283" s="5" t="inlineStr">
        <is>
          <t>01a1212c-93e0-72e6-be02-e1da9f33752b</t>
        </is>
      </c>
      <c r="D283" s="5" t="inlineStr">
        <is>
          <t>01a1212c-4b57-70cf-80fd-c2192cb3bf81</t>
        </is>
      </c>
      <c r="E283" s="4" t="n">
        <v>46304.62421297221</v>
      </c>
      <c r="F283" s="4" t="n">
        <v>46304.62421297228</v>
      </c>
      <c r="G283" t="b">
        <v>1</v>
      </c>
      <c r="I283" t="inlineStr">
        <is>
          <t>AUD</t>
        </is>
      </c>
      <c r="J283" t="n">
        <v>2.3621</v>
      </c>
      <c r="K283" s="5" t="inlineStr">
        <is>
          <t>01a1212c-71c3-7032-9840-53a08ae86f9c</t>
        </is>
      </c>
      <c r="L283" s="5" t="inlineStr">
        <is>
          <t>01a1212c-92bc-721b-87d2-9965816a5873</t>
        </is>
      </c>
      <c r="M283" s="6" t="n">
        <v>44013</v>
      </c>
    </row>
    <row r="284">
      <c r="A284" s="5" t="inlineStr">
        <is>
          <t>01a1212c-93e6-77eb-96b3-abfc1bf2c2f4</t>
        </is>
      </c>
      <c r="D284" s="5" t="inlineStr">
        <is>
          <t>01a1212c-4b57-70cf-80fd-c2192cb3bf81</t>
        </is>
      </c>
      <c r="E284" s="4" t="n">
        <v>46304.62421304121</v>
      </c>
      <c r="F284" s="4" t="n">
        <v>46304.62421304127</v>
      </c>
      <c r="G284" t="b">
        <v>1</v>
      </c>
      <c r="I284" t="inlineStr">
        <is>
          <t>AUD</t>
        </is>
      </c>
      <c r="J284" t="n">
        <v>2.4529</v>
      </c>
      <c r="K284" s="5" t="inlineStr">
        <is>
          <t>01a1212c-68f0-738d-8d20-79a1c973b960</t>
        </is>
      </c>
      <c r="L284" s="5" t="inlineStr">
        <is>
          <t>01a1212c-92bc-721b-87d2-9965816a5873</t>
        </is>
      </c>
      <c r="M284" s="6" t="n">
        <v>44013</v>
      </c>
    </row>
    <row r="285">
      <c r="A285" s="5" t="inlineStr">
        <is>
          <t>01a1212c-93ec-7300-ab30-2b5ff538e7bf</t>
        </is>
      </c>
      <c r="D285" s="5" t="inlineStr">
        <is>
          <t>01a1212c-4b57-70cf-80fd-c2192cb3bf81</t>
        </is>
      </c>
      <c r="E285" s="4" t="n">
        <v>46304.62421311178</v>
      </c>
      <c r="F285" s="4" t="n">
        <v>46304.62421311188</v>
      </c>
      <c r="G285" t="b">
        <v>1</v>
      </c>
      <c r="I285" t="inlineStr">
        <is>
          <t>AUD</t>
        </is>
      </c>
      <c r="J285" t="n">
        <v>2.4529</v>
      </c>
      <c r="K285" s="5" t="inlineStr">
        <is>
          <t>01a1212c-6b1b-73e9-a54d-e62e154ff71c</t>
        </is>
      </c>
      <c r="L285" s="5" t="inlineStr">
        <is>
          <t>01a1212c-92bc-721b-87d2-9965816a5873</t>
        </is>
      </c>
      <c r="M285" s="6" t="n">
        <v>44013</v>
      </c>
    </row>
    <row r="286">
      <c r="A286" s="5" t="inlineStr">
        <is>
          <t>01a1212c-93f2-7356-b304-afd6913e6c96</t>
        </is>
      </c>
      <c r="D286" s="5" t="inlineStr">
        <is>
          <t>01a1212c-4b57-70cf-80fd-c2192cb3bf81</t>
        </is>
      </c>
      <c r="E286" s="4" t="n">
        <v>46304.62421318032</v>
      </c>
      <c r="F286" s="4" t="n">
        <v>46304.6242131804</v>
      </c>
      <c r="G286" t="b">
        <v>1</v>
      </c>
      <c r="I286" t="inlineStr">
        <is>
          <t>AUD</t>
        </is>
      </c>
      <c r="J286" t="n">
        <v>2.5438</v>
      </c>
      <c r="K286" s="5" t="inlineStr">
        <is>
          <t>01a1212c-6c1d-7297-ba65-fe335d60502e</t>
        </is>
      </c>
      <c r="L286" s="5" t="inlineStr">
        <is>
          <t>01a1212c-92bc-721b-87d2-9965816a5873</t>
        </is>
      </c>
      <c r="M286" s="6" t="n">
        <v>44013</v>
      </c>
    </row>
    <row r="287">
      <c r="A287" s="5" t="inlineStr">
        <is>
          <t>01a1212c-93f9-70a3-b3f8-5894adb7f890</t>
        </is>
      </c>
      <c r="D287" s="5" t="inlineStr">
        <is>
          <t>01a1212c-4b57-70cf-80fd-c2192cb3bf81</t>
        </is>
      </c>
      <c r="E287" s="4" t="n">
        <v>46304.62421325507</v>
      </c>
      <c r="F287" s="4" t="n">
        <v>46304.62421325516</v>
      </c>
      <c r="G287" t="b">
        <v>1</v>
      </c>
      <c r="I287" t="inlineStr">
        <is>
          <t>AUD</t>
        </is>
      </c>
      <c r="J287" t="n">
        <v>2.5438</v>
      </c>
      <c r="K287" s="5" t="inlineStr">
        <is>
          <t>01a1212c-6cb3-74c4-b753-3ced98bb4fa1</t>
        </is>
      </c>
      <c r="L287" s="5" t="inlineStr">
        <is>
          <t>01a1212c-92bc-721b-87d2-9965816a5873</t>
        </is>
      </c>
      <c r="M287" s="6" t="n">
        <v>44013</v>
      </c>
    </row>
    <row r="288">
      <c r="A288" s="5" t="inlineStr">
        <is>
          <t>01a1212c-93ff-70c7-b197-6f24c22923bb</t>
        </is>
      </c>
      <c r="D288" s="5" t="inlineStr">
        <is>
          <t>01a1212c-4b57-70cf-80fd-c2192cb3bf81</t>
        </is>
      </c>
      <c r="E288" s="4" t="n">
        <v>46304.62421332427</v>
      </c>
      <c r="F288" s="4" t="n">
        <v>46304.62421332434</v>
      </c>
      <c r="G288" t="b">
        <v>1</v>
      </c>
      <c r="I288" t="inlineStr">
        <is>
          <t>AUD</t>
        </is>
      </c>
      <c r="J288" t="n">
        <v>2.6346</v>
      </c>
      <c r="K288" s="5" t="inlineStr">
        <is>
          <t>01a1212c-6d61-7172-937f-90562bb7a3f9</t>
        </is>
      </c>
      <c r="L288" s="5" t="inlineStr">
        <is>
          <t>01a1212c-92bc-721b-87d2-9965816a5873</t>
        </is>
      </c>
      <c r="M288" s="6" t="n">
        <v>44013</v>
      </c>
    </row>
    <row r="289">
      <c r="A289" s="5" t="inlineStr">
        <is>
          <t>01a1212c-9404-7291-a4a2-57c87e970133</t>
        </is>
      </c>
      <c r="D289" s="5" t="inlineStr">
        <is>
          <t>01a1212c-4b57-70cf-80fd-c2192cb3bf81</t>
        </is>
      </c>
      <c r="E289" s="4" t="n">
        <v>46304.624213391</v>
      </c>
      <c r="F289" s="4" t="n">
        <v>46304.62421339106</v>
      </c>
      <c r="G289" t="b">
        <v>1</v>
      </c>
      <c r="I289" t="inlineStr">
        <is>
          <t>AUD</t>
        </is>
      </c>
      <c r="J289" t="n">
        <v>2.7255</v>
      </c>
      <c r="K289" s="5" t="inlineStr">
        <is>
          <t>01a1212c-696e-7146-9e01-741d10f2bed2</t>
        </is>
      </c>
      <c r="L289" s="5" t="inlineStr">
        <is>
          <t>01a1212c-92bc-721b-87d2-9965816a5873</t>
        </is>
      </c>
      <c r="M289" s="6" t="n">
        <v>44013</v>
      </c>
    </row>
    <row r="290">
      <c r="A290" s="5" t="inlineStr">
        <is>
          <t>01a1212c-940a-7792-9611-875d77abef3b</t>
        </is>
      </c>
      <c r="D290" s="5" t="inlineStr">
        <is>
          <t>01a1212c-4b57-70cf-80fd-c2192cb3bf81</t>
        </is>
      </c>
      <c r="E290" s="4" t="n">
        <v>46304.62421346107</v>
      </c>
      <c r="F290" s="4" t="n">
        <v>46304.62421346115</v>
      </c>
      <c r="G290" t="b">
        <v>1</v>
      </c>
      <c r="I290" t="inlineStr">
        <is>
          <t>AUD</t>
        </is>
      </c>
      <c r="J290" t="n">
        <v>2.7255</v>
      </c>
      <c r="K290" s="5" t="inlineStr">
        <is>
          <t>01a1212c-69ed-703d-98c7-86793a7bce47</t>
        </is>
      </c>
      <c r="L290" s="5" t="inlineStr">
        <is>
          <t>01a1212c-92bc-721b-87d2-9965816a5873</t>
        </is>
      </c>
      <c r="M290" s="6" t="n">
        <v>44013</v>
      </c>
    </row>
    <row r="291">
      <c r="A291" s="5" t="inlineStr">
        <is>
          <t>01a1212c-9410-747f-83c3-124359dcc7c4</t>
        </is>
      </c>
      <c r="D291" s="5" t="inlineStr">
        <is>
          <t>01a1212c-4b57-70cf-80fd-c2192cb3bf81</t>
        </is>
      </c>
      <c r="E291" s="4" t="n">
        <v>46304.6242135279</v>
      </c>
      <c r="F291" s="4" t="n">
        <v>46304.62421352798</v>
      </c>
      <c r="G291" t="b">
        <v>1</v>
      </c>
      <c r="I291" t="inlineStr">
        <is>
          <t>AUD</t>
        </is>
      </c>
      <c r="J291" t="n">
        <v>2.8163</v>
      </c>
      <c r="K291" s="5" t="inlineStr">
        <is>
          <t>01a1212c-6ac3-7045-85af-681a40396939</t>
        </is>
      </c>
      <c r="L291" s="5" t="inlineStr">
        <is>
          <t>01a1212c-92bc-721b-87d2-9965816a5873</t>
        </is>
      </c>
      <c r="M291" s="6" t="n">
        <v>44013</v>
      </c>
    </row>
    <row r="292">
      <c r="A292" s="5" t="inlineStr">
        <is>
          <t>01a1212c-9416-7667-a2bb-9a93e06b623b</t>
        </is>
      </c>
      <c r="D292" s="5" t="inlineStr">
        <is>
          <t>01a1212c-4b57-70cf-80fd-c2192cb3bf81</t>
        </is>
      </c>
      <c r="E292" s="4" t="n">
        <v>46304.62421359433</v>
      </c>
      <c r="F292" s="4" t="n">
        <v>46304.62421359441</v>
      </c>
      <c r="G292" t="b">
        <v>1</v>
      </c>
      <c r="I292" t="inlineStr">
        <is>
          <t>AUD</t>
        </is>
      </c>
      <c r="J292" t="n">
        <v>2.9072</v>
      </c>
      <c r="K292" s="5" t="inlineStr">
        <is>
          <t>01a1212c-692f-76c3-8991-b28be5dbbe78</t>
        </is>
      </c>
      <c r="L292" s="5" t="inlineStr">
        <is>
          <t>01a1212c-92bc-721b-87d2-9965816a5873</t>
        </is>
      </c>
      <c r="M292" s="6" t="n">
        <v>44013</v>
      </c>
    </row>
    <row r="293">
      <c r="A293" s="5" t="inlineStr">
        <is>
          <t>01a1212c-941c-7604-ba71-581ca74df5d2</t>
        </is>
      </c>
      <c r="D293" s="5" t="inlineStr">
        <is>
          <t>01a1212c-4b57-70cf-80fd-c2192cb3bf81</t>
        </is>
      </c>
      <c r="E293" s="4" t="n">
        <v>46304.62421366209</v>
      </c>
      <c r="F293" s="4" t="n">
        <v>46304.62421366214</v>
      </c>
      <c r="G293" t="b">
        <v>1</v>
      </c>
      <c r="I293" t="inlineStr">
        <is>
          <t>AUD</t>
        </is>
      </c>
      <c r="J293" t="n">
        <v>3.3615</v>
      </c>
      <c r="K293" s="5" t="inlineStr">
        <is>
          <t>01a1212c-68c3-7400-8c25-aa53cd5ab679</t>
        </is>
      </c>
      <c r="L293" s="5" t="inlineStr">
        <is>
          <t>01a1212c-92bc-721b-87d2-9965816a5873</t>
        </is>
      </c>
      <c r="M293" s="6" t="n">
        <v>44013</v>
      </c>
    </row>
    <row r="294">
      <c r="A294" s="5" t="inlineStr">
        <is>
          <t>01a1212c-95f9-73ac-ba24-c31b43e6e54f</t>
        </is>
      </c>
      <c r="D294" s="5" t="inlineStr">
        <is>
          <t>01a1212c-4b57-70cf-80fd-c2192cb3bf81</t>
        </is>
      </c>
      <c r="E294" s="4" t="n">
        <v>46304.62421919085</v>
      </c>
      <c r="F294" s="4" t="n">
        <v>46304.62421919094</v>
      </c>
      <c r="G294" t="b">
        <v>1</v>
      </c>
      <c r="I294" t="inlineStr">
        <is>
          <t>AUD</t>
        </is>
      </c>
      <c r="J294" t="n">
        <v>0.1488</v>
      </c>
      <c r="K294" s="5" t="inlineStr">
        <is>
          <t>01a1212c-7927-7749-86a1-3f74fb7da8c1</t>
        </is>
      </c>
      <c r="L294" s="5" t="inlineStr">
        <is>
          <t>01a1212c-95f5-76f4-bbee-039f3f452abb</t>
        </is>
      </c>
      <c r="M294" s="6" t="n">
        <v>44378</v>
      </c>
    </row>
    <row r="295">
      <c r="A295" s="5" t="inlineStr">
        <is>
          <t>01a1212c-9600-74b1-b23c-1b3b156629bc</t>
        </is>
      </c>
      <c r="D295" s="5" t="inlineStr">
        <is>
          <t>01a1212c-4b57-70cf-80fd-c2192cb3bf81</t>
        </is>
      </c>
      <c r="E295" s="4" t="n">
        <v>46304.62421926138</v>
      </c>
      <c r="F295" s="4" t="n">
        <v>46304.62421926144</v>
      </c>
      <c r="G295" t="b">
        <v>1</v>
      </c>
      <c r="I295" t="inlineStr">
        <is>
          <t>AUD</t>
        </is>
      </c>
      <c r="J295" t="n">
        <v>0.4542</v>
      </c>
      <c r="K295" s="5" t="inlineStr">
        <is>
          <t>01a1212c-78d8-7094-b299-94255bf82783</t>
        </is>
      </c>
      <c r="L295" s="5" t="inlineStr">
        <is>
          <t>01a1212c-95f5-76f4-bbee-039f3f452abb</t>
        </is>
      </c>
      <c r="M295" s="6" t="n">
        <v>44378</v>
      </c>
    </row>
    <row r="296">
      <c r="A296" s="5" t="inlineStr">
        <is>
          <t>01a1212c-9605-7570-b9a3-c93d51a2c44b</t>
        </is>
      </c>
      <c r="D296" s="5" t="inlineStr">
        <is>
          <t>01a1212c-4b57-70cf-80fd-c2192cb3bf81</t>
        </is>
      </c>
      <c r="E296" s="4" t="n">
        <v>46304.6242193279</v>
      </c>
      <c r="F296" s="4" t="n">
        <v>46304.62421932798</v>
      </c>
      <c r="G296" t="b">
        <v>1</v>
      </c>
      <c r="I296" t="inlineStr">
        <is>
          <t>AUD</t>
        </is>
      </c>
      <c r="J296" t="n">
        <v>0.5133</v>
      </c>
      <c r="K296" s="5" t="inlineStr">
        <is>
          <t>01a1212c-7854-74b3-a940-c0cb4b7760ea</t>
        </is>
      </c>
      <c r="L296" s="5" t="inlineStr">
        <is>
          <t>01a1212c-95f5-76f4-bbee-039f3f452abb</t>
        </is>
      </c>
      <c r="M296" s="6" t="n">
        <v>44378</v>
      </c>
    </row>
    <row r="297">
      <c r="A297" s="5" t="inlineStr">
        <is>
          <t>01a1212c-960b-7736-8d17-5834b031ddae</t>
        </is>
      </c>
      <c r="D297" s="5" t="inlineStr">
        <is>
          <t>01a1212c-4b57-70cf-80fd-c2192cb3bf81</t>
        </is>
      </c>
      <c r="E297" s="4" t="n">
        <v>46304.62421939853</v>
      </c>
      <c r="F297" s="4" t="n">
        <v>46304.6242193986</v>
      </c>
      <c r="G297" t="b">
        <v>1</v>
      </c>
      <c r="I297" t="inlineStr">
        <is>
          <t>AUD</t>
        </is>
      </c>
      <c r="J297" t="n">
        <v>0.6159</v>
      </c>
      <c r="K297" s="5" t="inlineStr">
        <is>
          <t>01a1212c-7817-75d9-9a5e-b7f889797d9e</t>
        </is>
      </c>
      <c r="L297" s="5" t="inlineStr">
        <is>
          <t>01a1212c-95f5-76f4-bbee-039f3f452abb</t>
        </is>
      </c>
      <c r="M297" s="6" t="n">
        <v>44378</v>
      </c>
    </row>
    <row r="298">
      <c r="A298" s="5" t="inlineStr">
        <is>
          <t>01a1212c-9611-7100-b2fd-48a4ea934661</t>
        </is>
      </c>
      <c r="D298" s="5" t="inlineStr">
        <is>
          <t>01a1212c-4b57-70cf-80fd-c2192cb3bf81</t>
        </is>
      </c>
      <c r="E298" s="4" t="n">
        <v>46304.62421946786</v>
      </c>
      <c r="F298" s="4" t="n">
        <v>46304.62421946794</v>
      </c>
      <c r="G298" t="b">
        <v>1</v>
      </c>
      <c r="I298" t="inlineStr">
        <is>
          <t>AUD</t>
        </is>
      </c>
      <c r="J298" t="n">
        <v>0.6775</v>
      </c>
      <c r="K298" s="5" t="inlineStr">
        <is>
          <t>01a1212c-7896-7021-a40c-f16a939ea185</t>
        </is>
      </c>
      <c r="L298" s="5" t="inlineStr">
        <is>
          <t>01a1212c-95f5-76f4-bbee-039f3f452abb</t>
        </is>
      </c>
      <c r="M298" s="6" t="n">
        <v>44378</v>
      </c>
    </row>
    <row r="299">
      <c r="A299" s="5" t="inlineStr">
        <is>
          <t>01a1212c-9618-77f1-b222-24aac4cd50ac</t>
        </is>
      </c>
      <c r="D299" s="5" t="inlineStr">
        <is>
          <t>01a1212c-4b57-70cf-80fd-c2192cb3bf81</t>
        </is>
      </c>
      <c r="E299" s="4" t="n">
        <v>46304.62421954585</v>
      </c>
      <c r="F299" s="4" t="n">
        <v>46304.62421954595</v>
      </c>
      <c r="G299" t="b">
        <v>1</v>
      </c>
      <c r="I299" t="inlineStr">
        <is>
          <t>AUD</t>
        </is>
      </c>
      <c r="J299" t="n">
        <v>1.2318</v>
      </c>
      <c r="K299" s="5" t="inlineStr">
        <is>
          <t>01a1212c-771e-77a4-9a33-9f68d0a94a62</t>
        </is>
      </c>
      <c r="L299" s="5" t="inlineStr">
        <is>
          <t>01a1212c-95f5-76f4-bbee-039f3f452abb</t>
        </is>
      </c>
      <c r="M299" s="6" t="n">
        <v>44378</v>
      </c>
    </row>
    <row r="300">
      <c r="A300" s="5" t="inlineStr">
        <is>
          <t>01a1212c-961f-719d-8b6a-a91a35459d7c</t>
        </is>
      </c>
      <c r="D300" s="5" t="inlineStr">
        <is>
          <t>01a1212c-4b57-70cf-80fd-c2192cb3bf81</t>
        </is>
      </c>
      <c r="E300" s="4" t="n">
        <v>46304.6242196226</v>
      </c>
      <c r="F300" s="4" t="n">
        <v>46304.62421962267</v>
      </c>
      <c r="G300" t="b">
        <v>1</v>
      </c>
      <c r="I300" t="inlineStr">
        <is>
          <t>AUD</t>
        </is>
      </c>
      <c r="J300" t="n">
        <v>1.3704</v>
      </c>
      <c r="K300" s="5" t="inlineStr">
        <is>
          <t>01a1212c-77bd-7567-8b73-2fb2ee41285a</t>
        </is>
      </c>
      <c r="L300" s="5" t="inlineStr">
        <is>
          <t>01a1212c-95f5-76f4-bbee-039f3f452abb</t>
        </is>
      </c>
      <c r="M300" s="6" t="n">
        <v>44378</v>
      </c>
    </row>
    <row r="301">
      <c r="A301" s="5" t="inlineStr">
        <is>
          <t>01a1212c-9625-741a-af77-d605490d57cd</t>
        </is>
      </c>
      <c r="D301" s="5" t="inlineStr">
        <is>
          <t>01a1212c-4b57-70cf-80fd-c2192cb3bf81</t>
        </is>
      </c>
      <c r="E301" s="4" t="n">
        <v>46304.62421969449</v>
      </c>
      <c r="F301" s="4" t="n">
        <v>46304.62421969456</v>
      </c>
      <c r="G301" t="b">
        <v>1</v>
      </c>
      <c r="I301" t="inlineStr">
        <is>
          <t>AUD</t>
        </is>
      </c>
      <c r="J301" t="n">
        <v>1.5612</v>
      </c>
      <c r="K301" s="5" t="inlineStr">
        <is>
          <t>01a1212c-7619-710a-ac50-f0a300913659</t>
        </is>
      </c>
      <c r="L301" s="5" t="inlineStr">
        <is>
          <t>01a1212c-95f5-76f4-bbee-039f3f452abb</t>
        </is>
      </c>
      <c r="M301" s="6" t="n">
        <v>44378</v>
      </c>
    </row>
    <row r="302">
      <c r="A302" s="5" t="inlineStr">
        <is>
          <t>01a1212c-962b-77df-8a4a-9ee6d415d2cd</t>
        </is>
      </c>
      <c r="D302" s="5" t="inlineStr">
        <is>
          <t>01a1212c-4b57-70cf-80fd-c2192cb3bf81</t>
        </is>
      </c>
      <c r="E302" s="4" t="n">
        <v>46304.62421976707</v>
      </c>
      <c r="F302" s="4" t="n">
        <v>46304.62421976714</v>
      </c>
      <c r="G302" t="b">
        <v>1</v>
      </c>
      <c r="I302" t="inlineStr">
        <is>
          <t>AUD</t>
        </is>
      </c>
      <c r="J302" t="n">
        <v>1.7707</v>
      </c>
      <c r="K302" s="5" t="inlineStr">
        <is>
          <t>01a1212c-7763-764e-af0c-10fe2c5a19d7</t>
        </is>
      </c>
      <c r="L302" s="5" t="inlineStr">
        <is>
          <t>01a1212c-95f5-76f4-bbee-039f3f452abb</t>
        </is>
      </c>
      <c r="M302" s="6" t="n">
        <v>44378</v>
      </c>
    </row>
    <row r="303">
      <c r="A303" s="5" t="inlineStr">
        <is>
          <t>01a1212c-9631-733e-bff7-4227d931f905</t>
        </is>
      </c>
      <c r="D303" s="5" t="inlineStr">
        <is>
          <t>01a1212c-4b57-70cf-80fd-c2192cb3bf81</t>
        </is>
      </c>
      <c r="E303" s="4" t="n">
        <v>46304.62421983584</v>
      </c>
      <c r="F303" s="4" t="n">
        <v>46304.62421983592</v>
      </c>
      <c r="G303" t="b">
        <v>1</v>
      </c>
      <c r="I303" t="inlineStr">
        <is>
          <t>AUD</t>
        </is>
      </c>
      <c r="J303" t="n">
        <v>1.8734</v>
      </c>
      <c r="K303" s="5" t="inlineStr">
        <is>
          <t>01a1212c-73f1-7653-991a-7a458d0c9e1e</t>
        </is>
      </c>
      <c r="L303" s="5" t="inlineStr">
        <is>
          <t>01a1212c-95f5-76f4-bbee-039f3f452abb</t>
        </is>
      </c>
      <c r="M303" s="6" t="n">
        <v>44378</v>
      </c>
    </row>
    <row r="304">
      <c r="A304" s="5" t="inlineStr">
        <is>
          <t>01a1212c-9637-7729-a8a6-423cdde9b520</t>
        </is>
      </c>
      <c r="D304" s="5" t="inlineStr">
        <is>
          <t>01a1212c-4b57-70cf-80fd-c2192cb3bf81</t>
        </is>
      </c>
      <c r="E304" s="4" t="n">
        <v>46304.62421990487</v>
      </c>
      <c r="F304" s="4" t="n">
        <v>46304.62421990494</v>
      </c>
      <c r="G304" t="b">
        <v>1</v>
      </c>
      <c r="I304" t="inlineStr">
        <is>
          <t>AUD</t>
        </is>
      </c>
      <c r="J304" t="n">
        <v>2.1856</v>
      </c>
      <c r="K304" s="5" t="inlineStr">
        <is>
          <t>01a1212c-72a3-74de-af7e-8c21374ccb8d</t>
        </is>
      </c>
      <c r="L304" s="5" t="inlineStr">
        <is>
          <t>01a1212c-95f5-76f4-bbee-039f3f452abb</t>
        </is>
      </c>
      <c r="M304" s="6" t="n">
        <v>44378</v>
      </c>
    </row>
    <row r="305">
      <c r="A305" s="5" t="inlineStr">
        <is>
          <t>01a1212c-963d-71ed-b955-bd3610f4383b</t>
        </is>
      </c>
      <c r="D305" s="5" t="inlineStr">
        <is>
          <t>01a1212c-4b57-70cf-80fd-c2192cb3bf81</t>
        </is>
      </c>
      <c r="E305" s="4" t="n">
        <v>46304.62421997645</v>
      </c>
      <c r="F305" s="4" t="n">
        <v>46304.62421997652</v>
      </c>
      <c r="G305" t="b">
        <v>1</v>
      </c>
      <c r="I305" t="inlineStr">
        <is>
          <t>AUD</t>
        </is>
      </c>
      <c r="J305" t="n">
        <v>2.2943</v>
      </c>
      <c r="K305" s="5" t="inlineStr">
        <is>
          <t>01a1212c-76b2-7110-9f65-8f1a317730a7</t>
        </is>
      </c>
      <c r="L305" s="5" t="inlineStr">
        <is>
          <t>01a1212c-95f5-76f4-bbee-039f3f452abb</t>
        </is>
      </c>
      <c r="M305" s="6" t="n">
        <v>44378</v>
      </c>
    </row>
    <row r="306">
      <c r="A306" s="5" t="inlineStr">
        <is>
          <t>01a1212c-9643-7385-888b-27d61f1dca9d</t>
        </is>
      </c>
      <c r="D306" s="5" t="inlineStr">
        <is>
          <t>01a1212c-4b57-70cf-80fd-c2192cb3bf81</t>
        </is>
      </c>
      <c r="E306" s="4" t="n">
        <v>46304.62422004448</v>
      </c>
      <c r="F306" s="4" t="n">
        <v>46304.62422004455</v>
      </c>
      <c r="G306" t="b">
        <v>1</v>
      </c>
      <c r="I306" t="inlineStr">
        <is>
          <t>AUD</t>
        </is>
      </c>
      <c r="J306" t="n">
        <v>2.4978</v>
      </c>
      <c r="K306" s="5" t="inlineStr">
        <is>
          <t>01a1212c-6d20-73ba-8f87-9892e2e99aec</t>
        </is>
      </c>
      <c r="L306" s="5" t="inlineStr">
        <is>
          <t>01a1212c-95f5-76f4-bbee-039f3f452abb</t>
        </is>
      </c>
      <c r="M306" s="6" t="n">
        <v>44378</v>
      </c>
    </row>
    <row r="307">
      <c r="A307" s="5" t="inlineStr">
        <is>
          <t>01a1212c-9649-771c-a177-d95a14706041</t>
        </is>
      </c>
      <c r="D307" s="5" t="inlineStr">
        <is>
          <t>01a1212c-4b57-70cf-80fd-c2192cb3bf81</t>
        </is>
      </c>
      <c r="E307" s="4" t="n">
        <v>46304.62422010969</v>
      </c>
      <c r="F307" s="4" t="n">
        <v>46304.62422010976</v>
      </c>
      <c r="G307" t="b">
        <v>1</v>
      </c>
      <c r="I307" t="inlineStr">
        <is>
          <t>AUD</t>
        </is>
      </c>
      <c r="J307" t="n">
        <v>2.4978</v>
      </c>
      <c r="K307" s="5" t="inlineStr">
        <is>
          <t>01a1212c-6f7f-718f-b160-46cb1bfec403</t>
        </is>
      </c>
      <c r="L307" s="5" t="inlineStr">
        <is>
          <t>01a1212c-95f5-76f4-bbee-039f3f452abb</t>
        </is>
      </c>
      <c r="M307" s="6" t="n">
        <v>44378</v>
      </c>
    </row>
    <row r="308">
      <c r="A308" s="5" t="inlineStr">
        <is>
          <t>01a1212c-9650-73d6-8819-b59fe9074938</t>
        </is>
      </c>
      <c r="D308" s="5" t="inlineStr">
        <is>
          <t>01a1212c-4b57-70cf-80fd-c2192cb3bf81</t>
        </is>
      </c>
      <c r="E308" s="4" t="n">
        <v>46304.62422019363</v>
      </c>
      <c r="F308" s="4" t="n">
        <v>46304.62422019371</v>
      </c>
      <c r="G308" t="b">
        <v>1</v>
      </c>
      <c r="I308" t="inlineStr">
        <is>
          <t>AUD</t>
        </is>
      </c>
      <c r="J308" t="n">
        <v>2.4978</v>
      </c>
      <c r="K308" s="5" t="inlineStr">
        <is>
          <t>01a1212c-6fc2-71f6-890f-f7e761000531</t>
        </is>
      </c>
      <c r="L308" s="5" t="inlineStr">
        <is>
          <t>01a1212c-95f5-76f4-bbee-039f3f452abb</t>
        </is>
      </c>
      <c r="M308" s="6" t="n">
        <v>44378</v>
      </c>
    </row>
    <row r="309">
      <c r="A309" s="5" t="inlineStr">
        <is>
          <t>01a1212c-9656-75e5-9bbf-3a6885ea2c20</t>
        </is>
      </c>
      <c r="D309" s="5" t="inlineStr">
        <is>
          <t>01a1212c-4b57-70cf-80fd-c2192cb3bf81</t>
        </is>
      </c>
      <c r="E309" s="4" t="n">
        <v>46304.62422026217</v>
      </c>
      <c r="F309" s="4" t="n">
        <v>46304.62422026223</v>
      </c>
      <c r="G309" t="b">
        <v>1</v>
      </c>
      <c r="I309" t="inlineStr">
        <is>
          <t>AUD</t>
        </is>
      </c>
      <c r="J309" t="n">
        <v>2.4978</v>
      </c>
      <c r="K309" s="5" t="inlineStr">
        <is>
          <t>01a1212c-7185-751c-93a4-e2a05054ca75</t>
        </is>
      </c>
      <c r="L309" s="5" t="inlineStr">
        <is>
          <t>01a1212c-95f5-76f4-bbee-039f3f452abb</t>
        </is>
      </c>
      <c r="M309" s="6" t="n">
        <v>44378</v>
      </c>
    </row>
    <row r="310">
      <c r="A310" s="5" t="inlineStr">
        <is>
          <t>01a1212c-965d-72d3-b5d7-8ece2684f7c6</t>
        </is>
      </c>
      <c r="D310" s="5" t="inlineStr">
        <is>
          <t>01a1212c-4b57-70cf-80fd-c2192cb3bf81</t>
        </is>
      </c>
      <c r="E310" s="4" t="n">
        <v>46304.62422033853</v>
      </c>
      <c r="F310" s="4" t="n">
        <v>46304.6242203386</v>
      </c>
      <c r="G310" t="b">
        <v>1</v>
      </c>
      <c r="I310" t="inlineStr">
        <is>
          <t>AUD</t>
        </is>
      </c>
      <c r="J310" t="n">
        <v>2.4978</v>
      </c>
      <c r="K310" s="5" t="inlineStr">
        <is>
          <t>01a1212c-721a-74d7-b443-6cf4d510dcad</t>
        </is>
      </c>
      <c r="L310" s="5" t="inlineStr">
        <is>
          <t>01a1212c-95f5-76f4-bbee-039f3f452abb</t>
        </is>
      </c>
      <c r="M310" s="6" t="n">
        <v>44378</v>
      </c>
    </row>
    <row r="311">
      <c r="A311" s="5" t="inlineStr">
        <is>
          <t>01a1212c-9663-7248-87b7-b0942dab99bf</t>
        </is>
      </c>
      <c r="D311" s="5" t="inlineStr">
        <is>
          <t>01a1212c-4b57-70cf-80fd-c2192cb3bf81</t>
        </is>
      </c>
      <c r="E311" s="4" t="n">
        <v>46304.62422041043</v>
      </c>
      <c r="F311" s="4" t="n">
        <v>46304.6242204105</v>
      </c>
      <c r="G311" t="b">
        <v>1</v>
      </c>
      <c r="I311" t="inlineStr">
        <is>
          <t>AUD</t>
        </is>
      </c>
      <c r="J311" t="n">
        <v>2.4978</v>
      </c>
      <c r="K311" s="5" t="inlineStr">
        <is>
          <t>01a1212c-7264-75a0-a547-f07a5e635bc6</t>
        </is>
      </c>
      <c r="L311" s="5" t="inlineStr">
        <is>
          <t>01a1212c-95f5-76f4-bbee-039f3f452abb</t>
        </is>
      </c>
      <c r="M311" s="6" t="n">
        <v>44378</v>
      </c>
    </row>
    <row r="312">
      <c r="A312" s="5" t="inlineStr">
        <is>
          <t>01a1212c-9669-705c-97b5-2b88e21e403f</t>
        </is>
      </c>
      <c r="D312" s="5" t="inlineStr">
        <is>
          <t>01a1212c-4b57-70cf-80fd-c2192cb3bf81</t>
        </is>
      </c>
      <c r="E312" s="4" t="n">
        <v>46304.62422047631</v>
      </c>
      <c r="F312" s="4" t="n">
        <v>46304.62422047638</v>
      </c>
      <c r="G312" t="b">
        <v>1</v>
      </c>
      <c r="I312" t="inlineStr">
        <is>
          <t>AUD</t>
        </is>
      </c>
      <c r="J312" t="n">
        <v>2.4978</v>
      </c>
      <c r="K312" s="5" t="inlineStr">
        <is>
          <t>01a1212c-74a5-7646-bf4b-157c0a1a7665</t>
        </is>
      </c>
      <c r="L312" s="5" t="inlineStr">
        <is>
          <t>01a1212c-95f5-76f4-bbee-039f3f452abb</t>
        </is>
      </c>
      <c r="M312" s="6" t="n">
        <v>44378</v>
      </c>
    </row>
    <row r="313">
      <c r="A313" s="5" t="inlineStr">
        <is>
          <t>01a1212c-966f-7502-8461-12ff28dc3f44</t>
        </is>
      </c>
      <c r="D313" s="5" t="inlineStr">
        <is>
          <t>01a1212c-4b57-70cf-80fd-c2192cb3bf81</t>
        </is>
      </c>
      <c r="E313" s="4" t="n">
        <v>46304.62422055191</v>
      </c>
      <c r="F313" s="4" t="n">
        <v>46304.62422055198</v>
      </c>
      <c r="G313" t="b">
        <v>1</v>
      </c>
      <c r="I313" t="inlineStr">
        <is>
          <t>AUD</t>
        </is>
      </c>
      <c r="J313" t="n">
        <v>2.5637</v>
      </c>
      <c r="K313" s="5" t="inlineStr">
        <is>
          <t>01a1212c-7687-729c-958e-594416954bfb</t>
        </is>
      </c>
      <c r="L313" s="5" t="inlineStr">
        <is>
          <t>01a1212c-95f5-76f4-bbee-039f3f452abb</t>
        </is>
      </c>
      <c r="M313" s="6" t="n">
        <v>44378</v>
      </c>
    </row>
    <row r="314">
      <c r="A314" s="5" t="inlineStr">
        <is>
          <t>01a1212c-9675-741c-9a44-62a7e97b925c</t>
        </is>
      </c>
      <c r="D314" s="5" t="inlineStr">
        <is>
          <t>01a1212c-4b57-70cf-80fd-c2192cb3bf81</t>
        </is>
      </c>
      <c r="E314" s="4" t="n">
        <v>46304.62422062213</v>
      </c>
      <c r="F314" s="4" t="n">
        <v>46304.6242206222</v>
      </c>
      <c r="G314" t="b">
        <v>1</v>
      </c>
      <c r="I314" t="inlineStr">
        <is>
          <t>AUD</t>
        </is>
      </c>
      <c r="J314" t="n">
        <v>2.8101</v>
      </c>
      <c r="K314" s="5" t="inlineStr">
        <is>
          <t>01a1212c-6ebd-7084-8e12-1c2acb9ea8e3</t>
        </is>
      </c>
      <c r="L314" s="5" t="inlineStr">
        <is>
          <t>01a1212c-95f5-76f4-bbee-039f3f452abb</t>
        </is>
      </c>
      <c r="M314" s="6" t="n">
        <v>44378</v>
      </c>
    </row>
    <row r="315">
      <c r="A315" s="5" t="inlineStr">
        <is>
          <t>01a1212c-967b-72f1-be31-574e86929ad2</t>
        </is>
      </c>
      <c r="D315" s="5" t="inlineStr">
        <is>
          <t>01a1212c-4b57-70cf-80fd-c2192cb3bf81</t>
        </is>
      </c>
      <c r="E315" s="4" t="n">
        <v>46304.62422069441</v>
      </c>
      <c r="F315" s="4" t="n">
        <v>46304.62422069448</v>
      </c>
      <c r="G315" t="b">
        <v>1</v>
      </c>
      <c r="I315" t="inlineStr">
        <is>
          <t>AUD</t>
        </is>
      </c>
      <c r="J315" t="n">
        <v>2.8101</v>
      </c>
      <c r="K315" s="5" t="inlineStr">
        <is>
          <t>01a1212c-74ff-71e8-bddf-7c46f57ce7fb</t>
        </is>
      </c>
      <c r="L315" s="5" t="inlineStr">
        <is>
          <t>01a1212c-95f5-76f4-bbee-039f3f452abb</t>
        </is>
      </c>
      <c r="M315" s="6" t="n">
        <v>44378</v>
      </c>
    </row>
    <row r="316">
      <c r="A316" s="5" t="inlineStr">
        <is>
          <t>01a1212c-9682-7124-9c5a-25a8cbc3f458</t>
        </is>
      </c>
      <c r="D316" s="5" t="inlineStr">
        <is>
          <t>01a1212c-4b57-70cf-80fd-c2192cb3bf81</t>
        </is>
      </c>
      <c r="E316" s="4" t="n">
        <v>46304.6242207653</v>
      </c>
      <c r="F316" s="4" t="n">
        <v>46304.62422076539</v>
      </c>
      <c r="G316" t="b">
        <v>1</v>
      </c>
      <c r="I316" t="inlineStr">
        <is>
          <t>AUD</t>
        </is>
      </c>
      <c r="J316" t="n">
        <v>2.8101</v>
      </c>
      <c r="K316" s="5" t="inlineStr">
        <is>
          <t>01a1212c-7595-7792-8e63-1f39b92bd8b3</t>
        </is>
      </c>
      <c r="L316" s="5" t="inlineStr">
        <is>
          <t>01a1212c-95f5-76f4-bbee-039f3f452abb</t>
        </is>
      </c>
      <c r="M316" s="6" t="n">
        <v>44378</v>
      </c>
    </row>
    <row r="317">
      <c r="A317" s="5" t="inlineStr">
        <is>
          <t>01a1212c-9688-77bd-8779-12df476b2c6e</t>
        </is>
      </c>
      <c r="D317" s="5" t="inlineStr">
        <is>
          <t>01a1212c-4b57-70cf-80fd-c2192cb3bf81</t>
        </is>
      </c>
      <c r="E317" s="4" t="n">
        <v>46304.62422083735</v>
      </c>
      <c r="F317" s="4" t="n">
        <v>46304.62422083743</v>
      </c>
      <c r="G317" t="b">
        <v>1</v>
      </c>
      <c r="I317" t="inlineStr">
        <is>
          <t>AUD</t>
        </is>
      </c>
      <c r="J317" t="n">
        <v>2.9914</v>
      </c>
      <c r="K317" s="5" t="inlineStr">
        <is>
          <t>01a1212c-76dd-74f8-b495-e2012fee9273</t>
        </is>
      </c>
      <c r="L317" s="5" t="inlineStr">
        <is>
          <t>01a1212c-95f5-76f4-bbee-039f3f452abb</t>
        </is>
      </c>
      <c r="M317" s="6" t="n">
        <v>44378</v>
      </c>
    </row>
    <row r="318">
      <c r="A318" s="5" t="inlineStr">
        <is>
          <t>01a1212c-968e-72cc-affb-98c067ca452f</t>
        </is>
      </c>
      <c r="D318" s="5" t="inlineStr">
        <is>
          <t>01a1212c-4b57-70cf-80fd-c2192cb3bf81</t>
        </is>
      </c>
      <c r="E318" s="4" t="n">
        <v>46304.62422091261</v>
      </c>
      <c r="F318" s="4" t="n">
        <v>46304.62422091267</v>
      </c>
      <c r="G318" t="b">
        <v>1</v>
      </c>
      <c r="I318" t="inlineStr">
        <is>
          <t>AUD</t>
        </is>
      </c>
      <c r="J318" t="n">
        <v>3.1223</v>
      </c>
      <c r="K318" s="5" t="inlineStr">
        <is>
          <t>01a1212c-6db6-75c6-a15a-3893db0236e1</t>
        </is>
      </c>
      <c r="L318" s="5" t="inlineStr">
        <is>
          <t>01a1212c-95f5-76f4-bbee-039f3f452abb</t>
        </is>
      </c>
      <c r="M318" s="6" t="n">
        <v>44378</v>
      </c>
    </row>
    <row r="319">
      <c r="A319" s="5" t="inlineStr">
        <is>
          <t>01a1212c-9695-74e7-9ef5-f52982392eb4</t>
        </is>
      </c>
      <c r="D319" s="5" t="inlineStr">
        <is>
          <t>01a1212c-4b57-70cf-80fd-c2192cb3bf81</t>
        </is>
      </c>
      <c r="E319" s="4" t="n">
        <v>46304.62422099586</v>
      </c>
      <c r="F319" s="4" t="n">
        <v>46304.62422099594</v>
      </c>
      <c r="G319" t="b">
        <v>1</v>
      </c>
      <c r="I319" t="inlineStr">
        <is>
          <t>AUD</t>
        </is>
      </c>
      <c r="J319" t="n">
        <v>3.1223</v>
      </c>
      <c r="K319" s="5" t="inlineStr">
        <is>
          <t>01a1212c-7066-75c9-8133-7c1e7c12164e</t>
        </is>
      </c>
      <c r="L319" s="5" t="inlineStr">
        <is>
          <t>01a1212c-95f5-76f4-bbee-039f3f452abb</t>
        </is>
      </c>
      <c r="M319" s="6" t="n">
        <v>44378</v>
      </c>
    </row>
    <row r="320">
      <c r="A320" s="5" t="inlineStr">
        <is>
          <t>01a1212c-969c-7542-8e92-2f9e0b2b4af0</t>
        </is>
      </c>
      <c r="D320" s="5" t="inlineStr">
        <is>
          <t>01a1212c-4b57-70cf-80fd-c2192cb3bf81</t>
        </is>
      </c>
      <c r="E320" s="4" t="n">
        <v>46304.62422107541</v>
      </c>
      <c r="F320" s="4" t="n">
        <v>46304.62422107549</v>
      </c>
      <c r="G320" t="b">
        <v>1</v>
      </c>
      <c r="I320" t="inlineStr">
        <is>
          <t>AUD</t>
        </is>
      </c>
      <c r="J320" t="n">
        <v>3.1223</v>
      </c>
      <c r="K320" s="5" t="inlineStr">
        <is>
          <t>01a1212c-7142-74d1-a420-87616f78ba3b</t>
        </is>
      </c>
      <c r="L320" s="5" t="inlineStr">
        <is>
          <t>01a1212c-95f5-76f4-bbee-039f3f452abb</t>
        </is>
      </c>
      <c r="M320" s="6" t="n">
        <v>44378</v>
      </c>
    </row>
    <row r="321">
      <c r="A321" s="5" t="inlineStr">
        <is>
          <t>01a1212c-96a3-7191-91e8-611b3101e6ec</t>
        </is>
      </c>
      <c r="D321" s="5" t="inlineStr">
        <is>
          <t>01a1212c-4b57-70cf-80fd-c2192cb3bf81</t>
        </is>
      </c>
      <c r="E321" s="4" t="n">
        <v>46304.62422115298</v>
      </c>
      <c r="F321" s="4" t="n">
        <v>46304.62422115308</v>
      </c>
      <c r="G321" t="b">
        <v>1</v>
      </c>
      <c r="I321" t="inlineStr">
        <is>
          <t>AUD</t>
        </is>
      </c>
      <c r="J321" t="n">
        <v>3.1223</v>
      </c>
      <c r="K321" s="5" t="inlineStr">
        <is>
          <t>01a1212c-7568-7011-9b33-32dc2471f741</t>
        </is>
      </c>
      <c r="L321" s="5" t="inlineStr">
        <is>
          <t>01a1212c-95f5-76f4-bbee-039f3f452abb</t>
        </is>
      </c>
      <c r="M321" s="6" t="n">
        <v>44378</v>
      </c>
    </row>
    <row r="322">
      <c r="A322" s="5" t="inlineStr">
        <is>
          <t>01a1212c-96aa-76fe-9dc2-eadf26488d91</t>
        </is>
      </c>
      <c r="D322" s="5" t="inlineStr">
        <is>
          <t>01a1212c-4b57-70cf-80fd-c2192cb3bf81</t>
        </is>
      </c>
      <c r="E322" s="4" t="n">
        <v>46304.62422123783</v>
      </c>
      <c r="F322" s="4" t="n">
        <v>46304.62422123795</v>
      </c>
      <c r="G322" t="b">
        <v>1</v>
      </c>
      <c r="I322" t="inlineStr">
        <is>
          <t>AUD</t>
        </is>
      </c>
      <c r="J322" t="n">
        <v>3.7468</v>
      </c>
      <c r="K322" s="5" t="inlineStr">
        <is>
          <t>01a1212c-6e0b-74a6-b1c4-92fd51554f70</t>
        </is>
      </c>
      <c r="L322" s="5" t="inlineStr">
        <is>
          <t>01a1212c-95f5-76f4-bbee-039f3f452abb</t>
        </is>
      </c>
      <c r="M322" s="6" t="n">
        <v>44378</v>
      </c>
    </row>
    <row r="323">
      <c r="A323" s="5" t="inlineStr">
        <is>
          <t>01a1212c-96b2-72e5-ba8e-492d62df8201</t>
        </is>
      </c>
      <c r="D323" s="5" t="inlineStr">
        <is>
          <t>01a1212c-4b57-70cf-80fd-c2192cb3bf81</t>
        </is>
      </c>
      <c r="E323" s="4" t="n">
        <v>46304.62422132969</v>
      </c>
      <c r="F323" s="4" t="n">
        <v>46304.62422132979</v>
      </c>
      <c r="G323" t="b">
        <v>1</v>
      </c>
      <c r="I323" t="inlineStr">
        <is>
          <t>AUD</t>
        </is>
      </c>
      <c r="J323" t="n">
        <v>4.0145</v>
      </c>
      <c r="K323" s="5" t="inlineStr">
        <is>
          <t>01a1212c-7645-77ff-9286-d1f48bd9680e</t>
        </is>
      </c>
      <c r="L323" s="5" t="inlineStr">
        <is>
          <t>01a1212c-95f5-76f4-bbee-039f3f452abb</t>
        </is>
      </c>
      <c r="M323" s="6" t="n">
        <v>44378</v>
      </c>
    </row>
    <row r="324">
      <c r="A324" s="5" t="inlineStr">
        <is>
          <t>01a1212c-96b9-76de-9f37-171c8c26fec8</t>
        </is>
      </c>
      <c r="D324" s="5" t="inlineStr">
        <is>
          <t>01a1212c-4b57-70cf-80fd-c2192cb3bf81</t>
        </is>
      </c>
      <c r="E324" s="4" t="n">
        <v>46304.62422140306</v>
      </c>
      <c r="F324" s="4" t="n">
        <v>46304.62422140315</v>
      </c>
      <c r="G324" t="b">
        <v>1</v>
      </c>
      <c r="I324" t="inlineStr">
        <is>
          <t>AUD</t>
        </is>
      </c>
      <c r="J324" t="n">
        <v>4.059</v>
      </c>
      <c r="K324" s="5" t="inlineStr">
        <is>
          <t>01a1212c-6d76-76a9-b3fa-2e49f1ec83bd</t>
        </is>
      </c>
      <c r="L324" s="5" t="inlineStr">
        <is>
          <t>01a1212c-95f5-76f4-bbee-039f3f452abb</t>
        </is>
      </c>
      <c r="M324" s="6" t="n">
        <v>44378</v>
      </c>
    </row>
    <row r="325">
      <c r="A325" s="5" t="inlineStr">
        <is>
          <t>01a1212c-96bf-734d-a764-4d69c4e59a70</t>
        </is>
      </c>
      <c r="D325" s="5" t="inlineStr">
        <is>
          <t>01a1212c-4b57-70cf-80fd-c2192cb3bf81</t>
        </is>
      </c>
      <c r="E325" s="4" t="n">
        <v>46304.62422147481</v>
      </c>
      <c r="F325" s="4" t="n">
        <v>46304.62422147487</v>
      </c>
      <c r="G325" t="b">
        <v>1</v>
      </c>
      <c r="I325" t="inlineStr">
        <is>
          <t>AUD</t>
        </is>
      </c>
      <c r="J325" t="n">
        <v>4.059</v>
      </c>
      <c r="K325" s="5" t="inlineStr">
        <is>
          <t>01a1212c-6efd-73be-a0d7-c82e3f8af4ac</t>
        </is>
      </c>
      <c r="L325" s="5" t="inlineStr">
        <is>
          <t>01a1212c-95f5-76f4-bbee-039f3f452abb</t>
        </is>
      </c>
      <c r="M325" s="6" t="n">
        <v>44378</v>
      </c>
    </row>
    <row r="326">
      <c r="A326" s="5" t="inlineStr">
        <is>
          <t>01a1212c-96c7-7011-a482-d0836d823535</t>
        </is>
      </c>
      <c r="D326" s="5" t="inlineStr">
        <is>
          <t>01a1212c-4b57-70cf-80fd-c2192cb3bf81</t>
        </is>
      </c>
      <c r="E326" s="4" t="n">
        <v>46304.62422156811</v>
      </c>
      <c r="F326" s="4" t="n">
        <v>46304.62422156823</v>
      </c>
      <c r="G326" t="b">
        <v>1</v>
      </c>
      <c r="I326" t="inlineStr">
        <is>
          <t>AUD</t>
        </is>
      </c>
      <c r="J326" t="n">
        <v>4.059</v>
      </c>
      <c r="K326" s="5" t="inlineStr">
        <is>
          <t>01a1212c-70d6-7608-9b7d-a9f3b20fcd42</t>
        </is>
      </c>
      <c r="L326" s="5" t="inlineStr">
        <is>
          <t>01a1212c-95f5-76f4-bbee-039f3f452abb</t>
        </is>
      </c>
      <c r="M326" s="6" t="n">
        <v>44378</v>
      </c>
    </row>
    <row r="327">
      <c r="A327" s="5" t="inlineStr">
        <is>
          <t>01a1212c-96ce-709d-95ab-2a9eac0ca0a4</t>
        </is>
      </c>
      <c r="D327" s="5" t="inlineStr">
        <is>
          <t>01a1212c-4b57-70cf-80fd-c2192cb3bf81</t>
        </is>
      </c>
      <c r="E327" s="4" t="n">
        <v>46304.62422164492</v>
      </c>
      <c r="F327" s="4" t="n">
        <v>46304.62422164499</v>
      </c>
      <c r="G327" t="b">
        <v>1</v>
      </c>
      <c r="I327" t="inlineStr">
        <is>
          <t>AUD</t>
        </is>
      </c>
      <c r="J327" t="n">
        <v>4.059</v>
      </c>
      <c r="K327" s="5" t="inlineStr">
        <is>
          <t>01a1212c-7102-774f-b90a-23a16e3eac92</t>
        </is>
      </c>
      <c r="L327" s="5" t="inlineStr">
        <is>
          <t>01a1212c-95f5-76f4-bbee-039f3f452abb</t>
        </is>
      </c>
      <c r="M327" s="6" t="n">
        <v>44378</v>
      </c>
    </row>
    <row r="328">
      <c r="A328" s="5" t="inlineStr">
        <is>
          <t>01a1212c-96d4-700b-8145-139fe6f2824d</t>
        </is>
      </c>
      <c r="D328" s="5" t="inlineStr">
        <is>
          <t>01a1212c-4b57-70cf-80fd-c2192cb3bf81</t>
        </is>
      </c>
      <c r="E328" s="4" t="n">
        <v>46304.62422172497</v>
      </c>
      <c r="F328" s="4" t="n">
        <v>46304.62422172505</v>
      </c>
      <c r="G328" t="b">
        <v>1</v>
      </c>
      <c r="I328" t="inlineStr">
        <is>
          <t>AUD</t>
        </is>
      </c>
      <c r="J328" t="n">
        <v>4.059</v>
      </c>
      <c r="K328" s="5" t="inlineStr">
        <is>
          <t>01a1212c-72fa-746a-b6d8-923ee91edd31</t>
        </is>
      </c>
      <c r="L328" s="5" t="inlineStr">
        <is>
          <t>01a1212c-95f5-76f4-bbee-039f3f452abb</t>
        </is>
      </c>
      <c r="M328" s="6" t="n">
        <v>44378</v>
      </c>
    </row>
    <row r="329">
      <c r="A329" s="5" t="inlineStr">
        <is>
          <t>01a1212c-96db-77ab-bbbf-bc61a25b6e26</t>
        </is>
      </c>
      <c r="D329" s="5" t="inlineStr">
        <is>
          <t>01a1212c-4b57-70cf-80fd-c2192cb3bf81</t>
        </is>
      </c>
      <c r="E329" s="4" t="n">
        <v>46304.62422179876</v>
      </c>
      <c r="F329" s="4" t="n">
        <v>46304.62422179883</v>
      </c>
      <c r="G329" t="b">
        <v>1</v>
      </c>
      <c r="I329" t="inlineStr">
        <is>
          <t>AUD</t>
        </is>
      </c>
      <c r="J329" t="n">
        <v>4.059</v>
      </c>
      <c r="K329" s="5" t="inlineStr">
        <is>
          <t>01a1212c-7327-74d8-96b9-c942c63d839c</t>
        </is>
      </c>
      <c r="L329" s="5" t="inlineStr">
        <is>
          <t>01a1212c-95f5-76f4-bbee-039f3f452abb</t>
        </is>
      </c>
      <c r="M329" s="6" t="n">
        <v>44378</v>
      </c>
    </row>
    <row r="330">
      <c r="A330" s="5" t="inlineStr">
        <is>
          <t>01a1212c-96e1-7656-8b5c-0eec1412487d</t>
        </is>
      </c>
      <c r="D330" s="5" t="inlineStr">
        <is>
          <t>01a1212c-4b57-70cf-80fd-c2192cb3bf81</t>
        </is>
      </c>
      <c r="E330" s="4" t="n">
        <v>46304.62422187123</v>
      </c>
      <c r="F330" s="4" t="n">
        <v>46304.62422187131</v>
      </c>
      <c r="G330" t="b">
        <v>1</v>
      </c>
      <c r="I330" t="inlineStr">
        <is>
          <t>AUD</t>
        </is>
      </c>
      <c r="J330" t="n">
        <v>4.059</v>
      </c>
      <c r="K330" s="5" t="inlineStr">
        <is>
          <t>01a1212c-7381-769a-8076-e7b050fbdfd3</t>
        </is>
      </c>
      <c r="L330" s="5" t="inlineStr">
        <is>
          <t>01a1212c-95f5-76f4-bbee-039f3f452abb</t>
        </is>
      </c>
      <c r="M330" s="6" t="n">
        <v>44378</v>
      </c>
    </row>
    <row r="331">
      <c r="A331" s="5" t="inlineStr">
        <is>
          <t>01a1212c-96e7-74e1-8c3d-cfd07b1a1ebc</t>
        </is>
      </c>
      <c r="D331" s="5" t="inlineStr">
        <is>
          <t>01a1212c-4b57-70cf-80fd-c2192cb3bf81</t>
        </is>
      </c>
      <c r="E331" s="4" t="n">
        <v>46304.6242219421</v>
      </c>
      <c r="F331" s="4" t="n">
        <v>46304.62422194218</v>
      </c>
      <c r="G331" t="b">
        <v>1</v>
      </c>
      <c r="I331" t="inlineStr">
        <is>
          <t>AUD</t>
        </is>
      </c>
      <c r="J331" t="n">
        <v>4.059</v>
      </c>
      <c r="K331" s="5" t="inlineStr">
        <is>
          <t>01a1212c-74d0-7378-b4d7-9789d59f4dc6</t>
        </is>
      </c>
      <c r="L331" s="5" t="inlineStr">
        <is>
          <t>01a1212c-95f5-76f4-bbee-039f3f452abb</t>
        </is>
      </c>
      <c r="M331" s="6" t="n">
        <v>44378</v>
      </c>
    </row>
    <row r="332">
      <c r="A332" s="5" t="inlineStr">
        <is>
          <t>01a1212c-96ed-7102-85e2-d49236fec427</t>
        </is>
      </c>
      <c r="D332" s="5" t="inlineStr">
        <is>
          <t>01a1212c-4b57-70cf-80fd-c2192cb3bf81</t>
        </is>
      </c>
      <c r="E332" s="4" t="n">
        <v>46304.62422201095</v>
      </c>
      <c r="F332" s="4" t="n">
        <v>46304.62422201102</v>
      </c>
      <c r="G332" t="b">
        <v>1</v>
      </c>
      <c r="I332" t="inlineStr">
        <is>
          <t>AUD</t>
        </is>
      </c>
      <c r="J332" t="n">
        <v>4.059</v>
      </c>
      <c r="K332" s="5" t="inlineStr">
        <is>
          <t>01a1212c-752a-73d9-a17f-d259f6529c46</t>
        </is>
      </c>
      <c r="L332" s="5" t="inlineStr">
        <is>
          <t>01a1212c-95f5-76f4-bbee-039f3f452abb</t>
        </is>
      </c>
      <c r="M332" s="6" t="n">
        <v>44378</v>
      </c>
    </row>
    <row r="333">
      <c r="A333" s="5" t="inlineStr">
        <is>
          <t>01a1212c-96f4-71ee-abc7-bdfb9ec032fd</t>
        </is>
      </c>
      <c r="D333" s="5" t="inlineStr">
        <is>
          <t>01a1212c-4b57-70cf-80fd-c2192cb3bf81</t>
        </is>
      </c>
      <c r="E333" s="4" t="n">
        <v>46304.62422209584</v>
      </c>
      <c r="F333" s="4" t="n">
        <v>46304.62422209592</v>
      </c>
      <c r="G333" t="b">
        <v>1</v>
      </c>
      <c r="I333" t="inlineStr">
        <is>
          <t>AUD</t>
        </is>
      </c>
      <c r="J333" t="n">
        <v>4.059</v>
      </c>
      <c r="K333" s="5" t="inlineStr">
        <is>
          <t>01a1212c-75d7-729a-8044-f297ce4ce9a3</t>
        </is>
      </c>
      <c r="L333" s="5" t="inlineStr">
        <is>
          <t>01a1212c-95f5-76f4-bbee-039f3f452abb</t>
        </is>
      </c>
      <c r="M333" s="6" t="n">
        <v>44378</v>
      </c>
    </row>
    <row r="334">
      <c r="A334" s="5" t="inlineStr">
        <is>
          <t>01a1212c-96fb-748a-8a7c-ef90cb7a0260</t>
        </is>
      </c>
      <c r="D334" s="5" t="inlineStr">
        <is>
          <t>01a1212c-4b57-70cf-80fd-c2192cb3bf81</t>
        </is>
      </c>
      <c r="E334" s="4" t="n">
        <v>46304.6242221674</v>
      </c>
      <c r="F334" s="4" t="n">
        <v>46304.62422216748</v>
      </c>
      <c r="G334" t="b">
        <v>1</v>
      </c>
      <c r="I334" t="inlineStr">
        <is>
          <t>AUD</t>
        </is>
      </c>
      <c r="J334" t="n">
        <v>4.3712</v>
      </c>
      <c r="K334" s="5" t="inlineStr">
        <is>
          <t>01a1212c-6f3f-76d2-bfcb-3c0b514d7327</t>
        </is>
      </c>
      <c r="L334" s="5" t="inlineStr">
        <is>
          <t>01a1212c-95f5-76f4-bbee-039f3f452abb</t>
        </is>
      </c>
      <c r="M334" s="6" t="n">
        <v>44378</v>
      </c>
    </row>
    <row r="335">
      <c r="A335" s="5" t="inlineStr">
        <is>
          <t>01a1212c-9701-7440-8d5f-0bd85213c007</t>
        </is>
      </c>
      <c r="D335" s="5" t="inlineStr">
        <is>
          <t>01a1212c-4b57-70cf-80fd-c2192cb3bf81</t>
        </is>
      </c>
      <c r="E335" s="4" t="n">
        <v>46304.62422223848</v>
      </c>
      <c r="F335" s="4" t="n">
        <v>46304.62422223856</v>
      </c>
      <c r="G335" t="b">
        <v>1</v>
      </c>
      <c r="I335" t="inlineStr">
        <is>
          <t>AUD</t>
        </is>
      </c>
      <c r="J335" t="n">
        <v>4.3712</v>
      </c>
      <c r="K335" s="5" t="inlineStr">
        <is>
          <t>01a1212c-6feb-74aa-bf31-ee2f8fd37754</t>
        </is>
      </c>
      <c r="L335" s="5" t="inlineStr">
        <is>
          <t>01a1212c-95f5-76f4-bbee-039f3f452abb</t>
        </is>
      </c>
      <c r="M335" s="6" t="n">
        <v>44378</v>
      </c>
    </row>
    <row r="336">
      <c r="A336" s="5" t="inlineStr">
        <is>
          <t>01a1212c-9707-709c-8121-17d0c97d4751</t>
        </is>
      </c>
      <c r="D336" s="5" t="inlineStr">
        <is>
          <t>01a1212c-4b57-70cf-80fd-c2192cb3bf81</t>
        </is>
      </c>
      <c r="E336" s="4" t="n">
        <v>46304.62422230549</v>
      </c>
      <c r="F336" s="4" t="n">
        <v>46304.62422230557</v>
      </c>
      <c r="G336" t="b">
        <v>1</v>
      </c>
      <c r="I336" t="inlineStr">
        <is>
          <t>AUD</t>
        </is>
      </c>
      <c r="J336" t="n">
        <v>4.3712</v>
      </c>
      <c r="K336" s="5" t="inlineStr">
        <is>
          <t>01a1212c-7028-718e-b2ce-9f6f2a580d3c</t>
        </is>
      </c>
      <c r="L336" s="5" t="inlineStr">
        <is>
          <t>01a1212c-95f5-76f4-bbee-039f3f452abb</t>
        </is>
      </c>
      <c r="M336" s="6" t="n">
        <v>44378</v>
      </c>
    </row>
    <row r="337">
      <c r="A337" s="5" t="inlineStr">
        <is>
          <t>01a1212c-970d-76e6-b88f-adcb3e2b46e7</t>
        </is>
      </c>
      <c r="D337" s="5" t="inlineStr">
        <is>
          <t>01a1212c-4b57-70cf-80fd-c2192cb3bf81</t>
        </is>
      </c>
      <c r="E337" s="4" t="n">
        <v>46304.62422237585</v>
      </c>
      <c r="F337" s="4" t="n">
        <v>46304.62422237591</v>
      </c>
      <c r="G337" t="b">
        <v>1</v>
      </c>
      <c r="I337" t="inlineStr">
        <is>
          <t>AUD</t>
        </is>
      </c>
      <c r="J337" t="n">
        <v>4.3712</v>
      </c>
      <c r="K337" s="5" t="inlineStr">
        <is>
          <t>01a1212c-71d9-7647-901b-c597ca2d48c9</t>
        </is>
      </c>
      <c r="L337" s="5" t="inlineStr">
        <is>
          <t>01a1212c-95f5-76f4-bbee-039f3f452abb</t>
        </is>
      </c>
      <c r="M337" s="6" t="n">
        <v>44378</v>
      </c>
    </row>
    <row r="338">
      <c r="A338" s="5" t="inlineStr">
        <is>
          <t>01a1212c-9713-7611-93eb-cbf3406a6c68</t>
        </is>
      </c>
      <c r="D338" s="5" t="inlineStr">
        <is>
          <t>01a1212c-4b57-70cf-80fd-c2192cb3bf81</t>
        </is>
      </c>
      <c r="E338" s="4" t="n">
        <v>46304.62422244613</v>
      </c>
      <c r="F338" s="4" t="n">
        <v>46304.6242224462</v>
      </c>
      <c r="G338" t="b">
        <v>1</v>
      </c>
      <c r="I338" t="inlineStr">
        <is>
          <t>AUD</t>
        </is>
      </c>
      <c r="J338" t="n">
        <v>4.3712</v>
      </c>
      <c r="K338" s="5" t="inlineStr">
        <is>
          <t>01a1212c-7461-718b-a08a-ae58aa67a4dc</t>
        </is>
      </c>
      <c r="L338" s="5" t="inlineStr">
        <is>
          <t>01a1212c-95f5-76f4-bbee-039f3f452abb</t>
        </is>
      </c>
      <c r="M338" s="6" t="n">
        <v>44378</v>
      </c>
    </row>
    <row r="339">
      <c r="A339" s="5" t="inlineStr">
        <is>
          <t>01a1212c-9719-7194-939c-7555fb93b83c</t>
        </is>
      </c>
      <c r="D339" s="5" t="inlineStr">
        <is>
          <t>01a1212c-4b57-70cf-80fd-c2192cb3bf81</t>
        </is>
      </c>
      <c r="E339" s="4" t="n">
        <v>46304.62422251382</v>
      </c>
      <c r="F339" s="4" t="n">
        <v>46304.62422251389</v>
      </c>
      <c r="G339" t="b">
        <v>1</v>
      </c>
      <c r="I339" t="inlineStr">
        <is>
          <t>AUD</t>
        </is>
      </c>
      <c r="J339" t="n">
        <v>4.6835</v>
      </c>
      <c r="K339" s="5" t="inlineStr">
        <is>
          <t>01a1212c-6e66-7046-82e1-a0df222b5449</t>
        </is>
      </c>
      <c r="L339" s="5" t="inlineStr">
        <is>
          <t>01a1212c-95f5-76f4-bbee-039f3f452abb</t>
        </is>
      </c>
      <c r="M339" s="6" t="n">
        <v>44378</v>
      </c>
    </row>
    <row r="340">
      <c r="A340" s="5" t="inlineStr">
        <is>
          <t>01a1212c-971e-73cf-b421-211d3e30f4d6</t>
        </is>
      </c>
      <c r="D340" s="5" t="inlineStr">
        <is>
          <t>01a1212c-4b57-70cf-80fd-c2192cb3bf81</t>
        </is>
      </c>
      <c r="E340" s="4" t="n">
        <v>46304.62422258179</v>
      </c>
      <c r="F340" s="4" t="n">
        <v>46304.62422258186</v>
      </c>
      <c r="G340" t="b">
        <v>1</v>
      </c>
      <c r="I340" t="inlineStr">
        <is>
          <t>AUD</t>
        </is>
      </c>
      <c r="J340" t="n">
        <v>4.6835</v>
      </c>
      <c r="K340" s="5" t="inlineStr">
        <is>
          <t>01a1212c-71ae-7629-9101-f4aefddb3353</t>
        </is>
      </c>
      <c r="L340" s="5" t="inlineStr">
        <is>
          <t>01a1212c-95f5-76f4-bbee-039f3f452abb</t>
        </is>
      </c>
      <c r="M340" s="6" t="n">
        <v>44378</v>
      </c>
    </row>
    <row r="341">
      <c r="A341" s="5" t="inlineStr">
        <is>
          <t>01a1212c-9725-7791-8ab1-edf891e743a0</t>
        </is>
      </c>
      <c r="D341" s="5" t="inlineStr">
        <is>
          <t>01a1212c-4b57-70cf-80fd-c2192cb3bf81</t>
        </is>
      </c>
      <c r="E341" s="4" t="n">
        <v>46304.62422265812</v>
      </c>
      <c r="F341" s="4" t="n">
        <v>46304.62422265818</v>
      </c>
      <c r="G341" t="b">
        <v>1</v>
      </c>
      <c r="I341" t="inlineStr">
        <is>
          <t>AUD</t>
        </is>
      </c>
      <c r="J341" t="n">
        <v>4.6835</v>
      </c>
      <c r="K341" s="5" t="inlineStr">
        <is>
          <t>01a1212c-741c-732e-b238-83e9eab5ef79</t>
        </is>
      </c>
      <c r="L341" s="5" t="inlineStr">
        <is>
          <t>01a1212c-95f5-76f4-bbee-039f3f452abb</t>
        </is>
      </c>
      <c r="M341" s="6" t="n">
        <v>44378</v>
      </c>
    </row>
    <row r="342">
      <c r="A342" s="5" t="inlineStr">
        <is>
          <t>01a1212c-972b-77a7-910d-d18a0d3ead08</t>
        </is>
      </c>
      <c r="D342" s="5" t="inlineStr">
        <is>
          <t>01a1212c-4b57-70cf-80fd-c2192cb3bf81</t>
        </is>
      </c>
      <c r="E342" s="4" t="n">
        <v>46304.62422272558</v>
      </c>
      <c r="F342" s="4" t="n">
        <v>46304.62422272565</v>
      </c>
      <c r="G342" t="b">
        <v>1</v>
      </c>
      <c r="I342" t="inlineStr">
        <is>
          <t>AUD</t>
        </is>
      </c>
      <c r="J342" t="n">
        <v>4.9959</v>
      </c>
      <c r="K342" s="5" t="inlineStr">
        <is>
          <t>01a1212c-6d4c-7285-883b-40007c7bea5b</t>
        </is>
      </c>
      <c r="L342" s="5" t="inlineStr">
        <is>
          <t>01a1212c-95f5-76f4-bbee-039f3f452abb</t>
        </is>
      </c>
      <c r="M342" s="6" t="n">
        <v>44378</v>
      </c>
    </row>
    <row r="343">
      <c r="A343" s="5" t="inlineStr">
        <is>
          <t>01a1212c-9820-73de-ae4c-ac36c9ba2f98</t>
        </is>
      </c>
      <c r="D343" s="5" t="inlineStr">
        <is>
          <t>01a1212c-4b57-70cf-80fd-c2192cb3bf81</t>
        </is>
      </c>
      <c r="E343" s="4" t="n">
        <v>46304.62422556707</v>
      </c>
      <c r="F343" s="4" t="n">
        <v>46304.62422556717</v>
      </c>
      <c r="G343" t="b">
        <v>1</v>
      </c>
      <c r="I343" t="inlineStr">
        <is>
          <t>AUD</t>
        </is>
      </c>
      <c r="J343" t="n">
        <v>0.117</v>
      </c>
      <c r="K343" s="5" t="inlineStr">
        <is>
          <t>01a1212c-793d-735a-8d1b-3b3743d82b3c</t>
        </is>
      </c>
      <c r="L343" s="5" t="inlineStr">
        <is>
          <t>01a1212c-981b-74a7-bdd8-ec219dc8c198</t>
        </is>
      </c>
      <c r="M343" s="6" t="n">
        <v>44378</v>
      </c>
    </row>
    <row r="344">
      <c r="A344" s="5" t="inlineStr">
        <is>
          <t>01a1212c-9827-74ea-ba1f-11fc9abe053f</t>
        </is>
      </c>
      <c r="D344" s="5" t="inlineStr">
        <is>
          <t>01a1212c-4b57-70cf-80fd-c2192cb3bf81</t>
        </is>
      </c>
      <c r="E344" s="4" t="n">
        <v>46304.62422564318</v>
      </c>
      <c r="F344" s="4" t="n">
        <v>46304.62422564333</v>
      </c>
      <c r="G344" t="b">
        <v>1</v>
      </c>
      <c r="I344" t="inlineStr">
        <is>
          <t>AUD</t>
        </is>
      </c>
      <c r="J344" t="n">
        <v>0.3571</v>
      </c>
      <c r="K344" s="5" t="inlineStr">
        <is>
          <t>01a1212c-7911-7380-b8bc-fe5bcacfa72b</t>
        </is>
      </c>
      <c r="L344" s="5" t="inlineStr">
        <is>
          <t>01a1212c-981b-74a7-bdd8-ec219dc8c198</t>
        </is>
      </c>
      <c r="M344" s="6" t="n">
        <v>44378</v>
      </c>
    </row>
    <row r="345">
      <c r="A345" s="5" t="inlineStr">
        <is>
          <t>01a1212c-982f-73fd-be82-2a11102f6b57</t>
        </is>
      </c>
      <c r="D345" s="5" t="inlineStr">
        <is>
          <t>01a1212c-4b57-70cf-80fd-c2192cb3bf81</t>
        </is>
      </c>
      <c r="E345" s="4" t="n">
        <v>46304.62422573871</v>
      </c>
      <c r="F345" s="4" t="n">
        <v>46304.62422573879</v>
      </c>
      <c r="G345" t="b">
        <v>1</v>
      </c>
      <c r="I345" t="inlineStr">
        <is>
          <t>AUD</t>
        </is>
      </c>
      <c r="J345" t="n">
        <v>0.4357</v>
      </c>
      <c r="K345" s="5" t="inlineStr">
        <is>
          <t>01a1212c-786a-76e5-9880-08eb60ed6a05</t>
        </is>
      </c>
      <c r="L345" s="5" t="inlineStr">
        <is>
          <t>01a1212c-981b-74a7-bdd8-ec219dc8c198</t>
        </is>
      </c>
      <c r="M345" s="6" t="n">
        <v>44378</v>
      </c>
    </row>
    <row r="346">
      <c r="A346" s="5" t="inlineStr">
        <is>
          <t>01a1212c-9836-709f-9241-ae22c72b3e8f</t>
        </is>
      </c>
      <c r="D346" s="5" t="inlineStr">
        <is>
          <t>01a1212c-4b57-70cf-80fd-c2192cb3bf81</t>
        </is>
      </c>
      <c r="E346" s="4" t="n">
        <v>46304.62422581373</v>
      </c>
      <c r="F346" s="4" t="n">
        <v>46304.62422581379</v>
      </c>
      <c r="G346" t="b">
        <v>1</v>
      </c>
      <c r="I346" t="inlineStr">
        <is>
          <t>AUD</t>
        </is>
      </c>
      <c r="J346" t="n">
        <v>0.4648</v>
      </c>
      <c r="K346" s="5" t="inlineStr">
        <is>
          <t>01a1212c-782c-71c8-a8bb-adfe40c2d7c2</t>
        </is>
      </c>
      <c r="L346" s="5" t="inlineStr">
        <is>
          <t>01a1212c-981b-74a7-bdd8-ec219dc8c198</t>
        </is>
      </c>
      <c r="M346" s="6" t="n">
        <v>44378</v>
      </c>
    </row>
    <row r="347">
      <c r="A347" s="5" t="inlineStr">
        <is>
          <t>01a1212c-983c-70b3-a5eb-0df7573233af</t>
        </is>
      </c>
      <c r="D347" s="5" t="inlineStr">
        <is>
          <t>01a1212c-4b57-70cf-80fd-c2192cb3bf81</t>
        </is>
      </c>
      <c r="E347" s="4" t="n">
        <v>46304.6242258893</v>
      </c>
      <c r="F347" s="4" t="n">
        <v>46304.62422588938</v>
      </c>
      <c r="G347" t="b">
        <v>1</v>
      </c>
      <c r="I347" t="inlineStr">
        <is>
          <t>AUD</t>
        </is>
      </c>
      <c r="J347" t="n">
        <v>0.4971</v>
      </c>
      <c r="K347" s="5" t="inlineStr">
        <is>
          <t>01a1212c-78c3-76a7-bbb9-ea3eccef616f</t>
        </is>
      </c>
      <c r="L347" s="5" t="inlineStr">
        <is>
          <t>01a1212c-981b-74a7-bdd8-ec219dc8c198</t>
        </is>
      </c>
      <c r="M347" s="6" t="n">
        <v>44378</v>
      </c>
    </row>
    <row r="348">
      <c r="A348" s="5" t="inlineStr">
        <is>
          <t>01a1212c-9842-75fc-a1e8-cc6cc45feaae</t>
        </is>
      </c>
      <c r="D348" s="5" t="inlineStr">
        <is>
          <t>01a1212c-4b57-70cf-80fd-c2192cb3bf81</t>
        </is>
      </c>
      <c r="E348" s="4" t="n">
        <v>46304.6242259569</v>
      </c>
      <c r="F348" s="4" t="n">
        <v>46304.62422595698</v>
      </c>
      <c r="G348" t="b">
        <v>1</v>
      </c>
      <c r="I348" t="inlineStr">
        <is>
          <t>AUD</t>
        </is>
      </c>
      <c r="J348" t="n">
        <v>0.8715000000000001</v>
      </c>
      <c r="K348" s="5" t="inlineStr">
        <is>
          <t>01a1212c-7734-763e-bfc4-4e61ccd3ee01</t>
        </is>
      </c>
      <c r="L348" s="5" t="inlineStr">
        <is>
          <t>01a1212c-981b-74a7-bdd8-ec219dc8c198</t>
        </is>
      </c>
      <c r="M348" s="6" t="n">
        <v>44378</v>
      </c>
    </row>
    <row r="349">
      <c r="A349" s="5" t="inlineStr">
        <is>
          <t>01a1212c-9848-77f0-91d5-730c71c6e414</t>
        </is>
      </c>
      <c r="D349" s="5" t="inlineStr">
        <is>
          <t>01a1212c-4b57-70cf-80fd-c2192cb3bf81</t>
        </is>
      </c>
      <c r="E349" s="4" t="n">
        <v>46304.62422603094</v>
      </c>
      <c r="F349" s="4" t="n">
        <v>46304.62422603103</v>
      </c>
      <c r="G349" t="b">
        <v>1</v>
      </c>
      <c r="I349" t="inlineStr">
        <is>
          <t>AUD</t>
        </is>
      </c>
      <c r="J349" t="n">
        <v>1.0054</v>
      </c>
      <c r="K349" s="5" t="inlineStr">
        <is>
          <t>01a1212c-77d4-75d1-964a-4a82d5606ddd</t>
        </is>
      </c>
      <c r="L349" s="5" t="inlineStr">
        <is>
          <t>01a1212c-981b-74a7-bdd8-ec219dc8c198</t>
        </is>
      </c>
      <c r="M349" s="6" t="n">
        <v>44378</v>
      </c>
    </row>
    <row r="350">
      <c r="A350" s="5" t="inlineStr">
        <is>
          <t>01a1212c-984e-772a-b00d-d179a0f85dec</t>
        </is>
      </c>
      <c r="D350" s="5" t="inlineStr">
        <is>
          <t>01a1212c-4b57-70cf-80fd-c2192cb3bf81</t>
        </is>
      </c>
      <c r="E350" s="4" t="n">
        <v>46304.62422609911</v>
      </c>
      <c r="F350" s="4" t="n">
        <v>46304.62422609916</v>
      </c>
      <c r="G350" t="b">
        <v>1</v>
      </c>
      <c r="I350" t="inlineStr">
        <is>
          <t>AUD</t>
        </is>
      </c>
      <c r="J350" t="n">
        <v>1.1692</v>
      </c>
      <c r="K350" s="5" t="inlineStr">
        <is>
          <t>01a1212c-777a-75f6-97da-4f344ffae56e</t>
        </is>
      </c>
      <c r="L350" s="5" t="inlineStr">
        <is>
          <t>01a1212c-981b-74a7-bdd8-ec219dc8c198</t>
        </is>
      </c>
      <c r="M350" s="6" t="n">
        <v>44378</v>
      </c>
    </row>
    <row r="351">
      <c r="A351" s="5" t="inlineStr">
        <is>
          <t>01a1212c-9854-725f-91e6-c4cf91085f88</t>
        </is>
      </c>
      <c r="D351" s="5" t="inlineStr">
        <is>
          <t>01a1212c-4b57-70cf-80fd-c2192cb3bf81</t>
        </is>
      </c>
      <c r="E351" s="4" t="n">
        <v>46304.62422616273</v>
      </c>
      <c r="F351" s="4" t="n">
        <v>46304.6242261628</v>
      </c>
      <c r="G351" t="b">
        <v>1</v>
      </c>
      <c r="I351" t="inlineStr">
        <is>
          <t>AUD</t>
        </is>
      </c>
      <c r="J351" t="n">
        <v>1.3253</v>
      </c>
      <c r="K351" s="5" t="inlineStr">
        <is>
          <t>01a1212c-762f-7733-8b01-f44cad85b151</t>
        </is>
      </c>
      <c r="L351" s="5" t="inlineStr">
        <is>
          <t>01a1212c-981b-74a7-bdd8-ec219dc8c198</t>
        </is>
      </c>
      <c r="M351" s="6" t="n">
        <v>44378</v>
      </c>
    </row>
    <row r="352">
      <c r="A352" s="5" t="inlineStr">
        <is>
          <t>01a1212c-985b-70d0-8982-6f0fbca33bf5</t>
        </is>
      </c>
      <c r="D352" s="5" t="inlineStr">
        <is>
          <t>01a1212c-4b57-70cf-80fd-c2192cb3bf81</t>
        </is>
      </c>
      <c r="E352" s="4" t="n">
        <v>46304.62422624838</v>
      </c>
      <c r="F352" s="4" t="n">
        <v>46304.62422624845</v>
      </c>
      <c r="G352" t="b">
        <v>1</v>
      </c>
      <c r="I352" t="inlineStr">
        <is>
          <t>AUD</t>
        </is>
      </c>
      <c r="J352" t="n">
        <v>1.4726</v>
      </c>
      <c r="K352" s="5" t="inlineStr">
        <is>
          <t>01a1212c-7406-7791-9482-a05d6cc76c10</t>
        </is>
      </c>
      <c r="L352" s="5" t="inlineStr">
        <is>
          <t>01a1212c-981b-74a7-bdd8-ec219dc8c198</t>
        </is>
      </c>
      <c r="M352" s="6" t="n">
        <v>44378</v>
      </c>
    </row>
    <row r="353">
      <c r="A353" s="5" t="inlineStr">
        <is>
          <t>01a1212c-9861-706f-9c36-65bddd61e344</t>
        </is>
      </c>
      <c r="D353" s="5" t="inlineStr">
        <is>
          <t>01a1212c-4b57-70cf-80fd-c2192cb3bf81</t>
        </is>
      </c>
      <c r="E353" s="4" t="n">
        <v>46304.62422631888</v>
      </c>
      <c r="F353" s="4" t="n">
        <v>46304.62422631895</v>
      </c>
      <c r="G353" t="b">
        <v>1</v>
      </c>
      <c r="I353" t="inlineStr">
        <is>
          <t>AUD</t>
        </is>
      </c>
      <c r="J353" t="n">
        <v>1.6199</v>
      </c>
      <c r="K353" s="5" t="inlineStr">
        <is>
          <t>01a1212c-72ce-758f-a1e1-774c3e0a5001</t>
        </is>
      </c>
      <c r="L353" s="5" t="inlineStr">
        <is>
          <t>01a1212c-981b-74a7-bdd8-ec219dc8c198</t>
        </is>
      </c>
      <c r="M353" s="6" t="n">
        <v>44378</v>
      </c>
    </row>
    <row r="354">
      <c r="A354" s="5" t="inlineStr">
        <is>
          <t>01a1212c-9867-709b-a38c-fe43542b4dfb</t>
        </is>
      </c>
      <c r="D354" s="5" t="inlineStr">
        <is>
          <t>01a1212c-4b57-70cf-80fd-c2192cb3bf81</t>
        </is>
      </c>
      <c r="E354" s="4" t="n">
        <v>46304.62422638728</v>
      </c>
      <c r="F354" s="4" t="n">
        <v>46304.62422638737</v>
      </c>
      <c r="G354" t="b">
        <v>1</v>
      </c>
      <c r="I354" t="inlineStr">
        <is>
          <t>AUD</t>
        </is>
      </c>
      <c r="J354" t="n">
        <v>1.6832</v>
      </c>
      <c r="K354" s="5" t="inlineStr">
        <is>
          <t>01a1212c-76c8-72fb-848d-f490971720af</t>
        </is>
      </c>
      <c r="L354" s="5" t="inlineStr">
        <is>
          <t>01a1212c-981b-74a7-bdd8-ec219dc8c198</t>
        </is>
      </c>
      <c r="M354" s="6" t="n">
        <v>44378</v>
      </c>
    </row>
    <row r="355">
      <c r="A355" s="5" t="inlineStr">
        <is>
          <t>01a1212c-986d-7278-b2d2-eabcb3fc5ffe</t>
        </is>
      </c>
      <c r="D355" s="5" t="inlineStr">
        <is>
          <t>01a1212c-4b57-70cf-80fd-c2192cb3bf81</t>
        </is>
      </c>
      <c r="E355" s="4" t="n">
        <v>46304.62422645656</v>
      </c>
      <c r="F355" s="4" t="n">
        <v>46304.62422645663</v>
      </c>
      <c r="G355" t="b">
        <v>1</v>
      </c>
      <c r="I355" t="inlineStr">
        <is>
          <t>AUD</t>
        </is>
      </c>
      <c r="J355" t="n">
        <v>1.7671</v>
      </c>
      <c r="K355" s="5" t="inlineStr">
        <is>
          <t>01a1212c-6998-74b0-bc81-af5dbb051f7a</t>
        </is>
      </c>
      <c r="L355" s="5" t="inlineStr">
        <is>
          <t>01a1212c-981b-74a7-bdd8-ec219dc8c198</t>
        </is>
      </c>
      <c r="M355" s="6" t="n">
        <v>44378</v>
      </c>
    </row>
    <row r="356">
      <c r="A356" s="5" t="inlineStr">
        <is>
          <t>01a1212c-9873-717e-afab-f304bcdb22d5</t>
        </is>
      </c>
      <c r="D356" s="5" t="inlineStr">
        <is>
          <t>01a1212c-4b57-70cf-80fd-c2192cb3bf81</t>
        </is>
      </c>
      <c r="E356" s="4" t="n">
        <v>46304.62422652597</v>
      </c>
      <c r="F356" s="4" t="n">
        <v>46304.62422652604</v>
      </c>
      <c r="G356" t="b">
        <v>1</v>
      </c>
      <c r="I356" t="inlineStr">
        <is>
          <t>AUD</t>
        </is>
      </c>
      <c r="J356" t="n">
        <v>1.7671</v>
      </c>
      <c r="K356" s="5" t="inlineStr">
        <is>
          <t>01a1212c-7278-7734-b344-b828fba43ba6</t>
        </is>
      </c>
      <c r="L356" s="5" t="inlineStr">
        <is>
          <t>01a1212c-981b-74a7-bdd8-ec219dc8c198</t>
        </is>
      </c>
      <c r="M356" s="6" t="n">
        <v>44378</v>
      </c>
    </row>
    <row r="357">
      <c r="A357" s="5" t="inlineStr">
        <is>
          <t>01a1212c-9879-72ba-8535-7bf2ccd5df4a</t>
        </is>
      </c>
      <c r="D357" s="5" t="inlineStr">
        <is>
          <t>01a1212c-4b57-70cf-80fd-c2192cb3bf81</t>
        </is>
      </c>
      <c r="E357" s="4" t="n">
        <v>46304.62422659227</v>
      </c>
      <c r="F357" s="4" t="n">
        <v>46304.62422659234</v>
      </c>
      <c r="G357" t="b">
        <v>1</v>
      </c>
      <c r="I357" t="inlineStr">
        <is>
          <t>AUD</t>
        </is>
      </c>
      <c r="J357" t="n">
        <v>1.8809</v>
      </c>
      <c r="K357" s="5" t="inlineStr">
        <is>
          <t>01a1212c-769c-724d-bdf2-5a3b65015030</t>
        </is>
      </c>
      <c r="L357" s="5" t="inlineStr">
        <is>
          <t>01a1212c-981b-74a7-bdd8-ec219dc8c198</t>
        </is>
      </c>
      <c r="M357" s="6" t="n">
        <v>44378</v>
      </c>
    </row>
    <row r="358">
      <c r="A358" s="5" t="inlineStr">
        <is>
          <t>01a1212c-987f-71e0-a2b3-a41cc7f80a98</t>
        </is>
      </c>
      <c r="D358" s="5" t="inlineStr">
        <is>
          <t>01a1212c-4b57-70cf-80fd-c2192cb3bf81</t>
        </is>
      </c>
      <c r="E358" s="4" t="n">
        <v>46304.62422665727</v>
      </c>
      <c r="F358" s="4" t="n">
        <v>46304.62422665734</v>
      </c>
      <c r="G358" t="b">
        <v>1</v>
      </c>
      <c r="I358" t="inlineStr">
        <is>
          <t>AUD</t>
        </is>
      </c>
      <c r="J358" t="n">
        <v>1.9144</v>
      </c>
      <c r="K358" s="5" t="inlineStr">
        <is>
          <t>01a1212c-74bb-70c4-8e52-54a02ff26207</t>
        </is>
      </c>
      <c r="L358" s="5" t="inlineStr">
        <is>
          <t>01a1212c-981b-74a7-bdd8-ec219dc8c198</t>
        </is>
      </c>
      <c r="M358" s="6" t="n">
        <v>44378</v>
      </c>
    </row>
    <row r="359">
      <c r="A359" s="5" t="inlineStr">
        <is>
          <t>01a1212c-9884-72a7-ad50-494d979f3998</t>
        </is>
      </c>
      <c r="D359" s="5" t="inlineStr">
        <is>
          <t>01a1212c-4b57-70cf-80fd-c2192cb3bf81</t>
        </is>
      </c>
      <c r="E359" s="4" t="n">
        <v>46304.62422672394</v>
      </c>
      <c r="F359" s="4" t="n">
        <v>46304.62422672402</v>
      </c>
      <c r="G359" t="b">
        <v>1</v>
      </c>
      <c r="I359" t="inlineStr">
        <is>
          <t>AUD</t>
        </is>
      </c>
      <c r="J359" t="n">
        <v>2.0616</v>
      </c>
      <c r="K359" s="5" t="inlineStr">
        <is>
          <t>01a1212c-6fd7-7372-ba43-20c51ef00ee0</t>
        </is>
      </c>
      <c r="L359" s="5" t="inlineStr">
        <is>
          <t>01a1212c-981b-74a7-bdd8-ec219dc8c198</t>
        </is>
      </c>
      <c r="M359" s="6" t="n">
        <v>44378</v>
      </c>
    </row>
    <row r="360">
      <c r="A360" s="5" t="inlineStr">
        <is>
          <t>01a1212c-988a-752e-bbe9-7fc29318d41b</t>
        </is>
      </c>
      <c r="D360" s="5" t="inlineStr">
        <is>
          <t>01a1212c-4b57-70cf-80fd-c2192cb3bf81</t>
        </is>
      </c>
      <c r="E360" s="4" t="n">
        <v>46304.62422679317</v>
      </c>
      <c r="F360" s="4" t="n">
        <v>46304.62422679326</v>
      </c>
      <c r="G360" t="b">
        <v>1</v>
      </c>
      <c r="I360" t="inlineStr">
        <is>
          <t>AUD</t>
        </is>
      </c>
      <c r="J360" t="n">
        <v>2.0616</v>
      </c>
      <c r="K360" s="5" t="inlineStr">
        <is>
          <t>01a1212c-7230-7671-90fb-9b2a12ecb44c</t>
        </is>
      </c>
      <c r="L360" s="5" t="inlineStr">
        <is>
          <t>01a1212c-981b-74a7-bdd8-ec219dc8c198</t>
        </is>
      </c>
      <c r="M360" s="6" t="n">
        <v>44378</v>
      </c>
    </row>
    <row r="361">
      <c r="A361" s="5" t="inlineStr">
        <is>
          <t>01a1212c-9890-703b-943f-0baab469f338</t>
        </is>
      </c>
      <c r="D361" s="5" t="inlineStr">
        <is>
          <t>01a1212c-4b57-70cf-80fd-c2192cb3bf81</t>
        </is>
      </c>
      <c r="E361" s="4" t="n">
        <v>46304.62422686385</v>
      </c>
      <c r="F361" s="4" t="n">
        <v>46304.62422686393</v>
      </c>
      <c r="G361" t="b">
        <v>1</v>
      </c>
      <c r="I361" t="inlineStr">
        <is>
          <t>AUD</t>
        </is>
      </c>
      <c r="J361" t="n">
        <v>2.1706</v>
      </c>
      <c r="K361" s="5" t="inlineStr">
        <is>
          <t>01a1212c-7709-72df-b553-3dec9cf59792</t>
        </is>
      </c>
      <c r="L361" s="5" t="inlineStr">
        <is>
          <t>01a1212c-981b-74a7-bdd8-ec219dc8c198</t>
        </is>
      </c>
      <c r="M361" s="6" t="n">
        <v>44378</v>
      </c>
    </row>
    <row r="362">
      <c r="A362" s="5" t="inlineStr">
        <is>
          <t>01a1212c-9897-7294-936f-de1bd7380569</t>
        </is>
      </c>
      <c r="D362" s="5" t="inlineStr">
        <is>
          <t>01a1212c-4b57-70cf-80fd-c2192cb3bf81</t>
        </is>
      </c>
      <c r="E362" s="4" t="n">
        <v>46304.62422693768</v>
      </c>
      <c r="F362" s="4" t="n">
        <v>46304.62422693779</v>
      </c>
      <c r="G362" t="b">
        <v>1</v>
      </c>
      <c r="I362" t="inlineStr">
        <is>
          <t>AUD</t>
        </is>
      </c>
      <c r="J362" t="n">
        <v>2.2089</v>
      </c>
      <c r="K362" s="5" t="inlineStr">
        <is>
          <t>01a1212c-6b88-7320-ad83-9bb2175f9188</t>
        </is>
      </c>
      <c r="L362" s="5" t="inlineStr">
        <is>
          <t>01a1212c-981b-74a7-bdd8-ec219dc8c198</t>
        </is>
      </c>
      <c r="M362" s="6" t="n">
        <v>44378</v>
      </c>
    </row>
    <row r="363">
      <c r="A363" s="5" t="inlineStr">
        <is>
          <t>01a1212c-989d-7054-90c3-af89e45d2624</t>
        </is>
      </c>
      <c r="D363" s="5" t="inlineStr">
        <is>
          <t>01a1212c-4b57-70cf-80fd-c2192cb3bf81</t>
        </is>
      </c>
      <c r="E363" s="4" t="n">
        <v>46304.62422701391</v>
      </c>
      <c r="F363" s="4" t="n">
        <v>46304.62422701399</v>
      </c>
      <c r="G363" t="b">
        <v>1</v>
      </c>
      <c r="I363" t="inlineStr">
        <is>
          <t>AUD</t>
        </is>
      </c>
      <c r="J363" t="n">
        <v>2.2089</v>
      </c>
      <c r="K363" s="5" t="inlineStr">
        <is>
          <t>01a1212c-6d37-7104-9bae-6b11207df2ba</t>
        </is>
      </c>
      <c r="L363" s="5" t="inlineStr">
        <is>
          <t>01a1212c-981b-74a7-bdd8-ec219dc8c198</t>
        </is>
      </c>
      <c r="M363" s="6" t="n">
        <v>44378</v>
      </c>
    </row>
    <row r="364">
      <c r="A364" s="5" t="inlineStr">
        <is>
          <t>01a1212c-98a4-750f-bf9c-32dd27190e83</t>
        </is>
      </c>
      <c r="D364" s="5" t="inlineStr">
        <is>
          <t>01a1212c-4b57-70cf-80fd-c2192cb3bf81</t>
        </is>
      </c>
      <c r="E364" s="4" t="n">
        <v>46304.62422708613</v>
      </c>
      <c r="F364" s="4" t="n">
        <v>46304.62422708621</v>
      </c>
      <c r="G364" t="b">
        <v>1</v>
      </c>
      <c r="I364" t="inlineStr">
        <is>
          <t>AUD</t>
        </is>
      </c>
      <c r="J364" t="n">
        <v>2.2089</v>
      </c>
      <c r="K364" s="5" t="inlineStr">
        <is>
          <t>01a1212c-6f94-71c9-8280-59efd47efd80</t>
        </is>
      </c>
      <c r="L364" s="5" t="inlineStr">
        <is>
          <t>01a1212c-981b-74a7-bdd8-ec219dc8c198</t>
        </is>
      </c>
      <c r="M364" s="6" t="n">
        <v>44378</v>
      </c>
    </row>
    <row r="365">
      <c r="A365" s="5" t="inlineStr">
        <is>
          <t>01a1212c-98aa-7680-9504-f3d8af755e0c</t>
        </is>
      </c>
      <c r="D365" s="5" t="inlineStr">
        <is>
          <t>01a1212c-4b57-70cf-80fd-c2192cb3bf81</t>
        </is>
      </c>
      <c r="E365" s="4" t="n">
        <v>46304.62422716037</v>
      </c>
      <c r="F365" s="4" t="n">
        <v>46304.62422716044</v>
      </c>
      <c r="G365" t="b">
        <v>1</v>
      </c>
      <c r="I365" t="inlineStr">
        <is>
          <t>AUD</t>
        </is>
      </c>
      <c r="J365" t="n">
        <v>2.2089</v>
      </c>
      <c r="K365" s="5" t="inlineStr">
        <is>
          <t>01a1212c-719a-7616-bf3b-b6ee9e3119c7</t>
        </is>
      </c>
      <c r="L365" s="5" t="inlineStr">
        <is>
          <t>01a1212c-981b-74a7-bdd8-ec219dc8c198</t>
        </is>
      </c>
      <c r="M365" s="6" t="n">
        <v>44378</v>
      </c>
    </row>
    <row r="366">
      <c r="A366" s="5" t="inlineStr">
        <is>
          <t>01a1212c-98b1-7455-8bad-2223877a7442</t>
        </is>
      </c>
      <c r="D366" s="5" t="inlineStr">
        <is>
          <t>01a1212c-4b57-70cf-80fd-c2192cb3bf81</t>
        </is>
      </c>
      <c r="E366" s="4" t="n">
        <v>46304.62422723816</v>
      </c>
      <c r="F366" s="4" t="n">
        <v>46304.62422723823</v>
      </c>
      <c r="G366" t="b">
        <v>1</v>
      </c>
      <c r="I366" t="inlineStr">
        <is>
          <t>AUD</t>
        </is>
      </c>
      <c r="J366" t="n">
        <v>2.2089</v>
      </c>
      <c r="K366" s="5" t="inlineStr">
        <is>
          <t>01a1212c-7515-75a9-bea4-d4a41e7286ba</t>
        </is>
      </c>
      <c r="L366" s="5" t="inlineStr">
        <is>
          <t>01a1212c-981b-74a7-bdd8-ec219dc8c198</t>
        </is>
      </c>
      <c r="M366" s="6" t="n">
        <v>44378</v>
      </c>
    </row>
    <row r="367">
      <c r="A367" s="5" t="inlineStr">
        <is>
          <t>01a1212c-98b7-7763-a7b0-af77ef966ab4</t>
        </is>
      </c>
      <c r="D367" s="5" t="inlineStr">
        <is>
          <t>01a1212c-4b57-70cf-80fd-c2192cb3bf81</t>
        </is>
      </c>
      <c r="E367" s="4" t="n">
        <v>46304.6242273139</v>
      </c>
      <c r="F367" s="4" t="n">
        <v>46304.62422731398</v>
      </c>
      <c r="G367" t="b">
        <v>1</v>
      </c>
      <c r="I367" t="inlineStr">
        <is>
          <t>AUD</t>
        </is>
      </c>
      <c r="J367" t="n">
        <v>2.2089</v>
      </c>
      <c r="K367" s="5" t="inlineStr">
        <is>
          <t>01a1212c-75aa-735b-b4ee-0e53e375e6f4</t>
        </is>
      </c>
      <c r="L367" s="5" t="inlineStr">
        <is>
          <t>01a1212c-981b-74a7-bdd8-ec219dc8c198</t>
        </is>
      </c>
      <c r="M367" s="6" t="n">
        <v>44378</v>
      </c>
    </row>
    <row r="368">
      <c r="A368" s="5" t="inlineStr">
        <is>
          <t>01a1212c-98bd-704b-a32e-8ccc9492586c</t>
        </is>
      </c>
      <c r="D368" s="5" t="inlineStr">
        <is>
          <t>01a1212c-4b57-70cf-80fd-c2192cb3bf81</t>
        </is>
      </c>
      <c r="E368" s="4" t="n">
        <v>46304.62422738447</v>
      </c>
      <c r="F368" s="4" t="n">
        <v>46304.62422738453</v>
      </c>
      <c r="G368" t="b">
        <v>1</v>
      </c>
      <c r="I368" t="inlineStr">
        <is>
          <t>AUD</t>
        </is>
      </c>
      <c r="J368" t="n">
        <v>2.3562</v>
      </c>
      <c r="K368" s="5" t="inlineStr">
        <is>
          <t>01a1212c-6ed1-75e4-b466-1b906512bd95</t>
        </is>
      </c>
      <c r="L368" s="5" t="inlineStr">
        <is>
          <t>01a1212c-981b-74a7-bdd8-ec219dc8c198</t>
        </is>
      </c>
      <c r="M368" s="6" t="n">
        <v>44378</v>
      </c>
    </row>
    <row r="369">
      <c r="A369" s="5" t="inlineStr">
        <is>
          <t>01a1212c-98c3-7314-afe5-2b907f7b99a2</t>
        </is>
      </c>
      <c r="D369" s="5" t="inlineStr">
        <is>
          <t>01a1212c-4b57-70cf-80fd-c2192cb3bf81</t>
        </is>
      </c>
      <c r="E369" s="4" t="n">
        <v>46304.62422745035</v>
      </c>
      <c r="F369" s="4" t="n">
        <v>46304.6242274504</v>
      </c>
      <c r="G369" t="b">
        <v>1</v>
      </c>
      <c r="I369" t="inlineStr">
        <is>
          <t>AUD</t>
        </is>
      </c>
      <c r="J369" t="n">
        <v>2.3562</v>
      </c>
      <c r="K369" s="5" t="inlineStr">
        <is>
          <t>01a1212c-757f-767f-8272-690dfe1bbf2a</t>
        </is>
      </c>
      <c r="L369" s="5" t="inlineStr">
        <is>
          <t>01a1212c-981b-74a7-bdd8-ec219dc8c198</t>
        </is>
      </c>
      <c r="M369" s="6" t="n">
        <v>44378</v>
      </c>
    </row>
    <row r="370">
      <c r="A370" s="5" t="inlineStr">
        <is>
          <t>01a1212c-98ca-724b-844c-8d706f75c16c</t>
        </is>
      </c>
      <c r="D370" s="5" t="inlineStr">
        <is>
          <t>01a1212c-4b57-70cf-80fd-c2192cb3bf81</t>
        </is>
      </c>
      <c r="E370" s="4" t="n">
        <v>46304.62422753395</v>
      </c>
      <c r="F370" s="4" t="n">
        <v>46304.62422753402</v>
      </c>
      <c r="G370" t="b">
        <v>1</v>
      </c>
      <c r="I370" t="inlineStr">
        <is>
          <t>AUD</t>
        </is>
      </c>
      <c r="J370" t="n">
        <v>2.5034</v>
      </c>
      <c r="K370" s="5" t="inlineStr">
        <is>
          <t>01a1212c-6cde-735d-babb-fd56e63b9d5a</t>
        </is>
      </c>
      <c r="L370" s="5" t="inlineStr">
        <is>
          <t>01a1212c-981b-74a7-bdd8-ec219dc8c198</t>
        </is>
      </c>
      <c r="M370" s="6" t="n">
        <v>44378</v>
      </c>
    </row>
    <row r="371">
      <c r="A371" s="5" t="inlineStr">
        <is>
          <t>01a1212c-98d0-761f-b15c-cffbf77a8238</t>
        </is>
      </c>
      <c r="D371" s="5" t="inlineStr">
        <is>
          <t>01a1212c-4b57-70cf-80fd-c2192cb3bf81</t>
        </is>
      </c>
      <c r="E371" s="4" t="n">
        <v>46304.62422760075</v>
      </c>
      <c r="F371" s="4" t="n">
        <v>46304.62422760082</v>
      </c>
      <c r="G371" t="b">
        <v>1</v>
      </c>
      <c r="I371" t="inlineStr">
        <is>
          <t>AUD</t>
        </is>
      </c>
      <c r="J371" t="n">
        <v>2.5034</v>
      </c>
      <c r="K371" s="5" t="inlineStr">
        <is>
          <t>01a1212c-7157-7567-ba2e-f5a2ea2a31ab</t>
        </is>
      </c>
      <c r="L371" s="5" t="inlineStr">
        <is>
          <t>01a1212c-981b-74a7-bdd8-ec219dc8c198</t>
        </is>
      </c>
      <c r="M371" s="6" t="n">
        <v>44378</v>
      </c>
    </row>
    <row r="372">
      <c r="A372" s="5" t="inlineStr">
        <is>
          <t>01a1212c-98d6-71de-be3b-128656373cad</t>
        </is>
      </c>
      <c r="D372" s="5" t="inlineStr">
        <is>
          <t>01a1212c-4b57-70cf-80fd-c2192cb3bf81</t>
        </is>
      </c>
      <c r="E372" s="4" t="n">
        <v>46304.62422766759</v>
      </c>
      <c r="F372" s="4" t="n">
        <v>46304.62422766766</v>
      </c>
      <c r="G372" t="b">
        <v>1</v>
      </c>
      <c r="I372" t="inlineStr">
        <is>
          <t>AUD</t>
        </is>
      </c>
      <c r="J372" t="n">
        <v>2.6507</v>
      </c>
      <c r="K372" s="5" t="inlineStr">
        <is>
          <t>01a1212c-6bf3-7787-bc84-0bf70e1c811f</t>
        </is>
      </c>
      <c r="L372" s="5" t="inlineStr">
        <is>
          <t>01a1212c-981b-74a7-bdd8-ec219dc8c198</t>
        </is>
      </c>
      <c r="M372" s="6" t="n">
        <v>44378</v>
      </c>
    </row>
    <row r="373">
      <c r="A373" s="5" t="inlineStr">
        <is>
          <t>01a1212c-98dc-77b2-9c46-89a310ed404b</t>
        </is>
      </c>
      <c r="D373" s="5" t="inlineStr">
        <is>
          <t>01a1212c-4b57-70cf-80fd-c2192cb3bf81</t>
        </is>
      </c>
      <c r="E373" s="4" t="n">
        <v>46304.6242277431</v>
      </c>
      <c r="F373" s="4" t="n">
        <v>46304.62422774317</v>
      </c>
      <c r="G373" t="b">
        <v>1</v>
      </c>
      <c r="I373" t="inlineStr">
        <is>
          <t>AUD</t>
        </is>
      </c>
      <c r="J373" t="n">
        <v>2.6507</v>
      </c>
      <c r="K373" s="5" t="inlineStr">
        <is>
          <t>01a1212c-6dcc-720d-a5fa-03db95e8cb05</t>
        </is>
      </c>
      <c r="L373" s="5" t="inlineStr">
        <is>
          <t>01a1212c-981b-74a7-bdd8-ec219dc8c198</t>
        </is>
      </c>
      <c r="M373" s="6" t="n">
        <v>44378</v>
      </c>
    </row>
    <row r="374">
      <c r="A374" s="5" t="inlineStr">
        <is>
          <t>01a1212c-98e2-7351-b5d6-29b69f77ccba</t>
        </is>
      </c>
      <c r="D374" s="5" t="inlineStr">
        <is>
          <t>01a1212c-4b57-70cf-80fd-c2192cb3bf81</t>
        </is>
      </c>
      <c r="E374" s="4" t="n">
        <v>46304.62422780997</v>
      </c>
      <c r="F374" s="4" t="n">
        <v>46304.62422781005</v>
      </c>
      <c r="G374" t="b">
        <v>1</v>
      </c>
      <c r="I374" t="inlineStr">
        <is>
          <t>AUD</t>
        </is>
      </c>
      <c r="J374" t="n">
        <v>2.6507</v>
      </c>
      <c r="K374" s="5" t="inlineStr">
        <is>
          <t>01a1212c-7093-74e6-b33d-06958030fa15</t>
        </is>
      </c>
      <c r="L374" s="5" t="inlineStr">
        <is>
          <t>01a1212c-981b-74a7-bdd8-ec219dc8c198</t>
        </is>
      </c>
      <c r="M374" s="6" t="n">
        <v>44378</v>
      </c>
    </row>
    <row r="375">
      <c r="A375" s="5" t="inlineStr">
        <is>
          <t>01a1212c-98e8-70a5-a606-cf56dfbdab21</t>
        </is>
      </c>
      <c r="D375" s="5" t="inlineStr">
        <is>
          <t>01a1212c-4b57-70cf-80fd-c2192cb3bf81</t>
        </is>
      </c>
      <c r="E375" s="4" t="n">
        <v>46304.62422788282</v>
      </c>
      <c r="F375" s="4" t="n">
        <v>46304.62422788292</v>
      </c>
      <c r="G375" t="b">
        <v>1</v>
      </c>
      <c r="I375" t="inlineStr">
        <is>
          <t>AUD</t>
        </is>
      </c>
      <c r="J375" t="n">
        <v>2.7979</v>
      </c>
      <c r="K375" s="5" t="inlineStr">
        <is>
          <t>01a1212c-6bc9-7747-8a7e-e6bec07ce141</t>
        </is>
      </c>
      <c r="L375" s="5" t="inlineStr">
        <is>
          <t>01a1212c-981b-74a7-bdd8-ec219dc8c198</t>
        </is>
      </c>
      <c r="M375" s="6" t="n">
        <v>44378</v>
      </c>
    </row>
    <row r="376">
      <c r="A376" s="5" t="inlineStr">
        <is>
          <t>01a1212c-98ef-770f-83b8-71c68f9b201e</t>
        </is>
      </c>
      <c r="D376" s="5" t="inlineStr">
        <is>
          <t>01a1212c-4b57-70cf-80fd-c2192cb3bf81</t>
        </is>
      </c>
      <c r="E376" s="4" t="n">
        <v>46304.62422796011</v>
      </c>
      <c r="F376" s="4" t="n">
        <v>46304.62422796019</v>
      </c>
      <c r="G376" t="b">
        <v>1</v>
      </c>
      <c r="I376" t="inlineStr">
        <is>
          <t>AUD</t>
        </is>
      </c>
      <c r="J376" t="n">
        <v>2.9452</v>
      </c>
      <c r="K376" s="5" t="inlineStr">
        <is>
          <t>01a1212c-6a83-75e3-a976-646e71a73596</t>
        </is>
      </c>
      <c r="L376" s="5" t="inlineStr">
        <is>
          <t>01a1212c-981b-74a7-bdd8-ec219dc8c198</t>
        </is>
      </c>
      <c r="M376" s="6" t="n">
        <v>44378</v>
      </c>
    </row>
    <row r="377">
      <c r="A377" s="5" t="inlineStr">
        <is>
          <t>01a1212c-98f5-7344-8750-10e28dd906ce</t>
        </is>
      </c>
      <c r="D377" s="5" t="inlineStr">
        <is>
          <t>01a1212c-4b57-70cf-80fd-c2192cb3bf81</t>
        </is>
      </c>
      <c r="E377" s="4" t="n">
        <v>46304.62422802824</v>
      </c>
      <c r="F377" s="4" t="n">
        <v>46304.62422802831</v>
      </c>
      <c r="G377" t="b">
        <v>1</v>
      </c>
      <c r="I377" t="inlineStr">
        <is>
          <t>AUD</t>
        </is>
      </c>
      <c r="J377" t="n">
        <v>2.9452</v>
      </c>
      <c r="K377" s="5" t="inlineStr">
        <is>
          <t>01a1212c-6c5e-707b-87c6-5fa973c4227c</t>
        </is>
      </c>
      <c r="L377" s="5" t="inlineStr">
        <is>
          <t>01a1212c-981b-74a7-bdd8-ec219dc8c198</t>
        </is>
      </c>
      <c r="M377" s="6" t="n">
        <v>44378</v>
      </c>
    </row>
    <row r="378">
      <c r="A378" s="5" t="inlineStr">
        <is>
          <t>01a1212c-98fb-740e-b96f-de4fc19eb6e2</t>
        </is>
      </c>
      <c r="D378" s="5" t="inlineStr">
        <is>
          <t>01a1212c-4b57-70cf-80fd-c2192cb3bf81</t>
        </is>
      </c>
      <c r="E378" s="4" t="n">
        <v>46304.62422810077</v>
      </c>
      <c r="F378" s="4" t="n">
        <v>46304.62422810083</v>
      </c>
      <c r="G378" t="b">
        <v>1</v>
      </c>
      <c r="I378" t="inlineStr">
        <is>
          <t>AUD</t>
        </is>
      </c>
      <c r="J378" t="n">
        <v>2.9452</v>
      </c>
      <c r="K378" s="5" t="inlineStr">
        <is>
          <t>01a1212c-730f-762d-91e1-ab5755aaf176</t>
        </is>
      </c>
      <c r="L378" s="5" t="inlineStr">
        <is>
          <t>01a1212c-981b-74a7-bdd8-ec219dc8c198</t>
        </is>
      </c>
      <c r="M378" s="6" t="n">
        <v>44378</v>
      </c>
    </row>
    <row r="379">
      <c r="A379" s="5" t="inlineStr">
        <is>
          <t>01a1212c-9901-7460-a2eb-e4db27ab0995</t>
        </is>
      </c>
      <c r="D379" s="5" t="inlineStr">
        <is>
          <t>01a1212c-4b57-70cf-80fd-c2192cb3bf81</t>
        </is>
      </c>
      <c r="E379" s="4" t="n">
        <v>46304.62422816774</v>
      </c>
      <c r="F379" s="4" t="n">
        <v>46304.62422816781</v>
      </c>
      <c r="G379" t="b">
        <v>1</v>
      </c>
      <c r="I379" t="inlineStr">
        <is>
          <t>AUD</t>
        </is>
      </c>
      <c r="J379" t="n">
        <v>3.0586</v>
      </c>
      <c r="K379" s="5" t="inlineStr">
        <is>
          <t>01a1212c-765b-777c-ab2d-721a20593158</t>
        </is>
      </c>
      <c r="L379" s="5" t="inlineStr">
        <is>
          <t>01a1212c-981b-74a7-bdd8-ec219dc8c198</t>
        </is>
      </c>
      <c r="M379" s="6" t="n">
        <v>44378</v>
      </c>
    </row>
    <row r="380">
      <c r="A380" s="5" t="inlineStr">
        <is>
          <t>01a1212c-9907-70e8-a751-61daf250050e</t>
        </is>
      </c>
      <c r="D380" s="5" t="inlineStr">
        <is>
          <t>01a1212c-4b57-70cf-80fd-c2192cb3bf81</t>
        </is>
      </c>
      <c r="E380" s="4" t="n">
        <v>46304.62422823705</v>
      </c>
      <c r="F380" s="4" t="n">
        <v>46304.62422823712</v>
      </c>
      <c r="G380" t="b">
        <v>1</v>
      </c>
      <c r="I380" t="inlineStr">
        <is>
          <t>AUD</t>
        </is>
      </c>
      <c r="J380" t="n">
        <v>3.0925</v>
      </c>
      <c r="K380" s="5" t="inlineStr">
        <is>
          <t>01a1212c-6e20-73a5-aefe-85160cb166ee</t>
        </is>
      </c>
      <c r="L380" s="5" t="inlineStr">
        <is>
          <t>01a1212c-981b-74a7-bdd8-ec219dc8c198</t>
        </is>
      </c>
      <c r="M380" s="6" t="n">
        <v>44378</v>
      </c>
    </row>
    <row r="381">
      <c r="A381" s="5" t="inlineStr">
        <is>
          <t>01a1212c-990d-72ef-a8b8-7ef4a75b3347</t>
        </is>
      </c>
      <c r="D381" s="5" t="inlineStr">
        <is>
          <t>01a1212c-4b57-70cf-80fd-c2192cb3bf81</t>
        </is>
      </c>
      <c r="E381" s="4" t="n">
        <v>46304.62422831112</v>
      </c>
      <c r="F381" s="4" t="n">
        <v>46304.62422831119</v>
      </c>
      <c r="G381" t="b">
        <v>1</v>
      </c>
      <c r="I381" t="inlineStr">
        <is>
          <t>AUD</t>
        </is>
      </c>
      <c r="J381" t="n">
        <v>3.0925</v>
      </c>
      <c r="K381" s="5" t="inlineStr">
        <is>
          <t>01a1212c-733d-76f3-baba-b9d3c48b5990</t>
        </is>
      </c>
      <c r="L381" s="5" t="inlineStr">
        <is>
          <t>01a1212c-981b-74a7-bdd8-ec219dc8c198</t>
        </is>
      </c>
      <c r="M381" s="6" t="n">
        <v>44378</v>
      </c>
    </row>
    <row r="382">
      <c r="A382" s="5" t="inlineStr">
        <is>
          <t>01a1212c-9913-7327-80a4-16c4f4636d61</t>
        </is>
      </c>
      <c r="D382" s="5" t="inlineStr">
        <is>
          <t>01a1212c-4b57-70cf-80fd-c2192cb3bf81</t>
        </is>
      </c>
      <c r="E382" s="4" t="n">
        <v>46304.62422837624</v>
      </c>
      <c r="F382" s="4" t="n">
        <v>46304.62422837631</v>
      </c>
      <c r="G382" t="b">
        <v>1</v>
      </c>
      <c r="I382" t="inlineStr">
        <is>
          <t>AUD</t>
        </is>
      </c>
      <c r="J382" t="n">
        <v>3.0925</v>
      </c>
      <c r="K382" s="5" t="inlineStr">
        <is>
          <t>01a1212c-7396-7143-a0d0-9983b89d9143</t>
        </is>
      </c>
      <c r="L382" s="5" t="inlineStr">
        <is>
          <t>01a1212c-981b-74a7-bdd8-ec219dc8c198</t>
        </is>
      </c>
      <c r="M382" s="6" t="n">
        <v>44378</v>
      </c>
    </row>
    <row r="383">
      <c r="A383" s="5" t="inlineStr">
        <is>
          <t>01a1212c-9919-7660-9544-8d904d8f2b98</t>
        </is>
      </c>
      <c r="D383" s="5" t="inlineStr">
        <is>
          <t>01a1212c-4b57-70cf-80fd-c2192cb3bf81</t>
        </is>
      </c>
      <c r="E383" s="4" t="n">
        <v>46304.62422844295</v>
      </c>
      <c r="F383" s="4" t="n">
        <v>46304.62422844302</v>
      </c>
      <c r="G383" t="b">
        <v>1</v>
      </c>
      <c r="I383" t="inlineStr">
        <is>
          <t>AUD</t>
        </is>
      </c>
      <c r="J383" t="n">
        <v>3.0925</v>
      </c>
      <c r="K383" s="5" t="inlineStr">
        <is>
          <t>01a1212c-753f-736c-986a-a53b3d31334e</t>
        </is>
      </c>
      <c r="L383" s="5" t="inlineStr">
        <is>
          <t>01a1212c-981b-74a7-bdd8-ec219dc8c198</t>
        </is>
      </c>
      <c r="M383" s="6" t="n">
        <v>44378</v>
      </c>
    </row>
    <row r="384">
      <c r="A384" s="5" t="inlineStr">
        <is>
          <t>01a1212c-9920-77c8-a382-84fcc62ab6a3</t>
        </is>
      </c>
      <c r="D384" s="5" t="inlineStr">
        <is>
          <t>01a1212c-4b57-70cf-80fd-c2192cb3bf81</t>
        </is>
      </c>
      <c r="E384" s="4" t="n">
        <v>46304.62422852305</v>
      </c>
      <c r="F384" s="4" t="n">
        <v>46304.62422852315</v>
      </c>
      <c r="G384" t="b">
        <v>1</v>
      </c>
      <c r="I384" t="inlineStr">
        <is>
          <t>AUD</t>
        </is>
      </c>
      <c r="J384" t="n">
        <v>3.0925</v>
      </c>
      <c r="K384" s="5" t="inlineStr">
        <is>
          <t>01a1212c-75ec-7606-87d2-d682d2730242</t>
        </is>
      </c>
      <c r="L384" s="5" t="inlineStr">
        <is>
          <t>01a1212c-981b-74a7-bdd8-ec219dc8c198</t>
        </is>
      </c>
      <c r="M384" s="6" t="n">
        <v>44378</v>
      </c>
    </row>
    <row r="385">
      <c r="A385" s="5" t="inlineStr">
        <is>
          <t>01a1212c-9927-74b6-9d3e-f7564c9c93b8</t>
        </is>
      </c>
      <c r="D385" s="5" t="inlineStr">
        <is>
          <t>01a1212c-4b57-70cf-80fd-c2192cb3bf81</t>
        </is>
      </c>
      <c r="E385" s="4" t="n">
        <v>46304.6242286033</v>
      </c>
      <c r="F385" s="4" t="n">
        <v>46304.62422860338</v>
      </c>
      <c r="G385" t="b">
        <v>1</v>
      </c>
      <c r="I385" t="inlineStr">
        <is>
          <t>AUD</t>
        </is>
      </c>
      <c r="J385" t="n">
        <v>3.2397</v>
      </c>
      <c r="K385" s="5" t="inlineStr">
        <is>
          <t>01a1212c-6896-70d6-844d-33deb9ce2d14</t>
        </is>
      </c>
      <c r="L385" s="5" t="inlineStr">
        <is>
          <t>01a1212c-981b-74a7-bdd8-ec219dc8c198</t>
        </is>
      </c>
      <c r="M385" s="6" t="n">
        <v>44378</v>
      </c>
    </row>
    <row r="386">
      <c r="A386" s="5" t="inlineStr">
        <is>
          <t>01a1212c-992d-77cd-9482-2181a9938d86</t>
        </is>
      </c>
      <c r="D386" s="5" t="inlineStr">
        <is>
          <t>01a1212c-4b57-70cf-80fd-c2192cb3bf81</t>
        </is>
      </c>
      <c r="E386" s="4" t="n">
        <v>46304.62422867991</v>
      </c>
      <c r="F386" s="4" t="n">
        <v>46304.62422868005</v>
      </c>
      <c r="G386" t="b">
        <v>1</v>
      </c>
      <c r="I386" t="inlineStr">
        <is>
          <t>AUD</t>
        </is>
      </c>
      <c r="J386" t="n">
        <v>3.2397</v>
      </c>
      <c r="K386" s="5" t="inlineStr">
        <is>
          <t>01a1212c-6d0a-76f3-b162-b89428bc8b86</t>
        </is>
      </c>
      <c r="L386" s="5" t="inlineStr">
        <is>
          <t>01a1212c-981b-74a7-bdd8-ec219dc8c198</t>
        </is>
      </c>
      <c r="M386" s="6" t="n">
        <v>44378</v>
      </c>
    </row>
    <row r="387">
      <c r="A387" s="5" t="inlineStr">
        <is>
          <t>01a1212c-9934-7428-9ddc-597df7832642</t>
        </is>
      </c>
      <c r="D387" s="5" t="inlineStr">
        <is>
          <t>01a1212c-4b57-70cf-80fd-c2192cb3bf81</t>
        </is>
      </c>
      <c r="E387" s="4" t="n">
        <v>46304.62422876205</v>
      </c>
      <c r="F387" s="4" t="n">
        <v>46304.62422876213</v>
      </c>
      <c r="G387" t="b">
        <v>1</v>
      </c>
      <c r="I387" t="inlineStr">
        <is>
          <t>AUD</t>
        </is>
      </c>
      <c r="J387" t="n">
        <v>3.2397</v>
      </c>
      <c r="K387" s="5" t="inlineStr">
        <is>
          <t>01a1212c-7479-730c-8151-93b8e93442c2</t>
        </is>
      </c>
      <c r="L387" s="5" t="inlineStr">
        <is>
          <t>01a1212c-981b-74a7-bdd8-ec219dc8c198</t>
        </is>
      </c>
      <c r="M387" s="6" t="n">
        <v>44378</v>
      </c>
    </row>
    <row r="388">
      <c r="A388" s="5" t="inlineStr">
        <is>
          <t>01a1212c-993b-760e-8f90-6a5bd6c45f3e</t>
        </is>
      </c>
      <c r="D388" s="5" t="inlineStr">
        <is>
          <t>01a1212c-4b57-70cf-80fd-c2192cb3bf81</t>
        </is>
      </c>
      <c r="E388" s="4" t="n">
        <v>46304.62422884026</v>
      </c>
      <c r="F388" s="4" t="n">
        <v>46304.62422884036</v>
      </c>
      <c r="G388" t="b">
        <v>1</v>
      </c>
      <c r="I388" t="inlineStr">
        <is>
          <t>AUD</t>
        </is>
      </c>
      <c r="J388" t="n">
        <v>3.2397</v>
      </c>
      <c r="K388" s="5" t="inlineStr">
        <is>
          <t>01a1212c-74e5-7395-a1a4-2bc2487a534d</t>
        </is>
      </c>
      <c r="L388" s="5" t="inlineStr">
        <is>
          <t>01a1212c-981b-74a7-bdd8-ec219dc8c198</t>
        </is>
      </c>
      <c r="M388" s="6" t="n">
        <v>44378</v>
      </c>
    </row>
    <row r="389">
      <c r="A389" s="5" t="inlineStr">
        <is>
          <t>01a1212c-9943-7436-8072-d814d5a6abd8</t>
        </is>
      </c>
      <c r="D389" s="5" t="inlineStr">
        <is>
          <t>01a1212c-4b57-70cf-80fd-c2192cb3bf81</t>
        </is>
      </c>
      <c r="E389" s="4" t="n">
        <v>46304.62422893296</v>
      </c>
      <c r="F389" s="4" t="n">
        <v>46304.62422893303</v>
      </c>
      <c r="G389" t="b">
        <v>1</v>
      </c>
      <c r="I389" t="inlineStr">
        <is>
          <t>AUD</t>
        </is>
      </c>
      <c r="J389" t="n">
        <v>3.387</v>
      </c>
      <c r="K389" s="5" t="inlineStr">
        <is>
          <t>01a1212c-6d8a-7538-8ed2-1bed262cc3a3</t>
        </is>
      </c>
      <c r="L389" s="5" t="inlineStr">
        <is>
          <t>01a1212c-981b-74a7-bdd8-ec219dc8c198</t>
        </is>
      </c>
      <c r="M389" s="6" t="n">
        <v>44378</v>
      </c>
    </row>
    <row r="390">
      <c r="A390" s="5" t="inlineStr">
        <is>
          <t>01a1212c-994a-7501-bda2-4676f24f2398</t>
        </is>
      </c>
      <c r="D390" s="5" t="inlineStr">
        <is>
          <t>01a1212c-4b57-70cf-80fd-c2192cb3bf81</t>
        </is>
      </c>
      <c r="E390" s="4" t="n">
        <v>46304.62422900955</v>
      </c>
      <c r="F390" s="4" t="n">
        <v>46304.62422900963</v>
      </c>
      <c r="G390" t="b">
        <v>1</v>
      </c>
      <c r="I390" t="inlineStr">
        <is>
          <t>AUD</t>
        </is>
      </c>
      <c r="J390" t="n">
        <v>3.387</v>
      </c>
      <c r="K390" s="5" t="inlineStr">
        <is>
          <t>01a1212c-6f14-75ce-b122-ae5ab106d8e8</t>
        </is>
      </c>
      <c r="L390" s="5" t="inlineStr">
        <is>
          <t>01a1212c-981b-74a7-bdd8-ec219dc8c198</t>
        </is>
      </c>
      <c r="M390" s="6" t="n">
        <v>44378</v>
      </c>
    </row>
    <row r="391">
      <c r="A391" s="5" t="inlineStr">
        <is>
          <t>01a1212c-9950-772b-9412-4d04224390b5</t>
        </is>
      </c>
      <c r="D391" s="5" t="inlineStr">
        <is>
          <t>01a1212c-4b57-70cf-80fd-c2192cb3bf81</t>
        </is>
      </c>
      <c r="E391" s="4" t="n">
        <v>46304.6242290856</v>
      </c>
      <c r="F391" s="4" t="n">
        <v>46304.6242290857</v>
      </c>
      <c r="G391" t="b">
        <v>1</v>
      </c>
      <c r="I391" t="inlineStr">
        <is>
          <t>AUD</t>
        </is>
      </c>
      <c r="J391" t="n">
        <v>3.387</v>
      </c>
      <c r="K391" s="5" t="inlineStr">
        <is>
          <t>01a1212c-7117-7388-8792-335c487cf88f</t>
        </is>
      </c>
      <c r="L391" s="5" t="inlineStr">
        <is>
          <t>01a1212c-981b-74a7-bdd8-ec219dc8c198</t>
        </is>
      </c>
      <c r="M391" s="6" t="n">
        <v>44378</v>
      </c>
    </row>
    <row r="392">
      <c r="A392" s="5" t="inlineStr">
        <is>
          <t>01a1212c-9957-7301-8abc-35d98640a420</t>
        </is>
      </c>
      <c r="D392" s="5" t="inlineStr">
        <is>
          <t>01a1212c-4b57-70cf-80fd-c2192cb3bf81</t>
        </is>
      </c>
      <c r="E392" s="4" t="n">
        <v>46304.62422915694</v>
      </c>
      <c r="F392" s="4" t="n">
        <v>46304.624229157</v>
      </c>
      <c r="G392" t="b">
        <v>1</v>
      </c>
      <c r="I392" t="inlineStr">
        <is>
          <t>AUD</t>
        </is>
      </c>
      <c r="J392" t="n">
        <v>3.387</v>
      </c>
      <c r="K392" s="5" t="inlineStr">
        <is>
          <t>01a1212c-7431-7269-8782-d6ec933249b5</t>
        </is>
      </c>
      <c r="L392" s="5" t="inlineStr">
        <is>
          <t>01a1212c-981b-74a7-bdd8-ec219dc8c198</t>
        </is>
      </c>
      <c r="M392" s="6" t="n">
        <v>44378</v>
      </c>
    </row>
    <row r="393">
      <c r="A393" s="5" t="inlineStr">
        <is>
          <t>01a1212c-995c-70ca-b203-51dc8b08e6f7</t>
        </is>
      </c>
      <c r="D393" s="5" t="inlineStr">
        <is>
          <t>01a1212c-4b57-70cf-80fd-c2192cb3bf81</t>
        </is>
      </c>
      <c r="E393" s="4" t="n">
        <v>46304.62422922379</v>
      </c>
      <c r="F393" s="4" t="n">
        <v>46304.62422922387</v>
      </c>
      <c r="G393" t="b">
        <v>1</v>
      </c>
      <c r="I393" t="inlineStr">
        <is>
          <t>AUD</t>
        </is>
      </c>
      <c r="J393" t="n">
        <v>3.5343</v>
      </c>
      <c r="K393" s="5" t="inlineStr">
        <is>
          <t>01a1212c-6b44-7386-8841-c9a13ab8602b</t>
        </is>
      </c>
      <c r="L393" s="5" t="inlineStr">
        <is>
          <t>01a1212c-981b-74a7-bdd8-ec219dc8c198</t>
        </is>
      </c>
      <c r="M393" s="6" t="n">
        <v>44378</v>
      </c>
    </row>
    <row r="394">
      <c r="A394" s="5" t="inlineStr">
        <is>
          <t>01a1212c-9963-7291-9d56-1af1ff901cfb</t>
        </is>
      </c>
      <c r="D394" s="5" t="inlineStr">
        <is>
          <t>01a1212c-4b57-70cf-80fd-c2192cb3bf81</t>
        </is>
      </c>
      <c r="E394" s="4" t="n">
        <v>46304.62422930371</v>
      </c>
      <c r="F394" s="4" t="n">
        <v>46304.62422930379</v>
      </c>
      <c r="G394" t="b">
        <v>1</v>
      </c>
      <c r="I394" t="inlineStr">
        <is>
          <t>AUD</t>
        </is>
      </c>
      <c r="J394" t="n">
        <v>3.5343</v>
      </c>
      <c r="K394" s="5" t="inlineStr">
        <is>
          <t>01a1212c-70ec-7549-97f2-cc3906a47674</t>
        </is>
      </c>
      <c r="L394" s="5" t="inlineStr">
        <is>
          <t>01a1212c-981b-74a7-bdd8-ec219dc8c198</t>
        </is>
      </c>
      <c r="M394" s="6" t="n">
        <v>44378</v>
      </c>
    </row>
    <row r="395">
      <c r="A395" s="5" t="inlineStr">
        <is>
          <t>01a1212c-996a-72ed-aca4-f718e141ce34</t>
        </is>
      </c>
      <c r="D395" s="5" t="inlineStr">
        <is>
          <t>01a1212c-4b57-70cf-80fd-c2192cb3bf81</t>
        </is>
      </c>
      <c r="E395" s="4" t="n">
        <v>46304.62422938077</v>
      </c>
      <c r="F395" s="4" t="n">
        <v>46304.62422938085</v>
      </c>
      <c r="G395" t="b">
        <v>1</v>
      </c>
      <c r="I395" t="inlineStr">
        <is>
          <t>AUD</t>
        </is>
      </c>
      <c r="J395" t="n">
        <v>3.5343</v>
      </c>
      <c r="K395" s="5" t="inlineStr">
        <is>
          <t>01a1212c-71ee-7697-ac4a-eeeb04d71bcc</t>
        </is>
      </c>
      <c r="L395" s="5" t="inlineStr">
        <is>
          <t>01a1212c-981b-74a7-bdd8-ec219dc8c198</t>
        </is>
      </c>
      <c r="M395" s="6" t="n">
        <v>44378</v>
      </c>
    </row>
    <row r="396">
      <c r="A396" s="5" t="inlineStr">
        <is>
          <t>01a1212c-9971-717b-9aeb-f847c9add7c3</t>
        </is>
      </c>
      <c r="D396" s="5" t="inlineStr">
        <is>
          <t>01a1212c-4b57-70cf-80fd-c2192cb3bf81</t>
        </is>
      </c>
      <c r="E396" s="4" t="n">
        <v>46304.62422946021</v>
      </c>
      <c r="F396" s="4" t="n">
        <v>46304.62422946028</v>
      </c>
      <c r="G396" t="b">
        <v>1</v>
      </c>
      <c r="I396" t="inlineStr">
        <is>
          <t>AUD</t>
        </is>
      </c>
      <c r="J396" t="n">
        <v>3.6815</v>
      </c>
      <c r="K396" s="5" t="inlineStr">
        <is>
          <t>01a1212c-6a2e-75f8-b19d-5dc788e0d375</t>
        </is>
      </c>
      <c r="L396" s="5" t="inlineStr">
        <is>
          <t>01a1212c-981b-74a7-bdd8-ec219dc8c198</t>
        </is>
      </c>
      <c r="M396" s="6" t="n">
        <v>44378</v>
      </c>
    </row>
    <row r="397">
      <c r="A397" s="5" t="inlineStr">
        <is>
          <t>01a1212c-9978-755d-9be9-c80627d24f9c</t>
        </is>
      </c>
      <c r="D397" s="5" t="inlineStr">
        <is>
          <t>01a1212c-4b57-70cf-80fd-c2192cb3bf81</t>
        </is>
      </c>
      <c r="E397" s="4" t="n">
        <v>46304.62422954026</v>
      </c>
      <c r="F397" s="4" t="n">
        <v>46304.62422954034</v>
      </c>
      <c r="G397" t="b">
        <v>1</v>
      </c>
      <c r="I397" t="inlineStr">
        <is>
          <t>AUD</t>
        </is>
      </c>
      <c r="J397" t="n">
        <v>3.6815</v>
      </c>
      <c r="K397" s="5" t="inlineStr">
        <is>
          <t>01a1212c-7000-7766-ae79-871c98d5aa0c</t>
        </is>
      </c>
      <c r="L397" s="5" t="inlineStr">
        <is>
          <t>01a1212c-981b-74a7-bdd8-ec219dc8c198</t>
        </is>
      </c>
      <c r="M397" s="6" t="n">
        <v>44378</v>
      </c>
    </row>
    <row r="398">
      <c r="A398" s="5" t="inlineStr">
        <is>
          <t>01a1212c-997e-737f-81fb-9021aaaa007b</t>
        </is>
      </c>
      <c r="D398" s="5" t="inlineStr">
        <is>
          <t>01a1212c-4b57-70cf-80fd-c2192cb3bf81</t>
        </is>
      </c>
      <c r="E398" s="4" t="n">
        <v>46304.62422960907</v>
      </c>
      <c r="F398" s="4" t="n">
        <v>46304.62422960914</v>
      </c>
      <c r="G398" t="b">
        <v>1</v>
      </c>
      <c r="I398" t="inlineStr">
        <is>
          <t>AUD</t>
        </is>
      </c>
      <c r="J398" t="n">
        <v>3.8288</v>
      </c>
      <c r="K398" s="5" t="inlineStr">
        <is>
          <t>01a1212c-6e7d-7269-818d-4fc41e4043b6</t>
        </is>
      </c>
      <c r="L398" s="5" t="inlineStr">
        <is>
          <t>01a1212c-981b-74a7-bdd8-ec219dc8c198</t>
        </is>
      </c>
      <c r="M398" s="6" t="n">
        <v>44378</v>
      </c>
    </row>
    <row r="399">
      <c r="A399" s="5" t="inlineStr">
        <is>
          <t>01a1212c-9983-7428-93ef-3f41a67e5ecd</t>
        </is>
      </c>
      <c r="D399" s="5" t="inlineStr">
        <is>
          <t>01a1212c-4b57-70cf-80fd-c2192cb3bf81</t>
        </is>
      </c>
      <c r="E399" s="4" t="n">
        <v>46304.62422967581</v>
      </c>
      <c r="F399" s="4" t="n">
        <v>46304.62422967588</v>
      </c>
      <c r="G399" t="b">
        <v>1</v>
      </c>
      <c r="I399" t="inlineStr">
        <is>
          <t>AUD</t>
        </is>
      </c>
      <c r="J399" t="n">
        <v>3.8288</v>
      </c>
      <c r="K399" s="5" t="inlineStr">
        <is>
          <t>01a1212c-6f53-7010-bee2-43a946747025</t>
        </is>
      </c>
      <c r="L399" s="5" t="inlineStr">
        <is>
          <t>01a1212c-981b-74a7-bdd8-ec219dc8c198</t>
        </is>
      </c>
      <c r="M399" s="6" t="n">
        <v>44378</v>
      </c>
    </row>
    <row r="400">
      <c r="A400" s="5" t="inlineStr">
        <is>
          <t>01a1212c-9989-76e9-a859-3e0853220db1</t>
        </is>
      </c>
      <c r="D400" s="5" t="inlineStr">
        <is>
          <t>01a1212c-4b57-70cf-80fd-c2192cb3bf81</t>
        </is>
      </c>
      <c r="E400" s="4" t="n">
        <v>46304.62422974323</v>
      </c>
      <c r="F400" s="4" t="n">
        <v>46304.6242297433</v>
      </c>
      <c r="G400" t="b">
        <v>1</v>
      </c>
      <c r="I400" t="inlineStr">
        <is>
          <t>AUD</t>
        </is>
      </c>
      <c r="J400" t="n">
        <v>3.8288</v>
      </c>
      <c r="K400" s="5" t="inlineStr">
        <is>
          <t>01a1212c-703e-7558-9c38-d3ff61fb4ef7</t>
        </is>
      </c>
      <c r="L400" s="5" t="inlineStr">
        <is>
          <t>01a1212c-981b-74a7-bdd8-ec219dc8c198</t>
        </is>
      </c>
      <c r="M400" s="6" t="n">
        <v>44378</v>
      </c>
    </row>
    <row r="401">
      <c r="A401" s="5" t="inlineStr">
        <is>
          <t>01a1212c-998f-735e-a148-e9a0df571c4c</t>
        </is>
      </c>
      <c r="D401" s="5" t="inlineStr">
        <is>
          <t>01a1212c-4b57-70cf-80fd-c2192cb3bf81</t>
        </is>
      </c>
      <c r="E401" s="4" t="n">
        <v>46304.62422981062</v>
      </c>
      <c r="F401" s="4" t="n">
        <v>46304.62422981068</v>
      </c>
      <c r="G401" t="b">
        <v>1</v>
      </c>
      <c r="I401" t="inlineStr">
        <is>
          <t>AUD</t>
        </is>
      </c>
      <c r="J401" t="n">
        <v>3.8288</v>
      </c>
      <c r="K401" s="5" t="inlineStr">
        <is>
          <t>01a1212c-71c3-7032-9840-53a08ae86f9c</t>
        </is>
      </c>
      <c r="L401" s="5" t="inlineStr">
        <is>
          <t>01a1212c-981b-74a7-bdd8-ec219dc8c198</t>
        </is>
      </c>
      <c r="M401" s="6" t="n">
        <v>44378</v>
      </c>
    </row>
    <row r="402">
      <c r="A402" s="5" t="inlineStr">
        <is>
          <t>01a1212c-9995-7684-95d5-6d1914efd65d</t>
        </is>
      </c>
      <c r="D402" s="5" t="inlineStr">
        <is>
          <t>01a1212c-4b57-70cf-80fd-c2192cb3bf81</t>
        </is>
      </c>
      <c r="E402" s="4" t="n">
        <v>46304.62422988206</v>
      </c>
      <c r="F402" s="4" t="n">
        <v>46304.62422988213</v>
      </c>
      <c r="G402" t="b">
        <v>1</v>
      </c>
      <c r="I402" t="inlineStr">
        <is>
          <t>AUD</t>
        </is>
      </c>
      <c r="J402" t="n">
        <v>3.976</v>
      </c>
      <c r="K402" s="5" t="inlineStr">
        <is>
          <t>01a1212c-68f0-738d-8d20-79a1c973b960</t>
        </is>
      </c>
      <c r="L402" s="5" t="inlineStr">
        <is>
          <t>01a1212c-981b-74a7-bdd8-ec219dc8c198</t>
        </is>
      </c>
      <c r="M402" s="6" t="n">
        <v>44378</v>
      </c>
    </row>
    <row r="403">
      <c r="A403" s="5" t="inlineStr">
        <is>
          <t>01a1212c-999b-7621-baaf-d4b0dc754f3b</t>
        </is>
      </c>
      <c r="D403" s="5" t="inlineStr">
        <is>
          <t>01a1212c-4b57-70cf-80fd-c2192cb3bf81</t>
        </is>
      </c>
      <c r="E403" s="4" t="n">
        <v>46304.62422995004</v>
      </c>
      <c r="F403" s="4" t="n">
        <v>46304.62422995012</v>
      </c>
      <c r="G403" t="b">
        <v>1</v>
      </c>
      <c r="I403" t="inlineStr">
        <is>
          <t>AUD</t>
        </is>
      </c>
      <c r="J403" t="n">
        <v>3.976</v>
      </c>
      <c r="K403" s="5" t="inlineStr">
        <is>
          <t>01a1212c-6b1b-73e9-a54d-e62e154ff71c</t>
        </is>
      </c>
      <c r="L403" s="5" t="inlineStr">
        <is>
          <t>01a1212c-981b-74a7-bdd8-ec219dc8c198</t>
        </is>
      </c>
      <c r="M403" s="6" t="n">
        <v>44378</v>
      </c>
    </row>
    <row r="404">
      <c r="A404" s="5" t="inlineStr">
        <is>
          <t>01a1212c-99a1-76eb-8a0c-52001607ca29</t>
        </is>
      </c>
      <c r="D404" s="5" t="inlineStr">
        <is>
          <t>01a1212c-4b57-70cf-80fd-c2192cb3bf81</t>
        </is>
      </c>
      <c r="E404" s="4" t="n">
        <v>46304.62423001738</v>
      </c>
      <c r="F404" s="4" t="n">
        <v>46304.62423001746</v>
      </c>
      <c r="G404" t="b">
        <v>1</v>
      </c>
      <c r="I404" t="inlineStr">
        <is>
          <t>AUD</t>
        </is>
      </c>
      <c r="J404" t="n">
        <v>4.1233</v>
      </c>
      <c r="K404" s="5" t="inlineStr">
        <is>
          <t>01a1212c-6c1d-7297-ba65-fe335d60502e</t>
        </is>
      </c>
      <c r="L404" s="5" t="inlineStr">
        <is>
          <t>01a1212c-981b-74a7-bdd8-ec219dc8c198</t>
        </is>
      </c>
      <c r="M404" s="6" t="n">
        <v>44378</v>
      </c>
    </row>
    <row r="405">
      <c r="A405" s="5" t="inlineStr">
        <is>
          <t>01a1212c-99a8-77e6-8501-12102fa8f617</t>
        </is>
      </c>
      <c r="D405" s="5" t="inlineStr">
        <is>
          <t>01a1212c-4b57-70cf-80fd-c2192cb3bf81</t>
        </is>
      </c>
      <c r="E405" s="4" t="n">
        <v>46304.62423009548</v>
      </c>
      <c r="F405" s="4" t="n">
        <v>46304.62423009554</v>
      </c>
      <c r="G405" t="b">
        <v>1</v>
      </c>
      <c r="I405" t="inlineStr">
        <is>
          <t>AUD</t>
        </is>
      </c>
      <c r="J405" t="n">
        <v>4.1233</v>
      </c>
      <c r="K405" s="5" t="inlineStr">
        <is>
          <t>01a1212c-6cb3-74c4-b753-3ced98bb4fa1</t>
        </is>
      </c>
      <c r="L405" s="5" t="inlineStr">
        <is>
          <t>01a1212c-981b-74a7-bdd8-ec219dc8c198</t>
        </is>
      </c>
      <c r="M405" s="6" t="n">
        <v>44378</v>
      </c>
    </row>
    <row r="406">
      <c r="A406" s="5" t="inlineStr">
        <is>
          <t>01a1212c-99ad-761e-9386-98d42a7bf841</t>
        </is>
      </c>
      <c r="D406" s="5" t="inlineStr">
        <is>
          <t>01a1212c-4b57-70cf-80fd-c2192cb3bf81</t>
        </is>
      </c>
      <c r="E406" s="4" t="n">
        <v>46304.62423016287</v>
      </c>
      <c r="F406" s="4" t="n">
        <v>46304.62423016294</v>
      </c>
      <c r="G406" t="b">
        <v>1</v>
      </c>
      <c r="I406" t="inlineStr">
        <is>
          <t>AUD</t>
        </is>
      </c>
      <c r="J406" t="n">
        <v>4.2706</v>
      </c>
      <c r="K406" s="5" t="inlineStr">
        <is>
          <t>01a1212c-6d61-7172-937f-90562bb7a3f9</t>
        </is>
      </c>
      <c r="L406" s="5" t="inlineStr">
        <is>
          <t>01a1212c-981b-74a7-bdd8-ec219dc8c198</t>
        </is>
      </c>
      <c r="M406" s="6" t="n">
        <v>44378</v>
      </c>
    </row>
    <row r="407">
      <c r="A407" s="5" t="inlineStr">
        <is>
          <t>01a1212c-99b4-7531-8795-d63a730e186e</t>
        </is>
      </c>
      <c r="D407" s="5" t="inlineStr">
        <is>
          <t>01a1212c-4b57-70cf-80fd-c2192cb3bf81</t>
        </is>
      </c>
      <c r="E407" s="4" t="n">
        <v>46304.62423023314</v>
      </c>
      <c r="F407" s="4" t="n">
        <v>46304.62423023322</v>
      </c>
      <c r="G407" t="b">
        <v>1</v>
      </c>
      <c r="I407" t="inlineStr">
        <is>
          <t>AUD</t>
        </is>
      </c>
      <c r="J407" t="n">
        <v>4.4178</v>
      </c>
      <c r="K407" s="5" t="inlineStr">
        <is>
          <t>01a1212c-696e-7146-9e01-741d10f2bed2</t>
        </is>
      </c>
      <c r="L407" s="5" t="inlineStr">
        <is>
          <t>01a1212c-981b-74a7-bdd8-ec219dc8c198</t>
        </is>
      </c>
      <c r="M407" s="6" t="n">
        <v>44378</v>
      </c>
    </row>
    <row r="408">
      <c r="A408" s="5" t="inlineStr">
        <is>
          <t>01a1212c-99b9-7261-bc6a-f23b88027afb</t>
        </is>
      </c>
      <c r="D408" s="5" t="inlineStr">
        <is>
          <t>01a1212c-4b57-70cf-80fd-c2192cb3bf81</t>
        </is>
      </c>
      <c r="E408" s="4" t="n">
        <v>46304.62423030171</v>
      </c>
      <c r="F408" s="4" t="n">
        <v>46304.62423030178</v>
      </c>
      <c r="G408" t="b">
        <v>1</v>
      </c>
      <c r="I408" t="inlineStr">
        <is>
          <t>AUD</t>
        </is>
      </c>
      <c r="J408" t="n">
        <v>4.4178</v>
      </c>
      <c r="K408" s="5" t="inlineStr">
        <is>
          <t>01a1212c-69ed-703d-98c7-86793a7bce47</t>
        </is>
      </c>
      <c r="L408" s="5" t="inlineStr">
        <is>
          <t>01a1212c-981b-74a7-bdd8-ec219dc8c198</t>
        </is>
      </c>
      <c r="M408" s="6" t="n">
        <v>44378</v>
      </c>
    </row>
    <row r="409">
      <c r="A409" s="5" t="inlineStr">
        <is>
          <t>01a1212c-99c0-70d7-9c38-e39ee66efbf3</t>
        </is>
      </c>
      <c r="D409" s="5" t="inlineStr">
        <is>
          <t>01a1212c-4b57-70cf-80fd-c2192cb3bf81</t>
        </is>
      </c>
      <c r="E409" s="4" t="n">
        <v>46304.62423037348</v>
      </c>
      <c r="F409" s="4" t="n">
        <v>46304.62423037356</v>
      </c>
      <c r="G409" t="b">
        <v>1</v>
      </c>
      <c r="I409" t="inlineStr">
        <is>
          <t>AUD</t>
        </is>
      </c>
      <c r="J409" t="n">
        <v>4.5651</v>
      </c>
      <c r="K409" s="5" t="inlineStr">
        <is>
          <t>01a1212c-6ac3-7045-85af-681a40396939</t>
        </is>
      </c>
      <c r="L409" s="5" t="inlineStr">
        <is>
          <t>01a1212c-981b-74a7-bdd8-ec219dc8c198</t>
        </is>
      </c>
      <c r="M409" s="6" t="n">
        <v>44378</v>
      </c>
    </row>
    <row r="410">
      <c r="A410" s="5" t="inlineStr">
        <is>
          <t>01a1212c-99c5-722d-90a7-46dadae4d1a0</t>
        </is>
      </c>
      <c r="D410" s="5" t="inlineStr">
        <is>
          <t>01a1212c-4b57-70cf-80fd-c2192cb3bf81</t>
        </is>
      </c>
      <c r="E410" s="4" t="n">
        <v>46304.62423044041</v>
      </c>
      <c r="F410" s="4" t="n">
        <v>46304.6242304405</v>
      </c>
      <c r="G410" t="b">
        <v>1</v>
      </c>
      <c r="I410" t="inlineStr">
        <is>
          <t>AUD</t>
        </is>
      </c>
      <c r="J410" t="n">
        <v>4.7123</v>
      </c>
      <c r="K410" s="5" t="inlineStr">
        <is>
          <t>01a1212c-692f-76c3-8991-b28be5dbbe78</t>
        </is>
      </c>
      <c r="L410" s="5" t="inlineStr">
        <is>
          <t>01a1212c-981b-74a7-bdd8-ec219dc8c198</t>
        </is>
      </c>
      <c r="M410" s="6" t="n">
        <v>44378</v>
      </c>
    </row>
    <row r="411">
      <c r="A411" s="5" t="inlineStr">
        <is>
          <t>01a1212c-99cc-7532-8532-539ec73017a9</t>
        </is>
      </c>
      <c r="D411" s="5" t="inlineStr">
        <is>
          <t>01a1212c-4b57-70cf-80fd-c2192cb3bf81</t>
        </is>
      </c>
      <c r="E411" s="4" t="n">
        <v>46304.62423051038</v>
      </c>
      <c r="F411" s="4" t="n">
        <v>46304.62423051045</v>
      </c>
      <c r="G411" t="b">
        <v>1</v>
      </c>
      <c r="I411" t="inlineStr">
        <is>
          <t>AUD</t>
        </is>
      </c>
      <c r="J411" t="n">
        <v>5.4485</v>
      </c>
      <c r="K411" s="5" t="inlineStr">
        <is>
          <t>01a1212c-68c3-7400-8c25-aa53cd5ab679</t>
        </is>
      </c>
      <c r="L411" s="5" t="inlineStr">
        <is>
          <t>01a1212c-981b-74a7-bdd8-ec219dc8c198</t>
        </is>
      </c>
      <c r="M411" s="6" t="n">
        <v>44378</v>
      </c>
    </row>
    <row r="412">
      <c r="A412" s="5" t="inlineStr">
        <is>
          <t>01a1212c-9ad4-7736-949d-9c158f6916d2</t>
        </is>
      </c>
      <c r="D412" s="5" t="inlineStr">
        <is>
          <t>01a1212c-4b57-70cf-80fd-c2192cb3bf81</t>
        </is>
      </c>
      <c r="E412" s="4" t="n">
        <v>46304.62423357704</v>
      </c>
      <c r="F412" s="4" t="n">
        <v>46304.62423357712</v>
      </c>
      <c r="G412" t="b">
        <v>1</v>
      </c>
      <c r="I412" t="inlineStr">
        <is>
          <t>AUD</t>
        </is>
      </c>
      <c r="J412" t="n">
        <v>-0.4048</v>
      </c>
      <c r="K412" s="5" t="inlineStr">
        <is>
          <t>01a1212c-7c13-7245-b333-0dfcd00ad20d</t>
        </is>
      </c>
      <c r="L412" s="5" t="inlineStr">
        <is>
          <t>01a1212c-9ad0-74f0-a00e-4a6eab2b410a</t>
        </is>
      </c>
      <c r="M412" s="6" t="n">
        <v>44743</v>
      </c>
    </row>
    <row r="413">
      <c r="A413" s="5" t="inlineStr">
        <is>
          <t>01a1212c-9adb-70de-9278-a88170be9e6d</t>
        </is>
      </c>
      <c r="D413" s="5" t="inlineStr">
        <is>
          <t>01a1212c-4b57-70cf-80fd-c2192cb3bf81</t>
        </is>
      </c>
      <c r="E413" s="4" t="n">
        <v>46304.62423364904</v>
      </c>
      <c r="F413" s="4" t="n">
        <v>46304.62423364911</v>
      </c>
      <c r="G413" t="b">
        <v>1</v>
      </c>
      <c r="I413" t="inlineStr">
        <is>
          <t>AUD</t>
        </is>
      </c>
      <c r="J413" t="n">
        <v>-1.4927</v>
      </c>
      <c r="K413" s="5" t="inlineStr">
        <is>
          <t>01a1212c-7bd4-7438-9057-10216465237d</t>
        </is>
      </c>
      <c r="L413" s="5" t="inlineStr">
        <is>
          <t>01a1212c-9ad0-74f0-a00e-4a6eab2b410a</t>
        </is>
      </c>
      <c r="M413" s="6" t="n">
        <v>44743</v>
      </c>
    </row>
    <row r="414">
      <c r="A414" s="5" t="inlineStr">
        <is>
          <t>01a1212c-9ae1-7756-bdaa-fe0cb6e806a0</t>
        </is>
      </c>
      <c r="D414" s="5" t="inlineStr">
        <is>
          <t>01a1212c-4b57-70cf-80fd-c2192cb3bf81</t>
        </is>
      </c>
      <c r="E414" s="4" t="n">
        <v>46304.62423371767</v>
      </c>
      <c r="F414" s="4" t="n">
        <v>46304.62423371775</v>
      </c>
      <c r="G414" t="b">
        <v>1</v>
      </c>
      <c r="I414" t="inlineStr">
        <is>
          <t>AUD</t>
        </is>
      </c>
      <c r="J414" t="n">
        <v>-1.6347</v>
      </c>
      <c r="K414" s="5" t="inlineStr">
        <is>
          <t>01a1212c-7b69-77a5-b7c2-ac7ba4a3dd3e</t>
        </is>
      </c>
      <c r="L414" s="5" t="inlineStr">
        <is>
          <t>01a1212c-9ad0-74f0-a00e-4a6eab2b410a</t>
        </is>
      </c>
      <c r="M414" s="6" t="n">
        <v>44743</v>
      </c>
    </row>
    <row r="415">
      <c r="A415" s="5" t="inlineStr">
        <is>
          <t>01a1212c-9ae6-73eb-bd44-ec1eb3a67540</t>
        </is>
      </c>
      <c r="D415" s="5" t="inlineStr">
        <is>
          <t>01a1212c-4b57-70cf-80fd-c2192cb3bf81</t>
        </is>
      </c>
      <c r="E415" s="4" t="n">
        <v>46304.62423378449</v>
      </c>
      <c r="F415" s="4" t="n">
        <v>46304.62423378456</v>
      </c>
      <c r="G415" t="b">
        <v>1</v>
      </c>
      <c r="I415" t="inlineStr">
        <is>
          <t>AUD</t>
        </is>
      </c>
      <c r="J415" t="n">
        <v>-1.6931</v>
      </c>
      <c r="K415" s="5" t="inlineStr">
        <is>
          <t>01a1212c-7bab-728a-9e77-14d2820bca2b</t>
        </is>
      </c>
      <c r="L415" s="5" t="inlineStr">
        <is>
          <t>01a1212c-9ad0-74f0-a00e-4a6eab2b410a</t>
        </is>
      </c>
      <c r="M415" s="6" t="n">
        <v>44743</v>
      </c>
    </row>
    <row r="416">
      <c r="A416" s="5" t="inlineStr">
        <is>
          <t>01a1212c-9aec-75d3-994f-b417a47a78e1</t>
        </is>
      </c>
      <c r="D416" s="5" t="inlineStr">
        <is>
          <t>01a1212c-4b57-70cf-80fd-c2192cb3bf81</t>
        </is>
      </c>
      <c r="E416" s="4" t="n">
        <v>46304.62423385109</v>
      </c>
      <c r="F416" s="4" t="n">
        <v>46304.62423385116</v>
      </c>
      <c r="G416" t="b">
        <v>1</v>
      </c>
      <c r="I416" t="inlineStr">
        <is>
          <t>AUD</t>
        </is>
      </c>
      <c r="J416" t="n">
        <v>-3.1002</v>
      </c>
      <c r="K416" s="5" t="inlineStr">
        <is>
          <t>01a1212c-7ae6-75b8-ad0a-3ca0ce21f21f</t>
        </is>
      </c>
      <c r="L416" s="5" t="inlineStr">
        <is>
          <t>01a1212c-9ad0-74f0-a00e-4a6eab2b410a</t>
        </is>
      </c>
      <c r="M416" s="6" t="n">
        <v>44743</v>
      </c>
    </row>
    <row r="417">
      <c r="A417" s="5" t="inlineStr">
        <is>
          <t>01a1212c-9af2-7263-95ce-1c625f5497d0</t>
        </is>
      </c>
      <c r="D417" s="5" t="inlineStr">
        <is>
          <t>01a1212c-4b57-70cf-80fd-c2192cb3bf81</t>
        </is>
      </c>
      <c r="E417" s="4" t="n">
        <v>46304.62423392226</v>
      </c>
      <c r="F417" s="4" t="n">
        <v>46304.62423392232</v>
      </c>
      <c r="G417" t="b">
        <v>1</v>
      </c>
      <c r="I417" t="inlineStr">
        <is>
          <t>AUD</t>
        </is>
      </c>
      <c r="J417" t="n">
        <v>-3.3862</v>
      </c>
      <c r="K417" s="5" t="inlineStr">
        <is>
          <t>01a1212c-7b10-774c-b58c-697160097ba7</t>
        </is>
      </c>
      <c r="L417" s="5" t="inlineStr">
        <is>
          <t>01a1212c-9ad0-74f0-a00e-4a6eab2b410a</t>
        </is>
      </c>
      <c r="M417" s="6" t="n">
        <v>44743</v>
      </c>
    </row>
    <row r="418">
      <c r="A418" s="5" t="inlineStr">
        <is>
          <t>01a1212c-9af8-74a2-a506-afea50beb0b7</t>
        </is>
      </c>
      <c r="D418" s="5" t="inlineStr">
        <is>
          <t>01a1212c-4b57-70cf-80fd-c2192cb3bf81</t>
        </is>
      </c>
      <c r="E418" s="4" t="n">
        <v>46304.62423399155</v>
      </c>
      <c r="F418" s="4" t="n">
        <v>46304.62423399162</v>
      </c>
      <c r="G418" t="b">
        <v>1</v>
      </c>
      <c r="I418" t="inlineStr">
        <is>
          <t>AUD</t>
        </is>
      </c>
      <c r="J418" t="n">
        <v>-3.5517</v>
      </c>
      <c r="K418" s="5" t="inlineStr">
        <is>
          <t>01a1212c-7619-710a-ac50-f0a300913659</t>
        </is>
      </c>
      <c r="L418" s="5" t="inlineStr">
        <is>
          <t>01a1212c-9ad0-74f0-a00e-4a6eab2b410a</t>
        </is>
      </c>
      <c r="M418" s="6" t="n">
        <v>44743</v>
      </c>
    </row>
    <row r="419">
      <c r="A419" s="5" t="inlineStr">
        <is>
          <t>01a1212c-9aff-7393-bda2-8bdd6e1375e1</t>
        </is>
      </c>
      <c r="D419" s="5" t="inlineStr">
        <is>
          <t>01a1212c-4b57-70cf-80fd-c2192cb3bf81</t>
        </is>
      </c>
      <c r="E419" s="4" t="n">
        <v>46304.62423406439</v>
      </c>
      <c r="F419" s="4" t="n">
        <v>46304.62423406449</v>
      </c>
      <c r="G419" t="b">
        <v>1</v>
      </c>
      <c r="I419" t="inlineStr">
        <is>
          <t>AUD</t>
        </is>
      </c>
      <c r="J419" t="n">
        <v>-3.5517</v>
      </c>
      <c r="K419" s="5" t="inlineStr">
        <is>
          <t>01a1212c-7817-75d9-9a5e-b7f889797d9e</t>
        </is>
      </c>
      <c r="L419" s="5" t="inlineStr">
        <is>
          <t>01a1212c-9ad0-74f0-a00e-4a6eab2b410a</t>
        </is>
      </c>
      <c r="M419" s="6" t="n">
        <v>44743</v>
      </c>
    </row>
    <row r="420">
      <c r="A420" s="5" t="inlineStr">
        <is>
          <t>01a1212c-9b05-7727-95b6-3c3714fc0d8d</t>
        </is>
      </c>
      <c r="D420" s="5" t="inlineStr">
        <is>
          <t>01a1212c-4b57-70cf-80fd-c2192cb3bf81</t>
        </is>
      </c>
      <c r="E420" s="4" t="n">
        <v>46304.62423413534</v>
      </c>
      <c r="F420" s="4" t="n">
        <v>46304.62423413542</v>
      </c>
      <c r="G420" t="b">
        <v>1</v>
      </c>
      <c r="I420" t="inlineStr">
        <is>
          <t>AUD</t>
        </is>
      </c>
      <c r="J420" t="n">
        <v>-3.5517</v>
      </c>
      <c r="K420" s="5" t="inlineStr">
        <is>
          <t>01a1212c-7854-74b3-a940-c0cb4b7760ea</t>
        </is>
      </c>
      <c r="L420" s="5" t="inlineStr">
        <is>
          <t>01a1212c-9ad0-74f0-a00e-4a6eab2b410a</t>
        </is>
      </c>
      <c r="M420" s="6" t="n">
        <v>44743</v>
      </c>
    </row>
    <row r="421">
      <c r="A421" s="5" t="inlineStr">
        <is>
          <t>01a1212c-9b0b-77bc-bcd6-30656bae0060</t>
        </is>
      </c>
      <c r="D421" s="5" t="inlineStr">
        <is>
          <t>01a1212c-4b57-70cf-80fd-c2192cb3bf81</t>
        </is>
      </c>
      <c r="E421" s="4" t="n">
        <v>46304.62423421227</v>
      </c>
      <c r="F421" s="4" t="n">
        <v>46304.62423421234</v>
      </c>
      <c r="G421" t="b">
        <v>1</v>
      </c>
      <c r="I421" t="inlineStr">
        <is>
          <t>AUD</t>
        </is>
      </c>
      <c r="J421" t="n">
        <v>-3.6431</v>
      </c>
      <c r="K421" s="5" t="inlineStr">
        <is>
          <t>01a1212c-7aba-773f-8933-d95c0c800623</t>
        </is>
      </c>
      <c r="L421" s="5" t="inlineStr">
        <is>
          <t>01a1212c-9ad0-74f0-a00e-4a6eab2b410a</t>
        </is>
      </c>
      <c r="M421" s="6" t="n">
        <v>44743</v>
      </c>
    </row>
    <row r="422">
      <c r="A422" s="5" t="inlineStr">
        <is>
          <t>01a1212c-9b12-76ea-a361-9a85f74efa92</t>
        </is>
      </c>
      <c r="D422" s="5" t="inlineStr">
        <is>
          <t>01a1212c-4b57-70cf-80fd-c2192cb3bf81</t>
        </is>
      </c>
      <c r="E422" s="4" t="n">
        <v>46304.62423428532</v>
      </c>
      <c r="F422" s="4" t="n">
        <v>46304.62423428539</v>
      </c>
      <c r="G422" t="b">
        <v>1</v>
      </c>
      <c r="I422" t="inlineStr">
        <is>
          <t>AUD</t>
        </is>
      </c>
      <c r="J422" t="n">
        <v>-4.262</v>
      </c>
      <c r="K422" s="5" t="inlineStr">
        <is>
          <t>01a1212c-73f1-7653-991a-7a458d0c9e1e</t>
        </is>
      </c>
      <c r="L422" s="5" t="inlineStr">
        <is>
          <t>01a1212c-9ad0-74f0-a00e-4a6eab2b410a</t>
        </is>
      </c>
      <c r="M422" s="6" t="n">
        <v>44743</v>
      </c>
    </row>
    <row r="423">
      <c r="A423" s="5" t="inlineStr">
        <is>
          <t>01a1212c-9b18-732e-8448-2830a390c314</t>
        </is>
      </c>
      <c r="D423" s="5" t="inlineStr">
        <is>
          <t>01a1212c-4b57-70cf-80fd-c2192cb3bf81</t>
        </is>
      </c>
      <c r="E423" s="4" t="n">
        <v>46304.62423435605</v>
      </c>
      <c r="F423" s="4" t="n">
        <v>46304.62423435612</v>
      </c>
      <c r="G423" t="b">
        <v>1</v>
      </c>
      <c r="I423" t="inlineStr">
        <is>
          <t>AUD</t>
        </is>
      </c>
      <c r="J423" t="n">
        <v>-4.262</v>
      </c>
      <c r="K423" s="5" t="inlineStr">
        <is>
          <t>01a1212c-771e-77a4-9a33-9f68d0a94a62</t>
        </is>
      </c>
      <c r="L423" s="5" t="inlineStr">
        <is>
          <t>01a1212c-9ad0-74f0-a00e-4a6eab2b410a</t>
        </is>
      </c>
      <c r="M423" s="6" t="n">
        <v>44743</v>
      </c>
    </row>
    <row r="424">
      <c r="A424" s="5" t="inlineStr">
        <is>
          <t>01a1212c-9b1e-72b6-b6fd-985f7917fd33</t>
        </is>
      </c>
      <c r="D424" s="5" t="inlineStr">
        <is>
          <t>01a1212c-4b57-70cf-80fd-c2192cb3bf81</t>
        </is>
      </c>
      <c r="E424" s="4" t="n">
        <v>46304.62423442492</v>
      </c>
      <c r="F424" s="4" t="n">
        <v>46304.62423442499</v>
      </c>
      <c r="G424" t="b">
        <v>1</v>
      </c>
      <c r="I424" t="inlineStr">
        <is>
          <t>AUD</t>
        </is>
      </c>
      <c r="J424" t="n">
        <v>-4.262</v>
      </c>
      <c r="K424" s="5" t="inlineStr">
        <is>
          <t>01a1212c-7927-7749-86a1-3f74fb7da8c1</t>
        </is>
      </c>
      <c r="L424" s="5" t="inlineStr">
        <is>
          <t>01a1212c-9ad0-74f0-a00e-4a6eab2b410a</t>
        </is>
      </c>
      <c r="M424" s="6" t="n">
        <v>44743</v>
      </c>
    </row>
    <row r="425">
      <c r="A425" s="5" t="inlineStr">
        <is>
          <t>01a1212c-9b23-763d-a927-177bc2b7d50f</t>
        </is>
      </c>
      <c r="D425" s="5" t="inlineStr">
        <is>
          <t>01a1212c-4b57-70cf-80fd-c2192cb3bf81</t>
        </is>
      </c>
      <c r="E425" s="4" t="n">
        <v>46304.62423449045</v>
      </c>
      <c r="F425" s="4" t="n">
        <v>46304.62423449053</v>
      </c>
      <c r="G425" t="b">
        <v>1</v>
      </c>
      <c r="I425" t="inlineStr">
        <is>
          <t>AUD</t>
        </is>
      </c>
      <c r="J425" t="n">
        <v>-4.7466</v>
      </c>
      <c r="K425" s="5" t="inlineStr">
        <is>
          <t>01a1212c-7a4e-776c-9c69-14ee09adb482</t>
        </is>
      </c>
      <c r="L425" s="5" t="inlineStr">
        <is>
          <t>01a1212c-9ad0-74f0-a00e-4a6eab2b410a</t>
        </is>
      </c>
      <c r="M425" s="6" t="n">
        <v>44743</v>
      </c>
    </row>
    <row r="426">
      <c r="A426" s="5" t="inlineStr">
        <is>
          <t>01a1212c-9b29-743d-a844-6f90751a9da1</t>
        </is>
      </c>
      <c r="D426" s="5" t="inlineStr">
        <is>
          <t>01a1212c-4b57-70cf-80fd-c2192cb3bf81</t>
        </is>
      </c>
      <c r="E426" s="4" t="n">
        <v>46304.62423455904</v>
      </c>
      <c r="F426" s="4" t="n">
        <v>46304.62423455911</v>
      </c>
      <c r="G426" t="b">
        <v>1</v>
      </c>
      <c r="I426" t="inlineStr">
        <is>
          <t>AUD</t>
        </is>
      </c>
      <c r="J426" t="n">
        <v>-4.9723</v>
      </c>
      <c r="K426" s="5" t="inlineStr">
        <is>
          <t>01a1212c-72a3-74de-af7e-8c21374ccb8d</t>
        </is>
      </c>
      <c r="L426" s="5" t="inlineStr">
        <is>
          <t>01a1212c-9ad0-74f0-a00e-4a6eab2b410a</t>
        </is>
      </c>
      <c r="M426" s="6" t="n">
        <v>44743</v>
      </c>
    </row>
    <row r="427">
      <c r="A427" s="5" t="inlineStr">
        <is>
          <t>01a1212c-9b2f-706b-8622-3054638c4e28</t>
        </is>
      </c>
      <c r="D427" s="5" t="inlineStr">
        <is>
          <t>01a1212c-4b57-70cf-80fd-c2192cb3bf81</t>
        </is>
      </c>
      <c r="E427" s="4" t="n">
        <v>46304.62423462684</v>
      </c>
      <c r="F427" s="4" t="n">
        <v>46304.62423462691</v>
      </c>
      <c r="G427" t="b">
        <v>1</v>
      </c>
      <c r="I427" t="inlineStr">
        <is>
          <t>AUD</t>
        </is>
      </c>
      <c r="J427" t="n">
        <v>-5.6827</v>
      </c>
      <c r="K427" s="5" t="inlineStr">
        <is>
          <t>01a1212c-6d20-73ba-8f87-9892e2e99aec</t>
        </is>
      </c>
      <c r="L427" s="5" t="inlineStr">
        <is>
          <t>01a1212c-9ad0-74f0-a00e-4a6eab2b410a</t>
        </is>
      </c>
      <c r="M427" s="6" t="n">
        <v>44743</v>
      </c>
    </row>
    <row r="428">
      <c r="A428" s="5" t="inlineStr">
        <is>
          <t>01a1212c-9b35-70d2-9671-7acc2e902d2c</t>
        </is>
      </c>
      <c r="D428" s="5" t="inlineStr">
        <is>
          <t>01a1212c-4b57-70cf-80fd-c2192cb3bf81</t>
        </is>
      </c>
      <c r="E428" s="4" t="n">
        <v>46304.62423469406</v>
      </c>
      <c r="F428" s="4" t="n">
        <v>46304.62423469413</v>
      </c>
      <c r="G428" t="b">
        <v>1</v>
      </c>
      <c r="I428" t="inlineStr">
        <is>
          <t>AUD</t>
        </is>
      </c>
      <c r="J428" t="n">
        <v>-5.6827</v>
      </c>
      <c r="K428" s="5" t="inlineStr">
        <is>
          <t>01a1212c-6f7f-718f-b160-46cb1bfec403</t>
        </is>
      </c>
      <c r="L428" s="5" t="inlineStr">
        <is>
          <t>01a1212c-9ad0-74f0-a00e-4a6eab2b410a</t>
        </is>
      </c>
      <c r="M428" s="6" t="n">
        <v>44743</v>
      </c>
    </row>
    <row r="429">
      <c r="A429" s="5" t="inlineStr">
        <is>
          <t>01a1212c-9b3b-70c4-8ff8-5bde2d2c4a63</t>
        </is>
      </c>
      <c r="D429" s="5" t="inlineStr">
        <is>
          <t>01a1212c-4b57-70cf-80fd-c2192cb3bf81</t>
        </is>
      </c>
      <c r="E429" s="4" t="n">
        <v>46304.62423476399</v>
      </c>
      <c r="F429" s="4" t="n">
        <v>46304.62423476409</v>
      </c>
      <c r="G429" t="b">
        <v>1</v>
      </c>
      <c r="I429" t="inlineStr">
        <is>
          <t>AUD</t>
        </is>
      </c>
      <c r="J429" t="n">
        <v>-5.6827</v>
      </c>
      <c r="K429" s="5" t="inlineStr">
        <is>
          <t>01a1212c-6fc2-71f6-890f-f7e761000531</t>
        </is>
      </c>
      <c r="L429" s="5" t="inlineStr">
        <is>
          <t>01a1212c-9ad0-74f0-a00e-4a6eab2b410a</t>
        </is>
      </c>
      <c r="M429" s="6" t="n">
        <v>44743</v>
      </c>
    </row>
    <row r="430">
      <c r="A430" s="5" t="inlineStr">
        <is>
          <t>01a1212c-9b41-7381-9190-aa0a7eaa648d</t>
        </is>
      </c>
      <c r="D430" s="5" t="inlineStr">
        <is>
          <t>01a1212c-4b57-70cf-80fd-c2192cb3bf81</t>
        </is>
      </c>
      <c r="E430" s="4" t="n">
        <v>46304.6242348325</v>
      </c>
      <c r="F430" s="4" t="n">
        <v>46304.62423483257</v>
      </c>
      <c r="G430" t="b">
        <v>1</v>
      </c>
      <c r="I430" t="inlineStr">
        <is>
          <t>AUD</t>
        </is>
      </c>
      <c r="J430" t="n">
        <v>-5.6827</v>
      </c>
      <c r="K430" s="5" t="inlineStr">
        <is>
          <t>01a1212c-7185-751c-93a4-e2a05054ca75</t>
        </is>
      </c>
      <c r="L430" s="5" t="inlineStr">
        <is>
          <t>01a1212c-9ad0-74f0-a00e-4a6eab2b410a</t>
        </is>
      </c>
      <c r="M430" s="6" t="n">
        <v>44743</v>
      </c>
    </row>
    <row r="431">
      <c r="A431" s="5" t="inlineStr">
        <is>
          <t>01a1212c-9b47-746d-80f8-43443e0871ac</t>
        </is>
      </c>
      <c r="D431" s="5" t="inlineStr">
        <is>
          <t>01a1212c-4b57-70cf-80fd-c2192cb3bf81</t>
        </is>
      </c>
      <c r="E431" s="4" t="n">
        <v>46304.62423489742</v>
      </c>
      <c r="F431" s="4" t="n">
        <v>46304.62423489749</v>
      </c>
      <c r="G431" t="b">
        <v>1</v>
      </c>
      <c r="I431" t="inlineStr">
        <is>
          <t>AUD</t>
        </is>
      </c>
      <c r="J431" t="n">
        <v>-5.6827</v>
      </c>
      <c r="K431" s="5" t="inlineStr">
        <is>
          <t>01a1212c-721a-74d7-b443-6cf4d510dcad</t>
        </is>
      </c>
      <c r="L431" s="5" t="inlineStr">
        <is>
          <t>01a1212c-9ad0-74f0-a00e-4a6eab2b410a</t>
        </is>
      </c>
      <c r="M431" s="6" t="n">
        <v>44743</v>
      </c>
    </row>
    <row r="432">
      <c r="A432" s="5" t="inlineStr">
        <is>
          <t>01a1212c-9b4d-77b6-ac50-39f05dd2fdd7</t>
        </is>
      </c>
      <c r="D432" s="5" t="inlineStr">
        <is>
          <t>01a1212c-4b57-70cf-80fd-c2192cb3bf81</t>
        </is>
      </c>
      <c r="E432" s="4" t="n">
        <v>46304.62423497249</v>
      </c>
      <c r="F432" s="4" t="n">
        <v>46304.62423497258</v>
      </c>
      <c r="G432" t="b">
        <v>1</v>
      </c>
      <c r="I432" t="inlineStr">
        <is>
          <t>AUD</t>
        </is>
      </c>
      <c r="J432" t="n">
        <v>-5.6827</v>
      </c>
      <c r="K432" s="5" t="inlineStr">
        <is>
          <t>01a1212c-7264-75a0-a547-f07a5e635bc6</t>
        </is>
      </c>
      <c r="L432" s="5" t="inlineStr">
        <is>
          <t>01a1212c-9ad0-74f0-a00e-4a6eab2b410a</t>
        </is>
      </c>
      <c r="M432" s="6" t="n">
        <v>44743</v>
      </c>
    </row>
    <row r="433">
      <c r="A433" s="5" t="inlineStr">
        <is>
          <t>01a1212c-9b53-7073-b865-d7dc6bb23582</t>
        </is>
      </c>
      <c r="D433" s="5" t="inlineStr">
        <is>
          <t>01a1212c-4b57-70cf-80fd-c2192cb3bf81</t>
        </is>
      </c>
      <c r="E433" s="4" t="n">
        <v>46304.62423504065</v>
      </c>
      <c r="F433" s="4" t="n">
        <v>46304.6242350407</v>
      </c>
      <c r="G433" t="b">
        <v>1</v>
      </c>
      <c r="I433" t="inlineStr">
        <is>
          <t>AUD</t>
        </is>
      </c>
      <c r="J433" t="n">
        <v>-5.6827</v>
      </c>
      <c r="K433" s="5" t="inlineStr">
        <is>
          <t>01a1212c-74a5-7646-bf4b-157c0a1a7665</t>
        </is>
      </c>
      <c r="L433" s="5" t="inlineStr">
        <is>
          <t>01a1212c-9ad0-74f0-a00e-4a6eab2b410a</t>
        </is>
      </c>
      <c r="M433" s="6" t="n">
        <v>44743</v>
      </c>
    </row>
    <row r="434">
      <c r="A434" s="5" t="inlineStr">
        <is>
          <t>01a1212c-9b59-70bf-9825-abc948bfd971</t>
        </is>
      </c>
      <c r="D434" s="5" t="inlineStr">
        <is>
          <t>01a1212c-4b57-70cf-80fd-c2192cb3bf81</t>
        </is>
      </c>
      <c r="E434" s="4" t="n">
        <v>46304.62423510847</v>
      </c>
      <c r="F434" s="4" t="n">
        <v>46304.62423510854</v>
      </c>
      <c r="G434" t="b">
        <v>1</v>
      </c>
      <c r="I434" t="inlineStr">
        <is>
          <t>AUD</t>
        </is>
      </c>
      <c r="J434" t="n">
        <v>-5.815</v>
      </c>
      <c r="K434" s="5" t="inlineStr">
        <is>
          <t>01a1212c-79c9-719a-aeaf-8f1b35c3d703</t>
        </is>
      </c>
      <c r="L434" s="5" t="inlineStr">
        <is>
          <t>01a1212c-9ad0-74f0-a00e-4a6eab2b410a</t>
        </is>
      </c>
      <c r="M434" s="6" t="n">
        <v>44743</v>
      </c>
    </row>
    <row r="435">
      <c r="A435" s="5" t="inlineStr">
        <is>
          <t>01a1212c-9b5f-7191-981a-f6effe50aa2b</t>
        </is>
      </c>
      <c r="D435" s="5" t="inlineStr">
        <is>
          <t>01a1212c-4b57-70cf-80fd-c2192cb3bf81</t>
        </is>
      </c>
      <c r="E435" s="4" t="n">
        <v>46304.62423517808</v>
      </c>
      <c r="F435" s="4" t="n">
        <v>46304.62423517815</v>
      </c>
      <c r="G435" t="b">
        <v>1</v>
      </c>
      <c r="I435" t="inlineStr">
        <is>
          <t>AUD</t>
        </is>
      </c>
      <c r="J435" t="n">
        <v>-6.393</v>
      </c>
      <c r="K435" s="5" t="inlineStr">
        <is>
          <t>01a1212c-6ebd-7084-8e12-1c2acb9ea8e3</t>
        </is>
      </c>
      <c r="L435" s="5" t="inlineStr">
        <is>
          <t>01a1212c-9ad0-74f0-a00e-4a6eab2b410a</t>
        </is>
      </c>
      <c r="M435" s="6" t="n">
        <v>44743</v>
      </c>
    </row>
    <row r="436">
      <c r="A436" s="5" t="inlineStr">
        <is>
          <t>01a1212c-9b65-712a-8cdc-41f20a80280b</t>
        </is>
      </c>
      <c r="D436" s="5" t="inlineStr">
        <is>
          <t>01a1212c-4b57-70cf-80fd-c2192cb3bf81</t>
        </is>
      </c>
      <c r="E436" s="4" t="n">
        <v>46304.62423524525</v>
      </c>
      <c r="F436" s="4" t="n">
        <v>46304.62423524533</v>
      </c>
      <c r="G436" t="b">
        <v>1</v>
      </c>
      <c r="I436" t="inlineStr">
        <is>
          <t>AUD</t>
        </is>
      </c>
      <c r="J436" t="n">
        <v>-6.393</v>
      </c>
      <c r="K436" s="5" t="inlineStr">
        <is>
          <t>01a1212c-74ff-71e8-bddf-7c46f57ce7fb</t>
        </is>
      </c>
      <c r="L436" s="5" t="inlineStr">
        <is>
          <t>01a1212c-9ad0-74f0-a00e-4a6eab2b410a</t>
        </is>
      </c>
      <c r="M436" s="6" t="n">
        <v>44743</v>
      </c>
    </row>
    <row r="437">
      <c r="A437" s="5" t="inlineStr">
        <is>
          <t>01a1212c-9b6a-764a-924c-25fd7231ba94</t>
        </is>
      </c>
      <c r="D437" s="5" t="inlineStr">
        <is>
          <t>01a1212c-4b57-70cf-80fd-c2192cb3bf81</t>
        </is>
      </c>
      <c r="E437" s="4" t="n">
        <v>46304.62423530946</v>
      </c>
      <c r="F437" s="4" t="n">
        <v>46304.62423530952</v>
      </c>
      <c r="G437" t="b">
        <v>1</v>
      </c>
      <c r="I437" t="inlineStr">
        <is>
          <t>AUD</t>
        </is>
      </c>
      <c r="J437" t="n">
        <v>-6.393</v>
      </c>
      <c r="K437" s="5" t="inlineStr">
        <is>
          <t>01a1212c-7595-7792-8e63-1f39b92bd8b3</t>
        </is>
      </c>
      <c r="L437" s="5" t="inlineStr">
        <is>
          <t>01a1212c-9ad0-74f0-a00e-4a6eab2b410a</t>
        </is>
      </c>
      <c r="M437" s="6" t="n">
        <v>44743</v>
      </c>
    </row>
    <row r="438">
      <c r="A438" s="5" t="inlineStr">
        <is>
          <t>01a1212c-9b70-7330-a9ae-c1cf90f0df09</t>
        </is>
      </c>
      <c r="D438" s="5" t="inlineStr">
        <is>
          <t>01a1212c-4b57-70cf-80fd-c2192cb3bf81</t>
        </is>
      </c>
      <c r="E438" s="4" t="n">
        <v>46304.62423538299</v>
      </c>
      <c r="F438" s="4" t="n">
        <v>46304.62423538305</v>
      </c>
      <c r="G438" t="b">
        <v>1</v>
      </c>
      <c r="I438" t="inlineStr">
        <is>
          <t>AUD</t>
        </is>
      </c>
      <c r="J438" t="n">
        <v>-6.393</v>
      </c>
      <c r="K438" s="5" t="inlineStr">
        <is>
          <t>01a1212c-7687-729c-958e-594416954bfb</t>
        </is>
      </c>
      <c r="L438" s="5" t="inlineStr">
        <is>
          <t>01a1212c-9ad0-74f0-a00e-4a6eab2b410a</t>
        </is>
      </c>
      <c r="M438" s="6" t="n">
        <v>44743</v>
      </c>
    </row>
    <row r="439">
      <c r="A439" s="5" t="inlineStr">
        <is>
          <t>01a1212c-9b77-73b2-8d2b-db91e3759f86</t>
        </is>
      </c>
      <c r="D439" s="5" t="inlineStr">
        <is>
          <t>01a1212c-4b57-70cf-80fd-c2192cb3bf81</t>
        </is>
      </c>
      <c r="E439" s="4" t="n">
        <v>46304.62423545748</v>
      </c>
      <c r="F439" s="4" t="n">
        <v>46304.62423545754</v>
      </c>
      <c r="G439" t="b">
        <v>1</v>
      </c>
      <c r="I439" t="inlineStr">
        <is>
          <t>AUD</t>
        </is>
      </c>
      <c r="J439" t="n">
        <v>-6.393</v>
      </c>
      <c r="K439" s="5" t="inlineStr">
        <is>
          <t>01a1212c-76b2-7110-9f65-8f1a317730a7</t>
        </is>
      </c>
      <c r="L439" s="5" t="inlineStr">
        <is>
          <t>01a1212c-9ad0-74f0-a00e-4a6eab2b410a</t>
        </is>
      </c>
      <c r="M439" s="6" t="n">
        <v>44743</v>
      </c>
    </row>
    <row r="440">
      <c r="A440" s="5" t="inlineStr">
        <is>
          <t>01a1212c-9b7d-71c9-a308-8c0832f04131</t>
        </is>
      </c>
      <c r="D440" s="5" t="inlineStr">
        <is>
          <t>01a1212c-4b57-70cf-80fd-c2192cb3bf81</t>
        </is>
      </c>
      <c r="E440" s="4" t="n">
        <v>46304.62423553209</v>
      </c>
      <c r="F440" s="4" t="n">
        <v>46304.62423553217</v>
      </c>
      <c r="G440" t="b">
        <v>1</v>
      </c>
      <c r="I440" t="inlineStr">
        <is>
          <t>AUD</t>
        </is>
      </c>
      <c r="J440" t="n">
        <v>-6.393</v>
      </c>
      <c r="K440" s="5" t="inlineStr">
        <is>
          <t>01a1212c-77bd-7567-8b73-2fb2ee41285a</t>
        </is>
      </c>
      <c r="L440" s="5" t="inlineStr">
        <is>
          <t>01a1212c-9ad0-74f0-a00e-4a6eab2b410a</t>
        </is>
      </c>
      <c r="M440" s="6" t="n">
        <v>44743</v>
      </c>
    </row>
    <row r="441">
      <c r="A441" s="5" t="inlineStr">
        <is>
          <t>01a1212c-9b84-76f1-b4cd-5eb030604016</t>
        </is>
      </c>
      <c r="D441" s="5" t="inlineStr">
        <is>
          <t>01a1212c-4b57-70cf-80fd-c2192cb3bf81</t>
        </is>
      </c>
      <c r="E441" s="4" t="n">
        <v>46304.62423560295</v>
      </c>
      <c r="F441" s="4" t="n">
        <v>46304.62423560302</v>
      </c>
      <c r="G441" t="b">
        <v>1</v>
      </c>
      <c r="I441" t="inlineStr">
        <is>
          <t>AUD</t>
        </is>
      </c>
      <c r="J441" t="n">
        <v>-6.393</v>
      </c>
      <c r="K441" s="5" t="inlineStr">
        <is>
          <t>01a1212c-7896-7021-a40c-f16a939ea185</t>
        </is>
      </c>
      <c r="L441" s="5" t="inlineStr">
        <is>
          <t>01a1212c-9ad0-74f0-a00e-4a6eab2b410a</t>
        </is>
      </c>
      <c r="M441" s="6" t="n">
        <v>44743</v>
      </c>
    </row>
    <row r="442">
      <c r="A442" s="5" t="inlineStr">
        <is>
          <t>01a1212c-9b89-7415-b692-dce3097b1a00</t>
        </is>
      </c>
      <c r="D442" s="5" t="inlineStr">
        <is>
          <t>01a1212c-4b57-70cf-80fd-c2192cb3bf81</t>
        </is>
      </c>
      <c r="E442" s="4" t="n">
        <v>46304.62423567081</v>
      </c>
      <c r="F442" s="4" t="n">
        <v>46304.62423567088</v>
      </c>
      <c r="G442" t="b">
        <v>1</v>
      </c>
      <c r="I442" t="inlineStr">
        <is>
          <t>AUD</t>
        </is>
      </c>
      <c r="J442" t="n">
        <v>-6.393</v>
      </c>
      <c r="K442" s="5" t="inlineStr">
        <is>
          <t>01a1212c-78d8-7094-b299-94255bf82783</t>
        </is>
      </c>
      <c r="L442" s="5" t="inlineStr">
        <is>
          <t>01a1212c-9ad0-74f0-a00e-4a6eab2b410a</t>
        </is>
      </c>
      <c r="M442" s="6" t="n">
        <v>44743</v>
      </c>
    </row>
    <row r="443">
      <c r="A443" s="5" t="inlineStr">
        <is>
          <t>01a1212c-9b90-7197-a5cc-7f7e296bd833</t>
        </is>
      </c>
      <c r="D443" s="5" t="inlineStr">
        <is>
          <t>01a1212c-4b57-70cf-80fd-c2192cb3bf81</t>
        </is>
      </c>
      <c r="E443" s="4" t="n">
        <v>46304.62423574322</v>
      </c>
      <c r="F443" s="4" t="n">
        <v>46304.6242357433</v>
      </c>
      <c r="G443" t="b">
        <v>1</v>
      </c>
      <c r="I443" t="inlineStr">
        <is>
          <t>AUD</t>
        </is>
      </c>
      <c r="J443" t="n">
        <v>-6.8893</v>
      </c>
      <c r="K443" s="5" t="inlineStr">
        <is>
          <t>01a1212c-7a90-7411-8405-00a5215c5218</t>
        </is>
      </c>
      <c r="L443" s="5" t="inlineStr">
        <is>
          <t>01a1212c-9ad0-74f0-a00e-4a6eab2b410a</t>
        </is>
      </c>
      <c r="M443" s="6" t="n">
        <v>44743</v>
      </c>
    </row>
    <row r="444">
      <c r="A444" s="5" t="inlineStr">
        <is>
          <t>01a1212c-9b95-7392-a90e-2d701b66d257</t>
        </is>
      </c>
      <c r="D444" s="5" t="inlineStr">
        <is>
          <t>01a1212c-4b57-70cf-80fd-c2192cb3bf81</t>
        </is>
      </c>
      <c r="E444" s="4" t="n">
        <v>46304.62423581033</v>
      </c>
      <c r="F444" s="4" t="n">
        <v>46304.62423581041</v>
      </c>
      <c r="G444" t="b">
        <v>1</v>
      </c>
      <c r="I444" t="inlineStr">
        <is>
          <t>AUD</t>
        </is>
      </c>
      <c r="J444" t="n">
        <v>-7.1033</v>
      </c>
      <c r="K444" s="5" t="inlineStr">
        <is>
          <t>01a1212c-6db6-75c6-a15a-3893db0236e1</t>
        </is>
      </c>
      <c r="L444" s="5" t="inlineStr">
        <is>
          <t>01a1212c-9ad0-74f0-a00e-4a6eab2b410a</t>
        </is>
      </c>
      <c r="M444" s="6" t="n">
        <v>44743</v>
      </c>
    </row>
    <row r="445">
      <c r="A445" s="5" t="inlineStr">
        <is>
          <t>01a1212c-9b9c-73ef-9eb2-50542bbb15e1</t>
        </is>
      </c>
      <c r="D445" s="5" t="inlineStr">
        <is>
          <t>01a1212c-4b57-70cf-80fd-c2192cb3bf81</t>
        </is>
      </c>
      <c r="E445" s="4" t="n">
        <v>46304.62423588239</v>
      </c>
      <c r="F445" s="4" t="n">
        <v>46304.62423588247</v>
      </c>
      <c r="G445" t="b">
        <v>1</v>
      </c>
      <c r="I445" t="inlineStr">
        <is>
          <t>AUD</t>
        </is>
      </c>
      <c r="J445" t="n">
        <v>-7.1033</v>
      </c>
      <c r="K445" s="5" t="inlineStr">
        <is>
          <t>01a1212c-7066-75c9-8133-7c1e7c12164e</t>
        </is>
      </c>
      <c r="L445" s="5" t="inlineStr">
        <is>
          <t>01a1212c-9ad0-74f0-a00e-4a6eab2b410a</t>
        </is>
      </c>
      <c r="M445" s="6" t="n">
        <v>44743</v>
      </c>
    </row>
    <row r="446">
      <c r="A446" s="5" t="inlineStr">
        <is>
          <t>01a1212c-9ba2-737c-b660-c542f0842b4b</t>
        </is>
      </c>
      <c r="D446" s="5" t="inlineStr">
        <is>
          <t>01a1212c-4b57-70cf-80fd-c2192cb3bf81</t>
        </is>
      </c>
      <c r="E446" s="4" t="n">
        <v>46304.62423595422</v>
      </c>
      <c r="F446" s="4" t="n">
        <v>46304.62423595428</v>
      </c>
      <c r="G446" t="b">
        <v>1</v>
      </c>
      <c r="I446" t="inlineStr">
        <is>
          <t>AUD</t>
        </is>
      </c>
      <c r="J446" t="n">
        <v>-7.1033</v>
      </c>
      <c r="K446" s="5" t="inlineStr">
        <is>
          <t>01a1212c-7142-74d1-a420-87616f78ba3b</t>
        </is>
      </c>
      <c r="L446" s="5" t="inlineStr">
        <is>
          <t>01a1212c-9ad0-74f0-a00e-4a6eab2b410a</t>
        </is>
      </c>
      <c r="M446" s="6" t="n">
        <v>44743</v>
      </c>
    </row>
    <row r="447">
      <c r="A447" s="5" t="inlineStr">
        <is>
          <t>01a1212c-9ba8-765f-a9f9-1b1581ec0571</t>
        </is>
      </c>
      <c r="D447" s="5" t="inlineStr">
        <is>
          <t>01a1212c-4b57-70cf-80fd-c2192cb3bf81</t>
        </is>
      </c>
      <c r="E447" s="4" t="n">
        <v>46304.62423602412</v>
      </c>
      <c r="F447" s="4" t="n">
        <v>46304.62423602419</v>
      </c>
      <c r="G447" t="b">
        <v>1</v>
      </c>
      <c r="I447" t="inlineStr">
        <is>
          <t>AUD</t>
        </is>
      </c>
      <c r="J447" t="n">
        <v>-7.1033</v>
      </c>
      <c r="K447" s="5" t="inlineStr">
        <is>
          <t>01a1212c-7568-7011-9b33-32dc2471f741</t>
        </is>
      </c>
      <c r="L447" s="5" t="inlineStr">
        <is>
          <t>01a1212c-9ad0-74f0-a00e-4a6eab2b410a</t>
        </is>
      </c>
      <c r="M447" s="6" t="n">
        <v>44743</v>
      </c>
    </row>
    <row r="448">
      <c r="A448" s="5" t="inlineStr">
        <is>
          <t>01a1212c-9bae-76f5-9077-27d951542111</t>
        </is>
      </c>
      <c r="D448" s="5" t="inlineStr">
        <is>
          <t>01a1212c-4b57-70cf-80fd-c2192cb3bf81</t>
        </is>
      </c>
      <c r="E448" s="4" t="n">
        <v>46304.62423609557</v>
      </c>
      <c r="F448" s="4" t="n">
        <v>46304.62423609564</v>
      </c>
      <c r="G448" t="b">
        <v>1</v>
      </c>
      <c r="I448" t="inlineStr">
        <is>
          <t>AUD</t>
        </is>
      </c>
      <c r="J448" t="n">
        <v>-7.1033</v>
      </c>
      <c r="K448" s="5" t="inlineStr">
        <is>
          <t>01a1212c-7763-764e-af0c-10fe2c5a19d7</t>
        </is>
      </c>
      <c r="L448" s="5" t="inlineStr">
        <is>
          <t>01a1212c-9ad0-74f0-a00e-4a6eab2b410a</t>
        </is>
      </c>
      <c r="M448" s="6" t="n">
        <v>44743</v>
      </c>
    </row>
    <row r="449">
      <c r="A449" s="5" t="inlineStr">
        <is>
          <t>01a1212c-9bb4-7415-98be-8089f23728d5</t>
        </is>
      </c>
      <c r="D449" s="5" t="inlineStr">
        <is>
          <t>01a1212c-4b57-70cf-80fd-c2192cb3bf81</t>
        </is>
      </c>
      <c r="E449" s="4" t="n">
        <v>46304.62423616463</v>
      </c>
      <c r="F449" s="4" t="n">
        <v>46304.62423616472</v>
      </c>
      <c r="G449" t="b">
        <v>1</v>
      </c>
      <c r="I449" t="inlineStr">
        <is>
          <t>AUD</t>
        </is>
      </c>
      <c r="J449" t="n">
        <v>-7.5646</v>
      </c>
      <c r="K449" s="5" t="inlineStr">
        <is>
          <t>01a1212c-79f3-735a-99c2-9a23d450ed58</t>
        </is>
      </c>
      <c r="L449" s="5" t="inlineStr">
        <is>
          <t>01a1212c-9ad0-74f0-a00e-4a6eab2b410a</t>
        </is>
      </c>
      <c r="M449" s="6" t="n">
        <v>44743</v>
      </c>
    </row>
    <row r="450">
      <c r="A450" s="5" t="inlineStr">
        <is>
          <t>01a1212c-9bba-77a6-951b-fcb63262eec5</t>
        </is>
      </c>
      <c r="D450" s="5" t="inlineStr">
        <is>
          <t>01a1212c-4b57-70cf-80fd-c2192cb3bf81</t>
        </is>
      </c>
      <c r="E450" s="4" t="n">
        <v>46304.62423623706</v>
      </c>
      <c r="F450" s="4" t="n">
        <v>46304.62423623713</v>
      </c>
      <c r="G450" t="b">
        <v>1</v>
      </c>
      <c r="I450" t="inlineStr">
        <is>
          <t>AUD</t>
        </is>
      </c>
      <c r="J450" t="n">
        <v>-8.523999999999999</v>
      </c>
      <c r="K450" s="5" t="inlineStr">
        <is>
          <t>01a1212c-6e0b-74a6-b1c4-92fd51554f70</t>
        </is>
      </c>
      <c r="L450" s="5" t="inlineStr">
        <is>
          <t>01a1212c-9ad0-74f0-a00e-4a6eab2b410a</t>
        </is>
      </c>
      <c r="M450" s="6" t="n">
        <v>44743</v>
      </c>
    </row>
    <row r="451">
      <c r="A451" s="5" t="inlineStr">
        <is>
          <t>01a1212c-9bc0-7558-917b-1469e2e159c4</t>
        </is>
      </c>
      <c r="D451" s="5" t="inlineStr">
        <is>
          <t>01a1212c-4b57-70cf-80fd-c2192cb3bf81</t>
        </is>
      </c>
      <c r="E451" s="4" t="n">
        <v>46304.62423630829</v>
      </c>
      <c r="F451" s="4" t="n">
        <v>46304.62423630836</v>
      </c>
      <c r="G451" t="b">
        <v>1</v>
      </c>
      <c r="I451" t="inlineStr">
        <is>
          <t>AUD</t>
        </is>
      </c>
      <c r="J451" t="n">
        <v>-9.107799999999999</v>
      </c>
      <c r="K451" s="5" t="inlineStr">
        <is>
          <t>01a1212c-796e-75fc-b53f-4202c06e06b7</t>
        </is>
      </c>
      <c r="L451" s="5" t="inlineStr">
        <is>
          <t>01a1212c-9ad0-74f0-a00e-4a6eab2b410a</t>
        </is>
      </c>
      <c r="M451" s="6" t="n">
        <v>44743</v>
      </c>
    </row>
    <row r="452">
      <c r="A452" s="5" t="inlineStr">
        <is>
          <t>01a1212c-9bc6-7179-af10-ebc342ae7205</t>
        </is>
      </c>
      <c r="D452" s="5" t="inlineStr">
        <is>
          <t>01a1212c-4b57-70cf-80fd-c2192cb3bf81</t>
        </is>
      </c>
      <c r="E452" s="4" t="n">
        <v>46304.62423637613</v>
      </c>
      <c r="F452" s="4" t="n">
        <v>46304.62423637621</v>
      </c>
      <c r="G452" t="b">
        <v>1</v>
      </c>
      <c r="I452" t="inlineStr">
        <is>
          <t>AUD</t>
        </is>
      </c>
      <c r="J452" t="n">
        <v>-9.234299999999999</v>
      </c>
      <c r="K452" s="5" t="inlineStr">
        <is>
          <t>01a1212c-6d76-76a9-b3fa-2e49f1ec83bd</t>
        </is>
      </c>
      <c r="L452" s="5" t="inlineStr">
        <is>
          <t>01a1212c-9ad0-74f0-a00e-4a6eab2b410a</t>
        </is>
      </c>
      <c r="M452" s="6" t="n">
        <v>44743</v>
      </c>
    </row>
    <row r="453">
      <c r="A453" s="5" t="inlineStr">
        <is>
          <t>01a1212c-9bcc-769c-8096-9f054625a093</t>
        </is>
      </c>
      <c r="D453" s="5" t="inlineStr">
        <is>
          <t>01a1212c-4b57-70cf-80fd-c2192cb3bf81</t>
        </is>
      </c>
      <c r="E453" s="4" t="n">
        <v>46304.62423644699</v>
      </c>
      <c r="F453" s="4" t="n">
        <v>46304.62423644708</v>
      </c>
      <c r="G453" t="b">
        <v>1</v>
      </c>
      <c r="I453" t="inlineStr">
        <is>
          <t>AUD</t>
        </is>
      </c>
      <c r="J453" t="n">
        <v>-9.234299999999999</v>
      </c>
      <c r="K453" s="5" t="inlineStr">
        <is>
          <t>01a1212c-6efd-73be-a0d7-c82e3f8af4ac</t>
        </is>
      </c>
      <c r="L453" s="5" t="inlineStr">
        <is>
          <t>01a1212c-9ad0-74f0-a00e-4a6eab2b410a</t>
        </is>
      </c>
      <c r="M453" s="6" t="n">
        <v>44743</v>
      </c>
    </row>
    <row r="454">
      <c r="A454" s="5" t="inlineStr">
        <is>
          <t>01a1212c-9bd3-7397-bfe4-7d3dc8fb699c</t>
        </is>
      </c>
      <c r="D454" s="5" t="inlineStr">
        <is>
          <t>01a1212c-4b57-70cf-80fd-c2192cb3bf81</t>
        </is>
      </c>
      <c r="E454" s="4" t="n">
        <v>46304.62423651936</v>
      </c>
      <c r="F454" s="4" t="n">
        <v>46304.62423651943</v>
      </c>
      <c r="G454" t="b">
        <v>1</v>
      </c>
      <c r="I454" t="inlineStr">
        <is>
          <t>AUD</t>
        </is>
      </c>
      <c r="J454" t="n">
        <v>-9.234299999999999</v>
      </c>
      <c r="K454" s="5" t="inlineStr">
        <is>
          <t>01a1212c-70d6-7608-9b7d-a9f3b20fcd42</t>
        </is>
      </c>
      <c r="L454" s="5" t="inlineStr">
        <is>
          <t>01a1212c-9ad0-74f0-a00e-4a6eab2b410a</t>
        </is>
      </c>
      <c r="M454" s="6" t="n">
        <v>44743</v>
      </c>
    </row>
    <row r="455">
      <c r="A455" s="5" t="inlineStr">
        <is>
          <t>01a1212c-9bd8-7423-b4af-0a90012fe2a3</t>
        </is>
      </c>
      <c r="D455" s="5" t="inlineStr">
        <is>
          <t>01a1212c-4b57-70cf-80fd-c2192cb3bf81</t>
        </is>
      </c>
      <c r="E455" s="4" t="n">
        <v>46304.62423658419</v>
      </c>
      <c r="F455" s="4" t="n">
        <v>46304.62423658426</v>
      </c>
      <c r="G455" t="b">
        <v>1</v>
      </c>
      <c r="I455" t="inlineStr">
        <is>
          <t>AUD</t>
        </is>
      </c>
      <c r="J455" t="n">
        <v>-9.234299999999999</v>
      </c>
      <c r="K455" s="5" t="inlineStr">
        <is>
          <t>01a1212c-7102-774f-b90a-23a16e3eac92</t>
        </is>
      </c>
      <c r="L455" s="5" t="inlineStr">
        <is>
          <t>01a1212c-9ad0-74f0-a00e-4a6eab2b410a</t>
        </is>
      </c>
      <c r="M455" s="6" t="n">
        <v>44743</v>
      </c>
    </row>
    <row r="456">
      <c r="A456" s="5" t="inlineStr">
        <is>
          <t>01a1212c-9bde-70ab-8fea-0d3985f30716</t>
        </is>
      </c>
      <c r="D456" s="5" t="inlineStr">
        <is>
          <t>01a1212c-4b57-70cf-80fd-c2192cb3bf81</t>
        </is>
      </c>
      <c r="E456" s="4" t="n">
        <v>46304.62423665463</v>
      </c>
      <c r="F456" s="4" t="n">
        <v>46304.6242366547</v>
      </c>
      <c r="G456" t="b">
        <v>1</v>
      </c>
      <c r="I456" t="inlineStr">
        <is>
          <t>AUD</t>
        </is>
      </c>
      <c r="J456" t="n">
        <v>-9.234299999999999</v>
      </c>
      <c r="K456" s="5" t="inlineStr">
        <is>
          <t>01a1212c-72fa-746a-b6d8-923ee91edd31</t>
        </is>
      </c>
      <c r="L456" s="5" t="inlineStr">
        <is>
          <t>01a1212c-9ad0-74f0-a00e-4a6eab2b410a</t>
        </is>
      </c>
      <c r="M456" s="6" t="n">
        <v>44743</v>
      </c>
    </row>
    <row r="457">
      <c r="A457" s="5" t="inlineStr">
        <is>
          <t>01a1212c-9be4-74e9-ad97-35f6b1c13cec</t>
        </is>
      </c>
      <c r="D457" s="5" t="inlineStr">
        <is>
          <t>01a1212c-4b57-70cf-80fd-c2192cb3bf81</t>
        </is>
      </c>
      <c r="E457" s="4" t="n">
        <v>46304.62423672218</v>
      </c>
      <c r="F457" s="4" t="n">
        <v>46304.62423672224</v>
      </c>
      <c r="G457" t="b">
        <v>1</v>
      </c>
      <c r="I457" t="inlineStr">
        <is>
          <t>AUD</t>
        </is>
      </c>
      <c r="J457" t="n">
        <v>-9.234299999999999</v>
      </c>
      <c r="K457" s="5" t="inlineStr">
        <is>
          <t>01a1212c-7327-74d8-96b9-c942c63d839c</t>
        </is>
      </c>
      <c r="L457" s="5" t="inlineStr">
        <is>
          <t>01a1212c-9ad0-74f0-a00e-4a6eab2b410a</t>
        </is>
      </c>
      <c r="M457" s="6" t="n">
        <v>44743</v>
      </c>
    </row>
    <row r="458">
      <c r="A458" s="5" t="inlineStr">
        <is>
          <t>01a1212c-9bea-70b7-935c-8bc0107ece2a</t>
        </is>
      </c>
      <c r="D458" s="5" t="inlineStr">
        <is>
          <t>01a1212c-4b57-70cf-80fd-c2192cb3bf81</t>
        </is>
      </c>
      <c r="E458" s="4" t="n">
        <v>46304.62423678882</v>
      </c>
      <c r="F458" s="4" t="n">
        <v>46304.62423678889</v>
      </c>
      <c r="G458" t="b">
        <v>1</v>
      </c>
      <c r="I458" t="inlineStr">
        <is>
          <t>AUD</t>
        </is>
      </c>
      <c r="J458" t="n">
        <v>-9.234299999999999</v>
      </c>
      <c r="K458" s="5" t="inlineStr">
        <is>
          <t>01a1212c-7381-769a-8076-e7b050fbdfd3</t>
        </is>
      </c>
      <c r="L458" s="5" t="inlineStr">
        <is>
          <t>01a1212c-9ad0-74f0-a00e-4a6eab2b410a</t>
        </is>
      </c>
      <c r="M458" s="6" t="n">
        <v>44743</v>
      </c>
    </row>
    <row r="459">
      <c r="A459" s="5" t="inlineStr">
        <is>
          <t>01a1212c-9bf0-74e2-b0bc-b4f8ab3d9b85</t>
        </is>
      </c>
      <c r="D459" s="5" t="inlineStr">
        <is>
          <t>01a1212c-4b57-70cf-80fd-c2192cb3bf81</t>
        </is>
      </c>
      <c r="E459" s="4" t="n">
        <v>46304.6242368637</v>
      </c>
      <c r="F459" s="4" t="n">
        <v>46304.62423686378</v>
      </c>
      <c r="G459" t="b">
        <v>1</v>
      </c>
      <c r="I459" t="inlineStr">
        <is>
          <t>AUD</t>
        </is>
      </c>
      <c r="J459" t="n">
        <v>-9.234299999999999</v>
      </c>
      <c r="K459" s="5" t="inlineStr">
        <is>
          <t>01a1212c-74d0-7378-b4d7-9789d59f4dc6</t>
        </is>
      </c>
      <c r="L459" s="5" t="inlineStr">
        <is>
          <t>01a1212c-9ad0-74f0-a00e-4a6eab2b410a</t>
        </is>
      </c>
      <c r="M459" s="6" t="n">
        <v>44743</v>
      </c>
    </row>
    <row r="460">
      <c r="A460" s="5" t="inlineStr">
        <is>
          <t>01a1212c-9bf6-7547-a8f3-57c0b3da05d7</t>
        </is>
      </c>
      <c r="D460" s="5" t="inlineStr">
        <is>
          <t>01a1212c-4b57-70cf-80fd-c2192cb3bf81</t>
        </is>
      </c>
      <c r="E460" s="4" t="n">
        <v>46304.62423693061</v>
      </c>
      <c r="F460" s="4" t="n">
        <v>46304.62423693069</v>
      </c>
      <c r="G460" t="b">
        <v>1</v>
      </c>
      <c r="I460" t="inlineStr">
        <is>
          <t>AUD</t>
        </is>
      </c>
      <c r="J460" t="n">
        <v>-9.234299999999999</v>
      </c>
      <c r="K460" s="5" t="inlineStr">
        <is>
          <t>01a1212c-752a-73d9-a17f-d259f6529c46</t>
        </is>
      </c>
      <c r="L460" s="5" t="inlineStr">
        <is>
          <t>01a1212c-9ad0-74f0-a00e-4a6eab2b410a</t>
        </is>
      </c>
      <c r="M460" s="6" t="n">
        <v>44743</v>
      </c>
    </row>
    <row r="461">
      <c r="A461" s="5" t="inlineStr">
        <is>
          <t>01a1212c-9bfc-7294-9d7b-c710020084c1</t>
        </is>
      </c>
      <c r="D461" s="5" t="inlineStr">
        <is>
          <t>01a1212c-4b57-70cf-80fd-c2192cb3bf81</t>
        </is>
      </c>
      <c r="E461" s="4" t="n">
        <v>46304.62423699484</v>
      </c>
      <c r="F461" s="4" t="n">
        <v>46304.62423699491</v>
      </c>
      <c r="G461" t="b">
        <v>1</v>
      </c>
      <c r="I461" t="inlineStr">
        <is>
          <t>AUD</t>
        </is>
      </c>
      <c r="J461" t="n">
        <v>-9.234299999999999</v>
      </c>
      <c r="K461" s="5" t="inlineStr">
        <is>
          <t>01a1212c-75d7-729a-8044-f297ce4ce9a3</t>
        </is>
      </c>
      <c r="L461" s="5" t="inlineStr">
        <is>
          <t>01a1212c-9ad0-74f0-a00e-4a6eab2b410a</t>
        </is>
      </c>
      <c r="M461" s="6" t="n">
        <v>44743</v>
      </c>
    </row>
    <row r="462">
      <c r="A462" s="5" t="inlineStr">
        <is>
          <t>01a1212c-9c02-7214-bc65-3bf4042e5549</t>
        </is>
      </c>
      <c r="D462" s="5" t="inlineStr">
        <is>
          <t>01a1212c-4b57-70cf-80fd-c2192cb3bf81</t>
        </is>
      </c>
      <c r="E462" s="4" t="n">
        <v>46304.6242370718</v>
      </c>
      <c r="F462" s="4" t="n">
        <v>46304.62423707185</v>
      </c>
      <c r="G462" t="b">
        <v>1</v>
      </c>
      <c r="I462" t="inlineStr">
        <is>
          <t>AUD</t>
        </is>
      </c>
      <c r="J462" t="n">
        <v>-9.234299999999999</v>
      </c>
      <c r="K462" s="5" t="inlineStr">
        <is>
          <t>01a1212c-7645-77ff-9286-d1f48bd9680e</t>
        </is>
      </c>
      <c r="L462" s="5" t="inlineStr">
        <is>
          <t>01a1212c-9ad0-74f0-a00e-4a6eab2b410a</t>
        </is>
      </c>
      <c r="M462" s="6" t="n">
        <v>44743</v>
      </c>
    </row>
    <row r="463">
      <c r="A463" s="5" t="inlineStr">
        <is>
          <t>01a1212c-9c08-77d4-a013-97aa3d3b50bb</t>
        </is>
      </c>
      <c r="D463" s="5" t="inlineStr">
        <is>
          <t>01a1212c-4b57-70cf-80fd-c2192cb3bf81</t>
        </is>
      </c>
      <c r="E463" s="4" t="n">
        <v>46304.62423713943</v>
      </c>
      <c r="F463" s="4" t="n">
        <v>46304.62423713951</v>
      </c>
      <c r="G463" t="b">
        <v>1</v>
      </c>
      <c r="I463" t="inlineStr">
        <is>
          <t>AUD</t>
        </is>
      </c>
      <c r="J463" t="n">
        <v>-9.234299999999999</v>
      </c>
      <c r="K463" s="5" t="inlineStr">
        <is>
          <t>01a1212c-76dd-74f8-b495-e2012fee9273</t>
        </is>
      </c>
      <c r="L463" s="5" t="inlineStr">
        <is>
          <t>01a1212c-9ad0-74f0-a00e-4a6eab2b410a</t>
        </is>
      </c>
      <c r="M463" s="6" t="n">
        <v>44743</v>
      </c>
    </row>
    <row r="464">
      <c r="A464" s="5" t="inlineStr">
        <is>
          <t>01a1212c-9c0f-76e7-bb36-39e918d8fecf</t>
        </is>
      </c>
      <c r="D464" s="5" t="inlineStr">
        <is>
          <t>01a1212c-4b57-70cf-80fd-c2192cb3bf81</t>
        </is>
      </c>
      <c r="E464" s="4" t="n">
        <v>46304.62423721229</v>
      </c>
      <c r="F464" s="4" t="n">
        <v>46304.62423721236</v>
      </c>
      <c r="G464" t="b">
        <v>1</v>
      </c>
      <c r="I464" t="inlineStr">
        <is>
          <t>AUD</t>
        </is>
      </c>
      <c r="J464" t="n">
        <v>-9.944699999999999</v>
      </c>
      <c r="K464" s="5" t="inlineStr">
        <is>
          <t>01a1212c-6f3f-76d2-bfcb-3c0b514d7327</t>
        </is>
      </c>
      <c r="L464" s="5" t="inlineStr">
        <is>
          <t>01a1212c-9ad0-74f0-a00e-4a6eab2b410a</t>
        </is>
      </c>
      <c r="M464" s="6" t="n">
        <v>44743</v>
      </c>
    </row>
    <row r="465">
      <c r="A465" s="5" t="inlineStr">
        <is>
          <t>01a1212c-9c14-75ce-90e7-1dd721c62d30</t>
        </is>
      </c>
      <c r="D465" s="5" t="inlineStr">
        <is>
          <t>01a1212c-4b57-70cf-80fd-c2192cb3bf81</t>
        </is>
      </c>
      <c r="E465" s="4" t="n">
        <v>46304.62423727976</v>
      </c>
      <c r="F465" s="4" t="n">
        <v>46304.62423727983</v>
      </c>
      <c r="G465" t="b">
        <v>1</v>
      </c>
      <c r="I465" t="inlineStr">
        <is>
          <t>AUD</t>
        </is>
      </c>
      <c r="J465" t="n">
        <v>-9.944699999999999</v>
      </c>
      <c r="K465" s="5" t="inlineStr">
        <is>
          <t>01a1212c-6feb-74aa-bf31-ee2f8fd37754</t>
        </is>
      </c>
      <c r="L465" s="5" t="inlineStr">
        <is>
          <t>01a1212c-9ad0-74f0-a00e-4a6eab2b410a</t>
        </is>
      </c>
      <c r="M465" s="6" t="n">
        <v>44743</v>
      </c>
    </row>
    <row r="466">
      <c r="A466" s="5" t="inlineStr">
        <is>
          <t>01a1212c-9c1a-751b-991e-6a7afb7d2e49</t>
        </is>
      </c>
      <c r="D466" s="5" t="inlineStr">
        <is>
          <t>01a1212c-4b57-70cf-80fd-c2192cb3bf81</t>
        </is>
      </c>
      <c r="E466" s="4" t="n">
        <v>46304.62423734702</v>
      </c>
      <c r="F466" s="4" t="n">
        <v>46304.6242373471</v>
      </c>
      <c r="G466" t="b">
        <v>1</v>
      </c>
      <c r="I466" t="inlineStr">
        <is>
          <t>AUD</t>
        </is>
      </c>
      <c r="J466" t="n">
        <v>-9.944699999999999</v>
      </c>
      <c r="K466" s="5" t="inlineStr">
        <is>
          <t>01a1212c-7028-718e-b2ce-9f6f2a580d3c</t>
        </is>
      </c>
      <c r="L466" s="5" t="inlineStr">
        <is>
          <t>01a1212c-9ad0-74f0-a00e-4a6eab2b410a</t>
        </is>
      </c>
      <c r="M466" s="6" t="n">
        <v>44743</v>
      </c>
    </row>
    <row r="467">
      <c r="A467" s="5" t="inlineStr">
        <is>
          <t>01a1212c-9c20-7794-b47b-a504a01d35ad</t>
        </is>
      </c>
      <c r="D467" s="5" t="inlineStr">
        <is>
          <t>01a1212c-4b57-70cf-80fd-c2192cb3bf81</t>
        </is>
      </c>
      <c r="E467" s="4" t="n">
        <v>46304.62423741759</v>
      </c>
      <c r="F467" s="4" t="n">
        <v>46304.62423741767</v>
      </c>
      <c r="G467" t="b">
        <v>1</v>
      </c>
      <c r="I467" t="inlineStr">
        <is>
          <t>AUD</t>
        </is>
      </c>
      <c r="J467" t="n">
        <v>-9.944699999999999</v>
      </c>
      <c r="K467" s="5" t="inlineStr">
        <is>
          <t>01a1212c-71d9-7647-901b-c597ca2d48c9</t>
        </is>
      </c>
      <c r="L467" s="5" t="inlineStr">
        <is>
          <t>01a1212c-9ad0-74f0-a00e-4a6eab2b410a</t>
        </is>
      </c>
      <c r="M467" s="6" t="n">
        <v>44743</v>
      </c>
    </row>
    <row r="468">
      <c r="A468" s="5" t="inlineStr">
        <is>
          <t>01a1212c-9c26-7650-a699-63952dc3a2d5</t>
        </is>
      </c>
      <c r="D468" s="5" t="inlineStr">
        <is>
          <t>01a1212c-4b57-70cf-80fd-c2192cb3bf81</t>
        </is>
      </c>
      <c r="E468" s="4" t="n">
        <v>46304.62423748744</v>
      </c>
      <c r="F468" s="4" t="n">
        <v>46304.62423748751</v>
      </c>
      <c r="G468" t="b">
        <v>1</v>
      </c>
      <c r="I468" t="inlineStr">
        <is>
          <t>AUD</t>
        </is>
      </c>
      <c r="J468" t="n">
        <v>-9.944699999999999</v>
      </c>
      <c r="K468" s="5" t="inlineStr">
        <is>
          <t>01a1212c-7461-718b-a08a-ae58aa67a4dc</t>
        </is>
      </c>
      <c r="L468" s="5" t="inlineStr">
        <is>
          <t>01a1212c-9ad0-74f0-a00e-4a6eab2b410a</t>
        </is>
      </c>
      <c r="M468" s="6" t="n">
        <v>44743</v>
      </c>
    </row>
    <row r="469">
      <c r="A469" s="5" t="inlineStr">
        <is>
          <t>01a1212c-9c2d-75b5-be5a-5a9e3a07a423</t>
        </is>
      </c>
      <c r="D469" s="5" t="inlineStr">
        <is>
          <t>01a1212c-4b57-70cf-80fd-c2192cb3bf81</t>
        </is>
      </c>
      <c r="E469" s="4" t="n">
        <v>46304.6242375617</v>
      </c>
      <c r="F469" s="4" t="n">
        <v>46304.62423756178</v>
      </c>
      <c r="G469" t="b">
        <v>1</v>
      </c>
      <c r="I469" t="inlineStr">
        <is>
          <t>AUD</t>
        </is>
      </c>
      <c r="J469" t="n">
        <v>-10.655</v>
      </c>
      <c r="K469" s="5" t="inlineStr">
        <is>
          <t>01a1212c-6e66-7046-82e1-a0df222b5449</t>
        </is>
      </c>
      <c r="L469" s="5" t="inlineStr">
        <is>
          <t>01a1212c-9ad0-74f0-a00e-4a6eab2b410a</t>
        </is>
      </c>
      <c r="M469" s="6" t="n">
        <v>44743</v>
      </c>
    </row>
    <row r="470">
      <c r="A470" s="5" t="inlineStr">
        <is>
          <t>01a1212c-9c33-76f6-83f2-4acfd95db5a8</t>
        </is>
      </c>
      <c r="D470" s="5" t="inlineStr">
        <is>
          <t>01a1212c-4b57-70cf-80fd-c2192cb3bf81</t>
        </is>
      </c>
      <c r="E470" s="4" t="n">
        <v>46304.62423763519</v>
      </c>
      <c r="F470" s="4" t="n">
        <v>46304.62423763527</v>
      </c>
      <c r="G470" t="b">
        <v>1</v>
      </c>
      <c r="I470" t="inlineStr">
        <is>
          <t>AUD</t>
        </is>
      </c>
      <c r="J470" t="n">
        <v>-10.655</v>
      </c>
      <c r="K470" s="5" t="inlineStr">
        <is>
          <t>01a1212c-71ae-7629-9101-f4aefddb3353</t>
        </is>
      </c>
      <c r="L470" s="5" t="inlineStr">
        <is>
          <t>01a1212c-9ad0-74f0-a00e-4a6eab2b410a</t>
        </is>
      </c>
      <c r="M470" s="6" t="n">
        <v>44743</v>
      </c>
    </row>
    <row r="471">
      <c r="A471" s="5" t="inlineStr">
        <is>
          <t>01a1212c-9c3a-7623-b9e9-161a8d6869d7</t>
        </is>
      </c>
      <c r="D471" s="5" t="inlineStr">
        <is>
          <t>01a1212c-4b57-70cf-80fd-c2192cb3bf81</t>
        </is>
      </c>
      <c r="E471" s="4" t="n">
        <v>46304.62423771299</v>
      </c>
      <c r="F471" s="4" t="n">
        <v>46304.62423771305</v>
      </c>
      <c r="G471" t="b">
        <v>1</v>
      </c>
      <c r="I471" t="inlineStr">
        <is>
          <t>AUD</t>
        </is>
      </c>
      <c r="J471" t="n">
        <v>-10.655</v>
      </c>
      <c r="K471" s="5" t="inlineStr">
        <is>
          <t>01a1212c-741c-732e-b238-83e9eab5ef79</t>
        </is>
      </c>
      <c r="L471" s="5" t="inlineStr">
        <is>
          <t>01a1212c-9ad0-74f0-a00e-4a6eab2b410a</t>
        </is>
      </c>
      <c r="M471" s="6" t="n">
        <v>44743</v>
      </c>
    </row>
    <row r="472">
      <c r="A472" s="5" t="inlineStr">
        <is>
          <t>01a1212c-9c40-7642-8f0d-4cf878ebcfc7</t>
        </is>
      </c>
      <c r="D472" s="5" t="inlineStr">
        <is>
          <t>01a1212c-4b57-70cf-80fd-c2192cb3bf81</t>
        </is>
      </c>
      <c r="E472" s="4" t="n">
        <v>46304.62423777959</v>
      </c>
      <c r="F472" s="4" t="n">
        <v>46304.62423777965</v>
      </c>
      <c r="G472" t="b">
        <v>1</v>
      </c>
      <c r="I472" t="inlineStr">
        <is>
          <t>AUD</t>
        </is>
      </c>
      <c r="J472" t="n">
        <v>-11.365</v>
      </c>
      <c r="K472" s="5" t="inlineStr">
        <is>
          <t>01a1212c-6d4c-7285-883b-40007c7bea5b</t>
        </is>
      </c>
      <c r="L472" s="5" t="inlineStr">
        <is>
          <t>01a1212c-9ad0-74f0-a00e-4a6eab2b410a</t>
        </is>
      </c>
      <c r="M472" s="6" t="n">
        <v>44743</v>
      </c>
    </row>
    <row r="473">
      <c r="A473" s="5" t="inlineStr">
        <is>
          <t>01a1212c-9d33-72f3-8400-fd2c1824f175</t>
        </is>
      </c>
      <c r="D473" s="5" t="inlineStr">
        <is>
          <t>01a1212c-4b57-70cf-80fd-c2192cb3bf81</t>
        </is>
      </c>
      <c r="E473" s="4" t="n">
        <v>46304.62424059713</v>
      </c>
      <c r="F473" s="4" t="n">
        <v>46304.62424059721</v>
      </c>
      <c r="G473" t="b">
        <v>1</v>
      </c>
      <c r="I473" t="inlineStr">
        <is>
          <t>AUD</t>
        </is>
      </c>
      <c r="J473" t="n">
        <v>-0.0526</v>
      </c>
      <c r="K473" s="5" t="inlineStr">
        <is>
          <t>01a1212c-7c28-761a-abe6-a2d8c4b32086</t>
        </is>
      </c>
      <c r="L473" s="5" t="inlineStr">
        <is>
          <t>01a1212c-9d2e-765e-8221-1aed4db59a08</t>
        </is>
      </c>
      <c r="M473" s="6" t="n">
        <v>44743</v>
      </c>
    </row>
    <row r="474">
      <c r="A474" s="5" t="inlineStr">
        <is>
          <t>01a1212c-9d39-7398-8141-fef55688108f</t>
        </is>
      </c>
      <c r="D474" s="5" t="inlineStr">
        <is>
          <t>01a1212c-4b57-70cf-80fd-c2192cb3bf81</t>
        </is>
      </c>
      <c r="E474" s="4" t="n">
        <v>46304.62424066987</v>
      </c>
      <c r="F474" s="4" t="n">
        <v>46304.62424066995</v>
      </c>
      <c r="G474" t="b">
        <v>1</v>
      </c>
      <c r="I474" t="inlineStr">
        <is>
          <t>AUD</t>
        </is>
      </c>
      <c r="J474" t="n">
        <v>-0.1889</v>
      </c>
      <c r="K474" s="5" t="inlineStr">
        <is>
          <t>01a1212c-7be9-7245-9c15-bd3cb83542ff</t>
        </is>
      </c>
      <c r="L474" s="5" t="inlineStr">
        <is>
          <t>01a1212c-9d2e-765e-8221-1aed4db59a08</t>
        </is>
      </c>
      <c r="M474" s="6" t="n">
        <v>44743</v>
      </c>
    </row>
    <row r="475">
      <c r="A475" s="5" t="inlineStr">
        <is>
          <t>01a1212c-9d40-76bf-8534-a35164af2c4d</t>
        </is>
      </c>
      <c r="D475" s="5" t="inlineStr">
        <is>
          <t>01a1212c-4b57-70cf-80fd-c2192cb3bf81</t>
        </is>
      </c>
      <c r="E475" s="4" t="n">
        <v>46304.62424074729</v>
      </c>
      <c r="F475" s="4" t="n">
        <v>46304.62424074741</v>
      </c>
      <c r="G475" t="b">
        <v>1</v>
      </c>
      <c r="I475" t="inlineStr">
        <is>
          <t>AUD</t>
        </is>
      </c>
      <c r="J475" t="n">
        <v>-0.2345</v>
      </c>
      <c r="K475" s="5" t="inlineStr">
        <is>
          <t>01a1212c-7bbf-72f9-807c-119d1e33d98c</t>
        </is>
      </c>
      <c r="L475" s="5" t="inlineStr">
        <is>
          <t>01a1212c-9d2e-765e-8221-1aed4db59a08</t>
        </is>
      </c>
      <c r="M475" s="6" t="n">
        <v>44743</v>
      </c>
    </row>
    <row r="476">
      <c r="A476" s="5" t="inlineStr">
        <is>
          <t>01a1212c-9d46-7173-9b2c-ab0559d7db22</t>
        </is>
      </c>
      <c r="D476" s="5" t="inlineStr">
        <is>
          <t>01a1212c-4b57-70cf-80fd-c2192cb3bf81</t>
        </is>
      </c>
      <c r="E476" s="4" t="n">
        <v>46304.62424081462</v>
      </c>
      <c r="F476" s="4" t="n">
        <v>46304.62424081469</v>
      </c>
      <c r="G476" t="b">
        <v>1</v>
      </c>
      <c r="I476" t="inlineStr">
        <is>
          <t>AUD</t>
        </is>
      </c>
      <c r="J476" t="n">
        <v>-0.2426</v>
      </c>
      <c r="K476" s="5" t="inlineStr">
        <is>
          <t>01a1212c-7b7f-722d-8e7c-d5cfa0685df2</t>
        </is>
      </c>
      <c r="L476" s="5" t="inlineStr">
        <is>
          <t>01a1212c-9d2e-765e-8221-1aed4db59a08</t>
        </is>
      </c>
      <c r="M476" s="6" t="n">
        <v>44743</v>
      </c>
    </row>
    <row r="477">
      <c r="A477" s="5" t="inlineStr">
        <is>
          <t>01a1212c-9d4c-7071-8b53-744e2e284665</t>
        </is>
      </c>
      <c r="D477" s="5" t="inlineStr">
        <is>
          <t>01a1212c-4b57-70cf-80fd-c2192cb3bf81</t>
        </is>
      </c>
      <c r="E477" s="4" t="n">
        <v>46304.62424088385</v>
      </c>
      <c r="F477" s="4" t="n">
        <v>46304.62424088392</v>
      </c>
      <c r="G477" t="b">
        <v>1</v>
      </c>
      <c r="I477" t="inlineStr">
        <is>
          <t>AUD</t>
        </is>
      </c>
      <c r="J477" t="n">
        <v>-0.4473</v>
      </c>
      <c r="K477" s="5" t="inlineStr">
        <is>
          <t>01a1212c-7afb-7749-9b51-b6fefc63a55f</t>
        </is>
      </c>
      <c r="L477" s="5" t="inlineStr">
        <is>
          <t>01a1212c-9d2e-765e-8221-1aed4db59a08</t>
        </is>
      </c>
      <c r="M477" s="6" t="n">
        <v>44743</v>
      </c>
    </row>
    <row r="478">
      <c r="A478" s="5" t="inlineStr">
        <is>
          <t>01a1212c-9d52-76a8-80ee-95dffe59df27</t>
        </is>
      </c>
      <c r="D478" s="5" t="inlineStr">
        <is>
          <t>01a1212c-4b57-70cf-80fd-c2192cb3bf81</t>
        </is>
      </c>
      <c r="E478" s="4" t="n">
        <v>46304.62424095148</v>
      </c>
      <c r="F478" s="4" t="n">
        <v>46304.62424095155</v>
      </c>
      <c r="G478" t="b">
        <v>1</v>
      </c>
      <c r="I478" t="inlineStr">
        <is>
          <t>AUD</t>
        </is>
      </c>
      <c r="J478" t="n">
        <v>-0.4641</v>
      </c>
      <c r="K478" s="5" t="inlineStr">
        <is>
          <t>01a1212c-7b26-73b6-a1c9-7ef1ffc647f5</t>
        </is>
      </c>
      <c r="L478" s="5" t="inlineStr">
        <is>
          <t>01a1212c-9d2e-765e-8221-1aed4db59a08</t>
        </is>
      </c>
      <c r="M478" s="6" t="n">
        <v>44743</v>
      </c>
    </row>
    <row r="479">
      <c r="A479" s="5" t="inlineStr">
        <is>
          <t>01a1212c-9d57-7129-94e9-782754f223e5</t>
        </is>
      </c>
      <c r="D479" s="5" t="inlineStr">
        <is>
          <t>01a1212c-4b57-70cf-80fd-c2192cb3bf81</t>
        </is>
      </c>
      <c r="E479" s="4" t="n">
        <v>46304.62424101823</v>
      </c>
      <c r="F479" s="4" t="n">
        <v>46304.6242410183</v>
      </c>
      <c r="G479" t="b">
        <v>1</v>
      </c>
      <c r="I479" t="inlineStr">
        <is>
          <t>AUD</t>
        </is>
      </c>
      <c r="J479" t="n">
        <v>-0.4906</v>
      </c>
      <c r="K479" s="5" t="inlineStr">
        <is>
          <t>01a1212c-7acf-776d-9f34-f2ae81760b32</t>
        </is>
      </c>
      <c r="L479" s="5" t="inlineStr">
        <is>
          <t>01a1212c-9d2e-765e-8221-1aed4db59a08</t>
        </is>
      </c>
      <c r="M479" s="6" t="n">
        <v>44743</v>
      </c>
    </row>
    <row r="480">
      <c r="A480" s="5" t="inlineStr">
        <is>
          <t>01a1212c-9d5f-774f-970c-35549febde19</t>
        </is>
      </c>
      <c r="D480" s="5" t="inlineStr">
        <is>
          <t>01a1212c-4b57-70cf-80fd-c2192cb3bf81</t>
        </is>
      </c>
      <c r="E480" s="4" t="n">
        <v>46304.6242411028</v>
      </c>
      <c r="F480" s="4" t="n">
        <v>46304.62424110288</v>
      </c>
      <c r="G480" t="b">
        <v>1</v>
      </c>
      <c r="I480" t="inlineStr">
        <is>
          <t>AUD</t>
        </is>
      </c>
      <c r="J480" t="n">
        <v>-0.4919</v>
      </c>
      <c r="K480" s="5" t="inlineStr">
        <is>
          <t>01a1212c-782c-71c8-a8bb-adfe40c2d7c2</t>
        </is>
      </c>
      <c r="L480" s="5" t="inlineStr">
        <is>
          <t>01a1212c-9d2e-765e-8221-1aed4db59a08</t>
        </is>
      </c>
      <c r="M480" s="6" t="n">
        <v>44743</v>
      </c>
    </row>
    <row r="481">
      <c r="A481" s="5" t="inlineStr">
        <is>
          <t>01a1212c-9d65-71a3-bdaf-6311fdd4ee26</t>
        </is>
      </c>
      <c r="D481" s="5" t="inlineStr">
        <is>
          <t>01a1212c-4b57-70cf-80fd-c2192cb3bf81</t>
        </is>
      </c>
      <c r="E481" s="4" t="n">
        <v>46304.62424117979</v>
      </c>
      <c r="F481" s="4" t="n">
        <v>46304.62424117987</v>
      </c>
      <c r="G481" t="b">
        <v>1</v>
      </c>
      <c r="I481" t="inlineStr">
        <is>
          <t>AUD</t>
        </is>
      </c>
      <c r="J481" t="n">
        <v>-0.5534</v>
      </c>
      <c r="K481" s="5" t="inlineStr">
        <is>
          <t>01a1212c-762f-7733-8b01-f44cad85b151</t>
        </is>
      </c>
      <c r="L481" s="5" t="inlineStr">
        <is>
          <t>01a1212c-9d2e-765e-8221-1aed4db59a08</t>
        </is>
      </c>
      <c r="M481" s="6" t="n">
        <v>44743</v>
      </c>
    </row>
    <row r="482">
      <c r="A482" s="5" t="inlineStr">
        <is>
          <t>01a1212c-9d6b-7799-88c3-28ea3814a776</t>
        </is>
      </c>
      <c r="D482" s="5" t="inlineStr">
        <is>
          <t>01a1212c-4b57-70cf-80fd-c2192cb3bf81</t>
        </is>
      </c>
      <c r="E482" s="4" t="n">
        <v>46304.62424124751</v>
      </c>
      <c r="F482" s="4" t="n">
        <v>46304.62424124759</v>
      </c>
      <c r="G482" t="b">
        <v>1</v>
      </c>
      <c r="I482" t="inlineStr">
        <is>
          <t>AUD</t>
        </is>
      </c>
      <c r="J482" t="n">
        <v>-0.5534</v>
      </c>
      <c r="K482" s="5" t="inlineStr">
        <is>
          <t>01a1212c-7734-763e-bfc4-4e61ccd3ee01</t>
        </is>
      </c>
      <c r="L482" s="5" t="inlineStr">
        <is>
          <t>01a1212c-9d2e-765e-8221-1aed4db59a08</t>
        </is>
      </c>
      <c r="M482" s="6" t="n">
        <v>44743</v>
      </c>
    </row>
    <row r="483">
      <c r="A483" s="5" t="inlineStr">
        <is>
          <t>01a1212c-9d72-72a4-bffc-9eec671eb182</t>
        </is>
      </c>
      <c r="D483" s="5" t="inlineStr">
        <is>
          <t>01a1212c-4b57-70cf-80fd-c2192cb3bf81</t>
        </is>
      </c>
      <c r="E483" s="4" t="n">
        <v>46304.62424132498</v>
      </c>
      <c r="F483" s="4" t="n">
        <v>46304.62424132508</v>
      </c>
      <c r="G483" t="b">
        <v>1</v>
      </c>
      <c r="I483" t="inlineStr">
        <is>
          <t>AUD</t>
        </is>
      </c>
      <c r="J483" t="n">
        <v>-0.5534</v>
      </c>
      <c r="K483" s="5" t="inlineStr">
        <is>
          <t>01a1212c-786a-76e5-9880-08eb60ed6a05</t>
        </is>
      </c>
      <c r="L483" s="5" t="inlineStr">
        <is>
          <t>01a1212c-9d2e-765e-8221-1aed4db59a08</t>
        </is>
      </c>
      <c r="M483" s="6" t="n">
        <v>44743</v>
      </c>
    </row>
    <row r="484">
      <c r="A484" s="5" t="inlineStr">
        <is>
          <t>01a1212c-9d78-77e6-84d2-1d4d1e380743</t>
        </is>
      </c>
      <c r="D484" s="5" t="inlineStr">
        <is>
          <t>01a1212c-4b57-70cf-80fd-c2192cb3bf81</t>
        </is>
      </c>
      <c r="E484" s="4" t="n">
        <v>46304.62424139924</v>
      </c>
      <c r="F484" s="4" t="n">
        <v>46304.62424139932</v>
      </c>
      <c r="G484" t="b">
        <v>1</v>
      </c>
      <c r="I484" t="inlineStr">
        <is>
          <t>AUD</t>
        </is>
      </c>
      <c r="J484" t="n">
        <v>-0.5935</v>
      </c>
      <c r="K484" s="5" t="inlineStr">
        <is>
          <t>01a1212c-7a64-7651-a984-fe2d549ac898</t>
        </is>
      </c>
      <c r="L484" s="5" t="inlineStr">
        <is>
          <t>01a1212c-9d2e-765e-8221-1aed4db59a08</t>
        </is>
      </c>
      <c r="M484" s="6" t="n">
        <v>44743</v>
      </c>
    </row>
    <row r="485">
      <c r="A485" s="5" t="inlineStr">
        <is>
          <t>01a1212c-9d7e-75d8-920a-ea8ea096c2a3</t>
        </is>
      </c>
      <c r="D485" s="5" t="inlineStr">
        <is>
          <t>01a1212c-4b57-70cf-80fd-c2192cb3bf81</t>
        </is>
      </c>
      <c r="E485" s="4" t="n">
        <v>46304.62424146992</v>
      </c>
      <c r="F485" s="4" t="n">
        <v>46304.62424146999</v>
      </c>
      <c r="G485" t="b">
        <v>1</v>
      </c>
      <c r="I485" t="inlineStr">
        <is>
          <t>AUD</t>
        </is>
      </c>
      <c r="J485" t="n">
        <v>-0.6149</v>
      </c>
      <c r="K485" s="5" t="inlineStr">
        <is>
          <t>01a1212c-7406-7791-9482-a05d6cc76c10</t>
        </is>
      </c>
      <c r="L485" s="5" t="inlineStr">
        <is>
          <t>01a1212c-9d2e-765e-8221-1aed4db59a08</t>
        </is>
      </c>
      <c r="M485" s="6" t="n">
        <v>44743</v>
      </c>
    </row>
    <row r="486">
      <c r="A486" s="5" t="inlineStr">
        <is>
          <t>01a1212c-9d85-7464-a749-571e53970603</t>
        </is>
      </c>
      <c r="D486" s="5" t="inlineStr">
        <is>
          <t>01a1212c-4b57-70cf-80fd-c2192cb3bf81</t>
        </is>
      </c>
      <c r="E486" s="4" t="n">
        <v>46304.62424154388</v>
      </c>
      <c r="F486" s="4" t="n">
        <v>46304.62424154395</v>
      </c>
      <c r="G486" t="b">
        <v>1</v>
      </c>
      <c r="I486" t="inlineStr">
        <is>
          <t>AUD</t>
        </is>
      </c>
      <c r="J486" t="n">
        <v>-0.6149</v>
      </c>
      <c r="K486" s="5" t="inlineStr">
        <is>
          <t>01a1212c-793d-735a-8d1b-3b3743d82b3c</t>
        </is>
      </c>
      <c r="L486" s="5" t="inlineStr">
        <is>
          <t>01a1212c-9d2e-765e-8221-1aed4db59a08</t>
        </is>
      </c>
      <c r="M486" s="6" t="n">
        <v>44743</v>
      </c>
    </row>
    <row r="487">
      <c r="A487" s="5" t="inlineStr">
        <is>
          <t>01a1212c-9d8b-7065-b9c7-0e06f30ee2a8</t>
        </is>
      </c>
      <c r="D487" s="5" t="inlineStr">
        <is>
          <t>01a1212c-4b57-70cf-80fd-c2192cb3bf81</t>
        </is>
      </c>
      <c r="E487" s="4" t="n">
        <v>46304.62424161303</v>
      </c>
      <c r="F487" s="4" t="n">
        <v>46304.6242416131</v>
      </c>
      <c r="G487" t="b">
        <v>1</v>
      </c>
      <c r="I487" t="inlineStr">
        <is>
          <t>AUD</t>
        </is>
      </c>
      <c r="J487" t="n">
        <v>-0.6764</v>
      </c>
      <c r="K487" s="5" t="inlineStr">
        <is>
          <t>01a1212c-72ce-758f-a1e1-774c3e0a5001</t>
        </is>
      </c>
      <c r="L487" s="5" t="inlineStr">
        <is>
          <t>01a1212c-9d2e-765e-8221-1aed4db59a08</t>
        </is>
      </c>
      <c r="M487" s="6" t="n">
        <v>44743</v>
      </c>
    </row>
    <row r="488">
      <c r="A488" s="5" t="inlineStr">
        <is>
          <t>01a1212c-9d91-77d5-945d-aedcc6744a63</t>
        </is>
      </c>
      <c r="D488" s="5" t="inlineStr">
        <is>
          <t>01a1212c-4b57-70cf-80fd-c2192cb3bf81</t>
        </is>
      </c>
      <c r="E488" s="4" t="n">
        <v>46304.62424168798</v>
      </c>
      <c r="F488" s="4" t="n">
        <v>46304.62424168807</v>
      </c>
      <c r="G488" t="b">
        <v>1</v>
      </c>
      <c r="I488" t="inlineStr">
        <is>
          <t>AUD</t>
        </is>
      </c>
      <c r="J488" t="n">
        <v>-0.7271</v>
      </c>
      <c r="K488" s="5" t="inlineStr">
        <is>
          <t>01a1212c-79de-7495-b5b1-e7986ed975ef</t>
        </is>
      </c>
      <c r="L488" s="5" t="inlineStr">
        <is>
          <t>01a1212c-9d2e-765e-8221-1aed4db59a08</t>
        </is>
      </c>
      <c r="M488" s="6" t="n">
        <v>44743</v>
      </c>
    </row>
    <row r="489">
      <c r="A489" s="5" t="inlineStr">
        <is>
          <t>01a1212c-9d98-733f-b838-f1f0816ea71d</t>
        </is>
      </c>
      <c r="D489" s="5" t="inlineStr">
        <is>
          <t>01a1212c-4b57-70cf-80fd-c2192cb3bf81</t>
        </is>
      </c>
      <c r="E489" s="4" t="n">
        <v>46304.62424176405</v>
      </c>
      <c r="F489" s="4" t="n">
        <v>46304.62424176412</v>
      </c>
      <c r="G489" t="b">
        <v>1</v>
      </c>
      <c r="I489" t="inlineStr">
        <is>
          <t>AUD</t>
        </is>
      </c>
      <c r="J489" t="n">
        <v>-0.7379</v>
      </c>
      <c r="K489" s="5" t="inlineStr">
        <is>
          <t>01a1212c-6998-74b0-bc81-af5dbb051f7a</t>
        </is>
      </c>
      <c r="L489" s="5" t="inlineStr">
        <is>
          <t>01a1212c-9d2e-765e-8221-1aed4db59a08</t>
        </is>
      </c>
      <c r="M489" s="6" t="n">
        <v>44743</v>
      </c>
    </row>
    <row r="490">
      <c r="A490" s="5" t="inlineStr">
        <is>
          <t>01a1212c-9d9e-74cf-af48-c73e34da2b8e</t>
        </is>
      </c>
      <c r="D490" s="5" t="inlineStr">
        <is>
          <t>01a1212c-4b57-70cf-80fd-c2192cb3bf81</t>
        </is>
      </c>
      <c r="E490" s="4" t="n">
        <v>46304.62424183212</v>
      </c>
      <c r="F490" s="4" t="n">
        <v>46304.62424183219</v>
      </c>
      <c r="G490" t="b">
        <v>1</v>
      </c>
      <c r="I490" t="inlineStr">
        <is>
          <t>AUD</t>
        </is>
      </c>
      <c r="J490" t="n">
        <v>-0.7379</v>
      </c>
      <c r="K490" s="5" t="inlineStr">
        <is>
          <t>01a1212c-7278-7734-b344-b828fba43ba6</t>
        </is>
      </c>
      <c r="L490" s="5" t="inlineStr">
        <is>
          <t>01a1212c-9d2e-765e-8221-1aed4db59a08</t>
        </is>
      </c>
      <c r="M490" s="6" t="n">
        <v>44743</v>
      </c>
    </row>
    <row r="491">
      <c r="A491" s="5" t="inlineStr">
        <is>
          <t>01a1212c-9da4-7648-871f-6b220f43e83e</t>
        </is>
      </c>
      <c r="D491" s="5" t="inlineStr">
        <is>
          <t>01a1212c-4b57-70cf-80fd-c2192cb3bf81</t>
        </is>
      </c>
      <c r="E491" s="4" t="n">
        <v>46304.62424190557</v>
      </c>
      <c r="F491" s="4" t="n">
        <v>46304.62424190564</v>
      </c>
      <c r="G491" t="b">
        <v>1</v>
      </c>
      <c r="I491" t="inlineStr">
        <is>
          <t>AUD</t>
        </is>
      </c>
      <c r="J491" t="n">
        <v>-0.7994</v>
      </c>
      <c r="K491" s="5" t="inlineStr">
        <is>
          <t>01a1212c-74bb-70c4-8e52-54a02ff26207</t>
        </is>
      </c>
      <c r="L491" s="5" t="inlineStr">
        <is>
          <t>01a1212c-9d2e-765e-8221-1aed4db59a08</t>
        </is>
      </c>
      <c r="M491" s="6" t="n">
        <v>44743</v>
      </c>
    </row>
    <row r="492">
      <c r="A492" s="5" t="inlineStr">
        <is>
          <t>01a1212c-9daa-7321-8f46-a6859cabb7d1</t>
        </is>
      </c>
      <c r="D492" s="5" t="inlineStr">
        <is>
          <t>01a1212c-4b57-70cf-80fd-c2192cb3bf81</t>
        </is>
      </c>
      <c r="E492" s="4" t="n">
        <v>46304.62424197695</v>
      </c>
      <c r="F492" s="4" t="n">
        <v>46304.62424197701</v>
      </c>
      <c r="G492" t="b">
        <v>1</v>
      </c>
      <c r="I492" t="inlineStr">
        <is>
          <t>AUD</t>
        </is>
      </c>
      <c r="J492" t="n">
        <v>-0.8609</v>
      </c>
      <c r="K492" s="5" t="inlineStr">
        <is>
          <t>01a1212c-6fd7-7372-ba43-20c51ef00ee0</t>
        </is>
      </c>
      <c r="L492" s="5" t="inlineStr">
        <is>
          <t>01a1212c-9d2e-765e-8221-1aed4db59a08</t>
        </is>
      </c>
      <c r="M492" s="6" t="n">
        <v>44743</v>
      </c>
    </row>
    <row r="493">
      <c r="A493" s="5" t="inlineStr">
        <is>
          <t>01a1212c-9db1-7663-ae26-dececbc4299f</t>
        </is>
      </c>
      <c r="D493" s="5" t="inlineStr">
        <is>
          <t>01a1212c-4b57-70cf-80fd-c2192cb3bf81</t>
        </is>
      </c>
      <c r="E493" s="4" t="n">
        <v>46304.62424205188</v>
      </c>
      <c r="F493" s="4" t="n">
        <v>46304.62424205194</v>
      </c>
      <c r="G493" t="b">
        <v>1</v>
      </c>
      <c r="I493" t="inlineStr">
        <is>
          <t>AUD</t>
        </is>
      </c>
      <c r="J493" t="n">
        <v>-0.8609</v>
      </c>
      <c r="K493" s="5" t="inlineStr">
        <is>
          <t>01a1212c-7230-7671-90fb-9b2a12ecb44c</t>
        </is>
      </c>
      <c r="L493" s="5" t="inlineStr">
        <is>
          <t>01a1212c-9d2e-765e-8221-1aed4db59a08</t>
        </is>
      </c>
      <c r="M493" s="6" t="n">
        <v>44743</v>
      </c>
    </row>
    <row r="494">
      <c r="A494" s="5" t="inlineStr">
        <is>
          <t>01a1212c-9db6-7277-b02c-c80231a20185</t>
        </is>
      </c>
      <c r="D494" s="5" t="inlineStr">
        <is>
          <t>01a1212c-4b57-70cf-80fd-c2192cb3bf81</t>
        </is>
      </c>
      <c r="E494" s="4" t="n">
        <v>46304.62424211836</v>
      </c>
      <c r="F494" s="4" t="n">
        <v>46304.62424211843</v>
      </c>
      <c r="G494" t="b">
        <v>1</v>
      </c>
      <c r="I494" t="inlineStr">
        <is>
          <t>AUD</t>
        </is>
      </c>
      <c r="J494" t="n">
        <v>-0.8609</v>
      </c>
      <c r="K494" s="5" t="inlineStr">
        <is>
          <t>01a1212c-769c-724d-bdf2-5a3b65015030</t>
        </is>
      </c>
      <c r="L494" s="5" t="inlineStr">
        <is>
          <t>01a1212c-9d2e-765e-8221-1aed4db59a08</t>
        </is>
      </c>
      <c r="M494" s="6" t="n">
        <v>44743</v>
      </c>
    </row>
    <row r="495">
      <c r="A495" s="5" t="inlineStr">
        <is>
          <t>01a1212c-9dbc-737c-b3bd-e5e0de64b8d6</t>
        </is>
      </c>
      <c r="D495" s="5" t="inlineStr">
        <is>
          <t>01a1212c-4b57-70cf-80fd-c2192cb3bf81</t>
        </is>
      </c>
      <c r="E495" s="4" t="n">
        <v>46304.62424218553</v>
      </c>
      <c r="F495" s="4" t="n">
        <v>46304.6242421856</v>
      </c>
      <c r="G495" t="b">
        <v>1</v>
      </c>
      <c r="I495" t="inlineStr">
        <is>
          <t>AUD</t>
        </is>
      </c>
      <c r="J495" t="n">
        <v>-0.8609</v>
      </c>
      <c r="K495" s="5" t="inlineStr">
        <is>
          <t>01a1212c-76c8-72fb-848d-f490971720af</t>
        </is>
      </c>
      <c r="L495" s="5" t="inlineStr">
        <is>
          <t>01a1212c-9d2e-765e-8221-1aed4db59a08</t>
        </is>
      </c>
      <c r="M495" s="6" t="n">
        <v>44743</v>
      </c>
    </row>
    <row r="496">
      <c r="A496" s="5" t="inlineStr">
        <is>
          <t>01a1212c-9dc3-7488-be69-052d1739cf59</t>
        </is>
      </c>
      <c r="D496" s="5" t="inlineStr">
        <is>
          <t>01a1212c-4b57-70cf-80fd-c2192cb3bf81</t>
        </is>
      </c>
      <c r="E496" s="4" t="n">
        <v>46304.62424225887</v>
      </c>
      <c r="F496" s="4" t="n">
        <v>46304.62424225893</v>
      </c>
      <c r="G496" t="b">
        <v>1</v>
      </c>
      <c r="I496" t="inlineStr">
        <is>
          <t>AUD</t>
        </is>
      </c>
      <c r="J496" t="n">
        <v>-0.8609</v>
      </c>
      <c r="K496" s="5" t="inlineStr">
        <is>
          <t>01a1212c-777a-75f6-97da-4f344ffae56e</t>
        </is>
      </c>
      <c r="L496" s="5" t="inlineStr">
        <is>
          <t>01a1212c-9d2e-765e-8221-1aed4db59a08</t>
        </is>
      </c>
      <c r="M496" s="6" t="n">
        <v>44743</v>
      </c>
    </row>
    <row r="497">
      <c r="A497" s="5" t="inlineStr">
        <is>
          <t>01a1212c-9dc8-72c9-b118-b245d8822eef</t>
        </is>
      </c>
      <c r="D497" s="5" t="inlineStr">
        <is>
          <t>01a1212c-4b57-70cf-80fd-c2192cb3bf81</t>
        </is>
      </c>
      <c r="E497" s="4" t="n">
        <v>46304.62424232614</v>
      </c>
      <c r="F497" s="4" t="n">
        <v>46304.6242423262</v>
      </c>
      <c r="G497" t="b">
        <v>1</v>
      </c>
      <c r="I497" t="inlineStr">
        <is>
          <t>AUD</t>
        </is>
      </c>
      <c r="J497" t="n">
        <v>-0.8609</v>
      </c>
      <c r="K497" s="5" t="inlineStr">
        <is>
          <t>01a1212c-77d4-75d1-964a-4a82d5606ddd</t>
        </is>
      </c>
      <c r="L497" s="5" t="inlineStr">
        <is>
          <t>01a1212c-9d2e-765e-8221-1aed4db59a08</t>
        </is>
      </c>
      <c r="M497" s="6" t="n">
        <v>44743</v>
      </c>
    </row>
    <row r="498">
      <c r="A498" s="5" t="inlineStr">
        <is>
          <t>01a1212c-9dce-73b7-b4dc-662ce918281f</t>
        </is>
      </c>
      <c r="D498" s="5" t="inlineStr">
        <is>
          <t>01a1212c-4b57-70cf-80fd-c2192cb3bf81</t>
        </is>
      </c>
      <c r="E498" s="4" t="n">
        <v>46304.62424239273</v>
      </c>
      <c r="F498" s="4" t="n">
        <v>46304.6242423928</v>
      </c>
      <c r="G498" t="b">
        <v>1</v>
      </c>
      <c r="I498" t="inlineStr">
        <is>
          <t>AUD</t>
        </is>
      </c>
      <c r="J498" t="n">
        <v>-0.8609</v>
      </c>
      <c r="K498" s="5" t="inlineStr">
        <is>
          <t>01a1212c-78c3-76a7-bbb9-ea3eccef616f</t>
        </is>
      </c>
      <c r="L498" s="5" t="inlineStr">
        <is>
          <t>01a1212c-9d2e-765e-8221-1aed4db59a08</t>
        </is>
      </c>
      <c r="M498" s="6" t="n">
        <v>44743</v>
      </c>
    </row>
    <row r="499">
      <c r="A499" s="5" t="inlineStr">
        <is>
          <t>01a1212c-9dd4-7033-9ef8-97c9f9973386</t>
        </is>
      </c>
      <c r="D499" s="5" t="inlineStr">
        <is>
          <t>01a1212c-4b57-70cf-80fd-c2192cb3bf81</t>
        </is>
      </c>
      <c r="E499" s="4" t="n">
        <v>46304.62424246097</v>
      </c>
      <c r="F499" s="4" t="n">
        <v>46304.62424246104</v>
      </c>
      <c r="G499" t="b">
        <v>1</v>
      </c>
      <c r="I499" t="inlineStr">
        <is>
          <t>AUD</t>
        </is>
      </c>
      <c r="J499" t="n">
        <v>-0.9145</v>
      </c>
      <c r="K499" s="5" t="inlineStr">
        <is>
          <t>01a1212c-7aa5-75d5-bf94-ec295d881aed</t>
        </is>
      </c>
      <c r="L499" s="5" t="inlineStr">
        <is>
          <t>01a1212c-9d2e-765e-8221-1aed4db59a08</t>
        </is>
      </c>
      <c r="M499" s="6" t="n">
        <v>44743</v>
      </c>
    </row>
    <row r="500">
      <c r="A500" s="5" t="inlineStr">
        <is>
          <t>01a1212c-9dda-7428-886c-2532295154e0</t>
        </is>
      </c>
      <c r="D500" s="5" t="inlineStr">
        <is>
          <t>01a1212c-4b57-70cf-80fd-c2192cb3bf81</t>
        </is>
      </c>
      <c r="E500" s="4" t="n">
        <v>46304.62424252783</v>
      </c>
      <c r="F500" s="4" t="n">
        <v>46304.62424252789</v>
      </c>
      <c r="G500" t="b">
        <v>1</v>
      </c>
      <c r="I500" t="inlineStr">
        <is>
          <t>AUD</t>
        </is>
      </c>
      <c r="J500" t="n">
        <v>-0.9224</v>
      </c>
      <c r="K500" s="5" t="inlineStr">
        <is>
          <t>01a1212c-6b88-7320-ad83-9bb2175f9188</t>
        </is>
      </c>
      <c r="L500" s="5" t="inlineStr">
        <is>
          <t>01a1212c-9d2e-765e-8221-1aed4db59a08</t>
        </is>
      </c>
      <c r="M500" s="6" t="n">
        <v>44743</v>
      </c>
    </row>
    <row r="501">
      <c r="A501" s="5" t="inlineStr">
        <is>
          <t>01a1212c-9de0-721f-9761-77afabf40411</t>
        </is>
      </c>
      <c r="D501" s="5" t="inlineStr">
        <is>
          <t>01a1212c-4b57-70cf-80fd-c2192cb3bf81</t>
        </is>
      </c>
      <c r="E501" s="4" t="n">
        <v>46304.62424259463</v>
      </c>
      <c r="F501" s="4" t="n">
        <v>46304.6242425947</v>
      </c>
      <c r="G501" t="b">
        <v>1</v>
      </c>
      <c r="I501" t="inlineStr">
        <is>
          <t>AUD</t>
        </is>
      </c>
      <c r="J501" t="n">
        <v>-0.9224</v>
      </c>
      <c r="K501" s="5" t="inlineStr">
        <is>
          <t>01a1212c-6d37-7104-9bae-6b11207df2ba</t>
        </is>
      </c>
      <c r="L501" s="5" t="inlineStr">
        <is>
          <t>01a1212c-9d2e-765e-8221-1aed4db59a08</t>
        </is>
      </c>
      <c r="M501" s="6" t="n">
        <v>44743</v>
      </c>
    </row>
    <row r="502">
      <c r="A502" s="5" t="inlineStr">
        <is>
          <t>01a1212c-9de6-7565-98b3-4c55e76e4de3</t>
        </is>
      </c>
      <c r="D502" s="5" t="inlineStr">
        <is>
          <t>01a1212c-4b57-70cf-80fd-c2192cb3bf81</t>
        </is>
      </c>
      <c r="E502" s="4" t="n">
        <v>46304.62424266484</v>
      </c>
      <c r="F502" s="4" t="n">
        <v>46304.6242426649</v>
      </c>
      <c r="G502" t="b">
        <v>1</v>
      </c>
      <c r="I502" t="inlineStr">
        <is>
          <t>AUD</t>
        </is>
      </c>
      <c r="J502" t="n">
        <v>-0.9224</v>
      </c>
      <c r="K502" s="5" t="inlineStr">
        <is>
          <t>01a1212c-6f94-71c9-8280-59efd47efd80</t>
        </is>
      </c>
      <c r="L502" s="5" t="inlineStr">
        <is>
          <t>01a1212c-9d2e-765e-8221-1aed4db59a08</t>
        </is>
      </c>
      <c r="M502" s="6" t="n">
        <v>44743</v>
      </c>
    </row>
    <row r="503">
      <c r="A503" s="5" t="inlineStr">
        <is>
          <t>01a1212c-9dec-72c2-8175-92d89bb78edc</t>
        </is>
      </c>
      <c r="D503" s="5" t="inlineStr">
        <is>
          <t>01a1212c-4b57-70cf-80fd-c2192cb3bf81</t>
        </is>
      </c>
      <c r="E503" s="4" t="n">
        <v>46304.62424273269</v>
      </c>
      <c r="F503" s="4" t="n">
        <v>46304.62424273275</v>
      </c>
      <c r="G503" t="b">
        <v>1</v>
      </c>
      <c r="I503" t="inlineStr">
        <is>
          <t>AUD</t>
        </is>
      </c>
      <c r="J503" t="n">
        <v>-0.9224</v>
      </c>
      <c r="K503" s="5" t="inlineStr">
        <is>
          <t>01a1212c-719a-7616-bf3b-b6ee9e3119c7</t>
        </is>
      </c>
      <c r="L503" s="5" t="inlineStr">
        <is>
          <t>01a1212c-9d2e-765e-8221-1aed4db59a08</t>
        </is>
      </c>
      <c r="M503" s="6" t="n">
        <v>44743</v>
      </c>
    </row>
    <row r="504">
      <c r="A504" s="5" t="inlineStr">
        <is>
          <t>01a1212c-9df1-715d-b7cf-bb7d54b4ecac</t>
        </is>
      </c>
      <c r="D504" s="5" t="inlineStr">
        <is>
          <t>01a1212c-4b57-70cf-80fd-c2192cb3bf81</t>
        </is>
      </c>
      <c r="E504" s="4" t="n">
        <v>46304.62424280147</v>
      </c>
      <c r="F504" s="4" t="n">
        <v>46304.62424280155</v>
      </c>
      <c r="G504" t="b">
        <v>1</v>
      </c>
      <c r="I504" t="inlineStr">
        <is>
          <t>AUD</t>
        </is>
      </c>
      <c r="J504" t="n">
        <v>-0.9224</v>
      </c>
      <c r="K504" s="5" t="inlineStr">
        <is>
          <t>01a1212c-7515-75a9-bea4-d4a41e7286ba</t>
        </is>
      </c>
      <c r="L504" s="5" t="inlineStr">
        <is>
          <t>01a1212c-9d2e-765e-8221-1aed4db59a08</t>
        </is>
      </c>
      <c r="M504" s="6" t="n">
        <v>44743</v>
      </c>
    </row>
    <row r="505">
      <c r="A505" s="5" t="inlineStr">
        <is>
          <t>01a1212c-9df8-7065-9ffe-8c60b798b3e1</t>
        </is>
      </c>
      <c r="D505" s="5" t="inlineStr">
        <is>
          <t>01a1212c-4b57-70cf-80fd-c2192cb3bf81</t>
        </is>
      </c>
      <c r="E505" s="4" t="n">
        <v>46304.6242428757</v>
      </c>
      <c r="F505" s="4" t="n">
        <v>46304.62424287579</v>
      </c>
      <c r="G505" t="b">
        <v>1</v>
      </c>
      <c r="I505" t="inlineStr">
        <is>
          <t>AUD</t>
        </is>
      </c>
      <c r="J505" t="n">
        <v>-0.9224</v>
      </c>
      <c r="K505" s="5" t="inlineStr">
        <is>
          <t>01a1212c-75aa-735b-b4ee-0e53e375e6f4</t>
        </is>
      </c>
      <c r="L505" s="5" t="inlineStr">
        <is>
          <t>01a1212c-9d2e-765e-8221-1aed4db59a08</t>
        </is>
      </c>
      <c r="M505" s="6" t="n">
        <v>44743</v>
      </c>
    </row>
    <row r="506">
      <c r="A506" s="5" t="inlineStr">
        <is>
          <t>01a1212c-9dfe-71da-9f01-97e20a3706fe</t>
        </is>
      </c>
      <c r="D506" s="5" t="inlineStr">
        <is>
          <t>01a1212c-4b57-70cf-80fd-c2192cb3bf81</t>
        </is>
      </c>
      <c r="E506" s="4" t="n">
        <v>46304.62424294311</v>
      </c>
      <c r="F506" s="4" t="n">
        <v>46304.62424294319</v>
      </c>
      <c r="G506" t="b">
        <v>1</v>
      </c>
      <c r="I506" t="inlineStr">
        <is>
          <t>AUD</t>
        </is>
      </c>
      <c r="J506" t="n">
        <v>-0.9224</v>
      </c>
      <c r="K506" s="5" t="inlineStr">
        <is>
          <t>01a1212c-7911-7380-b8bc-fe5bcacfa72b</t>
        </is>
      </c>
      <c r="L506" s="5" t="inlineStr">
        <is>
          <t>01a1212c-9d2e-765e-8221-1aed4db59a08</t>
        </is>
      </c>
      <c r="M506" s="6" t="n">
        <v>44743</v>
      </c>
    </row>
    <row r="507">
      <c r="A507" s="5" t="inlineStr">
        <is>
          <t>01a1212c-9e04-76e7-b13e-6efaa6b02e72</t>
        </is>
      </c>
      <c r="D507" s="5" t="inlineStr">
        <is>
          <t>01a1212c-4b57-70cf-80fd-c2192cb3bf81</t>
        </is>
      </c>
      <c r="E507" s="4" t="n">
        <v>46304.62424301852</v>
      </c>
      <c r="F507" s="4" t="n">
        <v>46304.6242430186</v>
      </c>
      <c r="G507" t="b">
        <v>1</v>
      </c>
      <c r="I507" t="inlineStr">
        <is>
          <t>AUD</t>
        </is>
      </c>
      <c r="J507" t="n">
        <v>-0.9839</v>
      </c>
      <c r="K507" s="5" t="inlineStr">
        <is>
          <t>01a1212c-6ed1-75e4-b466-1b906512bd95</t>
        </is>
      </c>
      <c r="L507" s="5" t="inlineStr">
        <is>
          <t>01a1212c-9d2e-765e-8221-1aed4db59a08</t>
        </is>
      </c>
      <c r="M507" s="6" t="n">
        <v>44743</v>
      </c>
    </row>
    <row r="508">
      <c r="A508" s="5" t="inlineStr">
        <is>
          <t>01a1212c-9e0a-7319-8e02-67e84290c280</t>
        </is>
      </c>
      <c r="D508" s="5" t="inlineStr">
        <is>
          <t>01a1212c-4b57-70cf-80fd-c2192cb3bf81</t>
        </is>
      </c>
      <c r="E508" s="4" t="n">
        <v>46304.62424308998</v>
      </c>
      <c r="F508" s="4" t="n">
        <v>46304.62424309005</v>
      </c>
      <c r="G508" t="b">
        <v>1</v>
      </c>
      <c r="I508" t="inlineStr">
        <is>
          <t>AUD</t>
        </is>
      </c>
      <c r="J508" t="n">
        <v>-0.9839</v>
      </c>
      <c r="K508" s="5" t="inlineStr">
        <is>
          <t>01a1212c-757f-767f-8272-690dfe1bbf2a</t>
        </is>
      </c>
      <c r="L508" s="5" t="inlineStr">
        <is>
          <t>01a1212c-9d2e-765e-8221-1aed4db59a08</t>
        </is>
      </c>
      <c r="M508" s="6" t="n">
        <v>44743</v>
      </c>
    </row>
    <row r="509">
      <c r="A509" s="5" t="inlineStr">
        <is>
          <t>01a1212c-9e10-7495-ba43-a7190e13e5e8</t>
        </is>
      </c>
      <c r="D509" s="5" t="inlineStr">
        <is>
          <t>01a1212c-4b57-70cf-80fd-c2192cb3bf81</t>
        </is>
      </c>
      <c r="E509" s="4" t="n">
        <v>46304.62424315874</v>
      </c>
      <c r="F509" s="4" t="n">
        <v>46304.62424315881</v>
      </c>
      <c r="G509" t="b">
        <v>1</v>
      </c>
      <c r="I509" t="inlineStr">
        <is>
          <t>AUD</t>
        </is>
      </c>
      <c r="J509" t="n">
        <v>-1.0075</v>
      </c>
      <c r="K509" s="5" t="inlineStr">
        <is>
          <t>01a1212c-7a08-70cb-88cc-0d955086d8aa</t>
        </is>
      </c>
      <c r="L509" s="5" t="inlineStr">
        <is>
          <t>01a1212c-9d2e-765e-8221-1aed4db59a08</t>
        </is>
      </c>
      <c r="M509" s="6" t="n">
        <v>44743</v>
      </c>
    </row>
    <row r="510">
      <c r="A510" s="5" t="inlineStr">
        <is>
          <t>01a1212c-9e17-7292-87d7-e103ed29a3f0</t>
        </is>
      </c>
      <c r="D510" s="5" t="inlineStr">
        <is>
          <t>01a1212c-4b57-70cf-80fd-c2192cb3bf81</t>
        </is>
      </c>
      <c r="E510" s="4" t="n">
        <v>46304.62424323215</v>
      </c>
      <c r="F510" s="4" t="n">
        <v>46304.62424323223</v>
      </c>
      <c r="G510" t="b">
        <v>1</v>
      </c>
      <c r="I510" t="inlineStr">
        <is>
          <t>AUD</t>
        </is>
      </c>
      <c r="J510" t="n">
        <v>-1.0454</v>
      </c>
      <c r="K510" s="5" t="inlineStr">
        <is>
          <t>01a1212c-6cde-735d-babb-fd56e63b9d5a</t>
        </is>
      </c>
      <c r="L510" s="5" t="inlineStr">
        <is>
          <t>01a1212c-9d2e-765e-8221-1aed4db59a08</t>
        </is>
      </c>
      <c r="M510" s="6" t="n">
        <v>44743</v>
      </c>
    </row>
    <row r="511">
      <c r="A511" s="5" t="inlineStr">
        <is>
          <t>01a1212c-9e1c-7616-a307-801f144c2fd9</t>
        </is>
      </c>
      <c r="D511" s="5" t="inlineStr">
        <is>
          <t>01a1212c-4b57-70cf-80fd-c2192cb3bf81</t>
        </is>
      </c>
      <c r="E511" s="4" t="n">
        <v>46304.62424329698</v>
      </c>
      <c r="F511" s="4" t="n">
        <v>46304.62424329705</v>
      </c>
      <c r="G511" t="b">
        <v>1</v>
      </c>
      <c r="I511" t="inlineStr">
        <is>
          <t>AUD</t>
        </is>
      </c>
      <c r="J511" t="n">
        <v>-1.0454</v>
      </c>
      <c r="K511" s="5" t="inlineStr">
        <is>
          <t>01a1212c-7157-7567-ba2e-f5a2ea2a31ab</t>
        </is>
      </c>
      <c r="L511" s="5" t="inlineStr">
        <is>
          <t>01a1212c-9d2e-765e-8221-1aed4db59a08</t>
        </is>
      </c>
      <c r="M511" s="6" t="n">
        <v>44743</v>
      </c>
    </row>
    <row r="512">
      <c r="A512" s="5" t="inlineStr">
        <is>
          <t>01a1212c-9e22-70b1-8f76-90c4eb1e674a</t>
        </is>
      </c>
      <c r="D512" s="5" t="inlineStr">
        <is>
          <t>01a1212c-4b57-70cf-80fd-c2192cb3bf81</t>
        </is>
      </c>
      <c r="E512" s="4" t="n">
        <v>46304.62424336464</v>
      </c>
      <c r="F512" s="4" t="n">
        <v>46304.62424336471</v>
      </c>
      <c r="G512" t="b">
        <v>1</v>
      </c>
      <c r="I512" t="inlineStr">
        <is>
          <t>AUD</t>
        </is>
      </c>
      <c r="J512" t="n">
        <v>-1.1069</v>
      </c>
      <c r="K512" s="5" t="inlineStr">
        <is>
          <t>01a1212c-6bf3-7787-bc84-0bf70e1c811f</t>
        </is>
      </c>
      <c r="L512" s="5" t="inlineStr">
        <is>
          <t>01a1212c-9d2e-765e-8221-1aed4db59a08</t>
        </is>
      </c>
      <c r="M512" s="6" t="n">
        <v>44743</v>
      </c>
    </row>
    <row r="513">
      <c r="A513" s="5" t="inlineStr">
        <is>
          <t>01a1212c-9e28-702e-b2ff-107bf3c0f144</t>
        </is>
      </c>
      <c r="D513" s="5" t="inlineStr">
        <is>
          <t>01a1212c-4b57-70cf-80fd-c2192cb3bf81</t>
        </is>
      </c>
      <c r="E513" s="4" t="n">
        <v>46304.62424343216</v>
      </c>
      <c r="F513" s="4" t="n">
        <v>46304.62424343223</v>
      </c>
      <c r="G513" t="b">
        <v>1</v>
      </c>
      <c r="I513" t="inlineStr">
        <is>
          <t>AUD</t>
        </is>
      </c>
      <c r="J513" t="n">
        <v>-1.1069</v>
      </c>
      <c r="K513" s="5" t="inlineStr">
        <is>
          <t>01a1212c-6dcc-720d-a5fa-03db95e8cb05</t>
        </is>
      </c>
      <c r="L513" s="5" t="inlineStr">
        <is>
          <t>01a1212c-9d2e-765e-8221-1aed4db59a08</t>
        </is>
      </c>
      <c r="M513" s="6" t="n">
        <v>44743</v>
      </c>
    </row>
    <row r="514">
      <c r="A514" s="5" t="inlineStr">
        <is>
          <t>01a1212c-9e2e-71ce-ad0b-cc4bf3a1e218</t>
        </is>
      </c>
      <c r="D514" s="5" t="inlineStr">
        <is>
          <t>01a1212c-4b57-70cf-80fd-c2192cb3bf81</t>
        </is>
      </c>
      <c r="E514" s="4" t="n">
        <v>46304.62424349922</v>
      </c>
      <c r="F514" s="4" t="n">
        <v>46304.6242434993</v>
      </c>
      <c r="G514" t="b">
        <v>1</v>
      </c>
      <c r="I514" t="inlineStr">
        <is>
          <t>AUD</t>
        </is>
      </c>
      <c r="J514" t="n">
        <v>-1.1069</v>
      </c>
      <c r="K514" s="5" t="inlineStr">
        <is>
          <t>01a1212c-7093-74e6-b33d-06958030fa15</t>
        </is>
      </c>
      <c r="L514" s="5" t="inlineStr">
        <is>
          <t>01a1212c-9d2e-765e-8221-1aed4db59a08</t>
        </is>
      </c>
      <c r="M514" s="6" t="n">
        <v>44743</v>
      </c>
    </row>
    <row r="515">
      <c r="A515" s="5" t="inlineStr">
        <is>
          <t>01a1212c-9e34-7143-bcad-0f348a37c982</t>
        </is>
      </c>
      <c r="D515" s="5" t="inlineStr">
        <is>
          <t>01a1212c-4b57-70cf-80fd-c2192cb3bf81</t>
        </is>
      </c>
      <c r="E515" s="4" t="n">
        <v>46304.62424356976</v>
      </c>
      <c r="F515" s="4" t="n">
        <v>46304.62424356983</v>
      </c>
      <c r="G515" t="b">
        <v>1</v>
      </c>
      <c r="I515" t="inlineStr">
        <is>
          <t>AUD</t>
        </is>
      </c>
      <c r="J515" t="n">
        <v>-1.1684</v>
      </c>
      <c r="K515" s="5" t="inlineStr">
        <is>
          <t>01a1212c-6bc9-7747-8a7e-e6bec07ce141</t>
        </is>
      </c>
      <c r="L515" s="5" t="inlineStr">
        <is>
          <t>01a1212c-9d2e-765e-8221-1aed4db59a08</t>
        </is>
      </c>
      <c r="M515" s="6" t="n">
        <v>44743</v>
      </c>
    </row>
    <row r="516">
      <c r="A516" s="5" t="inlineStr">
        <is>
          <t>01a1212c-9e3a-76cf-a4c5-2e9fc4f1f4d5</t>
        </is>
      </c>
      <c r="D516" s="5" t="inlineStr">
        <is>
          <t>01a1212c-4b57-70cf-80fd-c2192cb3bf81</t>
        </is>
      </c>
      <c r="E516" s="4" t="n">
        <v>46304.62424363801</v>
      </c>
      <c r="F516" s="4" t="n">
        <v>46304.62424363808</v>
      </c>
      <c r="G516" t="b">
        <v>1</v>
      </c>
      <c r="I516" t="inlineStr">
        <is>
          <t>AUD</t>
        </is>
      </c>
      <c r="J516" t="n">
        <v>-1.213</v>
      </c>
      <c r="K516" s="5" t="inlineStr">
        <is>
          <t>01a1212c-7984-77e5-aa4d-ea4f7dd9e0be</t>
        </is>
      </c>
      <c r="L516" s="5" t="inlineStr">
        <is>
          <t>01a1212c-9d2e-765e-8221-1aed4db59a08</t>
        </is>
      </c>
      <c r="M516" s="6" t="n">
        <v>44743</v>
      </c>
    </row>
    <row r="517">
      <c r="A517" s="5" t="inlineStr">
        <is>
          <t>01a1212c-9e3f-7411-be29-34569d90910c</t>
        </is>
      </c>
      <c r="D517" s="5" t="inlineStr">
        <is>
          <t>01a1212c-4b57-70cf-80fd-c2192cb3bf81</t>
        </is>
      </c>
      <c r="E517" s="4" t="n">
        <v>46304.62424370269</v>
      </c>
      <c r="F517" s="4" t="n">
        <v>46304.62424370274</v>
      </c>
      <c r="G517" t="b">
        <v>1</v>
      </c>
      <c r="I517" t="inlineStr">
        <is>
          <t>AUD</t>
        </is>
      </c>
      <c r="J517" t="n">
        <v>-1.2299</v>
      </c>
      <c r="K517" s="5" t="inlineStr">
        <is>
          <t>01a1212c-6a83-75e3-a976-646e71a73596</t>
        </is>
      </c>
      <c r="L517" s="5" t="inlineStr">
        <is>
          <t>01a1212c-9d2e-765e-8221-1aed4db59a08</t>
        </is>
      </c>
      <c r="M517" s="6" t="n">
        <v>44743</v>
      </c>
    </row>
    <row r="518">
      <c r="A518" s="5" t="inlineStr">
        <is>
          <t>01a1212c-9e45-7455-aa29-379485421f04</t>
        </is>
      </c>
      <c r="D518" s="5" t="inlineStr">
        <is>
          <t>01a1212c-4b57-70cf-80fd-c2192cb3bf81</t>
        </is>
      </c>
      <c r="E518" s="4" t="n">
        <v>46304.62424377142</v>
      </c>
      <c r="F518" s="4" t="n">
        <v>46304.62424377149</v>
      </c>
      <c r="G518" t="b">
        <v>1</v>
      </c>
      <c r="I518" t="inlineStr">
        <is>
          <t>AUD</t>
        </is>
      </c>
      <c r="J518" t="n">
        <v>-1.2299</v>
      </c>
      <c r="K518" s="5" t="inlineStr">
        <is>
          <t>01a1212c-6c5e-707b-87c6-5fa973c4227c</t>
        </is>
      </c>
      <c r="L518" s="5" t="inlineStr">
        <is>
          <t>01a1212c-9d2e-765e-8221-1aed4db59a08</t>
        </is>
      </c>
      <c r="M518" s="6" t="n">
        <v>44743</v>
      </c>
    </row>
    <row r="519">
      <c r="A519" s="5" t="inlineStr">
        <is>
          <t>01a1212c-9e4b-70bf-9295-11ee39fe112d</t>
        </is>
      </c>
      <c r="D519" s="5" t="inlineStr">
        <is>
          <t>01a1212c-4b57-70cf-80fd-c2192cb3bf81</t>
        </is>
      </c>
      <c r="E519" s="4" t="n">
        <v>46304.62424384182</v>
      </c>
      <c r="F519" s="4" t="n">
        <v>46304.62424384191</v>
      </c>
      <c r="G519" t="b">
        <v>1</v>
      </c>
      <c r="I519" t="inlineStr">
        <is>
          <t>AUD</t>
        </is>
      </c>
      <c r="J519" t="n">
        <v>-1.2299</v>
      </c>
      <c r="K519" s="5" t="inlineStr">
        <is>
          <t>01a1212c-730f-762d-91e1-ab5755aaf176</t>
        </is>
      </c>
      <c r="L519" s="5" t="inlineStr">
        <is>
          <t>01a1212c-9d2e-765e-8221-1aed4db59a08</t>
        </is>
      </c>
      <c r="M519" s="6" t="n">
        <v>44743</v>
      </c>
    </row>
    <row r="520">
      <c r="A520" s="5" t="inlineStr">
        <is>
          <t>01a1212c-9e52-75ca-8224-38dc5b0c97b9</t>
        </is>
      </c>
      <c r="D520" s="5" t="inlineStr">
        <is>
          <t>01a1212c-4b57-70cf-80fd-c2192cb3bf81</t>
        </is>
      </c>
      <c r="E520" s="4" t="n">
        <v>46304.62424391336</v>
      </c>
      <c r="F520" s="4" t="n">
        <v>46304.62424391343</v>
      </c>
      <c r="G520" t="b">
        <v>1</v>
      </c>
      <c r="I520" t="inlineStr">
        <is>
          <t>AUD</t>
        </is>
      </c>
      <c r="J520" t="n">
        <v>-1.2299</v>
      </c>
      <c r="K520" s="5" t="inlineStr">
        <is>
          <t>01a1212c-7709-72df-b553-3dec9cf59792</t>
        </is>
      </c>
      <c r="L520" s="5" t="inlineStr">
        <is>
          <t>01a1212c-9d2e-765e-8221-1aed4db59a08</t>
        </is>
      </c>
      <c r="M520" s="6" t="n">
        <v>44743</v>
      </c>
    </row>
    <row r="521">
      <c r="A521" s="5" t="inlineStr">
        <is>
          <t>01a1212c-9e58-77a3-a47b-6896f3d1073e</t>
        </is>
      </c>
      <c r="D521" s="5" t="inlineStr">
        <is>
          <t>01a1212c-4b57-70cf-80fd-c2192cb3bf81</t>
        </is>
      </c>
      <c r="E521" s="4" t="n">
        <v>46304.62424398316</v>
      </c>
      <c r="F521" s="4" t="n">
        <v>46304.62424398323</v>
      </c>
      <c r="G521" t="b">
        <v>1</v>
      </c>
      <c r="I521" t="inlineStr">
        <is>
          <t>AUD</t>
        </is>
      </c>
      <c r="J521" t="n">
        <v>-1.2913</v>
      </c>
      <c r="K521" s="5" t="inlineStr">
        <is>
          <t>01a1212c-6e20-73a5-aefe-85160cb166ee</t>
        </is>
      </c>
      <c r="L521" s="5" t="inlineStr">
        <is>
          <t>01a1212c-9d2e-765e-8221-1aed4db59a08</t>
        </is>
      </c>
      <c r="M521" s="6" t="n">
        <v>44743</v>
      </c>
    </row>
    <row r="522">
      <c r="A522" s="5" t="inlineStr">
        <is>
          <t>01a1212c-9e5d-70f7-aae2-c089747900c0</t>
        </is>
      </c>
      <c r="D522" s="5" t="inlineStr">
        <is>
          <t>01a1212c-4b57-70cf-80fd-c2192cb3bf81</t>
        </is>
      </c>
      <c r="E522" s="4" t="n">
        <v>46304.62424405152</v>
      </c>
      <c r="F522" s="4" t="n">
        <v>46304.62424405159</v>
      </c>
      <c r="G522" t="b">
        <v>1</v>
      </c>
      <c r="I522" t="inlineStr">
        <is>
          <t>AUD</t>
        </is>
      </c>
      <c r="J522" t="n">
        <v>-1.2913</v>
      </c>
      <c r="K522" s="5" t="inlineStr">
        <is>
          <t>01a1212c-733d-76f3-baba-b9d3c48b5990</t>
        </is>
      </c>
      <c r="L522" s="5" t="inlineStr">
        <is>
          <t>01a1212c-9d2e-765e-8221-1aed4db59a08</t>
        </is>
      </c>
      <c r="M522" s="6" t="n">
        <v>44743</v>
      </c>
    </row>
    <row r="523">
      <c r="A523" s="5" t="inlineStr">
        <is>
          <t>01a1212c-9e63-7555-8efe-5375b9e4ceff</t>
        </is>
      </c>
      <c r="D523" s="5" t="inlineStr">
        <is>
          <t>01a1212c-4b57-70cf-80fd-c2192cb3bf81</t>
        </is>
      </c>
      <c r="E523" s="4" t="n">
        <v>46304.62424411573</v>
      </c>
      <c r="F523" s="4" t="n">
        <v>46304.6242441158</v>
      </c>
      <c r="G523" t="b">
        <v>1</v>
      </c>
      <c r="I523" t="inlineStr">
        <is>
          <t>AUD</t>
        </is>
      </c>
      <c r="J523" t="n">
        <v>-1.2913</v>
      </c>
      <c r="K523" s="5" t="inlineStr">
        <is>
          <t>01a1212c-7396-7143-a0d0-9983b89d9143</t>
        </is>
      </c>
      <c r="L523" s="5" t="inlineStr">
        <is>
          <t>01a1212c-9d2e-765e-8221-1aed4db59a08</t>
        </is>
      </c>
      <c r="M523" s="6" t="n">
        <v>44743</v>
      </c>
    </row>
    <row r="524">
      <c r="A524" s="5" t="inlineStr">
        <is>
          <t>01a1212c-9e6a-721d-8d56-b56e4eb82982</t>
        </is>
      </c>
      <c r="D524" s="5" t="inlineStr">
        <is>
          <t>01a1212c-4b57-70cf-80fd-c2192cb3bf81</t>
        </is>
      </c>
      <c r="E524" s="4" t="n">
        <v>46304.62424419641</v>
      </c>
      <c r="F524" s="4" t="n">
        <v>46304.62424419648</v>
      </c>
      <c r="G524" t="b">
        <v>1</v>
      </c>
      <c r="I524" t="inlineStr">
        <is>
          <t>AUD</t>
        </is>
      </c>
      <c r="J524" t="n">
        <v>-1.2913</v>
      </c>
      <c r="K524" s="5" t="inlineStr">
        <is>
          <t>01a1212c-753f-736c-986a-a53b3d31334e</t>
        </is>
      </c>
      <c r="L524" s="5" t="inlineStr">
        <is>
          <t>01a1212c-9d2e-765e-8221-1aed4db59a08</t>
        </is>
      </c>
      <c r="M524" s="6" t="n">
        <v>44743</v>
      </c>
    </row>
    <row r="525">
      <c r="A525" s="5" t="inlineStr">
        <is>
          <t>01a1212c-9e70-71c7-a3ad-0a616127496c</t>
        </is>
      </c>
      <c r="D525" s="5" t="inlineStr">
        <is>
          <t>01a1212c-4b57-70cf-80fd-c2192cb3bf81</t>
        </is>
      </c>
      <c r="E525" s="4" t="n">
        <v>46304.62424426627</v>
      </c>
      <c r="F525" s="4" t="n">
        <v>46304.62424426636</v>
      </c>
      <c r="G525" t="b">
        <v>1</v>
      </c>
      <c r="I525" t="inlineStr">
        <is>
          <t>AUD</t>
        </is>
      </c>
      <c r="J525" t="n">
        <v>-1.2913</v>
      </c>
      <c r="K525" s="5" t="inlineStr">
        <is>
          <t>01a1212c-75ec-7606-87d2-d682d2730242</t>
        </is>
      </c>
      <c r="L525" s="5" t="inlineStr">
        <is>
          <t>01a1212c-9d2e-765e-8221-1aed4db59a08</t>
        </is>
      </c>
      <c r="M525" s="6" t="n">
        <v>44743</v>
      </c>
    </row>
    <row r="526">
      <c r="A526" s="5" t="inlineStr">
        <is>
          <t>01a1212c-9e76-707e-a56d-063079b3f61e</t>
        </is>
      </c>
      <c r="D526" s="5" t="inlineStr">
        <is>
          <t>01a1212c-4b57-70cf-80fd-c2192cb3bf81</t>
        </is>
      </c>
      <c r="E526" s="4" t="n">
        <v>46304.62424433664</v>
      </c>
      <c r="F526" s="4" t="n">
        <v>46304.62424433674</v>
      </c>
      <c r="G526" t="b">
        <v>1</v>
      </c>
      <c r="I526" t="inlineStr">
        <is>
          <t>AUD</t>
        </is>
      </c>
      <c r="J526" t="n">
        <v>-1.2913</v>
      </c>
      <c r="K526" s="5" t="inlineStr">
        <is>
          <t>01a1212c-765b-777c-ab2d-721a20593158</t>
        </is>
      </c>
      <c r="L526" s="5" t="inlineStr">
        <is>
          <t>01a1212c-9d2e-765e-8221-1aed4db59a08</t>
        </is>
      </c>
      <c r="M526" s="6" t="n">
        <v>44743</v>
      </c>
    </row>
    <row r="527">
      <c r="A527" s="5" t="inlineStr">
        <is>
          <t>01a1212c-9e7d-742a-8800-c99d2e4fc6de</t>
        </is>
      </c>
      <c r="D527" s="5" t="inlineStr">
        <is>
          <t>01a1212c-4b57-70cf-80fd-c2192cb3bf81</t>
        </is>
      </c>
      <c r="E527" s="4" t="n">
        <v>46304.62424441143</v>
      </c>
      <c r="F527" s="4" t="n">
        <v>46304.62424441149</v>
      </c>
      <c r="G527" t="b">
        <v>1</v>
      </c>
      <c r="I527" t="inlineStr">
        <is>
          <t>AUD</t>
        </is>
      </c>
      <c r="J527" t="n">
        <v>-1.3528</v>
      </c>
      <c r="K527" s="5" t="inlineStr">
        <is>
          <t>01a1212c-6896-70d6-844d-33deb9ce2d14</t>
        </is>
      </c>
      <c r="L527" s="5" t="inlineStr">
        <is>
          <t>01a1212c-9d2e-765e-8221-1aed4db59a08</t>
        </is>
      </c>
      <c r="M527" s="6" t="n">
        <v>44743</v>
      </c>
    </row>
    <row r="528">
      <c r="A528" s="5" t="inlineStr">
        <is>
          <t>01a1212c-9e83-726e-836d-e123bac21db8</t>
        </is>
      </c>
      <c r="D528" s="5" t="inlineStr">
        <is>
          <t>01a1212c-4b57-70cf-80fd-c2192cb3bf81</t>
        </is>
      </c>
      <c r="E528" s="4" t="n">
        <v>46304.62424448181</v>
      </c>
      <c r="F528" s="4" t="n">
        <v>46304.62424448188</v>
      </c>
      <c r="G528" t="b">
        <v>1</v>
      </c>
      <c r="I528" t="inlineStr">
        <is>
          <t>AUD</t>
        </is>
      </c>
      <c r="J528" t="n">
        <v>-1.3528</v>
      </c>
      <c r="K528" s="5" t="inlineStr">
        <is>
          <t>01a1212c-6d0a-76f3-b162-b89428bc8b86</t>
        </is>
      </c>
      <c r="L528" s="5" t="inlineStr">
        <is>
          <t>01a1212c-9d2e-765e-8221-1aed4db59a08</t>
        </is>
      </c>
      <c r="M528" s="6" t="n">
        <v>44743</v>
      </c>
    </row>
    <row r="529">
      <c r="A529" s="5" t="inlineStr">
        <is>
          <t>01a1212c-9e89-729e-aeb9-933dc0251702</t>
        </is>
      </c>
      <c r="D529" s="5" t="inlineStr">
        <is>
          <t>01a1212c-4b57-70cf-80fd-c2192cb3bf81</t>
        </is>
      </c>
      <c r="E529" s="4" t="n">
        <v>46304.62424455588</v>
      </c>
      <c r="F529" s="4" t="n">
        <v>46304.62424455595</v>
      </c>
      <c r="G529" t="b">
        <v>1</v>
      </c>
      <c r="I529" t="inlineStr">
        <is>
          <t>AUD</t>
        </is>
      </c>
      <c r="J529" t="n">
        <v>-1.3528</v>
      </c>
      <c r="K529" s="5" t="inlineStr">
        <is>
          <t>01a1212c-7479-730c-8151-93b8e93442c2</t>
        </is>
      </c>
      <c r="L529" s="5" t="inlineStr">
        <is>
          <t>01a1212c-9d2e-765e-8221-1aed4db59a08</t>
        </is>
      </c>
      <c r="M529" s="6" t="n">
        <v>44743</v>
      </c>
    </row>
    <row r="530">
      <c r="A530" s="5" t="inlineStr">
        <is>
          <t>01a1212c-9e8f-7105-a2e5-ca74994afaf5</t>
        </is>
      </c>
      <c r="D530" s="5" t="inlineStr">
        <is>
          <t>01a1212c-4b57-70cf-80fd-c2192cb3bf81</t>
        </is>
      </c>
      <c r="E530" s="4" t="n">
        <v>46304.62424462715</v>
      </c>
      <c r="F530" s="4" t="n">
        <v>46304.62424462722</v>
      </c>
      <c r="G530" t="b">
        <v>1</v>
      </c>
      <c r="I530" t="inlineStr">
        <is>
          <t>AUD</t>
        </is>
      </c>
      <c r="J530" t="n">
        <v>-1.3528</v>
      </c>
      <c r="K530" s="5" t="inlineStr">
        <is>
          <t>01a1212c-74e5-7395-a1a4-2bc2487a534d</t>
        </is>
      </c>
      <c r="L530" s="5" t="inlineStr">
        <is>
          <t>01a1212c-9d2e-765e-8221-1aed4db59a08</t>
        </is>
      </c>
      <c r="M530" s="6" t="n">
        <v>44743</v>
      </c>
    </row>
    <row r="531">
      <c r="A531" s="5" t="inlineStr">
        <is>
          <t>01a1212c-9e95-74dc-93d2-faf5aaeb85b1</t>
        </is>
      </c>
      <c r="D531" s="5" t="inlineStr">
        <is>
          <t>01a1212c-4b57-70cf-80fd-c2192cb3bf81</t>
        </is>
      </c>
      <c r="E531" s="4" t="n">
        <v>46304.62424469842</v>
      </c>
      <c r="F531" s="4" t="n">
        <v>46304.6242446985</v>
      </c>
      <c r="G531" t="b">
        <v>1</v>
      </c>
      <c r="I531" t="inlineStr">
        <is>
          <t>AUD</t>
        </is>
      </c>
      <c r="J531" t="n">
        <v>-1.4143</v>
      </c>
      <c r="K531" s="5" t="inlineStr">
        <is>
          <t>01a1212c-6d8a-7538-8ed2-1bed262cc3a3</t>
        </is>
      </c>
      <c r="L531" s="5" t="inlineStr">
        <is>
          <t>01a1212c-9d2e-765e-8221-1aed4db59a08</t>
        </is>
      </c>
      <c r="M531" s="6" t="n">
        <v>44743</v>
      </c>
    </row>
    <row r="532">
      <c r="A532" s="5" t="inlineStr">
        <is>
          <t>01a1212c-9e9c-7641-848c-687dd8013266</t>
        </is>
      </c>
      <c r="D532" s="5" t="inlineStr">
        <is>
          <t>01a1212c-4b57-70cf-80fd-c2192cb3bf81</t>
        </is>
      </c>
      <c r="E532" s="4" t="n">
        <v>46304.62424477808</v>
      </c>
      <c r="F532" s="4" t="n">
        <v>46304.62424477815</v>
      </c>
      <c r="G532" t="b">
        <v>1</v>
      </c>
      <c r="I532" t="inlineStr">
        <is>
          <t>AUD</t>
        </is>
      </c>
      <c r="J532" t="n">
        <v>-1.4143</v>
      </c>
      <c r="K532" s="5" t="inlineStr">
        <is>
          <t>01a1212c-6f14-75ce-b122-ae5ab106d8e8</t>
        </is>
      </c>
      <c r="L532" s="5" t="inlineStr">
        <is>
          <t>01a1212c-9d2e-765e-8221-1aed4db59a08</t>
        </is>
      </c>
      <c r="M532" s="6" t="n">
        <v>44743</v>
      </c>
    </row>
    <row r="533">
      <c r="A533" s="5" t="inlineStr">
        <is>
          <t>01a1212c-9ea2-7731-968c-d43de0711f64</t>
        </is>
      </c>
      <c r="D533" s="5" t="inlineStr">
        <is>
          <t>01a1212c-4b57-70cf-80fd-c2192cb3bf81</t>
        </is>
      </c>
      <c r="E533" s="4" t="n">
        <v>46304.624244848</v>
      </c>
      <c r="F533" s="4" t="n">
        <v>46304.62424484807</v>
      </c>
      <c r="G533" t="b">
        <v>1</v>
      </c>
      <c r="I533" t="inlineStr">
        <is>
          <t>AUD</t>
        </is>
      </c>
      <c r="J533" t="n">
        <v>-1.4143</v>
      </c>
      <c r="K533" s="5" t="inlineStr">
        <is>
          <t>01a1212c-7117-7388-8792-335c487cf88f</t>
        </is>
      </c>
      <c r="L533" s="5" t="inlineStr">
        <is>
          <t>01a1212c-9d2e-765e-8221-1aed4db59a08</t>
        </is>
      </c>
      <c r="M533" s="6" t="n">
        <v>44743</v>
      </c>
    </row>
    <row r="534">
      <c r="A534" s="5" t="inlineStr">
        <is>
          <t>01a1212c-9ea8-73c8-8588-f1da7bc19e25</t>
        </is>
      </c>
      <c r="D534" s="5" t="inlineStr">
        <is>
          <t>01a1212c-4b57-70cf-80fd-c2192cb3bf81</t>
        </is>
      </c>
      <c r="E534" s="4" t="n">
        <v>46304.62424491769</v>
      </c>
      <c r="F534" s="4" t="n">
        <v>46304.62424491777</v>
      </c>
      <c r="G534" t="b">
        <v>1</v>
      </c>
      <c r="I534" t="inlineStr">
        <is>
          <t>AUD</t>
        </is>
      </c>
      <c r="J534" t="n">
        <v>-1.4143</v>
      </c>
      <c r="K534" s="5" t="inlineStr">
        <is>
          <t>01a1212c-7431-7269-8782-d6ec933249b5</t>
        </is>
      </c>
      <c r="L534" s="5" t="inlineStr">
        <is>
          <t>01a1212c-9d2e-765e-8221-1aed4db59a08</t>
        </is>
      </c>
      <c r="M534" s="6" t="n">
        <v>44743</v>
      </c>
    </row>
    <row r="535">
      <c r="A535" s="5" t="inlineStr">
        <is>
          <t>01a1212c-9eae-712f-92e4-f49f240e18ea</t>
        </is>
      </c>
      <c r="D535" s="5" t="inlineStr">
        <is>
          <t>01a1212c-4b57-70cf-80fd-c2192cb3bf81</t>
        </is>
      </c>
      <c r="E535" s="4" t="n">
        <v>46304.62424498677</v>
      </c>
      <c r="F535" s="4" t="n">
        <v>46304.62424498684</v>
      </c>
      <c r="G535" t="b">
        <v>1</v>
      </c>
      <c r="I535" t="inlineStr">
        <is>
          <t>AUD</t>
        </is>
      </c>
      <c r="J535" t="n">
        <v>-1.4758</v>
      </c>
      <c r="K535" s="5" t="inlineStr">
        <is>
          <t>01a1212c-6b44-7386-8841-c9a13ab8602b</t>
        </is>
      </c>
      <c r="L535" s="5" t="inlineStr">
        <is>
          <t>01a1212c-9d2e-765e-8221-1aed4db59a08</t>
        </is>
      </c>
      <c r="M535" s="6" t="n">
        <v>44743</v>
      </c>
    </row>
    <row r="536">
      <c r="A536" s="5" t="inlineStr">
        <is>
          <t>01a1212c-9eb4-71db-acea-5733f2c5f884</t>
        </is>
      </c>
      <c r="D536" s="5" t="inlineStr">
        <is>
          <t>01a1212c-4b57-70cf-80fd-c2192cb3bf81</t>
        </is>
      </c>
      <c r="E536" s="4" t="n">
        <v>46304.62424505455</v>
      </c>
      <c r="F536" s="4" t="n">
        <v>46304.62424505462</v>
      </c>
      <c r="G536" t="b">
        <v>1</v>
      </c>
      <c r="I536" t="inlineStr">
        <is>
          <t>AUD</t>
        </is>
      </c>
      <c r="J536" t="n">
        <v>-1.4758</v>
      </c>
      <c r="K536" s="5" t="inlineStr">
        <is>
          <t>01a1212c-70ec-7549-97f2-cc3906a47674</t>
        </is>
      </c>
      <c r="L536" s="5" t="inlineStr">
        <is>
          <t>01a1212c-9d2e-765e-8221-1aed4db59a08</t>
        </is>
      </c>
      <c r="M536" s="6" t="n">
        <v>44743</v>
      </c>
    </row>
    <row r="537">
      <c r="A537" s="5" t="inlineStr">
        <is>
          <t>01a1212c-9eba-70d5-a7d1-01607696dad1</t>
        </is>
      </c>
      <c r="D537" s="5" t="inlineStr">
        <is>
          <t>01a1212c-4b57-70cf-80fd-c2192cb3bf81</t>
        </is>
      </c>
      <c r="E537" s="4" t="n">
        <v>46304.62424512316</v>
      </c>
      <c r="F537" s="4" t="n">
        <v>46304.62424512323</v>
      </c>
      <c r="G537" t="b">
        <v>1</v>
      </c>
      <c r="I537" t="inlineStr">
        <is>
          <t>AUD</t>
        </is>
      </c>
      <c r="J537" t="n">
        <v>-1.4758</v>
      </c>
      <c r="K537" s="5" t="inlineStr">
        <is>
          <t>01a1212c-71ee-7697-ac4a-eeeb04d71bcc</t>
        </is>
      </c>
      <c r="L537" s="5" t="inlineStr">
        <is>
          <t>01a1212c-9d2e-765e-8221-1aed4db59a08</t>
        </is>
      </c>
      <c r="M537" s="6" t="n">
        <v>44743</v>
      </c>
    </row>
    <row r="538">
      <c r="A538" s="5" t="inlineStr">
        <is>
          <t>01a1212c-9ec0-72ef-943e-79ca8c354d8a</t>
        </is>
      </c>
      <c r="D538" s="5" t="inlineStr">
        <is>
          <t>01a1212c-4b57-70cf-80fd-c2192cb3bf81</t>
        </is>
      </c>
      <c r="E538" s="4" t="n">
        <v>46304.62424519085</v>
      </c>
      <c r="F538" s="4" t="n">
        <v>46304.62424519093</v>
      </c>
      <c r="G538" t="b">
        <v>1</v>
      </c>
      <c r="I538" t="inlineStr">
        <is>
          <t>AUD</t>
        </is>
      </c>
      <c r="J538" t="n">
        <v>-1.5373</v>
      </c>
      <c r="K538" s="5" t="inlineStr">
        <is>
          <t>01a1212c-6a2e-75f8-b19d-5dc788e0d375</t>
        </is>
      </c>
      <c r="L538" s="5" t="inlineStr">
        <is>
          <t>01a1212c-9d2e-765e-8221-1aed4db59a08</t>
        </is>
      </c>
      <c r="M538" s="6" t="n">
        <v>44743</v>
      </c>
    </row>
    <row r="539">
      <c r="A539" s="5" t="inlineStr">
        <is>
          <t>01a1212c-9ec6-734f-be3a-5a1ae6e3e460</t>
        </is>
      </c>
      <c r="D539" s="5" t="inlineStr">
        <is>
          <t>01a1212c-4b57-70cf-80fd-c2192cb3bf81</t>
        </is>
      </c>
      <c r="E539" s="4" t="n">
        <v>46304.62424526242</v>
      </c>
      <c r="F539" s="4" t="n">
        <v>46304.62424526249</v>
      </c>
      <c r="G539" t="b">
        <v>1</v>
      </c>
      <c r="I539" t="inlineStr">
        <is>
          <t>AUD</t>
        </is>
      </c>
      <c r="J539" t="n">
        <v>-1.5373</v>
      </c>
      <c r="K539" s="5" t="inlineStr">
        <is>
          <t>01a1212c-7000-7766-ae79-871c98d5aa0c</t>
        </is>
      </c>
      <c r="L539" s="5" t="inlineStr">
        <is>
          <t>01a1212c-9d2e-765e-8221-1aed4db59a08</t>
        </is>
      </c>
      <c r="M539" s="6" t="n">
        <v>44743</v>
      </c>
    </row>
    <row r="540">
      <c r="A540" s="5" t="inlineStr">
        <is>
          <t>01a1212c-9ecc-7160-a05c-8fa91d55ec07</t>
        </is>
      </c>
      <c r="D540" s="5" t="inlineStr">
        <is>
          <t>01a1212c-4b57-70cf-80fd-c2192cb3bf81</t>
        </is>
      </c>
      <c r="E540" s="4" t="n">
        <v>46304.62424532825</v>
      </c>
      <c r="F540" s="4" t="n">
        <v>46304.62424532832</v>
      </c>
      <c r="G540" t="b">
        <v>1</v>
      </c>
      <c r="I540" t="inlineStr">
        <is>
          <t>AUD</t>
        </is>
      </c>
      <c r="J540" t="n">
        <v>-1.5988</v>
      </c>
      <c r="K540" s="5" t="inlineStr">
        <is>
          <t>01a1212c-6e7d-7269-818d-4fc41e4043b6</t>
        </is>
      </c>
      <c r="L540" s="5" t="inlineStr">
        <is>
          <t>01a1212c-9d2e-765e-8221-1aed4db59a08</t>
        </is>
      </c>
      <c r="M540" s="6" t="n">
        <v>44743</v>
      </c>
    </row>
    <row r="541">
      <c r="A541" s="5" t="inlineStr">
        <is>
          <t>01a1212c-9ed2-7727-abb4-c81f1f575961</t>
        </is>
      </c>
      <c r="D541" s="5" t="inlineStr">
        <is>
          <t>01a1212c-4b57-70cf-80fd-c2192cb3bf81</t>
        </is>
      </c>
      <c r="E541" s="4" t="n">
        <v>46304.62424539583</v>
      </c>
      <c r="F541" s="4" t="n">
        <v>46304.62424539591</v>
      </c>
      <c r="G541" t="b">
        <v>1</v>
      </c>
      <c r="I541" t="inlineStr">
        <is>
          <t>AUD</t>
        </is>
      </c>
      <c r="J541" t="n">
        <v>-1.5988</v>
      </c>
      <c r="K541" s="5" t="inlineStr">
        <is>
          <t>01a1212c-6f53-7010-bee2-43a946747025</t>
        </is>
      </c>
      <c r="L541" s="5" t="inlineStr">
        <is>
          <t>01a1212c-9d2e-765e-8221-1aed4db59a08</t>
        </is>
      </c>
      <c r="M541" s="6" t="n">
        <v>44743</v>
      </c>
    </row>
    <row r="542">
      <c r="A542" s="5" t="inlineStr">
        <is>
          <t>01a1212c-9ed8-724b-bf58-078d425d5d08</t>
        </is>
      </c>
      <c r="D542" s="5" t="inlineStr">
        <is>
          <t>01a1212c-4b57-70cf-80fd-c2192cb3bf81</t>
        </is>
      </c>
      <c r="E542" s="4" t="n">
        <v>46304.62424546697</v>
      </c>
      <c r="F542" s="4" t="n">
        <v>46304.62424546703</v>
      </c>
      <c r="G542" t="b">
        <v>1</v>
      </c>
      <c r="I542" t="inlineStr">
        <is>
          <t>AUD</t>
        </is>
      </c>
      <c r="J542" t="n">
        <v>-1.5988</v>
      </c>
      <c r="K542" s="5" t="inlineStr">
        <is>
          <t>01a1212c-703e-7558-9c38-d3ff61fb4ef7</t>
        </is>
      </c>
      <c r="L542" s="5" t="inlineStr">
        <is>
          <t>01a1212c-9d2e-765e-8221-1aed4db59a08</t>
        </is>
      </c>
      <c r="M542" s="6" t="n">
        <v>44743</v>
      </c>
    </row>
    <row r="543">
      <c r="A543" s="5" t="inlineStr">
        <is>
          <t>01a1212c-9ede-726f-8896-70a0c12b93dc</t>
        </is>
      </c>
      <c r="D543" s="5" t="inlineStr">
        <is>
          <t>01a1212c-4b57-70cf-80fd-c2192cb3bf81</t>
        </is>
      </c>
      <c r="E543" s="4" t="n">
        <v>46304.62424553586</v>
      </c>
      <c r="F543" s="4" t="n">
        <v>46304.62424553592</v>
      </c>
      <c r="G543" t="b">
        <v>1</v>
      </c>
      <c r="I543" t="inlineStr">
        <is>
          <t>AUD</t>
        </is>
      </c>
      <c r="J543" t="n">
        <v>-1.5988</v>
      </c>
      <c r="K543" s="5" t="inlineStr">
        <is>
          <t>01a1212c-71c3-7032-9840-53a08ae86f9c</t>
        </is>
      </c>
      <c r="L543" s="5" t="inlineStr">
        <is>
          <t>01a1212c-9d2e-765e-8221-1aed4db59a08</t>
        </is>
      </c>
      <c r="M543" s="6" t="n">
        <v>44743</v>
      </c>
    </row>
    <row r="544">
      <c r="A544" s="5" t="inlineStr">
        <is>
          <t>01a1212c-9ee4-721a-ae9a-9631602157c5</t>
        </is>
      </c>
      <c r="D544" s="5" t="inlineStr">
        <is>
          <t>01a1212c-4b57-70cf-80fd-c2192cb3bf81</t>
        </is>
      </c>
      <c r="E544" s="4" t="n">
        <v>46304.62424560665</v>
      </c>
      <c r="F544" s="4" t="n">
        <v>46304.62424560673</v>
      </c>
      <c r="G544" t="b">
        <v>1</v>
      </c>
      <c r="I544" t="inlineStr">
        <is>
          <t>AUD</t>
        </is>
      </c>
      <c r="J544" t="n">
        <v>-1.6603</v>
      </c>
      <c r="K544" s="5" t="inlineStr">
        <is>
          <t>01a1212c-68f0-738d-8d20-79a1c973b960</t>
        </is>
      </c>
      <c r="L544" s="5" t="inlineStr">
        <is>
          <t>01a1212c-9d2e-765e-8221-1aed4db59a08</t>
        </is>
      </c>
      <c r="M544" s="6" t="n">
        <v>44743</v>
      </c>
    </row>
    <row r="545">
      <c r="A545" s="5" t="inlineStr">
        <is>
          <t>01a1212c-9eeb-76a1-a221-dde5ae16c73e</t>
        </is>
      </c>
      <c r="D545" s="5" t="inlineStr">
        <is>
          <t>01a1212c-4b57-70cf-80fd-c2192cb3bf81</t>
        </is>
      </c>
      <c r="E545" s="4" t="n">
        <v>46304.6242456851</v>
      </c>
      <c r="F545" s="4" t="n">
        <v>46304.62424568515</v>
      </c>
      <c r="G545" t="b">
        <v>1</v>
      </c>
      <c r="I545" t="inlineStr">
        <is>
          <t>AUD</t>
        </is>
      </c>
      <c r="J545" t="n">
        <v>-1.6603</v>
      </c>
      <c r="K545" s="5" t="inlineStr">
        <is>
          <t>01a1212c-6b1b-73e9-a54d-e62e154ff71c</t>
        </is>
      </c>
      <c r="L545" s="5" t="inlineStr">
        <is>
          <t>01a1212c-9d2e-765e-8221-1aed4db59a08</t>
        </is>
      </c>
      <c r="M545" s="6" t="n">
        <v>44743</v>
      </c>
    </row>
    <row r="546">
      <c r="A546" s="5" t="inlineStr">
        <is>
          <t>01a1212c-9ef0-72d4-aa2d-041bc93378fd</t>
        </is>
      </c>
      <c r="D546" s="5" t="inlineStr">
        <is>
          <t>01a1212c-4b57-70cf-80fd-c2192cb3bf81</t>
        </is>
      </c>
      <c r="E546" s="4" t="n">
        <v>46304.62424575028</v>
      </c>
      <c r="F546" s="4" t="n">
        <v>46304.62424575035</v>
      </c>
      <c r="G546" t="b">
        <v>1</v>
      </c>
      <c r="I546" t="inlineStr">
        <is>
          <t>AUD</t>
        </is>
      </c>
      <c r="J546" t="n">
        <v>-1.7218</v>
      </c>
      <c r="K546" s="5" t="inlineStr">
        <is>
          <t>01a1212c-6c1d-7297-ba65-fe335d60502e</t>
        </is>
      </c>
      <c r="L546" s="5" t="inlineStr">
        <is>
          <t>01a1212c-9d2e-765e-8221-1aed4db59a08</t>
        </is>
      </c>
      <c r="M546" s="6" t="n">
        <v>44743</v>
      </c>
    </row>
    <row r="547">
      <c r="A547" s="5" t="inlineStr">
        <is>
          <t>01a1212c-9ef7-749f-93ee-3f4af49f9d73</t>
        </is>
      </c>
      <c r="D547" s="5" t="inlineStr">
        <is>
          <t>01a1212c-4b57-70cf-80fd-c2192cb3bf81</t>
        </is>
      </c>
      <c r="E547" s="4" t="n">
        <v>46304.62424582374</v>
      </c>
      <c r="F547" s="4" t="n">
        <v>46304.6242458238</v>
      </c>
      <c r="G547" t="b">
        <v>1</v>
      </c>
      <c r="I547" t="inlineStr">
        <is>
          <t>AUD</t>
        </is>
      </c>
      <c r="J547" t="n">
        <v>-1.7218</v>
      </c>
      <c r="K547" s="5" t="inlineStr">
        <is>
          <t>01a1212c-6cb3-74c4-b753-3ced98bb4fa1</t>
        </is>
      </c>
      <c r="L547" s="5" t="inlineStr">
        <is>
          <t>01a1212c-9d2e-765e-8221-1aed4db59a08</t>
        </is>
      </c>
      <c r="M547" s="6" t="n">
        <v>44743</v>
      </c>
    </row>
    <row r="548">
      <c r="A548" s="5" t="inlineStr">
        <is>
          <t>01a1212c-9efd-7709-b609-ead0bed07d08</t>
        </is>
      </c>
      <c r="D548" s="5" t="inlineStr">
        <is>
          <t>01a1212c-4b57-70cf-80fd-c2192cb3bf81</t>
        </is>
      </c>
      <c r="E548" s="4" t="n">
        <v>46304.62424589683</v>
      </c>
      <c r="F548" s="4" t="n">
        <v>46304.6242458969</v>
      </c>
      <c r="G548" t="b">
        <v>1</v>
      </c>
      <c r="I548" t="inlineStr">
        <is>
          <t>AUD</t>
        </is>
      </c>
      <c r="J548" t="n">
        <v>-1.7833</v>
      </c>
      <c r="K548" s="5" t="inlineStr">
        <is>
          <t>01a1212c-6d61-7172-937f-90562bb7a3f9</t>
        </is>
      </c>
      <c r="L548" s="5" t="inlineStr">
        <is>
          <t>01a1212c-9d2e-765e-8221-1aed4db59a08</t>
        </is>
      </c>
      <c r="M548" s="6" t="n">
        <v>44743</v>
      </c>
    </row>
    <row r="549">
      <c r="A549" s="5" t="inlineStr">
        <is>
          <t>01a1212c-9f03-7240-b4ad-b5c72665019b</t>
        </is>
      </c>
      <c r="D549" s="5" t="inlineStr">
        <is>
          <t>01a1212c-4b57-70cf-80fd-c2192cb3bf81</t>
        </is>
      </c>
      <c r="E549" s="4" t="n">
        <v>46304.62424596373</v>
      </c>
      <c r="F549" s="4" t="n">
        <v>46304.62424596379</v>
      </c>
      <c r="G549" t="b">
        <v>1</v>
      </c>
      <c r="I549" t="inlineStr">
        <is>
          <t>AUD</t>
        </is>
      </c>
      <c r="J549" t="n">
        <v>-1.8448</v>
      </c>
      <c r="K549" s="5" t="inlineStr">
        <is>
          <t>01a1212c-696e-7146-9e01-741d10f2bed2</t>
        </is>
      </c>
      <c r="L549" s="5" t="inlineStr">
        <is>
          <t>01a1212c-9d2e-765e-8221-1aed4db59a08</t>
        </is>
      </c>
      <c r="M549" s="6" t="n">
        <v>44743</v>
      </c>
    </row>
    <row r="550">
      <c r="A550" s="5" t="inlineStr">
        <is>
          <t>01a1212c-9f09-75d8-93ec-ff7536ded48b</t>
        </is>
      </c>
      <c r="D550" s="5" t="inlineStr">
        <is>
          <t>01a1212c-4b57-70cf-80fd-c2192cb3bf81</t>
        </is>
      </c>
      <c r="E550" s="4" t="n">
        <v>46304.62424603342</v>
      </c>
      <c r="F550" s="4" t="n">
        <v>46304.62424603348</v>
      </c>
      <c r="G550" t="b">
        <v>1</v>
      </c>
      <c r="I550" t="inlineStr">
        <is>
          <t>AUD</t>
        </is>
      </c>
      <c r="J550" t="n">
        <v>-1.8448</v>
      </c>
      <c r="K550" s="5" t="inlineStr">
        <is>
          <t>01a1212c-69ed-703d-98c7-86793a7bce47</t>
        </is>
      </c>
      <c r="L550" s="5" t="inlineStr">
        <is>
          <t>01a1212c-9d2e-765e-8221-1aed4db59a08</t>
        </is>
      </c>
      <c r="M550" s="6" t="n">
        <v>44743</v>
      </c>
    </row>
    <row r="551">
      <c r="A551" s="5" t="inlineStr">
        <is>
          <t>01a1212c-9f0f-7388-ae8f-f10b9827aa6d</t>
        </is>
      </c>
      <c r="D551" s="5" t="inlineStr">
        <is>
          <t>01a1212c-4b57-70cf-80fd-c2192cb3bf81</t>
        </is>
      </c>
      <c r="E551" s="4" t="n">
        <v>46304.62424610084</v>
      </c>
      <c r="F551" s="4" t="n">
        <v>46304.6242461009</v>
      </c>
      <c r="G551" t="b">
        <v>1</v>
      </c>
      <c r="I551" t="inlineStr">
        <is>
          <t>AUD</t>
        </is>
      </c>
      <c r="J551" t="n">
        <v>-1.9063</v>
      </c>
      <c r="K551" s="5" t="inlineStr">
        <is>
          <t>01a1212c-6ac3-7045-85af-681a40396939</t>
        </is>
      </c>
      <c r="L551" s="5" t="inlineStr">
        <is>
          <t>01a1212c-9d2e-765e-8221-1aed4db59a08</t>
        </is>
      </c>
      <c r="M551" s="6" t="n">
        <v>44743</v>
      </c>
    </row>
    <row r="552">
      <c r="A552" s="5" t="inlineStr">
        <is>
          <t>01a1212c-9f14-768c-a971-b928683baec3</t>
        </is>
      </c>
      <c r="D552" s="5" t="inlineStr">
        <is>
          <t>01a1212c-4b57-70cf-80fd-c2192cb3bf81</t>
        </is>
      </c>
      <c r="E552" s="4" t="n">
        <v>46304.62424616536</v>
      </c>
      <c r="F552" s="4" t="n">
        <v>46304.62424616543</v>
      </c>
      <c r="G552" t="b">
        <v>1</v>
      </c>
      <c r="I552" t="inlineStr">
        <is>
          <t>AUD</t>
        </is>
      </c>
      <c r="J552" t="n">
        <v>-1.9678</v>
      </c>
      <c r="K552" s="5" t="inlineStr">
        <is>
          <t>01a1212c-692f-76c3-8991-b28be5dbbe78</t>
        </is>
      </c>
      <c r="L552" s="5" t="inlineStr">
        <is>
          <t>01a1212c-9d2e-765e-8221-1aed4db59a08</t>
        </is>
      </c>
      <c r="M552" s="6" t="n">
        <v>44743</v>
      </c>
    </row>
    <row r="553">
      <c r="A553" s="5" t="inlineStr">
        <is>
          <t>01a1212c-9f1a-76e0-8d13-72034e64fbb4</t>
        </is>
      </c>
      <c r="D553" s="5" t="inlineStr">
        <is>
          <t>01a1212c-4b57-70cf-80fd-c2192cb3bf81</t>
        </is>
      </c>
      <c r="E553" s="4" t="n">
        <v>46304.62424623557</v>
      </c>
      <c r="F553" s="4" t="n">
        <v>46304.62424623564</v>
      </c>
      <c r="G553" t="b">
        <v>1</v>
      </c>
      <c r="I553" t="inlineStr">
        <is>
          <t>AUD</t>
        </is>
      </c>
      <c r="J553" t="n">
        <v>-2.2753</v>
      </c>
      <c r="K553" s="5" t="inlineStr">
        <is>
          <t>01a1212c-68c3-7400-8c25-aa53cd5ab679</t>
        </is>
      </c>
      <c r="L553" s="5" t="inlineStr">
        <is>
          <t>01a1212c-9d2e-765e-8221-1aed4db59a08</t>
        </is>
      </c>
      <c r="M553" s="6" t="n">
        <v>44743</v>
      </c>
    </row>
    <row r="554">
      <c r="A554" s="5" t="inlineStr">
        <is>
          <t>01a1212c-a04c-73b8-86cd-3ec1f132f9d6</t>
        </is>
      </c>
      <c r="D554" s="5" t="inlineStr">
        <is>
          <t>01a1212c-4b57-70cf-80fd-c2192cb3bf81</t>
        </is>
      </c>
      <c r="E554" s="4" t="n">
        <v>46304.6242497741</v>
      </c>
      <c r="F554" s="4" t="n">
        <v>46304.62424977419</v>
      </c>
      <c r="G554" t="b">
        <v>1</v>
      </c>
      <c r="I554" t="inlineStr">
        <is>
          <t>AUD</t>
        </is>
      </c>
      <c r="J554" t="n">
        <v>0.077</v>
      </c>
      <c r="K554" s="5" t="inlineStr">
        <is>
          <t>01a1212c-7f61-7533-8196-5477e4952cf6</t>
        </is>
      </c>
      <c r="L554" s="5" t="inlineStr">
        <is>
          <t>01a1212c-a047-707f-a63b-12a2e2f2c961</t>
        </is>
      </c>
      <c r="M554" s="6" t="n">
        <v>45108</v>
      </c>
    </row>
    <row r="555">
      <c r="A555" s="5" t="inlineStr">
        <is>
          <t>01a1212c-a052-728f-8374-2204747c9a93</t>
        </is>
      </c>
      <c r="D555" s="5" t="inlineStr">
        <is>
          <t>01a1212c-4b57-70cf-80fd-c2192cb3bf81</t>
        </is>
      </c>
      <c r="E555" s="4" t="n">
        <v>46304.62424984959</v>
      </c>
      <c r="F555" s="4" t="n">
        <v>46304.62424984968</v>
      </c>
      <c r="G555" t="b">
        <v>1</v>
      </c>
      <c r="I555" t="inlineStr">
        <is>
          <t>AUD</t>
        </is>
      </c>
      <c r="J555" t="n">
        <v>0.1797</v>
      </c>
      <c r="K555" s="5" t="inlineStr">
        <is>
          <t>01a1212c-7f14-75f8-8ffb-196cb0bbed88</t>
        </is>
      </c>
      <c r="L555" s="5" t="inlineStr">
        <is>
          <t>01a1212c-a047-707f-a63b-12a2e2f2c961</t>
        </is>
      </c>
      <c r="M555" s="6" t="n">
        <v>45108</v>
      </c>
    </row>
    <row r="556">
      <c r="A556" s="5" t="inlineStr">
        <is>
          <t>01a1212c-a058-746f-8d5f-95f7c22279e1</t>
        </is>
      </c>
      <c r="D556" s="5" t="inlineStr">
        <is>
          <t>01a1212c-4b57-70cf-80fd-c2192cb3bf81</t>
        </is>
      </c>
      <c r="E556" s="4" t="n">
        <v>46304.62424991943</v>
      </c>
      <c r="F556" s="4" t="n">
        <v>46304.6242499195</v>
      </c>
      <c r="G556" t="b">
        <v>1</v>
      </c>
      <c r="I556" t="inlineStr">
        <is>
          <t>AUD</t>
        </is>
      </c>
      <c r="J556" t="n">
        <v>0.2017</v>
      </c>
      <c r="K556" s="5" t="inlineStr">
        <is>
          <t>01a1212c-7ea6-71ad-9cc5-23cdd231e2ec</t>
        </is>
      </c>
      <c r="L556" s="5" t="inlineStr">
        <is>
          <t>01a1212c-a047-707f-a63b-12a2e2f2c961</t>
        </is>
      </c>
      <c r="M556" s="6" t="n">
        <v>45108</v>
      </c>
    </row>
    <row r="557">
      <c r="A557" s="5" t="inlineStr">
        <is>
          <t>01a1212c-a05f-7406-a479-fae9706fab3d</t>
        </is>
      </c>
      <c r="D557" s="5" t="inlineStr">
        <is>
          <t>01a1212c-4b57-70cf-80fd-c2192cb3bf81</t>
        </is>
      </c>
      <c r="E557" s="4" t="n">
        <v>46304.62424999124</v>
      </c>
      <c r="F557" s="4" t="n">
        <v>46304.62424999132</v>
      </c>
      <c r="G557" t="b">
        <v>1</v>
      </c>
      <c r="I557" t="inlineStr">
        <is>
          <t>AUD</t>
        </is>
      </c>
      <c r="J557" t="n">
        <v>0.4717</v>
      </c>
      <c r="K557" s="5" t="inlineStr">
        <is>
          <t>01a1212c-7e50-73f9-807d-1e47e88c5210</t>
        </is>
      </c>
      <c r="L557" s="5" t="inlineStr">
        <is>
          <t>01a1212c-a047-707f-a63b-12a2e2f2c961</t>
        </is>
      </c>
      <c r="M557" s="6" t="n">
        <v>45108</v>
      </c>
    </row>
    <row r="558">
      <c r="A558" s="5" t="inlineStr">
        <is>
          <t>01a1212c-a065-7077-85db-9d890efcb828</t>
        </is>
      </c>
      <c r="D558" s="5" t="inlineStr">
        <is>
          <t>01a1212c-4b57-70cf-80fd-c2192cb3bf81</t>
        </is>
      </c>
      <c r="E558" s="4" t="n">
        <v>46304.62425006685</v>
      </c>
      <c r="F558" s="4" t="n">
        <v>46304.62425006692</v>
      </c>
      <c r="G558" t="b">
        <v>1</v>
      </c>
      <c r="I558" t="inlineStr">
        <is>
          <t>AUD</t>
        </is>
      </c>
      <c r="J558" t="n">
        <v>0.6</v>
      </c>
      <c r="K558" s="5" t="inlineStr">
        <is>
          <t>01a1212c-7e7b-76c0-818c-fef3acac6fca</t>
        </is>
      </c>
      <c r="L558" s="5" t="inlineStr">
        <is>
          <t>01a1212c-a047-707f-a63b-12a2e2f2c961</t>
        </is>
      </c>
      <c r="M558" s="6" t="n">
        <v>45108</v>
      </c>
    </row>
    <row r="559">
      <c r="A559" s="5" t="inlineStr">
        <is>
          <t>01a1212c-a06b-77f7-9798-9eb3e59ee05d</t>
        </is>
      </c>
      <c r="D559" s="5" t="inlineStr">
        <is>
          <t>01a1212c-4b57-70cf-80fd-c2192cb3bf81</t>
        </is>
      </c>
      <c r="E559" s="4" t="n">
        <v>46304.62425013592</v>
      </c>
      <c r="F559" s="4" t="n">
        <v>46304.624250136</v>
      </c>
      <c r="G559" t="b">
        <v>1</v>
      </c>
      <c r="I559" t="inlineStr">
        <is>
          <t>AUD</t>
        </is>
      </c>
      <c r="J559" t="n">
        <v>0.8250999999999999</v>
      </c>
      <c r="K559" s="5" t="inlineStr">
        <is>
          <t>01a1212c-7dfb-75d7-ba94-122fd9117b76</t>
        </is>
      </c>
      <c r="L559" s="5" t="inlineStr">
        <is>
          <t>01a1212c-a047-707f-a63b-12a2e2f2c961</t>
        </is>
      </c>
      <c r="M559" s="6" t="n">
        <v>45108</v>
      </c>
    </row>
    <row r="560">
      <c r="A560" s="5" t="inlineStr">
        <is>
          <t>01a1212c-a071-711e-bcb6-baaffee4e01a</t>
        </is>
      </c>
      <c r="D560" s="5" t="inlineStr">
        <is>
          <t>01a1212c-4b57-70cf-80fd-c2192cb3bf81</t>
        </is>
      </c>
      <c r="E560" s="4" t="n">
        <v>46304.62425020765</v>
      </c>
      <c r="F560" s="4" t="n">
        <v>46304.62425020774</v>
      </c>
      <c r="G560" t="b">
        <v>1</v>
      </c>
      <c r="I560" t="inlineStr">
        <is>
          <t>AUD</t>
        </is>
      </c>
      <c r="J560" t="n">
        <v>0.8389</v>
      </c>
      <c r="K560" s="5" t="inlineStr">
        <is>
          <t>01a1212c-7619-710a-ac50-f0a300913659</t>
        </is>
      </c>
      <c r="L560" s="5" t="inlineStr">
        <is>
          <t>01a1212c-a047-707f-a63b-12a2e2f2c961</t>
        </is>
      </c>
      <c r="M560" s="6" t="n">
        <v>45108</v>
      </c>
    </row>
    <row r="561">
      <c r="A561" s="5" t="inlineStr">
        <is>
          <t>01a1212c-a079-74a1-96cd-fa6ac96a69b4</t>
        </is>
      </c>
      <c r="D561" s="5" t="inlineStr">
        <is>
          <t>01a1212c-4b57-70cf-80fd-c2192cb3bf81</t>
        </is>
      </c>
      <c r="E561" s="4" t="n">
        <v>46304.62425029492</v>
      </c>
      <c r="F561" s="4" t="n">
        <v>46304.624250295</v>
      </c>
      <c r="G561" t="b">
        <v>1</v>
      </c>
      <c r="I561" t="inlineStr">
        <is>
          <t>AUD</t>
        </is>
      </c>
      <c r="J561" t="n">
        <v>0.8389</v>
      </c>
      <c r="K561" s="5" t="inlineStr">
        <is>
          <t>01a1212c-7817-75d9-9a5e-b7f889797d9e</t>
        </is>
      </c>
      <c r="L561" s="5" t="inlineStr">
        <is>
          <t>01a1212c-a047-707f-a63b-12a2e2f2c961</t>
        </is>
      </c>
      <c r="M561" s="6" t="n">
        <v>45108</v>
      </c>
    </row>
    <row r="562">
      <c r="A562" s="5" t="inlineStr">
        <is>
          <t>01a1212c-a07f-7079-83b4-92aefe438be4</t>
        </is>
      </c>
      <c r="D562" s="5" t="inlineStr">
        <is>
          <t>01a1212c-4b57-70cf-80fd-c2192cb3bf81</t>
        </is>
      </c>
      <c r="E562" s="4" t="n">
        <v>46304.62425036706</v>
      </c>
      <c r="F562" s="4" t="n">
        <v>46304.62425036715</v>
      </c>
      <c r="G562" t="b">
        <v>1</v>
      </c>
      <c r="I562" t="inlineStr">
        <is>
          <t>AUD</t>
        </is>
      </c>
      <c r="J562" t="n">
        <v>0.8389</v>
      </c>
      <c r="K562" s="5" t="inlineStr">
        <is>
          <t>01a1212c-7854-74b3-a940-c0cb4b7760ea</t>
        </is>
      </c>
      <c r="L562" s="5" t="inlineStr">
        <is>
          <t>01a1212c-a047-707f-a63b-12a2e2f2c961</t>
        </is>
      </c>
      <c r="M562" s="6" t="n">
        <v>45108</v>
      </c>
    </row>
    <row r="563">
      <c r="A563" s="5" t="inlineStr">
        <is>
          <t>01a1212c-a086-7724-b5b2-ffa725069ac4</t>
        </is>
      </c>
      <c r="D563" s="5" t="inlineStr">
        <is>
          <t>01a1212c-4b57-70cf-80fd-c2192cb3bf81</t>
        </is>
      </c>
      <c r="E563" s="4" t="n">
        <v>46304.62425044666</v>
      </c>
      <c r="F563" s="4" t="n">
        <v>46304.62425044674</v>
      </c>
      <c r="G563" t="b">
        <v>1</v>
      </c>
      <c r="I563" t="inlineStr">
        <is>
          <t>AUD</t>
        </is>
      </c>
      <c r="J563" t="n">
        <v>0.8631</v>
      </c>
      <c r="K563" s="5" t="inlineStr">
        <is>
          <t>01a1212c-7d33-7324-9c89-c291b3770527</t>
        </is>
      </c>
      <c r="L563" s="5" t="inlineStr">
        <is>
          <t>01a1212c-a047-707f-a63b-12a2e2f2c961</t>
        </is>
      </c>
      <c r="M563" s="6" t="n">
        <v>45108</v>
      </c>
    </row>
    <row r="564">
      <c r="A564" s="5" t="inlineStr">
        <is>
          <t>01a1212c-a08c-776d-8e3d-2e7bc70bae2b</t>
        </is>
      </c>
      <c r="D564" s="5" t="inlineStr">
        <is>
          <t>01a1212c-4b57-70cf-80fd-c2192cb3bf81</t>
        </is>
      </c>
      <c r="E564" s="4" t="n">
        <v>46304.62425051543</v>
      </c>
      <c r="F564" s="4" t="n">
        <v>46304.6242505155</v>
      </c>
      <c r="G564" t="b">
        <v>1</v>
      </c>
      <c r="I564" t="inlineStr">
        <is>
          <t>AUD</t>
        </is>
      </c>
      <c r="J564" t="n">
        <v>1.0066</v>
      </c>
      <c r="K564" s="5" t="inlineStr">
        <is>
          <t>01a1212c-73f1-7653-991a-7a458d0c9e1e</t>
        </is>
      </c>
      <c r="L564" s="5" t="inlineStr">
        <is>
          <t>01a1212c-a047-707f-a63b-12a2e2f2c961</t>
        </is>
      </c>
      <c r="M564" s="6" t="n">
        <v>45108</v>
      </c>
    </row>
    <row r="565">
      <c r="A565" s="5" t="inlineStr">
        <is>
          <t>01a1212c-a092-709e-9512-e2768b7a081a</t>
        </is>
      </c>
      <c r="D565" s="5" t="inlineStr">
        <is>
          <t>01a1212c-4b57-70cf-80fd-c2192cb3bf81</t>
        </is>
      </c>
      <c r="E565" s="4" t="n">
        <v>46304.62425058459</v>
      </c>
      <c r="F565" s="4" t="n">
        <v>46304.62425058469</v>
      </c>
      <c r="G565" t="b">
        <v>1</v>
      </c>
      <c r="I565" t="inlineStr">
        <is>
          <t>AUD</t>
        </is>
      </c>
      <c r="J565" t="n">
        <v>1.0066</v>
      </c>
      <c r="K565" s="5" t="inlineStr">
        <is>
          <t>01a1212c-771e-77a4-9a33-9f68d0a94a62</t>
        </is>
      </c>
      <c r="L565" s="5" t="inlineStr">
        <is>
          <t>01a1212c-a047-707f-a63b-12a2e2f2c961</t>
        </is>
      </c>
      <c r="M565" s="6" t="n">
        <v>45108</v>
      </c>
    </row>
    <row r="566">
      <c r="A566" s="5" t="inlineStr">
        <is>
          <t>01a1212c-a098-7655-9794-d8aed1bcb0c7</t>
        </is>
      </c>
      <c r="D566" s="5" t="inlineStr">
        <is>
          <t>01a1212c-4b57-70cf-80fd-c2192cb3bf81</t>
        </is>
      </c>
      <c r="E566" s="4" t="n">
        <v>46304.62425065509</v>
      </c>
      <c r="F566" s="4" t="n">
        <v>46304.62425065516</v>
      </c>
      <c r="G566" t="b">
        <v>1</v>
      </c>
      <c r="I566" t="inlineStr">
        <is>
          <t>AUD</t>
        </is>
      </c>
      <c r="J566" t="n">
        <v>1.0066</v>
      </c>
      <c r="K566" s="5" t="inlineStr">
        <is>
          <t>01a1212c-7927-7749-86a1-3f74fb7da8c1</t>
        </is>
      </c>
      <c r="L566" s="5" t="inlineStr">
        <is>
          <t>01a1212c-a047-707f-a63b-12a2e2f2c961</t>
        </is>
      </c>
      <c r="M566" s="6" t="n">
        <v>45108</v>
      </c>
    </row>
    <row r="567">
      <c r="A567" s="5" t="inlineStr">
        <is>
          <t>01a1212c-a09e-70fb-b5e8-3c47b717cefb</t>
        </is>
      </c>
      <c r="D567" s="5" t="inlineStr">
        <is>
          <t>01a1212c-4b57-70cf-80fd-c2192cb3bf81</t>
        </is>
      </c>
      <c r="E567" s="4" t="n">
        <v>46304.62425072234</v>
      </c>
      <c r="F567" s="4" t="n">
        <v>46304.62425072241</v>
      </c>
      <c r="G567" t="b">
        <v>1</v>
      </c>
      <c r="I567" t="inlineStr">
        <is>
          <t>AUD</t>
        </is>
      </c>
      <c r="J567" t="n">
        <v>1.1551</v>
      </c>
      <c r="K567" s="5" t="inlineStr">
        <is>
          <t>01a1212c-7db7-7326-bd92-bfd54a0d5780</t>
        </is>
      </c>
      <c r="L567" s="5" t="inlineStr">
        <is>
          <t>01a1212c-a047-707f-a63b-12a2e2f2c961</t>
        </is>
      </c>
      <c r="M567" s="6" t="n">
        <v>45108</v>
      </c>
    </row>
    <row r="568">
      <c r="A568" s="5" t="inlineStr">
        <is>
          <t>01a1212c-a0a4-740c-9e5a-483464dff0ba</t>
        </is>
      </c>
      <c r="D568" s="5" t="inlineStr">
        <is>
          <t>01a1212c-4b57-70cf-80fd-c2192cb3bf81</t>
        </is>
      </c>
      <c r="E568" s="4" t="n">
        <v>46304.62425079647</v>
      </c>
      <c r="F568" s="4" t="n">
        <v>46304.62425079654</v>
      </c>
      <c r="G568" t="b">
        <v>1</v>
      </c>
      <c r="I568" t="inlineStr">
        <is>
          <t>AUD</t>
        </is>
      </c>
      <c r="J568" t="n">
        <v>1.1584</v>
      </c>
      <c r="K568" s="5" t="inlineStr">
        <is>
          <t>01a1212c-7c53-76ef-8d31-2b4e643519d3</t>
        </is>
      </c>
      <c r="L568" s="5" t="inlineStr">
        <is>
          <t>01a1212c-a047-707f-a63b-12a2e2f2c961</t>
        </is>
      </c>
      <c r="M568" s="6" t="n">
        <v>45108</v>
      </c>
    </row>
    <row r="569">
      <c r="A569" s="5" t="inlineStr">
        <is>
          <t>01a1212c-a0aa-7076-9c4b-9a847959832e</t>
        </is>
      </c>
      <c r="D569" s="5" t="inlineStr">
        <is>
          <t>01a1212c-4b57-70cf-80fd-c2192cb3bf81</t>
        </is>
      </c>
      <c r="E569" s="4" t="n">
        <v>46304.62425086141</v>
      </c>
      <c r="F569" s="4" t="n">
        <v>46304.62425086148</v>
      </c>
      <c r="G569" t="b">
        <v>1</v>
      </c>
      <c r="I569" t="inlineStr">
        <is>
          <t>AUD</t>
        </is>
      </c>
      <c r="J569" t="n">
        <v>1.1744</v>
      </c>
      <c r="K569" s="5" t="inlineStr">
        <is>
          <t>01a1212c-72a3-74de-af7e-8c21374ccb8d</t>
        </is>
      </c>
      <c r="L569" s="5" t="inlineStr">
        <is>
          <t>01a1212c-a047-707f-a63b-12a2e2f2c961</t>
        </is>
      </c>
      <c r="M569" s="6" t="n">
        <v>45108</v>
      </c>
    </row>
    <row r="570">
      <c r="A570" s="5" t="inlineStr">
        <is>
          <t>01a1212c-a0b0-7080-a43b-27490f868090</t>
        </is>
      </c>
      <c r="D570" s="5" t="inlineStr">
        <is>
          <t>01a1212c-4b57-70cf-80fd-c2192cb3bf81</t>
        </is>
      </c>
      <c r="E570" s="4" t="n">
        <v>46304.62425092806</v>
      </c>
      <c r="F570" s="4" t="n">
        <v>46304.62425092812</v>
      </c>
      <c r="G570" t="b">
        <v>1</v>
      </c>
      <c r="I570" t="inlineStr">
        <is>
          <t>AUD</t>
        </is>
      </c>
      <c r="J570" t="n">
        <v>1.1744</v>
      </c>
      <c r="K570" s="5" t="inlineStr">
        <is>
          <t>01a1212c-7b69-77a5-b7c2-ac7ba4a3dd3e</t>
        </is>
      </c>
      <c r="L570" s="5" t="inlineStr">
        <is>
          <t>01a1212c-a047-707f-a63b-12a2e2f2c961</t>
        </is>
      </c>
      <c r="M570" s="6" t="n">
        <v>45108</v>
      </c>
    </row>
    <row r="571">
      <c r="A571" s="5" t="inlineStr">
        <is>
          <t>01a1212c-a0b6-7135-b978-29873ce637b9</t>
        </is>
      </c>
      <c r="D571" s="5" t="inlineStr">
        <is>
          <t>01a1212c-4b57-70cf-80fd-c2192cb3bf81</t>
        </is>
      </c>
      <c r="E571" s="4" t="n">
        <v>46304.62425100082</v>
      </c>
      <c r="F571" s="4" t="n">
        <v>46304.62425100089</v>
      </c>
      <c r="G571" t="b">
        <v>1</v>
      </c>
      <c r="I571" t="inlineStr">
        <is>
          <t>AUD</t>
        </is>
      </c>
      <c r="J571" t="n">
        <v>1.3422</v>
      </c>
      <c r="K571" s="5" t="inlineStr">
        <is>
          <t>01a1212c-6d20-73ba-8f87-9892e2e99aec</t>
        </is>
      </c>
      <c r="L571" s="5" t="inlineStr">
        <is>
          <t>01a1212c-a047-707f-a63b-12a2e2f2c961</t>
        </is>
      </c>
      <c r="M571" s="6" t="n">
        <v>45108</v>
      </c>
    </row>
    <row r="572">
      <c r="A572" s="5" t="inlineStr">
        <is>
          <t>01a1212c-a0bc-7327-b558-da92f6fe980b</t>
        </is>
      </c>
      <c r="D572" s="5" t="inlineStr">
        <is>
          <t>01a1212c-4b57-70cf-80fd-c2192cb3bf81</t>
        </is>
      </c>
      <c r="E572" s="4" t="n">
        <v>46304.62425107065</v>
      </c>
      <c r="F572" s="4" t="n">
        <v>46304.62425107071</v>
      </c>
      <c r="G572" t="b">
        <v>1</v>
      </c>
      <c r="I572" t="inlineStr">
        <is>
          <t>AUD</t>
        </is>
      </c>
      <c r="J572" t="n">
        <v>1.3422</v>
      </c>
      <c r="K572" s="5" t="inlineStr">
        <is>
          <t>01a1212c-6f7f-718f-b160-46cb1bfec403</t>
        </is>
      </c>
      <c r="L572" s="5" t="inlineStr">
        <is>
          <t>01a1212c-a047-707f-a63b-12a2e2f2c961</t>
        </is>
      </c>
      <c r="M572" s="6" t="n">
        <v>45108</v>
      </c>
    </row>
    <row r="573">
      <c r="A573" s="5" t="inlineStr">
        <is>
          <t>01a1212c-a0c3-753f-9427-3947033e80c9</t>
        </is>
      </c>
      <c r="D573" s="5" t="inlineStr">
        <is>
          <t>01a1212c-4b57-70cf-80fd-c2192cb3bf81</t>
        </is>
      </c>
      <c r="E573" s="4" t="n">
        <v>46304.62425115099</v>
      </c>
      <c r="F573" s="4" t="n">
        <v>46304.62425115108</v>
      </c>
      <c r="G573" t="b">
        <v>1</v>
      </c>
      <c r="I573" t="inlineStr">
        <is>
          <t>AUD</t>
        </is>
      </c>
      <c r="J573" t="n">
        <v>1.3422</v>
      </c>
      <c r="K573" s="5" t="inlineStr">
        <is>
          <t>01a1212c-6fc2-71f6-890f-f7e761000531</t>
        </is>
      </c>
      <c r="L573" s="5" t="inlineStr">
        <is>
          <t>01a1212c-a047-707f-a63b-12a2e2f2c961</t>
        </is>
      </c>
      <c r="M573" s="6" t="n">
        <v>45108</v>
      </c>
    </row>
    <row r="574">
      <c r="A574" s="5" t="inlineStr">
        <is>
          <t>01a1212c-a0c9-762b-b08d-0a7741e78508</t>
        </is>
      </c>
      <c r="D574" s="5" t="inlineStr">
        <is>
          <t>01a1212c-4b57-70cf-80fd-c2192cb3bf81</t>
        </is>
      </c>
      <c r="E574" s="4" t="n">
        <v>46304.62425121928</v>
      </c>
      <c r="F574" s="4" t="n">
        <v>46304.62425121935</v>
      </c>
      <c r="G574" t="b">
        <v>1</v>
      </c>
      <c r="I574" t="inlineStr">
        <is>
          <t>AUD</t>
        </is>
      </c>
      <c r="J574" t="n">
        <v>1.3422</v>
      </c>
      <c r="K574" s="5" t="inlineStr">
        <is>
          <t>01a1212c-7185-751c-93a4-e2a05054ca75</t>
        </is>
      </c>
      <c r="L574" s="5" t="inlineStr">
        <is>
          <t>01a1212c-a047-707f-a63b-12a2e2f2c961</t>
        </is>
      </c>
      <c r="M574" s="6" t="n">
        <v>45108</v>
      </c>
    </row>
    <row r="575">
      <c r="A575" s="5" t="inlineStr">
        <is>
          <t>01a1212c-a0ce-7492-90df-c48eb11f7167</t>
        </is>
      </c>
      <c r="D575" s="5" t="inlineStr">
        <is>
          <t>01a1212c-4b57-70cf-80fd-c2192cb3bf81</t>
        </is>
      </c>
      <c r="E575" s="4" t="n">
        <v>46304.62425128576</v>
      </c>
      <c r="F575" s="4" t="n">
        <v>46304.62425128583</v>
      </c>
      <c r="G575" t="b">
        <v>1</v>
      </c>
      <c r="I575" t="inlineStr">
        <is>
          <t>AUD</t>
        </is>
      </c>
      <c r="J575" t="n">
        <v>1.3422</v>
      </c>
      <c r="K575" s="5" t="inlineStr">
        <is>
          <t>01a1212c-721a-74d7-b443-6cf4d510dcad</t>
        </is>
      </c>
      <c r="L575" s="5" t="inlineStr">
        <is>
          <t>01a1212c-a047-707f-a63b-12a2e2f2c961</t>
        </is>
      </c>
      <c r="M575" s="6" t="n">
        <v>45108</v>
      </c>
    </row>
    <row r="576">
      <c r="A576" s="5" t="inlineStr">
        <is>
          <t>01a1212c-a0d5-7027-b7cf-f1cda21cb018</t>
        </is>
      </c>
      <c r="D576" s="5" t="inlineStr">
        <is>
          <t>01a1212c-4b57-70cf-80fd-c2192cb3bf81</t>
        </is>
      </c>
      <c r="E576" s="4" t="n">
        <v>46304.62425136384</v>
      </c>
      <c r="F576" s="4" t="n">
        <v>46304.62425136392</v>
      </c>
      <c r="G576" t="b">
        <v>1</v>
      </c>
      <c r="I576" t="inlineStr">
        <is>
          <t>AUD</t>
        </is>
      </c>
      <c r="J576" t="n">
        <v>1.3422</v>
      </c>
      <c r="K576" s="5" t="inlineStr">
        <is>
          <t>01a1212c-7264-75a0-a547-f07a5e635bc6</t>
        </is>
      </c>
      <c r="L576" s="5" t="inlineStr">
        <is>
          <t>01a1212c-a047-707f-a63b-12a2e2f2c961</t>
        </is>
      </c>
      <c r="M576" s="6" t="n">
        <v>45108</v>
      </c>
    </row>
    <row r="577">
      <c r="A577" s="5" t="inlineStr">
        <is>
          <t>01a1212c-a0db-7777-9d9a-53c10eb39381</t>
        </is>
      </c>
      <c r="D577" s="5" t="inlineStr">
        <is>
          <t>01a1212c-4b57-70cf-80fd-c2192cb3bf81</t>
        </is>
      </c>
      <c r="E577" s="4" t="n">
        <v>46304.62425143108</v>
      </c>
      <c r="F577" s="4" t="n">
        <v>46304.62425143115</v>
      </c>
      <c r="G577" t="b">
        <v>1</v>
      </c>
      <c r="I577" t="inlineStr">
        <is>
          <t>AUD</t>
        </is>
      </c>
      <c r="J577" t="n">
        <v>1.3422</v>
      </c>
      <c r="K577" s="5" t="inlineStr">
        <is>
          <t>01a1212c-74a5-7646-bf4b-157c0a1a7665</t>
        </is>
      </c>
      <c r="L577" s="5" t="inlineStr">
        <is>
          <t>01a1212c-a047-707f-a63b-12a2e2f2c961</t>
        </is>
      </c>
      <c r="M577" s="6" t="n">
        <v>45108</v>
      </c>
    </row>
    <row r="578">
      <c r="A578" s="5" t="inlineStr">
        <is>
          <t>01a1212c-a0e1-7043-898f-78b0d741cb9d</t>
        </is>
      </c>
      <c r="D578" s="5" t="inlineStr">
        <is>
          <t>01a1212c-4b57-70cf-80fd-c2192cb3bf81</t>
        </is>
      </c>
      <c r="E578" s="4" t="n">
        <v>46304.62425150043</v>
      </c>
      <c r="F578" s="4" t="n">
        <v>46304.6242515005</v>
      </c>
      <c r="G578" t="b">
        <v>1</v>
      </c>
      <c r="I578" t="inlineStr">
        <is>
          <t>AUD</t>
        </is>
      </c>
      <c r="J578" t="n">
        <v>1.3422</v>
      </c>
      <c r="K578" s="5" t="inlineStr">
        <is>
          <t>01a1212c-7c13-7245-b333-0dfcd00ad20d</t>
        </is>
      </c>
      <c r="L578" s="5" t="inlineStr">
        <is>
          <t>01a1212c-a047-707f-a63b-12a2e2f2c961</t>
        </is>
      </c>
      <c r="M578" s="6" t="n">
        <v>45108</v>
      </c>
    </row>
    <row r="579">
      <c r="A579" s="5" t="inlineStr">
        <is>
          <t>01a1212c-a0e7-77b2-b5e9-2ecbba184ffc</t>
        </is>
      </c>
      <c r="D579" s="5" t="inlineStr">
        <is>
          <t>01a1212c-4b57-70cf-80fd-c2192cb3bf81</t>
        </is>
      </c>
      <c r="E579" s="4" t="n">
        <v>46304.62425157045</v>
      </c>
      <c r="F579" s="4" t="n">
        <v>46304.62425157052</v>
      </c>
      <c r="G579" t="b">
        <v>1</v>
      </c>
      <c r="I579" t="inlineStr">
        <is>
          <t>AUD</t>
        </is>
      </c>
      <c r="J579" t="n">
        <v>1.3798</v>
      </c>
      <c r="K579" s="5" t="inlineStr">
        <is>
          <t>01a1212c-7cc3-710b-ba9e-bdab308c142d</t>
        </is>
      </c>
      <c r="L579" s="5" t="inlineStr">
        <is>
          <t>01a1212c-a047-707f-a63b-12a2e2f2c961</t>
        </is>
      </c>
      <c r="M579" s="6" t="n">
        <v>45108</v>
      </c>
    </row>
    <row r="580">
      <c r="A580" s="5" t="inlineStr">
        <is>
          <t>01a1212c-a0ed-7794-9685-2b4711c2c289</t>
        </is>
      </c>
      <c r="D580" s="5" t="inlineStr">
        <is>
          <t>01a1212c-4b57-70cf-80fd-c2192cb3bf81</t>
        </is>
      </c>
      <c r="E580" s="4" t="n">
        <v>46304.62425163742</v>
      </c>
      <c r="F580" s="4" t="n">
        <v>46304.6242516375</v>
      </c>
      <c r="G580" t="b">
        <v>1</v>
      </c>
      <c r="I580" t="inlineStr">
        <is>
          <t>AUD</t>
        </is>
      </c>
      <c r="J580" t="n">
        <v>1.4421</v>
      </c>
      <c r="K580" s="5" t="inlineStr">
        <is>
          <t>01a1212c-7d76-712c-8870-92d0cd93b8d1</t>
        </is>
      </c>
      <c r="L580" s="5" t="inlineStr">
        <is>
          <t>01a1212c-a047-707f-a63b-12a2e2f2c961</t>
        </is>
      </c>
      <c r="M580" s="6" t="n">
        <v>45108</v>
      </c>
    </row>
    <row r="581">
      <c r="A581" s="5" t="inlineStr">
        <is>
          <t>01a1212c-a0f3-7415-b675-7953c7532350</t>
        </is>
      </c>
      <c r="D581" s="5" t="inlineStr">
        <is>
          <t>01a1212c-4b57-70cf-80fd-c2192cb3bf81</t>
        </is>
      </c>
      <c r="E581" s="4" t="n">
        <v>46304.62425171373</v>
      </c>
      <c r="F581" s="4" t="n">
        <v>46304.62425171381</v>
      </c>
      <c r="G581" t="b">
        <v>1</v>
      </c>
      <c r="I581" t="inlineStr">
        <is>
          <t>AUD</t>
        </is>
      </c>
      <c r="J581" t="n">
        <v>1.5099</v>
      </c>
      <c r="K581" s="5" t="inlineStr">
        <is>
          <t>01a1212c-6ebd-7084-8e12-1c2acb9ea8e3</t>
        </is>
      </c>
      <c r="L581" s="5" t="inlineStr">
        <is>
          <t>01a1212c-a047-707f-a63b-12a2e2f2c961</t>
        </is>
      </c>
      <c r="M581" s="6" t="n">
        <v>45108</v>
      </c>
    </row>
    <row r="582">
      <c r="A582" s="5" t="inlineStr">
        <is>
          <t>01a1212c-a0fa-734e-8bcb-10bf2ca8b32c</t>
        </is>
      </c>
      <c r="D582" s="5" t="inlineStr">
        <is>
          <t>01a1212c-4b57-70cf-80fd-c2192cb3bf81</t>
        </is>
      </c>
      <c r="E582" s="4" t="n">
        <v>46304.62425178548</v>
      </c>
      <c r="F582" s="4" t="n">
        <v>46304.62425178556</v>
      </c>
      <c r="G582" t="b">
        <v>1</v>
      </c>
      <c r="I582" t="inlineStr">
        <is>
          <t>AUD</t>
        </is>
      </c>
      <c r="J582" t="n">
        <v>1.5099</v>
      </c>
      <c r="K582" s="5" t="inlineStr">
        <is>
          <t>01a1212c-74ff-71e8-bddf-7c46f57ce7fb</t>
        </is>
      </c>
      <c r="L582" s="5" t="inlineStr">
        <is>
          <t>01a1212c-a047-707f-a63b-12a2e2f2c961</t>
        </is>
      </c>
      <c r="M582" s="6" t="n">
        <v>45108</v>
      </c>
    </row>
    <row r="583">
      <c r="A583" s="5" t="inlineStr">
        <is>
          <t>01a1212c-a100-77e8-b1a8-b5817fa250ea</t>
        </is>
      </c>
      <c r="D583" s="5" t="inlineStr">
        <is>
          <t>01a1212c-4b57-70cf-80fd-c2192cb3bf81</t>
        </is>
      </c>
      <c r="E583" s="4" t="n">
        <v>46304.62425186317</v>
      </c>
      <c r="F583" s="4" t="n">
        <v>46304.62425186325</v>
      </c>
      <c r="G583" t="b">
        <v>1</v>
      </c>
      <c r="I583" t="inlineStr">
        <is>
          <t>AUD</t>
        </is>
      </c>
      <c r="J583" t="n">
        <v>1.5099</v>
      </c>
      <c r="K583" s="5" t="inlineStr">
        <is>
          <t>01a1212c-7595-7792-8e63-1f39b92bd8b3</t>
        </is>
      </c>
      <c r="L583" s="5" t="inlineStr">
        <is>
          <t>01a1212c-a047-707f-a63b-12a2e2f2c961</t>
        </is>
      </c>
      <c r="M583" s="6" t="n">
        <v>45108</v>
      </c>
    </row>
    <row r="584">
      <c r="A584" s="5" t="inlineStr">
        <is>
          <t>01a1212c-a106-70ad-9ff4-ff6661ecccb4</t>
        </is>
      </c>
      <c r="D584" s="5" t="inlineStr">
        <is>
          <t>01a1212c-4b57-70cf-80fd-c2192cb3bf81</t>
        </is>
      </c>
      <c r="E584" s="4" t="n">
        <v>46304.62425193249</v>
      </c>
      <c r="F584" s="4" t="n">
        <v>46304.62425193256</v>
      </c>
      <c r="G584" t="b">
        <v>1</v>
      </c>
      <c r="I584" t="inlineStr">
        <is>
          <t>AUD</t>
        </is>
      </c>
      <c r="J584" t="n">
        <v>1.5099</v>
      </c>
      <c r="K584" s="5" t="inlineStr">
        <is>
          <t>01a1212c-7687-729c-958e-594416954bfb</t>
        </is>
      </c>
      <c r="L584" s="5" t="inlineStr">
        <is>
          <t>01a1212c-a047-707f-a63b-12a2e2f2c961</t>
        </is>
      </c>
      <c r="M584" s="6" t="n">
        <v>45108</v>
      </c>
    </row>
    <row r="585">
      <c r="A585" s="5" t="inlineStr">
        <is>
          <t>01a1212c-a10c-71a6-84c3-ebe9c6e42f58</t>
        </is>
      </c>
      <c r="D585" s="5" t="inlineStr">
        <is>
          <t>01a1212c-4b57-70cf-80fd-c2192cb3bf81</t>
        </is>
      </c>
      <c r="E585" s="4" t="n">
        <v>46304.6242519997</v>
      </c>
      <c r="F585" s="4" t="n">
        <v>46304.62425199977</v>
      </c>
      <c r="G585" t="b">
        <v>1</v>
      </c>
      <c r="I585" t="inlineStr">
        <is>
          <t>AUD</t>
        </is>
      </c>
      <c r="J585" t="n">
        <v>1.5099</v>
      </c>
      <c r="K585" s="5" t="inlineStr">
        <is>
          <t>01a1212c-76b2-7110-9f65-8f1a317730a7</t>
        </is>
      </c>
      <c r="L585" s="5" t="inlineStr">
        <is>
          <t>01a1212c-a047-707f-a63b-12a2e2f2c961</t>
        </is>
      </c>
      <c r="M585" s="6" t="n">
        <v>45108</v>
      </c>
    </row>
    <row r="586">
      <c r="A586" s="5" t="inlineStr">
        <is>
          <t>01a1212c-a113-716d-a26f-a3c6c0e3e36f</t>
        </is>
      </c>
      <c r="D586" s="5" t="inlineStr">
        <is>
          <t>01a1212c-4b57-70cf-80fd-c2192cb3bf81</t>
        </is>
      </c>
      <c r="E586" s="4" t="n">
        <v>46304.62425207373</v>
      </c>
      <c r="F586" s="4" t="n">
        <v>46304.62425207379</v>
      </c>
      <c r="G586" t="b">
        <v>1</v>
      </c>
      <c r="I586" t="inlineStr">
        <is>
          <t>AUD</t>
        </is>
      </c>
      <c r="J586" t="n">
        <v>1.5099</v>
      </c>
      <c r="K586" s="5" t="inlineStr">
        <is>
          <t>01a1212c-77bd-7567-8b73-2fb2ee41285a</t>
        </is>
      </c>
      <c r="L586" s="5" t="inlineStr">
        <is>
          <t>01a1212c-a047-707f-a63b-12a2e2f2c961</t>
        </is>
      </c>
      <c r="M586" s="6" t="n">
        <v>45108</v>
      </c>
    </row>
    <row r="587">
      <c r="A587" s="5" t="inlineStr">
        <is>
          <t>01a1212c-a119-771a-af49-9cc249ad7334</t>
        </is>
      </c>
      <c r="D587" s="5" t="inlineStr">
        <is>
          <t>01a1212c-4b57-70cf-80fd-c2192cb3bf81</t>
        </is>
      </c>
      <c r="E587" s="4" t="n">
        <v>46304.62425215124</v>
      </c>
      <c r="F587" s="4" t="n">
        <v>46304.6242521513</v>
      </c>
      <c r="G587" t="b">
        <v>1</v>
      </c>
      <c r="I587" t="inlineStr">
        <is>
          <t>AUD</t>
        </is>
      </c>
      <c r="J587" t="n">
        <v>1.5099</v>
      </c>
      <c r="K587" s="5" t="inlineStr">
        <is>
          <t>01a1212c-7896-7021-a40c-f16a939ea185</t>
        </is>
      </c>
      <c r="L587" s="5" t="inlineStr">
        <is>
          <t>01a1212c-a047-707f-a63b-12a2e2f2c961</t>
        </is>
      </c>
      <c r="M587" s="6" t="n">
        <v>45108</v>
      </c>
    </row>
    <row r="588">
      <c r="A588" s="5" t="inlineStr">
        <is>
          <t>01a1212c-a11f-71dd-a91a-59ba6b017712</t>
        </is>
      </c>
      <c r="D588" s="5" t="inlineStr">
        <is>
          <t>01a1212c-4b57-70cf-80fd-c2192cb3bf81</t>
        </is>
      </c>
      <c r="E588" s="4" t="n">
        <v>46304.62425221815</v>
      </c>
      <c r="F588" s="4" t="n">
        <v>46304.62425221821</v>
      </c>
      <c r="G588" t="b">
        <v>1</v>
      </c>
      <c r="I588" t="inlineStr">
        <is>
          <t>AUD</t>
        </is>
      </c>
      <c r="J588" t="n">
        <v>1.5099</v>
      </c>
      <c r="K588" s="5" t="inlineStr">
        <is>
          <t>01a1212c-78d8-7094-b299-94255bf82783</t>
        </is>
      </c>
      <c r="L588" s="5" t="inlineStr">
        <is>
          <t>01a1212c-a047-707f-a63b-12a2e2f2c961</t>
        </is>
      </c>
      <c r="M588" s="6" t="n">
        <v>45108</v>
      </c>
    </row>
    <row r="589">
      <c r="A589" s="5" t="inlineStr">
        <is>
          <t>01a1212c-a125-7775-a32f-2c9de0e8a968</t>
        </is>
      </c>
      <c r="D589" s="5" t="inlineStr">
        <is>
          <t>01a1212c-4b57-70cf-80fd-c2192cb3bf81</t>
        </is>
      </c>
      <c r="E589" s="4" t="n">
        <v>46304.62425228924</v>
      </c>
      <c r="F589" s="4" t="n">
        <v>46304.62425228931</v>
      </c>
      <c r="G589" t="b">
        <v>1</v>
      </c>
      <c r="I589" t="inlineStr">
        <is>
          <t>AUD</t>
        </is>
      </c>
      <c r="J589" t="n">
        <v>1.5099</v>
      </c>
      <c r="K589" s="5" t="inlineStr">
        <is>
          <t>01a1212c-79c9-719a-aeaf-8f1b35c3d703</t>
        </is>
      </c>
      <c r="L589" s="5" t="inlineStr">
        <is>
          <t>01a1212c-a047-707f-a63b-12a2e2f2c961</t>
        </is>
      </c>
      <c r="M589" s="6" t="n">
        <v>45108</v>
      </c>
    </row>
    <row r="590">
      <c r="A590" s="5" t="inlineStr">
        <is>
          <t>01a1212c-a12b-7230-96b8-a7ef5257125c</t>
        </is>
      </c>
      <c r="D590" s="5" t="inlineStr">
        <is>
          <t>01a1212c-4b57-70cf-80fd-c2192cb3bf81</t>
        </is>
      </c>
      <c r="E590" s="4" t="n">
        <v>46304.62425235631</v>
      </c>
      <c r="F590" s="4" t="n">
        <v>46304.62425235638</v>
      </c>
      <c r="G590" t="b">
        <v>1</v>
      </c>
      <c r="I590" t="inlineStr">
        <is>
          <t>AUD</t>
        </is>
      </c>
      <c r="J590" t="n">
        <v>1.5099</v>
      </c>
      <c r="K590" s="5" t="inlineStr">
        <is>
          <t>01a1212c-7a4e-776c-9c69-14ee09adb482</t>
        </is>
      </c>
      <c r="L590" s="5" t="inlineStr">
        <is>
          <t>01a1212c-a047-707f-a63b-12a2e2f2c961</t>
        </is>
      </c>
      <c r="M590" s="6" t="n">
        <v>45108</v>
      </c>
    </row>
    <row r="591">
      <c r="A591" s="5" t="inlineStr">
        <is>
          <t>01a1212c-a131-7445-abd3-28a577b08ce1</t>
        </is>
      </c>
      <c r="D591" s="5" t="inlineStr">
        <is>
          <t>01a1212c-4b57-70cf-80fd-c2192cb3bf81</t>
        </is>
      </c>
      <c r="E591" s="4" t="n">
        <v>46304.62425242347</v>
      </c>
      <c r="F591" s="4" t="n">
        <v>46304.62425242356</v>
      </c>
      <c r="G591" t="b">
        <v>1</v>
      </c>
      <c r="I591" t="inlineStr">
        <is>
          <t>AUD</t>
        </is>
      </c>
      <c r="J591" t="n">
        <v>1.5099</v>
      </c>
      <c r="K591" s="5" t="inlineStr">
        <is>
          <t>01a1212c-7aba-773f-8933-d95c0c800623</t>
        </is>
      </c>
      <c r="L591" s="5" t="inlineStr">
        <is>
          <t>01a1212c-a047-707f-a63b-12a2e2f2c961</t>
        </is>
      </c>
      <c r="M591" s="6" t="n">
        <v>45108</v>
      </c>
    </row>
    <row r="592">
      <c r="A592" s="5" t="inlineStr">
        <is>
          <t>01a1212c-a137-76fb-a684-a03329b9e58e</t>
        </is>
      </c>
      <c r="D592" s="5" t="inlineStr">
        <is>
          <t>01a1212c-4b57-70cf-80fd-c2192cb3bf81</t>
        </is>
      </c>
      <c r="E592" s="4" t="n">
        <v>46304.6242525005</v>
      </c>
      <c r="F592" s="4" t="n">
        <v>46304.62425250057</v>
      </c>
      <c r="G592" t="b">
        <v>1</v>
      </c>
      <c r="I592" t="inlineStr">
        <is>
          <t>AUD</t>
        </is>
      </c>
      <c r="J592" t="n">
        <v>1.5099</v>
      </c>
      <c r="K592" s="5" t="inlineStr">
        <is>
          <t>01a1212c-7ae6-75b8-ad0a-3ca0ce21f21f</t>
        </is>
      </c>
      <c r="L592" s="5" t="inlineStr">
        <is>
          <t>01a1212c-a047-707f-a63b-12a2e2f2c961</t>
        </is>
      </c>
      <c r="M592" s="6" t="n">
        <v>45108</v>
      </c>
    </row>
    <row r="593">
      <c r="A593" s="5" t="inlineStr">
        <is>
          <t>01a1212c-a13d-73a4-a000-3869771ada48</t>
        </is>
      </c>
      <c r="D593" s="5" t="inlineStr">
        <is>
          <t>01a1212c-4b57-70cf-80fd-c2192cb3bf81</t>
        </is>
      </c>
      <c r="E593" s="4" t="n">
        <v>46304.62425256756</v>
      </c>
      <c r="F593" s="4" t="n">
        <v>46304.62425256764</v>
      </c>
      <c r="G593" t="b">
        <v>1</v>
      </c>
      <c r="I593" t="inlineStr">
        <is>
          <t>AUD</t>
        </is>
      </c>
      <c r="J593" t="n">
        <v>1.5219</v>
      </c>
      <c r="K593" s="5" t="inlineStr">
        <is>
          <t>01a1212c-7c7d-7144-a080-456c2a726f23</t>
        </is>
      </c>
      <c r="L593" s="5" t="inlineStr">
        <is>
          <t>01a1212c-a047-707f-a63b-12a2e2f2c961</t>
        </is>
      </c>
      <c r="M593" s="6" t="n">
        <v>45108</v>
      </c>
    </row>
    <row r="594">
      <c r="A594" s="5" t="inlineStr">
        <is>
          <t>01a1212c-a143-70e9-995c-6b15510f438b</t>
        </is>
      </c>
      <c r="D594" s="5" t="inlineStr">
        <is>
          <t>01a1212c-4b57-70cf-80fd-c2192cb3bf81</t>
        </is>
      </c>
      <c r="E594" s="4" t="n">
        <v>46304.62425263735</v>
      </c>
      <c r="F594" s="4" t="n">
        <v>46304.62425263742</v>
      </c>
      <c r="G594" t="b">
        <v>1</v>
      </c>
      <c r="I594" t="inlineStr">
        <is>
          <t>AUD</t>
        </is>
      </c>
      <c r="J594" t="n">
        <v>1.6777</v>
      </c>
      <c r="K594" s="5" t="inlineStr">
        <is>
          <t>01a1212c-6db6-75c6-a15a-3893db0236e1</t>
        </is>
      </c>
      <c r="L594" s="5" t="inlineStr">
        <is>
          <t>01a1212c-a047-707f-a63b-12a2e2f2c961</t>
        </is>
      </c>
      <c r="M594" s="6" t="n">
        <v>45108</v>
      </c>
    </row>
    <row r="595">
      <c r="A595" s="5" t="inlineStr">
        <is>
          <t>01a1212c-a149-74eb-9ab7-9191ff340eb2</t>
        </is>
      </c>
      <c r="D595" s="5" t="inlineStr">
        <is>
          <t>01a1212c-4b57-70cf-80fd-c2192cb3bf81</t>
        </is>
      </c>
      <c r="E595" s="4" t="n">
        <v>46304.62425270808</v>
      </c>
      <c r="F595" s="4" t="n">
        <v>46304.62425270815</v>
      </c>
      <c r="G595" t="b">
        <v>1</v>
      </c>
      <c r="I595" t="inlineStr">
        <is>
          <t>AUD</t>
        </is>
      </c>
      <c r="J595" t="n">
        <v>1.6777</v>
      </c>
      <c r="K595" s="5" t="inlineStr">
        <is>
          <t>01a1212c-7066-75c9-8133-7c1e7c12164e</t>
        </is>
      </c>
      <c r="L595" s="5" t="inlineStr">
        <is>
          <t>01a1212c-a047-707f-a63b-12a2e2f2c961</t>
        </is>
      </c>
      <c r="M595" s="6" t="n">
        <v>45108</v>
      </c>
    </row>
    <row r="596">
      <c r="A596" s="5" t="inlineStr">
        <is>
          <t>01a1212c-a153-7017-9ebd-6949179cf1ac</t>
        </is>
      </c>
      <c r="D596" s="5" t="inlineStr">
        <is>
          <t>01a1212c-4b57-70cf-80fd-c2192cb3bf81</t>
        </is>
      </c>
      <c r="E596" s="4" t="n">
        <v>46304.62425281444</v>
      </c>
      <c r="F596" s="4" t="n">
        <v>46304.62425281457</v>
      </c>
      <c r="G596" t="b">
        <v>1</v>
      </c>
      <c r="I596" t="inlineStr">
        <is>
          <t>AUD</t>
        </is>
      </c>
      <c r="J596" t="n">
        <v>1.6777</v>
      </c>
      <c r="K596" s="5" t="inlineStr">
        <is>
          <t>01a1212c-7142-74d1-a420-87616f78ba3b</t>
        </is>
      </c>
      <c r="L596" s="5" t="inlineStr">
        <is>
          <t>01a1212c-a047-707f-a63b-12a2e2f2c961</t>
        </is>
      </c>
      <c r="M596" s="6" t="n">
        <v>45108</v>
      </c>
    </row>
    <row r="597">
      <c r="A597" s="5" t="inlineStr">
        <is>
          <t>01a1212c-a15c-7401-a437-83156662360b</t>
        </is>
      </c>
      <c r="D597" s="5" t="inlineStr">
        <is>
          <t>01a1212c-4b57-70cf-80fd-c2192cb3bf81</t>
        </is>
      </c>
      <c r="E597" s="4" t="n">
        <v>46304.62425292582</v>
      </c>
      <c r="F597" s="4" t="n">
        <v>46304.6242529259</v>
      </c>
      <c r="G597" t="b">
        <v>1</v>
      </c>
      <c r="I597" t="inlineStr">
        <is>
          <t>AUD</t>
        </is>
      </c>
      <c r="J597" t="n">
        <v>1.6777</v>
      </c>
      <c r="K597" s="5" t="inlineStr">
        <is>
          <t>01a1212c-7568-7011-9b33-32dc2471f741</t>
        </is>
      </c>
      <c r="L597" s="5" t="inlineStr">
        <is>
          <t>01a1212c-a047-707f-a63b-12a2e2f2c961</t>
        </is>
      </c>
      <c r="M597" s="6" t="n">
        <v>45108</v>
      </c>
    </row>
    <row r="598">
      <c r="A598" s="5" t="inlineStr">
        <is>
          <t>01a1212c-a164-7388-add2-33ebcbdd92e8</t>
        </is>
      </c>
      <c r="D598" s="5" t="inlineStr">
        <is>
          <t>01a1212c-4b57-70cf-80fd-c2192cb3bf81</t>
        </is>
      </c>
      <c r="E598" s="4" t="n">
        <v>46304.62425301588</v>
      </c>
      <c r="F598" s="4" t="n">
        <v>46304.62425301595</v>
      </c>
      <c r="G598" t="b">
        <v>1</v>
      </c>
      <c r="I598" t="inlineStr">
        <is>
          <t>AUD</t>
        </is>
      </c>
      <c r="J598" t="n">
        <v>1.6777</v>
      </c>
      <c r="K598" s="5" t="inlineStr">
        <is>
          <t>01a1212c-7763-764e-af0c-10fe2c5a19d7</t>
        </is>
      </c>
      <c r="L598" s="5" t="inlineStr">
        <is>
          <t>01a1212c-a047-707f-a63b-12a2e2f2c961</t>
        </is>
      </c>
      <c r="M598" s="6" t="n">
        <v>45108</v>
      </c>
    </row>
    <row r="599">
      <c r="A599" s="5" t="inlineStr">
        <is>
          <t>01a1212c-a16a-77f5-901d-d528bb5cc234</t>
        </is>
      </c>
      <c r="D599" s="5" t="inlineStr">
        <is>
          <t>01a1212c-4b57-70cf-80fd-c2192cb3bf81</t>
        </is>
      </c>
      <c r="E599" s="4" t="n">
        <v>46304.62425308811</v>
      </c>
      <c r="F599" s="4" t="n">
        <v>46304.62425308819</v>
      </c>
      <c r="G599" t="b">
        <v>1</v>
      </c>
      <c r="I599" t="inlineStr">
        <is>
          <t>AUD</t>
        </is>
      </c>
      <c r="J599" t="n">
        <v>1.6777</v>
      </c>
      <c r="K599" s="5" t="inlineStr">
        <is>
          <t>01a1212c-7bab-728a-9e77-14d2820bca2b</t>
        </is>
      </c>
      <c r="L599" s="5" t="inlineStr">
        <is>
          <t>01a1212c-a047-707f-a63b-12a2e2f2c961</t>
        </is>
      </c>
      <c r="M599" s="6" t="n">
        <v>45108</v>
      </c>
    </row>
    <row r="600">
      <c r="A600" s="5" t="inlineStr">
        <is>
          <t>01a1212c-a170-7643-aa78-232903441f1c</t>
        </is>
      </c>
      <c r="D600" s="5" t="inlineStr">
        <is>
          <t>01a1212c-4b57-70cf-80fd-c2192cb3bf81</t>
        </is>
      </c>
      <c r="E600" s="4" t="n">
        <v>46304.6242531569</v>
      </c>
      <c r="F600" s="4" t="n">
        <v>46304.62425315697</v>
      </c>
      <c r="G600" t="b">
        <v>1</v>
      </c>
      <c r="I600" t="inlineStr">
        <is>
          <t>AUD</t>
        </is>
      </c>
      <c r="J600" t="n">
        <v>2.0133</v>
      </c>
      <c r="K600" s="5" t="inlineStr">
        <is>
          <t>01a1212c-6e0b-74a6-b1c4-92fd51554f70</t>
        </is>
      </c>
      <c r="L600" s="5" t="inlineStr">
        <is>
          <t>01a1212c-a047-707f-a63b-12a2e2f2c961</t>
        </is>
      </c>
      <c r="M600" s="6" t="n">
        <v>45108</v>
      </c>
    </row>
    <row r="601">
      <c r="A601" s="5" t="inlineStr">
        <is>
          <t>01a1212c-a176-7574-85ed-3d749ddcc4a1</t>
        </is>
      </c>
      <c r="D601" s="5" t="inlineStr">
        <is>
          <t>01a1212c-4b57-70cf-80fd-c2192cb3bf81</t>
        </is>
      </c>
      <c r="E601" s="4" t="n">
        <v>46304.62425322412</v>
      </c>
      <c r="F601" s="4" t="n">
        <v>46304.62425322418</v>
      </c>
      <c r="G601" t="b">
        <v>1</v>
      </c>
      <c r="I601" t="inlineStr">
        <is>
          <t>AUD</t>
        </is>
      </c>
      <c r="J601" t="n">
        <v>2.0133</v>
      </c>
      <c r="K601" s="5" t="inlineStr">
        <is>
          <t>01a1212c-7b10-774c-b58c-697160097ba7</t>
        </is>
      </c>
      <c r="L601" s="5" t="inlineStr">
        <is>
          <t>01a1212c-a047-707f-a63b-12a2e2f2c961</t>
        </is>
      </c>
      <c r="M601" s="6" t="n">
        <v>45108</v>
      </c>
    </row>
    <row r="602">
      <c r="A602" s="5" t="inlineStr">
        <is>
          <t>01a1212c-a17c-76b2-a34b-c66ad9291763</t>
        </is>
      </c>
      <c r="D602" s="5" t="inlineStr">
        <is>
          <t>01a1212c-4b57-70cf-80fd-c2192cb3bf81</t>
        </is>
      </c>
      <c r="E602" s="4" t="n">
        <v>46304.62425329549</v>
      </c>
      <c r="F602" s="4" t="n">
        <v>46304.62425329556</v>
      </c>
      <c r="G602" t="b">
        <v>1</v>
      </c>
      <c r="I602" t="inlineStr">
        <is>
          <t>AUD</t>
        </is>
      </c>
      <c r="J602" t="n">
        <v>2.181</v>
      </c>
      <c r="K602" s="5" t="inlineStr">
        <is>
          <t>01a1212c-6d76-76a9-b3fa-2e49f1ec83bd</t>
        </is>
      </c>
      <c r="L602" s="5" t="inlineStr">
        <is>
          <t>01a1212c-a047-707f-a63b-12a2e2f2c961</t>
        </is>
      </c>
      <c r="M602" s="6" t="n">
        <v>45108</v>
      </c>
    </row>
    <row r="603">
      <c r="A603" s="5" t="inlineStr">
        <is>
          <t>01a1212c-a182-73eb-bcbd-164eea37adaf</t>
        </is>
      </c>
      <c r="D603" s="5" t="inlineStr">
        <is>
          <t>01a1212c-4b57-70cf-80fd-c2192cb3bf81</t>
        </is>
      </c>
      <c r="E603" s="4" t="n">
        <v>46304.62425336256</v>
      </c>
      <c r="F603" s="4" t="n">
        <v>46304.62425336263</v>
      </c>
      <c r="G603" t="b">
        <v>1</v>
      </c>
      <c r="I603" t="inlineStr">
        <is>
          <t>AUD</t>
        </is>
      </c>
      <c r="J603" t="n">
        <v>2.181</v>
      </c>
      <c r="K603" s="5" t="inlineStr">
        <is>
          <t>01a1212c-6efd-73be-a0d7-c82e3f8af4ac</t>
        </is>
      </c>
      <c r="L603" s="5" t="inlineStr">
        <is>
          <t>01a1212c-a047-707f-a63b-12a2e2f2c961</t>
        </is>
      </c>
      <c r="M603" s="6" t="n">
        <v>45108</v>
      </c>
    </row>
    <row r="604">
      <c r="A604" s="5" t="inlineStr">
        <is>
          <t>01a1212c-a189-77bb-870e-b95d5dca4e23</t>
        </is>
      </c>
      <c r="D604" s="5" t="inlineStr">
        <is>
          <t>01a1212c-4b57-70cf-80fd-c2192cb3bf81</t>
        </is>
      </c>
      <c r="E604" s="4" t="n">
        <v>46304.62425343875</v>
      </c>
      <c r="F604" s="4" t="n">
        <v>46304.62425343883</v>
      </c>
      <c r="G604" t="b">
        <v>1</v>
      </c>
      <c r="I604" t="inlineStr">
        <is>
          <t>AUD</t>
        </is>
      </c>
      <c r="J604" t="n">
        <v>2.181</v>
      </c>
      <c r="K604" s="5" t="inlineStr">
        <is>
          <t>01a1212c-70d6-7608-9b7d-a9f3b20fcd42</t>
        </is>
      </c>
      <c r="L604" s="5" t="inlineStr">
        <is>
          <t>01a1212c-a047-707f-a63b-12a2e2f2c961</t>
        </is>
      </c>
      <c r="M604" s="6" t="n">
        <v>45108</v>
      </c>
    </row>
    <row r="605">
      <c r="A605" s="5" t="inlineStr">
        <is>
          <t>01a1212c-a190-76a8-8cd7-6f7678d37300</t>
        </is>
      </c>
      <c r="D605" s="5" t="inlineStr">
        <is>
          <t>01a1212c-4b57-70cf-80fd-c2192cb3bf81</t>
        </is>
      </c>
      <c r="E605" s="4" t="n">
        <v>46304.62425352276</v>
      </c>
      <c r="F605" s="4" t="n">
        <v>46304.62425352282</v>
      </c>
      <c r="G605" t="b">
        <v>1</v>
      </c>
      <c r="I605" t="inlineStr">
        <is>
          <t>AUD</t>
        </is>
      </c>
      <c r="J605" t="n">
        <v>2.181</v>
      </c>
      <c r="K605" s="5" t="inlineStr">
        <is>
          <t>01a1212c-7102-774f-b90a-23a16e3eac92</t>
        </is>
      </c>
      <c r="L605" s="5" t="inlineStr">
        <is>
          <t>01a1212c-a047-707f-a63b-12a2e2f2c961</t>
        </is>
      </c>
      <c r="M605" s="6" t="n">
        <v>45108</v>
      </c>
    </row>
    <row r="606">
      <c r="A606" s="5" t="inlineStr">
        <is>
          <t>01a1212c-a196-774d-8765-e2efd4699bc2</t>
        </is>
      </c>
      <c r="D606" s="5" t="inlineStr">
        <is>
          <t>01a1212c-4b57-70cf-80fd-c2192cb3bf81</t>
        </is>
      </c>
      <c r="E606" s="4" t="n">
        <v>46304.6242535949</v>
      </c>
      <c r="F606" s="4" t="n">
        <v>46304.62425359496</v>
      </c>
      <c r="G606" t="b">
        <v>1</v>
      </c>
      <c r="I606" t="inlineStr">
        <is>
          <t>AUD</t>
        </is>
      </c>
      <c r="J606" t="n">
        <v>2.181</v>
      </c>
      <c r="K606" s="5" t="inlineStr">
        <is>
          <t>01a1212c-72fa-746a-b6d8-923ee91edd31</t>
        </is>
      </c>
      <c r="L606" s="5" t="inlineStr">
        <is>
          <t>01a1212c-a047-707f-a63b-12a2e2f2c961</t>
        </is>
      </c>
      <c r="M606" s="6" t="n">
        <v>45108</v>
      </c>
    </row>
    <row r="607">
      <c r="A607" s="5" t="inlineStr">
        <is>
          <t>01a1212c-a19d-705c-8994-d131f3050d7a</t>
        </is>
      </c>
      <c r="D607" s="5" t="inlineStr">
        <is>
          <t>01a1212c-4b57-70cf-80fd-c2192cb3bf81</t>
        </is>
      </c>
      <c r="E607" s="4" t="n">
        <v>46304.62425367051</v>
      </c>
      <c r="F607" s="4" t="n">
        <v>46304.6242536706</v>
      </c>
      <c r="G607" t="b">
        <v>1</v>
      </c>
      <c r="I607" t="inlineStr">
        <is>
          <t>AUD</t>
        </is>
      </c>
      <c r="J607" t="n">
        <v>2.181</v>
      </c>
      <c r="K607" s="5" t="inlineStr">
        <is>
          <t>01a1212c-7327-74d8-96b9-c942c63d839c</t>
        </is>
      </c>
      <c r="L607" s="5" t="inlineStr">
        <is>
          <t>01a1212c-a047-707f-a63b-12a2e2f2c961</t>
        </is>
      </c>
      <c r="M607" s="6" t="n">
        <v>45108</v>
      </c>
    </row>
    <row r="608">
      <c r="A608" s="5" t="inlineStr">
        <is>
          <t>01a1212c-a1a3-74a1-bdb7-7f2959d559e3</t>
        </is>
      </c>
      <c r="D608" s="5" t="inlineStr">
        <is>
          <t>01a1212c-4b57-70cf-80fd-c2192cb3bf81</t>
        </is>
      </c>
      <c r="E608" s="4" t="n">
        <v>46304.62425374411</v>
      </c>
      <c r="F608" s="4" t="n">
        <v>46304.62425374418</v>
      </c>
      <c r="G608" t="b">
        <v>1</v>
      </c>
      <c r="I608" t="inlineStr">
        <is>
          <t>AUD</t>
        </is>
      </c>
      <c r="J608" t="n">
        <v>2.181</v>
      </c>
      <c r="K608" s="5" t="inlineStr">
        <is>
          <t>01a1212c-7381-769a-8076-e7b050fbdfd3</t>
        </is>
      </c>
      <c r="L608" s="5" t="inlineStr">
        <is>
          <t>01a1212c-a047-707f-a63b-12a2e2f2c961</t>
        </is>
      </c>
      <c r="M608" s="6" t="n">
        <v>45108</v>
      </c>
    </row>
    <row r="609">
      <c r="A609" s="5" t="inlineStr">
        <is>
          <t>01a1212c-a1a9-73a5-ad31-d748f25f59da</t>
        </is>
      </c>
      <c r="D609" s="5" t="inlineStr">
        <is>
          <t>01a1212c-4b57-70cf-80fd-c2192cb3bf81</t>
        </is>
      </c>
      <c r="E609" s="4" t="n">
        <v>46304.6242538106</v>
      </c>
      <c r="F609" s="4" t="n">
        <v>46304.62425381067</v>
      </c>
      <c r="G609" t="b">
        <v>1</v>
      </c>
      <c r="I609" t="inlineStr">
        <is>
          <t>AUD</t>
        </is>
      </c>
      <c r="J609" t="n">
        <v>2.181</v>
      </c>
      <c r="K609" s="5" t="inlineStr">
        <is>
          <t>01a1212c-74d0-7378-b4d7-9789d59f4dc6</t>
        </is>
      </c>
      <c r="L609" s="5" t="inlineStr">
        <is>
          <t>01a1212c-a047-707f-a63b-12a2e2f2c961</t>
        </is>
      </c>
      <c r="M609" s="6" t="n">
        <v>45108</v>
      </c>
    </row>
    <row r="610">
      <c r="A610" s="5" t="inlineStr">
        <is>
          <t>01a1212c-a1af-7206-a686-89a4b3fe90da</t>
        </is>
      </c>
      <c r="D610" s="5" t="inlineStr">
        <is>
          <t>01a1212c-4b57-70cf-80fd-c2192cb3bf81</t>
        </is>
      </c>
      <c r="E610" s="4" t="n">
        <v>46304.62425387988</v>
      </c>
      <c r="F610" s="4" t="n">
        <v>46304.62425387996</v>
      </c>
      <c r="G610" t="b">
        <v>1</v>
      </c>
      <c r="I610" t="inlineStr">
        <is>
          <t>AUD</t>
        </is>
      </c>
      <c r="J610" t="n">
        <v>2.181</v>
      </c>
      <c r="K610" s="5" t="inlineStr">
        <is>
          <t>01a1212c-752a-73d9-a17f-d259f6529c46</t>
        </is>
      </c>
      <c r="L610" s="5" t="inlineStr">
        <is>
          <t>01a1212c-a047-707f-a63b-12a2e2f2c961</t>
        </is>
      </c>
      <c r="M610" s="6" t="n">
        <v>45108</v>
      </c>
    </row>
    <row r="611">
      <c r="A611" s="5" t="inlineStr">
        <is>
          <t>01a1212c-a1b5-7103-9737-5cf7df67517f</t>
        </is>
      </c>
      <c r="D611" s="5" t="inlineStr">
        <is>
          <t>01a1212c-4b57-70cf-80fd-c2192cb3bf81</t>
        </is>
      </c>
      <c r="E611" s="4" t="n">
        <v>46304.62425395927</v>
      </c>
      <c r="F611" s="4" t="n">
        <v>46304.62425395934</v>
      </c>
      <c r="G611" t="b">
        <v>1</v>
      </c>
      <c r="I611" t="inlineStr">
        <is>
          <t>AUD</t>
        </is>
      </c>
      <c r="J611" t="n">
        <v>2.181</v>
      </c>
      <c r="K611" s="5" t="inlineStr">
        <is>
          <t>01a1212c-75d7-729a-8044-f297ce4ce9a3</t>
        </is>
      </c>
      <c r="L611" s="5" t="inlineStr">
        <is>
          <t>01a1212c-a047-707f-a63b-12a2e2f2c961</t>
        </is>
      </c>
      <c r="M611" s="6" t="n">
        <v>45108</v>
      </c>
    </row>
    <row r="612">
      <c r="A612" s="5" t="inlineStr">
        <is>
          <t>01a1212c-a1bc-73db-878f-6a0d3f30c918</t>
        </is>
      </c>
      <c r="D612" s="5" t="inlineStr">
        <is>
          <t>01a1212c-4b57-70cf-80fd-c2192cb3bf81</t>
        </is>
      </c>
      <c r="E612" s="4" t="n">
        <v>46304.62425403178</v>
      </c>
      <c r="F612" s="4" t="n">
        <v>46304.62425403185</v>
      </c>
      <c r="G612" t="b">
        <v>1</v>
      </c>
      <c r="I612" t="inlineStr">
        <is>
          <t>AUD</t>
        </is>
      </c>
      <c r="J612" t="n">
        <v>2.181</v>
      </c>
      <c r="K612" s="5" t="inlineStr">
        <is>
          <t>01a1212c-7645-77ff-9286-d1f48bd9680e</t>
        </is>
      </c>
      <c r="L612" s="5" t="inlineStr">
        <is>
          <t>01a1212c-a047-707f-a63b-12a2e2f2c961</t>
        </is>
      </c>
      <c r="M612" s="6" t="n">
        <v>45108</v>
      </c>
    </row>
    <row r="613">
      <c r="A613" s="5" t="inlineStr">
        <is>
          <t>01a1212c-a1c2-7328-a05c-643aa0e3c6a9</t>
        </is>
      </c>
      <c r="D613" s="5" t="inlineStr">
        <is>
          <t>01a1212c-4b57-70cf-80fd-c2192cb3bf81</t>
        </is>
      </c>
      <c r="E613" s="4" t="n">
        <v>46304.62425409938</v>
      </c>
      <c r="F613" s="4" t="n">
        <v>46304.62425409946</v>
      </c>
      <c r="G613" t="b">
        <v>1</v>
      </c>
      <c r="I613" t="inlineStr">
        <is>
          <t>AUD</t>
        </is>
      </c>
      <c r="J613" t="n">
        <v>2.181</v>
      </c>
      <c r="K613" s="5" t="inlineStr">
        <is>
          <t>01a1212c-76dd-74f8-b495-e2012fee9273</t>
        </is>
      </c>
      <c r="L613" s="5" t="inlineStr">
        <is>
          <t>01a1212c-a047-707f-a63b-12a2e2f2c961</t>
        </is>
      </c>
      <c r="M613" s="6" t="n">
        <v>45108</v>
      </c>
    </row>
    <row r="614">
      <c r="A614" s="5" t="inlineStr">
        <is>
          <t>01a1212c-a1c7-75b9-a1e1-7ad3579651a0</t>
        </is>
      </c>
      <c r="D614" s="5" t="inlineStr">
        <is>
          <t>01a1212c-4b57-70cf-80fd-c2192cb3bf81</t>
        </is>
      </c>
      <c r="E614" s="4" t="n">
        <v>46304.62425416737</v>
      </c>
      <c r="F614" s="4" t="n">
        <v>46304.62425416747</v>
      </c>
      <c r="G614" t="b">
        <v>1</v>
      </c>
      <c r="I614" t="inlineStr">
        <is>
          <t>AUD</t>
        </is>
      </c>
      <c r="J614" t="n">
        <v>2.181</v>
      </c>
      <c r="K614" s="5" t="inlineStr">
        <is>
          <t>01a1212c-796e-75fc-b53f-4202c06e06b7</t>
        </is>
      </c>
      <c r="L614" s="5" t="inlineStr">
        <is>
          <t>01a1212c-a047-707f-a63b-12a2e2f2c961</t>
        </is>
      </c>
      <c r="M614" s="6" t="n">
        <v>45108</v>
      </c>
    </row>
    <row r="615">
      <c r="A615" s="5" t="inlineStr">
        <is>
          <t>01a1212c-a1cd-7300-b7aa-ae8d991f8400</t>
        </is>
      </c>
      <c r="D615" s="5" t="inlineStr">
        <is>
          <t>01a1212c-4b57-70cf-80fd-c2192cb3bf81</t>
        </is>
      </c>
      <c r="E615" s="4" t="n">
        <v>46304.62425423625</v>
      </c>
      <c r="F615" s="4" t="n">
        <v>46304.62425423632</v>
      </c>
      <c r="G615" t="b">
        <v>1</v>
      </c>
      <c r="I615" t="inlineStr">
        <is>
          <t>AUD</t>
        </is>
      </c>
      <c r="J615" t="n">
        <v>2.181</v>
      </c>
      <c r="K615" s="5" t="inlineStr">
        <is>
          <t>01a1212c-79f3-735a-99c2-9a23d450ed58</t>
        </is>
      </c>
      <c r="L615" s="5" t="inlineStr">
        <is>
          <t>01a1212c-a047-707f-a63b-12a2e2f2c961</t>
        </is>
      </c>
      <c r="M615" s="6" t="n">
        <v>45108</v>
      </c>
    </row>
    <row r="616">
      <c r="A616" s="5" t="inlineStr">
        <is>
          <t>01a1212c-a1d3-7500-bcd0-ec8e8214a640</t>
        </is>
      </c>
      <c r="D616" s="5" t="inlineStr">
        <is>
          <t>01a1212c-4b57-70cf-80fd-c2192cb3bf81</t>
        </is>
      </c>
      <c r="E616" s="4" t="n">
        <v>46304.62425430471</v>
      </c>
      <c r="F616" s="4" t="n">
        <v>46304.62425430478</v>
      </c>
      <c r="G616" t="b">
        <v>1</v>
      </c>
      <c r="I616" t="inlineStr">
        <is>
          <t>AUD</t>
        </is>
      </c>
      <c r="J616" t="n">
        <v>2.181</v>
      </c>
      <c r="K616" s="5" t="inlineStr">
        <is>
          <t>01a1212c-7bd4-7438-9057-10216465237d</t>
        </is>
      </c>
      <c r="L616" s="5" t="inlineStr">
        <is>
          <t>01a1212c-a047-707f-a63b-12a2e2f2c961</t>
        </is>
      </c>
      <c r="M616" s="6" t="n">
        <v>45108</v>
      </c>
    </row>
    <row r="617">
      <c r="A617" s="5" t="inlineStr">
        <is>
          <t>01a1212c-a1da-7414-be40-dcd9aa98e47f</t>
        </is>
      </c>
      <c r="D617" s="5" t="inlineStr">
        <is>
          <t>01a1212c-4b57-70cf-80fd-c2192cb3bf81</t>
        </is>
      </c>
      <c r="E617" s="4" t="n">
        <v>46304.62425437765</v>
      </c>
      <c r="F617" s="4" t="n">
        <v>46304.62425437772</v>
      </c>
      <c r="G617" t="b">
        <v>1</v>
      </c>
      <c r="I617" t="inlineStr">
        <is>
          <t>AUD</t>
        </is>
      </c>
      <c r="J617" t="n">
        <v>2.3488</v>
      </c>
      <c r="K617" s="5" t="inlineStr">
        <is>
          <t>01a1212c-6f3f-76d2-bfcb-3c0b514d7327</t>
        </is>
      </c>
      <c r="L617" s="5" t="inlineStr">
        <is>
          <t>01a1212c-a047-707f-a63b-12a2e2f2c961</t>
        </is>
      </c>
      <c r="M617" s="6" t="n">
        <v>45108</v>
      </c>
    </row>
    <row r="618">
      <c r="A618" s="5" t="inlineStr">
        <is>
          <t>01a1212c-a1e0-7261-966a-b6a03ad9aa4f</t>
        </is>
      </c>
      <c r="D618" s="5" t="inlineStr">
        <is>
          <t>01a1212c-4b57-70cf-80fd-c2192cb3bf81</t>
        </is>
      </c>
      <c r="E618" s="4" t="n">
        <v>46304.62425444631</v>
      </c>
      <c r="F618" s="4" t="n">
        <v>46304.62425444637</v>
      </c>
      <c r="G618" t="b">
        <v>1</v>
      </c>
      <c r="I618" t="inlineStr">
        <is>
          <t>AUD</t>
        </is>
      </c>
      <c r="J618" t="n">
        <v>2.3488</v>
      </c>
      <c r="K618" s="5" t="inlineStr">
        <is>
          <t>01a1212c-6feb-74aa-bf31-ee2f8fd37754</t>
        </is>
      </c>
      <c r="L618" s="5" t="inlineStr">
        <is>
          <t>01a1212c-a047-707f-a63b-12a2e2f2c961</t>
        </is>
      </c>
      <c r="M618" s="6" t="n">
        <v>45108</v>
      </c>
    </row>
    <row r="619">
      <c r="A619" s="5" t="inlineStr">
        <is>
          <t>01a1212c-a1e5-7699-b20a-5eb271b6d7f7</t>
        </is>
      </c>
      <c r="D619" s="5" t="inlineStr">
        <is>
          <t>01a1212c-4b57-70cf-80fd-c2192cb3bf81</t>
        </is>
      </c>
      <c r="E619" s="4" t="n">
        <v>46304.62425451397</v>
      </c>
      <c r="F619" s="4" t="n">
        <v>46304.62425451404</v>
      </c>
      <c r="G619" t="b">
        <v>1</v>
      </c>
      <c r="I619" t="inlineStr">
        <is>
          <t>AUD</t>
        </is>
      </c>
      <c r="J619" t="n">
        <v>2.3488</v>
      </c>
      <c r="K619" s="5" t="inlineStr">
        <is>
          <t>01a1212c-7028-718e-b2ce-9f6f2a580d3c</t>
        </is>
      </c>
      <c r="L619" s="5" t="inlineStr">
        <is>
          <t>01a1212c-a047-707f-a63b-12a2e2f2c961</t>
        </is>
      </c>
      <c r="M619" s="6" t="n">
        <v>45108</v>
      </c>
    </row>
    <row r="620">
      <c r="A620" s="5" t="inlineStr">
        <is>
          <t>01a1212c-a1eb-70df-ae6c-6d4703f8534f</t>
        </is>
      </c>
      <c r="D620" s="5" t="inlineStr">
        <is>
          <t>01a1212c-4b57-70cf-80fd-c2192cb3bf81</t>
        </is>
      </c>
      <c r="E620" s="4" t="n">
        <v>46304.62425458118</v>
      </c>
      <c r="F620" s="4" t="n">
        <v>46304.62425458125</v>
      </c>
      <c r="G620" t="b">
        <v>1</v>
      </c>
      <c r="I620" t="inlineStr">
        <is>
          <t>AUD</t>
        </is>
      </c>
      <c r="J620" t="n">
        <v>2.3488</v>
      </c>
      <c r="K620" s="5" t="inlineStr">
        <is>
          <t>01a1212c-71d9-7647-901b-c597ca2d48c9</t>
        </is>
      </c>
      <c r="L620" s="5" t="inlineStr">
        <is>
          <t>01a1212c-a047-707f-a63b-12a2e2f2c961</t>
        </is>
      </c>
      <c r="M620" s="6" t="n">
        <v>45108</v>
      </c>
    </row>
    <row r="621">
      <c r="A621" s="5" t="inlineStr">
        <is>
          <t>01a1212c-a1f1-7393-a6a1-fe4287760f45</t>
        </is>
      </c>
      <c r="D621" s="5" t="inlineStr">
        <is>
          <t>01a1212c-4b57-70cf-80fd-c2192cb3bf81</t>
        </is>
      </c>
      <c r="E621" s="4" t="n">
        <v>46304.62425465049</v>
      </c>
      <c r="F621" s="4" t="n">
        <v>46304.62425465055</v>
      </c>
      <c r="G621" t="b">
        <v>1</v>
      </c>
      <c r="I621" t="inlineStr">
        <is>
          <t>AUD</t>
        </is>
      </c>
      <c r="J621" t="n">
        <v>2.3488</v>
      </c>
      <c r="K621" s="5" t="inlineStr">
        <is>
          <t>01a1212c-7461-718b-a08a-ae58aa67a4dc</t>
        </is>
      </c>
      <c r="L621" s="5" t="inlineStr">
        <is>
          <t>01a1212c-a047-707f-a63b-12a2e2f2c961</t>
        </is>
      </c>
      <c r="M621" s="6" t="n">
        <v>45108</v>
      </c>
    </row>
    <row r="622">
      <c r="A622" s="5" t="inlineStr">
        <is>
          <t>01a1212c-a1f7-71c0-9529-723a3170172a</t>
        </is>
      </c>
      <c r="D622" s="5" t="inlineStr">
        <is>
          <t>01a1212c-4b57-70cf-80fd-c2192cb3bf81</t>
        </is>
      </c>
      <c r="E622" s="4" t="n">
        <v>46304.62425472244</v>
      </c>
      <c r="F622" s="4" t="n">
        <v>46304.62425472251</v>
      </c>
      <c r="G622" t="b">
        <v>1</v>
      </c>
      <c r="I622" t="inlineStr">
        <is>
          <t>AUD</t>
        </is>
      </c>
      <c r="J622" t="n">
        <v>2.5166</v>
      </c>
      <c r="K622" s="5" t="inlineStr">
        <is>
          <t>01a1212c-6e66-7046-82e1-a0df222b5449</t>
        </is>
      </c>
      <c r="L622" s="5" t="inlineStr">
        <is>
          <t>01a1212c-a047-707f-a63b-12a2e2f2c961</t>
        </is>
      </c>
      <c r="M622" s="6" t="n">
        <v>45108</v>
      </c>
    </row>
    <row r="623">
      <c r="A623" s="5" t="inlineStr">
        <is>
          <t>01a1212c-a1fe-7675-ac1f-2650a4ccecdb</t>
        </is>
      </c>
      <c r="D623" s="5" t="inlineStr">
        <is>
          <t>01a1212c-4b57-70cf-80fd-c2192cb3bf81</t>
        </is>
      </c>
      <c r="E623" s="4" t="n">
        <v>46304.62425479497</v>
      </c>
      <c r="F623" s="4" t="n">
        <v>46304.62425479503</v>
      </c>
      <c r="G623" t="b">
        <v>1</v>
      </c>
      <c r="I623" t="inlineStr">
        <is>
          <t>AUD</t>
        </is>
      </c>
      <c r="J623" t="n">
        <v>2.5166</v>
      </c>
      <c r="K623" s="5" t="inlineStr">
        <is>
          <t>01a1212c-71ae-7629-9101-f4aefddb3353</t>
        </is>
      </c>
      <c r="L623" s="5" t="inlineStr">
        <is>
          <t>01a1212c-a047-707f-a63b-12a2e2f2c961</t>
        </is>
      </c>
      <c r="M623" s="6" t="n">
        <v>45108</v>
      </c>
    </row>
    <row r="624">
      <c r="A624" s="5" t="inlineStr">
        <is>
          <t>01a1212c-a203-70a6-beb2-bdc0e49596f3</t>
        </is>
      </c>
      <c r="D624" s="5" t="inlineStr">
        <is>
          <t>01a1212c-4b57-70cf-80fd-c2192cb3bf81</t>
        </is>
      </c>
      <c r="E624" s="4" t="n">
        <v>46304.62425486178</v>
      </c>
      <c r="F624" s="4" t="n">
        <v>46304.62425486185</v>
      </c>
      <c r="G624" t="b">
        <v>1</v>
      </c>
      <c r="I624" t="inlineStr">
        <is>
          <t>AUD</t>
        </is>
      </c>
      <c r="J624" t="n">
        <v>2.5166</v>
      </c>
      <c r="K624" s="5" t="inlineStr">
        <is>
          <t>01a1212c-741c-732e-b238-83e9eab5ef79</t>
        </is>
      </c>
      <c r="L624" s="5" t="inlineStr">
        <is>
          <t>01a1212c-a047-707f-a63b-12a2e2f2c961</t>
        </is>
      </c>
      <c r="M624" s="6" t="n">
        <v>45108</v>
      </c>
    </row>
    <row r="625">
      <c r="A625" s="5" t="inlineStr">
        <is>
          <t>01a1212c-a20a-7285-83fe-ad6668424944</t>
        </is>
      </c>
      <c r="D625" s="5" t="inlineStr">
        <is>
          <t>01a1212c-4b57-70cf-80fd-c2192cb3bf81</t>
        </is>
      </c>
      <c r="E625" s="4" t="n">
        <v>46304.62425493218</v>
      </c>
      <c r="F625" s="4" t="n">
        <v>46304.62425493225</v>
      </c>
      <c r="G625" t="b">
        <v>1</v>
      </c>
      <c r="I625" t="inlineStr">
        <is>
          <t>AUD</t>
        </is>
      </c>
      <c r="J625" t="n">
        <v>2.5166</v>
      </c>
      <c r="K625" s="5" t="inlineStr">
        <is>
          <t>01a1212c-7a90-7411-8405-00a5215c5218</t>
        </is>
      </c>
      <c r="L625" s="5" t="inlineStr">
        <is>
          <t>01a1212c-a047-707f-a63b-12a2e2f2c961</t>
        </is>
      </c>
      <c r="M625" s="6" t="n">
        <v>45108</v>
      </c>
    </row>
    <row r="626">
      <c r="A626" s="5" t="inlineStr">
        <is>
          <t>01a1212c-a20f-779e-83d4-f6333a63d619</t>
        </is>
      </c>
      <c r="D626" s="5" t="inlineStr">
        <is>
          <t>01a1212c-4b57-70cf-80fd-c2192cb3bf81</t>
        </is>
      </c>
      <c r="E626" s="4" t="n">
        <v>46304.62425499712</v>
      </c>
      <c r="F626" s="4" t="n">
        <v>46304.62425499719</v>
      </c>
      <c r="G626" t="b">
        <v>1</v>
      </c>
      <c r="I626" t="inlineStr">
        <is>
          <t>AUD</t>
        </is>
      </c>
      <c r="J626" t="n">
        <v>2.6845</v>
      </c>
      <c r="K626" s="5" t="inlineStr">
        <is>
          <t>01a1212c-6d4c-7285-883b-40007c7bea5b</t>
        </is>
      </c>
      <c r="L626" s="5" t="inlineStr">
        <is>
          <t>01a1212c-a047-707f-a63b-12a2e2f2c961</t>
        </is>
      </c>
      <c r="M626" s="6" t="n">
        <v>45108</v>
      </c>
    </row>
    <row r="627">
      <c r="A627" s="5" t="inlineStr">
        <is>
          <t>01a1212c-a324-7052-b8f0-af9ee0a763f6</t>
        </is>
      </c>
      <c r="D627" s="5" t="inlineStr">
        <is>
          <t>01a1212c-4b57-70cf-80fd-c2192cb3bf81</t>
        </is>
      </c>
      <c r="E627" s="4" t="n">
        <v>46304.62425820404</v>
      </c>
      <c r="F627" s="4" t="n">
        <v>46304.62425820411</v>
      </c>
      <c r="G627" t="b">
        <v>1</v>
      </c>
      <c r="I627" t="inlineStr">
        <is>
          <t>AUD</t>
        </is>
      </c>
      <c r="J627" t="n">
        <v>0.2286</v>
      </c>
      <c r="K627" s="5" t="inlineStr">
        <is>
          <t>01a1212c-7f76-750b-8c82-933100b7cca2</t>
        </is>
      </c>
      <c r="L627" s="5" t="inlineStr">
        <is>
          <t>01a1212c-a31f-7418-b8c4-7e234f854ae3</t>
        </is>
      </c>
      <c r="M627" s="6" t="n">
        <v>45108</v>
      </c>
    </row>
    <row r="628">
      <c r="A628" s="5" t="inlineStr">
        <is>
          <t>01a1212c-a32b-722a-8975-3b87d4d9224f</t>
        </is>
      </c>
      <c r="D628" s="5" t="inlineStr">
        <is>
          <t>01a1212c-4b57-70cf-80fd-c2192cb3bf81</t>
        </is>
      </c>
      <c r="E628" s="4" t="n">
        <v>46304.62425827839</v>
      </c>
      <c r="F628" s="4" t="n">
        <v>46304.62425827845</v>
      </c>
      <c r="G628" t="b">
        <v>1</v>
      </c>
      <c r="I628" t="inlineStr">
        <is>
          <t>AUD</t>
        </is>
      </c>
      <c r="J628" t="n">
        <v>0.5715</v>
      </c>
      <c r="K628" s="5" t="inlineStr">
        <is>
          <t>01a1212c-7f2c-75c9-9309-0af4d65f362e</t>
        </is>
      </c>
      <c r="L628" s="5" t="inlineStr">
        <is>
          <t>01a1212c-a31f-7418-b8c4-7e234f854ae3</t>
        </is>
      </c>
      <c r="M628" s="6" t="n">
        <v>45108</v>
      </c>
    </row>
    <row r="629">
      <c r="A629" s="5" t="inlineStr">
        <is>
          <t>01a1212c-a330-7089-b530-fb8c087ae641</t>
        </is>
      </c>
      <c r="D629" s="5" t="inlineStr">
        <is>
          <t>01a1212c-4b57-70cf-80fd-c2192cb3bf81</t>
        </is>
      </c>
      <c r="E629" s="4" t="n">
        <v>46304.6242583459</v>
      </c>
      <c r="F629" s="4" t="n">
        <v>46304.62425834598</v>
      </c>
      <c r="G629" t="b">
        <v>1</v>
      </c>
      <c r="I629" t="inlineStr">
        <is>
          <t>AUD</t>
        </is>
      </c>
      <c r="J629" t="n">
        <v>0.6286</v>
      </c>
      <c r="K629" s="5" t="inlineStr">
        <is>
          <t>01a1212c-7ebd-72be-82a1-cd941a25caaa</t>
        </is>
      </c>
      <c r="L629" s="5" t="inlineStr">
        <is>
          <t>01a1212c-a31f-7418-b8c4-7e234f854ae3</t>
        </is>
      </c>
      <c r="M629" s="6" t="n">
        <v>45108</v>
      </c>
    </row>
    <row r="630">
      <c r="A630" s="5" t="inlineStr">
        <is>
          <t>01a1212c-a337-7589-8144-0a082db7738d</t>
        </is>
      </c>
      <c r="D630" s="5" t="inlineStr">
        <is>
          <t>01a1212c-4b57-70cf-80fd-c2192cb3bf81</t>
        </is>
      </c>
      <c r="E630" s="4" t="n">
        <v>46304.62425842643</v>
      </c>
      <c r="F630" s="4" t="n">
        <v>46304.62425842651</v>
      </c>
      <c r="G630" t="b">
        <v>1</v>
      </c>
      <c r="I630" t="inlineStr">
        <is>
          <t>AUD</t>
        </is>
      </c>
      <c r="J630" t="n">
        <v>1.5001</v>
      </c>
      <c r="K630" s="5" t="inlineStr">
        <is>
          <t>01a1212c-7e65-7249-9d82-ba878df56810</t>
        </is>
      </c>
      <c r="L630" s="5" t="inlineStr">
        <is>
          <t>01a1212c-a31f-7418-b8c4-7e234f854ae3</t>
        </is>
      </c>
      <c r="M630" s="6" t="n">
        <v>45108</v>
      </c>
    </row>
    <row r="631">
      <c r="A631" s="5" t="inlineStr">
        <is>
          <t>01a1212c-a33e-767d-971e-2989e375328d</t>
        </is>
      </c>
      <c r="D631" s="5" t="inlineStr">
        <is>
          <t>01a1212c-4b57-70cf-80fd-c2192cb3bf81</t>
        </is>
      </c>
      <c r="E631" s="4" t="n">
        <v>46304.62425849796</v>
      </c>
      <c r="F631" s="4" t="n">
        <v>46304.62425849804</v>
      </c>
      <c r="G631" t="b">
        <v>1</v>
      </c>
      <c r="I631" t="inlineStr">
        <is>
          <t>AUD</t>
        </is>
      </c>
      <c r="J631" t="n">
        <v>1.8216</v>
      </c>
      <c r="K631" s="5" t="inlineStr">
        <is>
          <t>01a1212c-7e90-7233-ab00-a795c8d91f6d</t>
        </is>
      </c>
      <c r="L631" s="5" t="inlineStr">
        <is>
          <t>01a1212c-a31f-7418-b8c4-7e234f854ae3</t>
        </is>
      </c>
      <c r="M631" s="6" t="n">
        <v>45108</v>
      </c>
    </row>
    <row r="632">
      <c r="A632" s="5" t="inlineStr">
        <is>
          <t>01a1212c-a344-70ae-b4a8-fc85c1ace0dd</t>
        </is>
      </c>
      <c r="D632" s="5" t="inlineStr">
        <is>
          <t>01a1212c-4b57-70cf-80fd-c2192cb3bf81</t>
        </is>
      </c>
      <c r="E632" s="4" t="n">
        <v>46304.62425856605</v>
      </c>
      <c r="F632" s="4" t="n">
        <v>46304.62425856611</v>
      </c>
      <c r="G632" t="b">
        <v>1</v>
      </c>
      <c r="I632" t="inlineStr">
        <is>
          <t>AUD</t>
        </is>
      </c>
      <c r="J632" t="n">
        <v>2.388</v>
      </c>
      <c r="K632" s="5" t="inlineStr">
        <is>
          <t>01a1212c-7e10-777c-a374-00f6692d2a3f</t>
        </is>
      </c>
      <c r="L632" s="5" t="inlineStr">
        <is>
          <t>01a1212c-a31f-7418-b8c4-7e234f854ae3</t>
        </is>
      </c>
      <c r="M632" s="6" t="n">
        <v>45108</v>
      </c>
    </row>
    <row r="633">
      <c r="A633" s="5" t="inlineStr">
        <is>
          <t>01a1212c-a34b-73b2-b3e1-0eda400e0e35</t>
        </is>
      </c>
      <c r="D633" s="5" t="inlineStr">
        <is>
          <t>01a1212c-4b57-70cf-80fd-c2192cb3bf81</t>
        </is>
      </c>
      <c r="E633" s="4" t="n">
        <v>46304.62425865499</v>
      </c>
      <c r="F633" s="4" t="n">
        <v>46304.62425865506</v>
      </c>
      <c r="G633" t="b">
        <v>1</v>
      </c>
      <c r="I633" t="inlineStr">
        <is>
          <t>AUD</t>
        </is>
      </c>
      <c r="J633" t="n">
        <v>2.4706</v>
      </c>
      <c r="K633" s="5" t="inlineStr">
        <is>
          <t>01a1212c-7d4a-734e-9dd8-ba2ea752fce4</t>
        </is>
      </c>
      <c r="L633" s="5" t="inlineStr">
        <is>
          <t>01a1212c-a31f-7418-b8c4-7e234f854ae3</t>
        </is>
      </c>
      <c r="M633" s="6" t="n">
        <v>45108</v>
      </c>
    </row>
    <row r="634">
      <c r="A634" s="5" t="inlineStr">
        <is>
          <t>01a1212c-a379-77ab-960f-a4a76bde8a0f</t>
        </is>
      </c>
      <c r="D634" s="5" t="inlineStr">
        <is>
          <t>01a1212c-4b57-70cf-80fd-c2192cb3bf81</t>
        </is>
      </c>
      <c r="E634" s="4" t="n">
        <v>46304.6242591835</v>
      </c>
      <c r="F634" s="4" t="n">
        <v>46304.62425918358</v>
      </c>
      <c r="G634" t="b">
        <v>1</v>
      </c>
      <c r="I634" t="inlineStr">
        <is>
          <t>AUD</t>
        </is>
      </c>
      <c r="J634" t="n">
        <v>2.988</v>
      </c>
      <c r="K634" s="5" t="inlineStr">
        <is>
          <t>01a1212c-782c-71c8-a8bb-adfe40c2d7c2</t>
        </is>
      </c>
      <c r="L634" s="5" t="inlineStr">
        <is>
          <t>01a1212c-a31f-7418-b8c4-7e234f854ae3</t>
        </is>
      </c>
      <c r="M634" s="6" t="n">
        <v>45108</v>
      </c>
    </row>
    <row r="635">
      <c r="A635" s="5" t="inlineStr">
        <is>
          <t>01a1212c-a37f-750c-905b-b70822251257</t>
        </is>
      </c>
      <c r="D635" s="5" t="inlineStr">
        <is>
          <t>01a1212c-4b57-70cf-80fd-c2192cb3bf81</t>
        </is>
      </c>
      <c r="E635" s="4" t="n">
        <v>46304.62425925262</v>
      </c>
      <c r="F635" s="4" t="n">
        <v>46304.62425925268</v>
      </c>
      <c r="G635" t="b">
        <v>1</v>
      </c>
      <c r="I635" t="inlineStr">
        <is>
          <t>AUD</t>
        </is>
      </c>
      <c r="J635" t="n">
        <v>3.3615</v>
      </c>
      <c r="K635" s="5" t="inlineStr">
        <is>
          <t>01a1212c-762f-7733-8b01-f44cad85b151</t>
        </is>
      </c>
      <c r="L635" s="5" t="inlineStr">
        <is>
          <t>01a1212c-a31f-7418-b8c4-7e234f854ae3</t>
        </is>
      </c>
      <c r="M635" s="6" t="n">
        <v>45108</v>
      </c>
    </row>
    <row r="636">
      <c r="A636" s="5" t="inlineStr">
        <is>
          <t>01a1212c-a385-7360-a195-5814e0d0e327</t>
        </is>
      </c>
      <c r="D636" s="5" t="inlineStr">
        <is>
          <t>01a1212c-4b57-70cf-80fd-c2192cb3bf81</t>
        </is>
      </c>
      <c r="E636" s="4" t="n">
        <v>46304.62425931935</v>
      </c>
      <c r="F636" s="4" t="n">
        <v>46304.62425931942</v>
      </c>
      <c r="G636" t="b">
        <v>1</v>
      </c>
      <c r="I636" t="inlineStr">
        <is>
          <t>AUD</t>
        </is>
      </c>
      <c r="J636" t="n">
        <v>3.3615</v>
      </c>
      <c r="K636" s="5" t="inlineStr">
        <is>
          <t>01a1212c-7734-763e-bfc4-4e61ccd3ee01</t>
        </is>
      </c>
      <c r="L636" s="5" t="inlineStr">
        <is>
          <t>01a1212c-a31f-7418-b8c4-7e234f854ae3</t>
        </is>
      </c>
      <c r="M636" s="6" t="n">
        <v>45108</v>
      </c>
    </row>
    <row r="637">
      <c r="A637" s="5" t="inlineStr">
        <is>
          <t>01a1212c-a38b-704e-82c0-055ac468b722</t>
        </is>
      </c>
      <c r="D637" s="5" t="inlineStr">
        <is>
          <t>01a1212c-4b57-70cf-80fd-c2192cb3bf81</t>
        </is>
      </c>
      <c r="E637" s="4" t="n">
        <v>46304.62425939237</v>
      </c>
      <c r="F637" s="4" t="n">
        <v>46304.62425939244</v>
      </c>
      <c r="G637" t="b">
        <v>1</v>
      </c>
      <c r="I637" t="inlineStr">
        <is>
          <t>AUD</t>
        </is>
      </c>
      <c r="J637" t="n">
        <v>3.3615</v>
      </c>
      <c r="K637" s="5" t="inlineStr">
        <is>
          <t>01a1212c-786a-76e5-9880-08eb60ed6a05</t>
        </is>
      </c>
      <c r="L637" s="5" t="inlineStr">
        <is>
          <t>01a1212c-a31f-7418-b8c4-7e234f854ae3</t>
        </is>
      </c>
      <c r="M637" s="6" t="n">
        <v>45108</v>
      </c>
    </row>
    <row r="638">
      <c r="A638" s="5" t="inlineStr">
        <is>
          <t>01a1212c-a391-7033-a7cd-742afae4ae63</t>
        </is>
      </c>
      <c r="D638" s="5" t="inlineStr">
        <is>
          <t>01a1212c-4b57-70cf-80fd-c2192cb3bf81</t>
        </is>
      </c>
      <c r="E638" s="4" t="n">
        <v>46304.62425945966</v>
      </c>
      <c r="F638" s="4" t="n">
        <v>46304.62425945972</v>
      </c>
      <c r="G638" t="b">
        <v>1</v>
      </c>
      <c r="I638" t="inlineStr">
        <is>
          <t>AUD</t>
        </is>
      </c>
      <c r="J638" t="n">
        <v>3.4289</v>
      </c>
      <c r="K638" s="5" t="inlineStr">
        <is>
          <t>01a1212c-7dcc-7701-8351-3152abe5f99d</t>
        </is>
      </c>
      <c r="L638" s="5" t="inlineStr">
        <is>
          <t>01a1212c-a31f-7418-b8c4-7e234f854ae3</t>
        </is>
      </c>
      <c r="M638" s="6" t="n">
        <v>45108</v>
      </c>
    </row>
    <row r="639">
      <c r="A639" s="5" t="inlineStr">
        <is>
          <t>01a1212c-a396-7346-a0ef-47966dd83296</t>
        </is>
      </c>
      <c r="D639" s="5" t="inlineStr">
        <is>
          <t>01a1212c-4b57-70cf-80fd-c2192cb3bf81</t>
        </is>
      </c>
      <c r="E639" s="4" t="n">
        <v>46304.62425952592</v>
      </c>
      <c r="F639" s="4" t="n">
        <v>46304.62425952598</v>
      </c>
      <c r="G639" t="b">
        <v>1</v>
      </c>
      <c r="I639" t="inlineStr">
        <is>
          <t>AUD</t>
        </is>
      </c>
      <c r="J639" t="n">
        <v>3.684</v>
      </c>
      <c r="K639" s="5" t="inlineStr">
        <is>
          <t>01a1212c-7c68-7625-a599-0122ab454657</t>
        </is>
      </c>
      <c r="L639" s="5" t="inlineStr">
        <is>
          <t>01a1212c-a31f-7418-b8c4-7e234f854ae3</t>
        </is>
      </c>
      <c r="M639" s="6" t="n">
        <v>45108</v>
      </c>
    </row>
    <row r="640">
      <c r="A640" s="5" t="inlineStr">
        <is>
          <t>01a1212c-a39c-7753-86f1-e6cf84aa5f75</t>
        </is>
      </c>
      <c r="D640" s="5" t="inlineStr">
        <is>
          <t>01a1212c-4b57-70cf-80fd-c2192cb3bf81</t>
        </is>
      </c>
      <c r="E640" s="4" t="n">
        <v>46304.62425959279</v>
      </c>
      <c r="F640" s="4" t="n">
        <v>46304.62425959286</v>
      </c>
      <c r="G640" t="b">
        <v>1</v>
      </c>
      <c r="I640" t="inlineStr">
        <is>
          <t>AUD</t>
        </is>
      </c>
      <c r="J640" t="n">
        <v>3.735</v>
      </c>
      <c r="K640" s="5" t="inlineStr">
        <is>
          <t>01a1212c-7406-7791-9482-a05d6cc76c10</t>
        </is>
      </c>
      <c r="L640" s="5" t="inlineStr">
        <is>
          <t>01a1212c-a31f-7418-b8c4-7e234f854ae3</t>
        </is>
      </c>
      <c r="M640" s="6" t="n">
        <v>45108</v>
      </c>
    </row>
    <row r="641">
      <c r="A641" s="5" t="inlineStr">
        <is>
          <t>01a1212c-a3a2-7049-a60e-8f45821e58b7</t>
        </is>
      </c>
      <c r="D641" s="5" t="inlineStr">
        <is>
          <t>01a1212c-4b57-70cf-80fd-c2192cb3bf81</t>
        </is>
      </c>
      <c r="E641" s="4" t="n">
        <v>46304.62425965949</v>
      </c>
      <c r="F641" s="4" t="n">
        <v>46304.62425965956</v>
      </c>
      <c r="G641" t="b">
        <v>1</v>
      </c>
      <c r="I641" t="inlineStr">
        <is>
          <t>AUD</t>
        </is>
      </c>
      <c r="J641" t="n">
        <v>3.735</v>
      </c>
      <c r="K641" s="5" t="inlineStr">
        <is>
          <t>01a1212c-793d-735a-8d1b-3b3743d82b3c</t>
        </is>
      </c>
      <c r="L641" s="5" t="inlineStr">
        <is>
          <t>01a1212c-a31f-7418-b8c4-7e234f854ae3</t>
        </is>
      </c>
      <c r="M641" s="6" t="n">
        <v>45108</v>
      </c>
    </row>
    <row r="642">
      <c r="A642" s="5" t="inlineStr">
        <is>
          <t>01a1212c-a3a8-70ce-b499-8bce4935a359</t>
        </is>
      </c>
      <c r="D642" s="5" t="inlineStr">
        <is>
          <t>01a1212c-4b57-70cf-80fd-c2192cb3bf81</t>
        </is>
      </c>
      <c r="E642" s="4" t="n">
        <v>46304.62425973168</v>
      </c>
      <c r="F642" s="4" t="n">
        <v>46304.62425973175</v>
      </c>
      <c r="G642" t="b">
        <v>1</v>
      </c>
      <c r="I642" t="inlineStr">
        <is>
          <t>AUD</t>
        </is>
      </c>
      <c r="J642" t="n">
        <v>3.9932</v>
      </c>
      <c r="K642" s="5" t="inlineStr">
        <is>
          <t>01a1212c-7cd8-7474-85d2-7bfaa05c9923</t>
        </is>
      </c>
      <c r="L642" s="5" t="inlineStr">
        <is>
          <t>01a1212c-a31f-7418-b8c4-7e234f854ae3</t>
        </is>
      </c>
      <c r="M642" s="6" t="n">
        <v>45108</v>
      </c>
    </row>
    <row r="643">
      <c r="A643" s="5" t="inlineStr">
        <is>
          <t>01a1212c-a3ae-76c3-917c-e606e6be4568</t>
        </is>
      </c>
      <c r="D643" s="5" t="inlineStr">
        <is>
          <t>01a1212c-4b57-70cf-80fd-c2192cb3bf81</t>
        </is>
      </c>
      <c r="E643" s="4" t="n">
        <v>46304.62425979852</v>
      </c>
      <c r="F643" s="4" t="n">
        <v>46304.62425979859</v>
      </c>
      <c r="G643" t="b">
        <v>1</v>
      </c>
      <c r="I643" t="inlineStr">
        <is>
          <t>AUD</t>
        </is>
      </c>
      <c r="J643" t="n">
        <v>4.1085</v>
      </c>
      <c r="K643" s="5" t="inlineStr">
        <is>
          <t>01a1212c-72ce-758f-a1e1-774c3e0a5001</t>
        </is>
      </c>
      <c r="L643" s="5" t="inlineStr">
        <is>
          <t>01a1212c-a31f-7418-b8c4-7e234f854ae3</t>
        </is>
      </c>
      <c r="M643" s="6" t="n">
        <v>45108</v>
      </c>
    </row>
    <row r="644">
      <c r="A644" s="5" t="inlineStr">
        <is>
          <t>01a1212c-a3b4-7501-83f4-072f7b7d1943</t>
        </is>
      </c>
      <c r="D644" s="5" t="inlineStr">
        <is>
          <t>01a1212c-4b57-70cf-80fd-c2192cb3bf81</t>
        </is>
      </c>
      <c r="E644" s="4" t="n">
        <v>46304.62425986658</v>
      </c>
      <c r="F644" s="4" t="n">
        <v>46304.62425986664</v>
      </c>
      <c r="G644" t="b">
        <v>1</v>
      </c>
      <c r="I644" t="inlineStr">
        <is>
          <t>AUD</t>
        </is>
      </c>
      <c r="J644" t="n">
        <v>4.4045</v>
      </c>
      <c r="K644" s="5" t="inlineStr">
        <is>
          <t>01a1212c-7c93-7218-ac5c-68804c19bade</t>
        </is>
      </c>
      <c r="L644" s="5" t="inlineStr">
        <is>
          <t>01a1212c-a31f-7418-b8c4-7e234f854ae3</t>
        </is>
      </c>
      <c r="M644" s="6" t="n">
        <v>45108</v>
      </c>
    </row>
    <row r="645">
      <c r="A645" s="5" t="inlineStr">
        <is>
          <t>01a1212c-a3ba-73d9-ac66-23bbbd0b8539</t>
        </is>
      </c>
      <c r="D645" s="5" t="inlineStr">
        <is>
          <t>01a1212c-4b57-70cf-80fd-c2192cb3bf81</t>
        </is>
      </c>
      <c r="E645" s="4" t="n">
        <v>46304.62425994076</v>
      </c>
      <c r="F645" s="4" t="n">
        <v>46304.62425994084</v>
      </c>
      <c r="G645" t="b">
        <v>1</v>
      </c>
      <c r="I645" t="inlineStr">
        <is>
          <t>AUD</t>
        </is>
      </c>
      <c r="J645" t="n">
        <v>4.4453</v>
      </c>
      <c r="K645" s="5" t="inlineStr">
        <is>
          <t>01a1212c-7d8b-7334-b6a0-e0fad4eda28a</t>
        </is>
      </c>
      <c r="L645" s="5" t="inlineStr">
        <is>
          <t>01a1212c-a31f-7418-b8c4-7e234f854ae3</t>
        </is>
      </c>
      <c r="M645" s="6" t="n">
        <v>45108</v>
      </c>
    </row>
    <row r="646">
      <c r="A646" s="5" t="inlineStr">
        <is>
          <t>01a1212c-a3c0-721a-b00f-cb9ad473384b</t>
        </is>
      </c>
      <c r="D646" s="5" t="inlineStr">
        <is>
          <t>01a1212c-4b57-70cf-80fd-c2192cb3bf81</t>
        </is>
      </c>
      <c r="E646" s="4" t="n">
        <v>46304.62426000828</v>
      </c>
      <c r="F646" s="4" t="n">
        <v>46304.62426000834</v>
      </c>
      <c r="G646" t="b">
        <v>1</v>
      </c>
      <c r="I646" t="inlineStr">
        <is>
          <t>AUD</t>
        </is>
      </c>
      <c r="J646" t="n">
        <v>4.482</v>
      </c>
      <c r="K646" s="5" t="inlineStr">
        <is>
          <t>01a1212c-6998-74b0-bc81-af5dbb051f7a</t>
        </is>
      </c>
      <c r="L646" s="5" t="inlineStr">
        <is>
          <t>01a1212c-a31f-7418-b8c4-7e234f854ae3</t>
        </is>
      </c>
      <c r="M646" s="6" t="n">
        <v>45108</v>
      </c>
    </row>
    <row r="647">
      <c r="A647" s="5" t="inlineStr">
        <is>
          <t>01a1212c-a3c6-74c4-8ff9-405603a4bf28</t>
        </is>
      </c>
      <c r="D647" s="5" t="inlineStr">
        <is>
          <t>01a1212c-4b57-70cf-80fd-c2192cb3bf81</t>
        </is>
      </c>
      <c r="E647" s="4" t="n">
        <v>46304.62426007777</v>
      </c>
      <c r="F647" s="4" t="n">
        <v>46304.62426007784</v>
      </c>
      <c r="G647" t="b">
        <v>1</v>
      </c>
      <c r="I647" t="inlineStr">
        <is>
          <t>AUD</t>
        </is>
      </c>
      <c r="J647" t="n">
        <v>4.482</v>
      </c>
      <c r="K647" s="5" t="inlineStr">
        <is>
          <t>01a1212c-7278-7734-b344-b828fba43ba6</t>
        </is>
      </c>
      <c r="L647" s="5" t="inlineStr">
        <is>
          <t>01a1212c-a31f-7418-b8c4-7e234f854ae3</t>
        </is>
      </c>
      <c r="M647" s="6" t="n">
        <v>45108</v>
      </c>
    </row>
    <row r="648">
      <c r="A648" s="5" t="inlineStr">
        <is>
          <t>01a1212c-a3cc-731d-a3fc-7b44f0855b78</t>
        </is>
      </c>
      <c r="D648" s="5" t="inlineStr">
        <is>
          <t>01a1212c-4b57-70cf-80fd-c2192cb3bf81</t>
        </is>
      </c>
      <c r="E648" s="4" t="n">
        <v>46304.62426014889</v>
      </c>
      <c r="F648" s="4" t="n">
        <v>46304.62426014896</v>
      </c>
      <c r="G648" t="b">
        <v>1</v>
      </c>
      <c r="I648" t="inlineStr">
        <is>
          <t>AUD</t>
        </is>
      </c>
      <c r="J648" t="n">
        <v>4.482</v>
      </c>
      <c r="K648" s="5" t="inlineStr">
        <is>
          <t>01a1212c-7b7f-722d-8e7c-d5cfa0685df2</t>
        </is>
      </c>
      <c r="L648" s="5" t="inlineStr">
        <is>
          <t>01a1212c-a31f-7418-b8c4-7e234f854ae3</t>
        </is>
      </c>
      <c r="M648" s="6" t="n">
        <v>45108</v>
      </c>
    </row>
    <row r="649">
      <c r="A649" s="5" t="inlineStr">
        <is>
          <t>01a1212c-a3d2-70d5-acc4-18a94efa5642</t>
        </is>
      </c>
      <c r="D649" s="5" t="inlineStr">
        <is>
          <t>01a1212c-4b57-70cf-80fd-c2192cb3bf81</t>
        </is>
      </c>
      <c r="E649" s="4" t="n">
        <v>46304.62426021976</v>
      </c>
      <c r="F649" s="4" t="n">
        <v>46304.62426021983</v>
      </c>
      <c r="G649" t="b">
        <v>1</v>
      </c>
      <c r="I649" t="inlineStr">
        <is>
          <t>AUD</t>
        </is>
      </c>
      <c r="J649" t="n">
        <v>4.482</v>
      </c>
      <c r="K649" s="5" t="inlineStr">
        <is>
          <t>01a1212c-7c28-761a-abe6-a2d8c4b32086</t>
        </is>
      </c>
      <c r="L649" s="5" t="inlineStr">
        <is>
          <t>01a1212c-a31f-7418-b8c4-7e234f854ae3</t>
        </is>
      </c>
      <c r="M649" s="6" t="n">
        <v>45108</v>
      </c>
    </row>
    <row r="650">
      <c r="A650" s="5" t="inlineStr">
        <is>
          <t>01a1212c-a3d8-753e-8690-71eb2935ec0c</t>
        </is>
      </c>
      <c r="D650" s="5" t="inlineStr">
        <is>
          <t>01a1212c-4b57-70cf-80fd-c2192cb3bf81</t>
        </is>
      </c>
      <c r="E650" s="4" t="n">
        <v>46304.62426028989</v>
      </c>
      <c r="F650" s="4" t="n">
        <v>46304.62426028997</v>
      </c>
      <c r="G650" t="b">
        <v>1</v>
      </c>
      <c r="I650" t="inlineStr">
        <is>
          <t>AUD</t>
        </is>
      </c>
      <c r="J650" t="n">
        <v>4.8555</v>
      </c>
      <c r="K650" s="5" t="inlineStr">
        <is>
          <t>01a1212c-74bb-70c4-8e52-54a02ff26207</t>
        </is>
      </c>
      <c r="L650" s="5" t="inlineStr">
        <is>
          <t>01a1212c-a31f-7418-b8c4-7e234f854ae3</t>
        </is>
      </c>
      <c r="M650" s="6" t="n">
        <v>45108</v>
      </c>
    </row>
    <row r="651">
      <c r="A651" s="5" t="inlineStr">
        <is>
          <t>01a1212c-a3de-75e7-a72f-31c3c727a533</t>
        </is>
      </c>
      <c r="D651" s="5" t="inlineStr">
        <is>
          <t>01a1212c-4b57-70cf-80fd-c2192cb3bf81</t>
        </is>
      </c>
      <c r="E651" s="4" t="n">
        <v>46304.62426035535</v>
      </c>
      <c r="F651" s="4" t="n">
        <v>46304.62426035541</v>
      </c>
      <c r="G651" t="b">
        <v>1</v>
      </c>
      <c r="I651" t="inlineStr">
        <is>
          <t>AUD</t>
        </is>
      </c>
      <c r="J651" t="n">
        <v>4.8555</v>
      </c>
      <c r="K651" s="5" t="inlineStr">
        <is>
          <t>01a1212c-79de-7495-b5b1-e7986ed975ef</t>
        </is>
      </c>
      <c r="L651" s="5" t="inlineStr">
        <is>
          <t>01a1212c-a31f-7418-b8c4-7e234f854ae3</t>
        </is>
      </c>
      <c r="M651" s="6" t="n">
        <v>45108</v>
      </c>
    </row>
    <row r="652">
      <c r="A652" s="5" t="inlineStr">
        <is>
          <t>01a1212c-a3e4-77d4-8380-157f4887f3b6</t>
        </is>
      </c>
      <c r="D652" s="5" t="inlineStr">
        <is>
          <t>01a1212c-4b57-70cf-80fd-c2192cb3bf81</t>
        </is>
      </c>
      <c r="E652" s="4" t="n">
        <v>46304.62426042574</v>
      </c>
      <c r="F652" s="4" t="n">
        <v>46304.62426042581</v>
      </c>
      <c r="G652" t="b">
        <v>1</v>
      </c>
      <c r="I652" t="inlineStr">
        <is>
          <t>AUD</t>
        </is>
      </c>
      <c r="J652" t="n">
        <v>4.8555</v>
      </c>
      <c r="K652" s="5" t="inlineStr">
        <is>
          <t>01a1212c-7a64-7651-a984-fe2d549ac898</t>
        </is>
      </c>
      <c r="L652" s="5" t="inlineStr">
        <is>
          <t>01a1212c-a31f-7418-b8c4-7e234f854ae3</t>
        </is>
      </c>
      <c r="M652" s="6" t="n">
        <v>45108</v>
      </c>
    </row>
    <row r="653">
      <c r="A653" s="5" t="inlineStr">
        <is>
          <t>01a1212c-a3ea-7093-9eb2-076cae5f91c1</t>
        </is>
      </c>
      <c r="D653" s="5" t="inlineStr">
        <is>
          <t>01a1212c-4b57-70cf-80fd-c2192cb3bf81</t>
        </is>
      </c>
      <c r="E653" s="4" t="n">
        <v>46304.6242604956</v>
      </c>
      <c r="F653" s="4" t="n">
        <v>46304.62426049569</v>
      </c>
      <c r="G653" t="b">
        <v>1</v>
      </c>
      <c r="I653" t="inlineStr">
        <is>
          <t>AUD</t>
        </is>
      </c>
      <c r="J653" t="n">
        <v>5.229</v>
      </c>
      <c r="K653" s="5" t="inlineStr">
        <is>
          <t>01a1212c-6fd7-7372-ba43-20c51ef00ee0</t>
        </is>
      </c>
      <c r="L653" s="5" t="inlineStr">
        <is>
          <t>01a1212c-a31f-7418-b8c4-7e234f854ae3</t>
        </is>
      </c>
      <c r="M653" s="6" t="n">
        <v>45108</v>
      </c>
    </row>
    <row r="654">
      <c r="A654" s="5" t="inlineStr">
        <is>
          <t>01a1212c-a3f0-75b3-991a-3e7c20d7d8b9</t>
        </is>
      </c>
      <c r="D654" s="5" t="inlineStr">
        <is>
          <t>01a1212c-4b57-70cf-80fd-c2192cb3bf81</t>
        </is>
      </c>
      <c r="E654" s="4" t="n">
        <v>46304.6242605681</v>
      </c>
      <c r="F654" s="4" t="n">
        <v>46304.62426056818</v>
      </c>
      <c r="G654" t="b">
        <v>1</v>
      </c>
      <c r="I654" t="inlineStr">
        <is>
          <t>AUD</t>
        </is>
      </c>
      <c r="J654" t="n">
        <v>5.229</v>
      </c>
      <c r="K654" s="5" t="inlineStr">
        <is>
          <t>01a1212c-7230-7671-90fb-9b2a12ecb44c</t>
        </is>
      </c>
      <c r="L654" s="5" t="inlineStr">
        <is>
          <t>01a1212c-a31f-7418-b8c4-7e234f854ae3</t>
        </is>
      </c>
      <c r="M654" s="6" t="n">
        <v>45108</v>
      </c>
    </row>
    <row r="655">
      <c r="A655" s="5" t="inlineStr">
        <is>
          <t>01a1212c-a3f7-71ff-93e2-89e6398e940f</t>
        </is>
      </c>
      <c r="D655" s="5" t="inlineStr">
        <is>
          <t>01a1212c-4b57-70cf-80fd-c2192cb3bf81</t>
        </is>
      </c>
      <c r="E655" s="4" t="n">
        <v>46304.62426064901</v>
      </c>
      <c r="F655" s="4" t="n">
        <v>46304.62426064909</v>
      </c>
      <c r="G655" t="b">
        <v>1</v>
      </c>
      <c r="I655" t="inlineStr">
        <is>
          <t>AUD</t>
        </is>
      </c>
      <c r="J655" t="n">
        <v>5.229</v>
      </c>
      <c r="K655" s="5" t="inlineStr">
        <is>
          <t>01a1212c-769c-724d-bdf2-5a3b65015030</t>
        </is>
      </c>
      <c r="L655" s="5" t="inlineStr">
        <is>
          <t>01a1212c-a31f-7418-b8c4-7e234f854ae3</t>
        </is>
      </c>
      <c r="M655" s="6" t="n">
        <v>45108</v>
      </c>
    </row>
    <row r="656">
      <c r="A656" s="5" t="inlineStr">
        <is>
          <t>01a1212c-a3fe-7439-aad8-9a908224044a</t>
        </is>
      </c>
      <c r="D656" s="5" t="inlineStr">
        <is>
          <t>01a1212c-4b57-70cf-80fd-c2192cb3bf81</t>
        </is>
      </c>
      <c r="E656" s="4" t="n">
        <v>46304.62426072222</v>
      </c>
      <c r="F656" s="4" t="n">
        <v>46304.62426072229</v>
      </c>
      <c r="G656" t="b">
        <v>1</v>
      </c>
      <c r="I656" t="inlineStr">
        <is>
          <t>AUD</t>
        </is>
      </c>
      <c r="J656" t="n">
        <v>5.229</v>
      </c>
      <c r="K656" s="5" t="inlineStr">
        <is>
          <t>01a1212c-76c8-72fb-848d-f490971720af</t>
        </is>
      </c>
      <c r="L656" s="5" t="inlineStr">
        <is>
          <t>01a1212c-a31f-7418-b8c4-7e234f854ae3</t>
        </is>
      </c>
      <c r="M656" s="6" t="n">
        <v>45108</v>
      </c>
    </row>
    <row r="657">
      <c r="A657" s="5" t="inlineStr">
        <is>
          <t>01a1212c-a404-76e3-81a8-ae98c7f2c6d0</t>
        </is>
      </c>
      <c r="D657" s="5" t="inlineStr">
        <is>
          <t>01a1212c-4b57-70cf-80fd-c2192cb3bf81</t>
        </is>
      </c>
      <c r="E657" s="4" t="n">
        <v>46304.62426079728</v>
      </c>
      <c r="F657" s="4" t="n">
        <v>46304.62426079746</v>
      </c>
      <c r="G657" t="b">
        <v>1</v>
      </c>
      <c r="I657" t="inlineStr">
        <is>
          <t>AUD</t>
        </is>
      </c>
      <c r="J657" t="n">
        <v>5.229</v>
      </c>
      <c r="K657" s="5" t="inlineStr">
        <is>
          <t>01a1212c-777a-75f6-97da-4f344ffae56e</t>
        </is>
      </c>
      <c r="L657" s="5" t="inlineStr">
        <is>
          <t>01a1212c-a31f-7418-b8c4-7e234f854ae3</t>
        </is>
      </c>
      <c r="M657" s="6" t="n">
        <v>45108</v>
      </c>
    </row>
    <row r="658">
      <c r="A658" s="5" t="inlineStr">
        <is>
          <t>01a1212c-a40b-77b5-8d0b-3ad78d3a6e91</t>
        </is>
      </c>
      <c r="D658" s="5" t="inlineStr">
        <is>
          <t>01a1212c-4b57-70cf-80fd-c2192cb3bf81</t>
        </is>
      </c>
      <c r="E658" s="4" t="n">
        <v>46304.62426087065</v>
      </c>
      <c r="F658" s="4" t="n">
        <v>46304.62426087072</v>
      </c>
      <c r="G658" t="b">
        <v>1</v>
      </c>
      <c r="I658" t="inlineStr">
        <is>
          <t>AUD</t>
        </is>
      </c>
      <c r="J658" t="n">
        <v>5.229</v>
      </c>
      <c r="K658" s="5" t="inlineStr">
        <is>
          <t>01a1212c-77d4-75d1-964a-4a82d5606ddd</t>
        </is>
      </c>
      <c r="L658" s="5" t="inlineStr">
        <is>
          <t>01a1212c-a31f-7418-b8c4-7e234f854ae3</t>
        </is>
      </c>
      <c r="M658" s="6" t="n">
        <v>45108</v>
      </c>
    </row>
    <row r="659">
      <c r="A659" s="5" t="inlineStr">
        <is>
          <t>01a1212c-a411-773e-8790-2ca511fdf94c</t>
        </is>
      </c>
      <c r="D659" s="5" t="inlineStr">
        <is>
          <t>01a1212c-4b57-70cf-80fd-c2192cb3bf81</t>
        </is>
      </c>
      <c r="E659" s="4" t="n">
        <v>46304.62426093912</v>
      </c>
      <c r="F659" s="4" t="n">
        <v>46304.62426093919</v>
      </c>
      <c r="G659" t="b">
        <v>1</v>
      </c>
      <c r="I659" t="inlineStr">
        <is>
          <t>AUD</t>
        </is>
      </c>
      <c r="J659" t="n">
        <v>5.229</v>
      </c>
      <c r="K659" s="5" t="inlineStr">
        <is>
          <t>01a1212c-78c3-76a7-bbb9-ea3eccef616f</t>
        </is>
      </c>
      <c r="L659" s="5" t="inlineStr">
        <is>
          <t>01a1212c-a31f-7418-b8c4-7e234f854ae3</t>
        </is>
      </c>
      <c r="M659" s="6" t="n">
        <v>45108</v>
      </c>
    </row>
    <row r="660">
      <c r="A660" s="5" t="inlineStr">
        <is>
          <t>01a1212c-a417-7393-898e-b6cb0d0d7b5b</t>
        </is>
      </c>
      <c r="D660" s="5" t="inlineStr">
        <is>
          <t>01a1212c-4b57-70cf-80fd-c2192cb3bf81</t>
        </is>
      </c>
      <c r="E660" s="4" t="n">
        <v>46304.62426101555</v>
      </c>
      <c r="F660" s="4" t="n">
        <v>46304.62426101563</v>
      </c>
      <c r="G660" t="b">
        <v>1</v>
      </c>
      <c r="I660" t="inlineStr">
        <is>
          <t>AUD</t>
        </is>
      </c>
      <c r="J660" t="n">
        <v>5.229</v>
      </c>
      <c r="K660" s="5" t="inlineStr">
        <is>
          <t>01a1212c-7acf-776d-9f34-f2ae81760b32</t>
        </is>
      </c>
      <c r="L660" s="5" t="inlineStr">
        <is>
          <t>01a1212c-a31f-7418-b8c4-7e234f854ae3</t>
        </is>
      </c>
      <c r="M660" s="6" t="n">
        <v>45108</v>
      </c>
    </row>
    <row r="661">
      <c r="A661" s="5" t="inlineStr">
        <is>
          <t>01a1212c-a41d-75d5-a150-815101d4da88</t>
        </is>
      </c>
      <c r="D661" s="5" t="inlineStr">
        <is>
          <t>01a1212c-4b57-70cf-80fd-c2192cb3bf81</t>
        </is>
      </c>
      <c r="E661" s="4" t="n">
        <v>46304.62426108197</v>
      </c>
      <c r="F661" s="4" t="n">
        <v>46304.62426108203</v>
      </c>
      <c r="G661" t="b">
        <v>1</v>
      </c>
      <c r="I661" t="inlineStr">
        <is>
          <t>AUD</t>
        </is>
      </c>
      <c r="J661" t="n">
        <v>5.6025</v>
      </c>
      <c r="K661" s="5" t="inlineStr">
        <is>
          <t>01a1212c-6b88-7320-ad83-9bb2175f9188</t>
        </is>
      </c>
      <c r="L661" s="5" t="inlineStr">
        <is>
          <t>01a1212c-a31f-7418-b8c4-7e234f854ae3</t>
        </is>
      </c>
      <c r="M661" s="6" t="n">
        <v>45108</v>
      </c>
    </row>
    <row r="662">
      <c r="A662" s="5" t="inlineStr">
        <is>
          <t>01a1212c-a423-74e5-a925-b8e8afaab231</t>
        </is>
      </c>
      <c r="D662" s="5" t="inlineStr">
        <is>
          <t>01a1212c-4b57-70cf-80fd-c2192cb3bf81</t>
        </is>
      </c>
      <c r="E662" s="4" t="n">
        <v>46304.62426115135</v>
      </c>
      <c r="F662" s="4" t="n">
        <v>46304.62426115141</v>
      </c>
      <c r="G662" t="b">
        <v>1</v>
      </c>
      <c r="I662" t="inlineStr">
        <is>
          <t>AUD</t>
        </is>
      </c>
      <c r="J662" t="n">
        <v>5.6025</v>
      </c>
      <c r="K662" s="5" t="inlineStr">
        <is>
          <t>01a1212c-6d37-7104-9bae-6b11207df2ba</t>
        </is>
      </c>
      <c r="L662" s="5" t="inlineStr">
        <is>
          <t>01a1212c-a31f-7418-b8c4-7e234f854ae3</t>
        </is>
      </c>
      <c r="M662" s="6" t="n">
        <v>45108</v>
      </c>
    </row>
    <row r="663">
      <c r="A663" s="5" t="inlineStr">
        <is>
          <t>01a1212c-a429-73f6-b8dd-6cc6f1ee49bb</t>
        </is>
      </c>
      <c r="D663" s="5" t="inlineStr">
        <is>
          <t>01a1212c-4b57-70cf-80fd-c2192cb3bf81</t>
        </is>
      </c>
      <c r="E663" s="4" t="n">
        <v>46304.62426121834</v>
      </c>
      <c r="F663" s="4" t="n">
        <v>46304.62426121841</v>
      </c>
      <c r="G663" t="b">
        <v>1</v>
      </c>
      <c r="I663" t="inlineStr">
        <is>
          <t>AUD</t>
        </is>
      </c>
      <c r="J663" t="n">
        <v>5.6025</v>
      </c>
      <c r="K663" s="5" t="inlineStr">
        <is>
          <t>01a1212c-6f94-71c9-8280-59efd47efd80</t>
        </is>
      </c>
      <c r="L663" s="5" t="inlineStr">
        <is>
          <t>01a1212c-a31f-7418-b8c4-7e234f854ae3</t>
        </is>
      </c>
      <c r="M663" s="6" t="n">
        <v>45108</v>
      </c>
    </row>
    <row r="664">
      <c r="A664" s="5" t="inlineStr">
        <is>
          <t>01a1212c-a42f-7639-b6af-02cec192ef43</t>
        </is>
      </c>
      <c r="D664" s="5" t="inlineStr">
        <is>
          <t>01a1212c-4b57-70cf-80fd-c2192cb3bf81</t>
        </is>
      </c>
      <c r="E664" s="4" t="n">
        <v>46304.6242612863</v>
      </c>
      <c r="F664" s="4" t="n">
        <v>46304.62426128636</v>
      </c>
      <c r="G664" t="b">
        <v>1</v>
      </c>
      <c r="I664" t="inlineStr">
        <is>
          <t>AUD</t>
        </is>
      </c>
      <c r="J664" t="n">
        <v>5.6025</v>
      </c>
      <c r="K664" s="5" t="inlineStr">
        <is>
          <t>01a1212c-719a-7616-bf3b-b6ee9e3119c7</t>
        </is>
      </c>
      <c r="L664" s="5" t="inlineStr">
        <is>
          <t>01a1212c-a31f-7418-b8c4-7e234f854ae3</t>
        </is>
      </c>
      <c r="M664" s="6" t="n">
        <v>45108</v>
      </c>
    </row>
    <row r="665">
      <c r="A665" s="5" t="inlineStr">
        <is>
          <t>01a1212c-a435-746d-9651-a3909ef15c8b</t>
        </is>
      </c>
      <c r="D665" s="5" t="inlineStr">
        <is>
          <t>01a1212c-4b57-70cf-80fd-c2192cb3bf81</t>
        </is>
      </c>
      <c r="E665" s="4" t="n">
        <v>46304.62426135851</v>
      </c>
      <c r="F665" s="4" t="n">
        <v>46304.62426135859</v>
      </c>
      <c r="G665" t="b">
        <v>1</v>
      </c>
      <c r="I665" t="inlineStr">
        <is>
          <t>AUD</t>
        </is>
      </c>
      <c r="J665" t="n">
        <v>5.6025</v>
      </c>
      <c r="K665" s="5" t="inlineStr">
        <is>
          <t>01a1212c-7515-75a9-bea4-d4a41e7286ba</t>
        </is>
      </c>
      <c r="L665" s="5" t="inlineStr">
        <is>
          <t>01a1212c-a31f-7418-b8c4-7e234f854ae3</t>
        </is>
      </c>
      <c r="M665" s="6" t="n">
        <v>45108</v>
      </c>
    </row>
    <row r="666">
      <c r="A666" s="5" t="inlineStr">
        <is>
          <t>01a1212c-a43c-72f8-802b-ea5d05050a40</t>
        </is>
      </c>
      <c r="D666" s="5" t="inlineStr">
        <is>
          <t>01a1212c-4b57-70cf-80fd-c2192cb3bf81</t>
        </is>
      </c>
      <c r="E666" s="4" t="n">
        <v>46304.62426144126</v>
      </c>
      <c r="F666" s="4" t="n">
        <v>46304.62426144133</v>
      </c>
      <c r="G666" t="b">
        <v>1</v>
      </c>
      <c r="I666" t="inlineStr">
        <is>
          <t>AUD</t>
        </is>
      </c>
      <c r="J666" t="n">
        <v>5.6025</v>
      </c>
      <c r="K666" s="5" t="inlineStr">
        <is>
          <t>01a1212c-75aa-735b-b4ee-0e53e375e6f4</t>
        </is>
      </c>
      <c r="L666" s="5" t="inlineStr">
        <is>
          <t>01a1212c-a31f-7418-b8c4-7e234f854ae3</t>
        </is>
      </c>
      <c r="M666" s="6" t="n">
        <v>45108</v>
      </c>
    </row>
    <row r="667">
      <c r="A667" s="5" t="inlineStr">
        <is>
          <t>01a1212c-a443-7199-84e7-08f7417761e9</t>
        </is>
      </c>
      <c r="D667" s="5" t="inlineStr">
        <is>
          <t>01a1212c-4b57-70cf-80fd-c2192cb3bf81</t>
        </is>
      </c>
      <c r="E667" s="4" t="n">
        <v>46304.62426152248</v>
      </c>
      <c r="F667" s="4" t="n">
        <v>46304.62426152256</v>
      </c>
      <c r="G667" t="b">
        <v>1</v>
      </c>
      <c r="I667" t="inlineStr">
        <is>
          <t>AUD</t>
        </is>
      </c>
      <c r="J667" t="n">
        <v>5.6025</v>
      </c>
      <c r="K667" s="5" t="inlineStr">
        <is>
          <t>01a1212c-7911-7380-b8bc-fe5bcacfa72b</t>
        </is>
      </c>
      <c r="L667" s="5" t="inlineStr">
        <is>
          <t>01a1212c-a31f-7418-b8c4-7e234f854ae3</t>
        </is>
      </c>
      <c r="M667" s="6" t="n">
        <v>45108</v>
      </c>
    </row>
    <row r="668">
      <c r="A668" s="5" t="inlineStr">
        <is>
          <t>01a1212c-a44a-7657-a25c-2d4ed568fc89</t>
        </is>
      </c>
      <c r="D668" s="5" t="inlineStr">
        <is>
          <t>01a1212c-4b57-70cf-80fd-c2192cb3bf81</t>
        </is>
      </c>
      <c r="E668" s="4" t="n">
        <v>46304.62426160541</v>
      </c>
      <c r="F668" s="4" t="n">
        <v>46304.62426160547</v>
      </c>
      <c r="G668" t="b">
        <v>1</v>
      </c>
      <c r="I668" t="inlineStr">
        <is>
          <t>AUD</t>
        </is>
      </c>
      <c r="J668" t="n">
        <v>5.6025</v>
      </c>
      <c r="K668" s="5" t="inlineStr">
        <is>
          <t>01a1212c-7afb-7749-9b51-b6fefc63a55f</t>
        </is>
      </c>
      <c r="L668" s="5" t="inlineStr">
        <is>
          <t>01a1212c-a31f-7418-b8c4-7e234f854ae3</t>
        </is>
      </c>
      <c r="M668" s="6" t="n">
        <v>45108</v>
      </c>
    </row>
    <row r="669">
      <c r="A669" s="5" t="inlineStr">
        <is>
          <t>01a1212c-a450-72ce-b769-c287d553f107</t>
        </is>
      </c>
      <c r="D669" s="5" t="inlineStr">
        <is>
          <t>01a1212c-4b57-70cf-80fd-c2192cb3bf81</t>
        </is>
      </c>
      <c r="E669" s="4" t="n">
        <v>46304.62426167391</v>
      </c>
      <c r="F669" s="4" t="n">
        <v>46304.62426167399</v>
      </c>
      <c r="G669" t="b">
        <v>1</v>
      </c>
      <c r="I669" t="inlineStr">
        <is>
          <t>AUD</t>
        </is>
      </c>
      <c r="J669" t="n">
        <v>5.976</v>
      </c>
      <c r="K669" s="5" t="inlineStr">
        <is>
          <t>01a1212c-6ed1-75e4-b466-1b906512bd95</t>
        </is>
      </c>
      <c r="L669" s="5" t="inlineStr">
        <is>
          <t>01a1212c-a31f-7418-b8c4-7e234f854ae3</t>
        </is>
      </c>
      <c r="M669" s="6" t="n">
        <v>45108</v>
      </c>
    </row>
    <row r="670">
      <c r="A670" s="5" t="inlineStr">
        <is>
          <t>01a1212c-a457-771e-89e8-cd3e824c32db</t>
        </is>
      </c>
      <c r="D670" s="5" t="inlineStr">
        <is>
          <t>01a1212c-4b57-70cf-80fd-c2192cb3bf81</t>
        </is>
      </c>
      <c r="E670" s="4" t="n">
        <v>46304.6242617525</v>
      </c>
      <c r="F670" s="4" t="n">
        <v>46304.62426175258</v>
      </c>
      <c r="G670" t="b">
        <v>1</v>
      </c>
      <c r="I670" t="inlineStr">
        <is>
          <t>AUD</t>
        </is>
      </c>
      <c r="J670" t="n">
        <v>5.976</v>
      </c>
      <c r="K670" s="5" t="inlineStr">
        <is>
          <t>01a1212c-757f-767f-8272-690dfe1bbf2a</t>
        </is>
      </c>
      <c r="L670" s="5" t="inlineStr">
        <is>
          <t>01a1212c-a31f-7418-b8c4-7e234f854ae3</t>
        </is>
      </c>
      <c r="M670" s="6" t="n">
        <v>45108</v>
      </c>
    </row>
    <row r="671">
      <c r="A671" s="5" t="inlineStr">
        <is>
          <t>01a1212c-a45d-7298-852c-5b4c63214b48</t>
        </is>
      </c>
      <c r="D671" s="5" t="inlineStr">
        <is>
          <t>01a1212c-4b57-70cf-80fd-c2192cb3bf81</t>
        </is>
      </c>
      <c r="E671" s="4" t="n">
        <v>46304.62426182062</v>
      </c>
      <c r="F671" s="4" t="n">
        <v>46304.6242618207</v>
      </c>
      <c r="G671" t="b">
        <v>1</v>
      </c>
      <c r="I671" t="inlineStr">
        <is>
          <t>AUD</t>
        </is>
      </c>
      <c r="J671" t="n">
        <v>5.976</v>
      </c>
      <c r="K671" s="5" t="inlineStr">
        <is>
          <t>01a1212c-7bbf-72f9-807c-119d1e33d98c</t>
        </is>
      </c>
      <c r="L671" s="5" t="inlineStr">
        <is>
          <t>01a1212c-a31f-7418-b8c4-7e234f854ae3</t>
        </is>
      </c>
      <c r="M671" s="6" t="n">
        <v>45108</v>
      </c>
    </row>
    <row r="672">
      <c r="A672" s="5" t="inlineStr">
        <is>
          <t>01a1212c-a463-72fd-bc66-c83aff198f01</t>
        </is>
      </c>
      <c r="D672" s="5" t="inlineStr">
        <is>
          <t>01a1212c-4b57-70cf-80fd-c2192cb3bf81</t>
        </is>
      </c>
      <c r="E672" s="4" t="n">
        <v>46304.62426188777</v>
      </c>
      <c r="F672" s="4" t="n">
        <v>46304.62426188784</v>
      </c>
      <c r="G672" t="b">
        <v>1</v>
      </c>
      <c r="I672" t="inlineStr">
        <is>
          <t>AUD</t>
        </is>
      </c>
      <c r="J672" t="n">
        <v>6.3495</v>
      </c>
      <c r="K672" s="5" t="inlineStr">
        <is>
          <t>01a1212c-6cde-735d-babb-fd56e63b9d5a</t>
        </is>
      </c>
      <c r="L672" s="5" t="inlineStr">
        <is>
          <t>01a1212c-a31f-7418-b8c4-7e234f854ae3</t>
        </is>
      </c>
      <c r="M672" s="6" t="n">
        <v>45108</v>
      </c>
    </row>
    <row r="673">
      <c r="A673" s="5" t="inlineStr">
        <is>
          <t>01a1212c-a468-7306-aee3-46f158549d9c</t>
        </is>
      </c>
      <c r="D673" s="5" t="inlineStr">
        <is>
          <t>01a1212c-4b57-70cf-80fd-c2192cb3bf81</t>
        </is>
      </c>
      <c r="E673" s="4" t="n">
        <v>46304.62426195387</v>
      </c>
      <c r="F673" s="4" t="n">
        <v>46304.62426195393</v>
      </c>
      <c r="G673" t="b">
        <v>1</v>
      </c>
      <c r="I673" t="inlineStr">
        <is>
          <t>AUD</t>
        </is>
      </c>
      <c r="J673" t="n">
        <v>6.3495</v>
      </c>
      <c r="K673" s="5" t="inlineStr">
        <is>
          <t>01a1212c-7157-7567-ba2e-f5a2ea2a31ab</t>
        </is>
      </c>
      <c r="L673" s="5" t="inlineStr">
        <is>
          <t>01a1212c-a31f-7418-b8c4-7e234f854ae3</t>
        </is>
      </c>
      <c r="M673" s="6" t="n">
        <v>45108</v>
      </c>
    </row>
    <row r="674">
      <c r="A674" s="5" t="inlineStr">
        <is>
          <t>01a1212c-a46e-7245-a0ae-6def1f7b4688</t>
        </is>
      </c>
      <c r="D674" s="5" t="inlineStr">
        <is>
          <t>01a1212c-4b57-70cf-80fd-c2192cb3bf81</t>
        </is>
      </c>
      <c r="E674" s="4" t="n">
        <v>46304.62426201865</v>
      </c>
      <c r="F674" s="4" t="n">
        <v>46304.62426201872</v>
      </c>
      <c r="G674" t="b">
        <v>1</v>
      </c>
      <c r="I674" t="inlineStr">
        <is>
          <t>AUD</t>
        </is>
      </c>
      <c r="J674" t="n">
        <v>6.723</v>
      </c>
      <c r="K674" s="5" t="inlineStr">
        <is>
          <t>01a1212c-6bf3-7787-bc84-0bf70e1c811f</t>
        </is>
      </c>
      <c r="L674" s="5" t="inlineStr">
        <is>
          <t>01a1212c-a31f-7418-b8c4-7e234f854ae3</t>
        </is>
      </c>
      <c r="M674" s="6" t="n">
        <v>45108</v>
      </c>
    </row>
    <row r="675">
      <c r="A675" s="5" t="inlineStr">
        <is>
          <t>01a1212c-a474-70d6-834d-4e904a92bf22</t>
        </is>
      </c>
      <c r="D675" s="5" t="inlineStr">
        <is>
          <t>01a1212c-4b57-70cf-80fd-c2192cb3bf81</t>
        </is>
      </c>
      <c r="E675" s="4" t="n">
        <v>46304.62426209215</v>
      </c>
      <c r="F675" s="4" t="n">
        <v>46304.62426209222</v>
      </c>
      <c r="G675" t="b">
        <v>1</v>
      </c>
      <c r="I675" t="inlineStr">
        <is>
          <t>AUD</t>
        </is>
      </c>
      <c r="J675" t="n">
        <v>6.723</v>
      </c>
      <c r="K675" s="5" t="inlineStr">
        <is>
          <t>01a1212c-6dcc-720d-a5fa-03db95e8cb05</t>
        </is>
      </c>
      <c r="L675" s="5" t="inlineStr">
        <is>
          <t>01a1212c-a31f-7418-b8c4-7e234f854ae3</t>
        </is>
      </c>
      <c r="M675" s="6" t="n">
        <v>45108</v>
      </c>
    </row>
    <row r="676">
      <c r="A676" s="5" t="inlineStr">
        <is>
          <t>01a1212c-a47b-7388-83fd-eac69897988e</t>
        </is>
      </c>
      <c r="D676" s="5" t="inlineStr">
        <is>
          <t>01a1212c-4b57-70cf-80fd-c2192cb3bf81</t>
        </is>
      </c>
      <c r="E676" s="4" t="n">
        <v>46304.62426216865</v>
      </c>
      <c r="F676" s="4" t="n">
        <v>46304.62426216871</v>
      </c>
      <c r="G676" t="b">
        <v>1</v>
      </c>
      <c r="I676" t="inlineStr">
        <is>
          <t>AUD</t>
        </is>
      </c>
      <c r="J676" t="n">
        <v>6.723</v>
      </c>
      <c r="K676" s="5" t="inlineStr">
        <is>
          <t>01a1212c-7093-74e6-b33d-06958030fa15</t>
        </is>
      </c>
      <c r="L676" s="5" t="inlineStr">
        <is>
          <t>01a1212c-a31f-7418-b8c4-7e234f854ae3</t>
        </is>
      </c>
      <c r="M676" s="6" t="n">
        <v>45108</v>
      </c>
    </row>
    <row r="677">
      <c r="A677" s="5" t="inlineStr">
        <is>
          <t>01a1212c-a481-73e4-9d73-95dbcaacfe71</t>
        </is>
      </c>
      <c r="D677" s="5" t="inlineStr">
        <is>
          <t>01a1212c-4b57-70cf-80fd-c2192cb3bf81</t>
        </is>
      </c>
      <c r="E677" s="4" t="n">
        <v>46304.62426224234</v>
      </c>
      <c r="F677" s="4" t="n">
        <v>46304.62426224242</v>
      </c>
      <c r="G677" t="b">
        <v>1</v>
      </c>
      <c r="I677" t="inlineStr">
        <is>
          <t>AUD</t>
        </is>
      </c>
      <c r="J677" t="n">
        <v>7.0965</v>
      </c>
      <c r="K677" s="5" t="inlineStr">
        <is>
          <t>01a1212c-6bc9-7747-8a7e-e6bec07ce141</t>
        </is>
      </c>
      <c r="L677" s="5" t="inlineStr">
        <is>
          <t>01a1212c-a31f-7418-b8c4-7e234f854ae3</t>
        </is>
      </c>
      <c r="M677" s="6" t="n">
        <v>45108</v>
      </c>
    </row>
    <row r="678">
      <c r="A678" s="5" t="inlineStr">
        <is>
          <t>01a1212c-a487-772a-9954-034f2bfb075b</t>
        </is>
      </c>
      <c r="D678" s="5" t="inlineStr">
        <is>
          <t>01a1212c-4b57-70cf-80fd-c2192cb3bf81</t>
        </is>
      </c>
      <c r="E678" s="4" t="n">
        <v>46304.62426231331</v>
      </c>
      <c r="F678" s="4" t="n">
        <v>46304.62426231338</v>
      </c>
      <c r="G678" t="b">
        <v>1</v>
      </c>
      <c r="I678" t="inlineStr">
        <is>
          <t>AUD</t>
        </is>
      </c>
      <c r="J678" t="n">
        <v>7.0965</v>
      </c>
      <c r="K678" s="5" t="inlineStr">
        <is>
          <t>01a1212c-7b26-73b6-a1c9-7ef1ffc647f5</t>
        </is>
      </c>
      <c r="L678" s="5" t="inlineStr">
        <is>
          <t>01a1212c-a31f-7418-b8c4-7e234f854ae3</t>
        </is>
      </c>
      <c r="M678" s="6" t="n">
        <v>45108</v>
      </c>
    </row>
    <row r="679">
      <c r="A679" s="5" t="inlineStr">
        <is>
          <t>01a1212c-a48d-76e2-b12a-619718f29244</t>
        </is>
      </c>
      <c r="D679" s="5" t="inlineStr">
        <is>
          <t>01a1212c-4b57-70cf-80fd-c2192cb3bf81</t>
        </is>
      </c>
      <c r="E679" s="4" t="n">
        <v>46304.62426238215</v>
      </c>
      <c r="F679" s="4" t="n">
        <v>46304.62426238223</v>
      </c>
      <c r="G679" t="b">
        <v>1</v>
      </c>
      <c r="I679" t="inlineStr">
        <is>
          <t>AUD</t>
        </is>
      </c>
      <c r="J679" t="n">
        <v>7.0965</v>
      </c>
      <c r="K679" s="5" t="inlineStr">
        <is>
          <t>01a1212c-7be9-7245-9c15-bd3cb83542ff</t>
        </is>
      </c>
      <c r="L679" s="5" t="inlineStr">
        <is>
          <t>01a1212c-a31f-7418-b8c4-7e234f854ae3</t>
        </is>
      </c>
      <c r="M679" s="6" t="n">
        <v>45108</v>
      </c>
    </row>
    <row r="680">
      <c r="A680" s="5" t="inlineStr">
        <is>
          <t>01a1212c-a494-7351-ac42-c3178fd1c90f</t>
        </is>
      </c>
      <c r="D680" s="5" t="inlineStr">
        <is>
          <t>01a1212c-4b57-70cf-80fd-c2192cb3bf81</t>
        </is>
      </c>
      <c r="E680" s="4" t="n">
        <v>46304.62426245675</v>
      </c>
      <c r="F680" s="4" t="n">
        <v>46304.62426245683</v>
      </c>
      <c r="G680" t="b">
        <v>1</v>
      </c>
      <c r="I680" t="inlineStr">
        <is>
          <t>AUD</t>
        </is>
      </c>
      <c r="J680" t="n">
        <v>7.47</v>
      </c>
      <c r="K680" s="5" t="inlineStr">
        <is>
          <t>01a1212c-6a83-75e3-a976-646e71a73596</t>
        </is>
      </c>
      <c r="L680" s="5" t="inlineStr">
        <is>
          <t>01a1212c-a31f-7418-b8c4-7e234f854ae3</t>
        </is>
      </c>
      <c r="M680" s="6" t="n">
        <v>45108</v>
      </c>
    </row>
    <row r="681">
      <c r="A681" s="5" t="inlineStr">
        <is>
          <t>01a1212c-a49a-753c-a45b-b119bb4b3179</t>
        </is>
      </c>
      <c r="D681" s="5" t="inlineStr">
        <is>
          <t>01a1212c-4b57-70cf-80fd-c2192cb3bf81</t>
        </is>
      </c>
      <c r="E681" s="4" t="n">
        <v>46304.6242625288</v>
      </c>
      <c r="F681" s="4" t="n">
        <v>46304.62426252887</v>
      </c>
      <c r="G681" t="b">
        <v>1</v>
      </c>
      <c r="I681" t="inlineStr">
        <is>
          <t>AUD</t>
        </is>
      </c>
      <c r="J681" t="n">
        <v>7.47</v>
      </c>
      <c r="K681" s="5" t="inlineStr">
        <is>
          <t>01a1212c-6c5e-707b-87c6-5fa973c4227c</t>
        </is>
      </c>
      <c r="L681" s="5" t="inlineStr">
        <is>
          <t>01a1212c-a31f-7418-b8c4-7e234f854ae3</t>
        </is>
      </c>
      <c r="M681" s="6" t="n">
        <v>45108</v>
      </c>
    </row>
    <row r="682">
      <c r="A682" s="5" t="inlineStr">
        <is>
          <t>01a1212c-a4a0-76de-b040-ee891afde323</t>
        </is>
      </c>
      <c r="D682" s="5" t="inlineStr">
        <is>
          <t>01a1212c-4b57-70cf-80fd-c2192cb3bf81</t>
        </is>
      </c>
      <c r="E682" s="4" t="n">
        <v>46304.62426259962</v>
      </c>
      <c r="F682" s="4" t="n">
        <v>46304.62426259969</v>
      </c>
      <c r="G682" t="b">
        <v>1</v>
      </c>
      <c r="I682" t="inlineStr">
        <is>
          <t>AUD</t>
        </is>
      </c>
      <c r="J682" t="n">
        <v>7.47</v>
      </c>
      <c r="K682" s="5" t="inlineStr">
        <is>
          <t>01a1212c-730f-762d-91e1-ab5755aaf176</t>
        </is>
      </c>
      <c r="L682" s="5" t="inlineStr">
        <is>
          <t>01a1212c-a31f-7418-b8c4-7e234f854ae3</t>
        </is>
      </c>
      <c r="M682" s="6" t="n">
        <v>45108</v>
      </c>
    </row>
    <row r="683">
      <c r="A683" s="5" t="inlineStr">
        <is>
          <t>01a1212c-a4a6-77e0-831c-59aecfab37c8</t>
        </is>
      </c>
      <c r="D683" s="5" t="inlineStr">
        <is>
          <t>01a1212c-4b57-70cf-80fd-c2192cb3bf81</t>
        </is>
      </c>
      <c r="E683" s="4" t="n">
        <v>46304.62426266891</v>
      </c>
      <c r="F683" s="4" t="n">
        <v>46304.62426266898</v>
      </c>
      <c r="G683" t="b">
        <v>1</v>
      </c>
      <c r="I683" t="inlineStr">
        <is>
          <t>AUD</t>
        </is>
      </c>
      <c r="J683" t="n">
        <v>7.47</v>
      </c>
      <c r="K683" s="5" t="inlineStr">
        <is>
          <t>01a1212c-7709-72df-b553-3dec9cf59792</t>
        </is>
      </c>
      <c r="L683" s="5" t="inlineStr">
        <is>
          <t>01a1212c-a31f-7418-b8c4-7e234f854ae3</t>
        </is>
      </c>
      <c r="M683" s="6" t="n">
        <v>45108</v>
      </c>
    </row>
    <row r="684">
      <c r="A684" s="5" t="inlineStr">
        <is>
          <t>01a1212c-a4ac-7000-af04-65d1278380d2</t>
        </is>
      </c>
      <c r="D684" s="5" t="inlineStr">
        <is>
          <t>01a1212c-4b57-70cf-80fd-c2192cb3bf81</t>
        </is>
      </c>
      <c r="E684" s="4" t="n">
        <v>46304.62426273743</v>
      </c>
      <c r="F684" s="4" t="n">
        <v>46304.6242627375</v>
      </c>
      <c r="G684" t="b">
        <v>1</v>
      </c>
      <c r="I684" t="inlineStr">
        <is>
          <t>AUD</t>
        </is>
      </c>
      <c r="J684" t="n">
        <v>7.47</v>
      </c>
      <c r="K684" s="5" t="inlineStr">
        <is>
          <t>01a1212c-7984-77e5-aa4d-ea4f7dd9e0be</t>
        </is>
      </c>
      <c r="L684" s="5" t="inlineStr">
        <is>
          <t>01a1212c-a31f-7418-b8c4-7e234f854ae3</t>
        </is>
      </c>
      <c r="M684" s="6" t="n">
        <v>45108</v>
      </c>
    </row>
    <row r="685">
      <c r="A685" s="5" t="inlineStr">
        <is>
          <t>01a1212c-a4b2-769d-bbf8-fceeb6f9696b</t>
        </is>
      </c>
      <c r="D685" s="5" t="inlineStr">
        <is>
          <t>01a1212c-4b57-70cf-80fd-c2192cb3bf81</t>
        </is>
      </c>
      <c r="E685" s="4" t="n">
        <v>46304.6242628063</v>
      </c>
      <c r="F685" s="4" t="n">
        <v>46304.62426280638</v>
      </c>
      <c r="G685" t="b">
        <v>1</v>
      </c>
      <c r="I685" t="inlineStr">
        <is>
          <t>AUD</t>
        </is>
      </c>
      <c r="J685" t="n">
        <v>7.47</v>
      </c>
      <c r="K685" s="5" t="inlineStr">
        <is>
          <t>01a1212c-7a08-70cb-88cc-0d955086d8aa</t>
        </is>
      </c>
      <c r="L685" s="5" t="inlineStr">
        <is>
          <t>01a1212c-a31f-7418-b8c4-7e234f854ae3</t>
        </is>
      </c>
      <c r="M685" s="6" t="n">
        <v>45108</v>
      </c>
    </row>
    <row r="686">
      <c r="A686" s="5" t="inlineStr">
        <is>
          <t>01a1212c-a4b8-732a-a93e-1ac0e4377f38</t>
        </is>
      </c>
      <c r="D686" s="5" t="inlineStr">
        <is>
          <t>01a1212c-4b57-70cf-80fd-c2192cb3bf81</t>
        </is>
      </c>
      <c r="E686" s="4" t="n">
        <v>46304.62426287191</v>
      </c>
      <c r="F686" s="4" t="n">
        <v>46304.62426287198</v>
      </c>
      <c r="G686" t="b">
        <v>1</v>
      </c>
      <c r="I686" t="inlineStr">
        <is>
          <t>AUD</t>
        </is>
      </c>
      <c r="J686" t="n">
        <v>7.8435</v>
      </c>
      <c r="K686" s="5" t="inlineStr">
        <is>
          <t>01a1212c-6e20-73a5-aefe-85160cb166ee</t>
        </is>
      </c>
      <c r="L686" s="5" t="inlineStr">
        <is>
          <t>01a1212c-a31f-7418-b8c4-7e234f854ae3</t>
        </is>
      </c>
      <c r="M686" s="6" t="n">
        <v>45108</v>
      </c>
    </row>
    <row r="687">
      <c r="A687" s="5" t="inlineStr">
        <is>
          <t>01a1212c-a4bd-749f-96b5-ffbf8026f5bd</t>
        </is>
      </c>
      <c r="D687" s="5" t="inlineStr">
        <is>
          <t>01a1212c-4b57-70cf-80fd-c2192cb3bf81</t>
        </is>
      </c>
      <c r="E687" s="4" t="n">
        <v>46304.62426293959</v>
      </c>
      <c r="F687" s="4" t="n">
        <v>46304.62426293965</v>
      </c>
      <c r="G687" t="b">
        <v>1</v>
      </c>
      <c r="I687" t="inlineStr">
        <is>
          <t>AUD</t>
        </is>
      </c>
      <c r="J687" t="n">
        <v>7.8435</v>
      </c>
      <c r="K687" s="5" t="inlineStr">
        <is>
          <t>01a1212c-733d-76f3-baba-b9d3c48b5990</t>
        </is>
      </c>
      <c r="L687" s="5" t="inlineStr">
        <is>
          <t>01a1212c-a31f-7418-b8c4-7e234f854ae3</t>
        </is>
      </c>
      <c r="M687" s="6" t="n">
        <v>45108</v>
      </c>
    </row>
    <row r="688">
      <c r="A688" s="5" t="inlineStr">
        <is>
          <t>01a1212c-a4c4-73bf-98e0-9ceed0b0921e</t>
        </is>
      </c>
      <c r="D688" s="5" t="inlineStr">
        <is>
          <t>01a1212c-4b57-70cf-80fd-c2192cb3bf81</t>
        </is>
      </c>
      <c r="E688" s="4" t="n">
        <v>46304.62426301141</v>
      </c>
      <c r="F688" s="4" t="n">
        <v>46304.62426301148</v>
      </c>
      <c r="G688" t="b">
        <v>1</v>
      </c>
      <c r="I688" t="inlineStr">
        <is>
          <t>AUD</t>
        </is>
      </c>
      <c r="J688" t="n">
        <v>7.8435</v>
      </c>
      <c r="K688" s="5" t="inlineStr">
        <is>
          <t>01a1212c-7396-7143-a0d0-9983b89d9143</t>
        </is>
      </c>
      <c r="L688" s="5" t="inlineStr">
        <is>
          <t>01a1212c-a31f-7418-b8c4-7e234f854ae3</t>
        </is>
      </c>
      <c r="M688" s="6" t="n">
        <v>45108</v>
      </c>
    </row>
    <row r="689">
      <c r="A689" s="5" t="inlineStr">
        <is>
          <t>01a1212c-a4ca-7110-97a6-54e914a6c34e</t>
        </is>
      </c>
      <c r="D689" s="5" t="inlineStr">
        <is>
          <t>01a1212c-4b57-70cf-80fd-c2192cb3bf81</t>
        </is>
      </c>
      <c r="E689" s="4" t="n">
        <v>46304.62426308003</v>
      </c>
      <c r="F689" s="4" t="n">
        <v>46304.62426308009</v>
      </c>
      <c r="G689" t="b">
        <v>1</v>
      </c>
      <c r="I689" t="inlineStr">
        <is>
          <t>AUD</t>
        </is>
      </c>
      <c r="J689" t="n">
        <v>7.8435</v>
      </c>
      <c r="K689" s="5" t="inlineStr">
        <is>
          <t>01a1212c-753f-736c-986a-a53b3d31334e</t>
        </is>
      </c>
      <c r="L689" s="5" t="inlineStr">
        <is>
          <t>01a1212c-a31f-7418-b8c4-7e234f854ae3</t>
        </is>
      </c>
      <c r="M689" s="6" t="n">
        <v>45108</v>
      </c>
    </row>
    <row r="690">
      <c r="A690" s="5" t="inlineStr">
        <is>
          <t>01a1212c-a4cf-7101-955d-8bd7336394d3</t>
        </is>
      </c>
      <c r="D690" s="5" t="inlineStr">
        <is>
          <t>01a1212c-4b57-70cf-80fd-c2192cb3bf81</t>
        </is>
      </c>
      <c r="E690" s="4" t="n">
        <v>46304.6242631481</v>
      </c>
      <c r="F690" s="4" t="n">
        <v>46304.62426314817</v>
      </c>
      <c r="G690" t="b">
        <v>1</v>
      </c>
      <c r="I690" t="inlineStr">
        <is>
          <t>AUD</t>
        </is>
      </c>
      <c r="J690" t="n">
        <v>7.8435</v>
      </c>
      <c r="K690" s="5" t="inlineStr">
        <is>
          <t>01a1212c-75ec-7606-87d2-d682d2730242</t>
        </is>
      </c>
      <c r="L690" s="5" t="inlineStr">
        <is>
          <t>01a1212c-a31f-7418-b8c4-7e234f854ae3</t>
        </is>
      </c>
      <c r="M690" s="6" t="n">
        <v>45108</v>
      </c>
    </row>
    <row r="691">
      <c r="A691" s="5" t="inlineStr">
        <is>
          <t>01a1212c-a4d5-76bc-9edc-c983d7ec1f1c</t>
        </is>
      </c>
      <c r="D691" s="5" t="inlineStr">
        <is>
          <t>01a1212c-4b57-70cf-80fd-c2192cb3bf81</t>
        </is>
      </c>
      <c r="E691" s="4" t="n">
        <v>46304.62426321806</v>
      </c>
      <c r="F691" s="4" t="n">
        <v>46304.62426321812</v>
      </c>
      <c r="G691" t="b">
        <v>1</v>
      </c>
      <c r="I691" t="inlineStr">
        <is>
          <t>AUD</t>
        </is>
      </c>
      <c r="J691" t="n">
        <v>7.8435</v>
      </c>
      <c r="K691" s="5" t="inlineStr">
        <is>
          <t>01a1212c-765b-777c-ab2d-721a20593158</t>
        </is>
      </c>
      <c r="L691" s="5" t="inlineStr">
        <is>
          <t>01a1212c-a31f-7418-b8c4-7e234f854ae3</t>
        </is>
      </c>
      <c r="M691" s="6" t="n">
        <v>45108</v>
      </c>
    </row>
    <row r="692">
      <c r="A692" s="5" t="inlineStr">
        <is>
          <t>01a1212c-a4db-703f-8e2a-4f47b618ac5e</t>
        </is>
      </c>
      <c r="D692" s="5" t="inlineStr">
        <is>
          <t>01a1212c-4b57-70cf-80fd-c2192cb3bf81</t>
        </is>
      </c>
      <c r="E692" s="4" t="n">
        <v>46304.62426328452</v>
      </c>
      <c r="F692" s="4" t="n">
        <v>46304.62426328458</v>
      </c>
      <c r="G692" t="b">
        <v>1</v>
      </c>
      <c r="I692" t="inlineStr">
        <is>
          <t>AUD</t>
        </is>
      </c>
      <c r="J692" t="n">
        <v>8.217000000000001</v>
      </c>
      <c r="K692" s="5" t="inlineStr">
        <is>
          <t>01a1212c-6896-70d6-844d-33deb9ce2d14</t>
        </is>
      </c>
      <c r="L692" s="5" t="inlineStr">
        <is>
          <t>01a1212c-a31f-7418-b8c4-7e234f854ae3</t>
        </is>
      </c>
      <c r="M692" s="6" t="n">
        <v>45108</v>
      </c>
    </row>
    <row r="693">
      <c r="A693" s="5" t="inlineStr">
        <is>
          <t>01a1212c-a4e1-756a-90c8-29d23e7ef694</t>
        </is>
      </c>
      <c r="D693" s="5" t="inlineStr">
        <is>
          <t>01a1212c-4b57-70cf-80fd-c2192cb3bf81</t>
        </is>
      </c>
      <c r="E693" s="4" t="n">
        <v>46304.62426335739</v>
      </c>
      <c r="F693" s="4" t="n">
        <v>46304.62426335747</v>
      </c>
      <c r="G693" t="b">
        <v>1</v>
      </c>
      <c r="I693" t="inlineStr">
        <is>
          <t>AUD</t>
        </is>
      </c>
      <c r="J693" t="n">
        <v>8.217000000000001</v>
      </c>
      <c r="K693" s="5" t="inlineStr">
        <is>
          <t>01a1212c-6d0a-76f3-b162-b89428bc8b86</t>
        </is>
      </c>
      <c r="L693" s="5" t="inlineStr">
        <is>
          <t>01a1212c-a31f-7418-b8c4-7e234f854ae3</t>
        </is>
      </c>
      <c r="M693" s="6" t="n">
        <v>45108</v>
      </c>
    </row>
    <row r="694">
      <c r="A694" s="5" t="inlineStr">
        <is>
          <t>01a1212c-a4e7-720b-9644-c981ee81b52f</t>
        </is>
      </c>
      <c r="D694" s="5" t="inlineStr">
        <is>
          <t>01a1212c-4b57-70cf-80fd-c2192cb3bf81</t>
        </is>
      </c>
      <c r="E694" s="4" t="n">
        <v>46304.62426342624</v>
      </c>
      <c r="F694" s="4" t="n">
        <v>46304.62426342631</v>
      </c>
      <c r="G694" t="b">
        <v>1</v>
      </c>
      <c r="I694" t="inlineStr">
        <is>
          <t>AUD</t>
        </is>
      </c>
      <c r="J694" t="n">
        <v>8.217000000000001</v>
      </c>
      <c r="K694" s="5" t="inlineStr">
        <is>
          <t>01a1212c-7479-730c-8151-93b8e93442c2</t>
        </is>
      </c>
      <c r="L694" s="5" t="inlineStr">
        <is>
          <t>01a1212c-a31f-7418-b8c4-7e234f854ae3</t>
        </is>
      </c>
      <c r="M694" s="6" t="n">
        <v>45108</v>
      </c>
    </row>
    <row r="695">
      <c r="A695" s="5" t="inlineStr">
        <is>
          <t>01a1212c-a4ed-75cd-ac43-b62a4b9a7eef</t>
        </is>
      </c>
      <c r="D695" s="5" t="inlineStr">
        <is>
          <t>01a1212c-4b57-70cf-80fd-c2192cb3bf81</t>
        </is>
      </c>
      <c r="E695" s="4" t="n">
        <v>46304.62426349414</v>
      </c>
      <c r="F695" s="4" t="n">
        <v>46304.62426349421</v>
      </c>
      <c r="G695" t="b">
        <v>1</v>
      </c>
      <c r="I695" t="inlineStr">
        <is>
          <t>AUD</t>
        </is>
      </c>
      <c r="J695" t="n">
        <v>8.217000000000001</v>
      </c>
      <c r="K695" s="5" t="inlineStr">
        <is>
          <t>01a1212c-74e5-7395-a1a4-2bc2487a534d</t>
        </is>
      </c>
      <c r="L695" s="5" t="inlineStr">
        <is>
          <t>01a1212c-a31f-7418-b8c4-7e234f854ae3</t>
        </is>
      </c>
      <c r="M695" s="6" t="n">
        <v>45108</v>
      </c>
    </row>
    <row r="696">
      <c r="A696" s="5" t="inlineStr">
        <is>
          <t>01a1212c-a4f3-7792-b6d1-c5020b585054</t>
        </is>
      </c>
      <c r="D696" s="5" t="inlineStr">
        <is>
          <t>01a1212c-4b57-70cf-80fd-c2192cb3bf81</t>
        </is>
      </c>
      <c r="E696" s="4" t="n">
        <v>46304.62426356564</v>
      </c>
      <c r="F696" s="4" t="n">
        <v>46304.6242635657</v>
      </c>
      <c r="G696" t="b">
        <v>1</v>
      </c>
      <c r="I696" t="inlineStr">
        <is>
          <t>AUD</t>
        </is>
      </c>
      <c r="J696" t="n">
        <v>8.5905</v>
      </c>
      <c r="K696" s="5" t="inlineStr">
        <is>
          <t>01a1212c-6d8a-7538-8ed2-1bed262cc3a3</t>
        </is>
      </c>
      <c r="L696" s="5" t="inlineStr">
        <is>
          <t>01a1212c-a31f-7418-b8c4-7e234f854ae3</t>
        </is>
      </c>
      <c r="M696" s="6" t="n">
        <v>45108</v>
      </c>
    </row>
    <row r="697">
      <c r="A697" s="5" t="inlineStr">
        <is>
          <t>01a1212c-a4f9-70ae-9d5c-189bf95c6d1c</t>
        </is>
      </c>
      <c r="D697" s="5" t="inlineStr">
        <is>
          <t>01a1212c-4b57-70cf-80fd-c2192cb3bf81</t>
        </is>
      </c>
      <c r="E697" s="4" t="n">
        <v>46304.62426363414</v>
      </c>
      <c r="F697" s="4" t="n">
        <v>46304.62426363421</v>
      </c>
      <c r="G697" t="b">
        <v>1</v>
      </c>
      <c r="I697" t="inlineStr">
        <is>
          <t>AUD</t>
        </is>
      </c>
      <c r="J697" t="n">
        <v>8.5905</v>
      </c>
      <c r="K697" s="5" t="inlineStr">
        <is>
          <t>01a1212c-6f14-75ce-b122-ae5ab106d8e8</t>
        </is>
      </c>
      <c r="L697" s="5" t="inlineStr">
        <is>
          <t>01a1212c-a31f-7418-b8c4-7e234f854ae3</t>
        </is>
      </c>
      <c r="M697" s="6" t="n">
        <v>45108</v>
      </c>
    </row>
    <row r="698">
      <c r="A698" s="5" t="inlineStr">
        <is>
          <t>01a1212c-a500-76e2-b185-8aee726a0d51</t>
        </is>
      </c>
      <c r="D698" s="5" t="inlineStr">
        <is>
          <t>01a1212c-4b57-70cf-80fd-c2192cb3bf81</t>
        </is>
      </c>
      <c r="E698" s="4" t="n">
        <v>46304.62426370555</v>
      </c>
      <c r="F698" s="4" t="n">
        <v>46304.62426370593</v>
      </c>
      <c r="G698" t="b">
        <v>1</v>
      </c>
      <c r="I698" t="inlineStr">
        <is>
          <t>AUD</t>
        </is>
      </c>
      <c r="J698" t="n">
        <v>8.5905</v>
      </c>
      <c r="K698" s="5" t="inlineStr">
        <is>
          <t>01a1212c-7117-7388-8792-335c487cf88f</t>
        </is>
      </c>
      <c r="L698" s="5" t="inlineStr">
        <is>
          <t>01a1212c-a31f-7418-b8c4-7e234f854ae3</t>
        </is>
      </c>
      <c r="M698" s="6" t="n">
        <v>45108</v>
      </c>
    </row>
    <row r="699">
      <c r="A699" s="5" t="inlineStr">
        <is>
          <t>01a1212c-a507-708c-9624-73e66ee562c6</t>
        </is>
      </c>
      <c r="D699" s="5" t="inlineStr">
        <is>
          <t>01a1212c-4b57-70cf-80fd-c2192cb3bf81</t>
        </is>
      </c>
      <c r="E699" s="4" t="n">
        <v>46304.62426378873</v>
      </c>
      <c r="F699" s="4" t="n">
        <v>46304.6242637888</v>
      </c>
      <c r="G699" t="b">
        <v>1</v>
      </c>
      <c r="I699" t="inlineStr">
        <is>
          <t>AUD</t>
        </is>
      </c>
      <c r="J699" t="n">
        <v>8.5905</v>
      </c>
      <c r="K699" s="5" t="inlineStr">
        <is>
          <t>01a1212c-7431-7269-8782-d6ec933249b5</t>
        </is>
      </c>
      <c r="L699" s="5" t="inlineStr">
        <is>
          <t>01a1212c-a31f-7418-b8c4-7e234f854ae3</t>
        </is>
      </c>
      <c r="M699" s="6" t="n">
        <v>45108</v>
      </c>
    </row>
    <row r="700">
      <c r="A700" s="5" t="inlineStr">
        <is>
          <t>01a1212c-a50d-7119-8251-9e46938ba7dd</t>
        </is>
      </c>
      <c r="D700" s="5" t="inlineStr">
        <is>
          <t>01a1212c-4b57-70cf-80fd-c2192cb3bf81</t>
        </is>
      </c>
      <c r="E700" s="4" t="n">
        <v>46304.62426385953</v>
      </c>
      <c r="F700" s="4" t="n">
        <v>46304.62426385959</v>
      </c>
      <c r="G700" t="b">
        <v>1</v>
      </c>
      <c r="I700" t="inlineStr">
        <is>
          <t>AUD</t>
        </is>
      </c>
      <c r="J700" t="n">
        <v>8.5905</v>
      </c>
      <c r="K700" s="5" t="inlineStr">
        <is>
          <t>01a1212c-7aa5-75d5-bf94-ec295d881aed</t>
        </is>
      </c>
      <c r="L700" s="5" t="inlineStr">
        <is>
          <t>01a1212c-a31f-7418-b8c4-7e234f854ae3</t>
        </is>
      </c>
      <c r="M700" s="6" t="n">
        <v>45108</v>
      </c>
    </row>
    <row r="701">
      <c r="A701" s="5" t="inlineStr">
        <is>
          <t>01a1212c-a514-77e8-a410-7eeb242d411c</t>
        </is>
      </c>
      <c r="D701" s="5" t="inlineStr">
        <is>
          <t>01a1212c-4b57-70cf-80fd-c2192cb3bf81</t>
        </is>
      </c>
      <c r="E701" s="4" t="n">
        <v>46304.62426394314</v>
      </c>
      <c r="F701" s="4" t="n">
        <v>46304.62426394322</v>
      </c>
      <c r="G701" t="b">
        <v>1</v>
      </c>
      <c r="I701" t="inlineStr">
        <is>
          <t>AUD</t>
        </is>
      </c>
      <c r="J701" t="n">
        <v>8.964</v>
      </c>
      <c r="K701" s="5" t="inlineStr">
        <is>
          <t>01a1212c-6b44-7386-8841-c9a13ab8602b</t>
        </is>
      </c>
      <c r="L701" s="5" t="inlineStr">
        <is>
          <t>01a1212c-a31f-7418-b8c4-7e234f854ae3</t>
        </is>
      </c>
      <c r="M701" s="6" t="n">
        <v>45108</v>
      </c>
    </row>
    <row r="702">
      <c r="A702" s="5" t="inlineStr">
        <is>
          <t>01a1212c-a51b-76eb-aba2-c987e46e8c3c</t>
        </is>
      </c>
      <c r="D702" s="5" t="inlineStr">
        <is>
          <t>01a1212c-4b57-70cf-80fd-c2192cb3bf81</t>
        </is>
      </c>
      <c r="E702" s="4" t="n">
        <v>46304.62426402161</v>
      </c>
      <c r="F702" s="4" t="n">
        <v>46304.62426402169</v>
      </c>
      <c r="G702" t="b">
        <v>1</v>
      </c>
      <c r="I702" t="inlineStr">
        <is>
          <t>AUD</t>
        </is>
      </c>
      <c r="J702" t="n">
        <v>8.964</v>
      </c>
      <c r="K702" s="5" t="inlineStr">
        <is>
          <t>01a1212c-70ec-7549-97f2-cc3906a47674</t>
        </is>
      </c>
      <c r="L702" s="5" t="inlineStr">
        <is>
          <t>01a1212c-a31f-7418-b8c4-7e234f854ae3</t>
        </is>
      </c>
      <c r="M702" s="6" t="n">
        <v>45108</v>
      </c>
    </row>
    <row r="703">
      <c r="A703" s="5" t="inlineStr">
        <is>
          <t>01a1212c-a522-7796-bc82-f7998f46a313</t>
        </is>
      </c>
      <c r="D703" s="5" t="inlineStr">
        <is>
          <t>01a1212c-4b57-70cf-80fd-c2192cb3bf81</t>
        </is>
      </c>
      <c r="E703" s="4" t="n">
        <v>46304.62426409937</v>
      </c>
      <c r="F703" s="4" t="n">
        <v>46304.62426409945</v>
      </c>
      <c r="G703" t="b">
        <v>1</v>
      </c>
      <c r="I703" t="inlineStr">
        <is>
          <t>AUD</t>
        </is>
      </c>
      <c r="J703" t="n">
        <v>8.964</v>
      </c>
      <c r="K703" s="5" t="inlineStr">
        <is>
          <t>01a1212c-71ee-7697-ac4a-eeeb04d71bcc</t>
        </is>
      </c>
      <c r="L703" s="5" t="inlineStr">
        <is>
          <t>01a1212c-a31f-7418-b8c4-7e234f854ae3</t>
        </is>
      </c>
      <c r="M703" s="6" t="n">
        <v>45108</v>
      </c>
    </row>
    <row r="704">
      <c r="A704" s="5" t="inlineStr">
        <is>
          <t>01a1212c-a529-755e-9134-0afaf77e956b</t>
        </is>
      </c>
      <c r="D704" s="5" t="inlineStr">
        <is>
          <t>01a1212c-4b57-70cf-80fd-c2192cb3bf81</t>
        </is>
      </c>
      <c r="E704" s="4" t="n">
        <v>46304.6242641857</v>
      </c>
      <c r="F704" s="4" t="n">
        <v>46304.62426418579</v>
      </c>
      <c r="G704" t="b">
        <v>1</v>
      </c>
      <c r="I704" t="inlineStr">
        <is>
          <t>AUD</t>
        </is>
      </c>
      <c r="J704" t="n">
        <v>9.3376</v>
      </c>
      <c r="K704" s="5" t="inlineStr">
        <is>
          <t>01a1212c-6a2e-75f8-b19d-5dc788e0d375</t>
        </is>
      </c>
      <c r="L704" s="5" t="inlineStr">
        <is>
          <t>01a1212c-a31f-7418-b8c4-7e234f854ae3</t>
        </is>
      </c>
      <c r="M704" s="6" t="n">
        <v>45108</v>
      </c>
    </row>
    <row r="705">
      <c r="A705" s="5" t="inlineStr">
        <is>
          <t>01a1212c-a530-7075-8c6c-48f6729e4387</t>
        </is>
      </c>
      <c r="D705" s="5" t="inlineStr">
        <is>
          <t>01a1212c-4b57-70cf-80fd-c2192cb3bf81</t>
        </is>
      </c>
      <c r="E705" s="4" t="n">
        <v>46304.62426426537</v>
      </c>
      <c r="F705" s="4" t="n">
        <v>46304.62426426548</v>
      </c>
      <c r="G705" t="b">
        <v>1</v>
      </c>
      <c r="I705" t="inlineStr">
        <is>
          <t>AUD</t>
        </is>
      </c>
      <c r="J705" t="n">
        <v>9.3376</v>
      </c>
      <c r="K705" s="5" t="inlineStr">
        <is>
          <t>01a1212c-7000-7766-ae79-871c98d5aa0c</t>
        </is>
      </c>
      <c r="L705" s="5" t="inlineStr">
        <is>
          <t>01a1212c-a31f-7418-b8c4-7e234f854ae3</t>
        </is>
      </c>
      <c r="M705" s="6" t="n">
        <v>45108</v>
      </c>
    </row>
    <row r="706">
      <c r="A706" s="5" t="inlineStr">
        <is>
          <t>01a1212c-a537-7280-9b60-c6508104fe17</t>
        </is>
      </c>
      <c r="D706" s="5" t="inlineStr">
        <is>
          <t>01a1212c-4b57-70cf-80fd-c2192cb3bf81</t>
        </is>
      </c>
      <c r="E706" s="4" t="n">
        <v>46304.62426434753</v>
      </c>
      <c r="F706" s="4" t="n">
        <v>46304.62426434761</v>
      </c>
      <c r="G706" t="b">
        <v>1</v>
      </c>
      <c r="I706" t="inlineStr">
        <is>
          <t>AUD</t>
        </is>
      </c>
      <c r="J706" t="n">
        <v>9.7111</v>
      </c>
      <c r="K706" s="5" t="inlineStr">
        <is>
          <t>01a1212c-6e7d-7269-818d-4fc41e4043b6</t>
        </is>
      </c>
      <c r="L706" s="5" t="inlineStr">
        <is>
          <t>01a1212c-a31f-7418-b8c4-7e234f854ae3</t>
        </is>
      </c>
      <c r="M706" s="6" t="n">
        <v>45108</v>
      </c>
    </row>
    <row r="707">
      <c r="A707" s="5" t="inlineStr">
        <is>
          <t>01a1212c-a53d-72e9-90c8-bf553cbbaadd</t>
        </is>
      </c>
      <c r="D707" s="5" t="inlineStr">
        <is>
          <t>01a1212c-4b57-70cf-80fd-c2192cb3bf81</t>
        </is>
      </c>
      <c r="E707" s="4" t="n">
        <v>46304.62426442213</v>
      </c>
      <c r="F707" s="4" t="n">
        <v>46304.6242644222</v>
      </c>
      <c r="G707" t="b">
        <v>1</v>
      </c>
      <c r="I707" t="inlineStr">
        <is>
          <t>AUD</t>
        </is>
      </c>
      <c r="J707" t="n">
        <v>9.7111</v>
      </c>
      <c r="K707" s="5" t="inlineStr">
        <is>
          <t>01a1212c-6f53-7010-bee2-43a946747025</t>
        </is>
      </c>
      <c r="L707" s="5" t="inlineStr">
        <is>
          <t>01a1212c-a31f-7418-b8c4-7e234f854ae3</t>
        </is>
      </c>
      <c r="M707" s="6" t="n">
        <v>45108</v>
      </c>
    </row>
    <row r="708">
      <c r="A708" s="5" t="inlineStr">
        <is>
          <t>01a1212c-a545-72bc-ac97-09164e485c42</t>
        </is>
      </c>
      <c r="D708" s="5" t="inlineStr">
        <is>
          <t>01a1212c-4b57-70cf-80fd-c2192cb3bf81</t>
        </is>
      </c>
      <c r="E708" s="4" t="n">
        <v>46304.62426450798</v>
      </c>
      <c r="F708" s="4" t="n">
        <v>46304.62426450808</v>
      </c>
      <c r="G708" t="b">
        <v>1</v>
      </c>
      <c r="I708" t="inlineStr">
        <is>
          <t>AUD</t>
        </is>
      </c>
      <c r="J708" t="n">
        <v>9.7111</v>
      </c>
      <c r="K708" s="5" t="inlineStr">
        <is>
          <t>01a1212c-703e-7558-9c38-d3ff61fb4ef7</t>
        </is>
      </c>
      <c r="L708" s="5" t="inlineStr">
        <is>
          <t>01a1212c-a31f-7418-b8c4-7e234f854ae3</t>
        </is>
      </c>
      <c r="M708" s="6" t="n">
        <v>45108</v>
      </c>
    </row>
    <row r="709">
      <c r="A709" s="5" t="inlineStr">
        <is>
          <t>01a1212c-a54c-7469-8d4d-0b8bad168e63</t>
        </is>
      </c>
      <c r="D709" s="5" t="inlineStr">
        <is>
          <t>01a1212c-4b57-70cf-80fd-c2192cb3bf81</t>
        </is>
      </c>
      <c r="E709" s="4" t="n">
        <v>46304.62426458471</v>
      </c>
      <c r="F709" s="4" t="n">
        <v>46304.62426458479</v>
      </c>
      <c r="G709" t="b">
        <v>1</v>
      </c>
      <c r="I709" t="inlineStr">
        <is>
          <t>AUD</t>
        </is>
      </c>
      <c r="J709" t="n">
        <v>9.7111</v>
      </c>
      <c r="K709" s="5" t="inlineStr">
        <is>
          <t>01a1212c-71c3-7032-9840-53a08ae86f9c</t>
        </is>
      </c>
      <c r="L709" s="5" t="inlineStr">
        <is>
          <t>01a1212c-a31f-7418-b8c4-7e234f854ae3</t>
        </is>
      </c>
      <c r="M709" s="6" t="n">
        <v>45108</v>
      </c>
    </row>
    <row r="710">
      <c r="A710" s="5" t="inlineStr">
        <is>
          <t>01a1212c-a553-72bb-9f7a-161d9e0a86e5</t>
        </is>
      </c>
      <c r="D710" s="5" t="inlineStr">
        <is>
          <t>01a1212c-4b57-70cf-80fd-c2192cb3bf81</t>
        </is>
      </c>
      <c r="E710" s="4" t="n">
        <v>46304.62426466778</v>
      </c>
      <c r="F710" s="4" t="n">
        <v>46304.62426466784</v>
      </c>
      <c r="G710" t="b">
        <v>1</v>
      </c>
      <c r="I710" t="inlineStr">
        <is>
          <t>AUD</t>
        </is>
      </c>
      <c r="J710" t="n">
        <v>10.0846</v>
      </c>
      <c r="K710" s="5" t="inlineStr">
        <is>
          <t>01a1212c-68f0-738d-8d20-79a1c973b960</t>
        </is>
      </c>
      <c r="L710" s="5" t="inlineStr">
        <is>
          <t>01a1212c-a31f-7418-b8c4-7e234f854ae3</t>
        </is>
      </c>
      <c r="M710" s="6" t="n">
        <v>45108</v>
      </c>
    </row>
    <row r="711">
      <c r="A711" s="5" t="inlineStr">
        <is>
          <t>01a1212c-a559-726f-9e95-cc5065bf106b</t>
        </is>
      </c>
      <c r="D711" s="5" t="inlineStr">
        <is>
          <t>01a1212c-4b57-70cf-80fd-c2192cb3bf81</t>
        </is>
      </c>
      <c r="E711" s="4" t="n">
        <v>46304.62426474012</v>
      </c>
      <c r="F711" s="4" t="n">
        <v>46304.62426474019</v>
      </c>
      <c r="G711" t="b">
        <v>1</v>
      </c>
      <c r="I711" t="inlineStr">
        <is>
          <t>AUD</t>
        </is>
      </c>
      <c r="J711" t="n">
        <v>10.0846</v>
      </c>
      <c r="K711" s="5" t="inlineStr">
        <is>
          <t>01a1212c-6b1b-73e9-a54d-e62e154ff71c</t>
        </is>
      </c>
      <c r="L711" s="5" t="inlineStr">
        <is>
          <t>01a1212c-a31f-7418-b8c4-7e234f854ae3</t>
        </is>
      </c>
      <c r="M711" s="6" t="n">
        <v>45108</v>
      </c>
    </row>
    <row r="712">
      <c r="A712" s="5" t="inlineStr">
        <is>
          <t>01a1212c-a55f-7761-87f0-1cef39528673</t>
        </is>
      </c>
      <c r="D712" s="5" t="inlineStr">
        <is>
          <t>01a1212c-4b57-70cf-80fd-c2192cb3bf81</t>
        </is>
      </c>
      <c r="E712" s="4" t="n">
        <v>46304.62426480871</v>
      </c>
      <c r="F712" s="4" t="n">
        <v>46304.62426480879</v>
      </c>
      <c r="G712" t="b">
        <v>1</v>
      </c>
      <c r="I712" t="inlineStr">
        <is>
          <t>AUD</t>
        </is>
      </c>
      <c r="J712" t="n">
        <v>10.4581</v>
      </c>
      <c r="K712" s="5" t="inlineStr">
        <is>
          <t>01a1212c-6c1d-7297-ba65-fe335d60502e</t>
        </is>
      </c>
      <c r="L712" s="5" t="inlineStr">
        <is>
          <t>01a1212c-a31f-7418-b8c4-7e234f854ae3</t>
        </is>
      </c>
      <c r="M712" s="6" t="n">
        <v>45108</v>
      </c>
    </row>
    <row r="713">
      <c r="A713" s="5" t="inlineStr">
        <is>
          <t>01a1212c-a565-734d-853d-e3e4dcd58c3e</t>
        </is>
      </c>
      <c r="D713" s="5" t="inlineStr">
        <is>
          <t>01a1212c-4b57-70cf-80fd-c2192cb3bf81</t>
        </is>
      </c>
      <c r="E713" s="4" t="n">
        <v>46304.62426488178</v>
      </c>
      <c r="F713" s="4" t="n">
        <v>46304.62426488185</v>
      </c>
      <c r="G713" t="b">
        <v>1</v>
      </c>
      <c r="I713" t="inlineStr">
        <is>
          <t>AUD</t>
        </is>
      </c>
      <c r="J713" t="n">
        <v>10.4581</v>
      </c>
      <c r="K713" s="5" t="inlineStr">
        <is>
          <t>01a1212c-6cb3-74c4-b753-3ced98bb4fa1</t>
        </is>
      </c>
      <c r="L713" s="5" t="inlineStr">
        <is>
          <t>01a1212c-a31f-7418-b8c4-7e234f854ae3</t>
        </is>
      </c>
      <c r="M713" s="6" t="n">
        <v>45108</v>
      </c>
    </row>
    <row r="714">
      <c r="A714" s="5" t="inlineStr">
        <is>
          <t>01a1212c-a56b-70da-a2ec-c7058f0ebba3</t>
        </is>
      </c>
      <c r="D714" s="5" t="inlineStr">
        <is>
          <t>01a1212c-4b57-70cf-80fd-c2192cb3bf81</t>
        </is>
      </c>
      <c r="E714" s="4" t="n">
        <v>46304.62426495011</v>
      </c>
      <c r="F714" s="4" t="n">
        <v>46304.62426495019</v>
      </c>
      <c r="G714" t="b">
        <v>1</v>
      </c>
      <c r="I714" t="inlineStr">
        <is>
          <t>AUD</t>
        </is>
      </c>
      <c r="J714" t="n">
        <v>10.8316</v>
      </c>
      <c r="K714" s="5" t="inlineStr">
        <is>
          <t>01a1212c-6d61-7172-937f-90562bb7a3f9</t>
        </is>
      </c>
      <c r="L714" s="5" t="inlineStr">
        <is>
          <t>01a1212c-a31f-7418-b8c4-7e234f854ae3</t>
        </is>
      </c>
      <c r="M714" s="6" t="n">
        <v>45108</v>
      </c>
    </row>
    <row r="715">
      <c r="A715" s="5" t="inlineStr">
        <is>
          <t>01a1212c-a571-77d5-9aa4-390073792e57</t>
        </is>
      </c>
      <c r="D715" s="5" t="inlineStr">
        <is>
          <t>01a1212c-4b57-70cf-80fd-c2192cb3bf81</t>
        </is>
      </c>
      <c r="E715" s="4" t="n">
        <v>46304.62426502403</v>
      </c>
      <c r="F715" s="4" t="n">
        <v>46304.6242650241</v>
      </c>
      <c r="G715" t="b">
        <v>1</v>
      </c>
      <c r="I715" t="inlineStr">
        <is>
          <t>AUD</t>
        </is>
      </c>
      <c r="J715" t="n">
        <v>11.2051</v>
      </c>
      <c r="K715" s="5" t="inlineStr">
        <is>
          <t>01a1212c-696e-7146-9e01-741d10f2bed2</t>
        </is>
      </c>
      <c r="L715" s="5" t="inlineStr">
        <is>
          <t>01a1212c-a31f-7418-b8c4-7e234f854ae3</t>
        </is>
      </c>
      <c r="M715" s="6" t="n">
        <v>45108</v>
      </c>
    </row>
    <row r="716">
      <c r="A716" s="5" t="inlineStr">
        <is>
          <t>01a1212c-a577-762a-97dd-92e87dc89926</t>
        </is>
      </c>
      <c r="D716" s="5" t="inlineStr">
        <is>
          <t>01a1212c-4b57-70cf-80fd-c2192cb3bf81</t>
        </is>
      </c>
      <c r="E716" s="4" t="n">
        <v>46304.62426509184</v>
      </c>
      <c r="F716" s="4" t="n">
        <v>46304.62426509192</v>
      </c>
      <c r="G716" t="b">
        <v>1</v>
      </c>
      <c r="I716" t="inlineStr">
        <is>
          <t>AUD</t>
        </is>
      </c>
      <c r="J716" t="n">
        <v>11.2051</v>
      </c>
      <c r="K716" s="5" t="inlineStr">
        <is>
          <t>01a1212c-69ed-703d-98c7-86793a7bce47</t>
        </is>
      </c>
      <c r="L716" s="5" t="inlineStr">
        <is>
          <t>01a1212c-a31f-7418-b8c4-7e234f854ae3</t>
        </is>
      </c>
      <c r="M716" s="6" t="n">
        <v>45108</v>
      </c>
    </row>
    <row r="717">
      <c r="A717" s="5" t="inlineStr">
        <is>
          <t>01a1212c-a57d-763d-8682-c638fe2c50d3</t>
        </is>
      </c>
      <c r="D717" s="5" t="inlineStr">
        <is>
          <t>01a1212c-4b57-70cf-80fd-c2192cb3bf81</t>
        </is>
      </c>
      <c r="E717" s="4" t="n">
        <v>46304.62426515942</v>
      </c>
      <c r="F717" s="4" t="n">
        <v>46304.62426515949</v>
      </c>
      <c r="G717" t="b">
        <v>1</v>
      </c>
      <c r="I717" t="inlineStr">
        <is>
          <t>AUD</t>
        </is>
      </c>
      <c r="J717" t="n">
        <v>11.5786</v>
      </c>
      <c r="K717" s="5" t="inlineStr">
        <is>
          <t>01a1212c-6ac3-7045-85af-681a40396939</t>
        </is>
      </c>
      <c r="L717" s="5" t="inlineStr">
        <is>
          <t>01a1212c-a31f-7418-b8c4-7e234f854ae3</t>
        </is>
      </c>
      <c r="M717" s="6" t="n">
        <v>45108</v>
      </c>
    </row>
    <row r="718">
      <c r="A718" s="5" t="inlineStr">
        <is>
          <t>01a1212c-a584-733a-96f2-d404eb3230f6</t>
        </is>
      </c>
      <c r="D718" s="5" t="inlineStr">
        <is>
          <t>01a1212c-4b57-70cf-80fd-c2192cb3bf81</t>
        </is>
      </c>
      <c r="E718" s="4" t="n">
        <v>46304.62426524119</v>
      </c>
      <c r="F718" s="4" t="n">
        <v>46304.62426524128</v>
      </c>
      <c r="G718" t="b">
        <v>1</v>
      </c>
      <c r="I718" t="inlineStr">
        <is>
          <t>AUD</t>
        </is>
      </c>
      <c r="J718" t="n">
        <v>11.9521</v>
      </c>
      <c r="K718" s="5" t="inlineStr">
        <is>
          <t>01a1212c-692f-76c3-8991-b28be5dbbe78</t>
        </is>
      </c>
      <c r="L718" s="5" t="inlineStr">
        <is>
          <t>01a1212c-a31f-7418-b8c4-7e234f854ae3</t>
        </is>
      </c>
      <c r="M718" s="6" t="n">
        <v>45108</v>
      </c>
    </row>
    <row r="719">
      <c r="A719" s="5" t="inlineStr">
        <is>
          <t>01a1212c-a58a-7205-a1b2-0474cdf0d07b</t>
        </is>
      </c>
      <c r="D719" s="5" t="inlineStr">
        <is>
          <t>01a1212c-4b57-70cf-80fd-c2192cb3bf81</t>
        </is>
      </c>
      <c r="E719" s="4" t="n">
        <v>46304.62426531346</v>
      </c>
      <c r="F719" s="4" t="n">
        <v>46304.62426531353</v>
      </c>
      <c r="G719" t="b">
        <v>1</v>
      </c>
      <c r="I719" t="inlineStr">
        <is>
          <t>AUD</t>
        </is>
      </c>
      <c r="J719" t="n">
        <v>13.8211</v>
      </c>
      <c r="K719" s="5" t="inlineStr">
        <is>
          <t>01a1212c-68c3-7400-8c25-aa53cd5ab679</t>
        </is>
      </c>
      <c r="L719" s="5" t="inlineStr">
        <is>
          <t>01a1212c-a31f-7418-b8c4-7e234f854ae3</t>
        </is>
      </c>
      <c r="M719" s="6" t="n">
        <v>45108</v>
      </c>
    </row>
    <row r="720">
      <c r="A720" s="5" t="inlineStr">
        <is>
          <t>01a1212c-a80b-73af-8df6-d2fede92fbdb</t>
        </is>
      </c>
      <c r="D720" s="5" t="inlineStr">
        <is>
          <t>01a1212c-4b57-70cf-80fd-c2192cb3bf81</t>
        </is>
      </c>
      <c r="E720" s="4" t="n">
        <v>46304.62427272758</v>
      </c>
      <c r="F720" s="4" t="n">
        <v>46304.62427272766</v>
      </c>
      <c r="G720" t="b">
        <v>1</v>
      </c>
      <c r="I720" t="inlineStr">
        <is>
          <t>AUD</t>
        </is>
      </c>
      <c r="J720" t="n">
        <v>0.144</v>
      </c>
      <c r="K720" s="5" t="inlineStr">
        <is>
          <t>01a1212c-81f8-7770-a513-1c1ecf61ab04</t>
        </is>
      </c>
      <c r="L720" s="5" t="inlineStr">
        <is>
          <t>01a1212c-a805-700c-af80-50bada88a708</t>
        </is>
      </c>
      <c r="M720" s="6" t="n">
        <v>45474</v>
      </c>
    </row>
    <row r="721">
      <c r="A721" s="5" t="inlineStr">
        <is>
          <t>01a1212c-a812-7001-944e-8b1911f93e69</t>
        </is>
      </c>
      <c r="D721" s="5" t="inlineStr">
        <is>
          <t>01a1212c-4b57-70cf-80fd-c2192cb3bf81</t>
        </is>
      </c>
      <c r="E721" s="4" t="n">
        <v>46304.62427281266</v>
      </c>
      <c r="F721" s="4" t="n">
        <v>46304.62427281274</v>
      </c>
      <c r="G721" t="b">
        <v>1</v>
      </c>
      <c r="I721" t="inlineStr">
        <is>
          <t>AUD</t>
        </is>
      </c>
      <c r="J721" t="n">
        <v>0.2831</v>
      </c>
      <c r="K721" s="5" t="inlineStr">
        <is>
          <t>01a1212c-81cc-7193-aa6d-f9da7479948d</t>
        </is>
      </c>
      <c r="L721" s="5" t="inlineStr">
        <is>
          <t>01a1212c-a805-700c-af80-50bada88a708</t>
        </is>
      </c>
      <c r="M721" s="6" t="n">
        <v>45474</v>
      </c>
    </row>
    <row r="722">
      <c r="A722" s="5" t="inlineStr">
        <is>
          <t>01a1212c-a819-7112-bcf8-d2411d7546be</t>
        </is>
      </c>
      <c r="D722" s="5" t="inlineStr">
        <is>
          <t>01a1212c-4b57-70cf-80fd-c2192cb3bf81</t>
        </is>
      </c>
      <c r="E722" s="4" t="n">
        <v>46304.62427288785</v>
      </c>
      <c r="F722" s="4" t="n">
        <v>46304.62427288793</v>
      </c>
      <c r="G722" t="b">
        <v>1</v>
      </c>
      <c r="I722" t="inlineStr">
        <is>
          <t>AUD</t>
        </is>
      </c>
      <c r="J722" t="n">
        <v>0.7151</v>
      </c>
      <c r="K722" s="5" t="inlineStr">
        <is>
          <t>01a1212c-815e-7000-bd78-b468fcf130ee</t>
        </is>
      </c>
      <c r="L722" s="5" t="inlineStr">
        <is>
          <t>01a1212c-a805-700c-af80-50bada88a708</t>
        </is>
      </c>
      <c r="M722" s="6" t="n">
        <v>45474</v>
      </c>
    </row>
    <row r="723">
      <c r="A723" s="5" t="inlineStr">
        <is>
          <t>01a1212c-a820-7137-abfe-1d058669cc59</t>
        </is>
      </c>
      <c r="D723" s="5" t="inlineStr">
        <is>
          <t>01a1212c-4b57-70cf-80fd-c2192cb3bf81</t>
        </is>
      </c>
      <c r="E723" s="4" t="n">
        <v>46304.6242729749</v>
      </c>
      <c r="F723" s="4" t="n">
        <v>46304.624272975</v>
      </c>
      <c r="G723" t="b">
        <v>1</v>
      </c>
      <c r="I723" t="inlineStr">
        <is>
          <t>AUD</t>
        </is>
      </c>
      <c r="J723" t="n">
        <v>0.874</v>
      </c>
      <c r="K723" s="5" t="inlineStr">
        <is>
          <t>01a1212c-80f0-744b-a890-3949f0d14d87</t>
        </is>
      </c>
      <c r="L723" s="5" t="inlineStr">
        <is>
          <t>01a1212c-a805-700c-af80-50bada88a708</t>
        </is>
      </c>
      <c r="M723" s="6" t="n">
        <v>45474</v>
      </c>
    </row>
    <row r="724">
      <c r="A724" s="5" t="inlineStr">
        <is>
          <t>01a1212c-a827-7313-94ae-52ccdd7556dc</t>
        </is>
      </c>
      <c r="D724" s="5" t="inlineStr">
        <is>
          <t>01a1212c-4b57-70cf-80fd-c2192cb3bf81</t>
        </is>
      </c>
      <c r="E724" s="4" t="n">
        <v>46304.62427305498</v>
      </c>
      <c r="F724" s="4" t="n">
        <v>46304.62427305504</v>
      </c>
      <c r="G724" t="b">
        <v>1</v>
      </c>
      <c r="I724" t="inlineStr">
        <is>
          <t>AUD</t>
        </is>
      </c>
      <c r="J724" t="n">
        <v>0.882</v>
      </c>
      <c r="K724" s="5" t="inlineStr">
        <is>
          <t>01a1212c-811c-7548-8cd1-9aeba16d6df0</t>
        </is>
      </c>
      <c r="L724" s="5" t="inlineStr">
        <is>
          <t>01a1212c-a805-700c-af80-50bada88a708</t>
        </is>
      </c>
      <c r="M724" s="6" t="n">
        <v>45474</v>
      </c>
    </row>
    <row r="725">
      <c r="A725" s="5" t="inlineStr">
        <is>
          <t>01a1212c-a82e-73a4-a93b-d4785ba12e86</t>
        </is>
      </c>
      <c r="D725" s="5" t="inlineStr">
        <is>
          <t>01a1212c-4b57-70cf-80fd-c2192cb3bf81</t>
        </is>
      </c>
      <c r="E725" s="4" t="n">
        <v>46304.62427312743</v>
      </c>
      <c r="F725" s="4" t="n">
        <v>46304.62427312752</v>
      </c>
      <c r="G725" t="b">
        <v>1</v>
      </c>
      <c r="I725" t="inlineStr">
        <is>
          <t>AUD</t>
        </is>
      </c>
      <c r="J725" t="n">
        <v>1.0131</v>
      </c>
      <c r="K725" s="5" t="inlineStr">
        <is>
          <t>01a1212c-818a-75a0-8b3e-376743b5bf4a</t>
        </is>
      </c>
      <c r="L725" s="5" t="inlineStr">
        <is>
          <t>01a1212c-a805-700c-af80-50bada88a708</t>
        </is>
      </c>
      <c r="M725" s="6" t="n">
        <v>45474</v>
      </c>
    </row>
    <row r="726">
      <c r="A726" s="5" t="inlineStr">
        <is>
          <t>01a1212c-a835-734a-af28-129187ec4232</t>
        </is>
      </c>
      <c r="D726" s="5" t="inlineStr">
        <is>
          <t>01a1212c-4b57-70cf-80fd-c2192cb3bf81</t>
        </is>
      </c>
      <c r="E726" s="4" t="n">
        <v>46304.62427321617</v>
      </c>
      <c r="F726" s="4" t="n">
        <v>46304.62427321624</v>
      </c>
      <c r="G726" t="b">
        <v>1</v>
      </c>
      <c r="I726" t="inlineStr">
        <is>
          <t>AUD</t>
        </is>
      </c>
      <c r="J726" t="n">
        <v>1.4531</v>
      </c>
      <c r="K726" s="5" t="inlineStr">
        <is>
          <t>01a1212c-8096-75b4-a199-17279e0a51df</t>
        </is>
      </c>
      <c r="L726" s="5" t="inlineStr">
        <is>
          <t>01a1212c-a805-700c-af80-50bada88a708</t>
        </is>
      </c>
      <c r="M726" s="6" t="n">
        <v>45474</v>
      </c>
    </row>
    <row r="727">
      <c r="A727" s="5" t="inlineStr">
        <is>
          <t>01a1212c-a83d-7746-8214-fa47490e6c7c</t>
        </is>
      </c>
      <c r="D727" s="5" t="inlineStr">
        <is>
          <t>01a1212c-4b57-70cf-80fd-c2192cb3bf81</t>
        </is>
      </c>
      <c r="E727" s="4" t="n">
        <v>46304.62427331065</v>
      </c>
      <c r="F727" s="4" t="n">
        <v>46304.62427331081</v>
      </c>
      <c r="G727" t="b">
        <v>1</v>
      </c>
      <c r="I727" t="inlineStr">
        <is>
          <t>AUD</t>
        </is>
      </c>
      <c r="J727" t="n">
        <v>1.4799</v>
      </c>
      <c r="K727" s="5" t="inlineStr">
        <is>
          <t>01a1212c-7ffd-75da-ba2d-0ae9777055b3</t>
        </is>
      </c>
      <c r="L727" s="5" t="inlineStr">
        <is>
          <t>01a1212c-a805-700c-af80-50bada88a708</t>
        </is>
      </c>
      <c r="M727" s="6" t="n">
        <v>45474</v>
      </c>
    </row>
    <row r="728">
      <c r="A728" s="5" t="inlineStr">
        <is>
          <t>01a1212c-a847-72c0-9a50-e4b78e5b98c0</t>
        </is>
      </c>
      <c r="D728" s="5" t="inlineStr">
        <is>
          <t>01a1212c-4b57-70cf-80fd-c2192cb3bf81</t>
        </is>
      </c>
      <c r="E728" s="4" t="n">
        <v>46304.62427341883</v>
      </c>
      <c r="F728" s="4" t="n">
        <v>46304.62427341892</v>
      </c>
      <c r="G728" t="b">
        <v>1</v>
      </c>
      <c r="I728" t="inlineStr">
        <is>
          <t>AUD</t>
        </is>
      </c>
      <c r="J728" t="n">
        <v>1.5911</v>
      </c>
      <c r="K728" s="5" t="inlineStr">
        <is>
          <t>01a1212c-8028-745b-b530-f777d34a50a3</t>
        </is>
      </c>
      <c r="L728" s="5" t="inlineStr">
        <is>
          <t>01a1212c-a805-700c-af80-50bada88a708</t>
        </is>
      </c>
      <c r="M728" s="6" t="n">
        <v>45474</v>
      </c>
    </row>
    <row r="729">
      <c r="A729" s="5" t="inlineStr">
        <is>
          <t>01a1212c-a84d-7410-9759-823b26d34db2</t>
        </is>
      </c>
      <c r="D729" s="5" t="inlineStr">
        <is>
          <t>01a1212c-4b57-70cf-80fd-c2192cb3bf81</t>
        </is>
      </c>
      <c r="E729" s="4" t="n">
        <v>46304.62427349335</v>
      </c>
      <c r="F729" s="4" t="n">
        <v>46304.62427349343</v>
      </c>
      <c r="G729" t="b">
        <v>1</v>
      </c>
      <c r="I729" t="inlineStr">
        <is>
          <t>AUD</t>
        </is>
      </c>
      <c r="J729" t="n">
        <v>1.8126</v>
      </c>
      <c r="K729" s="5" t="inlineStr">
        <is>
          <t>01a1212c-7619-710a-ac50-f0a300913659</t>
        </is>
      </c>
      <c r="L729" s="5" t="inlineStr">
        <is>
          <t>01a1212c-a805-700c-af80-50bada88a708</t>
        </is>
      </c>
      <c r="M729" s="6" t="n">
        <v>45474</v>
      </c>
    </row>
    <row r="730">
      <c r="A730" s="5" t="inlineStr">
        <is>
          <t>01a1212c-a855-74c0-953e-31a566af783d</t>
        </is>
      </c>
      <c r="D730" s="5" t="inlineStr">
        <is>
          <t>01a1212c-4b57-70cf-80fd-c2192cb3bf81</t>
        </is>
      </c>
      <c r="E730" s="4" t="n">
        <v>46304.62427358432</v>
      </c>
      <c r="F730" s="4" t="n">
        <v>46304.62427358442</v>
      </c>
      <c r="G730" t="b">
        <v>1</v>
      </c>
      <c r="I730" t="inlineStr">
        <is>
          <t>AUD</t>
        </is>
      </c>
      <c r="J730" t="n">
        <v>1.8126</v>
      </c>
      <c r="K730" s="5" t="inlineStr">
        <is>
          <t>01a1212c-7817-75d9-9a5e-b7f889797d9e</t>
        </is>
      </c>
      <c r="L730" s="5" t="inlineStr">
        <is>
          <t>01a1212c-a805-700c-af80-50bada88a708</t>
        </is>
      </c>
      <c r="M730" s="6" t="n">
        <v>45474</v>
      </c>
    </row>
    <row r="731">
      <c r="A731" s="5" t="inlineStr">
        <is>
          <t>01a1212c-a85c-7081-822f-aa59b1ba7630</t>
        </is>
      </c>
      <c r="D731" s="5" t="inlineStr">
        <is>
          <t>01a1212c-4b57-70cf-80fd-c2192cb3bf81</t>
        </is>
      </c>
      <c r="E731" s="4" t="n">
        <v>46304.62427366616</v>
      </c>
      <c r="F731" s="4" t="n">
        <v>46304.62427366622</v>
      </c>
      <c r="G731" t="b">
        <v>1</v>
      </c>
      <c r="I731" t="inlineStr">
        <is>
          <t>AUD</t>
        </is>
      </c>
      <c r="J731" t="n">
        <v>1.8126</v>
      </c>
      <c r="K731" s="5" t="inlineStr">
        <is>
          <t>01a1212c-7854-74b3-a940-c0cb4b7760ea</t>
        </is>
      </c>
      <c r="L731" s="5" t="inlineStr">
        <is>
          <t>01a1212c-a805-700c-af80-50bada88a708</t>
        </is>
      </c>
      <c r="M731" s="6" t="n">
        <v>45474</v>
      </c>
    </row>
    <row r="732">
      <c r="A732" s="5" t="inlineStr">
        <is>
          <t>01a1212c-a863-742e-b7a8-bc895148865e</t>
        </is>
      </c>
      <c r="D732" s="5" t="inlineStr">
        <is>
          <t>01a1212c-4b57-70cf-80fd-c2192cb3bf81</t>
        </is>
      </c>
      <c r="E732" s="4" t="n">
        <v>46304.62427375073</v>
      </c>
      <c r="F732" s="4" t="n">
        <v>46304.6242737508</v>
      </c>
      <c r="G732" t="b">
        <v>1</v>
      </c>
      <c r="I732" t="inlineStr">
        <is>
          <t>AUD</t>
        </is>
      </c>
      <c r="J732" t="n">
        <v>1.8126</v>
      </c>
      <c r="K732" s="5" t="inlineStr">
        <is>
          <t>01a1212c-7ea6-71ad-9cc5-23cdd231e2ec</t>
        </is>
      </c>
      <c r="L732" s="5" t="inlineStr">
        <is>
          <t>01a1212c-a805-700c-af80-50bada88a708</t>
        </is>
      </c>
      <c r="M732" s="6" t="n">
        <v>45474</v>
      </c>
    </row>
    <row r="733">
      <c r="A733" s="5" t="inlineStr">
        <is>
          <t>01a1212c-a86a-7243-89ea-76af656d80f4</t>
        </is>
      </c>
      <c r="D733" s="5" t="inlineStr">
        <is>
          <t>01a1212c-4b57-70cf-80fd-c2192cb3bf81</t>
        </is>
      </c>
      <c r="E733" s="4" t="n">
        <v>46304.62427382537</v>
      </c>
      <c r="F733" s="4" t="n">
        <v>46304.62427382544</v>
      </c>
      <c r="G733" t="b">
        <v>1</v>
      </c>
      <c r="I733" t="inlineStr">
        <is>
          <t>AUD</t>
        </is>
      </c>
      <c r="J733" t="n">
        <v>2.1751</v>
      </c>
      <c r="K733" s="5" t="inlineStr">
        <is>
          <t>01a1212c-73f1-7653-991a-7a458d0c9e1e</t>
        </is>
      </c>
      <c r="L733" s="5" t="inlineStr">
        <is>
          <t>01a1212c-a805-700c-af80-50bada88a708</t>
        </is>
      </c>
      <c r="M733" s="6" t="n">
        <v>45474</v>
      </c>
    </row>
    <row r="734">
      <c r="A734" s="5" t="inlineStr">
        <is>
          <t>01a1212c-a871-72f3-83f9-d843ca56991f</t>
        </is>
      </c>
      <c r="D734" s="5" t="inlineStr">
        <is>
          <t>01a1212c-4b57-70cf-80fd-c2192cb3bf81</t>
        </is>
      </c>
      <c r="E734" s="4" t="n">
        <v>46304.62427390659</v>
      </c>
      <c r="F734" s="4" t="n">
        <v>46304.62427390668</v>
      </c>
      <c r="G734" t="b">
        <v>1</v>
      </c>
      <c r="I734" t="inlineStr">
        <is>
          <t>AUD</t>
        </is>
      </c>
      <c r="J734" t="n">
        <v>2.1751</v>
      </c>
      <c r="K734" s="5" t="inlineStr">
        <is>
          <t>01a1212c-771e-77a4-9a33-9f68d0a94a62</t>
        </is>
      </c>
      <c r="L734" s="5" t="inlineStr">
        <is>
          <t>01a1212c-a805-700c-af80-50bada88a708</t>
        </is>
      </c>
      <c r="M734" s="6" t="n">
        <v>45474</v>
      </c>
    </row>
    <row r="735">
      <c r="A735" s="5" t="inlineStr">
        <is>
          <t>01a1212c-a879-7153-acab-ad10b0ac7841</t>
        </is>
      </c>
      <c r="D735" s="5" t="inlineStr">
        <is>
          <t>01a1212c-4b57-70cf-80fd-c2192cb3bf81</t>
        </is>
      </c>
      <c r="E735" s="4" t="n">
        <v>46304.6242739973</v>
      </c>
      <c r="F735" s="4" t="n">
        <v>46304.62427399738</v>
      </c>
      <c r="G735" t="b">
        <v>1</v>
      </c>
      <c r="I735" t="inlineStr">
        <is>
          <t>AUD</t>
        </is>
      </c>
      <c r="J735" t="n">
        <v>2.1751</v>
      </c>
      <c r="K735" s="5" t="inlineStr">
        <is>
          <t>01a1212c-7927-7749-86a1-3f74fb7da8c1</t>
        </is>
      </c>
      <c r="L735" s="5" t="inlineStr">
        <is>
          <t>01a1212c-a805-700c-af80-50bada88a708</t>
        </is>
      </c>
      <c r="M735" s="6" t="n">
        <v>45474</v>
      </c>
    </row>
    <row r="736">
      <c r="A736" s="5" t="inlineStr">
        <is>
          <t>01a1212c-a87f-71c9-8fb6-86a3032c4216</t>
        </is>
      </c>
      <c r="D736" s="5" t="inlineStr">
        <is>
          <t>01a1212c-4b57-70cf-80fd-c2192cb3bf81</t>
        </is>
      </c>
      <c r="E736" s="4" t="n">
        <v>46304.6242740731</v>
      </c>
      <c r="F736" s="4" t="n">
        <v>46304.62427407317</v>
      </c>
      <c r="G736" t="b">
        <v>1</v>
      </c>
      <c r="I736" t="inlineStr">
        <is>
          <t>AUD</t>
        </is>
      </c>
      <c r="J736" t="n">
        <v>2.1751</v>
      </c>
      <c r="K736" s="5" t="inlineStr">
        <is>
          <t>01a1212c-7f61-7533-8196-5477e4952cf6</t>
        </is>
      </c>
      <c r="L736" s="5" t="inlineStr">
        <is>
          <t>01a1212c-a805-700c-af80-50bada88a708</t>
        </is>
      </c>
      <c r="M736" s="6" t="n">
        <v>45474</v>
      </c>
    </row>
    <row r="737">
      <c r="A737" s="5" t="inlineStr">
        <is>
          <t>01a1212c-a886-73d8-8819-4fc3c8d5489d</t>
        </is>
      </c>
      <c r="D737" s="5" t="inlineStr">
        <is>
          <t>01a1212c-4b57-70cf-80fd-c2192cb3bf81</t>
        </is>
      </c>
      <c r="E737" s="4" t="n">
        <v>46304.62427414607</v>
      </c>
      <c r="F737" s="4" t="n">
        <v>46304.62427414613</v>
      </c>
      <c r="G737" t="b">
        <v>1</v>
      </c>
      <c r="I737" t="inlineStr">
        <is>
          <t>AUD</t>
        </is>
      </c>
      <c r="J737" t="n">
        <v>2.2943</v>
      </c>
      <c r="K737" s="5" t="inlineStr">
        <is>
          <t>01a1212c-7fd2-7231-aacb-7904f54b1267</t>
        </is>
      </c>
      <c r="L737" s="5" t="inlineStr">
        <is>
          <t>01a1212c-a805-700c-af80-50bada88a708</t>
        </is>
      </c>
      <c r="M737" s="6" t="n">
        <v>45474</v>
      </c>
    </row>
    <row r="738">
      <c r="A738" s="5" t="inlineStr">
        <is>
          <t>01a1212c-a88c-71f4-a59c-f363cb0bf191</t>
        </is>
      </c>
      <c r="D738" s="5" t="inlineStr">
        <is>
          <t>01a1212c-4b57-70cf-80fd-c2192cb3bf81</t>
        </is>
      </c>
      <c r="E738" s="4" t="n">
        <v>46304.62427422033</v>
      </c>
      <c r="F738" s="4" t="n">
        <v>46304.6242742204</v>
      </c>
      <c r="G738" t="b">
        <v>1</v>
      </c>
      <c r="I738" t="inlineStr">
        <is>
          <t>AUD</t>
        </is>
      </c>
      <c r="J738" t="n">
        <v>2.3738</v>
      </c>
      <c r="K738" s="5" t="inlineStr">
        <is>
          <t>01a1212c-8054-7378-8841-54bfa8d8dc2e</t>
        </is>
      </c>
      <c r="L738" s="5" t="inlineStr">
        <is>
          <t>01a1212c-a805-700c-af80-50bada88a708</t>
        </is>
      </c>
      <c r="M738" s="6" t="n">
        <v>45474</v>
      </c>
    </row>
    <row r="739">
      <c r="A739" s="5" t="inlineStr">
        <is>
          <t>01a1212c-a892-72a8-8bc7-7e23abafc271</t>
        </is>
      </c>
      <c r="D739" s="5" t="inlineStr">
        <is>
          <t>01a1212c-4b57-70cf-80fd-c2192cb3bf81</t>
        </is>
      </c>
      <c r="E739" s="4" t="n">
        <v>46304.62427429399</v>
      </c>
      <c r="F739" s="4" t="n">
        <v>46304.62427429406</v>
      </c>
      <c r="G739" t="b">
        <v>1</v>
      </c>
      <c r="I739" t="inlineStr">
        <is>
          <t>AUD</t>
        </is>
      </c>
      <c r="J739" t="n">
        <v>2.5377</v>
      </c>
      <c r="K739" s="5" t="inlineStr">
        <is>
          <t>01a1212c-72a3-74de-af7e-8c21374ccb8d</t>
        </is>
      </c>
      <c r="L739" s="5" t="inlineStr">
        <is>
          <t>01a1212c-a805-700c-af80-50bada88a708</t>
        </is>
      </c>
      <c r="M739" s="6" t="n">
        <v>45474</v>
      </c>
    </row>
    <row r="740">
      <c r="A740" s="5" t="inlineStr">
        <is>
          <t>01a1212c-a89b-775d-a61c-26e73d8df562</t>
        </is>
      </c>
      <c r="D740" s="5" t="inlineStr">
        <is>
          <t>01a1212c-4b57-70cf-80fd-c2192cb3bf81</t>
        </is>
      </c>
      <c r="E740" s="4" t="n">
        <v>46304.62427439293</v>
      </c>
      <c r="F740" s="4" t="n">
        <v>46304.62427439304</v>
      </c>
      <c r="G740" t="b">
        <v>1</v>
      </c>
      <c r="I740" t="inlineStr">
        <is>
          <t>AUD</t>
        </is>
      </c>
      <c r="J740" t="n">
        <v>2.5377</v>
      </c>
      <c r="K740" s="5" t="inlineStr">
        <is>
          <t>01a1212c-7b69-77a5-b7c2-ac7ba4a3dd3e</t>
        </is>
      </c>
      <c r="L740" s="5" t="inlineStr">
        <is>
          <t>01a1212c-a805-700c-af80-50bada88a708</t>
        </is>
      </c>
      <c r="M740" s="6" t="n">
        <v>45474</v>
      </c>
    </row>
    <row r="741">
      <c r="A741" s="5" t="inlineStr">
        <is>
          <t>01a1212c-a8a6-746f-806c-9e2d52337840</t>
        </is>
      </c>
      <c r="D741" s="5" t="inlineStr">
        <is>
          <t>01a1212c-4b57-70cf-80fd-c2192cb3bf81</t>
        </is>
      </c>
      <c r="E741" s="4" t="n">
        <v>46304.62427451663</v>
      </c>
      <c r="F741" s="4" t="n">
        <v>46304.62427451677</v>
      </c>
      <c r="G741" t="b">
        <v>1</v>
      </c>
      <c r="I741" t="inlineStr">
        <is>
          <t>AUD</t>
        </is>
      </c>
      <c r="J741" t="n">
        <v>2.5377</v>
      </c>
      <c r="K741" s="5" t="inlineStr">
        <is>
          <t>01a1212c-7c53-76ef-8d31-2b4e643519d3</t>
        </is>
      </c>
      <c r="L741" s="5" t="inlineStr">
        <is>
          <t>01a1212c-a805-700c-af80-50bada88a708</t>
        </is>
      </c>
      <c r="M741" s="6" t="n">
        <v>45474</v>
      </c>
    </row>
    <row r="742">
      <c r="A742" s="5" t="inlineStr">
        <is>
          <t>01a1212c-a8b0-76a8-b901-73680104c9a0</t>
        </is>
      </c>
      <c r="D742" s="5" t="inlineStr">
        <is>
          <t>01a1212c-4b57-70cf-80fd-c2192cb3bf81</t>
        </is>
      </c>
      <c r="E742" s="4" t="n">
        <v>46304.62427463603</v>
      </c>
      <c r="F742" s="4" t="n">
        <v>46304.62427463613</v>
      </c>
      <c r="G742" t="b">
        <v>1</v>
      </c>
      <c r="I742" t="inlineStr">
        <is>
          <t>AUD</t>
        </is>
      </c>
      <c r="J742" t="n">
        <v>2.5377</v>
      </c>
      <c r="K742" s="5" t="inlineStr">
        <is>
          <t>01a1212c-7d33-7324-9c89-c291b3770527</t>
        </is>
      </c>
      <c r="L742" s="5" t="inlineStr">
        <is>
          <t>01a1212c-a805-700c-af80-50bada88a708</t>
        </is>
      </c>
      <c r="M742" s="6" t="n">
        <v>45474</v>
      </c>
    </row>
    <row r="743">
      <c r="A743" s="5" t="inlineStr">
        <is>
          <t>01a1212c-a8b7-7712-807f-0f679db89003</t>
        </is>
      </c>
      <c r="D743" s="5" t="inlineStr">
        <is>
          <t>01a1212c-4b57-70cf-80fd-c2192cb3bf81</t>
        </is>
      </c>
      <c r="E743" s="4" t="n">
        <v>46304.62427472148</v>
      </c>
      <c r="F743" s="4" t="n">
        <v>46304.62427472157</v>
      </c>
      <c r="G743" t="b">
        <v>1</v>
      </c>
      <c r="I743" t="inlineStr">
        <is>
          <t>AUD</t>
        </is>
      </c>
      <c r="J743" t="n">
        <v>2.5377</v>
      </c>
      <c r="K743" s="5" t="inlineStr">
        <is>
          <t>01a1212c-7e50-73f9-807d-1e47e88c5210</t>
        </is>
      </c>
      <c r="L743" s="5" t="inlineStr">
        <is>
          <t>01a1212c-a805-700c-af80-50bada88a708</t>
        </is>
      </c>
      <c r="M743" s="6" t="n">
        <v>45474</v>
      </c>
    </row>
    <row r="744">
      <c r="A744" s="5" t="inlineStr">
        <is>
          <t>01a1212c-a8bf-757e-8486-c0229831791f</t>
        </is>
      </c>
      <c r="D744" s="5" t="inlineStr">
        <is>
          <t>01a1212c-4b57-70cf-80fd-c2192cb3bf81</t>
        </is>
      </c>
      <c r="E744" s="4" t="n">
        <v>46304.6242748049</v>
      </c>
      <c r="F744" s="4" t="n">
        <v>46304.62427480498</v>
      </c>
      <c r="G744" t="b">
        <v>1</v>
      </c>
      <c r="I744" t="inlineStr">
        <is>
          <t>AUD</t>
        </is>
      </c>
      <c r="J744" t="n">
        <v>2.5377</v>
      </c>
      <c r="K744" s="5" t="inlineStr">
        <is>
          <t>01a1212c-7f14-75f8-8ffb-196cb0bbed88</t>
        </is>
      </c>
      <c r="L744" s="5" t="inlineStr">
        <is>
          <t>01a1212c-a805-700c-af80-50bada88a708</t>
        </is>
      </c>
      <c r="M744" s="6" t="n">
        <v>45474</v>
      </c>
    </row>
    <row r="745">
      <c r="A745" s="5" t="inlineStr">
        <is>
          <t>01a1212c-a8c5-7616-b408-ab37e7f69092</t>
        </is>
      </c>
      <c r="D745" s="5" t="inlineStr">
        <is>
          <t>01a1212c-4b57-70cf-80fd-c2192cb3bf81</t>
        </is>
      </c>
      <c r="E745" s="4" t="n">
        <v>46304.6242748778</v>
      </c>
      <c r="F745" s="4" t="n">
        <v>46304.62427487788</v>
      </c>
      <c r="G745" t="b">
        <v>1</v>
      </c>
      <c r="I745" t="inlineStr">
        <is>
          <t>AUD</t>
        </is>
      </c>
      <c r="J745" t="n">
        <v>2.9002</v>
      </c>
      <c r="K745" s="5" t="inlineStr">
        <is>
          <t>01a1212c-6d20-73ba-8f87-9892e2e99aec</t>
        </is>
      </c>
      <c r="L745" s="5" t="inlineStr">
        <is>
          <t>01a1212c-a805-700c-af80-50bada88a708</t>
        </is>
      </c>
      <c r="M745" s="6" t="n">
        <v>45474</v>
      </c>
    </row>
    <row r="746">
      <c r="A746" s="5" t="inlineStr">
        <is>
          <t>01a1212c-a8cb-7260-839c-ef74f02fa4a1</t>
        </is>
      </c>
      <c r="D746" s="5" t="inlineStr">
        <is>
          <t>01a1212c-4b57-70cf-80fd-c2192cb3bf81</t>
        </is>
      </c>
      <c r="E746" s="4" t="n">
        <v>46304.62427495026</v>
      </c>
      <c r="F746" s="4" t="n">
        <v>46304.62427495035</v>
      </c>
      <c r="G746" t="b">
        <v>1</v>
      </c>
      <c r="I746" t="inlineStr">
        <is>
          <t>AUD</t>
        </is>
      </c>
      <c r="J746" t="n">
        <v>2.9002</v>
      </c>
      <c r="K746" s="5" t="inlineStr">
        <is>
          <t>01a1212c-6f7f-718f-b160-46cb1bfec403</t>
        </is>
      </c>
      <c r="L746" s="5" t="inlineStr">
        <is>
          <t>01a1212c-a805-700c-af80-50bada88a708</t>
        </is>
      </c>
      <c r="M746" s="6" t="n">
        <v>45474</v>
      </c>
    </row>
    <row r="747">
      <c r="A747" s="5" t="inlineStr">
        <is>
          <t>01a1212c-a8d2-73e5-9255-39fa8d3a5a1f</t>
        </is>
      </c>
      <c r="D747" s="5" t="inlineStr">
        <is>
          <t>01a1212c-4b57-70cf-80fd-c2192cb3bf81</t>
        </is>
      </c>
      <c r="E747" s="4" t="n">
        <v>46304.62427503204</v>
      </c>
      <c r="F747" s="4" t="n">
        <v>46304.62427503212</v>
      </c>
      <c r="G747" t="b">
        <v>1</v>
      </c>
      <c r="I747" t="inlineStr">
        <is>
          <t>AUD</t>
        </is>
      </c>
      <c r="J747" t="n">
        <v>2.9002</v>
      </c>
      <c r="K747" s="5" t="inlineStr">
        <is>
          <t>01a1212c-6fc2-71f6-890f-f7e761000531</t>
        </is>
      </c>
      <c r="L747" s="5" t="inlineStr">
        <is>
          <t>01a1212c-a805-700c-af80-50bada88a708</t>
        </is>
      </c>
      <c r="M747" s="6" t="n">
        <v>45474</v>
      </c>
    </row>
    <row r="748">
      <c r="A748" s="5" t="inlineStr">
        <is>
          <t>01a1212c-a8d8-76b2-ab03-ff8c283d3ed1</t>
        </is>
      </c>
      <c r="D748" s="5" t="inlineStr">
        <is>
          <t>01a1212c-4b57-70cf-80fd-c2192cb3bf81</t>
        </is>
      </c>
      <c r="E748" s="4" t="n">
        <v>46304.62427510119</v>
      </c>
      <c r="F748" s="4" t="n">
        <v>46304.62427510126</v>
      </c>
      <c r="G748" t="b">
        <v>1</v>
      </c>
      <c r="I748" t="inlineStr">
        <is>
          <t>AUD</t>
        </is>
      </c>
      <c r="J748" t="n">
        <v>2.9002</v>
      </c>
      <c r="K748" s="5" t="inlineStr">
        <is>
          <t>01a1212c-7185-751c-93a4-e2a05054ca75</t>
        </is>
      </c>
      <c r="L748" s="5" t="inlineStr">
        <is>
          <t>01a1212c-a805-700c-af80-50bada88a708</t>
        </is>
      </c>
      <c r="M748" s="6" t="n">
        <v>45474</v>
      </c>
    </row>
    <row r="749">
      <c r="A749" s="5" t="inlineStr">
        <is>
          <t>01a1212c-a8de-7014-bcc0-8027c0915534</t>
        </is>
      </c>
      <c r="D749" s="5" t="inlineStr">
        <is>
          <t>01a1212c-4b57-70cf-80fd-c2192cb3bf81</t>
        </is>
      </c>
      <c r="E749" s="4" t="n">
        <v>46304.6242751733</v>
      </c>
      <c r="F749" s="4" t="n">
        <v>46304.62427517338</v>
      </c>
      <c r="G749" t="b">
        <v>1</v>
      </c>
      <c r="I749" t="inlineStr">
        <is>
          <t>AUD</t>
        </is>
      </c>
      <c r="J749" t="n">
        <v>2.9002</v>
      </c>
      <c r="K749" s="5" t="inlineStr">
        <is>
          <t>01a1212c-721a-74d7-b443-6cf4d510dcad</t>
        </is>
      </c>
      <c r="L749" s="5" t="inlineStr">
        <is>
          <t>01a1212c-a805-700c-af80-50bada88a708</t>
        </is>
      </c>
      <c r="M749" s="6" t="n">
        <v>45474</v>
      </c>
    </row>
    <row r="750">
      <c r="A750" s="5" t="inlineStr">
        <is>
          <t>01a1212c-a8e5-7140-be02-cbeaa2b1ff69</t>
        </is>
      </c>
      <c r="D750" s="5" t="inlineStr">
        <is>
          <t>01a1212c-4b57-70cf-80fd-c2192cb3bf81</t>
        </is>
      </c>
      <c r="E750" s="4" t="n">
        <v>46304.62427524437</v>
      </c>
      <c r="F750" s="4" t="n">
        <v>46304.62427524445</v>
      </c>
      <c r="G750" t="b">
        <v>1</v>
      </c>
      <c r="I750" t="inlineStr">
        <is>
          <t>AUD</t>
        </is>
      </c>
      <c r="J750" t="n">
        <v>2.9002</v>
      </c>
      <c r="K750" s="5" t="inlineStr">
        <is>
          <t>01a1212c-7264-75a0-a547-f07a5e635bc6</t>
        </is>
      </c>
      <c r="L750" s="5" t="inlineStr">
        <is>
          <t>01a1212c-a805-700c-af80-50bada88a708</t>
        </is>
      </c>
      <c r="M750" s="6" t="n">
        <v>45474</v>
      </c>
    </row>
    <row r="751">
      <c r="A751" s="5" t="inlineStr">
        <is>
          <t>01a1212c-a8ea-71aa-aef6-16c8e55a4e38</t>
        </is>
      </c>
      <c r="D751" s="5" t="inlineStr">
        <is>
          <t>01a1212c-4b57-70cf-80fd-c2192cb3bf81</t>
        </is>
      </c>
      <c r="E751" s="4" t="n">
        <v>46304.62427531354</v>
      </c>
      <c r="F751" s="4" t="n">
        <v>46304.6242753136</v>
      </c>
      <c r="G751" t="b">
        <v>1</v>
      </c>
      <c r="I751" t="inlineStr">
        <is>
          <t>AUD</t>
        </is>
      </c>
      <c r="J751" t="n">
        <v>2.9002</v>
      </c>
      <c r="K751" s="5" t="inlineStr">
        <is>
          <t>01a1212c-74a5-7646-bf4b-157c0a1a7665</t>
        </is>
      </c>
      <c r="L751" s="5" t="inlineStr">
        <is>
          <t>01a1212c-a805-700c-af80-50bada88a708</t>
        </is>
      </c>
      <c r="M751" s="6" t="n">
        <v>45474</v>
      </c>
    </row>
    <row r="752">
      <c r="A752" s="5" t="inlineStr">
        <is>
          <t>01a1212c-a8f1-7184-85ff-5d41c12958bd</t>
        </is>
      </c>
      <c r="D752" s="5" t="inlineStr">
        <is>
          <t>01a1212c-4b57-70cf-80fd-c2192cb3bf81</t>
        </is>
      </c>
      <c r="E752" s="4" t="n">
        <v>46304.62427539151</v>
      </c>
      <c r="F752" s="4" t="n">
        <v>46304.62427539157</v>
      </c>
      <c r="G752" t="b">
        <v>1</v>
      </c>
      <c r="I752" t="inlineStr">
        <is>
          <t>AUD</t>
        </is>
      </c>
      <c r="J752" t="n">
        <v>2.9002</v>
      </c>
      <c r="K752" s="5" t="inlineStr">
        <is>
          <t>01a1212c-7c13-7245-b333-0dfcd00ad20d</t>
        </is>
      </c>
      <c r="L752" s="5" t="inlineStr">
        <is>
          <t>01a1212c-a805-700c-af80-50bada88a708</t>
        </is>
      </c>
      <c r="M752" s="6" t="n">
        <v>45474</v>
      </c>
    </row>
    <row r="753">
      <c r="A753" s="5" t="inlineStr">
        <is>
          <t>01a1212c-a8f7-710b-a8e6-935a132a89ed</t>
        </is>
      </c>
      <c r="D753" s="5" t="inlineStr">
        <is>
          <t>01a1212c-4b57-70cf-80fd-c2192cb3bf81</t>
        </is>
      </c>
      <c r="E753" s="4" t="n">
        <v>46304.62427545952</v>
      </c>
      <c r="F753" s="4" t="n">
        <v>46304.62427545958</v>
      </c>
      <c r="G753" t="b">
        <v>1</v>
      </c>
      <c r="I753" t="inlineStr">
        <is>
          <t>AUD</t>
        </is>
      </c>
      <c r="J753" t="n">
        <v>3.2627</v>
      </c>
      <c r="K753" s="5" t="inlineStr">
        <is>
          <t>01a1212c-6ebd-7084-8e12-1c2acb9ea8e3</t>
        </is>
      </c>
      <c r="L753" s="5" t="inlineStr">
        <is>
          <t>01a1212c-a805-700c-af80-50bada88a708</t>
        </is>
      </c>
      <c r="M753" s="6" t="n">
        <v>45474</v>
      </c>
    </row>
    <row r="754">
      <c r="A754" s="5" t="inlineStr">
        <is>
          <t>01a1212c-a8fd-7671-89a2-64a1f08ca00e</t>
        </is>
      </c>
      <c r="D754" s="5" t="inlineStr">
        <is>
          <t>01a1212c-4b57-70cf-80fd-c2192cb3bf81</t>
        </is>
      </c>
      <c r="E754" s="4" t="n">
        <v>46304.6242755248</v>
      </c>
      <c r="F754" s="4" t="n">
        <v>46304.62427552487</v>
      </c>
      <c r="G754" t="b">
        <v>1</v>
      </c>
      <c r="I754" t="inlineStr">
        <is>
          <t>AUD</t>
        </is>
      </c>
      <c r="J754" t="n">
        <v>3.2627</v>
      </c>
      <c r="K754" s="5" t="inlineStr">
        <is>
          <t>01a1212c-74ff-71e8-bddf-7c46f57ce7fb</t>
        </is>
      </c>
      <c r="L754" s="5" t="inlineStr">
        <is>
          <t>01a1212c-a805-700c-af80-50bada88a708</t>
        </is>
      </c>
      <c r="M754" s="6" t="n">
        <v>45474</v>
      </c>
    </row>
    <row r="755">
      <c r="A755" s="5" t="inlineStr">
        <is>
          <t>01a1212c-a903-7380-a00a-a2ee6aee5579</t>
        </is>
      </c>
      <c r="D755" s="5" t="inlineStr">
        <is>
          <t>01a1212c-4b57-70cf-80fd-c2192cb3bf81</t>
        </is>
      </c>
      <c r="E755" s="4" t="n">
        <v>46304.62427559733</v>
      </c>
      <c r="F755" s="4" t="n">
        <v>46304.62427559739</v>
      </c>
      <c r="G755" t="b">
        <v>1</v>
      </c>
      <c r="I755" t="inlineStr">
        <is>
          <t>AUD</t>
        </is>
      </c>
      <c r="J755" t="n">
        <v>3.2627</v>
      </c>
      <c r="K755" s="5" t="inlineStr">
        <is>
          <t>01a1212c-7595-7792-8e63-1f39b92bd8b3</t>
        </is>
      </c>
      <c r="L755" s="5" t="inlineStr">
        <is>
          <t>01a1212c-a805-700c-af80-50bada88a708</t>
        </is>
      </c>
      <c r="M755" s="6" t="n">
        <v>45474</v>
      </c>
    </row>
    <row r="756">
      <c r="A756" s="5" t="inlineStr">
        <is>
          <t>01a1212c-a909-7090-b7d5-288809f83e1a</t>
        </is>
      </c>
      <c r="D756" s="5" t="inlineStr">
        <is>
          <t>01a1212c-4b57-70cf-80fd-c2192cb3bf81</t>
        </is>
      </c>
      <c r="E756" s="4" t="n">
        <v>46304.62427566639</v>
      </c>
      <c r="F756" s="4" t="n">
        <v>46304.62427566646</v>
      </c>
      <c r="G756" t="b">
        <v>1</v>
      </c>
      <c r="I756" t="inlineStr">
        <is>
          <t>AUD</t>
        </is>
      </c>
      <c r="J756" t="n">
        <v>3.2627</v>
      </c>
      <c r="K756" s="5" t="inlineStr">
        <is>
          <t>01a1212c-7687-729c-958e-594416954bfb</t>
        </is>
      </c>
      <c r="L756" s="5" t="inlineStr">
        <is>
          <t>01a1212c-a805-700c-af80-50bada88a708</t>
        </is>
      </c>
      <c r="M756" s="6" t="n">
        <v>45474</v>
      </c>
    </row>
    <row r="757">
      <c r="A757" s="5" t="inlineStr">
        <is>
          <t>01a1212c-a90f-7794-89e8-a2a187ba2076</t>
        </is>
      </c>
      <c r="D757" s="5" t="inlineStr">
        <is>
          <t>01a1212c-4b57-70cf-80fd-c2192cb3bf81</t>
        </is>
      </c>
      <c r="E757" s="4" t="n">
        <v>46304.62427573661</v>
      </c>
      <c r="F757" s="4" t="n">
        <v>46304.62427573668</v>
      </c>
      <c r="G757" t="b">
        <v>1</v>
      </c>
      <c r="I757" t="inlineStr">
        <is>
          <t>AUD</t>
        </is>
      </c>
      <c r="J757" t="n">
        <v>3.2627</v>
      </c>
      <c r="K757" s="5" t="inlineStr">
        <is>
          <t>01a1212c-76b2-7110-9f65-8f1a317730a7</t>
        </is>
      </c>
      <c r="L757" s="5" t="inlineStr">
        <is>
          <t>01a1212c-a805-700c-af80-50bada88a708</t>
        </is>
      </c>
      <c r="M757" s="6" t="n">
        <v>45474</v>
      </c>
    </row>
    <row r="758">
      <c r="A758" s="5" t="inlineStr">
        <is>
          <t>01a1212c-a915-7009-92e4-adc39c89bd58</t>
        </is>
      </c>
      <c r="D758" s="5" t="inlineStr">
        <is>
          <t>01a1212c-4b57-70cf-80fd-c2192cb3bf81</t>
        </is>
      </c>
      <c r="E758" s="4" t="n">
        <v>46304.62427580551</v>
      </c>
      <c r="F758" s="4" t="n">
        <v>46304.62427580558</v>
      </c>
      <c r="G758" t="b">
        <v>1</v>
      </c>
      <c r="I758" t="inlineStr">
        <is>
          <t>AUD</t>
        </is>
      </c>
      <c r="J758" t="n">
        <v>3.2627</v>
      </c>
      <c r="K758" s="5" t="inlineStr">
        <is>
          <t>01a1212c-77bd-7567-8b73-2fb2ee41285a</t>
        </is>
      </c>
      <c r="L758" s="5" t="inlineStr">
        <is>
          <t>01a1212c-a805-700c-af80-50bada88a708</t>
        </is>
      </c>
      <c r="M758" s="6" t="n">
        <v>45474</v>
      </c>
    </row>
    <row r="759">
      <c r="A759" s="5" t="inlineStr">
        <is>
          <t>01a1212c-a91b-7285-8686-241f05d9ce6b</t>
        </is>
      </c>
      <c r="D759" s="5" t="inlineStr">
        <is>
          <t>01a1212c-4b57-70cf-80fd-c2192cb3bf81</t>
        </is>
      </c>
      <c r="E759" s="4" t="n">
        <v>46304.62427587685</v>
      </c>
      <c r="F759" s="4" t="n">
        <v>46304.62427587692</v>
      </c>
      <c r="G759" t="b">
        <v>1</v>
      </c>
      <c r="I759" t="inlineStr">
        <is>
          <t>AUD</t>
        </is>
      </c>
      <c r="J759" t="n">
        <v>3.2627</v>
      </c>
      <c r="K759" s="5" t="inlineStr">
        <is>
          <t>01a1212c-7896-7021-a40c-f16a939ea185</t>
        </is>
      </c>
      <c r="L759" s="5" t="inlineStr">
        <is>
          <t>01a1212c-a805-700c-af80-50bada88a708</t>
        </is>
      </c>
      <c r="M759" s="6" t="n">
        <v>45474</v>
      </c>
    </row>
    <row r="760">
      <c r="A760" s="5" t="inlineStr">
        <is>
          <t>01a1212c-a921-7625-b035-100387045ba6</t>
        </is>
      </c>
      <c r="D760" s="5" t="inlineStr">
        <is>
          <t>01a1212c-4b57-70cf-80fd-c2192cb3bf81</t>
        </is>
      </c>
      <c r="E760" s="4" t="n">
        <v>46304.62427594356</v>
      </c>
      <c r="F760" s="4" t="n">
        <v>46304.62427594362</v>
      </c>
      <c r="G760" t="b">
        <v>1</v>
      </c>
      <c r="I760" t="inlineStr">
        <is>
          <t>AUD</t>
        </is>
      </c>
      <c r="J760" t="n">
        <v>3.2627</v>
      </c>
      <c r="K760" s="5" t="inlineStr">
        <is>
          <t>01a1212c-78d8-7094-b299-94255bf82783</t>
        </is>
      </c>
      <c r="L760" s="5" t="inlineStr">
        <is>
          <t>01a1212c-a805-700c-af80-50bada88a708</t>
        </is>
      </c>
      <c r="M760" s="6" t="n">
        <v>45474</v>
      </c>
    </row>
    <row r="761">
      <c r="A761" s="5" t="inlineStr">
        <is>
          <t>01a1212c-a927-71aa-9227-a6164b8f47c3</t>
        </is>
      </c>
      <c r="D761" s="5" t="inlineStr">
        <is>
          <t>01a1212c-4b57-70cf-80fd-c2192cb3bf81</t>
        </is>
      </c>
      <c r="E761" s="4" t="n">
        <v>46304.62427601137</v>
      </c>
      <c r="F761" s="4" t="n">
        <v>46304.62427601143</v>
      </c>
      <c r="G761" t="b">
        <v>1</v>
      </c>
      <c r="I761" t="inlineStr">
        <is>
          <t>AUD</t>
        </is>
      </c>
      <c r="J761" t="n">
        <v>3.2627</v>
      </c>
      <c r="K761" s="5" t="inlineStr">
        <is>
          <t>01a1212c-79c9-719a-aeaf-8f1b35c3d703</t>
        </is>
      </c>
      <c r="L761" s="5" t="inlineStr">
        <is>
          <t>01a1212c-a805-700c-af80-50bada88a708</t>
        </is>
      </c>
      <c r="M761" s="6" t="n">
        <v>45474</v>
      </c>
    </row>
    <row r="762">
      <c r="A762" s="5" t="inlineStr">
        <is>
          <t>01a1212c-a92d-72f0-b5f2-e6e5baf8396d</t>
        </is>
      </c>
      <c r="D762" s="5" t="inlineStr">
        <is>
          <t>01a1212c-4b57-70cf-80fd-c2192cb3bf81</t>
        </is>
      </c>
      <c r="E762" s="4" t="n">
        <v>46304.62427608467</v>
      </c>
      <c r="F762" s="4" t="n">
        <v>46304.62427608473</v>
      </c>
      <c r="G762" t="b">
        <v>1</v>
      </c>
      <c r="I762" t="inlineStr">
        <is>
          <t>AUD</t>
        </is>
      </c>
      <c r="J762" t="n">
        <v>3.2627</v>
      </c>
      <c r="K762" s="5" t="inlineStr">
        <is>
          <t>01a1212c-7a4e-776c-9c69-14ee09adb482</t>
        </is>
      </c>
      <c r="L762" s="5" t="inlineStr">
        <is>
          <t>01a1212c-a805-700c-af80-50bada88a708</t>
        </is>
      </c>
      <c r="M762" s="6" t="n">
        <v>45474</v>
      </c>
    </row>
    <row r="763">
      <c r="A763" s="5" t="inlineStr">
        <is>
          <t>01a1212c-a933-73d3-9b17-bf4116c503a3</t>
        </is>
      </c>
      <c r="D763" s="5" t="inlineStr">
        <is>
          <t>01a1212c-4b57-70cf-80fd-c2192cb3bf81</t>
        </is>
      </c>
      <c r="E763" s="4" t="n">
        <v>46304.62427615283</v>
      </c>
      <c r="F763" s="4" t="n">
        <v>46304.62427615289</v>
      </c>
      <c r="G763" t="b">
        <v>1</v>
      </c>
      <c r="I763" t="inlineStr">
        <is>
          <t>AUD</t>
        </is>
      </c>
      <c r="J763" t="n">
        <v>3.2627</v>
      </c>
      <c r="K763" s="5" t="inlineStr">
        <is>
          <t>01a1212c-7aba-773f-8933-d95c0c800623</t>
        </is>
      </c>
      <c r="L763" s="5" t="inlineStr">
        <is>
          <t>01a1212c-a805-700c-af80-50bada88a708</t>
        </is>
      </c>
      <c r="M763" s="6" t="n">
        <v>45474</v>
      </c>
    </row>
    <row r="764">
      <c r="A764" s="5" t="inlineStr">
        <is>
          <t>01a1212c-a939-73bf-ada5-fd7aa8d5f872</t>
        </is>
      </c>
      <c r="D764" s="5" t="inlineStr">
        <is>
          <t>01a1212c-4b57-70cf-80fd-c2192cb3bf81</t>
        </is>
      </c>
      <c r="E764" s="4" t="n">
        <v>46304.62427622008</v>
      </c>
      <c r="F764" s="4" t="n">
        <v>46304.62427622015</v>
      </c>
      <c r="G764" t="b">
        <v>1</v>
      </c>
      <c r="I764" t="inlineStr">
        <is>
          <t>AUD</t>
        </is>
      </c>
      <c r="J764" t="n">
        <v>3.2627</v>
      </c>
      <c r="K764" s="5" t="inlineStr">
        <is>
          <t>01a1212c-7ae6-75b8-ad0a-3ca0ce21f21f</t>
        </is>
      </c>
      <c r="L764" s="5" t="inlineStr">
        <is>
          <t>01a1212c-a805-700c-af80-50bada88a708</t>
        </is>
      </c>
      <c r="M764" s="6" t="n">
        <v>45474</v>
      </c>
    </row>
    <row r="765">
      <c r="A765" s="5" t="inlineStr">
        <is>
          <t>01a1212c-a93f-76e6-961c-691873e3b82b</t>
        </is>
      </c>
      <c r="D765" s="5" t="inlineStr">
        <is>
          <t>01a1212c-4b57-70cf-80fd-c2192cb3bf81</t>
        </is>
      </c>
      <c r="E765" s="4" t="n">
        <v>46304.6242762921</v>
      </c>
      <c r="F765" s="4" t="n">
        <v>46304.62427629218</v>
      </c>
      <c r="G765" t="b">
        <v>1</v>
      </c>
      <c r="I765" t="inlineStr">
        <is>
          <t>AUD</t>
        </is>
      </c>
      <c r="J765" t="n">
        <v>3.6153</v>
      </c>
      <c r="K765" s="5" t="inlineStr">
        <is>
          <t>01a1212c-7fa4-7173-99b5-867d9d063b1f</t>
        </is>
      </c>
      <c r="L765" s="5" t="inlineStr">
        <is>
          <t>01a1212c-a805-700c-af80-50bada88a708</t>
        </is>
      </c>
      <c r="M765" s="6" t="n">
        <v>45474</v>
      </c>
    </row>
    <row r="766">
      <c r="A766" s="5" t="inlineStr">
        <is>
          <t>01a1212c-a945-701a-8985-aff3631a1004</t>
        </is>
      </c>
      <c r="D766" s="5" t="inlineStr">
        <is>
          <t>01a1212c-4b57-70cf-80fd-c2192cb3bf81</t>
        </is>
      </c>
      <c r="E766" s="4" t="n">
        <v>46304.62427635795</v>
      </c>
      <c r="F766" s="4" t="n">
        <v>46304.62427635802</v>
      </c>
      <c r="G766" t="b">
        <v>1</v>
      </c>
      <c r="I766" t="inlineStr">
        <is>
          <t>AUD</t>
        </is>
      </c>
      <c r="J766" t="n">
        <v>3.6252</v>
      </c>
      <c r="K766" s="5" t="inlineStr">
        <is>
          <t>01a1212c-6db6-75c6-a15a-3893db0236e1</t>
        </is>
      </c>
      <c r="L766" s="5" t="inlineStr">
        <is>
          <t>01a1212c-a805-700c-af80-50bada88a708</t>
        </is>
      </c>
      <c r="M766" s="6" t="n">
        <v>45474</v>
      </c>
    </row>
    <row r="767">
      <c r="A767" s="5" t="inlineStr">
        <is>
          <t>01a1212c-a94b-736d-b549-1bca90001fff</t>
        </is>
      </c>
      <c r="D767" s="5" t="inlineStr">
        <is>
          <t>01a1212c-4b57-70cf-80fd-c2192cb3bf81</t>
        </is>
      </c>
      <c r="E767" s="4" t="n">
        <v>46304.62427642853</v>
      </c>
      <c r="F767" s="4" t="n">
        <v>46304.6242764286</v>
      </c>
      <c r="G767" t="b">
        <v>1</v>
      </c>
      <c r="I767" t="inlineStr">
        <is>
          <t>AUD</t>
        </is>
      </c>
      <c r="J767" t="n">
        <v>3.6252</v>
      </c>
      <c r="K767" s="5" t="inlineStr">
        <is>
          <t>01a1212c-7066-75c9-8133-7c1e7c12164e</t>
        </is>
      </c>
      <c r="L767" s="5" t="inlineStr">
        <is>
          <t>01a1212c-a805-700c-af80-50bada88a708</t>
        </is>
      </c>
      <c r="M767" s="6" t="n">
        <v>45474</v>
      </c>
    </row>
    <row r="768">
      <c r="A768" s="5" t="inlineStr">
        <is>
          <t>01a1212c-a951-70bf-86e7-a5b60b373eb5</t>
        </is>
      </c>
      <c r="D768" s="5" t="inlineStr">
        <is>
          <t>01a1212c-4b57-70cf-80fd-c2192cb3bf81</t>
        </is>
      </c>
      <c r="E768" s="4" t="n">
        <v>46304.62427650201</v>
      </c>
      <c r="F768" s="4" t="n">
        <v>46304.62427650208</v>
      </c>
      <c r="G768" t="b">
        <v>1</v>
      </c>
      <c r="I768" t="inlineStr">
        <is>
          <t>AUD</t>
        </is>
      </c>
      <c r="J768" t="n">
        <v>3.6252</v>
      </c>
      <c r="K768" s="5" t="inlineStr">
        <is>
          <t>01a1212c-7142-74d1-a420-87616f78ba3b</t>
        </is>
      </c>
      <c r="L768" s="5" t="inlineStr">
        <is>
          <t>01a1212c-a805-700c-af80-50bada88a708</t>
        </is>
      </c>
      <c r="M768" s="6" t="n">
        <v>45474</v>
      </c>
    </row>
    <row r="769">
      <c r="A769" s="5" t="inlineStr">
        <is>
          <t>01a1212c-a957-74a6-8cd6-5c635615d4ec</t>
        </is>
      </c>
      <c r="D769" s="5" t="inlineStr">
        <is>
          <t>01a1212c-4b57-70cf-80fd-c2192cb3bf81</t>
        </is>
      </c>
      <c r="E769" s="4" t="n">
        <v>46304.62427657376</v>
      </c>
      <c r="F769" s="4" t="n">
        <v>46304.62427657384</v>
      </c>
      <c r="G769" t="b">
        <v>1</v>
      </c>
      <c r="I769" t="inlineStr">
        <is>
          <t>AUD</t>
        </is>
      </c>
      <c r="J769" t="n">
        <v>3.6252</v>
      </c>
      <c r="K769" s="5" t="inlineStr">
        <is>
          <t>01a1212c-7568-7011-9b33-32dc2471f741</t>
        </is>
      </c>
      <c r="L769" s="5" t="inlineStr">
        <is>
          <t>01a1212c-a805-700c-af80-50bada88a708</t>
        </is>
      </c>
      <c r="M769" s="6" t="n">
        <v>45474</v>
      </c>
    </row>
    <row r="770">
      <c r="A770" s="5" t="inlineStr">
        <is>
          <t>01a1212c-a95e-75e1-8ae8-89ffe6d12d01</t>
        </is>
      </c>
      <c r="D770" s="5" t="inlineStr">
        <is>
          <t>01a1212c-4b57-70cf-80fd-c2192cb3bf81</t>
        </is>
      </c>
      <c r="E770" s="4" t="n">
        <v>46304.62427665202</v>
      </c>
      <c r="F770" s="4" t="n">
        <v>46304.62427665212</v>
      </c>
      <c r="G770" t="b">
        <v>1</v>
      </c>
      <c r="I770" t="inlineStr">
        <is>
          <t>AUD</t>
        </is>
      </c>
      <c r="J770" t="n">
        <v>3.6252</v>
      </c>
      <c r="K770" s="5" t="inlineStr">
        <is>
          <t>01a1212c-7763-764e-af0c-10fe2c5a19d7</t>
        </is>
      </c>
      <c r="L770" s="5" t="inlineStr">
        <is>
          <t>01a1212c-a805-700c-af80-50bada88a708</t>
        </is>
      </c>
      <c r="M770" s="6" t="n">
        <v>45474</v>
      </c>
    </row>
    <row r="771">
      <c r="A771" s="5" t="inlineStr">
        <is>
          <t>01a1212c-a965-77a9-9cb1-eb2257499727</t>
        </is>
      </c>
      <c r="D771" s="5" t="inlineStr">
        <is>
          <t>01a1212c-4b57-70cf-80fd-c2192cb3bf81</t>
        </is>
      </c>
      <c r="E771" s="4" t="n">
        <v>46304.62427672694</v>
      </c>
      <c r="F771" s="4" t="n">
        <v>46304.624276727</v>
      </c>
      <c r="G771" t="b">
        <v>1</v>
      </c>
      <c r="I771" t="inlineStr">
        <is>
          <t>AUD</t>
        </is>
      </c>
      <c r="J771" t="n">
        <v>3.6252</v>
      </c>
      <c r="K771" s="5" t="inlineStr">
        <is>
          <t>01a1212c-7bab-728a-9e77-14d2820bca2b</t>
        </is>
      </c>
      <c r="L771" s="5" t="inlineStr">
        <is>
          <t>01a1212c-a805-700c-af80-50bada88a708</t>
        </is>
      </c>
      <c r="M771" s="6" t="n">
        <v>45474</v>
      </c>
    </row>
    <row r="772">
      <c r="A772" s="5" t="inlineStr">
        <is>
          <t>01a1212c-a96b-717c-8aad-edd6186eaa05</t>
        </is>
      </c>
      <c r="D772" s="5" t="inlineStr">
        <is>
          <t>01a1212c-4b57-70cf-80fd-c2192cb3bf81</t>
        </is>
      </c>
      <c r="E772" s="4" t="n">
        <v>46304.62427680202</v>
      </c>
      <c r="F772" s="4" t="n">
        <v>46304.6242768021</v>
      </c>
      <c r="G772" t="b">
        <v>1</v>
      </c>
      <c r="I772" t="inlineStr">
        <is>
          <t>AUD</t>
        </is>
      </c>
      <c r="J772" t="n">
        <v>3.6252</v>
      </c>
      <c r="K772" s="5" t="inlineStr">
        <is>
          <t>01a1212c-7c7d-7144-a080-456c2a726f23</t>
        </is>
      </c>
      <c r="L772" s="5" t="inlineStr">
        <is>
          <t>01a1212c-a805-700c-af80-50bada88a708</t>
        </is>
      </c>
      <c r="M772" s="6" t="n">
        <v>45474</v>
      </c>
    </row>
    <row r="773">
      <c r="A773" s="5" t="inlineStr">
        <is>
          <t>01a1212c-a972-773c-bff8-1f6587cdc268</t>
        </is>
      </c>
      <c r="D773" s="5" t="inlineStr">
        <is>
          <t>01a1212c-4b57-70cf-80fd-c2192cb3bf81</t>
        </is>
      </c>
      <c r="E773" s="4" t="n">
        <v>46304.62427687644</v>
      </c>
      <c r="F773" s="4" t="n">
        <v>46304.62427687652</v>
      </c>
      <c r="G773" t="b">
        <v>1</v>
      </c>
      <c r="I773" t="inlineStr">
        <is>
          <t>AUD</t>
        </is>
      </c>
      <c r="J773" t="n">
        <v>3.6252</v>
      </c>
      <c r="K773" s="5" t="inlineStr">
        <is>
          <t>01a1212c-7cc3-710b-ba9e-bdab308c142d</t>
        </is>
      </c>
      <c r="L773" s="5" t="inlineStr">
        <is>
          <t>01a1212c-a805-700c-af80-50bada88a708</t>
        </is>
      </c>
      <c r="M773" s="6" t="n">
        <v>45474</v>
      </c>
    </row>
    <row r="774">
      <c r="A774" s="5" t="inlineStr">
        <is>
          <t>01a1212c-a978-75fb-afc6-f9159848b8be</t>
        </is>
      </c>
      <c r="D774" s="5" t="inlineStr">
        <is>
          <t>01a1212c-4b57-70cf-80fd-c2192cb3bf81</t>
        </is>
      </c>
      <c r="E774" s="4" t="n">
        <v>46304.62427695396</v>
      </c>
      <c r="F774" s="4" t="n">
        <v>46304.62427695403</v>
      </c>
      <c r="G774" t="b">
        <v>1</v>
      </c>
      <c r="I774" t="inlineStr">
        <is>
          <t>AUD</t>
        </is>
      </c>
      <c r="J774" t="n">
        <v>3.6252</v>
      </c>
      <c r="K774" s="5" t="inlineStr">
        <is>
          <t>01a1212c-7dfb-75d7-ba94-122fd9117b76</t>
        </is>
      </c>
      <c r="L774" s="5" t="inlineStr">
        <is>
          <t>01a1212c-a805-700c-af80-50bada88a708</t>
        </is>
      </c>
      <c r="M774" s="6" t="n">
        <v>45474</v>
      </c>
    </row>
    <row r="775">
      <c r="A775" s="5" t="inlineStr">
        <is>
          <t>01a1212c-a97e-7648-84fe-d34b9cd07876</t>
        </is>
      </c>
      <c r="D775" s="5" t="inlineStr">
        <is>
          <t>01a1212c-4b57-70cf-80fd-c2192cb3bf81</t>
        </is>
      </c>
      <c r="E775" s="4" t="n">
        <v>46304.62427702352</v>
      </c>
      <c r="F775" s="4" t="n">
        <v>46304.62427702359</v>
      </c>
      <c r="G775" t="b">
        <v>1</v>
      </c>
      <c r="I775" t="inlineStr">
        <is>
          <t>AUD</t>
        </is>
      </c>
      <c r="J775" t="n">
        <v>3.9878</v>
      </c>
      <c r="K775" s="5" t="inlineStr">
        <is>
          <t>01a1212c-7e7b-76c0-818c-fef3acac6fca</t>
        </is>
      </c>
      <c r="L775" s="5" t="inlineStr">
        <is>
          <t>01a1212c-a805-700c-af80-50bada88a708</t>
        </is>
      </c>
      <c r="M775" s="6" t="n">
        <v>45474</v>
      </c>
    </row>
    <row r="776">
      <c r="A776" s="5" t="inlineStr">
        <is>
          <t>01a1212c-a985-7145-a6f0-8b244f33383e</t>
        </is>
      </c>
      <c r="D776" s="5" t="inlineStr">
        <is>
          <t>01a1212c-4b57-70cf-80fd-c2192cb3bf81</t>
        </is>
      </c>
      <c r="E776" s="4" t="n">
        <v>46304.62427709774</v>
      </c>
      <c r="F776" s="4" t="n">
        <v>46304.62427709782</v>
      </c>
      <c r="G776" t="b">
        <v>1</v>
      </c>
      <c r="I776" t="inlineStr">
        <is>
          <t>AUD</t>
        </is>
      </c>
      <c r="J776" t="n">
        <v>4.3503</v>
      </c>
      <c r="K776" s="5" t="inlineStr">
        <is>
          <t>01a1212c-6e0b-74a6-b1c4-92fd51554f70</t>
        </is>
      </c>
      <c r="L776" s="5" t="inlineStr">
        <is>
          <t>01a1212c-a805-700c-af80-50bada88a708</t>
        </is>
      </c>
      <c r="M776" s="6" t="n">
        <v>45474</v>
      </c>
    </row>
    <row r="777">
      <c r="A777" s="5" t="inlineStr">
        <is>
          <t>01a1212c-a98b-7430-8a6f-f4c7c93301e1</t>
        </is>
      </c>
      <c r="D777" s="5" t="inlineStr">
        <is>
          <t>01a1212c-4b57-70cf-80fd-c2192cb3bf81</t>
        </is>
      </c>
      <c r="E777" s="4" t="n">
        <v>46304.62427716848</v>
      </c>
      <c r="F777" s="4" t="n">
        <v>46304.62427716855</v>
      </c>
      <c r="G777" t="b">
        <v>1</v>
      </c>
      <c r="I777" t="inlineStr">
        <is>
          <t>AUD</t>
        </is>
      </c>
      <c r="J777" t="n">
        <v>4.3503</v>
      </c>
      <c r="K777" s="5" t="inlineStr">
        <is>
          <t>01a1212c-7b10-774c-b58c-697160097ba7</t>
        </is>
      </c>
      <c r="L777" s="5" t="inlineStr">
        <is>
          <t>01a1212c-a805-700c-af80-50bada88a708</t>
        </is>
      </c>
      <c r="M777" s="6" t="n">
        <v>45474</v>
      </c>
    </row>
    <row r="778">
      <c r="A778" s="5" t="inlineStr">
        <is>
          <t>01a1212c-a991-746d-84e7-c60995ec7c39</t>
        </is>
      </c>
      <c r="D778" s="5" t="inlineStr">
        <is>
          <t>01a1212c-4b57-70cf-80fd-c2192cb3bf81</t>
        </is>
      </c>
      <c r="E778" s="4" t="n">
        <v>46304.62427723539</v>
      </c>
      <c r="F778" s="4" t="n">
        <v>46304.62427723546</v>
      </c>
      <c r="G778" t="b">
        <v>1</v>
      </c>
      <c r="I778" t="inlineStr">
        <is>
          <t>AUD</t>
        </is>
      </c>
      <c r="J778" t="n">
        <v>4.3503</v>
      </c>
      <c r="K778" s="5" t="inlineStr">
        <is>
          <t>01a1212c-7db7-7326-bd92-bfd54a0d5780</t>
        </is>
      </c>
      <c r="L778" s="5" t="inlineStr">
        <is>
          <t>01a1212c-a805-700c-af80-50bada88a708</t>
        </is>
      </c>
      <c r="M778" s="6" t="n">
        <v>45474</v>
      </c>
    </row>
    <row r="779">
      <c r="A779" s="5" t="inlineStr">
        <is>
          <t>01a1212c-a996-732a-89f2-9e626f88f7f4</t>
        </is>
      </c>
      <c r="D779" s="5" t="inlineStr">
        <is>
          <t>01a1212c-4b57-70cf-80fd-c2192cb3bf81</t>
        </is>
      </c>
      <c r="E779" s="4" t="n">
        <v>46304.62427730422</v>
      </c>
      <c r="F779" s="4" t="n">
        <v>46304.62427730429</v>
      </c>
      <c r="G779" t="b">
        <v>1</v>
      </c>
      <c r="I779" t="inlineStr">
        <is>
          <t>AUD</t>
        </is>
      </c>
      <c r="J779" t="n">
        <v>4.7128</v>
      </c>
      <c r="K779" s="5" t="inlineStr">
        <is>
          <t>01a1212c-6d76-76a9-b3fa-2e49f1ec83bd</t>
        </is>
      </c>
      <c r="L779" s="5" t="inlineStr">
        <is>
          <t>01a1212c-a805-700c-af80-50bada88a708</t>
        </is>
      </c>
      <c r="M779" s="6" t="n">
        <v>45474</v>
      </c>
    </row>
    <row r="780">
      <c r="A780" s="5" t="inlineStr">
        <is>
          <t>01a1212c-a99c-7258-a1c5-ea0a87d2bc3e</t>
        </is>
      </c>
      <c r="D780" s="5" t="inlineStr">
        <is>
          <t>01a1212c-4b57-70cf-80fd-c2192cb3bf81</t>
        </is>
      </c>
      <c r="E780" s="4" t="n">
        <v>46304.62427737316</v>
      </c>
      <c r="F780" s="4" t="n">
        <v>46304.62427737323</v>
      </c>
      <c r="G780" t="b">
        <v>1</v>
      </c>
      <c r="I780" t="inlineStr">
        <is>
          <t>AUD</t>
        </is>
      </c>
      <c r="J780" t="n">
        <v>4.7128</v>
      </c>
      <c r="K780" s="5" t="inlineStr">
        <is>
          <t>01a1212c-6efd-73be-a0d7-c82e3f8af4ac</t>
        </is>
      </c>
      <c r="L780" s="5" t="inlineStr">
        <is>
          <t>01a1212c-a805-700c-af80-50bada88a708</t>
        </is>
      </c>
      <c r="M780" s="6" t="n">
        <v>45474</v>
      </c>
    </row>
    <row r="781">
      <c r="A781" s="5" t="inlineStr">
        <is>
          <t>01a1212c-a9a3-72d5-803a-8753f07fb8ee</t>
        </is>
      </c>
      <c r="D781" s="5" t="inlineStr">
        <is>
          <t>01a1212c-4b57-70cf-80fd-c2192cb3bf81</t>
        </is>
      </c>
      <c r="E781" s="4" t="n">
        <v>46304.62427744538</v>
      </c>
      <c r="F781" s="4" t="n">
        <v>46304.62427744545</v>
      </c>
      <c r="G781" t="b">
        <v>1</v>
      </c>
      <c r="I781" t="inlineStr">
        <is>
          <t>AUD</t>
        </is>
      </c>
      <c r="J781" t="n">
        <v>4.7128</v>
      </c>
      <c r="K781" s="5" t="inlineStr">
        <is>
          <t>01a1212c-70d6-7608-9b7d-a9f3b20fcd42</t>
        </is>
      </c>
      <c r="L781" s="5" t="inlineStr">
        <is>
          <t>01a1212c-a805-700c-af80-50bada88a708</t>
        </is>
      </c>
      <c r="M781" s="6" t="n">
        <v>45474</v>
      </c>
    </row>
    <row r="782">
      <c r="A782" s="5" t="inlineStr">
        <is>
          <t>01a1212c-a9a9-7483-9630-e9f09a213dcf</t>
        </is>
      </c>
      <c r="D782" s="5" t="inlineStr">
        <is>
          <t>01a1212c-4b57-70cf-80fd-c2192cb3bf81</t>
        </is>
      </c>
      <c r="E782" s="4" t="n">
        <v>46304.62427751443</v>
      </c>
      <c r="F782" s="4" t="n">
        <v>46304.6242775145</v>
      </c>
      <c r="G782" t="b">
        <v>1</v>
      </c>
      <c r="I782" t="inlineStr">
        <is>
          <t>AUD</t>
        </is>
      </c>
      <c r="J782" t="n">
        <v>4.7128</v>
      </c>
      <c r="K782" s="5" t="inlineStr">
        <is>
          <t>01a1212c-7102-774f-b90a-23a16e3eac92</t>
        </is>
      </c>
      <c r="L782" s="5" t="inlineStr">
        <is>
          <t>01a1212c-a805-700c-af80-50bada88a708</t>
        </is>
      </c>
      <c r="M782" s="6" t="n">
        <v>45474</v>
      </c>
    </row>
    <row r="783">
      <c r="A783" s="5" t="inlineStr">
        <is>
          <t>01a1212c-a9af-72e2-8474-14eb053dde37</t>
        </is>
      </c>
      <c r="D783" s="5" t="inlineStr">
        <is>
          <t>01a1212c-4b57-70cf-80fd-c2192cb3bf81</t>
        </is>
      </c>
      <c r="E783" s="4" t="n">
        <v>46304.62427758241</v>
      </c>
      <c r="F783" s="4" t="n">
        <v>46304.6242775825</v>
      </c>
      <c r="G783" t="b">
        <v>1</v>
      </c>
      <c r="I783" t="inlineStr">
        <is>
          <t>AUD</t>
        </is>
      </c>
      <c r="J783" t="n">
        <v>4.7128</v>
      </c>
      <c r="K783" s="5" t="inlineStr">
        <is>
          <t>01a1212c-72fa-746a-b6d8-923ee91edd31</t>
        </is>
      </c>
      <c r="L783" s="5" t="inlineStr">
        <is>
          <t>01a1212c-a805-700c-af80-50bada88a708</t>
        </is>
      </c>
      <c r="M783" s="6" t="n">
        <v>45474</v>
      </c>
    </row>
    <row r="784">
      <c r="A784" s="5" t="inlineStr">
        <is>
          <t>01a1212c-a9b5-734f-9985-32ef8d8bb15c</t>
        </is>
      </c>
      <c r="D784" s="5" t="inlineStr">
        <is>
          <t>01a1212c-4b57-70cf-80fd-c2192cb3bf81</t>
        </is>
      </c>
      <c r="E784" s="4" t="n">
        <v>46304.62427765353</v>
      </c>
      <c r="F784" s="4" t="n">
        <v>46304.62427765359</v>
      </c>
      <c r="G784" t="b">
        <v>1</v>
      </c>
      <c r="I784" t="inlineStr">
        <is>
          <t>AUD</t>
        </is>
      </c>
      <c r="J784" t="n">
        <v>4.7128</v>
      </c>
      <c r="K784" s="5" t="inlineStr">
        <is>
          <t>01a1212c-7327-74d8-96b9-c942c63d839c</t>
        </is>
      </c>
      <c r="L784" s="5" t="inlineStr">
        <is>
          <t>01a1212c-a805-700c-af80-50bada88a708</t>
        </is>
      </c>
      <c r="M784" s="6" t="n">
        <v>45474</v>
      </c>
    </row>
    <row r="785">
      <c r="A785" s="5" t="inlineStr">
        <is>
          <t>01a1212c-a9bb-77a1-a725-5158db0e0234</t>
        </is>
      </c>
      <c r="D785" s="5" t="inlineStr">
        <is>
          <t>01a1212c-4b57-70cf-80fd-c2192cb3bf81</t>
        </is>
      </c>
      <c r="E785" s="4" t="n">
        <v>46304.62427772202</v>
      </c>
      <c r="F785" s="4" t="n">
        <v>46304.62427772208</v>
      </c>
      <c r="G785" t="b">
        <v>1</v>
      </c>
      <c r="I785" t="inlineStr">
        <is>
          <t>AUD</t>
        </is>
      </c>
      <c r="J785" t="n">
        <v>4.7128</v>
      </c>
      <c r="K785" s="5" t="inlineStr">
        <is>
          <t>01a1212c-7381-769a-8076-e7b050fbdfd3</t>
        </is>
      </c>
      <c r="L785" s="5" t="inlineStr">
        <is>
          <t>01a1212c-a805-700c-af80-50bada88a708</t>
        </is>
      </c>
      <c r="M785" s="6" t="n">
        <v>45474</v>
      </c>
    </row>
    <row r="786">
      <c r="A786" s="5" t="inlineStr">
        <is>
          <t>01a1212c-a9c1-708d-8f6f-2f49c0467524</t>
        </is>
      </c>
      <c r="D786" s="5" t="inlineStr">
        <is>
          <t>01a1212c-4b57-70cf-80fd-c2192cb3bf81</t>
        </is>
      </c>
      <c r="E786" s="4" t="n">
        <v>46304.62427779228</v>
      </c>
      <c r="F786" s="4" t="n">
        <v>46304.62427779235</v>
      </c>
      <c r="G786" t="b">
        <v>1</v>
      </c>
      <c r="I786" t="inlineStr">
        <is>
          <t>AUD</t>
        </is>
      </c>
      <c r="J786" t="n">
        <v>4.7128</v>
      </c>
      <c r="K786" s="5" t="inlineStr">
        <is>
          <t>01a1212c-74d0-7378-b4d7-9789d59f4dc6</t>
        </is>
      </c>
      <c r="L786" s="5" t="inlineStr">
        <is>
          <t>01a1212c-a805-700c-af80-50bada88a708</t>
        </is>
      </c>
      <c r="M786" s="6" t="n">
        <v>45474</v>
      </c>
    </row>
    <row r="787">
      <c r="A787" s="5" t="inlineStr">
        <is>
          <t>01a1212c-a9c7-70be-be88-a3193c7125bb</t>
        </is>
      </c>
      <c r="D787" s="5" t="inlineStr">
        <is>
          <t>01a1212c-4b57-70cf-80fd-c2192cb3bf81</t>
        </is>
      </c>
      <c r="E787" s="4" t="n">
        <v>46304.62427786102</v>
      </c>
      <c r="F787" s="4" t="n">
        <v>46304.62427786109</v>
      </c>
      <c r="G787" t="b">
        <v>1</v>
      </c>
      <c r="I787" t="inlineStr">
        <is>
          <t>AUD</t>
        </is>
      </c>
      <c r="J787" t="n">
        <v>4.7128</v>
      </c>
      <c r="K787" s="5" t="inlineStr">
        <is>
          <t>01a1212c-752a-73d9-a17f-d259f6529c46</t>
        </is>
      </c>
      <c r="L787" s="5" t="inlineStr">
        <is>
          <t>01a1212c-a805-700c-af80-50bada88a708</t>
        </is>
      </c>
      <c r="M787" s="6" t="n">
        <v>45474</v>
      </c>
    </row>
    <row r="788">
      <c r="A788" s="5" t="inlineStr">
        <is>
          <t>01a1212c-a9cc-77b4-a216-1c985c98215f</t>
        </is>
      </c>
      <c r="D788" s="5" t="inlineStr">
        <is>
          <t>01a1212c-4b57-70cf-80fd-c2192cb3bf81</t>
        </is>
      </c>
      <c r="E788" s="4" t="n">
        <v>46304.62427792869</v>
      </c>
      <c r="F788" s="4" t="n">
        <v>46304.62427792876</v>
      </c>
      <c r="G788" t="b">
        <v>1</v>
      </c>
      <c r="I788" t="inlineStr">
        <is>
          <t>AUD</t>
        </is>
      </c>
      <c r="J788" t="n">
        <v>4.7128</v>
      </c>
      <c r="K788" s="5" t="inlineStr">
        <is>
          <t>01a1212c-75d7-729a-8044-f297ce4ce9a3</t>
        </is>
      </c>
      <c r="L788" s="5" t="inlineStr">
        <is>
          <t>01a1212c-a805-700c-af80-50bada88a708</t>
        </is>
      </c>
      <c r="M788" s="6" t="n">
        <v>45474</v>
      </c>
    </row>
    <row r="789">
      <c r="A789" s="5" t="inlineStr">
        <is>
          <t>01a1212c-a9d2-72d3-a5df-bf2486f4304e</t>
        </is>
      </c>
      <c r="D789" s="5" t="inlineStr">
        <is>
          <t>01a1212c-4b57-70cf-80fd-c2192cb3bf81</t>
        </is>
      </c>
      <c r="E789" s="4" t="n">
        <v>46304.62427799822</v>
      </c>
      <c r="F789" s="4" t="n">
        <v>46304.6242779983</v>
      </c>
      <c r="G789" t="b">
        <v>1</v>
      </c>
      <c r="I789" t="inlineStr">
        <is>
          <t>AUD</t>
        </is>
      </c>
      <c r="J789" t="n">
        <v>4.7128</v>
      </c>
      <c r="K789" s="5" t="inlineStr">
        <is>
          <t>01a1212c-7645-77ff-9286-d1f48bd9680e</t>
        </is>
      </c>
      <c r="L789" s="5" t="inlineStr">
        <is>
          <t>01a1212c-a805-700c-af80-50bada88a708</t>
        </is>
      </c>
      <c r="M789" s="6" t="n">
        <v>45474</v>
      </c>
    </row>
    <row r="790">
      <c r="A790" s="5" t="inlineStr">
        <is>
          <t>01a1212c-a9d8-76ee-9ea3-bd14c7eb1d27</t>
        </is>
      </c>
      <c r="D790" s="5" t="inlineStr">
        <is>
          <t>01a1212c-4b57-70cf-80fd-c2192cb3bf81</t>
        </is>
      </c>
      <c r="E790" s="4" t="n">
        <v>46304.62427806508</v>
      </c>
      <c r="F790" s="4" t="n">
        <v>46304.62427806514</v>
      </c>
      <c r="G790" t="b">
        <v>1</v>
      </c>
      <c r="I790" t="inlineStr">
        <is>
          <t>AUD</t>
        </is>
      </c>
      <c r="J790" t="n">
        <v>4.7128</v>
      </c>
      <c r="K790" s="5" t="inlineStr">
        <is>
          <t>01a1212c-76dd-74f8-b495-e2012fee9273</t>
        </is>
      </c>
      <c r="L790" s="5" t="inlineStr">
        <is>
          <t>01a1212c-a805-700c-af80-50bada88a708</t>
        </is>
      </c>
      <c r="M790" s="6" t="n">
        <v>45474</v>
      </c>
    </row>
    <row r="791">
      <c r="A791" s="5" t="inlineStr">
        <is>
          <t>01a1212c-a9de-726f-8cb2-75a3d73bf60f</t>
        </is>
      </c>
      <c r="D791" s="5" t="inlineStr">
        <is>
          <t>01a1212c-4b57-70cf-80fd-c2192cb3bf81</t>
        </is>
      </c>
      <c r="E791" s="4" t="n">
        <v>46304.62427813504</v>
      </c>
      <c r="F791" s="4" t="n">
        <v>46304.62427813515</v>
      </c>
      <c r="G791" t="b">
        <v>1</v>
      </c>
      <c r="I791" t="inlineStr">
        <is>
          <t>AUD</t>
        </is>
      </c>
      <c r="J791" t="n">
        <v>4.7128</v>
      </c>
      <c r="K791" s="5" t="inlineStr">
        <is>
          <t>01a1212c-796e-75fc-b53f-4202c06e06b7</t>
        </is>
      </c>
      <c r="L791" s="5" t="inlineStr">
        <is>
          <t>01a1212c-a805-700c-af80-50bada88a708</t>
        </is>
      </c>
      <c r="M791" s="6" t="n">
        <v>45474</v>
      </c>
    </row>
    <row r="792">
      <c r="A792" s="5" t="inlineStr">
        <is>
          <t>01a1212c-a9e5-7130-a5fd-512a10b4a9ca</t>
        </is>
      </c>
      <c r="D792" s="5" t="inlineStr">
        <is>
          <t>01a1212c-4b57-70cf-80fd-c2192cb3bf81</t>
        </is>
      </c>
      <c r="E792" s="4" t="n">
        <v>46304.62427821545</v>
      </c>
      <c r="F792" s="4" t="n">
        <v>46304.62427821553</v>
      </c>
      <c r="G792" t="b">
        <v>1</v>
      </c>
      <c r="I792" t="inlineStr">
        <is>
          <t>AUD</t>
        </is>
      </c>
      <c r="J792" t="n">
        <v>4.7128</v>
      </c>
      <c r="K792" s="5" t="inlineStr">
        <is>
          <t>01a1212c-79f3-735a-99c2-9a23d450ed58</t>
        </is>
      </c>
      <c r="L792" s="5" t="inlineStr">
        <is>
          <t>01a1212c-a805-700c-af80-50bada88a708</t>
        </is>
      </c>
      <c r="M792" s="6" t="n">
        <v>45474</v>
      </c>
    </row>
    <row r="793">
      <c r="A793" s="5" t="inlineStr">
        <is>
          <t>01a1212c-a9ec-76e6-a899-03aed8008640</t>
        </is>
      </c>
      <c r="D793" s="5" t="inlineStr">
        <is>
          <t>01a1212c-4b57-70cf-80fd-c2192cb3bf81</t>
        </is>
      </c>
      <c r="E793" s="4" t="n">
        <v>46304.62427829447</v>
      </c>
      <c r="F793" s="4" t="n">
        <v>46304.62427829456</v>
      </c>
      <c r="G793" t="b">
        <v>1</v>
      </c>
      <c r="I793" t="inlineStr">
        <is>
          <t>AUD</t>
        </is>
      </c>
      <c r="J793" t="n">
        <v>4.7128</v>
      </c>
      <c r="K793" s="5" t="inlineStr">
        <is>
          <t>01a1212c-7bd4-7438-9057-10216465237d</t>
        </is>
      </c>
      <c r="L793" s="5" t="inlineStr">
        <is>
          <t>01a1212c-a805-700c-af80-50bada88a708</t>
        </is>
      </c>
      <c r="M793" s="6" t="n">
        <v>45474</v>
      </c>
    </row>
    <row r="794">
      <c r="A794" s="5" t="inlineStr">
        <is>
          <t>01a1212c-a9f3-76bf-b1dd-f2de44e6e6d3</t>
        </is>
      </c>
      <c r="D794" s="5" t="inlineStr">
        <is>
          <t>01a1212c-4b57-70cf-80fd-c2192cb3bf81</t>
        </is>
      </c>
      <c r="E794" s="4" t="n">
        <v>46304.62427837811</v>
      </c>
      <c r="F794" s="4" t="n">
        <v>46304.62427837821</v>
      </c>
      <c r="G794" t="b">
        <v>1</v>
      </c>
      <c r="I794" t="inlineStr">
        <is>
          <t>AUD</t>
        </is>
      </c>
      <c r="J794" t="n">
        <v>4.7128</v>
      </c>
      <c r="K794" s="5" t="inlineStr">
        <is>
          <t>01a1212c-7d76-712c-8870-92d0cd93b8d1</t>
        </is>
      </c>
      <c r="L794" s="5" t="inlineStr">
        <is>
          <t>01a1212c-a805-700c-af80-50bada88a708</t>
        </is>
      </c>
      <c r="M794" s="6" t="n">
        <v>45474</v>
      </c>
    </row>
    <row r="795">
      <c r="A795" s="5" t="inlineStr">
        <is>
          <t>01a1212c-a9fa-76bd-8227-589128e2c66f</t>
        </is>
      </c>
      <c r="D795" s="5" t="inlineStr">
        <is>
          <t>01a1212c-4b57-70cf-80fd-c2192cb3bf81</t>
        </is>
      </c>
      <c r="E795" s="4" t="n">
        <v>46304.62427845447</v>
      </c>
      <c r="F795" s="4" t="n">
        <v>46304.62427845456</v>
      </c>
      <c r="G795" t="b">
        <v>1</v>
      </c>
      <c r="I795" t="inlineStr">
        <is>
          <t>AUD</t>
        </is>
      </c>
      <c r="J795" t="n">
        <v>5.0753</v>
      </c>
      <c r="K795" s="5" t="inlineStr">
        <is>
          <t>01a1212c-6f3f-76d2-bfcb-3c0b514d7327</t>
        </is>
      </c>
      <c r="L795" s="5" t="inlineStr">
        <is>
          <t>01a1212c-a805-700c-af80-50bada88a708</t>
        </is>
      </c>
      <c r="M795" s="6" t="n">
        <v>45474</v>
      </c>
    </row>
    <row r="796">
      <c r="A796" s="5" t="inlineStr">
        <is>
          <t>01a1212c-aa01-7455-9cdc-9ad78594061c</t>
        </is>
      </c>
      <c r="D796" s="5" t="inlineStr">
        <is>
          <t>01a1212c-4b57-70cf-80fd-c2192cb3bf81</t>
        </is>
      </c>
      <c r="E796" s="4" t="n">
        <v>46304.62427853428</v>
      </c>
      <c r="F796" s="4" t="n">
        <v>46304.62427853436</v>
      </c>
      <c r="G796" t="b">
        <v>1</v>
      </c>
      <c r="I796" t="inlineStr">
        <is>
          <t>AUD</t>
        </is>
      </c>
      <c r="J796" t="n">
        <v>5.0753</v>
      </c>
      <c r="K796" s="5" t="inlineStr">
        <is>
          <t>01a1212c-6feb-74aa-bf31-ee2f8fd37754</t>
        </is>
      </c>
      <c r="L796" s="5" t="inlineStr">
        <is>
          <t>01a1212c-a805-700c-af80-50bada88a708</t>
        </is>
      </c>
      <c r="M796" s="6" t="n">
        <v>45474</v>
      </c>
    </row>
    <row r="797">
      <c r="A797" s="5" t="inlineStr">
        <is>
          <t>01a1212c-aa07-701b-9682-e76decb47567</t>
        </is>
      </c>
      <c r="D797" s="5" t="inlineStr">
        <is>
          <t>01a1212c-4b57-70cf-80fd-c2192cb3bf81</t>
        </is>
      </c>
      <c r="E797" s="4" t="n">
        <v>46304.62427860748</v>
      </c>
      <c r="F797" s="4" t="n">
        <v>46304.62427860754</v>
      </c>
      <c r="G797" t="b">
        <v>1</v>
      </c>
      <c r="I797" t="inlineStr">
        <is>
          <t>AUD</t>
        </is>
      </c>
      <c r="J797" t="n">
        <v>5.0753</v>
      </c>
      <c r="K797" s="5" t="inlineStr">
        <is>
          <t>01a1212c-7028-718e-b2ce-9f6f2a580d3c</t>
        </is>
      </c>
      <c r="L797" s="5" t="inlineStr">
        <is>
          <t>01a1212c-a805-700c-af80-50bada88a708</t>
        </is>
      </c>
      <c r="M797" s="6" t="n">
        <v>45474</v>
      </c>
    </row>
    <row r="798">
      <c r="A798" s="5" t="inlineStr">
        <is>
          <t>01a1212c-aa0d-7198-b5a7-b376dda558a6</t>
        </is>
      </c>
      <c r="D798" s="5" t="inlineStr">
        <is>
          <t>01a1212c-4b57-70cf-80fd-c2192cb3bf81</t>
        </is>
      </c>
      <c r="E798" s="4" t="n">
        <v>46304.62427867878</v>
      </c>
      <c r="F798" s="4" t="n">
        <v>46304.62427867886</v>
      </c>
      <c r="G798" t="b">
        <v>1</v>
      </c>
      <c r="I798" t="inlineStr">
        <is>
          <t>AUD</t>
        </is>
      </c>
      <c r="J798" t="n">
        <v>5.0753</v>
      </c>
      <c r="K798" s="5" t="inlineStr">
        <is>
          <t>01a1212c-71d9-7647-901b-c597ca2d48c9</t>
        </is>
      </c>
      <c r="L798" s="5" t="inlineStr">
        <is>
          <t>01a1212c-a805-700c-af80-50bada88a708</t>
        </is>
      </c>
      <c r="M798" s="6" t="n">
        <v>45474</v>
      </c>
    </row>
    <row r="799">
      <c r="A799" s="5" t="inlineStr">
        <is>
          <t>01a1212c-aa14-72ba-8360-cba9ae8b2e98</t>
        </is>
      </c>
      <c r="D799" s="5" t="inlineStr">
        <is>
          <t>01a1212c-4b57-70cf-80fd-c2192cb3bf81</t>
        </is>
      </c>
      <c r="E799" s="4" t="n">
        <v>46304.62427875852</v>
      </c>
      <c r="F799" s="4" t="n">
        <v>46304.6242787586</v>
      </c>
      <c r="G799" t="b">
        <v>1</v>
      </c>
      <c r="I799" t="inlineStr">
        <is>
          <t>AUD</t>
        </is>
      </c>
      <c r="J799" t="n">
        <v>5.0753</v>
      </c>
      <c r="K799" s="5" t="inlineStr">
        <is>
          <t>01a1212c-7461-718b-a08a-ae58aa67a4dc</t>
        </is>
      </c>
      <c r="L799" s="5" t="inlineStr">
        <is>
          <t>01a1212c-a805-700c-af80-50bada88a708</t>
        </is>
      </c>
      <c r="M799" s="6" t="n">
        <v>45474</v>
      </c>
    </row>
    <row r="800">
      <c r="A800" s="5" t="inlineStr">
        <is>
          <t>01a1212c-aa1a-7235-8f66-e99a2ad87ff6</t>
        </is>
      </c>
      <c r="D800" s="5" t="inlineStr">
        <is>
          <t>01a1212c-4b57-70cf-80fd-c2192cb3bf81</t>
        </is>
      </c>
      <c r="E800" s="4" t="n">
        <v>46304.62427882932</v>
      </c>
      <c r="F800" s="4" t="n">
        <v>46304.62427882939</v>
      </c>
      <c r="G800" t="b">
        <v>1</v>
      </c>
      <c r="I800" t="inlineStr">
        <is>
          <t>AUD</t>
        </is>
      </c>
      <c r="J800" t="n">
        <v>5.4379</v>
      </c>
      <c r="K800" s="5" t="inlineStr">
        <is>
          <t>01a1212c-6e66-7046-82e1-a0df222b5449</t>
        </is>
      </c>
      <c r="L800" s="5" t="inlineStr">
        <is>
          <t>01a1212c-a805-700c-af80-50bada88a708</t>
        </is>
      </c>
      <c r="M800" s="6" t="n">
        <v>45474</v>
      </c>
    </row>
    <row r="801">
      <c r="A801" s="5" t="inlineStr">
        <is>
          <t>01a1212c-aa21-7125-b22a-e7e1a672815f</t>
        </is>
      </c>
      <c r="D801" s="5" t="inlineStr">
        <is>
          <t>01a1212c-4b57-70cf-80fd-c2192cb3bf81</t>
        </is>
      </c>
      <c r="E801" s="4" t="n">
        <v>46304.62427890481</v>
      </c>
      <c r="F801" s="4" t="n">
        <v>46304.62427890488</v>
      </c>
      <c r="G801" t="b">
        <v>1</v>
      </c>
      <c r="I801" t="inlineStr">
        <is>
          <t>AUD</t>
        </is>
      </c>
      <c r="J801" t="n">
        <v>5.4379</v>
      </c>
      <c r="K801" s="5" t="inlineStr">
        <is>
          <t>01a1212c-71ae-7629-9101-f4aefddb3353</t>
        </is>
      </c>
      <c r="L801" s="5" t="inlineStr">
        <is>
          <t>01a1212c-a805-700c-af80-50bada88a708</t>
        </is>
      </c>
      <c r="M801" s="6" t="n">
        <v>45474</v>
      </c>
    </row>
    <row r="802">
      <c r="A802" s="5" t="inlineStr">
        <is>
          <t>01a1212c-aa27-7353-9900-4399e2cb4a82</t>
        </is>
      </c>
      <c r="D802" s="5" t="inlineStr">
        <is>
          <t>01a1212c-4b57-70cf-80fd-c2192cb3bf81</t>
        </is>
      </c>
      <c r="E802" s="4" t="n">
        <v>46304.62427897259</v>
      </c>
      <c r="F802" s="4" t="n">
        <v>46304.62427897266</v>
      </c>
      <c r="G802" t="b">
        <v>1</v>
      </c>
      <c r="I802" t="inlineStr">
        <is>
          <t>AUD</t>
        </is>
      </c>
      <c r="J802" t="n">
        <v>5.4379</v>
      </c>
      <c r="K802" s="5" t="inlineStr">
        <is>
          <t>01a1212c-741c-732e-b238-83e9eab5ef79</t>
        </is>
      </c>
      <c r="L802" s="5" t="inlineStr">
        <is>
          <t>01a1212c-a805-700c-af80-50bada88a708</t>
        </is>
      </c>
      <c r="M802" s="6" t="n">
        <v>45474</v>
      </c>
    </row>
    <row r="803">
      <c r="A803" s="5" t="inlineStr">
        <is>
          <t>01a1212c-aa2d-768b-bdf9-b762c7d6037b</t>
        </is>
      </c>
      <c r="D803" s="5" t="inlineStr">
        <is>
          <t>01a1212c-4b57-70cf-80fd-c2192cb3bf81</t>
        </is>
      </c>
      <c r="E803" s="4" t="n">
        <v>46304.62427904185</v>
      </c>
      <c r="F803" s="4" t="n">
        <v>46304.62427904192</v>
      </c>
      <c r="G803" t="b">
        <v>1</v>
      </c>
      <c r="I803" t="inlineStr">
        <is>
          <t>AUD</t>
        </is>
      </c>
      <c r="J803" t="n">
        <v>5.4379</v>
      </c>
      <c r="K803" s="5" t="inlineStr">
        <is>
          <t>01a1212c-7a90-7411-8405-00a5215c5218</t>
        </is>
      </c>
      <c r="L803" s="5" t="inlineStr">
        <is>
          <t>01a1212c-a805-700c-af80-50bada88a708</t>
        </is>
      </c>
      <c r="M803" s="6" t="n">
        <v>45474</v>
      </c>
    </row>
    <row r="804">
      <c r="A804" s="5" t="inlineStr">
        <is>
          <t>01a1212c-aa33-7357-a6de-62b890f2d73d</t>
        </is>
      </c>
      <c r="D804" s="5" t="inlineStr">
        <is>
          <t>01a1212c-4b57-70cf-80fd-c2192cb3bf81</t>
        </is>
      </c>
      <c r="E804" s="4" t="n">
        <v>46304.62427911523</v>
      </c>
      <c r="F804" s="4" t="n">
        <v>46304.62427911531</v>
      </c>
      <c r="G804" t="b">
        <v>1</v>
      </c>
      <c r="I804" t="inlineStr">
        <is>
          <t>AUD</t>
        </is>
      </c>
      <c r="J804" t="n">
        <v>5.8018</v>
      </c>
      <c r="K804" s="5" t="inlineStr">
        <is>
          <t>01a1212c-6d4c-7285-883b-40007c7bea5b</t>
        </is>
      </c>
      <c r="L804" s="5" t="inlineStr">
        <is>
          <t>01a1212c-a805-700c-af80-50bada88a708</t>
        </is>
      </c>
      <c r="M804" s="6" t="n">
        <v>45474</v>
      </c>
    </row>
    <row r="805">
      <c r="A805" s="5" t="inlineStr">
        <is>
          <t>01a1212c-ab76-76d8-8cb5-22efd3c75192</t>
        </is>
      </c>
      <c r="D805" s="5" t="inlineStr">
        <is>
          <t>01a1212c-4b57-70cf-80fd-c2192cb3bf81</t>
        </is>
      </c>
      <c r="E805" s="4" t="n">
        <v>46304.62428285794</v>
      </c>
      <c r="F805" s="4" t="n">
        <v>46304.62428285801</v>
      </c>
      <c r="G805" t="b">
        <v>1</v>
      </c>
      <c r="I805" t="inlineStr">
        <is>
          <t>AUD</t>
        </is>
      </c>
      <c r="J805" t="n">
        <v>0.2225</v>
      </c>
      <c r="K805" s="5" t="inlineStr">
        <is>
          <t>01a1212c-822a-7156-ba3d-e499465ae100</t>
        </is>
      </c>
      <c r="L805" s="5" t="inlineStr">
        <is>
          <t>01a1212c-ab70-70ef-b386-0646b6e677c5</t>
        </is>
      </c>
      <c r="M805" s="6" t="n">
        <v>45474</v>
      </c>
    </row>
    <row r="806">
      <c r="A806" s="5" t="inlineStr">
        <is>
          <t>01a1212c-ab7d-70e4-be35-e27c8ec69fba</t>
        </is>
      </c>
      <c r="D806" s="5" t="inlineStr">
        <is>
          <t>01a1212c-4b57-70cf-80fd-c2192cb3bf81</t>
        </is>
      </c>
      <c r="E806" s="4" t="n">
        <v>46304.62428293291</v>
      </c>
      <c r="F806" s="4" t="n">
        <v>46304.62428293299</v>
      </c>
      <c r="G806" t="b">
        <v>1</v>
      </c>
      <c r="I806" t="inlineStr">
        <is>
          <t>AUD</t>
        </is>
      </c>
      <c r="J806" t="n">
        <v>0.4374</v>
      </c>
      <c r="K806" s="5" t="inlineStr">
        <is>
          <t>01a1212c-81e3-749e-920a-7ad74e769466</t>
        </is>
      </c>
      <c r="L806" s="5" t="inlineStr">
        <is>
          <t>01a1212c-ab70-70ef-b386-0646b6e677c5</t>
        </is>
      </c>
      <c r="M806" s="6" t="n">
        <v>45474</v>
      </c>
    </row>
    <row r="807">
      <c r="A807" s="5" t="inlineStr">
        <is>
          <t>01a1212c-ab83-70c1-9cf1-a36f97141060</t>
        </is>
      </c>
      <c r="D807" s="5" t="inlineStr">
        <is>
          <t>01a1212c-4b57-70cf-80fd-c2192cb3bf81</t>
        </is>
      </c>
      <c r="E807" s="4" t="n">
        <v>46304.6242830008</v>
      </c>
      <c r="F807" s="4" t="n">
        <v>46304.62428300086</v>
      </c>
      <c r="G807" t="b">
        <v>1</v>
      </c>
      <c r="I807" t="inlineStr">
        <is>
          <t>AUD</t>
        </is>
      </c>
      <c r="J807" t="n">
        <v>1.0524</v>
      </c>
      <c r="K807" s="5" t="inlineStr">
        <is>
          <t>01a1212c-8174-703a-b0ff-1dee8bca62ce</t>
        </is>
      </c>
      <c r="L807" s="5" t="inlineStr">
        <is>
          <t>01a1212c-ab70-70ef-b386-0646b6e677c5</t>
        </is>
      </c>
      <c r="M807" s="6" t="n">
        <v>45474</v>
      </c>
    </row>
    <row r="808">
      <c r="A808" s="5" t="inlineStr">
        <is>
          <t>01a1212c-ab89-715f-bc88-5b43307136eb</t>
        </is>
      </c>
      <c r="D808" s="5" t="inlineStr">
        <is>
          <t>01a1212c-4b57-70cf-80fd-c2192cb3bf81</t>
        </is>
      </c>
      <c r="E808" s="4" t="n">
        <v>46304.62428306896</v>
      </c>
      <c r="F808" s="4" t="n">
        <v>46304.62428306902</v>
      </c>
      <c r="G808" t="b">
        <v>1</v>
      </c>
      <c r="I808" t="inlineStr">
        <is>
          <t>AUD</t>
        </is>
      </c>
      <c r="J808" t="n">
        <v>1.1357</v>
      </c>
      <c r="K808" s="5" t="inlineStr">
        <is>
          <t>01a1212c-8132-7112-9580-f3f901374736</t>
        </is>
      </c>
      <c r="L808" s="5" t="inlineStr">
        <is>
          <t>01a1212c-ab70-70ef-b386-0646b6e677c5</t>
        </is>
      </c>
      <c r="M808" s="6" t="n">
        <v>45474</v>
      </c>
    </row>
    <row r="809">
      <c r="A809" s="5" t="inlineStr">
        <is>
          <t>01a1212c-ab8e-76da-83b4-b254b4afd5a4</t>
        </is>
      </c>
      <c r="D809" s="5" t="inlineStr">
        <is>
          <t>01a1212c-4b57-70cf-80fd-c2192cb3bf81</t>
        </is>
      </c>
      <c r="E809" s="4" t="n">
        <v>46304.62428313588</v>
      </c>
      <c r="F809" s="4" t="n">
        <v>46304.62428313595</v>
      </c>
      <c r="G809" t="b">
        <v>1</v>
      </c>
      <c r="I809" t="inlineStr">
        <is>
          <t>AUD</t>
        </is>
      </c>
      <c r="J809" t="n">
        <v>1.1577</v>
      </c>
      <c r="K809" s="5" t="inlineStr">
        <is>
          <t>01a1212c-8106-7659-9535-a5011aae9303</t>
        </is>
      </c>
      <c r="L809" s="5" t="inlineStr">
        <is>
          <t>01a1212c-ab70-70ef-b386-0646b6e677c5</t>
        </is>
      </c>
      <c r="M809" s="6" t="n">
        <v>45474</v>
      </c>
    </row>
    <row r="810">
      <c r="A810" s="5" t="inlineStr">
        <is>
          <t>01a1212c-ab94-74e4-862a-d6713f6849cc</t>
        </is>
      </c>
      <c r="D810" s="5" t="inlineStr">
        <is>
          <t>01a1212c-4b57-70cf-80fd-c2192cb3bf81</t>
        </is>
      </c>
      <c r="E810" s="4" t="n">
        <v>46304.62428320148</v>
      </c>
      <c r="F810" s="4" t="n">
        <v>46304.62428320155</v>
      </c>
      <c r="G810" t="b">
        <v>1</v>
      </c>
      <c r="I810" t="inlineStr">
        <is>
          <t>AUD</t>
        </is>
      </c>
      <c r="J810" t="n">
        <v>1.3977</v>
      </c>
      <c r="K810" s="5" t="inlineStr">
        <is>
          <t>01a1212c-819f-704e-8265-3989eef0ef89</t>
        </is>
      </c>
      <c r="L810" s="5" t="inlineStr">
        <is>
          <t>01a1212c-ab70-70ef-b386-0646b6e677c5</t>
        </is>
      </c>
      <c r="M810" s="6" t="n">
        <v>45474</v>
      </c>
    </row>
    <row r="811">
      <c r="A811" s="5" t="inlineStr">
        <is>
          <t>01a1212c-ab9a-7398-b2eb-eb66cb5a6f74</t>
        </is>
      </c>
      <c r="D811" s="5" t="inlineStr">
        <is>
          <t>01a1212c-4b57-70cf-80fd-c2192cb3bf81</t>
        </is>
      </c>
      <c r="E811" s="4" t="n">
        <v>46304.62428327337</v>
      </c>
      <c r="F811" s="4" t="n">
        <v>46304.62428327343</v>
      </c>
      <c r="G811" t="b">
        <v>1</v>
      </c>
      <c r="I811" t="inlineStr">
        <is>
          <t>AUD</t>
        </is>
      </c>
      <c r="J811" t="n">
        <v>1.9601</v>
      </c>
      <c r="K811" s="5" t="inlineStr">
        <is>
          <t>01a1212c-8013-700d-9ef5-c42363865635</t>
        </is>
      </c>
      <c r="L811" s="5" t="inlineStr">
        <is>
          <t>01a1212c-ab70-70ef-b386-0646b6e677c5</t>
        </is>
      </c>
      <c r="M811" s="6" t="n">
        <v>45474</v>
      </c>
    </row>
    <row r="812">
      <c r="A812" s="5" t="inlineStr">
        <is>
          <t>01a1212c-aba0-776c-ba5a-10ff01920a98</t>
        </is>
      </c>
      <c r="D812" s="5" t="inlineStr">
        <is>
          <t>01a1212c-4b57-70cf-80fd-c2192cb3bf81</t>
        </is>
      </c>
      <c r="E812" s="4" t="n">
        <v>46304.62428334455</v>
      </c>
      <c r="F812" s="4" t="n">
        <v>46304.62428334462</v>
      </c>
      <c r="G812" t="b">
        <v>1</v>
      </c>
      <c r="I812" t="inlineStr">
        <is>
          <t>AUD</t>
        </is>
      </c>
      <c r="J812" t="n">
        <v>2.0621</v>
      </c>
      <c r="K812" s="5" t="inlineStr">
        <is>
          <t>01a1212c-80ab-7143-8f0c-20e785d1552f</t>
        </is>
      </c>
      <c r="L812" s="5" t="inlineStr">
        <is>
          <t>01a1212c-ab70-70ef-b386-0646b6e677c5</t>
        </is>
      </c>
      <c r="M812" s="6" t="n">
        <v>45474</v>
      </c>
    </row>
    <row r="813">
      <c r="A813" s="5" t="inlineStr">
        <is>
          <t>01a1212c-aba7-71b0-949d-bd6fcf624969</t>
        </is>
      </c>
      <c r="D813" s="5" t="inlineStr">
        <is>
          <t>01a1212c-4b57-70cf-80fd-c2192cb3bf81</t>
        </is>
      </c>
      <c r="E813" s="4" t="n">
        <v>46304.62428341796</v>
      </c>
      <c r="F813" s="4" t="n">
        <v>46304.62428341803</v>
      </c>
      <c r="G813" t="b">
        <v>1</v>
      </c>
      <c r="I813" t="inlineStr">
        <is>
          <t>AUD</t>
        </is>
      </c>
      <c r="J813" t="n">
        <v>2.3416</v>
      </c>
      <c r="K813" s="5" t="inlineStr">
        <is>
          <t>01a1212c-803e-75cd-9153-4043ba44d097</t>
        </is>
      </c>
      <c r="L813" s="5" t="inlineStr">
        <is>
          <t>01a1212c-ab70-70ef-b386-0646b6e677c5</t>
        </is>
      </c>
      <c r="M813" s="6" t="n">
        <v>45474</v>
      </c>
    </row>
    <row r="814">
      <c r="A814" s="5" t="inlineStr">
        <is>
          <t>01a1212c-abad-7490-8556-9d70ee2c47a3</t>
        </is>
      </c>
      <c r="D814" s="5" t="inlineStr">
        <is>
          <t>01a1212c-4b57-70cf-80fd-c2192cb3bf81</t>
        </is>
      </c>
      <c r="E814" s="4" t="n">
        <v>46304.62428348854</v>
      </c>
      <c r="F814" s="4" t="n">
        <v>46304.62428348862</v>
      </c>
      <c r="G814" t="b">
        <v>1</v>
      </c>
      <c r="I814" t="inlineStr">
        <is>
          <t>AUD</t>
        </is>
      </c>
      <c r="J814" t="n">
        <v>2.801</v>
      </c>
      <c r="K814" s="5" t="inlineStr">
        <is>
          <t>01a1212c-7ebd-72be-82a1-cd941a25caaa</t>
        </is>
      </c>
      <c r="L814" s="5" t="inlineStr">
        <is>
          <t>01a1212c-ab70-70ef-b386-0646b6e677c5</t>
        </is>
      </c>
      <c r="M814" s="6" t="n">
        <v>45474</v>
      </c>
    </row>
    <row r="815">
      <c r="A815" s="5" t="inlineStr">
        <is>
          <t>01a1212c-abb3-7710-99be-a263098e54ab</t>
        </is>
      </c>
      <c r="D815" s="5" t="inlineStr">
        <is>
          <t>01a1212c-4b57-70cf-80fd-c2192cb3bf81</t>
        </is>
      </c>
      <c r="E815" s="4" t="n">
        <v>46304.62428356452</v>
      </c>
      <c r="F815" s="4" t="n">
        <v>46304.62428356466</v>
      </c>
      <c r="G815" t="b">
        <v>1</v>
      </c>
      <c r="I815" t="inlineStr">
        <is>
          <t>AUD</t>
        </is>
      </c>
      <c r="J815" t="n">
        <v>3.2011</v>
      </c>
      <c r="K815" s="5" t="inlineStr">
        <is>
          <t>01a1212c-782c-71c8-a8bb-adfe40c2d7c2</t>
        </is>
      </c>
      <c r="L815" s="5" t="inlineStr">
        <is>
          <t>01a1212c-ab70-70ef-b386-0646b6e677c5</t>
        </is>
      </c>
      <c r="M815" s="6" t="n">
        <v>45474</v>
      </c>
    </row>
    <row r="816">
      <c r="A816" s="5" t="inlineStr">
        <is>
          <t>01a1212c-abbb-7465-8fe9-b174cb21672e</t>
        </is>
      </c>
      <c r="D816" s="5" t="inlineStr">
        <is>
          <t>01a1212c-4b57-70cf-80fd-c2192cb3bf81</t>
        </is>
      </c>
      <c r="E816" s="4" t="n">
        <v>46304.62428365187</v>
      </c>
      <c r="F816" s="4" t="n">
        <v>46304.62428365196</v>
      </c>
      <c r="G816" t="b">
        <v>1</v>
      </c>
      <c r="I816" t="inlineStr">
        <is>
          <t>AUD</t>
        </is>
      </c>
      <c r="J816" t="n">
        <v>3.2011</v>
      </c>
      <c r="K816" s="5" t="inlineStr">
        <is>
          <t>01a1212c-7f76-750b-8c82-933100b7cca2</t>
        </is>
      </c>
      <c r="L816" s="5" t="inlineStr">
        <is>
          <t>01a1212c-ab70-70ef-b386-0646b6e677c5</t>
        </is>
      </c>
      <c r="M816" s="6" t="n">
        <v>45474</v>
      </c>
    </row>
    <row r="817">
      <c r="A817" s="5" t="inlineStr">
        <is>
          <t>01a1212c-abc2-7766-9464-859ebc910ec9</t>
        </is>
      </c>
      <c r="D817" s="5" t="inlineStr">
        <is>
          <t>01a1212c-4b57-70cf-80fd-c2192cb3bf81</t>
        </is>
      </c>
      <c r="E817" s="4" t="n">
        <v>46304.62428372995</v>
      </c>
      <c r="F817" s="4" t="n">
        <v>46304.62428373005</v>
      </c>
      <c r="G817" t="b">
        <v>1</v>
      </c>
      <c r="I817" t="inlineStr">
        <is>
          <t>AUD</t>
        </is>
      </c>
      <c r="J817" t="n">
        <v>3.2559</v>
      </c>
      <c r="K817" s="5" t="inlineStr">
        <is>
          <t>01a1212c-7fe7-724d-8a89-076f1a271cfd</t>
        </is>
      </c>
      <c r="L817" s="5" t="inlineStr">
        <is>
          <t>01a1212c-ab70-70ef-b386-0646b6e677c5</t>
        </is>
      </c>
      <c r="M817" s="6" t="n">
        <v>45474</v>
      </c>
    </row>
    <row r="818">
      <c r="A818" s="5" t="inlineStr">
        <is>
          <t>01a1212c-abc9-718c-9d05-25ad3369c662</t>
        </is>
      </c>
      <c r="D818" s="5" t="inlineStr">
        <is>
          <t>01a1212c-4b57-70cf-80fd-c2192cb3bf81</t>
        </is>
      </c>
      <c r="E818" s="4" t="n">
        <v>46304.62428381034</v>
      </c>
      <c r="F818" s="4" t="n">
        <v>46304.62428381041</v>
      </c>
      <c r="G818" t="b">
        <v>1</v>
      </c>
      <c r="I818" t="inlineStr">
        <is>
          <t>AUD</t>
        </is>
      </c>
      <c r="J818" t="n">
        <v>3.4061</v>
      </c>
      <c r="K818" s="5" t="inlineStr">
        <is>
          <t>01a1212c-8081-7236-9494-69a5fc9bb481</t>
        </is>
      </c>
      <c r="L818" s="5" t="inlineStr">
        <is>
          <t>01a1212c-ab70-70ef-b386-0646b6e677c5</t>
        </is>
      </c>
      <c r="M818" s="6" t="n">
        <v>45474</v>
      </c>
    </row>
    <row r="819">
      <c r="A819" s="5" t="inlineStr">
        <is>
          <t>01a1212c-abcf-73bb-a426-12eb9a95657f</t>
        </is>
      </c>
      <c r="D819" s="5" t="inlineStr">
        <is>
          <t>01a1212c-4b57-70cf-80fd-c2192cb3bf81</t>
        </is>
      </c>
      <c r="E819" s="4" t="n">
        <v>46304.62428388118</v>
      </c>
      <c r="F819" s="4" t="n">
        <v>46304.62428388125</v>
      </c>
      <c r="G819" t="b">
        <v>1</v>
      </c>
      <c r="I819" t="inlineStr">
        <is>
          <t>AUD</t>
        </is>
      </c>
      <c r="J819" t="n">
        <v>3.6012</v>
      </c>
      <c r="K819" s="5" t="inlineStr">
        <is>
          <t>01a1212c-762f-7733-8b01-f44cad85b151</t>
        </is>
      </c>
      <c r="L819" s="5" t="inlineStr">
        <is>
          <t>01a1212c-ab70-70ef-b386-0646b6e677c5</t>
        </is>
      </c>
      <c r="M819" s="6" t="n">
        <v>45474</v>
      </c>
    </row>
    <row r="820">
      <c r="A820" s="5" t="inlineStr">
        <is>
          <t>01a1212c-abd5-769d-9012-d9ebf00098f6</t>
        </is>
      </c>
      <c r="D820" s="5" t="inlineStr">
        <is>
          <t>01a1212c-4b57-70cf-80fd-c2192cb3bf81</t>
        </is>
      </c>
      <c r="E820" s="4" t="n">
        <v>46304.62428395385</v>
      </c>
      <c r="F820" s="4" t="n">
        <v>46304.62428395393</v>
      </c>
      <c r="G820" t="b">
        <v>1</v>
      </c>
      <c r="I820" t="inlineStr">
        <is>
          <t>AUD</t>
        </is>
      </c>
      <c r="J820" t="n">
        <v>3.6012</v>
      </c>
      <c r="K820" s="5" t="inlineStr">
        <is>
          <t>01a1212c-7734-763e-bfc4-4e61ccd3ee01</t>
        </is>
      </c>
      <c r="L820" s="5" t="inlineStr">
        <is>
          <t>01a1212c-ab70-70ef-b386-0646b6e677c5</t>
        </is>
      </c>
      <c r="M820" s="6" t="n">
        <v>45474</v>
      </c>
    </row>
    <row r="821">
      <c r="A821" s="5" t="inlineStr">
        <is>
          <t>01a1212c-abdb-7241-93a5-9c338b991cbb</t>
        </is>
      </c>
      <c r="D821" s="5" t="inlineStr">
        <is>
          <t>01a1212c-4b57-70cf-80fd-c2192cb3bf81</t>
        </is>
      </c>
      <c r="E821" s="4" t="n">
        <v>46304.62428402646</v>
      </c>
      <c r="F821" s="4" t="n">
        <v>46304.62428402653</v>
      </c>
      <c r="G821" t="b">
        <v>1</v>
      </c>
      <c r="I821" t="inlineStr">
        <is>
          <t>AUD</t>
        </is>
      </c>
      <c r="J821" t="n">
        <v>3.6012</v>
      </c>
      <c r="K821" s="5" t="inlineStr">
        <is>
          <t>01a1212c-786a-76e5-9880-08eb60ed6a05</t>
        </is>
      </c>
      <c r="L821" s="5" t="inlineStr">
        <is>
          <t>01a1212c-ab70-70ef-b386-0646b6e677c5</t>
        </is>
      </c>
      <c r="M821" s="6" t="n">
        <v>45474</v>
      </c>
    </row>
    <row r="822">
      <c r="A822" s="5" t="inlineStr">
        <is>
          <t>01a1212c-abe1-746e-b25f-2e1b61bea4cd</t>
        </is>
      </c>
      <c r="D822" s="5" t="inlineStr">
        <is>
          <t>01a1212c-4b57-70cf-80fd-c2192cb3bf81</t>
        </is>
      </c>
      <c r="E822" s="4" t="n">
        <v>46304.62428409353</v>
      </c>
      <c r="F822" s="4" t="n">
        <v>46304.62428409361</v>
      </c>
      <c r="G822" t="b">
        <v>1</v>
      </c>
      <c r="I822" t="inlineStr">
        <is>
          <t>AUD</t>
        </is>
      </c>
      <c r="J822" t="n">
        <v>3.6012</v>
      </c>
      <c r="K822" s="5" t="inlineStr">
        <is>
          <t>01a1212c-7d4a-734e-9dd8-ba2ea752fce4</t>
        </is>
      </c>
      <c r="L822" s="5" t="inlineStr">
        <is>
          <t>01a1212c-ab70-70ef-b386-0646b6e677c5</t>
        </is>
      </c>
      <c r="M822" s="6" t="n">
        <v>45474</v>
      </c>
    </row>
    <row r="823">
      <c r="A823" s="5" t="inlineStr">
        <is>
          <t>01a1212c-abe7-7414-95d7-9da4bb424aed</t>
        </is>
      </c>
      <c r="D823" s="5" t="inlineStr">
        <is>
          <t>01a1212c-4b57-70cf-80fd-c2192cb3bf81</t>
        </is>
      </c>
      <c r="E823" s="4" t="n">
        <v>46304.62428416595</v>
      </c>
      <c r="F823" s="4" t="n">
        <v>46304.62428416602</v>
      </c>
      <c r="G823" t="b">
        <v>1</v>
      </c>
      <c r="I823" t="inlineStr">
        <is>
          <t>AUD</t>
        </is>
      </c>
      <c r="J823" t="n">
        <v>4.0014</v>
      </c>
      <c r="K823" s="5" t="inlineStr">
        <is>
          <t>01a1212c-7406-7791-9482-a05d6cc76c10</t>
        </is>
      </c>
      <c r="L823" s="5" t="inlineStr">
        <is>
          <t>01a1212c-ab70-70ef-b386-0646b6e677c5</t>
        </is>
      </c>
      <c r="M823" s="6" t="n">
        <v>45474</v>
      </c>
    </row>
    <row r="824">
      <c r="A824" s="5" t="inlineStr">
        <is>
          <t>01a1212c-abed-749f-b96c-6b61b567a365</t>
        </is>
      </c>
      <c r="D824" s="5" t="inlineStr">
        <is>
          <t>01a1212c-4b57-70cf-80fd-c2192cb3bf81</t>
        </is>
      </c>
      <c r="E824" s="4" t="n">
        <v>46304.62428423503</v>
      </c>
      <c r="F824" s="4" t="n">
        <v>46304.62428423509</v>
      </c>
      <c r="G824" t="b">
        <v>1</v>
      </c>
      <c r="I824" t="inlineStr">
        <is>
          <t>AUD</t>
        </is>
      </c>
      <c r="J824" t="n">
        <v>4.0014</v>
      </c>
      <c r="K824" s="5" t="inlineStr">
        <is>
          <t>01a1212c-793d-735a-8d1b-3b3743d82b3c</t>
        </is>
      </c>
      <c r="L824" s="5" t="inlineStr">
        <is>
          <t>01a1212c-ab70-70ef-b386-0646b6e677c5</t>
        </is>
      </c>
      <c r="M824" s="6" t="n">
        <v>45474</v>
      </c>
    </row>
    <row r="825">
      <c r="A825" s="5" t="inlineStr">
        <is>
          <t>01a1212c-abf3-7682-8013-284c7423cb1e</t>
        </is>
      </c>
      <c r="D825" s="5" t="inlineStr">
        <is>
          <t>01a1212c-4b57-70cf-80fd-c2192cb3bf81</t>
        </is>
      </c>
      <c r="E825" s="4" t="n">
        <v>46304.62428430288</v>
      </c>
      <c r="F825" s="4" t="n">
        <v>46304.62428430295</v>
      </c>
      <c r="G825" t="b">
        <v>1</v>
      </c>
      <c r="I825" t="inlineStr">
        <is>
          <t>AUD</t>
        </is>
      </c>
      <c r="J825" t="n">
        <v>4.0014</v>
      </c>
      <c r="K825" s="5" t="inlineStr">
        <is>
          <t>01a1212c-7c68-7625-a599-0122ab454657</t>
        </is>
      </c>
      <c r="L825" s="5" t="inlineStr">
        <is>
          <t>01a1212c-ab70-70ef-b386-0646b6e677c5</t>
        </is>
      </c>
      <c r="M825" s="6" t="n">
        <v>45474</v>
      </c>
    </row>
    <row r="826">
      <c r="A826" s="5" t="inlineStr">
        <is>
          <t>01a1212c-abf9-7156-aed9-ac00bff33ca6</t>
        </is>
      </c>
      <c r="D826" s="5" t="inlineStr">
        <is>
          <t>01a1212c-4b57-70cf-80fd-c2192cb3bf81</t>
        </is>
      </c>
      <c r="E826" s="4" t="n">
        <v>46304.62428437422</v>
      </c>
      <c r="F826" s="4" t="n">
        <v>46304.62428437429</v>
      </c>
      <c r="G826" t="b">
        <v>1</v>
      </c>
      <c r="I826" t="inlineStr">
        <is>
          <t>AUD</t>
        </is>
      </c>
      <c r="J826" t="n">
        <v>4.0014</v>
      </c>
      <c r="K826" s="5" t="inlineStr">
        <is>
          <t>01a1212c-7e65-7249-9d82-ba878df56810</t>
        </is>
      </c>
      <c r="L826" s="5" t="inlineStr">
        <is>
          <t>01a1212c-ab70-70ef-b386-0646b6e677c5</t>
        </is>
      </c>
      <c r="M826" s="6" t="n">
        <v>45474</v>
      </c>
    </row>
    <row r="827">
      <c r="A827" s="5" t="inlineStr">
        <is>
          <t>01a1212c-abff-7735-a936-5cd6cba962be</t>
        </is>
      </c>
      <c r="D827" s="5" t="inlineStr">
        <is>
          <t>01a1212c-4b57-70cf-80fd-c2192cb3bf81</t>
        </is>
      </c>
      <c r="E827" s="4" t="n">
        <v>46304.62428443978</v>
      </c>
      <c r="F827" s="4" t="n">
        <v>46304.62428443985</v>
      </c>
      <c r="G827" t="b">
        <v>1</v>
      </c>
      <c r="I827" t="inlineStr">
        <is>
          <t>AUD</t>
        </is>
      </c>
      <c r="J827" t="n">
        <v>4.0014</v>
      </c>
      <c r="K827" s="5" t="inlineStr">
        <is>
          <t>01a1212c-7f2c-75c9-9309-0af4d65f362e</t>
        </is>
      </c>
      <c r="L827" s="5" t="inlineStr">
        <is>
          <t>01a1212c-ab70-70ef-b386-0646b6e677c5</t>
        </is>
      </c>
      <c r="M827" s="6" t="n">
        <v>45474</v>
      </c>
    </row>
    <row r="828">
      <c r="A828" s="5" t="inlineStr">
        <is>
          <t>01a1212c-ac05-736d-92d9-a25e51cee47e</t>
        </is>
      </c>
      <c r="D828" s="5" t="inlineStr">
        <is>
          <t>01a1212c-4b57-70cf-80fd-c2192cb3bf81</t>
        </is>
      </c>
      <c r="E828" s="4" t="n">
        <v>46304.62428450811</v>
      </c>
      <c r="F828" s="4" t="n">
        <v>46304.62428450818</v>
      </c>
      <c r="G828" t="b">
        <v>1</v>
      </c>
      <c r="I828" t="inlineStr">
        <is>
          <t>AUD</t>
        </is>
      </c>
      <c r="J828" t="n">
        <v>4.4015</v>
      </c>
      <c r="K828" s="5" t="inlineStr">
        <is>
          <t>01a1212c-72ce-758f-a1e1-774c3e0a5001</t>
        </is>
      </c>
      <c r="L828" s="5" t="inlineStr">
        <is>
          <t>01a1212c-ab70-70ef-b386-0646b6e677c5</t>
        </is>
      </c>
      <c r="M828" s="6" t="n">
        <v>45474</v>
      </c>
    </row>
    <row r="829">
      <c r="A829" s="5" t="inlineStr">
        <is>
          <t>01a1212c-ac0c-74d3-9fa0-e7bbfc074f61</t>
        </is>
      </c>
      <c r="D829" s="5" t="inlineStr">
        <is>
          <t>01a1212c-4b57-70cf-80fd-c2192cb3bf81</t>
        </is>
      </c>
      <c r="E829" s="4" t="n">
        <v>46304.62428459088</v>
      </c>
      <c r="F829" s="4" t="n">
        <v>46304.62428459096</v>
      </c>
      <c r="G829" t="b">
        <v>1</v>
      </c>
      <c r="I829" t="inlineStr">
        <is>
          <t>AUD</t>
        </is>
      </c>
      <c r="J829" t="n">
        <v>4.8017</v>
      </c>
      <c r="K829" s="5" t="inlineStr">
        <is>
          <t>01a1212c-6998-74b0-bc81-af5dbb051f7a</t>
        </is>
      </c>
      <c r="L829" s="5" t="inlineStr">
        <is>
          <t>01a1212c-ab70-70ef-b386-0646b6e677c5</t>
        </is>
      </c>
      <c r="M829" s="6" t="n">
        <v>45474</v>
      </c>
    </row>
    <row r="830">
      <c r="A830" s="5" t="inlineStr">
        <is>
          <t>01a1212c-ac12-70d3-b8b6-530cbdd8b9c5</t>
        </is>
      </c>
      <c r="D830" s="5" t="inlineStr">
        <is>
          <t>01a1212c-4b57-70cf-80fd-c2192cb3bf81</t>
        </is>
      </c>
      <c r="E830" s="4" t="n">
        <v>46304.62428466169</v>
      </c>
      <c r="F830" s="4" t="n">
        <v>46304.62428466176</v>
      </c>
      <c r="G830" t="b">
        <v>1</v>
      </c>
      <c r="I830" t="inlineStr">
        <is>
          <t>AUD</t>
        </is>
      </c>
      <c r="J830" t="n">
        <v>4.8017</v>
      </c>
      <c r="K830" s="5" t="inlineStr">
        <is>
          <t>01a1212c-7278-7734-b344-b828fba43ba6</t>
        </is>
      </c>
      <c r="L830" s="5" t="inlineStr">
        <is>
          <t>01a1212c-ab70-70ef-b386-0646b6e677c5</t>
        </is>
      </c>
      <c r="M830" s="6" t="n">
        <v>45474</v>
      </c>
    </row>
    <row r="831">
      <c r="A831" s="5" t="inlineStr">
        <is>
          <t>01a1212c-ac19-7551-aca0-05f7b1de20ea</t>
        </is>
      </c>
      <c r="D831" s="5" t="inlineStr">
        <is>
          <t>01a1212c-4b57-70cf-80fd-c2192cb3bf81</t>
        </is>
      </c>
      <c r="E831" s="4" t="n">
        <v>46304.62428473589</v>
      </c>
      <c r="F831" s="4" t="n">
        <v>46304.62428473596</v>
      </c>
      <c r="G831" t="b">
        <v>1</v>
      </c>
      <c r="I831" t="inlineStr">
        <is>
          <t>AUD</t>
        </is>
      </c>
      <c r="J831" t="n">
        <v>4.8017</v>
      </c>
      <c r="K831" s="5" t="inlineStr">
        <is>
          <t>01a1212c-7b7f-722d-8e7c-d5cfa0685df2</t>
        </is>
      </c>
      <c r="L831" s="5" t="inlineStr">
        <is>
          <t>01a1212c-ab70-70ef-b386-0646b6e677c5</t>
        </is>
      </c>
      <c r="M831" s="6" t="n">
        <v>45474</v>
      </c>
    </row>
    <row r="832">
      <c r="A832" s="5" t="inlineStr">
        <is>
          <t>01a1212c-ac1f-714c-abcc-d3ffac245e2e</t>
        </is>
      </c>
      <c r="D832" s="5" t="inlineStr">
        <is>
          <t>01a1212c-4b57-70cf-80fd-c2192cb3bf81</t>
        </is>
      </c>
      <c r="E832" s="4" t="n">
        <v>46304.62428480741</v>
      </c>
      <c r="F832" s="4" t="n">
        <v>46304.62428480748</v>
      </c>
      <c r="G832" t="b">
        <v>1</v>
      </c>
      <c r="I832" t="inlineStr">
        <is>
          <t>AUD</t>
        </is>
      </c>
      <c r="J832" t="n">
        <v>4.8017</v>
      </c>
      <c r="K832" s="5" t="inlineStr">
        <is>
          <t>01a1212c-7c28-761a-abe6-a2d8c4b32086</t>
        </is>
      </c>
      <c r="L832" s="5" t="inlineStr">
        <is>
          <t>01a1212c-ab70-70ef-b386-0646b6e677c5</t>
        </is>
      </c>
      <c r="M832" s="6" t="n">
        <v>45474</v>
      </c>
    </row>
    <row r="833">
      <c r="A833" s="5" t="inlineStr">
        <is>
          <t>01a1212c-ac25-75d1-803b-56209b5b1163</t>
        </is>
      </c>
      <c r="D833" s="5" t="inlineStr">
        <is>
          <t>01a1212c-4b57-70cf-80fd-c2192cb3bf81</t>
        </is>
      </c>
      <c r="E833" s="4" t="n">
        <v>46304.62428487576</v>
      </c>
      <c r="F833" s="4" t="n">
        <v>46304.62428487583</v>
      </c>
      <c r="G833" t="b">
        <v>1</v>
      </c>
      <c r="I833" t="inlineStr">
        <is>
          <t>AUD</t>
        </is>
      </c>
      <c r="J833" t="n">
        <v>5.1875</v>
      </c>
      <c r="K833" s="5" t="inlineStr">
        <is>
          <t>01a1212c-7fbb-72bc-a78d-49a973132be2</t>
        </is>
      </c>
      <c r="L833" s="5" t="inlineStr">
        <is>
          <t>01a1212c-ab70-70ef-b386-0646b6e677c5</t>
        </is>
      </c>
      <c r="M833" s="6" t="n">
        <v>45474</v>
      </c>
    </row>
    <row r="834">
      <c r="A834" s="5" t="inlineStr">
        <is>
          <t>01a1212c-ac2b-779b-9a01-9adf97bbb33a</t>
        </is>
      </c>
      <c r="D834" s="5" t="inlineStr">
        <is>
          <t>01a1212c-4b57-70cf-80fd-c2192cb3bf81</t>
        </is>
      </c>
      <c r="E834" s="4" t="n">
        <v>46304.62428495207</v>
      </c>
      <c r="F834" s="4" t="n">
        <v>46304.62428495214</v>
      </c>
      <c r="G834" t="b">
        <v>1</v>
      </c>
      <c r="I834" t="inlineStr">
        <is>
          <t>AUD</t>
        </is>
      </c>
      <c r="J834" t="n">
        <v>5.2018</v>
      </c>
      <c r="K834" s="5" t="inlineStr">
        <is>
          <t>01a1212c-74bb-70c4-8e52-54a02ff26207</t>
        </is>
      </c>
      <c r="L834" s="5" t="inlineStr">
        <is>
          <t>01a1212c-ab70-70ef-b386-0646b6e677c5</t>
        </is>
      </c>
      <c r="M834" s="6" t="n">
        <v>45474</v>
      </c>
    </row>
    <row r="835">
      <c r="A835" s="5" t="inlineStr">
        <is>
          <t>01a1212c-ac31-76e8-8b13-50f88949bf1e</t>
        </is>
      </c>
      <c r="D835" s="5" t="inlineStr">
        <is>
          <t>01a1212c-4b57-70cf-80fd-c2192cb3bf81</t>
        </is>
      </c>
      <c r="E835" s="4" t="n">
        <v>46304.62428502237</v>
      </c>
      <c r="F835" s="4" t="n">
        <v>46304.62428502244</v>
      </c>
      <c r="G835" t="b">
        <v>1</v>
      </c>
      <c r="I835" t="inlineStr">
        <is>
          <t>AUD</t>
        </is>
      </c>
      <c r="J835" t="n">
        <v>5.2018</v>
      </c>
      <c r="K835" s="5" t="inlineStr">
        <is>
          <t>01a1212c-79de-7495-b5b1-e7986ed975ef</t>
        </is>
      </c>
      <c r="L835" s="5" t="inlineStr">
        <is>
          <t>01a1212c-ab70-70ef-b386-0646b6e677c5</t>
        </is>
      </c>
      <c r="M835" s="6" t="n">
        <v>45474</v>
      </c>
    </row>
    <row r="836">
      <c r="A836" s="5" t="inlineStr">
        <is>
          <t>01a1212c-ac37-77c5-b2ea-2fbb8626cb28</t>
        </is>
      </c>
      <c r="D836" s="5" t="inlineStr">
        <is>
          <t>01a1212c-4b57-70cf-80fd-c2192cb3bf81</t>
        </is>
      </c>
      <c r="E836" s="4" t="n">
        <v>46304.6242850921</v>
      </c>
      <c r="F836" s="4" t="n">
        <v>46304.62428509216</v>
      </c>
      <c r="G836" t="b">
        <v>1</v>
      </c>
      <c r="I836" t="inlineStr">
        <is>
          <t>AUD</t>
        </is>
      </c>
      <c r="J836" t="n">
        <v>5.2018</v>
      </c>
      <c r="K836" s="5" t="inlineStr">
        <is>
          <t>01a1212c-7a64-7651-a984-fe2d549ac898</t>
        </is>
      </c>
      <c r="L836" s="5" t="inlineStr">
        <is>
          <t>01a1212c-ab70-70ef-b386-0646b6e677c5</t>
        </is>
      </c>
      <c r="M836" s="6" t="n">
        <v>45474</v>
      </c>
    </row>
    <row r="837">
      <c r="A837" s="5" t="inlineStr">
        <is>
          <t>01a1212c-ac3d-7312-9872-13643f0ae3a6</t>
        </is>
      </c>
      <c r="D837" s="5" t="inlineStr">
        <is>
          <t>01a1212c-4b57-70cf-80fd-c2192cb3bf81</t>
        </is>
      </c>
      <c r="E837" s="4" t="n">
        <v>46304.62428516011</v>
      </c>
      <c r="F837" s="4" t="n">
        <v>46304.62428516017</v>
      </c>
      <c r="G837" t="b">
        <v>1</v>
      </c>
      <c r="I837" t="inlineStr">
        <is>
          <t>AUD</t>
        </is>
      </c>
      <c r="J837" t="n">
        <v>5.2018</v>
      </c>
      <c r="K837" s="5" t="inlineStr">
        <is>
          <t>01a1212c-7c93-7218-ac5c-68804c19bade</t>
        </is>
      </c>
      <c r="L837" s="5" t="inlineStr">
        <is>
          <t>01a1212c-ab70-70ef-b386-0646b6e677c5</t>
        </is>
      </c>
      <c r="M837" s="6" t="n">
        <v>45474</v>
      </c>
    </row>
    <row r="838">
      <c r="A838" s="5" t="inlineStr">
        <is>
          <t>01a1212c-ac43-7255-8d6a-71dd909f54ac</t>
        </is>
      </c>
      <c r="D838" s="5" t="inlineStr">
        <is>
          <t>01a1212c-4b57-70cf-80fd-c2192cb3bf81</t>
        </is>
      </c>
      <c r="E838" s="4" t="n">
        <v>46304.62428522779</v>
      </c>
      <c r="F838" s="4" t="n">
        <v>46304.62428522786</v>
      </c>
      <c r="G838" t="b">
        <v>1</v>
      </c>
      <c r="I838" t="inlineStr">
        <is>
          <t>AUD</t>
        </is>
      </c>
      <c r="J838" t="n">
        <v>5.2018</v>
      </c>
      <c r="K838" s="5" t="inlineStr">
        <is>
          <t>01a1212c-7cd8-7474-85d2-7bfaa05c9923</t>
        </is>
      </c>
      <c r="L838" s="5" t="inlineStr">
        <is>
          <t>01a1212c-ab70-70ef-b386-0646b6e677c5</t>
        </is>
      </c>
      <c r="M838" s="6" t="n">
        <v>45474</v>
      </c>
    </row>
    <row r="839">
      <c r="A839" s="5" t="inlineStr">
        <is>
          <t>01a1212c-ac49-77db-9432-08b2f5d02c94</t>
        </is>
      </c>
      <c r="D839" s="5" t="inlineStr">
        <is>
          <t>01a1212c-4b57-70cf-80fd-c2192cb3bf81</t>
        </is>
      </c>
      <c r="E839" s="4" t="n">
        <v>46304.6242852982</v>
      </c>
      <c r="F839" s="4" t="n">
        <v>46304.62428529826</v>
      </c>
      <c r="G839" t="b">
        <v>1</v>
      </c>
      <c r="I839" t="inlineStr">
        <is>
          <t>AUD</t>
        </is>
      </c>
      <c r="J839" t="n">
        <v>5.2018</v>
      </c>
      <c r="K839" s="5" t="inlineStr">
        <is>
          <t>01a1212c-7e10-777c-a374-00f6692d2a3f</t>
        </is>
      </c>
      <c r="L839" s="5" t="inlineStr">
        <is>
          <t>01a1212c-ab70-70ef-b386-0646b6e677c5</t>
        </is>
      </c>
      <c r="M839" s="6" t="n">
        <v>45474</v>
      </c>
    </row>
    <row r="840">
      <c r="A840" s="5" t="inlineStr">
        <is>
          <t>01a1212c-ac50-709b-944a-02568e219b3a</t>
        </is>
      </c>
      <c r="D840" s="5" t="inlineStr">
        <is>
          <t>01a1212c-4b57-70cf-80fd-c2192cb3bf81</t>
        </is>
      </c>
      <c r="E840" s="4" t="n">
        <v>46304.62428537184</v>
      </c>
      <c r="F840" s="4" t="n">
        <v>46304.62428537192</v>
      </c>
      <c r="G840" t="b">
        <v>1</v>
      </c>
      <c r="I840" t="inlineStr">
        <is>
          <t>AUD</t>
        </is>
      </c>
      <c r="J840" t="n">
        <v>5.6019</v>
      </c>
      <c r="K840" s="5" t="inlineStr">
        <is>
          <t>01a1212c-6fd7-7372-ba43-20c51ef00ee0</t>
        </is>
      </c>
      <c r="L840" s="5" t="inlineStr">
        <is>
          <t>01a1212c-ab70-70ef-b386-0646b6e677c5</t>
        </is>
      </c>
      <c r="M840" s="6" t="n">
        <v>45474</v>
      </c>
    </row>
    <row r="841">
      <c r="A841" s="5" t="inlineStr">
        <is>
          <t>01a1212c-ac56-734b-8fab-96f97dd29afc</t>
        </is>
      </c>
      <c r="D841" s="5" t="inlineStr">
        <is>
          <t>01a1212c-4b57-70cf-80fd-c2192cb3bf81</t>
        </is>
      </c>
      <c r="E841" s="4" t="n">
        <v>46304.62428544381</v>
      </c>
      <c r="F841" s="4" t="n">
        <v>46304.62428544389</v>
      </c>
      <c r="G841" t="b">
        <v>1</v>
      </c>
      <c r="I841" t="inlineStr">
        <is>
          <t>AUD</t>
        </is>
      </c>
      <c r="J841" t="n">
        <v>5.6019</v>
      </c>
      <c r="K841" s="5" t="inlineStr">
        <is>
          <t>01a1212c-7230-7671-90fb-9b2a12ecb44c</t>
        </is>
      </c>
      <c r="L841" s="5" t="inlineStr">
        <is>
          <t>01a1212c-ab70-70ef-b386-0646b6e677c5</t>
        </is>
      </c>
      <c r="M841" s="6" t="n">
        <v>45474</v>
      </c>
    </row>
    <row r="842">
      <c r="A842" s="5" t="inlineStr">
        <is>
          <t>01a1212c-ac5d-76d8-8d2e-4cb559d05498</t>
        </is>
      </c>
      <c r="D842" s="5" t="inlineStr">
        <is>
          <t>01a1212c-4b57-70cf-80fd-c2192cb3bf81</t>
        </is>
      </c>
      <c r="E842" s="4" t="n">
        <v>46304.62428552358</v>
      </c>
      <c r="F842" s="4" t="n">
        <v>46304.62428552366</v>
      </c>
      <c r="G842" t="b">
        <v>1</v>
      </c>
      <c r="I842" t="inlineStr">
        <is>
          <t>AUD</t>
        </is>
      </c>
      <c r="J842" t="n">
        <v>5.6019</v>
      </c>
      <c r="K842" s="5" t="inlineStr">
        <is>
          <t>01a1212c-769c-724d-bdf2-5a3b65015030</t>
        </is>
      </c>
      <c r="L842" s="5" t="inlineStr">
        <is>
          <t>01a1212c-ab70-70ef-b386-0646b6e677c5</t>
        </is>
      </c>
      <c r="M842" s="6" t="n">
        <v>45474</v>
      </c>
    </row>
    <row r="843">
      <c r="A843" s="5" t="inlineStr">
        <is>
          <t>01a1212c-ac63-772d-be02-ba3d032b0021</t>
        </is>
      </c>
      <c r="D843" s="5" t="inlineStr">
        <is>
          <t>01a1212c-4b57-70cf-80fd-c2192cb3bf81</t>
        </is>
      </c>
      <c r="E843" s="4" t="n">
        <v>46304.62428559384</v>
      </c>
      <c r="F843" s="4" t="n">
        <v>46304.62428559391</v>
      </c>
      <c r="G843" t="b">
        <v>1</v>
      </c>
      <c r="I843" t="inlineStr">
        <is>
          <t>AUD</t>
        </is>
      </c>
      <c r="J843" t="n">
        <v>5.6019</v>
      </c>
      <c r="K843" s="5" t="inlineStr">
        <is>
          <t>01a1212c-76c8-72fb-848d-f490971720af</t>
        </is>
      </c>
      <c r="L843" s="5" t="inlineStr">
        <is>
          <t>01a1212c-ab70-70ef-b386-0646b6e677c5</t>
        </is>
      </c>
      <c r="M843" s="6" t="n">
        <v>45474</v>
      </c>
    </row>
    <row r="844">
      <c r="A844" s="5" t="inlineStr">
        <is>
          <t>01a1212c-ac69-75b6-92cd-9687bce754fd</t>
        </is>
      </c>
      <c r="D844" s="5" t="inlineStr">
        <is>
          <t>01a1212c-4b57-70cf-80fd-c2192cb3bf81</t>
        </is>
      </c>
      <c r="E844" s="4" t="n">
        <v>46304.62428566409</v>
      </c>
      <c r="F844" s="4" t="n">
        <v>46304.62428566415</v>
      </c>
      <c r="G844" t="b">
        <v>1</v>
      </c>
      <c r="I844" t="inlineStr">
        <is>
          <t>AUD</t>
        </is>
      </c>
      <c r="J844" t="n">
        <v>5.6019</v>
      </c>
      <c r="K844" s="5" t="inlineStr">
        <is>
          <t>01a1212c-777a-75f6-97da-4f344ffae56e</t>
        </is>
      </c>
      <c r="L844" s="5" t="inlineStr">
        <is>
          <t>01a1212c-ab70-70ef-b386-0646b6e677c5</t>
        </is>
      </c>
      <c r="M844" s="6" t="n">
        <v>45474</v>
      </c>
    </row>
    <row r="845">
      <c r="A845" s="5" t="inlineStr">
        <is>
          <t>01a1212c-ac6f-750c-9a70-64392c936970</t>
        </is>
      </c>
      <c r="D845" s="5" t="inlineStr">
        <is>
          <t>01a1212c-4b57-70cf-80fd-c2192cb3bf81</t>
        </is>
      </c>
      <c r="E845" s="4" t="n">
        <v>46304.62428573234</v>
      </c>
      <c r="F845" s="4" t="n">
        <v>46304.62428573241</v>
      </c>
      <c r="G845" t="b">
        <v>1</v>
      </c>
      <c r="I845" t="inlineStr">
        <is>
          <t>AUD</t>
        </is>
      </c>
      <c r="J845" t="n">
        <v>5.6019</v>
      </c>
      <c r="K845" s="5" t="inlineStr">
        <is>
          <t>01a1212c-77d4-75d1-964a-4a82d5606ddd</t>
        </is>
      </c>
      <c r="L845" s="5" t="inlineStr">
        <is>
          <t>01a1212c-ab70-70ef-b386-0646b6e677c5</t>
        </is>
      </c>
      <c r="M845" s="6" t="n">
        <v>45474</v>
      </c>
    </row>
    <row r="846">
      <c r="A846" s="5" t="inlineStr">
        <is>
          <t>01a1212c-ac75-75e8-bddd-8ba662c64eb7</t>
        </is>
      </c>
      <c r="D846" s="5" t="inlineStr">
        <is>
          <t>01a1212c-4b57-70cf-80fd-c2192cb3bf81</t>
        </is>
      </c>
      <c r="E846" s="4" t="n">
        <v>46304.62428580822</v>
      </c>
      <c r="F846" s="4" t="n">
        <v>46304.62428580839</v>
      </c>
      <c r="G846" t="b">
        <v>1</v>
      </c>
      <c r="I846" t="inlineStr">
        <is>
          <t>AUD</t>
        </is>
      </c>
      <c r="J846" t="n">
        <v>5.6019</v>
      </c>
      <c r="K846" s="5" t="inlineStr">
        <is>
          <t>01a1212c-78c3-76a7-bbb9-ea3eccef616f</t>
        </is>
      </c>
      <c r="L846" s="5" t="inlineStr">
        <is>
          <t>01a1212c-ab70-70ef-b386-0646b6e677c5</t>
        </is>
      </c>
      <c r="M846" s="6" t="n">
        <v>45474</v>
      </c>
    </row>
    <row r="847">
      <c r="A847" s="5" t="inlineStr">
        <is>
          <t>01a1212c-ac7c-761a-b39e-dfb2628dc128</t>
        </is>
      </c>
      <c r="D847" s="5" t="inlineStr">
        <is>
          <t>01a1212c-4b57-70cf-80fd-c2192cb3bf81</t>
        </is>
      </c>
      <c r="E847" s="4" t="n">
        <v>46304.62428588442</v>
      </c>
      <c r="F847" s="4" t="n">
        <v>46304.62428588451</v>
      </c>
      <c r="G847" t="b">
        <v>1</v>
      </c>
      <c r="I847" t="inlineStr">
        <is>
          <t>AUD</t>
        </is>
      </c>
      <c r="J847" t="n">
        <v>5.6019</v>
      </c>
      <c r="K847" s="5" t="inlineStr">
        <is>
          <t>01a1212c-7acf-776d-9f34-f2ae81760b32</t>
        </is>
      </c>
      <c r="L847" s="5" t="inlineStr">
        <is>
          <t>01a1212c-ab70-70ef-b386-0646b6e677c5</t>
        </is>
      </c>
      <c r="M847" s="6" t="n">
        <v>45474</v>
      </c>
    </row>
    <row r="848">
      <c r="A848" s="5" t="inlineStr">
        <is>
          <t>01a1212c-ac82-7167-a2a7-a5b2725d8ad3</t>
        </is>
      </c>
      <c r="D848" s="5" t="inlineStr">
        <is>
          <t>01a1212c-4b57-70cf-80fd-c2192cb3bf81</t>
        </is>
      </c>
      <c r="E848" s="4" t="n">
        <v>46304.62428595587</v>
      </c>
      <c r="F848" s="4" t="n">
        <v>46304.62428595594</v>
      </c>
      <c r="G848" t="b">
        <v>1</v>
      </c>
      <c r="I848" t="inlineStr">
        <is>
          <t>AUD</t>
        </is>
      </c>
      <c r="J848" t="n">
        <v>6.0021</v>
      </c>
      <c r="K848" s="5" t="inlineStr">
        <is>
          <t>01a1212c-6b88-7320-ad83-9bb2175f9188</t>
        </is>
      </c>
      <c r="L848" s="5" t="inlineStr">
        <is>
          <t>01a1212c-ab70-70ef-b386-0646b6e677c5</t>
        </is>
      </c>
      <c r="M848" s="6" t="n">
        <v>45474</v>
      </c>
    </row>
    <row r="849">
      <c r="A849" s="5" t="inlineStr">
        <is>
          <t>01a1212c-ac89-723c-943b-294255e3271e</t>
        </is>
      </c>
      <c r="D849" s="5" t="inlineStr">
        <is>
          <t>01a1212c-4b57-70cf-80fd-c2192cb3bf81</t>
        </is>
      </c>
      <c r="E849" s="4" t="n">
        <v>46304.62428603375</v>
      </c>
      <c r="F849" s="4" t="n">
        <v>46304.62428603383</v>
      </c>
      <c r="G849" t="b">
        <v>1</v>
      </c>
      <c r="I849" t="inlineStr">
        <is>
          <t>AUD</t>
        </is>
      </c>
      <c r="J849" t="n">
        <v>6.0021</v>
      </c>
      <c r="K849" s="5" t="inlineStr">
        <is>
          <t>01a1212c-6d37-7104-9bae-6b11207df2ba</t>
        </is>
      </c>
      <c r="L849" s="5" t="inlineStr">
        <is>
          <t>01a1212c-ab70-70ef-b386-0646b6e677c5</t>
        </is>
      </c>
      <c r="M849" s="6" t="n">
        <v>45474</v>
      </c>
    </row>
    <row r="850">
      <c r="A850" s="5" t="inlineStr">
        <is>
          <t>01a1212c-ac8f-7577-bf38-758de7c6d7cb</t>
        </is>
      </c>
      <c r="D850" s="5" t="inlineStr">
        <is>
          <t>01a1212c-4b57-70cf-80fd-c2192cb3bf81</t>
        </is>
      </c>
      <c r="E850" s="4" t="n">
        <v>46304.62428610482</v>
      </c>
      <c r="F850" s="4" t="n">
        <v>46304.62428610488</v>
      </c>
      <c r="G850" t="b">
        <v>1</v>
      </c>
      <c r="I850" t="inlineStr">
        <is>
          <t>AUD</t>
        </is>
      </c>
      <c r="J850" t="n">
        <v>6.0021</v>
      </c>
      <c r="K850" s="5" t="inlineStr">
        <is>
          <t>01a1212c-6f94-71c9-8280-59efd47efd80</t>
        </is>
      </c>
      <c r="L850" s="5" t="inlineStr">
        <is>
          <t>01a1212c-ab70-70ef-b386-0646b6e677c5</t>
        </is>
      </c>
      <c r="M850" s="6" t="n">
        <v>45474</v>
      </c>
    </row>
    <row r="851">
      <c r="A851" s="5" t="inlineStr">
        <is>
          <t>01a1212c-ac95-71d6-8ef1-a75e2c500d54</t>
        </is>
      </c>
      <c r="D851" s="5" t="inlineStr">
        <is>
          <t>01a1212c-4b57-70cf-80fd-c2192cb3bf81</t>
        </is>
      </c>
      <c r="E851" s="4" t="n">
        <v>46304.6242861725</v>
      </c>
      <c r="F851" s="4" t="n">
        <v>46304.62428617257</v>
      </c>
      <c r="G851" t="b">
        <v>1</v>
      </c>
      <c r="I851" t="inlineStr">
        <is>
          <t>AUD</t>
        </is>
      </c>
      <c r="J851" t="n">
        <v>6.0021</v>
      </c>
      <c r="K851" s="5" t="inlineStr">
        <is>
          <t>01a1212c-719a-7616-bf3b-b6ee9e3119c7</t>
        </is>
      </c>
      <c r="L851" s="5" t="inlineStr">
        <is>
          <t>01a1212c-ab70-70ef-b386-0646b6e677c5</t>
        </is>
      </c>
      <c r="M851" s="6" t="n">
        <v>45474</v>
      </c>
    </row>
    <row r="852">
      <c r="A852" s="5" t="inlineStr">
        <is>
          <t>01a1212c-ac9c-727a-b489-fa2c991ce088</t>
        </is>
      </c>
      <c r="D852" s="5" t="inlineStr">
        <is>
          <t>01a1212c-4b57-70cf-80fd-c2192cb3bf81</t>
        </is>
      </c>
      <c r="E852" s="4" t="n">
        <v>46304.62428625169</v>
      </c>
      <c r="F852" s="4" t="n">
        <v>46304.62428625177</v>
      </c>
      <c r="G852" t="b">
        <v>1</v>
      </c>
      <c r="I852" t="inlineStr">
        <is>
          <t>AUD</t>
        </is>
      </c>
      <c r="J852" t="n">
        <v>6.0021</v>
      </c>
      <c r="K852" s="5" t="inlineStr">
        <is>
          <t>01a1212c-7515-75a9-bea4-d4a41e7286ba</t>
        </is>
      </c>
      <c r="L852" s="5" t="inlineStr">
        <is>
          <t>01a1212c-ab70-70ef-b386-0646b6e677c5</t>
        </is>
      </c>
      <c r="M852" s="6" t="n">
        <v>45474</v>
      </c>
    </row>
    <row r="853">
      <c r="A853" s="5" t="inlineStr">
        <is>
          <t>01a1212c-aca1-715a-b015-5469b0050051</t>
        </is>
      </c>
      <c r="D853" s="5" t="inlineStr">
        <is>
          <t>01a1212c-4b57-70cf-80fd-c2192cb3bf81</t>
        </is>
      </c>
      <c r="E853" s="4" t="n">
        <v>46304.62428631999</v>
      </c>
      <c r="F853" s="4" t="n">
        <v>46304.62428632006</v>
      </c>
      <c r="G853" t="b">
        <v>1</v>
      </c>
      <c r="I853" t="inlineStr">
        <is>
          <t>AUD</t>
        </is>
      </c>
      <c r="J853" t="n">
        <v>6.0021</v>
      </c>
      <c r="K853" s="5" t="inlineStr">
        <is>
          <t>01a1212c-75aa-735b-b4ee-0e53e375e6f4</t>
        </is>
      </c>
      <c r="L853" s="5" t="inlineStr">
        <is>
          <t>01a1212c-ab70-70ef-b386-0646b6e677c5</t>
        </is>
      </c>
      <c r="M853" s="6" t="n">
        <v>45474</v>
      </c>
    </row>
    <row r="854">
      <c r="A854" s="5" t="inlineStr">
        <is>
          <t>01a1212c-aca8-7277-bcf8-91d0dcc4ad64</t>
        </is>
      </c>
      <c r="D854" s="5" t="inlineStr">
        <is>
          <t>01a1212c-4b57-70cf-80fd-c2192cb3bf81</t>
        </is>
      </c>
      <c r="E854" s="4" t="n">
        <v>46304.62428639078</v>
      </c>
      <c r="F854" s="4" t="n">
        <v>46304.62428639086</v>
      </c>
      <c r="G854" t="b">
        <v>1</v>
      </c>
      <c r="I854" t="inlineStr">
        <is>
          <t>AUD</t>
        </is>
      </c>
      <c r="J854" t="n">
        <v>6.0021</v>
      </c>
      <c r="K854" s="5" t="inlineStr">
        <is>
          <t>01a1212c-7911-7380-b8bc-fe5bcacfa72b</t>
        </is>
      </c>
      <c r="L854" s="5" t="inlineStr">
        <is>
          <t>01a1212c-ab70-70ef-b386-0646b6e677c5</t>
        </is>
      </c>
      <c r="M854" s="6" t="n">
        <v>45474</v>
      </c>
    </row>
    <row r="855">
      <c r="A855" s="5" t="inlineStr">
        <is>
          <t>01a1212c-acae-70a2-b2cc-5b23a3233caf</t>
        </is>
      </c>
      <c r="D855" s="5" t="inlineStr">
        <is>
          <t>01a1212c-4b57-70cf-80fd-c2192cb3bf81</t>
        </is>
      </c>
      <c r="E855" s="4" t="n">
        <v>46304.62428646873</v>
      </c>
      <c r="F855" s="4" t="n">
        <v>46304.6242864688</v>
      </c>
      <c r="G855" t="b">
        <v>1</v>
      </c>
      <c r="I855" t="inlineStr">
        <is>
          <t>AUD</t>
        </is>
      </c>
      <c r="J855" t="n">
        <v>6.0021</v>
      </c>
      <c r="K855" s="5" t="inlineStr">
        <is>
          <t>01a1212c-7afb-7749-9b51-b6fefc63a55f</t>
        </is>
      </c>
      <c r="L855" s="5" t="inlineStr">
        <is>
          <t>01a1212c-ab70-70ef-b386-0646b6e677c5</t>
        </is>
      </c>
      <c r="M855" s="6" t="n">
        <v>45474</v>
      </c>
    </row>
    <row r="856">
      <c r="A856" s="5" t="inlineStr">
        <is>
          <t>01a1212c-acb4-756a-8b62-aa841707f66e</t>
        </is>
      </c>
      <c r="D856" s="5" t="inlineStr">
        <is>
          <t>01a1212c-4b57-70cf-80fd-c2192cb3bf81</t>
        </is>
      </c>
      <c r="E856" s="4" t="n">
        <v>46304.62428653765</v>
      </c>
      <c r="F856" s="4" t="n">
        <v>46304.62428653772</v>
      </c>
      <c r="G856" t="b">
        <v>1</v>
      </c>
      <c r="I856" t="inlineStr">
        <is>
          <t>AUD</t>
        </is>
      </c>
      <c r="J856" t="n">
        <v>6.0021</v>
      </c>
      <c r="K856" s="5" t="inlineStr">
        <is>
          <t>01a1212c-7e90-7233-ab00-a795c8d91f6d</t>
        </is>
      </c>
      <c r="L856" s="5" t="inlineStr">
        <is>
          <t>01a1212c-ab70-70ef-b386-0646b6e677c5</t>
        </is>
      </c>
      <c r="M856" s="6" t="n">
        <v>45474</v>
      </c>
    </row>
    <row r="857">
      <c r="A857" s="5" t="inlineStr">
        <is>
          <t>01a1212c-acbb-7657-a655-bd67492f8809</t>
        </is>
      </c>
      <c r="D857" s="5" t="inlineStr">
        <is>
          <t>01a1212c-4b57-70cf-80fd-c2192cb3bf81</t>
        </is>
      </c>
      <c r="E857" s="4" t="n">
        <v>46304.62428661484</v>
      </c>
      <c r="F857" s="4" t="n">
        <v>46304.6242866149</v>
      </c>
      <c r="G857" t="b">
        <v>1</v>
      </c>
      <c r="I857" t="inlineStr">
        <is>
          <t>AUD</t>
        </is>
      </c>
      <c r="J857" t="n">
        <v>6.4022</v>
      </c>
      <c r="K857" s="5" t="inlineStr">
        <is>
          <t>01a1212c-6ed1-75e4-b466-1b906512bd95</t>
        </is>
      </c>
      <c r="L857" s="5" t="inlineStr">
        <is>
          <t>01a1212c-ab70-70ef-b386-0646b6e677c5</t>
        </is>
      </c>
      <c r="M857" s="6" t="n">
        <v>45474</v>
      </c>
    </row>
    <row r="858">
      <c r="A858" s="5" t="inlineStr">
        <is>
          <t>01a1212c-acc1-75bf-949b-e82deee5ea76</t>
        </is>
      </c>
      <c r="D858" s="5" t="inlineStr">
        <is>
          <t>01a1212c-4b57-70cf-80fd-c2192cb3bf81</t>
        </is>
      </c>
      <c r="E858" s="4" t="n">
        <v>46304.62428668256</v>
      </c>
      <c r="F858" s="4" t="n">
        <v>46304.62428668263</v>
      </c>
      <c r="G858" t="b">
        <v>1</v>
      </c>
      <c r="I858" t="inlineStr">
        <is>
          <t>AUD</t>
        </is>
      </c>
      <c r="J858" t="n">
        <v>6.4022</v>
      </c>
      <c r="K858" s="5" t="inlineStr">
        <is>
          <t>01a1212c-757f-767f-8272-690dfe1bbf2a</t>
        </is>
      </c>
      <c r="L858" s="5" t="inlineStr">
        <is>
          <t>01a1212c-ab70-70ef-b386-0646b6e677c5</t>
        </is>
      </c>
      <c r="M858" s="6" t="n">
        <v>45474</v>
      </c>
    </row>
    <row r="859">
      <c r="A859" s="5" t="inlineStr">
        <is>
          <t>01a1212c-acc7-7796-96e2-3b5cf6b7de4a</t>
        </is>
      </c>
      <c r="D859" s="5" t="inlineStr">
        <is>
          <t>01a1212c-4b57-70cf-80fd-c2192cb3bf81</t>
        </is>
      </c>
      <c r="E859" s="4" t="n">
        <v>46304.62428675032</v>
      </c>
      <c r="F859" s="4" t="n">
        <v>46304.62428675044</v>
      </c>
      <c r="G859" t="b">
        <v>1</v>
      </c>
      <c r="I859" t="inlineStr">
        <is>
          <t>AUD</t>
        </is>
      </c>
      <c r="J859" t="n">
        <v>6.4022</v>
      </c>
      <c r="K859" s="5" t="inlineStr">
        <is>
          <t>01a1212c-7bbf-72f9-807c-119d1e33d98c</t>
        </is>
      </c>
      <c r="L859" s="5" t="inlineStr">
        <is>
          <t>01a1212c-ab70-70ef-b386-0646b6e677c5</t>
        </is>
      </c>
      <c r="M859" s="6" t="n">
        <v>45474</v>
      </c>
    </row>
    <row r="860">
      <c r="A860" s="5" t="inlineStr">
        <is>
          <t>01a1212c-accd-76ca-94c0-ec296ec0d4a6</t>
        </is>
      </c>
      <c r="D860" s="5" t="inlineStr">
        <is>
          <t>01a1212c-4b57-70cf-80fd-c2192cb3bf81</t>
        </is>
      </c>
      <c r="E860" s="4" t="n">
        <v>46304.62428682208</v>
      </c>
      <c r="F860" s="4" t="n">
        <v>46304.62428682215</v>
      </c>
      <c r="G860" t="b">
        <v>1</v>
      </c>
      <c r="I860" t="inlineStr">
        <is>
          <t>AUD</t>
        </is>
      </c>
      <c r="J860" t="n">
        <v>6.4022</v>
      </c>
      <c r="K860" s="5" t="inlineStr">
        <is>
          <t>01a1212c-7dcc-7701-8351-3152abe5f99d</t>
        </is>
      </c>
      <c r="L860" s="5" t="inlineStr">
        <is>
          <t>01a1212c-ab70-70ef-b386-0646b6e677c5</t>
        </is>
      </c>
      <c r="M860" s="6" t="n">
        <v>45474</v>
      </c>
    </row>
    <row r="861">
      <c r="A861" s="5" t="inlineStr">
        <is>
          <t>01a1212c-acd3-7542-a067-3970b6efbc40</t>
        </is>
      </c>
      <c r="D861" s="5" t="inlineStr">
        <is>
          <t>01a1212c-4b57-70cf-80fd-c2192cb3bf81</t>
        </is>
      </c>
      <c r="E861" s="4" t="n">
        <v>46304.62428689041</v>
      </c>
      <c r="F861" s="4" t="n">
        <v>46304.62428689049</v>
      </c>
      <c r="G861" t="b">
        <v>1</v>
      </c>
      <c r="I861" t="inlineStr">
        <is>
          <t>AUD</t>
        </is>
      </c>
      <c r="J861" t="n">
        <v>6.8023</v>
      </c>
      <c r="K861" s="5" t="inlineStr">
        <is>
          <t>01a1212c-6cde-735d-babb-fd56e63b9d5a</t>
        </is>
      </c>
      <c r="L861" s="5" t="inlineStr">
        <is>
          <t>01a1212c-ab70-70ef-b386-0646b6e677c5</t>
        </is>
      </c>
      <c r="M861" s="6" t="n">
        <v>45474</v>
      </c>
    </row>
    <row r="862">
      <c r="A862" s="5" t="inlineStr">
        <is>
          <t>01a1212c-acd9-74b6-b7a1-ffc3c8084c05</t>
        </is>
      </c>
      <c r="D862" s="5" t="inlineStr">
        <is>
          <t>01a1212c-4b57-70cf-80fd-c2192cb3bf81</t>
        </is>
      </c>
      <c r="E862" s="4" t="n">
        <v>46304.62428695762</v>
      </c>
      <c r="F862" s="4" t="n">
        <v>46304.62428695768</v>
      </c>
      <c r="G862" t="b">
        <v>1</v>
      </c>
      <c r="I862" t="inlineStr">
        <is>
          <t>AUD</t>
        </is>
      </c>
      <c r="J862" t="n">
        <v>6.8023</v>
      </c>
      <c r="K862" s="5" t="inlineStr">
        <is>
          <t>01a1212c-7157-7567-ba2e-f5a2ea2a31ab</t>
        </is>
      </c>
      <c r="L862" s="5" t="inlineStr">
        <is>
          <t>01a1212c-ab70-70ef-b386-0646b6e677c5</t>
        </is>
      </c>
      <c r="M862" s="6" t="n">
        <v>45474</v>
      </c>
    </row>
    <row r="863">
      <c r="A863" s="5" t="inlineStr">
        <is>
          <t>01a1212c-acde-734f-8f0f-d8ec101324ae</t>
        </is>
      </c>
      <c r="D863" s="5" t="inlineStr">
        <is>
          <t>01a1212c-4b57-70cf-80fd-c2192cb3bf81</t>
        </is>
      </c>
      <c r="E863" s="4" t="n">
        <v>46304.62428702225</v>
      </c>
      <c r="F863" s="4" t="n">
        <v>46304.62428702231</v>
      </c>
      <c r="G863" t="b">
        <v>1</v>
      </c>
      <c r="I863" t="inlineStr">
        <is>
          <t>AUD</t>
        </is>
      </c>
      <c r="J863" t="n">
        <v>7.2025</v>
      </c>
      <c r="K863" s="5" t="inlineStr">
        <is>
          <t>01a1212c-6bf3-7787-bc84-0bf70e1c811f</t>
        </is>
      </c>
      <c r="L863" s="5" t="inlineStr">
        <is>
          <t>01a1212c-ab70-70ef-b386-0646b6e677c5</t>
        </is>
      </c>
      <c r="M863" s="6" t="n">
        <v>45474</v>
      </c>
    </row>
    <row r="864">
      <c r="A864" s="5" t="inlineStr">
        <is>
          <t>01a1212c-ace5-73bc-a34e-84b0a7780101</t>
        </is>
      </c>
      <c r="D864" s="5" t="inlineStr">
        <is>
          <t>01a1212c-4b57-70cf-80fd-c2192cb3bf81</t>
        </is>
      </c>
      <c r="E864" s="4" t="n">
        <v>46304.62428709626</v>
      </c>
      <c r="F864" s="4" t="n">
        <v>46304.62428709633</v>
      </c>
      <c r="G864" t="b">
        <v>1</v>
      </c>
      <c r="I864" t="inlineStr">
        <is>
          <t>AUD</t>
        </is>
      </c>
      <c r="J864" t="n">
        <v>7.2025</v>
      </c>
      <c r="K864" s="5" t="inlineStr">
        <is>
          <t>01a1212c-6dcc-720d-a5fa-03db95e8cb05</t>
        </is>
      </c>
      <c r="L864" s="5" t="inlineStr">
        <is>
          <t>01a1212c-ab70-70ef-b386-0646b6e677c5</t>
        </is>
      </c>
      <c r="M864" s="6" t="n">
        <v>45474</v>
      </c>
    </row>
    <row r="865">
      <c r="A865" s="5" t="inlineStr">
        <is>
          <t>01a1212c-aceb-7731-a673-6423000c8358</t>
        </is>
      </c>
      <c r="D865" s="5" t="inlineStr">
        <is>
          <t>01a1212c-4b57-70cf-80fd-c2192cb3bf81</t>
        </is>
      </c>
      <c r="E865" s="4" t="n">
        <v>46304.62428716659</v>
      </c>
      <c r="F865" s="4" t="n">
        <v>46304.62428716667</v>
      </c>
      <c r="G865" t="b">
        <v>1</v>
      </c>
      <c r="I865" t="inlineStr">
        <is>
          <t>AUD</t>
        </is>
      </c>
      <c r="J865" t="n">
        <v>7.2025</v>
      </c>
      <c r="K865" s="5" t="inlineStr">
        <is>
          <t>01a1212c-7093-74e6-b33d-06958030fa15</t>
        </is>
      </c>
      <c r="L865" s="5" t="inlineStr">
        <is>
          <t>01a1212c-ab70-70ef-b386-0646b6e677c5</t>
        </is>
      </c>
      <c r="M865" s="6" t="n">
        <v>45474</v>
      </c>
    </row>
    <row r="866">
      <c r="A866" s="5" t="inlineStr">
        <is>
          <t>01a1212c-acf1-75a1-9b16-0beea9cbf8fc</t>
        </is>
      </c>
      <c r="D866" s="5" t="inlineStr">
        <is>
          <t>01a1212c-4b57-70cf-80fd-c2192cb3bf81</t>
        </is>
      </c>
      <c r="E866" s="4" t="n">
        <v>46304.62428723906</v>
      </c>
      <c r="F866" s="4" t="n">
        <v>46304.62428723913</v>
      </c>
      <c r="G866" t="b">
        <v>1</v>
      </c>
      <c r="I866" t="inlineStr">
        <is>
          <t>AUD</t>
        </is>
      </c>
      <c r="J866" t="n">
        <v>7.2025</v>
      </c>
      <c r="K866" s="5" t="inlineStr">
        <is>
          <t>01a1212c-7d8b-7334-b6a0-e0fad4eda28a</t>
        </is>
      </c>
      <c r="L866" s="5" t="inlineStr">
        <is>
          <t>01a1212c-ab70-70ef-b386-0646b6e677c5</t>
        </is>
      </c>
      <c r="M866" s="6" t="n">
        <v>45474</v>
      </c>
    </row>
    <row r="867">
      <c r="A867" s="5" t="inlineStr">
        <is>
          <t>01a1212c-acf7-70b4-84b5-602673466f84</t>
        </is>
      </c>
      <c r="D867" s="5" t="inlineStr">
        <is>
          <t>01a1212c-4b57-70cf-80fd-c2192cb3bf81</t>
        </is>
      </c>
      <c r="E867" s="4" t="n">
        <v>46304.62428731244</v>
      </c>
      <c r="F867" s="4" t="n">
        <v>46304.62428731252</v>
      </c>
      <c r="G867" t="b">
        <v>1</v>
      </c>
      <c r="I867" t="inlineStr">
        <is>
          <t>AUD</t>
        </is>
      </c>
      <c r="J867" t="n">
        <v>7.6026</v>
      </c>
      <c r="K867" s="5" t="inlineStr">
        <is>
          <t>01a1212c-6bc9-7747-8a7e-e6bec07ce141</t>
        </is>
      </c>
      <c r="L867" s="5" t="inlineStr">
        <is>
          <t>01a1212c-ab70-70ef-b386-0646b6e677c5</t>
        </is>
      </c>
      <c r="M867" s="6" t="n">
        <v>45474</v>
      </c>
    </row>
    <row r="868">
      <c r="A868" s="5" t="inlineStr">
        <is>
          <t>01a1212c-acfd-70eb-bbaa-b52dd3673376</t>
        </is>
      </c>
      <c r="D868" s="5" t="inlineStr">
        <is>
          <t>01a1212c-4b57-70cf-80fd-c2192cb3bf81</t>
        </is>
      </c>
      <c r="E868" s="4" t="n">
        <v>46304.62428738492</v>
      </c>
      <c r="F868" s="4" t="n">
        <v>46304.624287385</v>
      </c>
      <c r="G868" t="b">
        <v>1</v>
      </c>
      <c r="I868" t="inlineStr">
        <is>
          <t>AUD</t>
        </is>
      </c>
      <c r="J868" t="n">
        <v>7.6026</v>
      </c>
      <c r="K868" s="5" t="inlineStr">
        <is>
          <t>01a1212c-7b26-73b6-a1c9-7ef1ffc647f5</t>
        </is>
      </c>
      <c r="L868" s="5" t="inlineStr">
        <is>
          <t>01a1212c-ab70-70ef-b386-0646b6e677c5</t>
        </is>
      </c>
      <c r="M868" s="6" t="n">
        <v>45474</v>
      </c>
    </row>
    <row r="869">
      <c r="A869" s="5" t="inlineStr">
        <is>
          <t>01a1212c-ad04-7780-8c7a-1a07a75b7bc0</t>
        </is>
      </c>
      <c r="D869" s="5" t="inlineStr">
        <is>
          <t>01a1212c-4b57-70cf-80fd-c2192cb3bf81</t>
        </is>
      </c>
      <c r="E869" s="4" t="n">
        <v>46304.62428745775</v>
      </c>
      <c r="F869" s="4" t="n">
        <v>46304.62428745782</v>
      </c>
      <c r="G869" t="b">
        <v>1</v>
      </c>
      <c r="I869" t="inlineStr">
        <is>
          <t>AUD</t>
        </is>
      </c>
      <c r="J869" t="n">
        <v>7.6026</v>
      </c>
      <c r="K869" s="5" t="inlineStr">
        <is>
          <t>01a1212c-7be9-7245-9c15-bd3cb83542ff</t>
        </is>
      </c>
      <c r="L869" s="5" t="inlineStr">
        <is>
          <t>01a1212c-ab70-70ef-b386-0646b6e677c5</t>
        </is>
      </c>
      <c r="M869" s="6" t="n">
        <v>45474</v>
      </c>
    </row>
    <row r="870">
      <c r="A870" s="5" t="inlineStr">
        <is>
          <t>01a1212c-ad0a-739f-9b02-0e5c614bc454</t>
        </is>
      </c>
      <c r="D870" s="5" t="inlineStr">
        <is>
          <t>01a1212c-4b57-70cf-80fd-c2192cb3bf81</t>
        </is>
      </c>
      <c r="E870" s="4" t="n">
        <v>46304.62428752701</v>
      </c>
      <c r="F870" s="4" t="n">
        <v>46304.62428752708</v>
      </c>
      <c r="G870" t="b">
        <v>1</v>
      </c>
      <c r="I870" t="inlineStr">
        <is>
          <t>AUD</t>
        </is>
      </c>
      <c r="J870" t="n">
        <v>8.002800000000001</v>
      </c>
      <c r="K870" s="5" t="inlineStr">
        <is>
          <t>01a1212c-6a83-75e3-a976-646e71a73596</t>
        </is>
      </c>
      <c r="L870" s="5" t="inlineStr">
        <is>
          <t>01a1212c-ab70-70ef-b386-0646b6e677c5</t>
        </is>
      </c>
      <c r="M870" s="6" t="n">
        <v>45474</v>
      </c>
    </row>
    <row r="871">
      <c r="A871" s="5" t="inlineStr">
        <is>
          <t>01a1212c-ad10-7773-872a-3178352ea54b</t>
        </is>
      </c>
      <c r="D871" s="5" t="inlineStr">
        <is>
          <t>01a1212c-4b57-70cf-80fd-c2192cb3bf81</t>
        </is>
      </c>
      <c r="E871" s="4" t="n">
        <v>46304.62428759911</v>
      </c>
      <c r="F871" s="4" t="n">
        <v>46304.62428759921</v>
      </c>
      <c r="G871" t="b">
        <v>1</v>
      </c>
      <c r="I871" t="inlineStr">
        <is>
          <t>AUD</t>
        </is>
      </c>
      <c r="J871" t="n">
        <v>8.002800000000001</v>
      </c>
      <c r="K871" s="5" t="inlineStr">
        <is>
          <t>01a1212c-6c5e-707b-87c6-5fa973c4227c</t>
        </is>
      </c>
      <c r="L871" s="5" t="inlineStr">
        <is>
          <t>01a1212c-ab70-70ef-b386-0646b6e677c5</t>
        </is>
      </c>
      <c r="M871" s="6" t="n">
        <v>45474</v>
      </c>
    </row>
    <row r="872">
      <c r="A872" s="5" t="inlineStr">
        <is>
          <t>01a1212c-ad16-7376-80b1-cc7481bc8079</t>
        </is>
      </c>
      <c r="D872" s="5" t="inlineStr">
        <is>
          <t>01a1212c-4b57-70cf-80fd-c2192cb3bf81</t>
        </is>
      </c>
      <c r="E872" s="4" t="n">
        <v>46304.62428767281</v>
      </c>
      <c r="F872" s="4" t="n">
        <v>46304.62428767288</v>
      </c>
      <c r="G872" t="b">
        <v>1</v>
      </c>
      <c r="I872" t="inlineStr">
        <is>
          <t>AUD</t>
        </is>
      </c>
      <c r="J872" t="n">
        <v>8.002800000000001</v>
      </c>
      <c r="K872" s="5" t="inlineStr">
        <is>
          <t>01a1212c-730f-762d-91e1-ab5755aaf176</t>
        </is>
      </c>
      <c r="L872" s="5" t="inlineStr">
        <is>
          <t>01a1212c-ab70-70ef-b386-0646b6e677c5</t>
        </is>
      </c>
      <c r="M872" s="6" t="n">
        <v>45474</v>
      </c>
    </row>
    <row r="873">
      <c r="A873" s="5" t="inlineStr">
        <is>
          <t>01a1212c-ad1c-7053-ae10-bebb6e422fca</t>
        </is>
      </c>
      <c r="D873" s="5" t="inlineStr">
        <is>
          <t>01a1212c-4b57-70cf-80fd-c2192cb3bf81</t>
        </is>
      </c>
      <c r="E873" s="4" t="n">
        <v>46304.62428774104</v>
      </c>
      <c r="F873" s="4" t="n">
        <v>46304.62428774111</v>
      </c>
      <c r="G873" t="b">
        <v>1</v>
      </c>
      <c r="I873" t="inlineStr">
        <is>
          <t>AUD</t>
        </is>
      </c>
      <c r="J873" t="n">
        <v>8.002800000000001</v>
      </c>
      <c r="K873" s="5" t="inlineStr">
        <is>
          <t>01a1212c-7709-72df-b553-3dec9cf59792</t>
        </is>
      </c>
      <c r="L873" s="5" t="inlineStr">
        <is>
          <t>01a1212c-ab70-70ef-b386-0646b6e677c5</t>
        </is>
      </c>
      <c r="M873" s="6" t="n">
        <v>45474</v>
      </c>
    </row>
    <row r="874">
      <c r="A874" s="5" t="inlineStr">
        <is>
          <t>01a1212c-ad22-718e-b62e-5dd10ab59f31</t>
        </is>
      </c>
      <c r="D874" s="5" t="inlineStr">
        <is>
          <t>01a1212c-4b57-70cf-80fd-c2192cb3bf81</t>
        </is>
      </c>
      <c r="E874" s="4" t="n">
        <v>46304.62428781187</v>
      </c>
      <c r="F874" s="4" t="n">
        <v>46304.62428781194</v>
      </c>
      <c r="G874" t="b">
        <v>1</v>
      </c>
      <c r="I874" t="inlineStr">
        <is>
          <t>AUD</t>
        </is>
      </c>
      <c r="J874" t="n">
        <v>8.002800000000001</v>
      </c>
      <c r="K874" s="5" t="inlineStr">
        <is>
          <t>01a1212c-7984-77e5-aa4d-ea4f7dd9e0be</t>
        </is>
      </c>
      <c r="L874" s="5" t="inlineStr">
        <is>
          <t>01a1212c-ab70-70ef-b386-0646b6e677c5</t>
        </is>
      </c>
      <c r="M874" s="6" t="n">
        <v>45474</v>
      </c>
    </row>
    <row r="875">
      <c r="A875" s="5" t="inlineStr">
        <is>
          <t>01a1212c-ad28-7436-b8f9-19115d035f3e</t>
        </is>
      </c>
      <c r="D875" s="5" t="inlineStr">
        <is>
          <t>01a1212c-4b57-70cf-80fd-c2192cb3bf81</t>
        </is>
      </c>
      <c r="E875" s="4" t="n">
        <v>46304.62428787912</v>
      </c>
      <c r="F875" s="4" t="n">
        <v>46304.62428787919</v>
      </c>
      <c r="G875" t="b">
        <v>1</v>
      </c>
      <c r="I875" t="inlineStr">
        <is>
          <t>AUD</t>
        </is>
      </c>
      <c r="J875" t="n">
        <v>8.002800000000001</v>
      </c>
      <c r="K875" s="5" t="inlineStr">
        <is>
          <t>01a1212c-7a08-70cb-88cc-0d955086d8aa</t>
        </is>
      </c>
      <c r="L875" s="5" t="inlineStr">
        <is>
          <t>01a1212c-ab70-70ef-b386-0646b6e677c5</t>
        </is>
      </c>
      <c r="M875" s="6" t="n">
        <v>45474</v>
      </c>
    </row>
    <row r="876">
      <c r="A876" s="5" t="inlineStr">
        <is>
          <t>01a1212c-ad2e-7759-814d-b894de98646f</t>
        </is>
      </c>
      <c r="D876" s="5" t="inlineStr">
        <is>
          <t>01a1212c-4b57-70cf-80fd-c2192cb3bf81</t>
        </is>
      </c>
      <c r="E876" s="4" t="n">
        <v>46304.62428794671</v>
      </c>
      <c r="F876" s="4" t="n">
        <v>46304.62428794677</v>
      </c>
      <c r="G876" t="b">
        <v>1</v>
      </c>
      <c r="I876" t="inlineStr">
        <is>
          <t>AUD</t>
        </is>
      </c>
      <c r="J876" t="n">
        <v>8.402900000000001</v>
      </c>
      <c r="K876" s="5" t="inlineStr">
        <is>
          <t>01a1212c-6e20-73a5-aefe-85160cb166ee</t>
        </is>
      </c>
      <c r="L876" s="5" t="inlineStr">
        <is>
          <t>01a1212c-ab70-70ef-b386-0646b6e677c5</t>
        </is>
      </c>
      <c r="M876" s="6" t="n">
        <v>45474</v>
      </c>
    </row>
    <row r="877">
      <c r="A877" s="5" t="inlineStr">
        <is>
          <t>01a1212c-ad34-708f-b268-4f40dc219e04</t>
        </is>
      </c>
      <c r="D877" s="5" t="inlineStr">
        <is>
          <t>01a1212c-4b57-70cf-80fd-c2192cb3bf81</t>
        </is>
      </c>
      <c r="E877" s="4" t="n">
        <v>46304.62428801897</v>
      </c>
      <c r="F877" s="4" t="n">
        <v>46304.62428801904</v>
      </c>
      <c r="G877" t="b">
        <v>1</v>
      </c>
      <c r="I877" t="inlineStr">
        <is>
          <t>AUD</t>
        </is>
      </c>
      <c r="J877" t="n">
        <v>8.402900000000001</v>
      </c>
      <c r="K877" s="5" t="inlineStr">
        <is>
          <t>01a1212c-733d-76f3-baba-b9d3c48b5990</t>
        </is>
      </c>
      <c r="L877" s="5" t="inlineStr">
        <is>
          <t>01a1212c-ab70-70ef-b386-0646b6e677c5</t>
        </is>
      </c>
      <c r="M877" s="6" t="n">
        <v>45474</v>
      </c>
    </row>
    <row r="878">
      <c r="A878" s="5" t="inlineStr">
        <is>
          <t>01a1212c-ad3a-7043-87c1-729b16b420d3</t>
        </is>
      </c>
      <c r="D878" s="5" t="inlineStr">
        <is>
          <t>01a1212c-4b57-70cf-80fd-c2192cb3bf81</t>
        </is>
      </c>
      <c r="E878" s="4" t="n">
        <v>46304.62428808883</v>
      </c>
      <c r="F878" s="4" t="n">
        <v>46304.6242880889</v>
      </c>
      <c r="G878" t="b">
        <v>1</v>
      </c>
      <c r="I878" t="inlineStr">
        <is>
          <t>AUD</t>
        </is>
      </c>
      <c r="J878" t="n">
        <v>8.402900000000001</v>
      </c>
      <c r="K878" s="5" t="inlineStr">
        <is>
          <t>01a1212c-7396-7143-a0d0-9983b89d9143</t>
        </is>
      </c>
      <c r="L878" s="5" t="inlineStr">
        <is>
          <t>01a1212c-ab70-70ef-b386-0646b6e677c5</t>
        </is>
      </c>
      <c r="M878" s="6" t="n">
        <v>45474</v>
      </c>
    </row>
    <row r="879">
      <c r="A879" s="5" t="inlineStr">
        <is>
          <t>01a1212c-ad40-74aa-8c18-204d47995c38</t>
        </is>
      </c>
      <c r="D879" s="5" t="inlineStr">
        <is>
          <t>01a1212c-4b57-70cf-80fd-c2192cb3bf81</t>
        </is>
      </c>
      <c r="E879" s="4" t="n">
        <v>46304.62428815584</v>
      </c>
      <c r="F879" s="4" t="n">
        <v>46304.62428815592</v>
      </c>
      <c r="G879" t="b">
        <v>1</v>
      </c>
      <c r="I879" t="inlineStr">
        <is>
          <t>AUD</t>
        </is>
      </c>
      <c r="J879" t="n">
        <v>8.402900000000001</v>
      </c>
      <c r="K879" s="5" t="inlineStr">
        <is>
          <t>01a1212c-753f-736c-986a-a53b3d31334e</t>
        </is>
      </c>
      <c r="L879" s="5" t="inlineStr">
        <is>
          <t>01a1212c-ab70-70ef-b386-0646b6e677c5</t>
        </is>
      </c>
      <c r="M879" s="6" t="n">
        <v>45474</v>
      </c>
    </row>
    <row r="880">
      <c r="A880" s="5" t="inlineStr">
        <is>
          <t>01a1212c-ad46-7178-a538-db0e7f74b937</t>
        </is>
      </c>
      <c r="D880" s="5" t="inlineStr">
        <is>
          <t>01a1212c-4b57-70cf-80fd-c2192cb3bf81</t>
        </is>
      </c>
      <c r="E880" s="4" t="n">
        <v>46304.62428822432</v>
      </c>
      <c r="F880" s="4" t="n">
        <v>46304.62428822439</v>
      </c>
      <c r="G880" t="b">
        <v>1</v>
      </c>
      <c r="I880" t="inlineStr">
        <is>
          <t>AUD</t>
        </is>
      </c>
      <c r="J880" t="n">
        <v>8.402900000000001</v>
      </c>
      <c r="K880" s="5" t="inlineStr">
        <is>
          <t>01a1212c-75ec-7606-87d2-d682d2730242</t>
        </is>
      </c>
      <c r="L880" s="5" t="inlineStr">
        <is>
          <t>01a1212c-ab70-70ef-b386-0646b6e677c5</t>
        </is>
      </c>
      <c r="M880" s="6" t="n">
        <v>45474</v>
      </c>
    </row>
    <row r="881">
      <c r="A881" s="5" t="inlineStr">
        <is>
          <t>01a1212c-ad4c-76ec-ac0b-1b4c3eb594e3</t>
        </is>
      </c>
      <c r="D881" s="5" t="inlineStr">
        <is>
          <t>01a1212c-4b57-70cf-80fd-c2192cb3bf81</t>
        </is>
      </c>
      <c r="E881" s="4" t="n">
        <v>46304.62428828965</v>
      </c>
      <c r="F881" s="4" t="n">
        <v>46304.62428828972</v>
      </c>
      <c r="G881" t="b">
        <v>1</v>
      </c>
      <c r="I881" t="inlineStr">
        <is>
          <t>AUD</t>
        </is>
      </c>
      <c r="J881" t="n">
        <v>8.402900000000001</v>
      </c>
      <c r="K881" s="5" t="inlineStr">
        <is>
          <t>01a1212c-765b-777c-ab2d-721a20593158</t>
        </is>
      </c>
      <c r="L881" s="5" t="inlineStr">
        <is>
          <t>01a1212c-ab70-70ef-b386-0646b6e677c5</t>
        </is>
      </c>
      <c r="M881" s="6" t="n">
        <v>45474</v>
      </c>
    </row>
    <row r="882">
      <c r="A882" s="5" t="inlineStr">
        <is>
          <t>01a1212c-ad51-77ad-a466-60ed70d83951</t>
        </is>
      </c>
      <c r="D882" s="5" t="inlineStr">
        <is>
          <t>01a1212c-4b57-70cf-80fd-c2192cb3bf81</t>
        </is>
      </c>
      <c r="E882" s="4" t="n">
        <v>46304.62428835722</v>
      </c>
      <c r="F882" s="4" t="n">
        <v>46304.62428835729</v>
      </c>
      <c r="G882" t="b">
        <v>1</v>
      </c>
      <c r="I882" t="inlineStr">
        <is>
          <t>AUD</t>
        </is>
      </c>
      <c r="J882" t="n">
        <v>8.803000000000001</v>
      </c>
      <c r="K882" s="5" t="inlineStr">
        <is>
          <t>01a1212c-6896-70d6-844d-33deb9ce2d14</t>
        </is>
      </c>
      <c r="L882" s="5" t="inlineStr">
        <is>
          <t>01a1212c-ab70-70ef-b386-0646b6e677c5</t>
        </is>
      </c>
      <c r="M882" s="6" t="n">
        <v>45474</v>
      </c>
    </row>
    <row r="883">
      <c r="A883" s="5" t="inlineStr">
        <is>
          <t>01a1212c-ad57-738f-ac78-241cbf990c4a</t>
        </is>
      </c>
      <c r="D883" s="5" t="inlineStr">
        <is>
          <t>01a1212c-4b57-70cf-80fd-c2192cb3bf81</t>
        </is>
      </c>
      <c r="E883" s="4" t="n">
        <v>46304.62428842624</v>
      </c>
      <c r="F883" s="4" t="n">
        <v>46304.6242884263</v>
      </c>
      <c r="G883" t="b">
        <v>1</v>
      </c>
      <c r="I883" t="inlineStr">
        <is>
          <t>AUD</t>
        </is>
      </c>
      <c r="J883" t="n">
        <v>8.803000000000001</v>
      </c>
      <c r="K883" s="5" t="inlineStr">
        <is>
          <t>01a1212c-6d0a-76f3-b162-b89428bc8b86</t>
        </is>
      </c>
      <c r="L883" s="5" t="inlineStr">
        <is>
          <t>01a1212c-ab70-70ef-b386-0646b6e677c5</t>
        </is>
      </c>
      <c r="M883" s="6" t="n">
        <v>45474</v>
      </c>
    </row>
    <row r="884">
      <c r="A884" s="5" t="inlineStr">
        <is>
          <t>01a1212c-ad5e-7320-99da-db0457814b25</t>
        </is>
      </c>
      <c r="D884" s="5" t="inlineStr">
        <is>
          <t>01a1212c-4b57-70cf-80fd-c2192cb3bf81</t>
        </is>
      </c>
      <c r="E884" s="4" t="n">
        <v>46304.6242884976</v>
      </c>
      <c r="F884" s="4" t="n">
        <v>46304.62428849767</v>
      </c>
      <c r="G884" t="b">
        <v>1</v>
      </c>
      <c r="I884" t="inlineStr">
        <is>
          <t>AUD</t>
        </is>
      </c>
      <c r="J884" t="n">
        <v>8.803000000000001</v>
      </c>
      <c r="K884" s="5" t="inlineStr">
        <is>
          <t>01a1212c-7479-730c-8151-93b8e93442c2</t>
        </is>
      </c>
      <c r="L884" s="5" t="inlineStr">
        <is>
          <t>01a1212c-ab70-70ef-b386-0646b6e677c5</t>
        </is>
      </c>
      <c r="M884" s="6" t="n">
        <v>45474</v>
      </c>
    </row>
    <row r="885">
      <c r="A885" s="5" t="inlineStr">
        <is>
          <t>01a1212c-ad64-7749-b0c6-00ef81ac0c41</t>
        </is>
      </c>
      <c r="D885" s="5" t="inlineStr">
        <is>
          <t>01a1212c-4b57-70cf-80fd-c2192cb3bf81</t>
        </is>
      </c>
      <c r="E885" s="4" t="n">
        <v>46304.62428857111</v>
      </c>
      <c r="F885" s="4" t="n">
        <v>46304.62428857118</v>
      </c>
      <c r="G885" t="b">
        <v>1</v>
      </c>
      <c r="I885" t="inlineStr">
        <is>
          <t>AUD</t>
        </is>
      </c>
      <c r="J885" t="n">
        <v>8.803000000000001</v>
      </c>
      <c r="K885" s="5" t="inlineStr">
        <is>
          <t>01a1212c-74e5-7395-a1a4-2bc2487a534d</t>
        </is>
      </c>
      <c r="L885" s="5" t="inlineStr">
        <is>
          <t>01a1212c-ab70-70ef-b386-0646b6e677c5</t>
        </is>
      </c>
      <c r="M885" s="6" t="n">
        <v>45474</v>
      </c>
    </row>
    <row r="886">
      <c r="A886" s="5" t="inlineStr">
        <is>
          <t>01a1212c-ad6a-758a-ad38-27ab66afd6d4</t>
        </is>
      </c>
      <c r="D886" s="5" t="inlineStr">
        <is>
          <t>01a1212c-4b57-70cf-80fd-c2192cb3bf81</t>
        </is>
      </c>
      <c r="E886" s="4" t="n">
        <v>46304.62428864119</v>
      </c>
      <c r="F886" s="4" t="n">
        <v>46304.62428864126</v>
      </c>
      <c r="G886" t="b">
        <v>1</v>
      </c>
      <c r="I886" t="inlineStr">
        <is>
          <t>AUD</t>
        </is>
      </c>
      <c r="J886" t="n">
        <v>9.203200000000001</v>
      </c>
      <c r="K886" s="5" t="inlineStr">
        <is>
          <t>01a1212c-6d8a-7538-8ed2-1bed262cc3a3</t>
        </is>
      </c>
      <c r="L886" s="5" t="inlineStr">
        <is>
          <t>01a1212c-ab70-70ef-b386-0646b6e677c5</t>
        </is>
      </c>
      <c r="M886" s="6" t="n">
        <v>45474</v>
      </c>
    </row>
    <row r="887">
      <c r="A887" s="5" t="inlineStr">
        <is>
          <t>01a1212c-ad70-76e2-beb2-0f3d71577581</t>
        </is>
      </c>
      <c r="D887" s="5" t="inlineStr">
        <is>
          <t>01a1212c-4b57-70cf-80fd-c2192cb3bf81</t>
        </is>
      </c>
      <c r="E887" s="4" t="n">
        <v>46304.62428870724</v>
      </c>
      <c r="F887" s="4" t="n">
        <v>46304.62428870732</v>
      </c>
      <c r="G887" t="b">
        <v>1</v>
      </c>
      <c r="I887" t="inlineStr">
        <is>
          <t>AUD</t>
        </is>
      </c>
      <c r="J887" t="n">
        <v>9.203200000000001</v>
      </c>
      <c r="K887" s="5" t="inlineStr">
        <is>
          <t>01a1212c-6f14-75ce-b122-ae5ab106d8e8</t>
        </is>
      </c>
      <c r="L887" s="5" t="inlineStr">
        <is>
          <t>01a1212c-ab70-70ef-b386-0646b6e677c5</t>
        </is>
      </c>
      <c r="M887" s="6" t="n">
        <v>45474</v>
      </c>
    </row>
    <row r="888">
      <c r="A888" s="5" t="inlineStr">
        <is>
          <t>01a1212c-ad76-70ad-8153-569a7e1a541a</t>
        </is>
      </c>
      <c r="D888" s="5" t="inlineStr">
        <is>
          <t>01a1212c-4b57-70cf-80fd-c2192cb3bf81</t>
        </is>
      </c>
      <c r="E888" s="4" t="n">
        <v>46304.624288775</v>
      </c>
      <c r="F888" s="4" t="n">
        <v>46304.62428877507</v>
      </c>
      <c r="G888" t="b">
        <v>1</v>
      </c>
      <c r="I888" t="inlineStr">
        <is>
          <t>AUD</t>
        </is>
      </c>
      <c r="J888" t="n">
        <v>9.203200000000001</v>
      </c>
      <c r="K888" s="5" t="inlineStr">
        <is>
          <t>01a1212c-7117-7388-8792-335c487cf88f</t>
        </is>
      </c>
      <c r="L888" s="5" t="inlineStr">
        <is>
          <t>01a1212c-ab70-70ef-b386-0646b6e677c5</t>
        </is>
      </c>
      <c r="M888" s="6" t="n">
        <v>45474</v>
      </c>
    </row>
    <row r="889">
      <c r="A889" s="5" t="inlineStr">
        <is>
          <t>01a1212c-ad7c-7046-b285-dc84029fd36c</t>
        </is>
      </c>
      <c r="D889" s="5" t="inlineStr">
        <is>
          <t>01a1212c-4b57-70cf-80fd-c2192cb3bf81</t>
        </is>
      </c>
      <c r="E889" s="4" t="n">
        <v>46304.62428885148</v>
      </c>
      <c r="F889" s="4" t="n">
        <v>46304.62428885155</v>
      </c>
      <c r="G889" t="b">
        <v>1</v>
      </c>
      <c r="I889" t="inlineStr">
        <is>
          <t>AUD</t>
        </is>
      </c>
      <c r="J889" t="n">
        <v>9.203200000000001</v>
      </c>
      <c r="K889" s="5" t="inlineStr">
        <is>
          <t>01a1212c-7431-7269-8782-d6ec933249b5</t>
        </is>
      </c>
      <c r="L889" s="5" t="inlineStr">
        <is>
          <t>01a1212c-ab70-70ef-b386-0646b6e677c5</t>
        </is>
      </c>
      <c r="M889" s="6" t="n">
        <v>45474</v>
      </c>
    </row>
    <row r="890">
      <c r="A890" s="5" t="inlineStr">
        <is>
          <t>01a1212c-ad82-7459-8ad1-88b444f0169f</t>
        </is>
      </c>
      <c r="D890" s="5" t="inlineStr">
        <is>
          <t>01a1212c-4b57-70cf-80fd-c2192cb3bf81</t>
        </is>
      </c>
      <c r="E890" s="4" t="n">
        <v>46304.62428892277</v>
      </c>
      <c r="F890" s="4" t="n">
        <v>46304.62428892285</v>
      </c>
      <c r="G890" t="b">
        <v>1</v>
      </c>
      <c r="I890" t="inlineStr">
        <is>
          <t>AUD</t>
        </is>
      </c>
      <c r="J890" t="n">
        <v>9.203200000000001</v>
      </c>
      <c r="K890" s="5" t="inlineStr">
        <is>
          <t>01a1212c-7aa5-75d5-bf94-ec295d881aed</t>
        </is>
      </c>
      <c r="L890" s="5" t="inlineStr">
        <is>
          <t>01a1212c-ab70-70ef-b386-0646b6e677c5</t>
        </is>
      </c>
      <c r="M890" s="6" t="n">
        <v>45474</v>
      </c>
    </row>
    <row r="891">
      <c r="A891" s="5" t="inlineStr">
        <is>
          <t>01a1212c-ad89-7497-80b9-de357293b1ad</t>
        </is>
      </c>
      <c r="D891" s="5" t="inlineStr">
        <is>
          <t>01a1212c-4b57-70cf-80fd-c2192cb3bf81</t>
        </is>
      </c>
      <c r="E891" s="4" t="n">
        <v>46304.62428899467</v>
      </c>
      <c r="F891" s="4" t="n">
        <v>46304.62428899475</v>
      </c>
      <c r="G891" t="b">
        <v>1</v>
      </c>
      <c r="I891" t="inlineStr">
        <is>
          <t>AUD</t>
        </is>
      </c>
      <c r="J891" t="n">
        <v>9.603300000000001</v>
      </c>
      <c r="K891" s="5" t="inlineStr">
        <is>
          <t>01a1212c-6b44-7386-8841-c9a13ab8602b</t>
        </is>
      </c>
      <c r="L891" s="5" t="inlineStr">
        <is>
          <t>01a1212c-ab70-70ef-b386-0646b6e677c5</t>
        </is>
      </c>
      <c r="M891" s="6" t="n">
        <v>45474</v>
      </c>
    </row>
    <row r="892">
      <c r="A892" s="5" t="inlineStr">
        <is>
          <t>01a1212c-ad8f-721a-9af9-567abf0f7b9f</t>
        </is>
      </c>
      <c r="D892" s="5" t="inlineStr">
        <is>
          <t>01a1212c-4b57-70cf-80fd-c2192cb3bf81</t>
        </is>
      </c>
      <c r="E892" s="4" t="n">
        <v>46304.6242890714</v>
      </c>
      <c r="F892" s="4" t="n">
        <v>46304.62428907153</v>
      </c>
      <c r="G892" t="b">
        <v>1</v>
      </c>
      <c r="I892" t="inlineStr">
        <is>
          <t>AUD</t>
        </is>
      </c>
      <c r="J892" t="n">
        <v>9.603300000000001</v>
      </c>
      <c r="K892" s="5" t="inlineStr">
        <is>
          <t>01a1212c-70ec-7549-97f2-cc3906a47674</t>
        </is>
      </c>
      <c r="L892" s="5" t="inlineStr">
        <is>
          <t>01a1212c-ab70-70ef-b386-0646b6e677c5</t>
        </is>
      </c>
      <c r="M892" s="6" t="n">
        <v>45474</v>
      </c>
    </row>
    <row r="893">
      <c r="A893" s="5" t="inlineStr">
        <is>
          <t>01a1212c-ad96-765f-8d96-79a483cd5131</t>
        </is>
      </c>
      <c r="D893" s="5" t="inlineStr">
        <is>
          <t>01a1212c-4b57-70cf-80fd-c2192cb3bf81</t>
        </is>
      </c>
      <c r="E893" s="4" t="n">
        <v>46304.62428914836</v>
      </c>
      <c r="F893" s="4" t="n">
        <v>46304.62428914844</v>
      </c>
      <c r="G893" t="b">
        <v>1</v>
      </c>
      <c r="I893" t="inlineStr">
        <is>
          <t>AUD</t>
        </is>
      </c>
      <c r="J893" t="n">
        <v>9.603300000000001</v>
      </c>
      <c r="K893" s="5" t="inlineStr">
        <is>
          <t>01a1212c-71ee-7697-ac4a-eeeb04d71bcc</t>
        </is>
      </c>
      <c r="L893" s="5" t="inlineStr">
        <is>
          <t>01a1212c-ab70-70ef-b386-0646b6e677c5</t>
        </is>
      </c>
      <c r="M893" s="6" t="n">
        <v>45474</v>
      </c>
    </row>
    <row r="894">
      <c r="A894" s="5" t="inlineStr">
        <is>
          <t>01a1212c-ad9c-73e4-a900-8270fb168054</t>
        </is>
      </c>
      <c r="D894" s="5" t="inlineStr">
        <is>
          <t>01a1212c-4b57-70cf-80fd-c2192cb3bf81</t>
        </is>
      </c>
      <c r="E894" s="4" t="n">
        <v>46304.62428921703</v>
      </c>
      <c r="F894" s="4" t="n">
        <v>46304.62428921709</v>
      </c>
      <c r="G894" t="b">
        <v>1</v>
      </c>
      <c r="I894" t="inlineStr">
        <is>
          <t>AUD</t>
        </is>
      </c>
      <c r="J894" t="n">
        <v>10.0034</v>
      </c>
      <c r="K894" s="5" t="inlineStr">
        <is>
          <t>01a1212c-6a2e-75f8-b19d-5dc788e0d375</t>
        </is>
      </c>
      <c r="L894" s="5" t="inlineStr">
        <is>
          <t>01a1212c-ab70-70ef-b386-0646b6e677c5</t>
        </is>
      </c>
      <c r="M894" s="6" t="n">
        <v>45474</v>
      </c>
    </row>
    <row r="895">
      <c r="A895" s="5" t="inlineStr">
        <is>
          <t>01a1212c-ada2-73ce-8beb-1b241eeb0a4d</t>
        </is>
      </c>
      <c r="D895" s="5" t="inlineStr">
        <is>
          <t>01a1212c-4b57-70cf-80fd-c2192cb3bf81</t>
        </is>
      </c>
      <c r="E895" s="4" t="n">
        <v>46304.62428928911</v>
      </c>
      <c r="F895" s="4" t="n">
        <v>46304.62428928917</v>
      </c>
      <c r="G895" t="b">
        <v>1</v>
      </c>
      <c r="I895" t="inlineStr">
        <is>
          <t>AUD</t>
        </is>
      </c>
      <c r="J895" t="n">
        <v>10.0034</v>
      </c>
      <c r="K895" s="5" t="inlineStr">
        <is>
          <t>01a1212c-7000-7766-ae79-871c98d5aa0c</t>
        </is>
      </c>
      <c r="L895" s="5" t="inlineStr">
        <is>
          <t>01a1212c-ab70-70ef-b386-0646b6e677c5</t>
        </is>
      </c>
      <c r="M895" s="6" t="n">
        <v>45474</v>
      </c>
    </row>
    <row r="896">
      <c r="A896" s="5" t="inlineStr">
        <is>
          <t>01a1212c-ada8-766a-95bc-c0272ab1ad44</t>
        </is>
      </c>
      <c r="D896" s="5" t="inlineStr">
        <is>
          <t>01a1212c-4b57-70cf-80fd-c2192cb3bf81</t>
        </is>
      </c>
      <c r="E896" s="4" t="n">
        <v>46304.62428935808</v>
      </c>
      <c r="F896" s="4" t="n">
        <v>46304.62428935815</v>
      </c>
      <c r="G896" t="b">
        <v>1</v>
      </c>
      <c r="I896" t="inlineStr">
        <is>
          <t>AUD</t>
        </is>
      </c>
      <c r="J896" t="n">
        <v>10.4036</v>
      </c>
      <c r="K896" s="5" t="inlineStr">
        <is>
          <t>01a1212c-6e7d-7269-818d-4fc41e4043b6</t>
        </is>
      </c>
      <c r="L896" s="5" t="inlineStr">
        <is>
          <t>01a1212c-ab70-70ef-b386-0646b6e677c5</t>
        </is>
      </c>
      <c r="M896" s="6" t="n">
        <v>45474</v>
      </c>
    </row>
    <row r="897">
      <c r="A897" s="5" t="inlineStr">
        <is>
          <t>01a1212c-adae-7200-9371-51246d915abd</t>
        </is>
      </c>
      <c r="D897" s="5" t="inlineStr">
        <is>
          <t>01a1212c-4b57-70cf-80fd-c2192cb3bf81</t>
        </is>
      </c>
      <c r="E897" s="4" t="n">
        <v>46304.6242894264</v>
      </c>
      <c r="F897" s="4" t="n">
        <v>46304.62428942646</v>
      </c>
      <c r="G897" t="b">
        <v>1</v>
      </c>
      <c r="I897" t="inlineStr">
        <is>
          <t>AUD</t>
        </is>
      </c>
      <c r="J897" t="n">
        <v>10.4036</v>
      </c>
      <c r="K897" s="5" t="inlineStr">
        <is>
          <t>01a1212c-6f53-7010-bee2-43a946747025</t>
        </is>
      </c>
      <c r="L897" s="5" t="inlineStr">
        <is>
          <t>01a1212c-ab70-70ef-b386-0646b6e677c5</t>
        </is>
      </c>
      <c r="M897" s="6" t="n">
        <v>45474</v>
      </c>
    </row>
    <row r="898">
      <c r="A898" s="5" t="inlineStr">
        <is>
          <t>01a1212c-adb4-7755-a853-8259ace35d77</t>
        </is>
      </c>
      <c r="D898" s="5" t="inlineStr">
        <is>
          <t>01a1212c-4b57-70cf-80fd-c2192cb3bf81</t>
        </is>
      </c>
      <c r="E898" s="4" t="n">
        <v>46304.62428950153</v>
      </c>
      <c r="F898" s="4" t="n">
        <v>46304.6242895016</v>
      </c>
      <c r="G898" t="b">
        <v>1</v>
      </c>
      <c r="I898" t="inlineStr">
        <is>
          <t>AUD</t>
        </is>
      </c>
      <c r="J898" t="n">
        <v>10.4036</v>
      </c>
      <c r="K898" s="5" t="inlineStr">
        <is>
          <t>01a1212c-703e-7558-9c38-d3ff61fb4ef7</t>
        </is>
      </c>
      <c r="L898" s="5" t="inlineStr">
        <is>
          <t>01a1212c-ab70-70ef-b386-0646b6e677c5</t>
        </is>
      </c>
      <c r="M898" s="6" t="n">
        <v>45474</v>
      </c>
    </row>
    <row r="899">
      <c r="A899" s="5" t="inlineStr">
        <is>
          <t>01a1212c-adba-773c-bbb4-a464cf58d886</t>
        </is>
      </c>
      <c r="D899" s="5" t="inlineStr">
        <is>
          <t>01a1212c-4b57-70cf-80fd-c2192cb3bf81</t>
        </is>
      </c>
      <c r="E899" s="4" t="n">
        <v>46304.62428957019</v>
      </c>
      <c r="F899" s="4" t="n">
        <v>46304.62428957027</v>
      </c>
      <c r="G899" t="b">
        <v>1</v>
      </c>
      <c r="I899" t="inlineStr">
        <is>
          <t>AUD</t>
        </is>
      </c>
      <c r="J899" t="n">
        <v>10.4036</v>
      </c>
      <c r="K899" s="5" t="inlineStr">
        <is>
          <t>01a1212c-71c3-7032-9840-53a08ae86f9c</t>
        </is>
      </c>
      <c r="L899" s="5" t="inlineStr">
        <is>
          <t>01a1212c-ab70-70ef-b386-0646b6e677c5</t>
        </is>
      </c>
      <c r="M899" s="6" t="n">
        <v>45474</v>
      </c>
    </row>
    <row r="900">
      <c r="A900" s="5" t="inlineStr">
        <is>
          <t>01a1212c-adc0-7414-80de-dedcbc7297ac</t>
        </is>
      </c>
      <c r="D900" s="5" t="inlineStr">
        <is>
          <t>01a1212c-4b57-70cf-80fd-c2192cb3bf81</t>
        </is>
      </c>
      <c r="E900" s="4" t="n">
        <v>46304.62428964139</v>
      </c>
      <c r="F900" s="4" t="n">
        <v>46304.62428964146</v>
      </c>
      <c r="G900" t="b">
        <v>1</v>
      </c>
      <c r="I900" t="inlineStr">
        <is>
          <t>AUD</t>
        </is>
      </c>
      <c r="J900" t="n">
        <v>10.8037</v>
      </c>
      <c r="K900" s="5" t="inlineStr">
        <is>
          <t>01a1212c-68f0-738d-8d20-79a1c973b960</t>
        </is>
      </c>
      <c r="L900" s="5" t="inlineStr">
        <is>
          <t>01a1212c-ab70-70ef-b386-0646b6e677c5</t>
        </is>
      </c>
      <c r="M900" s="6" t="n">
        <v>45474</v>
      </c>
    </row>
    <row r="901">
      <c r="A901" s="5" t="inlineStr">
        <is>
          <t>01a1212c-adc7-7667-b928-194e93955d16</t>
        </is>
      </c>
      <c r="D901" s="5" t="inlineStr">
        <is>
          <t>01a1212c-4b57-70cf-80fd-c2192cb3bf81</t>
        </is>
      </c>
      <c r="E901" s="4" t="n">
        <v>46304.62428971273</v>
      </c>
      <c r="F901" s="4" t="n">
        <v>46304.6242897128</v>
      </c>
      <c r="G901" t="b">
        <v>1</v>
      </c>
      <c r="I901" t="inlineStr">
        <is>
          <t>AUD</t>
        </is>
      </c>
      <c r="J901" t="n">
        <v>10.8037</v>
      </c>
      <c r="K901" s="5" t="inlineStr">
        <is>
          <t>01a1212c-6b1b-73e9-a54d-e62e154ff71c</t>
        </is>
      </c>
      <c r="L901" s="5" t="inlineStr">
        <is>
          <t>01a1212c-ab70-70ef-b386-0646b6e677c5</t>
        </is>
      </c>
      <c r="M901" s="6" t="n">
        <v>45474</v>
      </c>
    </row>
    <row r="902">
      <c r="A902" s="5" t="inlineStr">
        <is>
          <t>01a1212c-adcd-71f0-a300-672f84bb8a50</t>
        </is>
      </c>
      <c r="D902" s="5" t="inlineStr">
        <is>
          <t>01a1212c-4b57-70cf-80fd-c2192cb3bf81</t>
        </is>
      </c>
      <c r="E902" s="4" t="n">
        <v>46304.62428978139</v>
      </c>
      <c r="F902" s="4" t="n">
        <v>46304.62428978146</v>
      </c>
      <c r="G902" t="b">
        <v>1</v>
      </c>
      <c r="I902" t="inlineStr">
        <is>
          <t>AUD</t>
        </is>
      </c>
      <c r="J902" t="n">
        <v>11.2039</v>
      </c>
      <c r="K902" s="5" t="inlineStr">
        <is>
          <t>01a1212c-6c1d-7297-ba65-fe335d60502e</t>
        </is>
      </c>
      <c r="L902" s="5" t="inlineStr">
        <is>
          <t>01a1212c-ab70-70ef-b386-0646b6e677c5</t>
        </is>
      </c>
      <c r="M902" s="6" t="n">
        <v>45474</v>
      </c>
    </row>
    <row r="903">
      <c r="A903" s="5" t="inlineStr">
        <is>
          <t>01a1212c-add3-7439-bb90-1cbe05c7d87d</t>
        </is>
      </c>
      <c r="D903" s="5" t="inlineStr">
        <is>
          <t>01a1212c-4b57-70cf-80fd-c2192cb3bf81</t>
        </is>
      </c>
      <c r="E903" s="4" t="n">
        <v>46304.62428985391</v>
      </c>
      <c r="F903" s="4" t="n">
        <v>46304.62428985398</v>
      </c>
      <c r="G903" t="b">
        <v>1</v>
      </c>
      <c r="I903" t="inlineStr">
        <is>
          <t>AUD</t>
        </is>
      </c>
      <c r="J903" t="n">
        <v>11.2039</v>
      </c>
      <c r="K903" s="5" t="inlineStr">
        <is>
          <t>01a1212c-6cb3-74c4-b753-3ced98bb4fa1</t>
        </is>
      </c>
      <c r="L903" s="5" t="inlineStr">
        <is>
          <t>01a1212c-ab70-70ef-b386-0646b6e677c5</t>
        </is>
      </c>
      <c r="M903" s="6" t="n">
        <v>45474</v>
      </c>
    </row>
    <row r="904">
      <c r="A904" s="5" t="inlineStr">
        <is>
          <t>01a1212c-add9-75cf-9cdc-1fff4776b8e6</t>
        </is>
      </c>
      <c r="D904" s="5" t="inlineStr">
        <is>
          <t>01a1212c-4b57-70cf-80fd-c2192cb3bf81</t>
        </is>
      </c>
      <c r="E904" s="4" t="n">
        <v>46304.62428992119</v>
      </c>
      <c r="F904" s="4" t="n">
        <v>46304.62428992126</v>
      </c>
      <c r="G904" t="b">
        <v>1</v>
      </c>
      <c r="I904" t="inlineStr">
        <is>
          <t>AUD</t>
        </is>
      </c>
      <c r="J904" t="n">
        <v>11.604</v>
      </c>
      <c r="K904" s="5" t="inlineStr">
        <is>
          <t>01a1212c-6d61-7172-937f-90562bb7a3f9</t>
        </is>
      </c>
      <c r="L904" s="5" t="inlineStr">
        <is>
          <t>01a1212c-ab70-70ef-b386-0646b6e677c5</t>
        </is>
      </c>
      <c r="M904" s="6" t="n">
        <v>45474</v>
      </c>
    </row>
    <row r="905">
      <c r="A905" s="5" t="inlineStr">
        <is>
          <t>01a1212c-adde-71a5-b87d-53eb136f6dd9</t>
        </is>
      </c>
      <c r="D905" s="5" t="inlineStr">
        <is>
          <t>01a1212c-4b57-70cf-80fd-c2192cb3bf81</t>
        </is>
      </c>
      <c r="E905" s="4" t="n">
        <v>46304.62428998708</v>
      </c>
      <c r="F905" s="4" t="n">
        <v>46304.62428998714</v>
      </c>
      <c r="G905" t="b">
        <v>1</v>
      </c>
      <c r="I905" t="inlineStr">
        <is>
          <t>AUD</t>
        </is>
      </c>
      <c r="J905" t="n">
        <v>12.0041</v>
      </c>
      <c r="K905" s="5" t="inlineStr">
        <is>
          <t>01a1212c-696e-7146-9e01-741d10f2bed2</t>
        </is>
      </c>
      <c r="L905" s="5" t="inlineStr">
        <is>
          <t>01a1212c-ab70-70ef-b386-0646b6e677c5</t>
        </is>
      </c>
      <c r="M905" s="6" t="n">
        <v>45474</v>
      </c>
    </row>
    <row r="906">
      <c r="A906" s="5" t="inlineStr">
        <is>
          <t>01a1212c-ade4-708c-a103-3408ba4d2ef4</t>
        </is>
      </c>
      <c r="D906" s="5" t="inlineStr">
        <is>
          <t>01a1212c-4b57-70cf-80fd-c2192cb3bf81</t>
        </is>
      </c>
      <c r="E906" s="4" t="n">
        <v>46304.62429005705</v>
      </c>
      <c r="F906" s="4" t="n">
        <v>46304.62429005711</v>
      </c>
      <c r="G906" t="b">
        <v>1</v>
      </c>
      <c r="I906" t="inlineStr">
        <is>
          <t>AUD</t>
        </is>
      </c>
      <c r="J906" t="n">
        <v>12.0041</v>
      </c>
      <c r="K906" s="5" t="inlineStr">
        <is>
          <t>01a1212c-69ed-703d-98c7-86793a7bce47</t>
        </is>
      </c>
      <c r="L906" s="5" t="inlineStr">
        <is>
          <t>01a1212c-ab70-70ef-b386-0646b6e677c5</t>
        </is>
      </c>
      <c r="M906" s="6" t="n">
        <v>45474</v>
      </c>
    </row>
    <row r="907">
      <c r="A907" s="5" t="inlineStr">
        <is>
          <t>01a1212c-adea-7641-bb66-fb6551329294</t>
        </is>
      </c>
      <c r="D907" s="5" t="inlineStr">
        <is>
          <t>01a1212c-4b57-70cf-80fd-c2192cb3bf81</t>
        </is>
      </c>
      <c r="E907" s="4" t="n">
        <v>46304.62429012626</v>
      </c>
      <c r="F907" s="4" t="n">
        <v>46304.62429012633</v>
      </c>
      <c r="G907" t="b">
        <v>1</v>
      </c>
      <c r="I907" t="inlineStr">
        <is>
          <t>AUD</t>
        </is>
      </c>
      <c r="J907" t="n">
        <v>12.4043</v>
      </c>
      <c r="K907" s="5" t="inlineStr">
        <is>
          <t>01a1212c-6ac3-7045-85af-681a40396939</t>
        </is>
      </c>
      <c r="L907" s="5" t="inlineStr">
        <is>
          <t>01a1212c-ab70-70ef-b386-0646b6e677c5</t>
        </is>
      </c>
      <c r="M907" s="6" t="n">
        <v>45474</v>
      </c>
    </row>
    <row r="908">
      <c r="A908" s="5" t="inlineStr">
        <is>
          <t>01a1212c-adf0-735c-9bc2-208aa4498e75</t>
        </is>
      </c>
      <c r="D908" s="5" t="inlineStr">
        <is>
          <t>01a1212c-4b57-70cf-80fd-c2192cb3bf81</t>
        </is>
      </c>
      <c r="E908" s="4" t="n">
        <v>46304.62429019401</v>
      </c>
      <c r="F908" s="4" t="n">
        <v>46304.62429019409</v>
      </c>
      <c r="G908" t="b">
        <v>1</v>
      </c>
      <c r="I908" t="inlineStr">
        <is>
          <t>AUD</t>
        </is>
      </c>
      <c r="J908" t="n">
        <v>12.8044</v>
      </c>
      <c r="K908" s="5" t="inlineStr">
        <is>
          <t>01a1212c-692f-76c3-8991-b28be5dbbe78</t>
        </is>
      </c>
      <c r="L908" s="5" t="inlineStr">
        <is>
          <t>01a1212c-ab70-70ef-b386-0646b6e677c5</t>
        </is>
      </c>
      <c r="M908" s="6" t="n">
        <v>45474</v>
      </c>
    </row>
    <row r="909">
      <c r="A909" s="5" t="inlineStr">
        <is>
          <t>01a1212c-adf6-7281-8063-f18af9114e4b</t>
        </is>
      </c>
      <c r="D909" s="5" t="inlineStr">
        <is>
          <t>01a1212c-4b57-70cf-80fd-c2192cb3bf81</t>
        </is>
      </c>
      <c r="E909" s="4" t="n">
        <v>46304.62429026214</v>
      </c>
      <c r="F909" s="4" t="n">
        <v>46304.62429026221</v>
      </c>
      <c r="G909" t="b">
        <v>1</v>
      </c>
      <c r="I909" t="inlineStr">
        <is>
          <t>AUD</t>
        </is>
      </c>
      <c r="J909" t="n">
        <v>14.8045</v>
      </c>
      <c r="K909" s="5" t="inlineStr">
        <is>
          <t>01a1212c-68c3-7400-8c25-aa53cd5ab679</t>
        </is>
      </c>
      <c r="L909" s="5" t="inlineStr">
        <is>
          <t>01a1212c-ab70-70ef-b386-0646b6e677c5</t>
        </is>
      </c>
      <c r="M909" s="6" t="n">
        <v>45474</v>
      </c>
    </row>
    <row r="910">
      <c r="A910" s="5" t="inlineStr">
        <is>
          <t>01a1212c-af7d-760a-b4df-de5a235f3939</t>
        </is>
      </c>
      <c r="D910" s="5" t="inlineStr">
        <is>
          <t>01a1212c-4b57-70cf-80fd-c2192cb3bf81</t>
        </is>
      </c>
      <c r="E910" s="4" t="n">
        <v>46304.62429478909</v>
      </c>
      <c r="F910" s="4" t="n">
        <v>46304.62429478917</v>
      </c>
      <c r="G910" t="b">
        <v>1</v>
      </c>
      <c r="I910" t="inlineStr">
        <is>
          <t>AUD</t>
        </is>
      </c>
      <c r="J910" t="n">
        <v>0.3401</v>
      </c>
      <c r="K910" s="5" t="inlineStr">
        <is>
          <t>01a1212c-853b-7135-b021-23ca5a1e6c2d</t>
        </is>
      </c>
      <c r="L910" s="5" t="inlineStr">
        <is>
          <t>01a1212c-af76-73a3-8cc5-b6a47faf79d7</t>
        </is>
      </c>
      <c r="M910" s="6" t="n">
        <v>45839</v>
      </c>
    </row>
    <row r="911">
      <c r="A911" s="5" t="inlineStr">
        <is>
          <t>01a1212c-af84-7704-a759-b99d6ad76d27</t>
        </is>
      </c>
      <c r="D911" s="5" t="inlineStr">
        <is>
          <t>01a1212c-4b57-70cf-80fd-c2192cb3bf81</t>
        </is>
      </c>
      <c r="E911" s="4" t="n">
        <v>46304.62429486385</v>
      </c>
      <c r="F911" s="4" t="n">
        <v>46304.62429486393</v>
      </c>
      <c r="G911" t="b">
        <v>1</v>
      </c>
      <c r="I911" t="inlineStr">
        <is>
          <t>AUD</t>
        </is>
      </c>
      <c r="J911" t="n">
        <v>0.5256</v>
      </c>
      <c r="K911" s="5" t="inlineStr">
        <is>
          <t>01a1212c-84a5-773c-b095-81815e9305fc</t>
        </is>
      </c>
      <c r="L911" s="5" t="inlineStr">
        <is>
          <t>01a1212c-af76-73a3-8cc5-b6a47faf79d7</t>
        </is>
      </c>
      <c r="M911" s="6" t="n">
        <v>45839</v>
      </c>
    </row>
    <row r="912">
      <c r="A912" s="5" t="inlineStr">
        <is>
          <t>01a1212c-af8a-710d-9c78-e245375cedcd</t>
        </is>
      </c>
      <c r="D912" s="5" t="inlineStr">
        <is>
          <t>01a1212c-4b57-70cf-80fd-c2192cb3bf81</t>
        </is>
      </c>
      <c r="E912" s="4" t="n">
        <v>46304.62429493852</v>
      </c>
      <c r="F912" s="4" t="n">
        <v>46304.62429493859</v>
      </c>
      <c r="G912" t="b">
        <v>1</v>
      </c>
      <c r="I912" t="inlineStr">
        <is>
          <t>AUD</t>
        </is>
      </c>
      <c r="J912" t="n">
        <v>0.8069</v>
      </c>
      <c r="K912" s="5" t="inlineStr">
        <is>
          <t>01a1212c-8507-7491-bb00-aabe1de651f7</t>
        </is>
      </c>
      <c r="L912" s="5" t="inlineStr">
        <is>
          <t>01a1212c-af76-73a3-8cc5-b6a47faf79d7</t>
        </is>
      </c>
      <c r="M912" s="6" t="n">
        <v>45839</v>
      </c>
    </row>
    <row r="913">
      <c r="A913" s="5" t="inlineStr">
        <is>
          <t>01a1212c-af90-7314-abaf-00196bd2ad72</t>
        </is>
      </c>
      <c r="D913" s="5" t="inlineStr">
        <is>
          <t>01a1212c-4b57-70cf-80fd-c2192cb3bf81</t>
        </is>
      </c>
      <c r="E913" s="4" t="n">
        <v>46304.62429500935</v>
      </c>
      <c r="F913" s="4" t="n">
        <v>46304.62429500942</v>
      </c>
      <c r="G913" t="b">
        <v>1</v>
      </c>
      <c r="I913" t="inlineStr">
        <is>
          <t>AUD</t>
        </is>
      </c>
      <c r="J913" t="n">
        <v>1.3819</v>
      </c>
      <c r="K913" s="5" t="inlineStr">
        <is>
          <t>01a1212c-8446-7415-b4a5-e91995a90f46</t>
        </is>
      </c>
      <c r="L913" s="5" t="inlineStr">
        <is>
          <t>01a1212c-af76-73a3-8cc5-b6a47faf79d7</t>
        </is>
      </c>
      <c r="M913" s="6" t="n">
        <v>45839</v>
      </c>
    </row>
    <row r="914">
      <c r="A914" s="5" t="inlineStr">
        <is>
          <t>01a1212c-af96-72e6-8778-ef0e719786f0</t>
        </is>
      </c>
      <c r="D914" s="5" t="inlineStr">
        <is>
          <t>01a1212c-4b57-70cf-80fd-c2192cb3bf81</t>
        </is>
      </c>
      <c r="E914" s="4" t="n">
        <v>46304.62429508223</v>
      </c>
      <c r="F914" s="4" t="n">
        <v>46304.62429508231</v>
      </c>
      <c r="G914" t="b">
        <v>1</v>
      </c>
      <c r="I914" t="inlineStr">
        <is>
          <t>AUD</t>
        </is>
      </c>
      <c r="J914" t="n">
        <v>1.8395</v>
      </c>
      <c r="K914" s="5" t="inlineStr">
        <is>
          <t>01a1212c-8474-71c2-9645-faa3bff524cb</t>
        </is>
      </c>
      <c r="L914" s="5" t="inlineStr">
        <is>
          <t>01a1212c-af76-73a3-8cc5-b6a47faf79d7</t>
        </is>
      </c>
      <c r="M914" s="6" t="n">
        <v>45839</v>
      </c>
    </row>
    <row r="915">
      <c r="A915" s="5" t="inlineStr">
        <is>
          <t>01a1212c-af9c-7448-8c65-dc139f9919ef</t>
        </is>
      </c>
      <c r="D915" s="5" t="inlineStr">
        <is>
          <t>01a1212c-4b57-70cf-80fd-c2192cb3bf81</t>
        </is>
      </c>
      <c r="E915" s="4" t="n">
        <v>46304.62429514978</v>
      </c>
      <c r="F915" s="4" t="n">
        <v>46304.62429514985</v>
      </c>
      <c r="G915" t="b">
        <v>1</v>
      </c>
      <c r="I915" t="inlineStr">
        <is>
          <t>AUD</t>
        </is>
      </c>
      <c r="J915" t="n">
        <v>2.0466</v>
      </c>
      <c r="K915" s="5" t="inlineStr">
        <is>
          <t>01a1212c-829b-7422-b61a-3efdbb1bb81a</t>
        </is>
      </c>
      <c r="L915" s="5" t="inlineStr">
        <is>
          <t>01a1212c-af76-73a3-8cc5-b6a47faf79d7</t>
        </is>
      </c>
      <c r="M915" s="6" t="n">
        <v>45839</v>
      </c>
    </row>
    <row r="916">
      <c r="A916" s="5" t="inlineStr">
        <is>
          <t>01a1212c-afc1-74f9-8d3e-e88ffe91fc80</t>
        </is>
      </c>
      <c r="D916" s="5" t="inlineStr">
        <is>
          <t>01a1212c-4b57-70cf-80fd-c2192cb3bf81</t>
        </is>
      </c>
      <c r="E916" s="4" t="n">
        <v>46304.62429556883</v>
      </c>
      <c r="F916" s="4" t="n">
        <v>46304.6242955689</v>
      </c>
      <c r="G916" t="b">
        <v>1</v>
      </c>
      <c r="I916" t="inlineStr">
        <is>
          <t>AUD</t>
        </is>
      </c>
      <c r="J916" t="n">
        <v>2.4624</v>
      </c>
      <c r="K916" s="5" t="inlineStr">
        <is>
          <t>01a1212c-83ff-7531-b3a7-897ec3441b19</t>
        </is>
      </c>
      <c r="L916" s="5" t="inlineStr">
        <is>
          <t>01a1212c-af76-73a3-8cc5-b6a47faf79d7</t>
        </is>
      </c>
      <c r="M916" s="6" t="n">
        <v>45839</v>
      </c>
    </row>
    <row r="917">
      <c r="A917" s="5" t="inlineStr">
        <is>
          <t>01a1212c-afc6-7413-98d3-82c361c16f64</t>
        </is>
      </c>
      <c r="D917" s="5" t="inlineStr">
        <is>
          <t>01a1212c-4b57-70cf-80fd-c2192cb3bf81</t>
        </is>
      </c>
      <c r="E917" s="4" t="n">
        <v>46304.62429563671</v>
      </c>
      <c r="F917" s="4" t="n">
        <v>46304.62429563679</v>
      </c>
      <c r="G917" t="b">
        <v>1</v>
      </c>
      <c r="I917" t="inlineStr">
        <is>
          <t>AUD</t>
        </is>
      </c>
      <c r="J917" t="n">
        <v>2.8133</v>
      </c>
      <c r="K917" s="5" t="inlineStr">
        <is>
          <t>01a1212c-8259-77b2-b555-ee55312d1840</t>
        </is>
      </c>
      <c r="L917" s="5" t="inlineStr">
        <is>
          <t>01a1212c-af76-73a3-8cc5-b6a47faf79d7</t>
        </is>
      </c>
      <c r="M917" s="6" t="n">
        <v>45839</v>
      </c>
    </row>
    <row r="918">
      <c r="A918" s="5" t="inlineStr">
        <is>
          <t>01a1212c-afcc-7625-90fe-893947733aa6</t>
        </is>
      </c>
      <c r="D918" s="5" t="inlineStr">
        <is>
          <t>01a1212c-4b57-70cf-80fd-c2192cb3bf81</t>
        </is>
      </c>
      <c r="E918" s="4" t="n">
        <v>46304.6242957057</v>
      </c>
      <c r="F918" s="4" t="n">
        <v>46304.62429570578</v>
      </c>
      <c r="G918" t="b">
        <v>1</v>
      </c>
      <c r="I918" t="inlineStr">
        <is>
          <t>AUD</t>
        </is>
      </c>
      <c r="J918" t="n">
        <v>2.821</v>
      </c>
      <c r="K918" s="5" t="inlineStr">
        <is>
          <t>01a1212c-7619-710a-ac50-f0a300913659</t>
        </is>
      </c>
      <c r="L918" s="5" t="inlineStr">
        <is>
          <t>01a1212c-af76-73a3-8cc5-b6a47faf79d7</t>
        </is>
      </c>
      <c r="M918" s="6" t="n">
        <v>45839</v>
      </c>
    </row>
    <row r="919">
      <c r="A919" s="5" t="inlineStr">
        <is>
          <t>01a1212c-afd2-700e-943f-3c6524bc7269</t>
        </is>
      </c>
      <c r="D919" s="5" t="inlineStr">
        <is>
          <t>01a1212c-4b57-70cf-80fd-c2192cb3bf81</t>
        </is>
      </c>
      <c r="E919" s="4" t="n">
        <v>46304.62429577322</v>
      </c>
      <c r="F919" s="4" t="n">
        <v>46304.62429577329</v>
      </c>
      <c r="G919" t="b">
        <v>1</v>
      </c>
      <c r="I919" t="inlineStr">
        <is>
          <t>AUD</t>
        </is>
      </c>
      <c r="J919" t="n">
        <v>2.821</v>
      </c>
      <c r="K919" s="5" t="inlineStr">
        <is>
          <t>01a1212c-7817-75d9-9a5e-b7f889797d9e</t>
        </is>
      </c>
      <c r="L919" s="5" t="inlineStr">
        <is>
          <t>01a1212c-af76-73a3-8cc5-b6a47faf79d7</t>
        </is>
      </c>
      <c r="M919" s="6" t="n">
        <v>45839</v>
      </c>
    </row>
    <row r="920">
      <c r="A920" s="5" t="inlineStr">
        <is>
          <t>01a1212c-afd8-7528-a77d-2aa8cd922d38</t>
        </is>
      </c>
      <c r="D920" s="5" t="inlineStr">
        <is>
          <t>01a1212c-4b57-70cf-80fd-c2192cb3bf81</t>
        </is>
      </c>
      <c r="E920" s="4" t="n">
        <v>46304.62429583947</v>
      </c>
      <c r="F920" s="4" t="n">
        <v>46304.62429583954</v>
      </c>
      <c r="G920" t="b">
        <v>1</v>
      </c>
      <c r="I920" t="inlineStr">
        <is>
          <t>AUD</t>
        </is>
      </c>
      <c r="J920" t="n">
        <v>2.821</v>
      </c>
      <c r="K920" s="5" t="inlineStr">
        <is>
          <t>01a1212c-7854-74b3-a940-c0cb4b7760ea</t>
        </is>
      </c>
      <c r="L920" s="5" t="inlineStr">
        <is>
          <t>01a1212c-af76-73a3-8cc5-b6a47faf79d7</t>
        </is>
      </c>
      <c r="M920" s="6" t="n">
        <v>45839</v>
      </c>
    </row>
    <row r="921">
      <c r="A921" s="5" t="inlineStr">
        <is>
          <t>01a1212c-afde-722f-af7c-46befe270997</t>
        </is>
      </c>
      <c r="D921" s="5" t="inlineStr">
        <is>
          <t>01a1212c-4b57-70cf-80fd-c2192cb3bf81</t>
        </is>
      </c>
      <c r="E921" s="4" t="n">
        <v>46304.62429590648</v>
      </c>
      <c r="F921" s="4" t="n">
        <v>46304.62429590654</v>
      </c>
      <c r="G921" t="b">
        <v>1</v>
      </c>
      <c r="I921" t="inlineStr">
        <is>
          <t>AUD</t>
        </is>
      </c>
      <c r="J921" t="n">
        <v>2.821</v>
      </c>
      <c r="K921" s="5" t="inlineStr">
        <is>
          <t>01a1212c-7ea6-71ad-9cc5-23cdd231e2ec</t>
        </is>
      </c>
      <c r="L921" s="5" t="inlineStr">
        <is>
          <t>01a1212c-af76-73a3-8cc5-b6a47faf79d7</t>
        </is>
      </c>
      <c r="M921" s="6" t="n">
        <v>45839</v>
      </c>
    </row>
    <row r="922">
      <c r="A922" s="5" t="inlineStr">
        <is>
          <t>01a1212c-afe3-72be-a4d5-29901684eb7b</t>
        </is>
      </c>
      <c r="D922" s="5" t="inlineStr">
        <is>
          <t>01a1212c-4b57-70cf-80fd-c2192cb3bf81</t>
        </is>
      </c>
      <c r="E922" s="4" t="n">
        <v>46304.62429597235</v>
      </c>
      <c r="F922" s="4" t="n">
        <v>46304.6242959724</v>
      </c>
      <c r="G922" t="b">
        <v>1</v>
      </c>
      <c r="I922" t="inlineStr">
        <is>
          <t>AUD</t>
        </is>
      </c>
      <c r="J922" t="n">
        <v>2.821</v>
      </c>
      <c r="K922" s="5" t="inlineStr">
        <is>
          <t>01a1212c-7ffd-75da-ba2d-0ae9777055b3</t>
        </is>
      </c>
      <c r="L922" s="5" t="inlineStr">
        <is>
          <t>01a1212c-af76-73a3-8cc5-b6a47faf79d7</t>
        </is>
      </c>
      <c r="M922" s="6" t="n">
        <v>45839</v>
      </c>
    </row>
    <row r="923">
      <c r="A923" s="5" t="inlineStr">
        <is>
          <t>01a1212c-afe9-76c4-aeeb-cb5e89c92af8</t>
        </is>
      </c>
      <c r="D923" s="5" t="inlineStr">
        <is>
          <t>01a1212c-4b57-70cf-80fd-c2192cb3bf81</t>
        </is>
      </c>
      <c r="E923" s="4" t="n">
        <v>46304.62429603742</v>
      </c>
      <c r="F923" s="4" t="n">
        <v>46304.62429603749</v>
      </c>
      <c r="G923" t="b">
        <v>1</v>
      </c>
      <c r="I923" t="inlineStr">
        <is>
          <t>AUD</t>
        </is>
      </c>
      <c r="J923" t="n">
        <v>2.821</v>
      </c>
      <c r="K923" s="5" t="inlineStr">
        <is>
          <t>01a1212c-80f0-744b-a890-3949f0d14d87</t>
        </is>
      </c>
      <c r="L923" s="5" t="inlineStr">
        <is>
          <t>01a1212c-af76-73a3-8cc5-b6a47faf79d7</t>
        </is>
      </c>
      <c r="M923" s="6" t="n">
        <v>45839</v>
      </c>
    </row>
    <row r="924">
      <c r="A924" s="5" t="inlineStr">
        <is>
          <t>01a1212c-afef-7136-961b-06783d693ad8</t>
        </is>
      </c>
      <c r="D924" s="5" t="inlineStr">
        <is>
          <t>01a1212c-4b57-70cf-80fd-c2192cb3bf81</t>
        </is>
      </c>
      <c r="E924" s="4" t="n">
        <v>46304.62429610566</v>
      </c>
      <c r="F924" s="4" t="n">
        <v>46304.62429610573</v>
      </c>
      <c r="G924" t="b">
        <v>1</v>
      </c>
      <c r="I924" t="inlineStr">
        <is>
          <t>AUD</t>
        </is>
      </c>
      <c r="J924" t="n">
        <v>2.821</v>
      </c>
      <c r="K924" s="5" t="inlineStr">
        <is>
          <t>01a1212c-81cc-7193-aa6d-f9da7479948d</t>
        </is>
      </c>
      <c r="L924" s="5" t="inlineStr">
        <is>
          <t>01a1212c-af76-73a3-8cc5-b6a47faf79d7</t>
        </is>
      </c>
      <c r="M924" s="6" t="n">
        <v>45839</v>
      </c>
    </row>
    <row r="925">
      <c r="A925" s="5" t="inlineStr">
        <is>
          <t>01a1212c-aff5-7527-bc29-3fb24a2dfa58</t>
        </is>
      </c>
      <c r="D925" s="5" t="inlineStr">
        <is>
          <t>01a1212c-4b57-70cf-80fd-c2192cb3bf81</t>
        </is>
      </c>
      <c r="E925" s="4" t="n">
        <v>46304.62429617523</v>
      </c>
      <c r="F925" s="4" t="n">
        <v>46304.6242961753</v>
      </c>
      <c r="G925" t="b">
        <v>1</v>
      </c>
      <c r="I925" t="inlineStr">
        <is>
          <t>AUD</t>
        </is>
      </c>
      <c r="J925" t="n">
        <v>2.821</v>
      </c>
      <c r="K925" s="5" t="inlineStr">
        <is>
          <t>01a1212c-81f8-7770-a513-1c1ecf61ab04</t>
        </is>
      </c>
      <c r="L925" s="5" t="inlineStr">
        <is>
          <t>01a1212c-af76-73a3-8cc5-b6a47faf79d7</t>
        </is>
      </c>
      <c r="M925" s="6" t="n">
        <v>45839</v>
      </c>
    </row>
    <row r="926">
      <c r="A926" s="5" t="inlineStr">
        <is>
          <t>01a1212c-affb-700c-a21d-747d19ce77a3</t>
        </is>
      </c>
      <c r="D926" s="5" t="inlineStr">
        <is>
          <t>01a1212c-4b57-70cf-80fd-c2192cb3bf81</t>
        </is>
      </c>
      <c r="E926" s="4" t="n">
        <v>46304.62429624558</v>
      </c>
      <c r="F926" s="4" t="n">
        <v>46304.62429624568</v>
      </c>
      <c r="G926" t="b">
        <v>1</v>
      </c>
      <c r="I926" t="inlineStr">
        <is>
          <t>AUD</t>
        </is>
      </c>
      <c r="J926" t="n">
        <v>2.8519</v>
      </c>
      <c r="K926" s="5" t="inlineStr">
        <is>
          <t>01a1212c-83b7-7040-a89b-3d8f371aa5e1</t>
        </is>
      </c>
      <c r="L926" s="5" t="inlineStr">
        <is>
          <t>01a1212c-af76-73a3-8cc5-b6a47faf79d7</t>
        </is>
      </c>
      <c r="M926" s="6" t="n">
        <v>45839</v>
      </c>
    </row>
    <row r="927">
      <c r="A927" s="5" t="inlineStr">
        <is>
          <t>01a1212c-b002-7257-9edf-79632585a7cb</t>
        </is>
      </c>
      <c r="D927" s="5" t="inlineStr">
        <is>
          <t>01a1212c-4b57-70cf-80fd-c2192cb3bf81</t>
        </is>
      </c>
      <c r="E927" s="4" t="n">
        <v>46304.62429632354</v>
      </c>
      <c r="F927" s="4" t="n">
        <v>46304.62429632362</v>
      </c>
      <c r="G927" t="b">
        <v>1</v>
      </c>
      <c r="I927" t="inlineStr">
        <is>
          <t>AUD</t>
        </is>
      </c>
      <c r="J927" t="n">
        <v>2.9679</v>
      </c>
      <c r="K927" s="5" t="inlineStr">
        <is>
          <t>01a1212c-8379-70a3-bca0-09014acc3a82</t>
        </is>
      </c>
      <c r="L927" s="5" t="inlineStr">
        <is>
          <t>01a1212c-af76-73a3-8cc5-b6a47faf79d7</t>
        </is>
      </c>
      <c r="M927" s="6" t="n">
        <v>45839</v>
      </c>
    </row>
    <row r="928">
      <c r="A928" s="5" t="inlineStr">
        <is>
          <t>01a1212c-b008-777f-9ca9-66274ac2d05d</t>
        </is>
      </c>
      <c r="D928" s="5" t="inlineStr">
        <is>
          <t>01a1212c-4b57-70cf-80fd-c2192cb3bf81</t>
        </is>
      </c>
      <c r="E928" s="4" t="n">
        <v>46304.62429639531</v>
      </c>
      <c r="F928" s="4" t="n">
        <v>46304.62429639538</v>
      </c>
      <c r="G928" t="b">
        <v>1</v>
      </c>
      <c r="I928" t="inlineStr">
        <is>
          <t>AUD</t>
        </is>
      </c>
      <c r="J928" t="n">
        <v>3.2461</v>
      </c>
      <c r="K928" s="5" t="inlineStr">
        <is>
          <t>01a1212c-82db-713e-9859-d71d34471c09</t>
        </is>
      </c>
      <c r="L928" s="5" t="inlineStr">
        <is>
          <t>01a1212c-af76-73a3-8cc5-b6a47faf79d7</t>
        </is>
      </c>
      <c r="M928" s="6" t="n">
        <v>45839</v>
      </c>
    </row>
    <row r="929">
      <c r="A929" s="5" t="inlineStr">
        <is>
          <t>01a1212c-b00e-750e-b62a-5623b706a275</t>
        </is>
      </c>
      <c r="D929" s="5" t="inlineStr">
        <is>
          <t>01a1212c-4b57-70cf-80fd-c2192cb3bf81</t>
        </is>
      </c>
      <c r="E929" s="4" t="n">
        <v>46304.62429647049</v>
      </c>
      <c r="F929" s="4" t="n">
        <v>46304.62429647055</v>
      </c>
      <c r="G929" t="b">
        <v>1</v>
      </c>
      <c r="I929" t="inlineStr">
        <is>
          <t>AUD</t>
        </is>
      </c>
      <c r="J929" t="n">
        <v>3.3852</v>
      </c>
      <c r="K929" s="5" t="inlineStr">
        <is>
          <t>01a1212c-73f1-7653-991a-7a458d0c9e1e</t>
        </is>
      </c>
      <c r="L929" s="5" t="inlineStr">
        <is>
          <t>01a1212c-af76-73a3-8cc5-b6a47faf79d7</t>
        </is>
      </c>
      <c r="M929" s="6" t="n">
        <v>45839</v>
      </c>
    </row>
    <row r="930">
      <c r="A930" s="5" t="inlineStr">
        <is>
          <t>01a1212c-b015-7281-a387-5971b7f278b0</t>
        </is>
      </c>
      <c r="D930" s="5" t="inlineStr">
        <is>
          <t>01a1212c-4b57-70cf-80fd-c2192cb3bf81</t>
        </is>
      </c>
      <c r="E930" s="4" t="n">
        <v>46304.62429654472</v>
      </c>
      <c r="F930" s="4" t="n">
        <v>46304.62429654479</v>
      </c>
      <c r="G930" t="b">
        <v>1</v>
      </c>
      <c r="I930" t="inlineStr">
        <is>
          <t>AUD</t>
        </is>
      </c>
      <c r="J930" t="n">
        <v>3.3852</v>
      </c>
      <c r="K930" s="5" t="inlineStr">
        <is>
          <t>01a1212c-771e-77a4-9a33-9f68d0a94a62</t>
        </is>
      </c>
      <c r="L930" s="5" t="inlineStr">
        <is>
          <t>01a1212c-af76-73a3-8cc5-b6a47faf79d7</t>
        </is>
      </c>
      <c r="M930" s="6" t="n">
        <v>45839</v>
      </c>
    </row>
    <row r="931">
      <c r="A931" s="5" t="inlineStr">
        <is>
          <t>01a1212c-b01b-7624-bd5d-cdadfde6edad</t>
        </is>
      </c>
      <c r="D931" s="5" t="inlineStr">
        <is>
          <t>01a1212c-4b57-70cf-80fd-c2192cb3bf81</t>
        </is>
      </c>
      <c r="E931" s="4" t="n">
        <v>46304.62429661351</v>
      </c>
      <c r="F931" s="4" t="n">
        <v>46304.62429661358</v>
      </c>
      <c r="G931" t="b">
        <v>1</v>
      </c>
      <c r="I931" t="inlineStr">
        <is>
          <t>AUD</t>
        </is>
      </c>
      <c r="J931" t="n">
        <v>3.3852</v>
      </c>
      <c r="K931" s="5" t="inlineStr">
        <is>
          <t>01a1212c-7927-7749-86a1-3f74fb7da8c1</t>
        </is>
      </c>
      <c r="L931" s="5" t="inlineStr">
        <is>
          <t>01a1212c-af76-73a3-8cc5-b6a47faf79d7</t>
        </is>
      </c>
      <c r="M931" s="6" t="n">
        <v>45839</v>
      </c>
    </row>
    <row r="932">
      <c r="A932" s="5" t="inlineStr">
        <is>
          <t>01a1212c-b021-777b-894d-45f1619a23ad</t>
        </is>
      </c>
      <c r="D932" s="5" t="inlineStr">
        <is>
          <t>01a1212c-4b57-70cf-80fd-c2192cb3bf81</t>
        </is>
      </c>
      <c r="E932" s="4" t="n">
        <v>46304.62429668695</v>
      </c>
      <c r="F932" s="4" t="n">
        <v>46304.62429668701</v>
      </c>
      <c r="G932" t="b">
        <v>1</v>
      </c>
      <c r="I932" t="inlineStr">
        <is>
          <t>AUD</t>
        </is>
      </c>
      <c r="J932" t="n">
        <v>3.3852</v>
      </c>
      <c r="K932" s="5" t="inlineStr">
        <is>
          <t>01a1212c-7f61-7533-8196-5477e4952cf6</t>
        </is>
      </c>
      <c r="L932" s="5" t="inlineStr">
        <is>
          <t>01a1212c-af76-73a3-8cc5-b6a47faf79d7</t>
        </is>
      </c>
      <c r="M932" s="6" t="n">
        <v>45839</v>
      </c>
    </row>
    <row r="933">
      <c r="A933" s="5" t="inlineStr">
        <is>
          <t>01a1212c-b027-730c-ac4b-90ab8496c668</t>
        </is>
      </c>
      <c r="D933" s="5" t="inlineStr">
        <is>
          <t>01a1212c-4b57-70cf-80fd-c2192cb3bf81</t>
        </is>
      </c>
      <c r="E933" s="4" t="n">
        <v>46304.62429675434</v>
      </c>
      <c r="F933" s="4" t="n">
        <v>46304.62429675441</v>
      </c>
      <c r="G933" t="b">
        <v>1</v>
      </c>
      <c r="I933" t="inlineStr">
        <is>
          <t>AUD</t>
        </is>
      </c>
      <c r="J933" t="n">
        <v>3.3852</v>
      </c>
      <c r="K933" s="5" t="inlineStr">
        <is>
          <t>01a1212c-8028-745b-b530-f777d34a50a3</t>
        </is>
      </c>
      <c r="L933" s="5" t="inlineStr">
        <is>
          <t>01a1212c-af76-73a3-8cc5-b6a47faf79d7</t>
        </is>
      </c>
      <c r="M933" s="6" t="n">
        <v>45839</v>
      </c>
    </row>
    <row r="934">
      <c r="A934" s="5" t="inlineStr">
        <is>
          <t>01a1212c-b02d-72cd-8b77-4bcbf749fe30</t>
        </is>
      </c>
      <c r="D934" s="5" t="inlineStr">
        <is>
          <t>01a1212c-4b57-70cf-80fd-c2192cb3bf81</t>
        </is>
      </c>
      <c r="E934" s="4" t="n">
        <v>46304.62429682199</v>
      </c>
      <c r="F934" s="4" t="n">
        <v>46304.62429682206</v>
      </c>
      <c r="G934" t="b">
        <v>1</v>
      </c>
      <c r="I934" t="inlineStr">
        <is>
          <t>AUD</t>
        </is>
      </c>
      <c r="J934" t="n">
        <v>3.3852</v>
      </c>
      <c r="K934" s="5" t="inlineStr">
        <is>
          <t>01a1212c-811c-7548-8cd1-9aeba16d6df0</t>
        </is>
      </c>
      <c r="L934" s="5" t="inlineStr">
        <is>
          <t>01a1212c-af76-73a3-8cc5-b6a47faf79d7</t>
        </is>
      </c>
      <c r="M934" s="6" t="n">
        <v>45839</v>
      </c>
    </row>
    <row r="935">
      <c r="A935" s="5" t="inlineStr">
        <is>
          <t>01a1212c-b033-719d-a0be-588f8bc8380e</t>
        </is>
      </c>
      <c r="D935" s="5" t="inlineStr">
        <is>
          <t>01a1212c-4b57-70cf-80fd-c2192cb3bf81</t>
        </is>
      </c>
      <c r="E935" s="4" t="n">
        <v>46304.62429689096</v>
      </c>
      <c r="F935" s="4" t="n">
        <v>46304.62429689104</v>
      </c>
      <c r="G935" t="b">
        <v>1</v>
      </c>
      <c r="I935" t="inlineStr">
        <is>
          <t>AUD</t>
        </is>
      </c>
      <c r="J935" t="n">
        <v>3.3852</v>
      </c>
      <c r="K935" s="5" t="inlineStr">
        <is>
          <t>01a1212c-815e-7000-bd78-b468fcf130ee</t>
        </is>
      </c>
      <c r="L935" s="5" t="inlineStr">
        <is>
          <t>01a1212c-af76-73a3-8cc5-b6a47faf79d7</t>
        </is>
      </c>
      <c r="M935" s="6" t="n">
        <v>45839</v>
      </c>
    </row>
    <row r="936">
      <c r="A936" s="5" t="inlineStr">
        <is>
          <t>01a1212c-b039-77e9-bb8d-7570b3f47e15</t>
        </is>
      </c>
      <c r="D936" s="5" t="inlineStr">
        <is>
          <t>01a1212c-4b57-70cf-80fd-c2192cb3bf81</t>
        </is>
      </c>
      <c r="E936" s="4" t="n">
        <v>46304.62429696</v>
      </c>
      <c r="F936" s="4" t="n">
        <v>46304.62429696007</v>
      </c>
      <c r="G936" t="b">
        <v>1</v>
      </c>
      <c r="I936" t="inlineStr">
        <is>
          <t>AUD</t>
        </is>
      </c>
      <c r="J936" t="n">
        <v>3.7284</v>
      </c>
      <c r="K936" s="5" t="inlineStr">
        <is>
          <t>01a1212c-831d-7560-b311-d417ff76b79b</t>
        </is>
      </c>
      <c r="L936" s="5" t="inlineStr">
        <is>
          <t>01a1212c-af76-73a3-8cc5-b6a47faf79d7</t>
        </is>
      </c>
      <c r="M936" s="6" t="n">
        <v>45839</v>
      </c>
    </row>
    <row r="937">
      <c r="A937" s="5" t="inlineStr">
        <is>
          <t>01a1212c-b03f-77d7-b430-1e0c05a21a34</t>
        </is>
      </c>
      <c r="D937" s="5" t="inlineStr">
        <is>
          <t>01a1212c-4b57-70cf-80fd-c2192cb3bf81</t>
        </is>
      </c>
      <c r="E937" s="4" t="n">
        <v>46304.62429702853</v>
      </c>
      <c r="F937" s="4" t="n">
        <v>46304.6242970286</v>
      </c>
      <c r="G937" t="b">
        <v>1</v>
      </c>
      <c r="I937" t="inlineStr">
        <is>
          <t>AUD</t>
        </is>
      </c>
      <c r="J937" t="n">
        <v>3.9494</v>
      </c>
      <c r="K937" s="5" t="inlineStr">
        <is>
          <t>01a1212c-72a3-74de-af7e-8c21374ccb8d</t>
        </is>
      </c>
      <c r="L937" s="5" t="inlineStr">
        <is>
          <t>01a1212c-af76-73a3-8cc5-b6a47faf79d7</t>
        </is>
      </c>
      <c r="M937" s="6" t="n">
        <v>45839</v>
      </c>
    </row>
    <row r="938">
      <c r="A938" s="5" t="inlineStr">
        <is>
          <t>01a1212c-b045-72b7-8c10-8663d4240b16</t>
        </is>
      </c>
      <c r="D938" s="5" t="inlineStr">
        <is>
          <t>01a1212c-4b57-70cf-80fd-c2192cb3bf81</t>
        </is>
      </c>
      <c r="E938" s="4" t="n">
        <v>46304.62429709766</v>
      </c>
      <c r="F938" s="4" t="n">
        <v>46304.62429709773</v>
      </c>
      <c r="G938" t="b">
        <v>1</v>
      </c>
      <c r="I938" t="inlineStr">
        <is>
          <t>AUD</t>
        </is>
      </c>
      <c r="J938" t="n">
        <v>3.9494</v>
      </c>
      <c r="K938" s="5" t="inlineStr">
        <is>
          <t>01a1212c-7b69-77a5-b7c2-ac7ba4a3dd3e</t>
        </is>
      </c>
      <c r="L938" s="5" t="inlineStr">
        <is>
          <t>01a1212c-af76-73a3-8cc5-b6a47faf79d7</t>
        </is>
      </c>
      <c r="M938" s="6" t="n">
        <v>45839</v>
      </c>
    </row>
    <row r="939">
      <c r="A939" s="5" t="inlineStr">
        <is>
          <t>01a1212c-b04b-71bc-86e9-d19fc3f120eb</t>
        </is>
      </c>
      <c r="D939" s="5" t="inlineStr">
        <is>
          <t>01a1212c-4b57-70cf-80fd-c2192cb3bf81</t>
        </is>
      </c>
      <c r="E939" s="4" t="n">
        <v>46304.6242971664</v>
      </c>
      <c r="F939" s="4" t="n">
        <v>46304.62429716647</v>
      </c>
      <c r="G939" t="b">
        <v>1</v>
      </c>
      <c r="I939" t="inlineStr">
        <is>
          <t>AUD</t>
        </is>
      </c>
      <c r="J939" t="n">
        <v>3.9494</v>
      </c>
      <c r="K939" s="5" t="inlineStr">
        <is>
          <t>01a1212c-7c53-76ef-8d31-2b4e643519d3</t>
        </is>
      </c>
      <c r="L939" s="5" t="inlineStr">
        <is>
          <t>01a1212c-af76-73a3-8cc5-b6a47faf79d7</t>
        </is>
      </c>
      <c r="M939" s="6" t="n">
        <v>45839</v>
      </c>
    </row>
    <row r="940">
      <c r="A940" s="5" t="inlineStr">
        <is>
          <t>01a1212c-b050-7354-a909-00bc3e91febf</t>
        </is>
      </c>
      <c r="D940" s="5" t="inlineStr">
        <is>
          <t>01a1212c-4b57-70cf-80fd-c2192cb3bf81</t>
        </is>
      </c>
      <c r="E940" s="4" t="n">
        <v>46304.62429723333</v>
      </c>
      <c r="F940" s="4" t="n">
        <v>46304.6242972334</v>
      </c>
      <c r="G940" t="b">
        <v>1</v>
      </c>
      <c r="I940" t="inlineStr">
        <is>
          <t>AUD</t>
        </is>
      </c>
      <c r="J940" t="n">
        <v>3.9494</v>
      </c>
      <c r="K940" s="5" t="inlineStr">
        <is>
          <t>01a1212c-7d33-7324-9c89-c291b3770527</t>
        </is>
      </c>
      <c r="L940" s="5" t="inlineStr">
        <is>
          <t>01a1212c-af76-73a3-8cc5-b6a47faf79d7</t>
        </is>
      </c>
      <c r="M940" s="6" t="n">
        <v>45839</v>
      </c>
    </row>
    <row r="941">
      <c r="A941" s="5" t="inlineStr">
        <is>
          <t>01a1212c-b056-7197-985b-271d52780df1</t>
        </is>
      </c>
      <c r="D941" s="5" t="inlineStr">
        <is>
          <t>01a1212c-4b57-70cf-80fd-c2192cb3bf81</t>
        </is>
      </c>
      <c r="E941" s="4" t="n">
        <v>46304.62429729789</v>
      </c>
      <c r="F941" s="4" t="n">
        <v>46304.62429729796</v>
      </c>
      <c r="G941" t="b">
        <v>1</v>
      </c>
      <c r="I941" t="inlineStr">
        <is>
          <t>AUD</t>
        </is>
      </c>
      <c r="J941" t="n">
        <v>3.9494</v>
      </c>
      <c r="K941" s="5" t="inlineStr">
        <is>
          <t>01a1212c-7e50-73f9-807d-1e47e88c5210</t>
        </is>
      </c>
      <c r="L941" s="5" t="inlineStr">
        <is>
          <t>01a1212c-af76-73a3-8cc5-b6a47faf79d7</t>
        </is>
      </c>
      <c r="M941" s="6" t="n">
        <v>45839</v>
      </c>
    </row>
    <row r="942">
      <c r="A942" s="5" t="inlineStr">
        <is>
          <t>01a1212c-b05c-7495-b23b-0a3e1a969e43</t>
        </is>
      </c>
      <c r="D942" s="5" t="inlineStr">
        <is>
          <t>01a1212c-4b57-70cf-80fd-c2192cb3bf81</t>
        </is>
      </c>
      <c r="E942" s="4" t="n">
        <v>46304.62429736475</v>
      </c>
      <c r="F942" s="4" t="n">
        <v>46304.62429736481</v>
      </c>
      <c r="G942" t="b">
        <v>1</v>
      </c>
      <c r="I942" t="inlineStr">
        <is>
          <t>AUD</t>
        </is>
      </c>
      <c r="J942" t="n">
        <v>3.9494</v>
      </c>
      <c r="K942" s="5" t="inlineStr">
        <is>
          <t>01a1212c-7f14-75f8-8ffb-196cb0bbed88</t>
        </is>
      </c>
      <c r="L942" s="5" t="inlineStr">
        <is>
          <t>01a1212c-af76-73a3-8cc5-b6a47faf79d7</t>
        </is>
      </c>
      <c r="M942" s="6" t="n">
        <v>45839</v>
      </c>
    </row>
    <row r="943">
      <c r="A943" s="5" t="inlineStr">
        <is>
          <t>01a1212c-b062-7256-994c-415e24058cc7</t>
        </is>
      </c>
      <c r="D943" s="5" t="inlineStr">
        <is>
          <t>01a1212c-4b57-70cf-80fd-c2192cb3bf81</t>
        </is>
      </c>
      <c r="E943" s="4" t="n">
        <v>46304.62429743889</v>
      </c>
      <c r="F943" s="4" t="n">
        <v>46304.62429743896</v>
      </c>
      <c r="G943" t="b">
        <v>1</v>
      </c>
      <c r="I943" t="inlineStr">
        <is>
          <t>AUD</t>
        </is>
      </c>
      <c r="J943" t="n">
        <v>3.9494</v>
      </c>
      <c r="K943" s="5" t="inlineStr">
        <is>
          <t>01a1212c-7fd2-7231-aacb-7904f54b1267</t>
        </is>
      </c>
      <c r="L943" s="5" t="inlineStr">
        <is>
          <t>01a1212c-af76-73a3-8cc5-b6a47faf79d7</t>
        </is>
      </c>
      <c r="M943" s="6" t="n">
        <v>45839</v>
      </c>
    </row>
    <row r="944">
      <c r="A944" s="5" t="inlineStr">
        <is>
          <t>01a1212c-b069-77f8-baae-a897f17270c5</t>
        </is>
      </c>
      <c r="D944" s="5" t="inlineStr">
        <is>
          <t>01a1212c-4b57-70cf-80fd-c2192cb3bf81</t>
        </is>
      </c>
      <c r="E944" s="4" t="n">
        <v>46304.62429751505</v>
      </c>
      <c r="F944" s="4" t="n">
        <v>46304.62429751514</v>
      </c>
      <c r="G944" t="b">
        <v>1</v>
      </c>
      <c r="I944" t="inlineStr">
        <is>
          <t>AUD</t>
        </is>
      </c>
      <c r="J944" t="n">
        <v>3.9494</v>
      </c>
      <c r="K944" s="5" t="inlineStr">
        <is>
          <t>01a1212c-8096-75b4-a199-17279e0a51df</t>
        </is>
      </c>
      <c r="L944" s="5" t="inlineStr">
        <is>
          <t>01a1212c-af76-73a3-8cc5-b6a47faf79d7</t>
        </is>
      </c>
      <c r="M944" s="6" t="n">
        <v>45839</v>
      </c>
    </row>
    <row r="945">
      <c r="A945" s="5" t="inlineStr">
        <is>
          <t>01a1212c-b06f-7567-91fb-2b4a28858884</t>
        </is>
      </c>
      <c r="D945" s="5" t="inlineStr">
        <is>
          <t>01a1212c-4b57-70cf-80fd-c2192cb3bf81</t>
        </is>
      </c>
      <c r="E945" s="4" t="n">
        <v>46304.62429758545</v>
      </c>
      <c r="F945" s="4" t="n">
        <v>46304.62429758552</v>
      </c>
      <c r="G945" t="b">
        <v>1</v>
      </c>
      <c r="I945" t="inlineStr">
        <is>
          <t>AUD</t>
        </is>
      </c>
      <c r="J945" t="n">
        <v>4.5136</v>
      </c>
      <c r="K945" s="5" t="inlineStr">
        <is>
          <t>01a1212c-6d20-73ba-8f87-9892e2e99aec</t>
        </is>
      </c>
      <c r="L945" s="5" t="inlineStr">
        <is>
          <t>01a1212c-af76-73a3-8cc5-b6a47faf79d7</t>
        </is>
      </c>
      <c r="M945" s="6" t="n">
        <v>45839</v>
      </c>
    </row>
    <row r="946">
      <c r="A946" s="5" t="inlineStr">
        <is>
          <t>01a1212c-b075-77f6-a99e-d7d278e9857b</t>
        </is>
      </c>
      <c r="D946" s="5" t="inlineStr">
        <is>
          <t>01a1212c-4b57-70cf-80fd-c2192cb3bf81</t>
        </is>
      </c>
      <c r="E946" s="4" t="n">
        <v>46304.62429765621</v>
      </c>
      <c r="F946" s="4" t="n">
        <v>46304.62429765629</v>
      </c>
      <c r="G946" t="b">
        <v>1</v>
      </c>
      <c r="I946" t="inlineStr">
        <is>
          <t>AUD</t>
        </is>
      </c>
      <c r="J946" t="n">
        <v>4.5136</v>
      </c>
      <c r="K946" s="5" t="inlineStr">
        <is>
          <t>01a1212c-6f7f-718f-b160-46cb1bfec403</t>
        </is>
      </c>
      <c r="L946" s="5" t="inlineStr">
        <is>
          <t>01a1212c-af76-73a3-8cc5-b6a47faf79d7</t>
        </is>
      </c>
      <c r="M946" s="6" t="n">
        <v>45839</v>
      </c>
    </row>
    <row r="947">
      <c r="A947" s="5" t="inlineStr">
        <is>
          <t>01a1212c-b07b-775c-af5b-0194d2b2e254</t>
        </is>
      </c>
      <c r="D947" s="5" t="inlineStr">
        <is>
          <t>01a1212c-4b57-70cf-80fd-c2192cb3bf81</t>
        </is>
      </c>
      <c r="E947" s="4" t="n">
        <v>46304.6242977222</v>
      </c>
      <c r="F947" s="4" t="n">
        <v>46304.62429772227</v>
      </c>
      <c r="G947" t="b">
        <v>1</v>
      </c>
      <c r="I947" t="inlineStr">
        <is>
          <t>AUD</t>
        </is>
      </c>
      <c r="J947" t="n">
        <v>4.5136</v>
      </c>
      <c r="K947" s="5" t="inlineStr">
        <is>
          <t>01a1212c-6fc2-71f6-890f-f7e761000531</t>
        </is>
      </c>
      <c r="L947" s="5" t="inlineStr">
        <is>
          <t>01a1212c-af76-73a3-8cc5-b6a47faf79d7</t>
        </is>
      </c>
      <c r="M947" s="6" t="n">
        <v>45839</v>
      </c>
    </row>
    <row r="948">
      <c r="A948" s="5" t="inlineStr">
        <is>
          <t>01a1212c-b080-73b7-825c-aefbb96167fa</t>
        </is>
      </c>
      <c r="D948" s="5" t="inlineStr">
        <is>
          <t>01a1212c-4b57-70cf-80fd-c2192cb3bf81</t>
        </is>
      </c>
      <c r="E948" s="4" t="n">
        <v>46304.62429778968</v>
      </c>
      <c r="F948" s="4" t="n">
        <v>46304.62429778974</v>
      </c>
      <c r="G948" t="b">
        <v>1</v>
      </c>
      <c r="I948" t="inlineStr">
        <is>
          <t>AUD</t>
        </is>
      </c>
      <c r="J948" t="n">
        <v>4.5136</v>
      </c>
      <c r="K948" s="5" t="inlineStr">
        <is>
          <t>01a1212c-7185-751c-93a4-e2a05054ca75</t>
        </is>
      </c>
      <c r="L948" s="5" t="inlineStr">
        <is>
          <t>01a1212c-af76-73a3-8cc5-b6a47faf79d7</t>
        </is>
      </c>
      <c r="M948" s="6" t="n">
        <v>45839</v>
      </c>
    </row>
    <row r="949">
      <c r="A949" s="5" t="inlineStr">
        <is>
          <t>01a1212c-b087-72b8-bdd8-a9e1ffbcdca2</t>
        </is>
      </c>
      <c r="D949" s="5" t="inlineStr">
        <is>
          <t>01a1212c-4b57-70cf-80fd-c2192cb3bf81</t>
        </is>
      </c>
      <c r="E949" s="4" t="n">
        <v>46304.62429786762</v>
      </c>
      <c r="F949" s="4" t="n">
        <v>46304.6242978677</v>
      </c>
      <c r="G949" t="b">
        <v>1</v>
      </c>
      <c r="I949" t="inlineStr">
        <is>
          <t>AUD</t>
        </is>
      </c>
      <c r="J949" t="n">
        <v>4.5136</v>
      </c>
      <c r="K949" s="5" t="inlineStr">
        <is>
          <t>01a1212c-721a-74d7-b443-6cf4d510dcad</t>
        </is>
      </c>
      <c r="L949" s="5" t="inlineStr">
        <is>
          <t>01a1212c-af76-73a3-8cc5-b6a47faf79d7</t>
        </is>
      </c>
      <c r="M949" s="6" t="n">
        <v>45839</v>
      </c>
    </row>
    <row r="950">
      <c r="A950" s="5" t="inlineStr">
        <is>
          <t>01a1212c-b08d-73e9-9a57-b446624237a9</t>
        </is>
      </c>
      <c r="D950" s="5" t="inlineStr">
        <is>
          <t>01a1212c-4b57-70cf-80fd-c2192cb3bf81</t>
        </is>
      </c>
      <c r="E950" s="4" t="n">
        <v>46304.6242979385</v>
      </c>
      <c r="F950" s="4" t="n">
        <v>46304.62429793858</v>
      </c>
      <c r="G950" t="b">
        <v>1</v>
      </c>
      <c r="I950" t="inlineStr">
        <is>
          <t>AUD</t>
        </is>
      </c>
      <c r="J950" t="n">
        <v>4.5136</v>
      </c>
      <c r="K950" s="5" t="inlineStr">
        <is>
          <t>01a1212c-7264-75a0-a547-f07a5e635bc6</t>
        </is>
      </c>
      <c r="L950" s="5" t="inlineStr">
        <is>
          <t>01a1212c-af76-73a3-8cc5-b6a47faf79d7</t>
        </is>
      </c>
      <c r="M950" s="6" t="n">
        <v>45839</v>
      </c>
    </row>
    <row r="951">
      <c r="A951" s="5" t="inlineStr">
        <is>
          <t>01a1212c-b094-7286-8b19-0d8de7925334</t>
        </is>
      </c>
      <c r="D951" s="5" t="inlineStr">
        <is>
          <t>01a1212c-4b57-70cf-80fd-c2192cb3bf81</t>
        </is>
      </c>
      <c r="E951" s="4" t="n">
        <v>46304.62429801355</v>
      </c>
      <c r="F951" s="4" t="n">
        <v>46304.62429801364</v>
      </c>
      <c r="G951" t="b">
        <v>1</v>
      </c>
      <c r="I951" t="inlineStr">
        <is>
          <t>AUD</t>
        </is>
      </c>
      <c r="J951" t="n">
        <v>4.5136</v>
      </c>
      <c r="K951" s="5" t="inlineStr">
        <is>
          <t>01a1212c-74a5-7646-bf4b-157c0a1a7665</t>
        </is>
      </c>
      <c r="L951" s="5" t="inlineStr">
        <is>
          <t>01a1212c-af76-73a3-8cc5-b6a47faf79d7</t>
        </is>
      </c>
      <c r="M951" s="6" t="n">
        <v>45839</v>
      </c>
    </row>
    <row r="952">
      <c r="A952" s="5" t="inlineStr">
        <is>
          <t>01a1212c-b09a-75c7-a2df-895b5464c261</t>
        </is>
      </c>
      <c r="D952" s="5" t="inlineStr">
        <is>
          <t>01a1212c-4b57-70cf-80fd-c2192cb3bf81</t>
        </is>
      </c>
      <c r="E952" s="4" t="n">
        <v>46304.62429808598</v>
      </c>
      <c r="F952" s="4" t="n">
        <v>46304.62429808606</v>
      </c>
      <c r="G952" t="b">
        <v>1</v>
      </c>
      <c r="I952" t="inlineStr">
        <is>
          <t>AUD</t>
        </is>
      </c>
      <c r="J952" t="n">
        <v>4.5136</v>
      </c>
      <c r="K952" s="5" t="inlineStr">
        <is>
          <t>01a1212c-7c13-7245-b333-0dfcd00ad20d</t>
        </is>
      </c>
      <c r="L952" s="5" t="inlineStr">
        <is>
          <t>01a1212c-af76-73a3-8cc5-b6a47faf79d7</t>
        </is>
      </c>
      <c r="M952" s="6" t="n">
        <v>45839</v>
      </c>
    </row>
    <row r="953">
      <c r="A953" s="5" t="inlineStr">
        <is>
          <t>01a1212c-b0a0-70d6-bd95-716b1f54d96a</t>
        </is>
      </c>
      <c r="D953" s="5" t="inlineStr">
        <is>
          <t>01a1212c-4b57-70cf-80fd-c2192cb3bf81</t>
        </is>
      </c>
      <c r="E953" s="4" t="n">
        <v>46304.62429815326</v>
      </c>
      <c r="F953" s="4" t="n">
        <v>46304.62429815332</v>
      </c>
      <c r="G953" t="b">
        <v>1</v>
      </c>
      <c r="I953" t="inlineStr">
        <is>
          <t>AUD</t>
        </is>
      </c>
      <c r="J953" t="n">
        <v>5.0778</v>
      </c>
      <c r="K953" s="5" t="inlineStr">
        <is>
          <t>01a1212c-6ebd-7084-8e12-1c2acb9ea8e3</t>
        </is>
      </c>
      <c r="L953" s="5" t="inlineStr">
        <is>
          <t>01a1212c-af76-73a3-8cc5-b6a47faf79d7</t>
        </is>
      </c>
      <c r="M953" s="6" t="n">
        <v>45839</v>
      </c>
    </row>
    <row r="954">
      <c r="A954" s="5" t="inlineStr">
        <is>
          <t>01a1212c-b0a7-74c7-bfae-d28b546dd775</t>
        </is>
      </c>
      <c r="D954" s="5" t="inlineStr">
        <is>
          <t>01a1212c-4b57-70cf-80fd-c2192cb3bf81</t>
        </is>
      </c>
      <c r="E954" s="4" t="n">
        <v>46304.62429823161</v>
      </c>
      <c r="F954" s="4" t="n">
        <v>46304.62429823168</v>
      </c>
      <c r="G954" t="b">
        <v>1</v>
      </c>
      <c r="I954" t="inlineStr">
        <is>
          <t>AUD</t>
        </is>
      </c>
      <c r="J954" t="n">
        <v>5.0778</v>
      </c>
      <c r="K954" s="5" t="inlineStr">
        <is>
          <t>01a1212c-74ff-71e8-bddf-7c46f57ce7fb</t>
        </is>
      </c>
      <c r="L954" s="5" t="inlineStr">
        <is>
          <t>01a1212c-af76-73a3-8cc5-b6a47faf79d7</t>
        </is>
      </c>
      <c r="M954" s="6" t="n">
        <v>45839</v>
      </c>
    </row>
    <row r="955">
      <c r="A955" s="5" t="inlineStr">
        <is>
          <t>01a1212c-b0ad-75c2-bdba-c1bbfba9af7f</t>
        </is>
      </c>
      <c r="D955" s="5" t="inlineStr">
        <is>
          <t>01a1212c-4b57-70cf-80fd-c2192cb3bf81</t>
        </is>
      </c>
      <c r="E955" s="4" t="n">
        <v>46304.62429830037</v>
      </c>
      <c r="F955" s="4" t="n">
        <v>46304.62429830043</v>
      </c>
      <c r="G955" t="b">
        <v>1</v>
      </c>
      <c r="I955" t="inlineStr">
        <is>
          <t>AUD</t>
        </is>
      </c>
      <c r="J955" t="n">
        <v>5.0778</v>
      </c>
      <c r="K955" s="5" t="inlineStr">
        <is>
          <t>01a1212c-7595-7792-8e63-1f39b92bd8b3</t>
        </is>
      </c>
      <c r="L955" s="5" t="inlineStr">
        <is>
          <t>01a1212c-af76-73a3-8cc5-b6a47faf79d7</t>
        </is>
      </c>
      <c r="M955" s="6" t="n">
        <v>45839</v>
      </c>
    </row>
    <row r="956">
      <c r="A956" s="5" t="inlineStr">
        <is>
          <t>01a1212c-b0b3-7476-be62-2f565ba3b442</t>
        </is>
      </c>
      <c r="D956" s="5" t="inlineStr">
        <is>
          <t>01a1212c-4b57-70cf-80fd-c2192cb3bf81</t>
        </is>
      </c>
      <c r="E956" s="4" t="n">
        <v>46304.62429837284</v>
      </c>
      <c r="F956" s="4" t="n">
        <v>46304.62429837292</v>
      </c>
      <c r="G956" t="b">
        <v>1</v>
      </c>
      <c r="I956" t="inlineStr">
        <is>
          <t>AUD</t>
        </is>
      </c>
      <c r="J956" t="n">
        <v>5.0778</v>
      </c>
      <c r="K956" s="5" t="inlineStr">
        <is>
          <t>01a1212c-7687-729c-958e-594416954bfb</t>
        </is>
      </c>
      <c r="L956" s="5" t="inlineStr">
        <is>
          <t>01a1212c-af76-73a3-8cc5-b6a47faf79d7</t>
        </is>
      </c>
      <c r="M956" s="6" t="n">
        <v>45839</v>
      </c>
    </row>
    <row r="957">
      <c r="A957" s="5" t="inlineStr">
        <is>
          <t>01a1212c-b0b9-7497-9252-7aea6c0a768c</t>
        </is>
      </c>
      <c r="D957" s="5" t="inlineStr">
        <is>
          <t>01a1212c-4b57-70cf-80fd-c2192cb3bf81</t>
        </is>
      </c>
      <c r="E957" s="4" t="n">
        <v>46304.62429844116</v>
      </c>
      <c r="F957" s="4" t="n">
        <v>46304.62429844122</v>
      </c>
      <c r="G957" t="b">
        <v>1</v>
      </c>
      <c r="I957" t="inlineStr">
        <is>
          <t>AUD</t>
        </is>
      </c>
      <c r="J957" t="n">
        <v>5.0778</v>
      </c>
      <c r="K957" s="5" t="inlineStr">
        <is>
          <t>01a1212c-76b2-7110-9f65-8f1a317730a7</t>
        </is>
      </c>
      <c r="L957" s="5" t="inlineStr">
        <is>
          <t>01a1212c-af76-73a3-8cc5-b6a47faf79d7</t>
        </is>
      </c>
      <c r="M957" s="6" t="n">
        <v>45839</v>
      </c>
    </row>
    <row r="958">
      <c r="A958" s="5" t="inlineStr">
        <is>
          <t>01a1212c-b0bf-70ee-abd1-a938c840196d</t>
        </is>
      </c>
      <c r="D958" s="5" t="inlineStr">
        <is>
          <t>01a1212c-4b57-70cf-80fd-c2192cb3bf81</t>
        </is>
      </c>
      <c r="E958" s="4" t="n">
        <v>46304.62429851107</v>
      </c>
      <c r="F958" s="4" t="n">
        <v>46304.62429851113</v>
      </c>
      <c r="G958" t="b">
        <v>1</v>
      </c>
      <c r="I958" t="inlineStr">
        <is>
          <t>AUD</t>
        </is>
      </c>
      <c r="J958" t="n">
        <v>5.0778</v>
      </c>
      <c r="K958" s="5" t="inlineStr">
        <is>
          <t>01a1212c-77bd-7567-8b73-2fb2ee41285a</t>
        </is>
      </c>
      <c r="L958" s="5" t="inlineStr">
        <is>
          <t>01a1212c-af76-73a3-8cc5-b6a47faf79d7</t>
        </is>
      </c>
      <c r="M958" s="6" t="n">
        <v>45839</v>
      </c>
    </row>
    <row r="959">
      <c r="A959" s="5" t="inlineStr">
        <is>
          <t>01a1212c-b0c4-77df-9406-7df6b2bbcd99</t>
        </is>
      </c>
      <c r="D959" s="5" t="inlineStr">
        <is>
          <t>01a1212c-4b57-70cf-80fd-c2192cb3bf81</t>
        </is>
      </c>
      <c r="E959" s="4" t="n">
        <v>46304.6242985762</v>
      </c>
      <c r="F959" s="4" t="n">
        <v>46304.62429857626</v>
      </c>
      <c r="G959" t="b">
        <v>1</v>
      </c>
      <c r="I959" t="inlineStr">
        <is>
          <t>AUD</t>
        </is>
      </c>
      <c r="J959" t="n">
        <v>5.0778</v>
      </c>
      <c r="K959" s="5" t="inlineStr">
        <is>
          <t>01a1212c-7896-7021-a40c-f16a939ea185</t>
        </is>
      </c>
      <c r="L959" s="5" t="inlineStr">
        <is>
          <t>01a1212c-af76-73a3-8cc5-b6a47faf79d7</t>
        </is>
      </c>
      <c r="M959" s="6" t="n">
        <v>45839</v>
      </c>
    </row>
    <row r="960">
      <c r="A960" s="5" t="inlineStr">
        <is>
          <t>01a1212c-b0ca-7605-b057-0c4be6aad67c</t>
        </is>
      </c>
      <c r="D960" s="5" t="inlineStr">
        <is>
          <t>01a1212c-4b57-70cf-80fd-c2192cb3bf81</t>
        </is>
      </c>
      <c r="E960" s="4" t="n">
        <v>46304.62429864398</v>
      </c>
      <c r="F960" s="4" t="n">
        <v>46304.62429864405</v>
      </c>
      <c r="G960" t="b">
        <v>1</v>
      </c>
      <c r="I960" t="inlineStr">
        <is>
          <t>AUD</t>
        </is>
      </c>
      <c r="J960" t="n">
        <v>5.0778</v>
      </c>
      <c r="K960" s="5" t="inlineStr">
        <is>
          <t>01a1212c-78d8-7094-b299-94255bf82783</t>
        </is>
      </c>
      <c r="L960" s="5" t="inlineStr">
        <is>
          <t>01a1212c-af76-73a3-8cc5-b6a47faf79d7</t>
        </is>
      </c>
      <c r="M960" s="6" t="n">
        <v>45839</v>
      </c>
    </row>
    <row r="961">
      <c r="A961" s="5" t="inlineStr">
        <is>
          <t>01a1212c-b0d0-7777-87c3-614cd3697dc7</t>
        </is>
      </c>
      <c r="D961" s="5" t="inlineStr">
        <is>
          <t>01a1212c-4b57-70cf-80fd-c2192cb3bf81</t>
        </is>
      </c>
      <c r="E961" s="4" t="n">
        <v>46304.62429871155</v>
      </c>
      <c r="F961" s="4" t="n">
        <v>46304.62429871162</v>
      </c>
      <c r="G961" t="b">
        <v>1</v>
      </c>
      <c r="I961" t="inlineStr">
        <is>
          <t>AUD</t>
        </is>
      </c>
      <c r="J961" t="n">
        <v>5.0778</v>
      </c>
      <c r="K961" s="5" t="inlineStr">
        <is>
          <t>01a1212c-79c9-719a-aeaf-8f1b35c3d703</t>
        </is>
      </c>
      <c r="L961" s="5" t="inlineStr">
        <is>
          <t>01a1212c-af76-73a3-8cc5-b6a47faf79d7</t>
        </is>
      </c>
      <c r="M961" s="6" t="n">
        <v>45839</v>
      </c>
    </row>
    <row r="962">
      <c r="A962" s="5" t="inlineStr">
        <is>
          <t>01a1212c-b0d6-767f-94c4-249261eb53e0</t>
        </is>
      </c>
      <c r="D962" s="5" t="inlineStr">
        <is>
          <t>01a1212c-4b57-70cf-80fd-c2192cb3bf81</t>
        </is>
      </c>
      <c r="E962" s="4" t="n">
        <v>46304.62429877937</v>
      </c>
      <c r="F962" s="4" t="n">
        <v>46304.62429877943</v>
      </c>
      <c r="G962" t="b">
        <v>1</v>
      </c>
      <c r="I962" t="inlineStr">
        <is>
          <t>AUD</t>
        </is>
      </c>
      <c r="J962" t="n">
        <v>5.0778</v>
      </c>
      <c r="K962" s="5" t="inlineStr">
        <is>
          <t>01a1212c-7a4e-776c-9c69-14ee09adb482</t>
        </is>
      </c>
      <c r="L962" s="5" t="inlineStr">
        <is>
          <t>01a1212c-af76-73a3-8cc5-b6a47faf79d7</t>
        </is>
      </c>
      <c r="M962" s="6" t="n">
        <v>45839</v>
      </c>
    </row>
    <row r="963">
      <c r="A963" s="5" t="inlineStr">
        <is>
          <t>01a1212c-b0dc-76de-8927-79e6aeefda3c</t>
        </is>
      </c>
      <c r="D963" s="5" t="inlineStr">
        <is>
          <t>01a1212c-4b57-70cf-80fd-c2192cb3bf81</t>
        </is>
      </c>
      <c r="E963" s="4" t="n">
        <v>46304.62429884647</v>
      </c>
      <c r="F963" s="4" t="n">
        <v>46304.62429884653</v>
      </c>
      <c r="G963" t="b">
        <v>1</v>
      </c>
      <c r="I963" t="inlineStr">
        <is>
          <t>AUD</t>
        </is>
      </c>
      <c r="J963" t="n">
        <v>5.0778</v>
      </c>
      <c r="K963" s="5" t="inlineStr">
        <is>
          <t>01a1212c-7aba-773f-8933-d95c0c800623</t>
        </is>
      </c>
      <c r="L963" s="5" t="inlineStr">
        <is>
          <t>01a1212c-af76-73a3-8cc5-b6a47faf79d7</t>
        </is>
      </c>
      <c r="M963" s="6" t="n">
        <v>45839</v>
      </c>
    </row>
    <row r="964">
      <c r="A964" s="5" t="inlineStr">
        <is>
          <t>01a1212c-b0e2-715d-ac29-2664891d6405</t>
        </is>
      </c>
      <c r="D964" s="5" t="inlineStr">
        <is>
          <t>01a1212c-4b57-70cf-80fd-c2192cb3bf81</t>
        </is>
      </c>
      <c r="E964" s="4" t="n">
        <v>46304.62429891797</v>
      </c>
      <c r="F964" s="4" t="n">
        <v>46304.62429891805</v>
      </c>
      <c r="G964" t="b">
        <v>1</v>
      </c>
      <c r="I964" t="inlineStr">
        <is>
          <t>AUD</t>
        </is>
      </c>
      <c r="J964" t="n">
        <v>5.0778</v>
      </c>
      <c r="K964" s="5" t="inlineStr">
        <is>
          <t>01a1212c-7ae6-75b8-ad0a-3ca0ce21f21f</t>
        </is>
      </c>
      <c r="L964" s="5" t="inlineStr">
        <is>
          <t>01a1212c-af76-73a3-8cc5-b6a47faf79d7</t>
        </is>
      </c>
      <c r="M964" s="6" t="n">
        <v>45839</v>
      </c>
    </row>
    <row r="965">
      <c r="A965" s="5" t="inlineStr">
        <is>
          <t>01a1212c-b0e8-745c-b96a-a701428c5c5f</t>
        </is>
      </c>
      <c r="D965" s="5" t="inlineStr">
        <is>
          <t>01a1212c-4b57-70cf-80fd-c2192cb3bf81</t>
        </is>
      </c>
      <c r="E965" s="4" t="n">
        <v>46304.62429898539</v>
      </c>
      <c r="F965" s="4" t="n">
        <v>46304.62429898545</v>
      </c>
      <c r="G965" t="b">
        <v>1</v>
      </c>
      <c r="I965" t="inlineStr">
        <is>
          <t>AUD</t>
        </is>
      </c>
      <c r="J965" t="n">
        <v>5.642</v>
      </c>
      <c r="K965" s="5" t="inlineStr">
        <is>
          <t>01a1212c-6db6-75c6-a15a-3893db0236e1</t>
        </is>
      </c>
      <c r="L965" s="5" t="inlineStr">
        <is>
          <t>01a1212c-af76-73a3-8cc5-b6a47faf79d7</t>
        </is>
      </c>
      <c r="M965" s="6" t="n">
        <v>45839</v>
      </c>
    </row>
    <row r="966">
      <c r="A966" s="5" t="inlineStr">
        <is>
          <t>01a1212c-b0ee-7091-927a-58851513cd4f</t>
        </is>
      </c>
      <c r="D966" s="5" t="inlineStr">
        <is>
          <t>01a1212c-4b57-70cf-80fd-c2192cb3bf81</t>
        </is>
      </c>
      <c r="E966" s="4" t="n">
        <v>46304.62429905682</v>
      </c>
      <c r="F966" s="4" t="n">
        <v>46304.62429905689</v>
      </c>
      <c r="G966" t="b">
        <v>1</v>
      </c>
      <c r="I966" t="inlineStr">
        <is>
          <t>AUD</t>
        </is>
      </c>
      <c r="J966" t="n">
        <v>5.642</v>
      </c>
      <c r="K966" s="5" t="inlineStr">
        <is>
          <t>01a1212c-7066-75c9-8133-7c1e7c12164e</t>
        </is>
      </c>
      <c r="L966" s="5" t="inlineStr">
        <is>
          <t>01a1212c-af76-73a3-8cc5-b6a47faf79d7</t>
        </is>
      </c>
      <c r="M966" s="6" t="n">
        <v>45839</v>
      </c>
    </row>
    <row r="967">
      <c r="A967" s="5" t="inlineStr">
        <is>
          <t>01a1212c-b0f4-70ee-806f-314bb5c3b00e</t>
        </is>
      </c>
      <c r="D967" s="5" t="inlineStr">
        <is>
          <t>01a1212c-4b57-70cf-80fd-c2192cb3bf81</t>
        </is>
      </c>
      <c r="E967" s="4" t="n">
        <v>46304.62429913211</v>
      </c>
      <c r="F967" s="4" t="n">
        <v>46304.62429913218</v>
      </c>
      <c r="G967" t="b">
        <v>1</v>
      </c>
      <c r="I967" t="inlineStr">
        <is>
          <t>AUD</t>
        </is>
      </c>
      <c r="J967" t="n">
        <v>5.642</v>
      </c>
      <c r="K967" s="5" t="inlineStr">
        <is>
          <t>01a1212c-7142-74d1-a420-87616f78ba3b</t>
        </is>
      </c>
      <c r="L967" s="5" t="inlineStr">
        <is>
          <t>01a1212c-af76-73a3-8cc5-b6a47faf79d7</t>
        </is>
      </c>
      <c r="M967" s="6" t="n">
        <v>45839</v>
      </c>
    </row>
    <row r="968">
      <c r="A968" s="5" t="inlineStr">
        <is>
          <t>01a1212c-b0fb-7601-a5ef-3848b8d212b5</t>
        </is>
      </c>
      <c r="D968" s="5" t="inlineStr">
        <is>
          <t>01a1212c-4b57-70cf-80fd-c2192cb3bf81</t>
        </is>
      </c>
      <c r="E968" s="4" t="n">
        <v>46304.6242992084</v>
      </c>
      <c r="F968" s="4" t="n">
        <v>46304.62429920847</v>
      </c>
      <c r="G968" t="b">
        <v>1</v>
      </c>
      <c r="I968" t="inlineStr">
        <is>
          <t>AUD</t>
        </is>
      </c>
      <c r="J968" t="n">
        <v>5.642</v>
      </c>
      <c r="K968" s="5" t="inlineStr">
        <is>
          <t>01a1212c-7568-7011-9b33-32dc2471f741</t>
        </is>
      </c>
      <c r="L968" s="5" t="inlineStr">
        <is>
          <t>01a1212c-af76-73a3-8cc5-b6a47faf79d7</t>
        </is>
      </c>
      <c r="M968" s="6" t="n">
        <v>45839</v>
      </c>
    </row>
    <row r="969">
      <c r="A969" s="5" t="inlineStr">
        <is>
          <t>01a1212c-b101-7154-bbb3-8e72b6ddc32f</t>
        </is>
      </c>
      <c r="D969" s="5" t="inlineStr">
        <is>
          <t>01a1212c-4b57-70cf-80fd-c2192cb3bf81</t>
        </is>
      </c>
      <c r="E969" s="4" t="n">
        <v>46304.62429927986</v>
      </c>
      <c r="F969" s="4" t="n">
        <v>46304.62429927993</v>
      </c>
      <c r="G969" t="b">
        <v>1</v>
      </c>
      <c r="I969" t="inlineStr">
        <is>
          <t>AUD</t>
        </is>
      </c>
      <c r="J969" t="n">
        <v>5.642</v>
      </c>
      <c r="K969" s="5" t="inlineStr">
        <is>
          <t>01a1212c-7763-764e-af0c-10fe2c5a19d7</t>
        </is>
      </c>
      <c r="L969" s="5" t="inlineStr">
        <is>
          <t>01a1212c-af76-73a3-8cc5-b6a47faf79d7</t>
        </is>
      </c>
      <c r="M969" s="6" t="n">
        <v>45839</v>
      </c>
    </row>
    <row r="970">
      <c r="A970" s="5" t="inlineStr">
        <is>
          <t>01a1212c-b107-77fb-8098-377395fa9341</t>
        </is>
      </c>
      <c r="D970" s="5" t="inlineStr">
        <is>
          <t>01a1212c-4b57-70cf-80fd-c2192cb3bf81</t>
        </is>
      </c>
      <c r="E970" s="4" t="n">
        <v>46304.62429935227</v>
      </c>
      <c r="F970" s="4" t="n">
        <v>46304.62429935237</v>
      </c>
      <c r="G970" t="b">
        <v>1</v>
      </c>
      <c r="I970" t="inlineStr">
        <is>
          <t>AUD</t>
        </is>
      </c>
      <c r="J970" t="n">
        <v>5.642</v>
      </c>
      <c r="K970" s="5" t="inlineStr">
        <is>
          <t>01a1212c-7bab-728a-9e77-14d2820bca2b</t>
        </is>
      </c>
      <c r="L970" s="5" t="inlineStr">
        <is>
          <t>01a1212c-af76-73a3-8cc5-b6a47faf79d7</t>
        </is>
      </c>
      <c r="M970" s="6" t="n">
        <v>45839</v>
      </c>
    </row>
    <row r="971">
      <c r="A971" s="5" t="inlineStr">
        <is>
          <t>01a1212c-b10d-74df-bb30-67a352bf05d5</t>
        </is>
      </c>
      <c r="D971" s="5" t="inlineStr">
        <is>
          <t>01a1212c-4b57-70cf-80fd-c2192cb3bf81</t>
        </is>
      </c>
      <c r="E971" s="4" t="n">
        <v>46304.62429941892</v>
      </c>
      <c r="F971" s="4" t="n">
        <v>46304.624299419</v>
      </c>
      <c r="G971" t="b">
        <v>1</v>
      </c>
      <c r="I971" t="inlineStr">
        <is>
          <t>AUD</t>
        </is>
      </c>
      <c r="J971" t="n">
        <v>5.642</v>
      </c>
      <c r="K971" s="5" t="inlineStr">
        <is>
          <t>01a1212c-7c7d-7144-a080-456c2a726f23</t>
        </is>
      </c>
      <c r="L971" s="5" t="inlineStr">
        <is>
          <t>01a1212c-af76-73a3-8cc5-b6a47faf79d7</t>
        </is>
      </c>
      <c r="M971" s="6" t="n">
        <v>45839</v>
      </c>
    </row>
    <row r="972">
      <c r="A972" s="5" t="inlineStr">
        <is>
          <t>01a1212c-b113-767a-9bb1-6c54b6c6e414</t>
        </is>
      </c>
      <c r="D972" s="5" t="inlineStr">
        <is>
          <t>01a1212c-4b57-70cf-80fd-c2192cb3bf81</t>
        </is>
      </c>
      <c r="E972" s="4" t="n">
        <v>46304.62429948666</v>
      </c>
      <c r="F972" s="4" t="n">
        <v>46304.62429948673</v>
      </c>
      <c r="G972" t="b">
        <v>1</v>
      </c>
      <c r="I972" t="inlineStr">
        <is>
          <t>AUD</t>
        </is>
      </c>
      <c r="J972" t="n">
        <v>5.642</v>
      </c>
      <c r="K972" s="5" t="inlineStr">
        <is>
          <t>01a1212c-7cc3-710b-ba9e-bdab308c142d</t>
        </is>
      </c>
      <c r="L972" s="5" t="inlineStr">
        <is>
          <t>01a1212c-af76-73a3-8cc5-b6a47faf79d7</t>
        </is>
      </c>
      <c r="M972" s="6" t="n">
        <v>45839</v>
      </c>
    </row>
    <row r="973">
      <c r="A973" s="5" t="inlineStr">
        <is>
          <t>01a1212c-b119-7346-8217-204e75c075c3</t>
        </is>
      </c>
      <c r="D973" s="5" t="inlineStr">
        <is>
          <t>01a1212c-4b57-70cf-80fd-c2192cb3bf81</t>
        </is>
      </c>
      <c r="E973" s="4" t="n">
        <v>46304.6242995558</v>
      </c>
      <c r="F973" s="4" t="n">
        <v>46304.62429955587</v>
      </c>
      <c r="G973" t="b">
        <v>1</v>
      </c>
      <c r="I973" t="inlineStr">
        <is>
          <t>AUD</t>
        </is>
      </c>
      <c r="J973" t="n">
        <v>5.642</v>
      </c>
      <c r="K973" s="5" t="inlineStr">
        <is>
          <t>01a1212c-7dfb-75d7-ba94-122fd9117b76</t>
        </is>
      </c>
      <c r="L973" s="5" t="inlineStr">
        <is>
          <t>01a1212c-af76-73a3-8cc5-b6a47faf79d7</t>
        </is>
      </c>
      <c r="M973" s="6" t="n">
        <v>45839</v>
      </c>
    </row>
    <row r="974">
      <c r="A974" s="5" t="inlineStr">
        <is>
          <t>01a1212c-b11f-7457-b537-db575f1fb03e</t>
        </is>
      </c>
      <c r="D974" s="5" t="inlineStr">
        <is>
          <t>01a1212c-4b57-70cf-80fd-c2192cb3bf81</t>
        </is>
      </c>
      <c r="E974" s="4" t="n">
        <v>46304.62429962766</v>
      </c>
      <c r="F974" s="4" t="n">
        <v>46304.62429962773</v>
      </c>
      <c r="G974" t="b">
        <v>1</v>
      </c>
      <c r="I974" t="inlineStr">
        <is>
          <t>AUD</t>
        </is>
      </c>
      <c r="J974" t="n">
        <v>5.642</v>
      </c>
      <c r="K974" s="5" t="inlineStr">
        <is>
          <t>01a1212c-7fa4-7173-99b5-867d9d063b1f</t>
        </is>
      </c>
      <c r="L974" s="5" t="inlineStr">
        <is>
          <t>01a1212c-af76-73a3-8cc5-b6a47faf79d7</t>
        </is>
      </c>
      <c r="M974" s="6" t="n">
        <v>45839</v>
      </c>
    </row>
    <row r="975">
      <c r="A975" s="5" t="inlineStr">
        <is>
          <t>01a1212c-b125-7660-be5d-389a89608590</t>
        </is>
      </c>
      <c r="D975" s="5" t="inlineStr">
        <is>
          <t>01a1212c-4b57-70cf-80fd-c2192cb3bf81</t>
        </is>
      </c>
      <c r="E975" s="4" t="n">
        <v>46304.62429969959</v>
      </c>
      <c r="F975" s="4" t="n">
        <v>46304.62429969965</v>
      </c>
      <c r="G975" t="b">
        <v>1</v>
      </c>
      <c r="I975" t="inlineStr">
        <is>
          <t>AUD</t>
        </is>
      </c>
      <c r="J975" t="n">
        <v>5.642</v>
      </c>
      <c r="K975" s="5" t="inlineStr">
        <is>
          <t>01a1212c-8054-7378-8841-54bfa8d8dc2e</t>
        </is>
      </c>
      <c r="L975" s="5" t="inlineStr">
        <is>
          <t>01a1212c-af76-73a3-8cc5-b6a47faf79d7</t>
        </is>
      </c>
      <c r="M975" s="6" t="n">
        <v>45839</v>
      </c>
    </row>
    <row r="976">
      <c r="A976" s="5" t="inlineStr">
        <is>
          <t>01a1212c-b12b-76b8-9686-4253c13b1841</t>
        </is>
      </c>
      <c r="D976" s="5" t="inlineStr">
        <is>
          <t>01a1212c-4b57-70cf-80fd-c2192cb3bf81</t>
        </is>
      </c>
      <c r="E976" s="4" t="n">
        <v>46304.62429976777</v>
      </c>
      <c r="F976" s="4" t="n">
        <v>46304.62429976793</v>
      </c>
      <c r="G976" t="b">
        <v>1</v>
      </c>
      <c r="I976" t="inlineStr">
        <is>
          <t>AUD</t>
        </is>
      </c>
      <c r="J976" t="n">
        <v>6.2062</v>
      </c>
      <c r="K976" s="5" t="inlineStr">
        <is>
          <t>01a1212c-7e7b-76c0-818c-fef3acac6fca</t>
        </is>
      </c>
      <c r="L976" s="5" t="inlineStr">
        <is>
          <t>01a1212c-af76-73a3-8cc5-b6a47faf79d7</t>
        </is>
      </c>
      <c r="M976" s="6" t="n">
        <v>45839</v>
      </c>
    </row>
    <row r="977">
      <c r="A977" s="5" t="inlineStr">
        <is>
          <t>01a1212c-b132-75df-af9a-26e3e4bcc773</t>
        </is>
      </c>
      <c r="D977" s="5" t="inlineStr">
        <is>
          <t>01a1212c-4b57-70cf-80fd-c2192cb3bf81</t>
        </is>
      </c>
      <c r="E977" s="4" t="n">
        <v>46304.62429984148</v>
      </c>
      <c r="F977" s="4" t="n">
        <v>46304.62429984156</v>
      </c>
      <c r="G977" t="b">
        <v>1</v>
      </c>
      <c r="I977" t="inlineStr">
        <is>
          <t>AUD</t>
        </is>
      </c>
      <c r="J977" t="n">
        <v>6.7704</v>
      </c>
      <c r="K977" s="5" t="inlineStr">
        <is>
          <t>01a1212c-6e0b-74a6-b1c4-92fd51554f70</t>
        </is>
      </c>
      <c r="L977" s="5" t="inlineStr">
        <is>
          <t>01a1212c-af76-73a3-8cc5-b6a47faf79d7</t>
        </is>
      </c>
      <c r="M977" s="6" t="n">
        <v>45839</v>
      </c>
    </row>
    <row r="978">
      <c r="A978" s="5" t="inlineStr">
        <is>
          <t>01a1212c-b138-70ab-8dd4-cf8bb86f1586</t>
        </is>
      </c>
      <c r="D978" s="5" t="inlineStr">
        <is>
          <t>01a1212c-4b57-70cf-80fd-c2192cb3bf81</t>
        </is>
      </c>
      <c r="E978" s="4" t="n">
        <v>46304.6242999126</v>
      </c>
      <c r="F978" s="4" t="n">
        <v>46304.62429991268</v>
      </c>
      <c r="G978" t="b">
        <v>1</v>
      </c>
      <c r="I978" t="inlineStr">
        <is>
          <t>AUD</t>
        </is>
      </c>
      <c r="J978" t="n">
        <v>6.7704</v>
      </c>
      <c r="K978" s="5" t="inlineStr">
        <is>
          <t>01a1212c-7b10-774c-b58c-697160097ba7</t>
        </is>
      </c>
      <c r="L978" s="5" t="inlineStr">
        <is>
          <t>01a1212c-af76-73a3-8cc5-b6a47faf79d7</t>
        </is>
      </c>
      <c r="M978" s="6" t="n">
        <v>45839</v>
      </c>
    </row>
    <row r="979">
      <c r="A979" s="5" t="inlineStr">
        <is>
          <t>01a1212c-b13e-7120-a7cd-b0a5cb590e90</t>
        </is>
      </c>
      <c r="D979" s="5" t="inlineStr">
        <is>
          <t>01a1212c-4b57-70cf-80fd-c2192cb3bf81</t>
        </is>
      </c>
      <c r="E979" s="4" t="n">
        <v>46304.62429998235</v>
      </c>
      <c r="F979" s="4" t="n">
        <v>46304.62429998242</v>
      </c>
      <c r="G979" t="b">
        <v>1</v>
      </c>
      <c r="I979" t="inlineStr">
        <is>
          <t>AUD</t>
        </is>
      </c>
      <c r="J979" t="n">
        <v>6.7704</v>
      </c>
      <c r="K979" s="5" t="inlineStr">
        <is>
          <t>01a1212c-7db7-7326-bd92-bfd54a0d5780</t>
        </is>
      </c>
      <c r="L979" s="5" t="inlineStr">
        <is>
          <t>01a1212c-af76-73a3-8cc5-b6a47faf79d7</t>
        </is>
      </c>
      <c r="M979" s="6" t="n">
        <v>45839</v>
      </c>
    </row>
    <row r="980">
      <c r="A980" s="5" t="inlineStr">
        <is>
          <t>01a1212c-b144-7053-9258-f46eb44357f3</t>
        </is>
      </c>
      <c r="D980" s="5" t="inlineStr">
        <is>
          <t>01a1212c-4b57-70cf-80fd-c2192cb3bf81</t>
        </is>
      </c>
      <c r="E980" s="4" t="n">
        <v>46304.62430005154</v>
      </c>
      <c r="F980" s="4" t="n">
        <v>46304.62430005162</v>
      </c>
      <c r="G980" t="b">
        <v>1</v>
      </c>
      <c r="I980" t="inlineStr">
        <is>
          <t>AUD</t>
        </is>
      </c>
      <c r="J980" t="n">
        <v>6.7704</v>
      </c>
      <c r="K980" s="5" t="inlineStr">
        <is>
          <t>01a1212c-818a-75a0-8b3e-376743b5bf4a</t>
        </is>
      </c>
      <c r="L980" s="5" t="inlineStr">
        <is>
          <t>01a1212c-af76-73a3-8cc5-b6a47faf79d7</t>
        </is>
      </c>
      <c r="M980" s="6" t="n">
        <v>45839</v>
      </c>
    </row>
    <row r="981">
      <c r="A981" s="5" t="inlineStr">
        <is>
          <t>01a1212c-b14a-7118-a76d-5ec09fbb95d8</t>
        </is>
      </c>
      <c r="D981" s="5" t="inlineStr">
        <is>
          <t>01a1212c-4b57-70cf-80fd-c2192cb3bf81</t>
        </is>
      </c>
      <c r="E981" s="4" t="n">
        <v>46304.62430012017</v>
      </c>
      <c r="F981" s="4" t="n">
        <v>46304.62430012025</v>
      </c>
      <c r="G981" t="b">
        <v>1</v>
      </c>
      <c r="I981" t="inlineStr">
        <is>
          <t>AUD</t>
        </is>
      </c>
      <c r="J981" t="n">
        <v>7.3346</v>
      </c>
      <c r="K981" s="5" t="inlineStr">
        <is>
          <t>01a1212c-6d76-76a9-b3fa-2e49f1ec83bd</t>
        </is>
      </c>
      <c r="L981" s="5" t="inlineStr">
        <is>
          <t>01a1212c-af76-73a3-8cc5-b6a47faf79d7</t>
        </is>
      </c>
      <c r="M981" s="6" t="n">
        <v>45839</v>
      </c>
    </row>
    <row r="982">
      <c r="A982" s="5" t="inlineStr">
        <is>
          <t>01a1212c-b150-73e1-9f18-204ef1ac755a</t>
        </is>
      </c>
      <c r="D982" s="5" t="inlineStr">
        <is>
          <t>01a1212c-4b57-70cf-80fd-c2192cb3bf81</t>
        </is>
      </c>
      <c r="E982" s="4" t="n">
        <v>46304.62430018857</v>
      </c>
      <c r="F982" s="4" t="n">
        <v>46304.62430018863</v>
      </c>
      <c r="G982" t="b">
        <v>1</v>
      </c>
      <c r="I982" t="inlineStr">
        <is>
          <t>AUD</t>
        </is>
      </c>
      <c r="J982" t="n">
        <v>7.3346</v>
      </c>
      <c r="K982" s="5" t="inlineStr">
        <is>
          <t>01a1212c-6efd-73be-a0d7-c82e3f8af4ac</t>
        </is>
      </c>
      <c r="L982" s="5" t="inlineStr">
        <is>
          <t>01a1212c-af76-73a3-8cc5-b6a47faf79d7</t>
        </is>
      </c>
      <c r="M982" s="6" t="n">
        <v>45839</v>
      </c>
    </row>
    <row r="983">
      <c r="A983" s="5" t="inlineStr">
        <is>
          <t>01a1212c-b155-7466-8114-2c83630432bb</t>
        </is>
      </c>
      <c r="D983" s="5" t="inlineStr">
        <is>
          <t>01a1212c-4b57-70cf-80fd-c2192cb3bf81</t>
        </is>
      </c>
      <c r="E983" s="4" t="n">
        <v>46304.62430025436</v>
      </c>
      <c r="F983" s="4" t="n">
        <v>46304.62430025444</v>
      </c>
      <c r="G983" t="b">
        <v>1</v>
      </c>
      <c r="I983" t="inlineStr">
        <is>
          <t>AUD</t>
        </is>
      </c>
      <c r="J983" t="n">
        <v>7.3346</v>
      </c>
      <c r="K983" s="5" t="inlineStr">
        <is>
          <t>01a1212c-70d6-7608-9b7d-a9f3b20fcd42</t>
        </is>
      </c>
      <c r="L983" s="5" t="inlineStr">
        <is>
          <t>01a1212c-af76-73a3-8cc5-b6a47faf79d7</t>
        </is>
      </c>
      <c r="M983" s="6" t="n">
        <v>45839</v>
      </c>
    </row>
    <row r="984">
      <c r="A984" s="5" t="inlineStr">
        <is>
          <t>01a1212c-b15b-7739-b2dc-9167ca594ae0</t>
        </is>
      </c>
      <c r="D984" s="5" t="inlineStr">
        <is>
          <t>01a1212c-4b57-70cf-80fd-c2192cb3bf81</t>
        </is>
      </c>
      <c r="E984" s="4" t="n">
        <v>46304.62430032356</v>
      </c>
      <c r="F984" s="4" t="n">
        <v>46304.62430032365</v>
      </c>
      <c r="G984" t="b">
        <v>1</v>
      </c>
      <c r="I984" t="inlineStr">
        <is>
          <t>AUD</t>
        </is>
      </c>
      <c r="J984" t="n">
        <v>7.3346</v>
      </c>
      <c r="K984" s="5" t="inlineStr">
        <is>
          <t>01a1212c-7102-774f-b90a-23a16e3eac92</t>
        </is>
      </c>
      <c r="L984" s="5" t="inlineStr">
        <is>
          <t>01a1212c-af76-73a3-8cc5-b6a47faf79d7</t>
        </is>
      </c>
      <c r="M984" s="6" t="n">
        <v>45839</v>
      </c>
    </row>
    <row r="985">
      <c r="A985" s="5" t="inlineStr">
        <is>
          <t>01a1212c-b162-76f7-a427-e9bbe13b4d67</t>
        </is>
      </c>
      <c r="D985" s="5" t="inlineStr">
        <is>
          <t>01a1212c-4b57-70cf-80fd-c2192cb3bf81</t>
        </is>
      </c>
      <c r="E985" s="4" t="n">
        <v>46304.62430039486</v>
      </c>
      <c r="F985" s="4" t="n">
        <v>46304.62430039493</v>
      </c>
      <c r="G985" t="b">
        <v>1</v>
      </c>
      <c r="I985" t="inlineStr">
        <is>
          <t>AUD</t>
        </is>
      </c>
      <c r="J985" t="n">
        <v>7.3346</v>
      </c>
      <c r="K985" s="5" t="inlineStr">
        <is>
          <t>01a1212c-72fa-746a-b6d8-923ee91edd31</t>
        </is>
      </c>
      <c r="L985" s="5" t="inlineStr">
        <is>
          <t>01a1212c-af76-73a3-8cc5-b6a47faf79d7</t>
        </is>
      </c>
      <c r="M985" s="6" t="n">
        <v>45839</v>
      </c>
    </row>
    <row r="986">
      <c r="A986" s="5" t="inlineStr">
        <is>
          <t>01a1212c-b167-7526-a998-a2d3cfc8467e</t>
        </is>
      </c>
      <c r="D986" s="5" t="inlineStr">
        <is>
          <t>01a1212c-4b57-70cf-80fd-c2192cb3bf81</t>
        </is>
      </c>
      <c r="E986" s="4" t="n">
        <v>46304.62430046277</v>
      </c>
      <c r="F986" s="4" t="n">
        <v>46304.62430046283</v>
      </c>
      <c r="G986" t="b">
        <v>1</v>
      </c>
      <c r="I986" t="inlineStr">
        <is>
          <t>AUD</t>
        </is>
      </c>
      <c r="J986" t="n">
        <v>7.3346</v>
      </c>
      <c r="K986" s="5" t="inlineStr">
        <is>
          <t>01a1212c-7327-74d8-96b9-c942c63d839c</t>
        </is>
      </c>
      <c r="L986" s="5" t="inlineStr">
        <is>
          <t>01a1212c-af76-73a3-8cc5-b6a47faf79d7</t>
        </is>
      </c>
      <c r="M986" s="6" t="n">
        <v>45839</v>
      </c>
    </row>
    <row r="987">
      <c r="A987" s="5" t="inlineStr">
        <is>
          <t>01a1212c-b16d-7571-a022-1bc8de59e0dd</t>
        </is>
      </c>
      <c r="D987" s="5" t="inlineStr">
        <is>
          <t>01a1212c-4b57-70cf-80fd-c2192cb3bf81</t>
        </is>
      </c>
      <c r="E987" s="4" t="n">
        <v>46304.62430053315</v>
      </c>
      <c r="F987" s="4" t="n">
        <v>46304.62430053321</v>
      </c>
      <c r="G987" t="b">
        <v>1</v>
      </c>
      <c r="I987" t="inlineStr">
        <is>
          <t>AUD</t>
        </is>
      </c>
      <c r="J987" t="n">
        <v>7.3346</v>
      </c>
      <c r="K987" s="5" t="inlineStr">
        <is>
          <t>01a1212c-7381-769a-8076-e7b050fbdfd3</t>
        </is>
      </c>
      <c r="L987" s="5" t="inlineStr">
        <is>
          <t>01a1212c-af76-73a3-8cc5-b6a47faf79d7</t>
        </is>
      </c>
      <c r="M987" s="6" t="n">
        <v>45839</v>
      </c>
    </row>
    <row r="988">
      <c r="A988" s="5" t="inlineStr">
        <is>
          <t>01a1212c-b173-7291-aa83-fc690d19aba5</t>
        </is>
      </c>
      <c r="D988" s="5" t="inlineStr">
        <is>
          <t>01a1212c-4b57-70cf-80fd-c2192cb3bf81</t>
        </is>
      </c>
      <c r="E988" s="4" t="n">
        <v>46304.62430059833</v>
      </c>
      <c r="F988" s="4" t="n">
        <v>46304.62430059839</v>
      </c>
      <c r="G988" t="b">
        <v>1</v>
      </c>
      <c r="I988" t="inlineStr">
        <is>
          <t>AUD</t>
        </is>
      </c>
      <c r="J988" t="n">
        <v>7.3346</v>
      </c>
      <c r="K988" s="5" t="inlineStr">
        <is>
          <t>01a1212c-74d0-7378-b4d7-9789d59f4dc6</t>
        </is>
      </c>
      <c r="L988" s="5" t="inlineStr">
        <is>
          <t>01a1212c-af76-73a3-8cc5-b6a47faf79d7</t>
        </is>
      </c>
      <c r="M988" s="6" t="n">
        <v>45839</v>
      </c>
    </row>
    <row r="989">
      <c r="A989" s="5" t="inlineStr">
        <is>
          <t>01a1212c-b179-762c-ad20-27f8acc6842a</t>
        </is>
      </c>
      <c r="D989" s="5" t="inlineStr">
        <is>
          <t>01a1212c-4b57-70cf-80fd-c2192cb3bf81</t>
        </is>
      </c>
      <c r="E989" s="4" t="n">
        <v>46304.62430066599</v>
      </c>
      <c r="F989" s="4" t="n">
        <v>46304.62430066605</v>
      </c>
      <c r="G989" t="b">
        <v>1</v>
      </c>
      <c r="I989" t="inlineStr">
        <is>
          <t>AUD</t>
        </is>
      </c>
      <c r="J989" t="n">
        <v>7.3346</v>
      </c>
      <c r="K989" s="5" t="inlineStr">
        <is>
          <t>01a1212c-752a-73d9-a17f-d259f6529c46</t>
        </is>
      </c>
      <c r="L989" s="5" t="inlineStr">
        <is>
          <t>01a1212c-af76-73a3-8cc5-b6a47faf79d7</t>
        </is>
      </c>
      <c r="M989" s="6" t="n">
        <v>45839</v>
      </c>
    </row>
    <row r="990">
      <c r="A990" s="5" t="inlineStr">
        <is>
          <t>01a1212c-b17f-7039-8a76-2577507de398</t>
        </is>
      </c>
      <c r="D990" s="5" t="inlineStr">
        <is>
          <t>01a1212c-4b57-70cf-80fd-c2192cb3bf81</t>
        </is>
      </c>
      <c r="E990" s="4" t="n">
        <v>46304.62430073684</v>
      </c>
      <c r="F990" s="4" t="n">
        <v>46304.62430073691</v>
      </c>
      <c r="G990" t="b">
        <v>1</v>
      </c>
      <c r="I990" t="inlineStr">
        <is>
          <t>AUD</t>
        </is>
      </c>
      <c r="J990" t="n">
        <v>7.3346</v>
      </c>
      <c r="K990" s="5" t="inlineStr">
        <is>
          <t>01a1212c-75d7-729a-8044-f297ce4ce9a3</t>
        </is>
      </c>
      <c r="L990" s="5" t="inlineStr">
        <is>
          <t>01a1212c-af76-73a3-8cc5-b6a47faf79d7</t>
        </is>
      </c>
      <c r="M990" s="6" t="n">
        <v>45839</v>
      </c>
    </row>
    <row r="991">
      <c r="A991" s="5" t="inlineStr">
        <is>
          <t>01a1212c-b185-741e-894e-221b79e18740</t>
        </is>
      </c>
      <c r="D991" s="5" t="inlineStr">
        <is>
          <t>01a1212c-4b57-70cf-80fd-c2192cb3bf81</t>
        </is>
      </c>
      <c r="E991" s="4" t="n">
        <v>46304.62430080502</v>
      </c>
      <c r="F991" s="4" t="n">
        <v>46304.6243008051</v>
      </c>
      <c r="G991" t="b">
        <v>1</v>
      </c>
      <c r="I991" t="inlineStr">
        <is>
          <t>AUD</t>
        </is>
      </c>
      <c r="J991" t="n">
        <v>7.3346</v>
      </c>
      <c r="K991" s="5" t="inlineStr">
        <is>
          <t>01a1212c-7645-77ff-9286-d1f48bd9680e</t>
        </is>
      </c>
      <c r="L991" s="5" t="inlineStr">
        <is>
          <t>01a1212c-af76-73a3-8cc5-b6a47faf79d7</t>
        </is>
      </c>
      <c r="M991" s="6" t="n">
        <v>45839</v>
      </c>
    </row>
    <row r="992">
      <c r="A992" s="5" t="inlineStr">
        <is>
          <t>01a1212c-b18b-773f-aa5b-427a6ee93748</t>
        </is>
      </c>
      <c r="D992" s="5" t="inlineStr">
        <is>
          <t>01a1212c-4b57-70cf-80fd-c2192cb3bf81</t>
        </is>
      </c>
      <c r="E992" s="4" t="n">
        <v>46304.62430087342</v>
      </c>
      <c r="F992" s="4" t="n">
        <v>46304.6243008735</v>
      </c>
      <c r="G992" t="b">
        <v>1</v>
      </c>
      <c r="I992" t="inlineStr">
        <is>
          <t>AUD</t>
        </is>
      </c>
      <c r="J992" t="n">
        <v>7.3346</v>
      </c>
      <c r="K992" s="5" t="inlineStr">
        <is>
          <t>01a1212c-76dd-74f8-b495-e2012fee9273</t>
        </is>
      </c>
      <c r="L992" s="5" t="inlineStr">
        <is>
          <t>01a1212c-af76-73a3-8cc5-b6a47faf79d7</t>
        </is>
      </c>
      <c r="M992" s="6" t="n">
        <v>45839</v>
      </c>
    </row>
    <row r="993">
      <c r="A993" s="5" t="inlineStr">
        <is>
          <t>01a1212c-b191-74ca-ba52-d541b55f0a33</t>
        </is>
      </c>
      <c r="D993" s="5" t="inlineStr">
        <is>
          <t>01a1212c-4b57-70cf-80fd-c2192cb3bf81</t>
        </is>
      </c>
      <c r="E993" s="4" t="n">
        <v>46304.62430094104</v>
      </c>
      <c r="F993" s="4" t="n">
        <v>46304.62430094111</v>
      </c>
      <c r="G993" t="b">
        <v>1</v>
      </c>
      <c r="I993" t="inlineStr">
        <is>
          <t>AUD</t>
        </is>
      </c>
      <c r="J993" t="n">
        <v>7.3346</v>
      </c>
      <c r="K993" s="5" t="inlineStr">
        <is>
          <t>01a1212c-796e-75fc-b53f-4202c06e06b7</t>
        </is>
      </c>
      <c r="L993" s="5" t="inlineStr">
        <is>
          <t>01a1212c-af76-73a3-8cc5-b6a47faf79d7</t>
        </is>
      </c>
      <c r="M993" s="6" t="n">
        <v>45839</v>
      </c>
    </row>
    <row r="994">
      <c r="A994" s="5" t="inlineStr">
        <is>
          <t>01a1212c-b196-7018-8e8e-9958912b858f</t>
        </is>
      </c>
      <c r="D994" s="5" t="inlineStr">
        <is>
          <t>01a1212c-4b57-70cf-80fd-c2192cb3bf81</t>
        </is>
      </c>
      <c r="E994" s="4" t="n">
        <v>46304.62430100687</v>
      </c>
      <c r="F994" s="4" t="n">
        <v>46304.62430100694</v>
      </c>
      <c r="G994" t="b">
        <v>1</v>
      </c>
      <c r="I994" t="inlineStr">
        <is>
          <t>AUD</t>
        </is>
      </c>
      <c r="J994" t="n">
        <v>7.3346</v>
      </c>
      <c r="K994" s="5" t="inlineStr">
        <is>
          <t>01a1212c-79f3-735a-99c2-9a23d450ed58</t>
        </is>
      </c>
      <c r="L994" s="5" t="inlineStr">
        <is>
          <t>01a1212c-af76-73a3-8cc5-b6a47faf79d7</t>
        </is>
      </c>
      <c r="M994" s="6" t="n">
        <v>45839</v>
      </c>
    </row>
    <row r="995">
      <c r="A995" s="5" t="inlineStr">
        <is>
          <t>01a1212c-b19c-77c0-b092-9114538cc6b6</t>
        </is>
      </c>
      <c r="D995" s="5" t="inlineStr">
        <is>
          <t>01a1212c-4b57-70cf-80fd-c2192cb3bf81</t>
        </is>
      </c>
      <c r="E995" s="4" t="n">
        <v>46304.62430107609</v>
      </c>
      <c r="F995" s="4" t="n">
        <v>46304.62430107616</v>
      </c>
      <c r="G995" t="b">
        <v>1</v>
      </c>
      <c r="I995" t="inlineStr">
        <is>
          <t>AUD</t>
        </is>
      </c>
      <c r="J995" t="n">
        <v>7.3346</v>
      </c>
      <c r="K995" s="5" t="inlineStr">
        <is>
          <t>01a1212c-7bd4-7438-9057-10216465237d</t>
        </is>
      </c>
      <c r="L995" s="5" t="inlineStr">
        <is>
          <t>01a1212c-af76-73a3-8cc5-b6a47faf79d7</t>
        </is>
      </c>
      <c r="M995" s="6" t="n">
        <v>45839</v>
      </c>
    </row>
    <row r="996">
      <c r="A996" s="5" t="inlineStr">
        <is>
          <t>01a1212c-b1a2-7072-a48d-90c4e708ad78</t>
        </is>
      </c>
      <c r="D996" s="5" t="inlineStr">
        <is>
          <t>01a1212c-4b57-70cf-80fd-c2192cb3bf81</t>
        </is>
      </c>
      <c r="E996" s="4" t="n">
        <v>46304.62430114398</v>
      </c>
      <c r="F996" s="4" t="n">
        <v>46304.62430114405</v>
      </c>
      <c r="G996" t="b">
        <v>1</v>
      </c>
      <c r="I996" t="inlineStr">
        <is>
          <t>AUD</t>
        </is>
      </c>
      <c r="J996" t="n">
        <v>7.3346</v>
      </c>
      <c r="K996" s="5" t="inlineStr">
        <is>
          <t>01a1212c-7d76-712c-8870-92d0cd93b8d1</t>
        </is>
      </c>
      <c r="L996" s="5" t="inlineStr">
        <is>
          <t>01a1212c-af76-73a3-8cc5-b6a47faf79d7</t>
        </is>
      </c>
      <c r="M996" s="6" t="n">
        <v>45839</v>
      </c>
    </row>
    <row r="997">
      <c r="A997" s="5" t="inlineStr">
        <is>
          <t>01a1212c-b1a8-738c-a5e7-6e8fa5c336b1</t>
        </is>
      </c>
      <c r="D997" s="5" t="inlineStr">
        <is>
          <t>01a1212c-4b57-70cf-80fd-c2192cb3bf81</t>
        </is>
      </c>
      <c r="E997" s="4" t="n">
        <v>46304.62430121165</v>
      </c>
      <c r="F997" s="4" t="n">
        <v>46304.62430121171</v>
      </c>
      <c r="G997" t="b">
        <v>1</v>
      </c>
      <c r="I997" t="inlineStr">
        <is>
          <t>AUD</t>
        </is>
      </c>
      <c r="J997" t="n">
        <v>7.8988</v>
      </c>
      <c r="K997" s="5" t="inlineStr">
        <is>
          <t>01a1212c-6f3f-76d2-bfcb-3c0b514d7327</t>
        </is>
      </c>
      <c r="L997" s="5" t="inlineStr">
        <is>
          <t>01a1212c-af76-73a3-8cc5-b6a47faf79d7</t>
        </is>
      </c>
      <c r="M997" s="6" t="n">
        <v>45839</v>
      </c>
    </row>
    <row r="998">
      <c r="A998" s="5" t="inlineStr">
        <is>
          <t>01a1212c-b1ae-7079-9f8d-ce12d2d4e926</t>
        </is>
      </c>
      <c r="D998" s="5" t="inlineStr">
        <is>
          <t>01a1212c-4b57-70cf-80fd-c2192cb3bf81</t>
        </is>
      </c>
      <c r="E998" s="4" t="n">
        <v>46304.62430127981</v>
      </c>
      <c r="F998" s="4" t="n">
        <v>46304.62430127989</v>
      </c>
      <c r="G998" t="b">
        <v>1</v>
      </c>
      <c r="I998" t="inlineStr">
        <is>
          <t>AUD</t>
        </is>
      </c>
      <c r="J998" t="n">
        <v>7.8988</v>
      </c>
      <c r="K998" s="5" t="inlineStr">
        <is>
          <t>01a1212c-6feb-74aa-bf31-ee2f8fd37754</t>
        </is>
      </c>
      <c r="L998" s="5" t="inlineStr">
        <is>
          <t>01a1212c-af76-73a3-8cc5-b6a47faf79d7</t>
        </is>
      </c>
      <c r="M998" s="6" t="n">
        <v>45839</v>
      </c>
    </row>
    <row r="999">
      <c r="A999" s="5" t="inlineStr">
        <is>
          <t>01a1212c-b1b4-71ea-b885-590127c42152</t>
        </is>
      </c>
      <c r="D999" s="5" t="inlineStr">
        <is>
          <t>01a1212c-4b57-70cf-80fd-c2192cb3bf81</t>
        </is>
      </c>
      <c r="E999" s="4" t="n">
        <v>46304.62430134739</v>
      </c>
      <c r="F999" s="4" t="n">
        <v>46304.62430134744</v>
      </c>
      <c r="G999" t="b">
        <v>1</v>
      </c>
      <c r="I999" t="inlineStr">
        <is>
          <t>AUD</t>
        </is>
      </c>
      <c r="J999" t="n">
        <v>7.8988</v>
      </c>
      <c r="K999" s="5" t="inlineStr">
        <is>
          <t>01a1212c-7028-718e-b2ce-9f6f2a580d3c</t>
        </is>
      </c>
      <c r="L999" s="5" t="inlineStr">
        <is>
          <t>01a1212c-af76-73a3-8cc5-b6a47faf79d7</t>
        </is>
      </c>
      <c r="M999" s="6" t="n">
        <v>45839</v>
      </c>
    </row>
    <row r="1000">
      <c r="A1000" s="5" t="inlineStr">
        <is>
          <t>01a1212c-b1ba-7428-a0f6-34da57499b06</t>
        </is>
      </c>
      <c r="D1000" s="5" t="inlineStr">
        <is>
          <t>01a1212c-4b57-70cf-80fd-c2192cb3bf81</t>
        </is>
      </c>
      <c r="E1000" s="4" t="n">
        <v>46304.62430141443</v>
      </c>
      <c r="F1000" s="4" t="n">
        <v>46304.6243014145</v>
      </c>
      <c r="G1000" t="b">
        <v>1</v>
      </c>
      <c r="I1000" t="inlineStr">
        <is>
          <t>AUD</t>
        </is>
      </c>
      <c r="J1000" t="n">
        <v>7.8988</v>
      </c>
      <c r="K1000" s="5" t="inlineStr">
        <is>
          <t>01a1212c-71d9-7647-901b-c597ca2d48c9</t>
        </is>
      </c>
      <c r="L1000" s="5" t="inlineStr">
        <is>
          <t>01a1212c-af76-73a3-8cc5-b6a47faf79d7</t>
        </is>
      </c>
      <c r="M1000" s="6" t="n">
        <v>45839</v>
      </c>
    </row>
    <row r="1001">
      <c r="A1001" s="5" t="inlineStr">
        <is>
          <t>01a1212c-b1c0-7524-8249-7b7d77293f9a</t>
        </is>
      </c>
      <c r="D1001" s="5" t="inlineStr">
        <is>
          <t>01a1212c-4b57-70cf-80fd-c2192cb3bf81</t>
        </is>
      </c>
      <c r="E1001" s="4" t="n">
        <v>46304.62430148766</v>
      </c>
      <c r="F1001" s="4" t="n">
        <v>46304.62430148773</v>
      </c>
      <c r="G1001" t="b">
        <v>1</v>
      </c>
      <c r="I1001" t="inlineStr">
        <is>
          <t>AUD</t>
        </is>
      </c>
      <c r="J1001" t="n">
        <v>7.8988</v>
      </c>
      <c r="K1001" s="5" t="inlineStr">
        <is>
          <t>01a1212c-7461-718b-a08a-ae58aa67a4dc</t>
        </is>
      </c>
      <c r="L1001" s="5" t="inlineStr">
        <is>
          <t>01a1212c-af76-73a3-8cc5-b6a47faf79d7</t>
        </is>
      </c>
      <c r="M1001" s="6" t="n">
        <v>45839</v>
      </c>
    </row>
    <row r="1002">
      <c r="A1002" s="5" t="inlineStr">
        <is>
          <t>01a1212c-b1c6-73ca-828f-fa2417f6461d</t>
        </is>
      </c>
      <c r="D1002" s="5" t="inlineStr">
        <is>
          <t>01a1212c-4b57-70cf-80fd-c2192cb3bf81</t>
        </is>
      </c>
      <c r="E1002" s="4" t="n">
        <v>46304.62430156271</v>
      </c>
      <c r="F1002" s="4" t="n">
        <v>46304.62430156278</v>
      </c>
      <c r="G1002" t="b">
        <v>1</v>
      </c>
      <c r="I1002" t="inlineStr">
        <is>
          <t>AUD</t>
        </is>
      </c>
      <c r="J1002" t="n">
        <v>8.462999999999999</v>
      </c>
      <c r="K1002" s="5" t="inlineStr">
        <is>
          <t>01a1212c-6e66-7046-82e1-a0df222b5449</t>
        </is>
      </c>
      <c r="L1002" s="5" t="inlineStr">
        <is>
          <t>01a1212c-af76-73a3-8cc5-b6a47faf79d7</t>
        </is>
      </c>
      <c r="M1002" s="6" t="n">
        <v>45839</v>
      </c>
    </row>
    <row r="1003">
      <c r="A1003" s="5" t="inlineStr">
        <is>
          <t>01a1212c-b1cd-7268-961a-e6478995c7e3</t>
        </is>
      </c>
      <c r="D1003" s="5" t="inlineStr">
        <is>
          <t>01a1212c-4b57-70cf-80fd-c2192cb3bf81</t>
        </is>
      </c>
      <c r="E1003" s="4" t="n">
        <v>46304.62430163872</v>
      </c>
      <c r="F1003" s="4" t="n">
        <v>46304.6243016388</v>
      </c>
      <c r="G1003" t="b">
        <v>1</v>
      </c>
      <c r="I1003" t="inlineStr">
        <is>
          <t>AUD</t>
        </is>
      </c>
      <c r="J1003" t="n">
        <v>8.462999999999999</v>
      </c>
      <c r="K1003" s="5" t="inlineStr">
        <is>
          <t>01a1212c-71ae-7629-9101-f4aefddb3353</t>
        </is>
      </c>
      <c r="L1003" s="5" t="inlineStr">
        <is>
          <t>01a1212c-af76-73a3-8cc5-b6a47faf79d7</t>
        </is>
      </c>
      <c r="M1003" s="6" t="n">
        <v>45839</v>
      </c>
    </row>
    <row r="1004">
      <c r="A1004" s="5" t="inlineStr">
        <is>
          <t>01a1212c-b1d3-748d-b994-e62c952f82dd</t>
        </is>
      </c>
      <c r="D1004" s="5" t="inlineStr">
        <is>
          <t>01a1212c-4b57-70cf-80fd-c2192cb3bf81</t>
        </is>
      </c>
      <c r="E1004" s="4" t="n">
        <v>46304.62430171368</v>
      </c>
      <c r="F1004" s="4" t="n">
        <v>46304.62430171376</v>
      </c>
      <c r="G1004" t="b">
        <v>1</v>
      </c>
      <c r="I1004" t="inlineStr">
        <is>
          <t>AUD</t>
        </is>
      </c>
      <c r="J1004" t="n">
        <v>8.462999999999999</v>
      </c>
      <c r="K1004" s="5" t="inlineStr">
        <is>
          <t>01a1212c-741c-732e-b238-83e9eab5ef79</t>
        </is>
      </c>
      <c r="L1004" s="5" t="inlineStr">
        <is>
          <t>01a1212c-af76-73a3-8cc5-b6a47faf79d7</t>
        </is>
      </c>
      <c r="M1004" s="6" t="n">
        <v>45839</v>
      </c>
    </row>
    <row r="1005">
      <c r="A1005" s="5" t="inlineStr">
        <is>
          <t>01a1212c-b1da-7386-acc5-349c353269f1</t>
        </is>
      </c>
      <c r="D1005" s="5" t="inlineStr">
        <is>
          <t>01a1212c-4b57-70cf-80fd-c2192cb3bf81</t>
        </is>
      </c>
      <c r="E1005" s="4" t="n">
        <v>46304.624301784</v>
      </c>
      <c r="F1005" s="4" t="n">
        <v>46304.62430178408</v>
      </c>
      <c r="G1005" t="b">
        <v>1</v>
      </c>
      <c r="I1005" t="inlineStr">
        <is>
          <t>AUD</t>
        </is>
      </c>
      <c r="J1005" t="n">
        <v>8.462999999999999</v>
      </c>
      <c r="K1005" s="5" t="inlineStr">
        <is>
          <t>01a1212c-7a90-7411-8405-00a5215c5218</t>
        </is>
      </c>
      <c r="L1005" s="5" t="inlineStr">
        <is>
          <t>01a1212c-af76-73a3-8cc5-b6a47faf79d7</t>
        </is>
      </c>
      <c r="M1005" s="6" t="n">
        <v>45839</v>
      </c>
    </row>
    <row r="1006">
      <c r="A1006" s="5" t="inlineStr">
        <is>
          <t>01a1212c-b1e0-7127-a20b-0623d9c9fd00</t>
        </is>
      </c>
      <c r="D1006" s="5" t="inlineStr">
        <is>
          <t>01a1212c-4b57-70cf-80fd-c2192cb3bf81</t>
        </is>
      </c>
      <c r="E1006" s="4" t="n">
        <v>46304.62430185371</v>
      </c>
      <c r="F1006" s="4" t="n">
        <v>46304.62430185377</v>
      </c>
      <c r="G1006" t="b">
        <v>1</v>
      </c>
      <c r="I1006" t="inlineStr">
        <is>
          <t>AUD</t>
        </is>
      </c>
      <c r="J1006" t="n">
        <v>9.028</v>
      </c>
      <c r="K1006" s="5" t="inlineStr">
        <is>
          <t>01a1212c-6d4c-7285-883b-40007c7bea5b</t>
        </is>
      </c>
      <c r="L1006" s="5" t="inlineStr">
        <is>
          <t>01a1212c-af76-73a3-8cc5-b6a47faf79d7</t>
        </is>
      </c>
      <c r="M1006" s="6" t="n">
        <v>45839</v>
      </c>
    </row>
    <row r="1007">
      <c r="A1007" s="5" t="inlineStr">
        <is>
          <t>01a1212c-b350-7377-a6aa-a39162520e8f</t>
        </is>
      </c>
      <c r="D1007" s="5" t="inlineStr">
        <is>
          <t>01a1212c-4b57-70cf-80fd-c2192cb3bf81</t>
        </is>
      </c>
      <c r="E1007" s="4" t="n">
        <v>46304.62430611652</v>
      </c>
      <c r="F1007" s="4" t="n">
        <v>46304.6243061166</v>
      </c>
      <c r="G1007" t="b">
        <v>1</v>
      </c>
      <c r="I1007" t="inlineStr">
        <is>
          <t>AUD</t>
        </is>
      </c>
      <c r="J1007" t="n">
        <v>0.0392</v>
      </c>
      <c r="K1007" s="5" t="inlineStr">
        <is>
          <t>01a1212c-8554-7219-95e5-6c0454a0fcfb</t>
        </is>
      </c>
      <c r="L1007" s="5" t="inlineStr">
        <is>
          <t>01a1212c-b349-71cd-b6ad-2d162f34bcd9</t>
        </is>
      </c>
      <c r="M1007" s="6" t="n">
        <v>45839</v>
      </c>
    </row>
    <row r="1008">
      <c r="A1008" s="5" t="inlineStr">
        <is>
          <t>01a1212c-b356-71eb-ad13-87a13343b383</t>
        </is>
      </c>
      <c r="D1008" s="5" t="inlineStr">
        <is>
          <t>01a1212c-4b57-70cf-80fd-c2192cb3bf81</t>
        </is>
      </c>
      <c r="E1008" s="4" t="n">
        <v>46304.62430618754</v>
      </c>
      <c r="F1008" s="4" t="n">
        <v>46304.6243061876</v>
      </c>
      <c r="G1008" t="b">
        <v>1</v>
      </c>
      <c r="I1008" t="inlineStr">
        <is>
          <t>AUD</t>
        </is>
      </c>
      <c r="J1008" t="n">
        <v>0.08260000000000001</v>
      </c>
      <c r="K1008" s="5" t="inlineStr">
        <is>
          <t>01a1212c-84bf-721d-8018-983ed730ec1f</t>
        </is>
      </c>
      <c r="L1008" s="5" t="inlineStr">
        <is>
          <t>01a1212c-b349-71cd-b6ad-2d162f34bcd9</t>
        </is>
      </c>
      <c r="M1008" s="6" t="n">
        <v>45839</v>
      </c>
    </row>
    <row r="1009">
      <c r="A1009" s="5" t="inlineStr">
        <is>
          <t>01a1212c-b35c-753c-b311-57c1e6cd84b9</t>
        </is>
      </c>
      <c r="D1009" s="5" t="inlineStr">
        <is>
          <t>01a1212c-4b57-70cf-80fd-c2192cb3bf81</t>
        </is>
      </c>
      <c r="E1009" s="4" t="n">
        <v>46304.6243062565</v>
      </c>
      <c r="F1009" s="4" t="n">
        <v>46304.6243062566</v>
      </c>
      <c r="G1009" t="b">
        <v>1</v>
      </c>
      <c r="I1009" t="inlineStr">
        <is>
          <t>AUD</t>
        </is>
      </c>
      <c r="J1009" t="n">
        <v>0.1033</v>
      </c>
      <c r="K1009" s="5" t="inlineStr">
        <is>
          <t>01a1212c-8520-7696-ae82-69cebf4a4821</t>
        </is>
      </c>
      <c r="L1009" s="5" t="inlineStr">
        <is>
          <t>01a1212c-b349-71cd-b6ad-2d162f34bcd9</t>
        </is>
      </c>
      <c r="M1009" s="6" t="n">
        <v>45839</v>
      </c>
    </row>
    <row r="1010">
      <c r="A1010" s="5" t="inlineStr">
        <is>
          <t>01a1212c-b362-74bc-9ed4-7247b5051a56</t>
        </is>
      </c>
      <c r="D1010" s="5" t="inlineStr">
        <is>
          <t>01a1212c-4b57-70cf-80fd-c2192cb3bf81</t>
        </is>
      </c>
      <c r="E1010" s="4" t="n">
        <v>46304.62430632542</v>
      </c>
      <c r="F1010" s="4" t="n">
        <v>46304.62430632549</v>
      </c>
      <c r="G1010" t="b">
        <v>1</v>
      </c>
      <c r="I1010" t="inlineStr">
        <is>
          <t>AUD</t>
        </is>
      </c>
      <c r="J1010" t="n">
        <v>0.1689</v>
      </c>
      <c r="K1010" s="5" t="inlineStr">
        <is>
          <t>01a1212c-845d-7270-9d05-3fab51eb08af</t>
        </is>
      </c>
      <c r="L1010" s="5" t="inlineStr">
        <is>
          <t>01a1212c-b349-71cd-b6ad-2d162f34bcd9</t>
        </is>
      </c>
      <c r="M1010" s="6" t="n">
        <v>45839</v>
      </c>
    </row>
    <row r="1011">
      <c r="A1011" s="5" t="inlineStr">
        <is>
          <t>01a1212c-b368-7709-a8ff-5fcbd7e1f441</t>
        </is>
      </c>
      <c r="D1011" s="5" t="inlineStr">
        <is>
          <t>01a1212c-4b57-70cf-80fd-c2192cb3bf81</t>
        </is>
      </c>
      <c r="E1011" s="4" t="n">
        <v>46304.62430639329</v>
      </c>
      <c r="F1011" s="4" t="n">
        <v>46304.62430639336</v>
      </c>
      <c r="G1011" t="b">
        <v>1</v>
      </c>
      <c r="I1011" t="inlineStr">
        <is>
          <t>AUD</t>
        </is>
      </c>
      <c r="J1011" t="n">
        <v>0.2505</v>
      </c>
      <c r="K1011" s="5" t="inlineStr">
        <is>
          <t>01a1212c-848c-720f-9460-81637af98d2e</t>
        </is>
      </c>
      <c r="L1011" s="5" t="inlineStr">
        <is>
          <t>01a1212c-b349-71cd-b6ad-2d162f34bcd9</t>
        </is>
      </c>
      <c r="M1011" s="6" t="n">
        <v>45839</v>
      </c>
    </row>
    <row r="1012">
      <c r="A1012" s="5" t="inlineStr">
        <is>
          <t>01a1212c-b36e-7388-8f47-dcd63694ddbf</t>
        </is>
      </c>
      <c r="D1012" s="5" t="inlineStr">
        <is>
          <t>01a1212c-4b57-70cf-80fd-c2192cb3bf81</t>
        </is>
      </c>
      <c r="E1012" s="4" t="n">
        <v>46304.62430646307</v>
      </c>
      <c r="F1012" s="4" t="n">
        <v>46304.62430646313</v>
      </c>
      <c r="G1012" t="b">
        <v>1</v>
      </c>
      <c r="I1012" t="inlineStr">
        <is>
          <t>AUD</t>
        </is>
      </c>
      <c r="J1012" t="n">
        <v>0.3153</v>
      </c>
      <c r="K1012" s="5" t="inlineStr">
        <is>
          <t>01a1212c-8417-735c-9382-89614b404121</t>
        </is>
      </c>
      <c r="L1012" s="5" t="inlineStr">
        <is>
          <t>01a1212c-b349-71cd-b6ad-2d162f34bcd9</t>
        </is>
      </c>
      <c r="M1012" s="6" t="n">
        <v>45839</v>
      </c>
    </row>
    <row r="1013">
      <c r="A1013" s="5" t="inlineStr">
        <is>
          <t>01a1212c-b374-7626-b73e-eafb2c5e0245</t>
        </is>
      </c>
      <c r="D1013" s="5" t="inlineStr">
        <is>
          <t>01a1212c-4b57-70cf-80fd-c2192cb3bf81</t>
        </is>
      </c>
      <c r="E1013" s="4" t="n">
        <v>46304.62430653426</v>
      </c>
      <c r="F1013" s="4" t="n">
        <v>46304.62430653433</v>
      </c>
      <c r="G1013" t="b">
        <v>1</v>
      </c>
      <c r="I1013" t="inlineStr">
        <is>
          <t>AUD</t>
        </is>
      </c>
      <c r="J1013" t="n">
        <v>0.3216</v>
      </c>
      <c r="K1013" s="5" t="inlineStr">
        <is>
          <t>01a1212c-82b1-75eb-b393-9d51b1774d5b</t>
        </is>
      </c>
      <c r="L1013" s="5" t="inlineStr">
        <is>
          <t>01a1212c-b349-71cd-b6ad-2d162f34bcd9</t>
        </is>
      </c>
      <c r="M1013" s="6" t="n">
        <v>45839</v>
      </c>
    </row>
    <row r="1014">
      <c r="A1014" s="5" t="inlineStr">
        <is>
          <t>01a1212c-b37a-7169-b926-d1868969f3c4</t>
        </is>
      </c>
      <c r="D1014" s="5" t="inlineStr">
        <is>
          <t>01a1212c-4b57-70cf-80fd-c2192cb3bf81</t>
        </is>
      </c>
      <c r="E1014" s="4" t="n">
        <v>46304.62430660376</v>
      </c>
      <c r="F1014" s="4" t="n">
        <v>46304.62430660383</v>
      </c>
      <c r="G1014" t="b">
        <v>1</v>
      </c>
      <c r="I1014" t="inlineStr">
        <is>
          <t>AUD</t>
        </is>
      </c>
      <c r="J1014" t="n">
        <v>0.3319</v>
      </c>
      <c r="K1014" s="5" t="inlineStr">
        <is>
          <t>01a1212c-83e6-76ce-b9ce-6ff1405fdb11</t>
        </is>
      </c>
      <c r="L1014" s="5" t="inlineStr">
        <is>
          <t>01a1212c-b349-71cd-b6ad-2d162f34bcd9</t>
        </is>
      </c>
      <c r="M1014" s="6" t="n">
        <v>45839</v>
      </c>
    </row>
    <row r="1015">
      <c r="A1015" s="5" t="inlineStr">
        <is>
          <t>01a1212c-b380-742b-b7ed-d1a3b86a8b22</t>
        </is>
      </c>
      <c r="D1015" s="5" t="inlineStr">
        <is>
          <t>01a1212c-4b57-70cf-80fd-c2192cb3bf81</t>
        </is>
      </c>
      <c r="E1015" s="4" t="n">
        <v>46304.62430667168</v>
      </c>
      <c r="F1015" s="4" t="n">
        <v>46304.62430667175</v>
      </c>
      <c r="G1015" t="b">
        <v>1</v>
      </c>
      <c r="I1015" t="inlineStr">
        <is>
          <t>AUD</t>
        </is>
      </c>
      <c r="J1015" t="n">
        <v>0.3497</v>
      </c>
      <c r="K1015" s="5" t="inlineStr">
        <is>
          <t>01a1212c-838e-721d-90de-8c635a36411e</t>
        </is>
      </c>
      <c r="L1015" s="5" t="inlineStr">
        <is>
          <t>01a1212c-b349-71cd-b6ad-2d162f34bcd9</t>
        </is>
      </c>
      <c r="M1015" s="6" t="n">
        <v>45839</v>
      </c>
    </row>
    <row r="1016">
      <c r="A1016" s="5" t="inlineStr">
        <is>
          <t>01a1212c-b386-7427-925a-a4af1c9a4f89</t>
        </is>
      </c>
      <c r="D1016" s="5" t="inlineStr">
        <is>
          <t>01a1212c-4b57-70cf-80fd-c2192cb3bf81</t>
        </is>
      </c>
      <c r="E1016" s="4" t="n">
        <v>46304.62430674403</v>
      </c>
      <c r="F1016" s="4" t="n">
        <v>46304.62430674411</v>
      </c>
      <c r="G1016" t="b">
        <v>1</v>
      </c>
      <c r="I1016" t="inlineStr">
        <is>
          <t>AUD</t>
        </is>
      </c>
      <c r="J1016" t="n">
        <v>0.3536</v>
      </c>
      <c r="K1016" s="5" t="inlineStr">
        <is>
          <t>01a1212c-826f-705b-b71c-c6e2b71c1728</t>
        </is>
      </c>
      <c r="L1016" s="5" t="inlineStr">
        <is>
          <t>01a1212c-b349-71cd-b6ad-2d162f34bcd9</t>
        </is>
      </c>
      <c r="M1016" s="6" t="n">
        <v>45839</v>
      </c>
    </row>
    <row r="1017">
      <c r="A1017" s="5" t="inlineStr">
        <is>
          <t>01a1212c-b38c-751c-b3ba-9af6735d0a9d</t>
        </is>
      </c>
      <c r="D1017" s="5" t="inlineStr">
        <is>
          <t>01a1212c-4b57-70cf-80fd-c2192cb3bf81</t>
        </is>
      </c>
      <c r="E1017" s="4" t="n">
        <v>46304.62430681476</v>
      </c>
      <c r="F1017" s="4" t="n">
        <v>46304.62430681483</v>
      </c>
      <c r="G1017" t="b">
        <v>1</v>
      </c>
      <c r="I1017" t="inlineStr">
        <is>
          <t>AUD</t>
        </is>
      </c>
      <c r="J1017" t="n">
        <v>0.3546</v>
      </c>
      <c r="K1017" s="5" t="inlineStr">
        <is>
          <t>01a1212c-8013-700d-9ef5-c42363865635</t>
        </is>
      </c>
      <c r="L1017" s="5" t="inlineStr">
        <is>
          <t>01a1212c-b349-71cd-b6ad-2d162f34bcd9</t>
        </is>
      </c>
      <c r="M1017" s="6" t="n">
        <v>45839</v>
      </c>
    </row>
    <row r="1018">
      <c r="A1018" s="5" t="inlineStr">
        <is>
          <t>01a1212c-b392-7223-b59c-98aa1744edff</t>
        </is>
      </c>
      <c r="D1018" s="5" t="inlineStr">
        <is>
          <t>01a1212c-4b57-70cf-80fd-c2192cb3bf81</t>
        </is>
      </c>
      <c r="E1018" s="4" t="n">
        <v>46304.6243068873</v>
      </c>
      <c r="F1018" s="4" t="n">
        <v>46304.62430688737</v>
      </c>
      <c r="G1018" t="b">
        <v>1</v>
      </c>
      <c r="I1018" t="inlineStr">
        <is>
          <t>AUD</t>
        </is>
      </c>
      <c r="J1018" t="n">
        <v>0.3546</v>
      </c>
      <c r="K1018" s="5" t="inlineStr">
        <is>
          <t>01a1212c-8106-7659-9535-a5011aae9303</t>
        </is>
      </c>
      <c r="L1018" s="5" t="inlineStr">
        <is>
          <t>01a1212c-b349-71cd-b6ad-2d162f34bcd9</t>
        </is>
      </c>
      <c r="M1018" s="6" t="n">
        <v>45839</v>
      </c>
    </row>
    <row r="1019">
      <c r="A1019" s="5" t="inlineStr">
        <is>
          <t>01a1212c-b399-71a0-bbaa-76a10ed47b06</t>
        </is>
      </c>
      <c r="D1019" s="5" t="inlineStr">
        <is>
          <t>01a1212c-4b57-70cf-80fd-c2192cb3bf81</t>
        </is>
      </c>
      <c r="E1019" s="4" t="n">
        <v>46304.62430695781</v>
      </c>
      <c r="F1019" s="4" t="n">
        <v>46304.62430695789</v>
      </c>
      <c r="G1019" t="b">
        <v>1</v>
      </c>
      <c r="I1019" t="inlineStr">
        <is>
          <t>AUD</t>
        </is>
      </c>
      <c r="J1019" t="n">
        <v>0.3886</v>
      </c>
      <c r="K1019" s="5" t="inlineStr">
        <is>
          <t>01a1212c-82f1-756e-a25f-468327fcda66</t>
        </is>
      </c>
      <c r="L1019" s="5" t="inlineStr">
        <is>
          <t>01a1212c-b349-71cd-b6ad-2d162f34bcd9</t>
        </is>
      </c>
      <c r="M1019" s="6" t="n">
        <v>45839</v>
      </c>
    </row>
    <row r="1020">
      <c r="A1020" s="5" t="inlineStr">
        <is>
          <t>01a1212c-b39f-72e0-9300-c02c73fc63f5</t>
        </is>
      </c>
      <c r="D1020" s="5" t="inlineStr">
        <is>
          <t>01a1212c-4b57-70cf-80fd-c2192cb3bf81</t>
        </is>
      </c>
      <c r="E1020" s="4" t="n">
        <v>46304.6243070303</v>
      </c>
      <c r="F1020" s="4" t="n">
        <v>46304.62430703038</v>
      </c>
      <c r="G1020" t="b">
        <v>1</v>
      </c>
      <c r="I1020" t="inlineStr">
        <is>
          <t>AUD</t>
        </is>
      </c>
      <c r="J1020" t="n">
        <v>0.4137</v>
      </c>
      <c r="K1020" s="5" t="inlineStr">
        <is>
          <t>01a1212c-7ebd-72be-82a1-cd941a25caaa</t>
        </is>
      </c>
      <c r="L1020" s="5" t="inlineStr">
        <is>
          <t>01a1212c-b349-71cd-b6ad-2d162f34bcd9</t>
        </is>
      </c>
      <c r="M1020" s="6" t="n">
        <v>45839</v>
      </c>
    </row>
    <row r="1021">
      <c r="A1021" s="5" t="inlineStr">
        <is>
          <t>01a1212c-b3a5-7380-b860-19596a6d7f77</t>
        </is>
      </c>
      <c r="D1021" s="5" t="inlineStr">
        <is>
          <t>01a1212c-4b57-70cf-80fd-c2192cb3bf81</t>
        </is>
      </c>
      <c r="E1021" s="4" t="n">
        <v>46304.6243071005</v>
      </c>
      <c r="F1021" s="4" t="n">
        <v>46304.62430710057</v>
      </c>
      <c r="G1021" t="b">
        <v>1</v>
      </c>
      <c r="I1021" t="inlineStr">
        <is>
          <t>AUD</t>
        </is>
      </c>
      <c r="J1021" t="n">
        <v>0.4137</v>
      </c>
      <c r="K1021" s="5" t="inlineStr">
        <is>
          <t>01a1212c-8132-7112-9580-f3f901374736</t>
        </is>
      </c>
      <c r="L1021" s="5" t="inlineStr">
        <is>
          <t>01a1212c-b349-71cd-b6ad-2d162f34bcd9</t>
        </is>
      </c>
      <c r="M1021" s="6" t="n">
        <v>45839</v>
      </c>
    </row>
    <row r="1022">
      <c r="A1022" s="5" t="inlineStr">
        <is>
          <t>01a1212c-b3ab-7739-a5a3-9ed3b92b780d</t>
        </is>
      </c>
      <c r="D1022" s="5" t="inlineStr">
        <is>
          <t>01a1212c-4b57-70cf-80fd-c2192cb3bf81</t>
        </is>
      </c>
      <c r="E1022" s="4" t="n">
        <v>46304.62430716972</v>
      </c>
      <c r="F1022" s="4" t="n">
        <v>46304.62430716979</v>
      </c>
      <c r="G1022" t="b">
        <v>1</v>
      </c>
      <c r="I1022" t="inlineStr">
        <is>
          <t>AUD</t>
        </is>
      </c>
      <c r="J1022" t="n">
        <v>0.4137</v>
      </c>
      <c r="K1022" s="5" t="inlineStr">
        <is>
          <t>01a1212c-81e3-749e-920a-7ad74e769466</t>
        </is>
      </c>
      <c r="L1022" s="5" t="inlineStr">
        <is>
          <t>01a1212c-b349-71cd-b6ad-2d162f34bcd9</t>
        </is>
      </c>
      <c r="M1022" s="6" t="n">
        <v>45839</v>
      </c>
    </row>
    <row r="1023">
      <c r="A1023" s="5" t="inlineStr">
        <is>
          <t>01a1212c-b3b1-75fd-b353-10390de1ccf4</t>
        </is>
      </c>
      <c r="D1023" s="5" t="inlineStr">
        <is>
          <t>01a1212c-4b57-70cf-80fd-c2192cb3bf81</t>
        </is>
      </c>
      <c r="E1023" s="4" t="n">
        <v>46304.62430724406</v>
      </c>
      <c r="F1023" s="4" t="n">
        <v>46304.62430724413</v>
      </c>
      <c r="G1023" t="b">
        <v>1</v>
      </c>
      <c r="I1023" t="inlineStr">
        <is>
          <t>AUD</t>
        </is>
      </c>
      <c r="J1023" t="n">
        <v>0.4137</v>
      </c>
      <c r="K1023" s="5" t="inlineStr">
        <is>
          <t>01a1212c-822a-7156-ba3d-e499465ae100</t>
        </is>
      </c>
      <c r="L1023" s="5" t="inlineStr">
        <is>
          <t>01a1212c-b349-71cd-b6ad-2d162f34bcd9</t>
        </is>
      </c>
      <c r="M1023" s="6" t="n">
        <v>45839</v>
      </c>
    </row>
    <row r="1024">
      <c r="A1024" s="5" t="inlineStr">
        <is>
          <t>01a1212c-b3b7-7069-912b-db0834c0a2b9</t>
        </is>
      </c>
      <c r="D1024" s="5" t="inlineStr">
        <is>
          <t>01a1212c-4b57-70cf-80fd-c2192cb3bf81</t>
        </is>
      </c>
      <c r="E1024" s="4" t="n">
        <v>46304.62430731333</v>
      </c>
      <c r="F1024" s="4" t="n">
        <v>46304.6243073134</v>
      </c>
      <c r="G1024" t="b">
        <v>1</v>
      </c>
      <c r="I1024" t="inlineStr">
        <is>
          <t>AUD</t>
        </is>
      </c>
      <c r="J1024" t="n">
        <v>0.4728</v>
      </c>
      <c r="K1024" s="5" t="inlineStr">
        <is>
          <t>01a1212c-782c-71c8-a8bb-adfe40c2d7c2</t>
        </is>
      </c>
      <c r="L1024" s="5" t="inlineStr">
        <is>
          <t>01a1212c-b349-71cd-b6ad-2d162f34bcd9</t>
        </is>
      </c>
      <c r="M1024" s="6" t="n">
        <v>45839</v>
      </c>
    </row>
    <row r="1025">
      <c r="A1025" s="5" t="inlineStr">
        <is>
          <t>01a1212c-b3bd-7693-8c66-b9f5b1751555</t>
        </is>
      </c>
      <c r="D1025" s="5" t="inlineStr">
        <is>
          <t>01a1212c-4b57-70cf-80fd-c2192cb3bf81</t>
        </is>
      </c>
      <c r="E1025" s="4" t="n">
        <v>46304.62430738204</v>
      </c>
      <c r="F1025" s="4" t="n">
        <v>46304.62430738211</v>
      </c>
      <c r="G1025" t="b">
        <v>1</v>
      </c>
      <c r="I1025" t="inlineStr">
        <is>
          <t>AUD</t>
        </is>
      </c>
      <c r="J1025" t="n">
        <v>0.4728</v>
      </c>
      <c r="K1025" s="5" t="inlineStr">
        <is>
          <t>01a1212c-7f76-750b-8c82-933100b7cca2</t>
        </is>
      </c>
      <c r="L1025" s="5" t="inlineStr">
        <is>
          <t>01a1212c-b349-71cd-b6ad-2d162f34bcd9</t>
        </is>
      </c>
      <c r="M1025" s="6" t="n">
        <v>45839</v>
      </c>
    </row>
    <row r="1026">
      <c r="A1026" s="5" t="inlineStr">
        <is>
          <t>01a1212c-b3c3-721d-aec2-29c254cdb5c6</t>
        </is>
      </c>
      <c r="D1026" s="5" t="inlineStr">
        <is>
          <t>01a1212c-4b57-70cf-80fd-c2192cb3bf81</t>
        </is>
      </c>
      <c r="E1026" s="4" t="n">
        <v>46304.62430745264</v>
      </c>
      <c r="F1026" s="4" t="n">
        <v>46304.62430745271</v>
      </c>
      <c r="G1026" t="b">
        <v>1</v>
      </c>
      <c r="I1026" t="inlineStr">
        <is>
          <t>AUD</t>
        </is>
      </c>
      <c r="J1026" t="n">
        <v>0.4728</v>
      </c>
      <c r="K1026" s="5" t="inlineStr">
        <is>
          <t>01a1212c-803e-75cd-9153-4043ba44d097</t>
        </is>
      </c>
      <c r="L1026" s="5" t="inlineStr">
        <is>
          <t>01a1212c-b349-71cd-b6ad-2d162f34bcd9</t>
        </is>
      </c>
      <c r="M1026" s="6" t="n">
        <v>45839</v>
      </c>
    </row>
    <row r="1027">
      <c r="A1027" s="5" t="inlineStr">
        <is>
          <t>01a1212c-b3c9-7233-ab37-bfcb0af4ef7d</t>
        </is>
      </c>
      <c r="D1027" s="5" t="inlineStr">
        <is>
          <t>01a1212c-4b57-70cf-80fd-c2192cb3bf81</t>
        </is>
      </c>
      <c r="E1027" s="4" t="n">
        <v>46304.62430752235</v>
      </c>
      <c r="F1027" s="4" t="n">
        <v>46304.6243075224</v>
      </c>
      <c r="G1027" t="b">
        <v>1</v>
      </c>
      <c r="I1027" t="inlineStr">
        <is>
          <t>AUD</t>
        </is>
      </c>
      <c r="J1027" t="n">
        <v>0.4728</v>
      </c>
      <c r="K1027" s="5" t="inlineStr">
        <is>
          <t>01a1212c-8174-703a-b0ff-1dee8bca62ce</t>
        </is>
      </c>
      <c r="L1027" s="5" t="inlineStr">
        <is>
          <t>01a1212c-b349-71cd-b6ad-2d162f34bcd9</t>
        </is>
      </c>
      <c r="M1027" s="6" t="n">
        <v>45839</v>
      </c>
    </row>
    <row r="1028">
      <c r="A1028" s="5" t="inlineStr">
        <is>
          <t>01a1212c-b3cf-726b-aed5-481769537a0d</t>
        </is>
      </c>
      <c r="D1028" s="5" t="inlineStr">
        <is>
          <t>01a1212c-4b57-70cf-80fd-c2192cb3bf81</t>
        </is>
      </c>
      <c r="E1028" s="4" t="n">
        <v>46304.62430759057</v>
      </c>
      <c r="F1028" s="4" t="n">
        <v>46304.62430759064</v>
      </c>
      <c r="G1028" t="b">
        <v>1</v>
      </c>
      <c r="I1028" t="inlineStr">
        <is>
          <t>AUD</t>
        </is>
      </c>
      <c r="J1028" t="n">
        <v>0.4773</v>
      </c>
      <c r="K1028" s="5" t="inlineStr">
        <is>
          <t>01a1212c-8333-7364-9bcd-810d3684daf4</t>
        </is>
      </c>
      <c r="L1028" s="5" t="inlineStr">
        <is>
          <t>01a1212c-b349-71cd-b6ad-2d162f34bcd9</t>
        </is>
      </c>
      <c r="M1028" s="6" t="n">
        <v>45839</v>
      </c>
    </row>
    <row r="1029">
      <c r="A1029" s="5" t="inlineStr">
        <is>
          <t>01a1212c-b3d5-7510-9c88-c40abf44ad91</t>
        </is>
      </c>
      <c r="D1029" s="5" t="inlineStr">
        <is>
          <t>01a1212c-4b57-70cf-80fd-c2192cb3bf81</t>
        </is>
      </c>
      <c r="E1029" s="4" t="n">
        <v>46304.62430766294</v>
      </c>
      <c r="F1029" s="4" t="n">
        <v>46304.62430766301</v>
      </c>
      <c r="G1029" t="b">
        <v>1</v>
      </c>
      <c r="I1029" t="inlineStr">
        <is>
          <t>AUD</t>
        </is>
      </c>
      <c r="J1029" t="n">
        <v>0.5319</v>
      </c>
      <c r="K1029" s="5" t="inlineStr">
        <is>
          <t>01a1212c-762f-7733-8b01-f44cad85b151</t>
        </is>
      </c>
      <c r="L1029" s="5" t="inlineStr">
        <is>
          <t>01a1212c-b349-71cd-b6ad-2d162f34bcd9</t>
        </is>
      </c>
      <c r="M1029" s="6" t="n">
        <v>45839</v>
      </c>
    </row>
    <row r="1030">
      <c r="A1030" s="5" t="inlineStr">
        <is>
          <t>01a1212c-b3dc-7159-8cf1-caaeab7af170</t>
        </is>
      </c>
      <c r="D1030" s="5" t="inlineStr">
        <is>
          <t>01a1212c-4b57-70cf-80fd-c2192cb3bf81</t>
        </is>
      </c>
      <c r="E1030" s="4" t="n">
        <v>46304.62430773507</v>
      </c>
      <c r="F1030" s="4" t="n">
        <v>46304.62430773515</v>
      </c>
      <c r="G1030" t="b">
        <v>1</v>
      </c>
      <c r="I1030" t="inlineStr">
        <is>
          <t>AUD</t>
        </is>
      </c>
      <c r="J1030" t="n">
        <v>0.5319</v>
      </c>
      <c r="K1030" s="5" t="inlineStr">
        <is>
          <t>01a1212c-7734-763e-bfc4-4e61ccd3ee01</t>
        </is>
      </c>
      <c r="L1030" s="5" t="inlineStr">
        <is>
          <t>01a1212c-b349-71cd-b6ad-2d162f34bcd9</t>
        </is>
      </c>
      <c r="M1030" s="6" t="n">
        <v>45839</v>
      </c>
    </row>
    <row r="1031">
      <c r="A1031" s="5" t="inlineStr">
        <is>
          <t>01a1212c-b3e2-7098-a7d8-7252dd243abe</t>
        </is>
      </c>
      <c r="D1031" s="5" t="inlineStr">
        <is>
          <t>01a1212c-4b57-70cf-80fd-c2192cb3bf81</t>
        </is>
      </c>
      <c r="E1031" s="4" t="n">
        <v>46304.62430780895</v>
      </c>
      <c r="F1031" s="4" t="n">
        <v>46304.62430780903</v>
      </c>
      <c r="G1031" t="b">
        <v>1</v>
      </c>
      <c r="I1031" t="inlineStr">
        <is>
          <t>AUD</t>
        </is>
      </c>
      <c r="J1031" t="n">
        <v>0.5319</v>
      </c>
      <c r="K1031" s="5" t="inlineStr">
        <is>
          <t>01a1212c-786a-76e5-9880-08eb60ed6a05</t>
        </is>
      </c>
      <c r="L1031" s="5" t="inlineStr">
        <is>
          <t>01a1212c-b349-71cd-b6ad-2d162f34bcd9</t>
        </is>
      </c>
      <c r="M1031" s="6" t="n">
        <v>45839</v>
      </c>
    </row>
    <row r="1032">
      <c r="A1032" s="5" t="inlineStr">
        <is>
          <t>01a1212c-b3e8-74de-a6cc-ee01c18919e9</t>
        </is>
      </c>
      <c r="D1032" s="5" t="inlineStr">
        <is>
          <t>01a1212c-4b57-70cf-80fd-c2192cb3bf81</t>
        </is>
      </c>
      <c r="E1032" s="4" t="n">
        <v>46304.62430787762</v>
      </c>
      <c r="F1032" s="4" t="n">
        <v>46304.6243078777</v>
      </c>
      <c r="G1032" t="b">
        <v>1</v>
      </c>
      <c r="I1032" t="inlineStr">
        <is>
          <t>AUD</t>
        </is>
      </c>
      <c r="J1032" t="n">
        <v>0.5319</v>
      </c>
      <c r="K1032" s="5" t="inlineStr">
        <is>
          <t>01a1212c-7d4a-734e-9dd8-ba2ea752fce4</t>
        </is>
      </c>
      <c r="L1032" s="5" t="inlineStr">
        <is>
          <t>01a1212c-b349-71cd-b6ad-2d162f34bcd9</t>
        </is>
      </c>
      <c r="M1032" s="6" t="n">
        <v>45839</v>
      </c>
    </row>
    <row r="1033">
      <c r="A1033" s="5" t="inlineStr">
        <is>
          <t>01a1212c-b3ee-76ea-a00d-d2cecc562b50</t>
        </is>
      </c>
      <c r="D1033" s="5" t="inlineStr">
        <is>
          <t>01a1212c-4b57-70cf-80fd-c2192cb3bf81</t>
        </is>
      </c>
      <c r="E1033" s="4" t="n">
        <v>46304.62430794862</v>
      </c>
      <c r="F1033" s="4" t="n">
        <v>46304.62430794869</v>
      </c>
      <c r="G1033" t="b">
        <v>1</v>
      </c>
      <c r="I1033" t="inlineStr">
        <is>
          <t>AUD</t>
        </is>
      </c>
      <c r="J1033" t="n">
        <v>0.5319</v>
      </c>
      <c r="K1033" s="5" t="inlineStr">
        <is>
          <t>01a1212c-7fe7-724d-8a89-076f1a271cfd</t>
        </is>
      </c>
      <c r="L1033" s="5" t="inlineStr">
        <is>
          <t>01a1212c-b349-71cd-b6ad-2d162f34bcd9</t>
        </is>
      </c>
      <c r="M1033" s="6" t="n">
        <v>45839</v>
      </c>
    </row>
    <row r="1034">
      <c r="A1034" s="5" t="inlineStr">
        <is>
          <t>01a1212c-b3f4-7080-be5e-5495ff60fa33</t>
        </is>
      </c>
      <c r="D1034" s="5" t="inlineStr">
        <is>
          <t>01a1212c-4b57-70cf-80fd-c2192cb3bf81</t>
        </is>
      </c>
      <c r="E1034" s="4" t="n">
        <v>46304.62430801973</v>
      </c>
      <c r="F1034" s="4" t="n">
        <v>46304.62430801983</v>
      </c>
      <c r="G1034" t="b">
        <v>1</v>
      </c>
      <c r="I1034" t="inlineStr">
        <is>
          <t>AUD</t>
        </is>
      </c>
      <c r="J1034" t="n">
        <v>0.5319</v>
      </c>
      <c r="K1034" s="5" t="inlineStr">
        <is>
          <t>01a1212c-80ab-7143-8f0c-20e785d1552f</t>
        </is>
      </c>
      <c r="L1034" s="5" t="inlineStr">
        <is>
          <t>01a1212c-b349-71cd-b6ad-2d162f34bcd9</t>
        </is>
      </c>
      <c r="M1034" s="6" t="n">
        <v>45839</v>
      </c>
    </row>
    <row r="1035">
      <c r="A1035" s="5" t="inlineStr">
        <is>
          <t>01a1212c-b3fa-7541-a462-1c2bd3123be2</t>
        </is>
      </c>
      <c r="D1035" s="5" t="inlineStr">
        <is>
          <t>01a1212c-4b57-70cf-80fd-c2192cb3bf81</t>
        </is>
      </c>
      <c r="E1035" s="4" t="n">
        <v>46304.62430808922</v>
      </c>
      <c r="F1035" s="4" t="n">
        <v>46304.6243080893</v>
      </c>
      <c r="G1035" t="b">
        <v>1</v>
      </c>
      <c r="I1035" t="inlineStr">
        <is>
          <t>AUD</t>
        </is>
      </c>
      <c r="J1035" t="n">
        <v>0.591</v>
      </c>
      <c r="K1035" s="5" t="inlineStr">
        <is>
          <t>01a1212c-7406-7791-9482-a05d6cc76c10</t>
        </is>
      </c>
      <c r="L1035" s="5" t="inlineStr">
        <is>
          <t>01a1212c-b349-71cd-b6ad-2d162f34bcd9</t>
        </is>
      </c>
      <c r="M1035" s="6" t="n">
        <v>45839</v>
      </c>
    </row>
    <row r="1036">
      <c r="A1036" s="5" t="inlineStr">
        <is>
          <t>01a1212c-b402-7193-a1c6-83d0f9046749</t>
        </is>
      </c>
      <c r="D1036" s="5" t="inlineStr">
        <is>
          <t>01a1212c-4b57-70cf-80fd-c2192cb3bf81</t>
        </is>
      </c>
      <c r="E1036" s="4" t="n">
        <v>46304.6243081731</v>
      </c>
      <c r="F1036" s="4" t="n">
        <v>46304.6243081732</v>
      </c>
      <c r="G1036" t="b">
        <v>1</v>
      </c>
      <c r="I1036" t="inlineStr">
        <is>
          <t>AUD</t>
        </is>
      </c>
      <c r="J1036" t="n">
        <v>0.591</v>
      </c>
      <c r="K1036" s="5" t="inlineStr">
        <is>
          <t>01a1212c-793d-735a-8d1b-3b3743d82b3c</t>
        </is>
      </c>
      <c r="L1036" s="5" t="inlineStr">
        <is>
          <t>01a1212c-b349-71cd-b6ad-2d162f34bcd9</t>
        </is>
      </c>
      <c r="M1036" s="6" t="n">
        <v>45839</v>
      </c>
    </row>
    <row r="1037">
      <c r="A1037" s="5" t="inlineStr">
        <is>
          <t>01a1212c-b408-70d4-b56c-dd9f461810aa</t>
        </is>
      </c>
      <c r="D1037" s="5" t="inlineStr">
        <is>
          <t>01a1212c-4b57-70cf-80fd-c2192cb3bf81</t>
        </is>
      </c>
      <c r="E1037" s="4" t="n">
        <v>46304.62430824524</v>
      </c>
      <c r="F1037" s="4" t="n">
        <v>46304.62430824531</v>
      </c>
      <c r="G1037" t="b">
        <v>1</v>
      </c>
      <c r="I1037" t="inlineStr">
        <is>
          <t>AUD</t>
        </is>
      </c>
      <c r="J1037" t="n">
        <v>0.591</v>
      </c>
      <c r="K1037" s="5" t="inlineStr">
        <is>
          <t>01a1212c-7c68-7625-a599-0122ab454657</t>
        </is>
      </c>
      <c r="L1037" s="5" t="inlineStr">
        <is>
          <t>01a1212c-b349-71cd-b6ad-2d162f34bcd9</t>
        </is>
      </c>
      <c r="M1037" s="6" t="n">
        <v>45839</v>
      </c>
    </row>
    <row r="1038">
      <c r="A1038" s="5" t="inlineStr">
        <is>
          <t>01a1212c-b40e-75c6-98e5-c6498d978c55</t>
        </is>
      </c>
      <c r="D1038" s="5" t="inlineStr">
        <is>
          <t>01a1212c-4b57-70cf-80fd-c2192cb3bf81</t>
        </is>
      </c>
      <c r="E1038" s="4" t="n">
        <v>46304.6243083139</v>
      </c>
      <c r="F1038" s="4" t="n">
        <v>46304.62430831397</v>
      </c>
      <c r="G1038" t="b">
        <v>1</v>
      </c>
      <c r="I1038" t="inlineStr">
        <is>
          <t>AUD</t>
        </is>
      </c>
      <c r="J1038" t="n">
        <v>0.591</v>
      </c>
      <c r="K1038" s="5" t="inlineStr">
        <is>
          <t>01a1212c-7e65-7249-9d82-ba878df56810</t>
        </is>
      </c>
      <c r="L1038" s="5" t="inlineStr">
        <is>
          <t>01a1212c-b349-71cd-b6ad-2d162f34bcd9</t>
        </is>
      </c>
      <c r="M1038" s="6" t="n">
        <v>45839</v>
      </c>
    </row>
    <row r="1039">
      <c r="A1039" s="5" t="inlineStr">
        <is>
          <t>01a1212c-b414-73c6-8a7a-b158e1bc7c26</t>
        </is>
      </c>
      <c r="D1039" s="5" t="inlineStr">
        <is>
          <t>01a1212c-4b57-70cf-80fd-c2192cb3bf81</t>
        </is>
      </c>
      <c r="E1039" s="4" t="n">
        <v>46304.62430838425</v>
      </c>
      <c r="F1039" s="4" t="n">
        <v>46304.62430838431</v>
      </c>
      <c r="G1039" t="b">
        <v>1</v>
      </c>
      <c r="I1039" t="inlineStr">
        <is>
          <t>AUD</t>
        </is>
      </c>
      <c r="J1039" t="n">
        <v>0.591</v>
      </c>
      <c r="K1039" s="5" t="inlineStr">
        <is>
          <t>01a1212c-7f2c-75c9-9309-0af4d65f362e</t>
        </is>
      </c>
      <c r="L1039" s="5" t="inlineStr">
        <is>
          <t>01a1212c-b349-71cd-b6ad-2d162f34bcd9</t>
        </is>
      </c>
      <c r="M1039" s="6" t="n">
        <v>45839</v>
      </c>
    </row>
    <row r="1040">
      <c r="A1040" s="5" t="inlineStr">
        <is>
          <t>01a1212c-b41a-72b1-9740-f4746d4e5939</t>
        </is>
      </c>
      <c r="D1040" s="5" t="inlineStr">
        <is>
          <t>01a1212c-4b57-70cf-80fd-c2192cb3bf81</t>
        </is>
      </c>
      <c r="E1040" s="4" t="n">
        <v>46304.62430845189</v>
      </c>
      <c r="F1040" s="4" t="n">
        <v>46304.62430845196</v>
      </c>
      <c r="G1040" t="b">
        <v>1</v>
      </c>
      <c r="I1040" t="inlineStr">
        <is>
          <t>AUD</t>
        </is>
      </c>
      <c r="J1040" t="n">
        <v>0.6501</v>
      </c>
      <c r="K1040" s="5" t="inlineStr">
        <is>
          <t>01a1212c-72ce-758f-a1e1-774c3e0a5001</t>
        </is>
      </c>
      <c r="L1040" s="5" t="inlineStr">
        <is>
          <t>01a1212c-b349-71cd-b6ad-2d162f34bcd9</t>
        </is>
      </c>
      <c r="M1040" s="6" t="n">
        <v>45839</v>
      </c>
    </row>
    <row r="1041">
      <c r="A1041" s="5" t="inlineStr">
        <is>
          <t>01a1212c-b420-726b-9293-cd3975f07f38</t>
        </is>
      </c>
      <c r="D1041" s="5" t="inlineStr">
        <is>
          <t>01a1212c-4b57-70cf-80fd-c2192cb3bf81</t>
        </is>
      </c>
      <c r="E1041" s="4" t="n">
        <v>46304.62430852354</v>
      </c>
      <c r="F1041" s="4" t="n">
        <v>46304.62430852361</v>
      </c>
      <c r="G1041" t="b">
        <v>1</v>
      </c>
      <c r="I1041" t="inlineStr">
        <is>
          <t>AUD</t>
        </is>
      </c>
      <c r="J1041" t="n">
        <v>0.7092000000000001</v>
      </c>
      <c r="K1041" s="5" t="inlineStr">
        <is>
          <t>01a1212c-6998-74b0-bc81-af5dbb051f7a</t>
        </is>
      </c>
      <c r="L1041" s="5" t="inlineStr">
        <is>
          <t>01a1212c-b349-71cd-b6ad-2d162f34bcd9</t>
        </is>
      </c>
      <c r="M1041" s="6" t="n">
        <v>45839</v>
      </c>
    </row>
    <row r="1042">
      <c r="A1042" s="5" t="inlineStr">
        <is>
          <t>01a1212c-b426-7437-b720-03b3e2674403</t>
        </is>
      </c>
      <c r="D1042" s="5" t="inlineStr">
        <is>
          <t>01a1212c-4b57-70cf-80fd-c2192cb3bf81</t>
        </is>
      </c>
      <c r="E1042" s="4" t="n">
        <v>46304.62430859907</v>
      </c>
      <c r="F1042" s="4" t="n">
        <v>46304.62430859915</v>
      </c>
      <c r="G1042" t="b">
        <v>1</v>
      </c>
      <c r="I1042" t="inlineStr">
        <is>
          <t>AUD</t>
        </is>
      </c>
      <c r="J1042" t="n">
        <v>0.7092000000000001</v>
      </c>
      <c r="K1042" s="5" t="inlineStr">
        <is>
          <t>01a1212c-7278-7734-b344-b828fba43ba6</t>
        </is>
      </c>
      <c r="L1042" s="5" t="inlineStr">
        <is>
          <t>01a1212c-b349-71cd-b6ad-2d162f34bcd9</t>
        </is>
      </c>
      <c r="M1042" s="6" t="n">
        <v>45839</v>
      </c>
    </row>
    <row r="1043">
      <c r="A1043" s="5" t="inlineStr">
        <is>
          <t>01a1212c-b42d-71c2-9ce8-cef24913a469</t>
        </is>
      </c>
      <c r="D1043" s="5" t="inlineStr">
        <is>
          <t>01a1212c-4b57-70cf-80fd-c2192cb3bf81</t>
        </is>
      </c>
      <c r="E1043" s="4" t="n">
        <v>46304.62430867318</v>
      </c>
      <c r="F1043" s="4" t="n">
        <v>46304.62430867326</v>
      </c>
      <c r="G1043" t="b">
        <v>1</v>
      </c>
      <c r="I1043" t="inlineStr">
        <is>
          <t>AUD</t>
        </is>
      </c>
      <c r="J1043" t="n">
        <v>0.7092000000000001</v>
      </c>
      <c r="K1043" s="5" t="inlineStr">
        <is>
          <t>01a1212c-7b7f-722d-8e7c-d5cfa0685df2</t>
        </is>
      </c>
      <c r="L1043" s="5" t="inlineStr">
        <is>
          <t>01a1212c-b349-71cd-b6ad-2d162f34bcd9</t>
        </is>
      </c>
      <c r="M1043" s="6" t="n">
        <v>45839</v>
      </c>
    </row>
    <row r="1044">
      <c r="A1044" s="5" t="inlineStr">
        <is>
          <t>01a1212c-b434-7241-9bd4-80795fac0966</t>
        </is>
      </c>
      <c r="D1044" s="5" t="inlineStr">
        <is>
          <t>01a1212c-4b57-70cf-80fd-c2192cb3bf81</t>
        </is>
      </c>
      <c r="E1044" s="4" t="n">
        <v>46304.62430875254</v>
      </c>
      <c r="F1044" s="4" t="n">
        <v>46304.62430875263</v>
      </c>
      <c r="G1044" t="b">
        <v>1</v>
      </c>
      <c r="I1044" t="inlineStr">
        <is>
          <t>AUD</t>
        </is>
      </c>
      <c r="J1044" t="n">
        <v>0.7092000000000001</v>
      </c>
      <c r="K1044" s="5" t="inlineStr">
        <is>
          <t>01a1212c-7c28-761a-abe6-a2d8c4b32086</t>
        </is>
      </c>
      <c r="L1044" s="5" t="inlineStr">
        <is>
          <t>01a1212c-b349-71cd-b6ad-2d162f34bcd9</t>
        </is>
      </c>
      <c r="M1044" s="6" t="n">
        <v>45839</v>
      </c>
    </row>
    <row r="1045">
      <c r="A1045" s="5" t="inlineStr">
        <is>
          <t>01a1212c-b43a-716a-a8a9-40b442ce11cf</t>
        </is>
      </c>
      <c r="D1045" s="5" t="inlineStr">
        <is>
          <t>01a1212c-4b57-70cf-80fd-c2192cb3bf81</t>
        </is>
      </c>
      <c r="E1045" s="4" t="n">
        <v>46304.6243088237</v>
      </c>
      <c r="F1045" s="4" t="n">
        <v>46304.62430882378</v>
      </c>
      <c r="G1045" t="b">
        <v>1</v>
      </c>
      <c r="I1045" t="inlineStr">
        <is>
          <t>AUD</t>
        </is>
      </c>
      <c r="J1045" t="n">
        <v>0.7683</v>
      </c>
      <c r="K1045" s="5" t="inlineStr">
        <is>
          <t>01a1212c-74bb-70c4-8e52-54a02ff26207</t>
        </is>
      </c>
      <c r="L1045" s="5" t="inlineStr">
        <is>
          <t>01a1212c-b349-71cd-b6ad-2d162f34bcd9</t>
        </is>
      </c>
      <c r="M1045" s="6" t="n">
        <v>45839</v>
      </c>
    </row>
    <row r="1046">
      <c r="A1046" s="5" t="inlineStr">
        <is>
          <t>01a1212c-b440-703e-b05c-713e7da872be</t>
        </is>
      </c>
      <c r="D1046" s="5" t="inlineStr">
        <is>
          <t>01a1212c-4b57-70cf-80fd-c2192cb3bf81</t>
        </is>
      </c>
      <c r="E1046" s="4" t="n">
        <v>46304.62430889741</v>
      </c>
      <c r="F1046" s="4" t="n">
        <v>46304.62430889747</v>
      </c>
      <c r="G1046" t="b">
        <v>1</v>
      </c>
      <c r="I1046" t="inlineStr">
        <is>
          <t>AUD</t>
        </is>
      </c>
      <c r="J1046" t="n">
        <v>0.7683</v>
      </c>
      <c r="K1046" s="5" t="inlineStr">
        <is>
          <t>01a1212c-79de-7495-b5b1-e7986ed975ef</t>
        </is>
      </c>
      <c r="L1046" s="5" t="inlineStr">
        <is>
          <t>01a1212c-b349-71cd-b6ad-2d162f34bcd9</t>
        </is>
      </c>
      <c r="M1046" s="6" t="n">
        <v>45839</v>
      </c>
    </row>
    <row r="1047">
      <c r="A1047" s="5" t="inlineStr">
        <is>
          <t>01a1212c-b446-7667-a00c-3eb4104ca7ef</t>
        </is>
      </c>
      <c r="D1047" s="5" t="inlineStr">
        <is>
          <t>01a1212c-4b57-70cf-80fd-c2192cb3bf81</t>
        </is>
      </c>
      <c r="E1047" s="4" t="n">
        <v>46304.62430896879</v>
      </c>
      <c r="F1047" s="4" t="n">
        <v>46304.62430896886</v>
      </c>
      <c r="G1047" t="b">
        <v>1</v>
      </c>
      <c r="I1047" t="inlineStr">
        <is>
          <t>AUD</t>
        </is>
      </c>
      <c r="J1047" t="n">
        <v>0.7683</v>
      </c>
      <c r="K1047" s="5" t="inlineStr">
        <is>
          <t>01a1212c-7a64-7651-a984-fe2d549ac898</t>
        </is>
      </c>
      <c r="L1047" s="5" t="inlineStr">
        <is>
          <t>01a1212c-b349-71cd-b6ad-2d162f34bcd9</t>
        </is>
      </c>
      <c r="M1047" s="6" t="n">
        <v>45839</v>
      </c>
    </row>
    <row r="1048">
      <c r="A1048" s="5" t="inlineStr">
        <is>
          <t>01a1212c-b44c-7566-9bf0-08f7415d7b31</t>
        </is>
      </c>
      <c r="D1048" s="5" t="inlineStr">
        <is>
          <t>01a1212c-4b57-70cf-80fd-c2192cb3bf81</t>
        </is>
      </c>
      <c r="E1048" s="4" t="n">
        <v>46304.62430903828</v>
      </c>
      <c r="F1048" s="4" t="n">
        <v>46304.62430903834</v>
      </c>
      <c r="G1048" t="b">
        <v>1</v>
      </c>
      <c r="I1048" t="inlineStr">
        <is>
          <t>AUD</t>
        </is>
      </c>
      <c r="J1048" t="n">
        <v>0.7683</v>
      </c>
      <c r="K1048" s="5" t="inlineStr">
        <is>
          <t>01a1212c-7c93-7218-ac5c-68804c19bade</t>
        </is>
      </c>
      <c r="L1048" s="5" t="inlineStr">
        <is>
          <t>01a1212c-b349-71cd-b6ad-2d162f34bcd9</t>
        </is>
      </c>
      <c r="M1048" s="6" t="n">
        <v>45839</v>
      </c>
    </row>
    <row r="1049">
      <c r="A1049" s="5" t="inlineStr">
        <is>
          <t>01a1212c-b453-7346-a5a2-07a66b3a71c7</t>
        </is>
      </c>
      <c r="D1049" s="5" t="inlineStr">
        <is>
          <t>01a1212c-4b57-70cf-80fd-c2192cb3bf81</t>
        </is>
      </c>
      <c r="E1049" s="4" t="n">
        <v>46304.62430911037</v>
      </c>
      <c r="F1049" s="4" t="n">
        <v>46304.62430911044</v>
      </c>
      <c r="G1049" t="b">
        <v>1</v>
      </c>
      <c r="I1049" t="inlineStr">
        <is>
          <t>AUD</t>
        </is>
      </c>
      <c r="J1049" t="n">
        <v>0.7683</v>
      </c>
      <c r="K1049" s="5" t="inlineStr">
        <is>
          <t>01a1212c-7cd8-7474-85d2-7bfaa05c9923</t>
        </is>
      </c>
      <c r="L1049" s="5" t="inlineStr">
        <is>
          <t>01a1212c-b349-71cd-b6ad-2d162f34bcd9</t>
        </is>
      </c>
      <c r="M1049" s="6" t="n">
        <v>45839</v>
      </c>
    </row>
    <row r="1050">
      <c r="A1050" s="5" t="inlineStr">
        <is>
          <t>01a1212c-b459-717a-92b1-bed94dbfdeed</t>
        </is>
      </c>
      <c r="D1050" s="5" t="inlineStr">
        <is>
          <t>01a1212c-4b57-70cf-80fd-c2192cb3bf81</t>
        </is>
      </c>
      <c r="E1050" s="4" t="n">
        <v>46304.62430917988</v>
      </c>
      <c r="F1050" s="4" t="n">
        <v>46304.62430917996</v>
      </c>
      <c r="G1050" t="b">
        <v>1</v>
      </c>
      <c r="I1050" t="inlineStr">
        <is>
          <t>AUD</t>
        </is>
      </c>
      <c r="J1050" t="n">
        <v>0.7683</v>
      </c>
      <c r="K1050" s="5" t="inlineStr">
        <is>
          <t>01a1212c-7e10-777c-a374-00f6692d2a3f</t>
        </is>
      </c>
      <c r="L1050" s="5" t="inlineStr">
        <is>
          <t>01a1212c-b349-71cd-b6ad-2d162f34bcd9</t>
        </is>
      </c>
      <c r="M1050" s="6" t="n">
        <v>45839</v>
      </c>
    </row>
    <row r="1051">
      <c r="A1051" s="5" t="inlineStr">
        <is>
          <t>01a1212c-b45e-723f-89ee-21407d1b2fa9</t>
        </is>
      </c>
      <c r="D1051" s="5" t="inlineStr">
        <is>
          <t>01a1212c-4b57-70cf-80fd-c2192cb3bf81</t>
        </is>
      </c>
      <c r="E1051" s="4" t="n">
        <v>46304.62430924857</v>
      </c>
      <c r="F1051" s="4" t="n">
        <v>46304.62430924863</v>
      </c>
      <c r="G1051" t="b">
        <v>1</v>
      </c>
      <c r="I1051" t="inlineStr">
        <is>
          <t>AUD</t>
        </is>
      </c>
      <c r="J1051" t="n">
        <v>0.7683</v>
      </c>
      <c r="K1051" s="5" t="inlineStr">
        <is>
          <t>01a1212c-7fbb-72bc-a78d-49a973132be2</t>
        </is>
      </c>
      <c r="L1051" s="5" t="inlineStr">
        <is>
          <t>01a1212c-b349-71cd-b6ad-2d162f34bcd9</t>
        </is>
      </c>
      <c r="M1051" s="6" t="n">
        <v>45839</v>
      </c>
    </row>
    <row r="1052">
      <c r="A1052" s="5" t="inlineStr">
        <is>
          <t>01a1212c-b465-7053-8c6c-59951eb4328e</t>
        </is>
      </c>
      <c r="D1052" s="5" t="inlineStr">
        <is>
          <t>01a1212c-4b57-70cf-80fd-c2192cb3bf81</t>
        </is>
      </c>
      <c r="E1052" s="4" t="n">
        <v>46304.62430932024</v>
      </c>
      <c r="F1052" s="4" t="n">
        <v>46304.62430932032</v>
      </c>
      <c r="G1052" t="b">
        <v>1</v>
      </c>
      <c r="I1052" t="inlineStr">
        <is>
          <t>AUD</t>
        </is>
      </c>
      <c r="J1052" t="n">
        <v>0.7683</v>
      </c>
      <c r="K1052" s="5" t="inlineStr">
        <is>
          <t>01a1212c-8081-7236-9494-69a5fc9bb481</t>
        </is>
      </c>
      <c r="L1052" s="5" t="inlineStr">
        <is>
          <t>01a1212c-b349-71cd-b6ad-2d162f34bcd9</t>
        </is>
      </c>
      <c r="M1052" s="6" t="n">
        <v>45839</v>
      </c>
    </row>
    <row r="1053">
      <c r="A1053" s="5" t="inlineStr">
        <is>
          <t>01a1212c-b46b-7019-b09d-f3c6ceb4aa6e</t>
        </is>
      </c>
      <c r="D1053" s="5" t="inlineStr">
        <is>
          <t>01a1212c-4b57-70cf-80fd-c2192cb3bf81</t>
        </is>
      </c>
      <c r="E1053" s="4" t="n">
        <v>46304.62430938872</v>
      </c>
      <c r="F1053" s="4" t="n">
        <v>46304.6243093888</v>
      </c>
      <c r="G1053" t="b">
        <v>1</v>
      </c>
      <c r="I1053" t="inlineStr">
        <is>
          <t>AUD</t>
        </is>
      </c>
      <c r="J1053" t="n">
        <v>0.8274</v>
      </c>
      <c r="K1053" s="5" t="inlineStr">
        <is>
          <t>01a1212c-6fd7-7372-ba43-20c51ef00ee0</t>
        </is>
      </c>
      <c r="L1053" s="5" t="inlineStr">
        <is>
          <t>01a1212c-b349-71cd-b6ad-2d162f34bcd9</t>
        </is>
      </c>
      <c r="M1053" s="6" t="n">
        <v>45839</v>
      </c>
    </row>
    <row r="1054">
      <c r="A1054" s="5" t="inlineStr">
        <is>
          <t>01a1212c-b470-7461-9aea-ce1a5cfc9998</t>
        </is>
      </c>
      <c r="D1054" s="5" t="inlineStr">
        <is>
          <t>01a1212c-4b57-70cf-80fd-c2192cb3bf81</t>
        </is>
      </c>
      <c r="E1054" s="4" t="n">
        <v>46304.62430945665</v>
      </c>
      <c r="F1054" s="4" t="n">
        <v>46304.62430945671</v>
      </c>
      <c r="G1054" t="b">
        <v>1</v>
      </c>
      <c r="I1054" t="inlineStr">
        <is>
          <t>AUD</t>
        </is>
      </c>
      <c r="J1054" t="n">
        <v>0.8274</v>
      </c>
      <c r="K1054" s="5" t="inlineStr">
        <is>
          <t>01a1212c-7230-7671-90fb-9b2a12ecb44c</t>
        </is>
      </c>
      <c r="L1054" s="5" t="inlineStr">
        <is>
          <t>01a1212c-b349-71cd-b6ad-2d162f34bcd9</t>
        </is>
      </c>
      <c r="M1054" s="6" t="n">
        <v>45839</v>
      </c>
    </row>
    <row r="1055">
      <c r="A1055" s="5" t="inlineStr">
        <is>
          <t>01a1212c-b477-7642-958f-f6960f524e63</t>
        </is>
      </c>
      <c r="D1055" s="5" t="inlineStr">
        <is>
          <t>01a1212c-4b57-70cf-80fd-c2192cb3bf81</t>
        </is>
      </c>
      <c r="E1055" s="4" t="n">
        <v>46304.62430952732</v>
      </c>
      <c r="F1055" s="4" t="n">
        <v>46304.6243095274</v>
      </c>
      <c r="G1055" t="b">
        <v>1</v>
      </c>
      <c r="I1055" t="inlineStr">
        <is>
          <t>AUD</t>
        </is>
      </c>
      <c r="J1055" t="n">
        <v>0.8274</v>
      </c>
      <c r="K1055" s="5" t="inlineStr">
        <is>
          <t>01a1212c-769c-724d-bdf2-5a3b65015030</t>
        </is>
      </c>
      <c r="L1055" s="5" t="inlineStr">
        <is>
          <t>01a1212c-b349-71cd-b6ad-2d162f34bcd9</t>
        </is>
      </c>
      <c r="M1055" s="6" t="n">
        <v>45839</v>
      </c>
    </row>
    <row r="1056">
      <c r="A1056" s="5" t="inlineStr">
        <is>
          <t>01a1212c-b47c-71eb-817c-627f90620614</t>
        </is>
      </c>
      <c r="D1056" s="5" t="inlineStr">
        <is>
          <t>01a1212c-4b57-70cf-80fd-c2192cb3bf81</t>
        </is>
      </c>
      <c r="E1056" s="4" t="n">
        <v>46304.62430959573</v>
      </c>
      <c r="F1056" s="4" t="n">
        <v>46304.6243095958</v>
      </c>
      <c r="G1056" t="b">
        <v>1</v>
      </c>
      <c r="I1056" t="inlineStr">
        <is>
          <t>AUD</t>
        </is>
      </c>
      <c r="J1056" t="n">
        <v>0.8274</v>
      </c>
      <c r="K1056" s="5" t="inlineStr">
        <is>
          <t>01a1212c-76c8-72fb-848d-f490971720af</t>
        </is>
      </c>
      <c r="L1056" s="5" t="inlineStr">
        <is>
          <t>01a1212c-b349-71cd-b6ad-2d162f34bcd9</t>
        </is>
      </c>
      <c r="M1056" s="6" t="n">
        <v>45839</v>
      </c>
    </row>
    <row r="1057">
      <c r="A1057" s="5" t="inlineStr">
        <is>
          <t>01a1212c-b482-7428-8ab0-151409c681e7</t>
        </is>
      </c>
      <c r="D1057" s="5" t="inlineStr">
        <is>
          <t>01a1212c-4b57-70cf-80fd-c2192cb3bf81</t>
        </is>
      </c>
      <c r="E1057" s="4" t="n">
        <v>46304.62430966179</v>
      </c>
      <c r="F1057" s="4" t="n">
        <v>46304.62430966186</v>
      </c>
      <c r="G1057" t="b">
        <v>1</v>
      </c>
      <c r="I1057" t="inlineStr">
        <is>
          <t>AUD</t>
        </is>
      </c>
      <c r="J1057" t="n">
        <v>0.8274</v>
      </c>
      <c r="K1057" s="5" t="inlineStr">
        <is>
          <t>01a1212c-777a-75f6-97da-4f344ffae56e</t>
        </is>
      </c>
      <c r="L1057" s="5" t="inlineStr">
        <is>
          <t>01a1212c-b349-71cd-b6ad-2d162f34bcd9</t>
        </is>
      </c>
      <c r="M1057" s="6" t="n">
        <v>45839</v>
      </c>
    </row>
    <row r="1058">
      <c r="A1058" s="5" t="inlineStr">
        <is>
          <t>01a1212c-b488-7456-9b1b-b2c1ddd0870d</t>
        </is>
      </c>
      <c r="D1058" s="5" t="inlineStr">
        <is>
          <t>01a1212c-4b57-70cf-80fd-c2192cb3bf81</t>
        </is>
      </c>
      <c r="E1058" s="4" t="n">
        <v>46304.62430972989</v>
      </c>
      <c r="F1058" s="4" t="n">
        <v>46304.62430972995</v>
      </c>
      <c r="G1058" t="b">
        <v>1</v>
      </c>
      <c r="I1058" t="inlineStr">
        <is>
          <t>AUD</t>
        </is>
      </c>
      <c r="J1058" t="n">
        <v>0.8274</v>
      </c>
      <c r="K1058" s="5" t="inlineStr">
        <is>
          <t>01a1212c-77d4-75d1-964a-4a82d5606ddd</t>
        </is>
      </c>
      <c r="L1058" s="5" t="inlineStr">
        <is>
          <t>01a1212c-b349-71cd-b6ad-2d162f34bcd9</t>
        </is>
      </c>
      <c r="M1058" s="6" t="n">
        <v>45839</v>
      </c>
    </row>
    <row r="1059">
      <c r="A1059" s="5" t="inlineStr">
        <is>
          <t>01a1212c-b48e-7135-a72b-fba1c9bc6882</t>
        </is>
      </c>
      <c r="D1059" s="5" t="inlineStr">
        <is>
          <t>01a1212c-4b57-70cf-80fd-c2192cb3bf81</t>
        </is>
      </c>
      <c r="E1059" s="4" t="n">
        <v>46304.62430979952</v>
      </c>
      <c r="F1059" s="4" t="n">
        <v>46304.62430979958</v>
      </c>
      <c r="G1059" t="b">
        <v>1</v>
      </c>
      <c r="I1059" t="inlineStr">
        <is>
          <t>AUD</t>
        </is>
      </c>
      <c r="J1059" t="n">
        <v>0.8274</v>
      </c>
      <c r="K1059" s="5" t="inlineStr">
        <is>
          <t>01a1212c-78c3-76a7-bbb9-ea3eccef616f</t>
        </is>
      </c>
      <c r="L1059" s="5" t="inlineStr">
        <is>
          <t>01a1212c-b349-71cd-b6ad-2d162f34bcd9</t>
        </is>
      </c>
      <c r="M1059" s="6" t="n">
        <v>45839</v>
      </c>
    </row>
    <row r="1060">
      <c r="A1060" s="5" t="inlineStr">
        <is>
          <t>01a1212c-b494-770c-b278-b06d3de79e0e</t>
        </is>
      </c>
      <c r="D1060" s="5" t="inlineStr">
        <is>
          <t>01a1212c-4b57-70cf-80fd-c2192cb3bf81</t>
        </is>
      </c>
      <c r="E1060" s="4" t="n">
        <v>46304.62430986793</v>
      </c>
      <c r="F1060" s="4" t="n">
        <v>46304.624309868</v>
      </c>
      <c r="G1060" t="b">
        <v>1</v>
      </c>
      <c r="I1060" t="inlineStr">
        <is>
          <t>AUD</t>
        </is>
      </c>
      <c r="J1060" t="n">
        <v>0.8274</v>
      </c>
      <c r="K1060" s="5" t="inlineStr">
        <is>
          <t>01a1212c-7acf-776d-9f34-f2ae81760b32</t>
        </is>
      </c>
      <c r="L1060" s="5" t="inlineStr">
        <is>
          <t>01a1212c-b349-71cd-b6ad-2d162f34bcd9</t>
        </is>
      </c>
      <c r="M1060" s="6" t="n">
        <v>45839</v>
      </c>
    </row>
    <row r="1061">
      <c r="A1061" s="5" t="inlineStr">
        <is>
          <t>01a1212c-b49a-74c9-8d63-f6921b570e78</t>
        </is>
      </c>
      <c r="D1061" s="5" t="inlineStr">
        <is>
          <t>01a1212c-4b57-70cf-80fd-c2192cb3bf81</t>
        </is>
      </c>
      <c r="E1061" s="4" t="n">
        <v>46304.6243099351</v>
      </c>
      <c r="F1061" s="4" t="n">
        <v>46304.62430993517</v>
      </c>
      <c r="G1061" t="b">
        <v>1</v>
      </c>
      <c r="I1061" t="inlineStr">
        <is>
          <t>AUD</t>
        </is>
      </c>
      <c r="J1061" t="n">
        <v>0.8865</v>
      </c>
      <c r="K1061" s="5" t="inlineStr">
        <is>
          <t>01a1212c-6b88-7320-ad83-9bb2175f9188</t>
        </is>
      </c>
      <c r="L1061" s="5" t="inlineStr">
        <is>
          <t>01a1212c-b349-71cd-b6ad-2d162f34bcd9</t>
        </is>
      </c>
      <c r="M1061" s="6" t="n">
        <v>45839</v>
      </c>
    </row>
    <row r="1062">
      <c r="A1062" s="5" t="inlineStr">
        <is>
          <t>01a1212c-b49f-75e3-81b8-a29b17c7cfda</t>
        </is>
      </c>
      <c r="D1062" s="5" t="inlineStr">
        <is>
          <t>01a1212c-4b57-70cf-80fd-c2192cb3bf81</t>
        </is>
      </c>
      <c r="E1062" s="4" t="n">
        <v>46304.6243100006</v>
      </c>
      <c r="F1062" s="4" t="n">
        <v>46304.62431000067</v>
      </c>
      <c r="G1062" t="b">
        <v>1</v>
      </c>
      <c r="I1062" t="inlineStr">
        <is>
          <t>AUD</t>
        </is>
      </c>
      <c r="J1062" t="n">
        <v>0.8865</v>
      </c>
      <c r="K1062" s="5" t="inlineStr">
        <is>
          <t>01a1212c-6d37-7104-9bae-6b11207df2ba</t>
        </is>
      </c>
      <c r="L1062" s="5" t="inlineStr">
        <is>
          <t>01a1212c-b349-71cd-b6ad-2d162f34bcd9</t>
        </is>
      </c>
      <c r="M1062" s="6" t="n">
        <v>45839</v>
      </c>
    </row>
    <row r="1063">
      <c r="A1063" s="5" t="inlineStr">
        <is>
          <t>01a1212c-b4a5-7408-b4dd-efc1a5efccac</t>
        </is>
      </c>
      <c r="D1063" s="5" t="inlineStr">
        <is>
          <t>01a1212c-4b57-70cf-80fd-c2192cb3bf81</t>
        </is>
      </c>
      <c r="E1063" s="4" t="n">
        <v>46304.62431006868</v>
      </c>
      <c r="F1063" s="4" t="n">
        <v>46304.62431006875</v>
      </c>
      <c r="G1063" t="b">
        <v>1</v>
      </c>
      <c r="I1063" t="inlineStr">
        <is>
          <t>AUD</t>
        </is>
      </c>
      <c r="J1063" t="n">
        <v>0.8865</v>
      </c>
      <c r="K1063" s="5" t="inlineStr">
        <is>
          <t>01a1212c-6f94-71c9-8280-59efd47efd80</t>
        </is>
      </c>
      <c r="L1063" s="5" t="inlineStr">
        <is>
          <t>01a1212c-b349-71cd-b6ad-2d162f34bcd9</t>
        </is>
      </c>
      <c r="M1063" s="6" t="n">
        <v>45839</v>
      </c>
    </row>
    <row r="1064">
      <c r="A1064" s="5" t="inlineStr">
        <is>
          <t>01a1212c-b4ab-751d-898d-211bab9d54d0</t>
        </is>
      </c>
      <c r="D1064" s="5" t="inlineStr">
        <is>
          <t>01a1212c-4b57-70cf-80fd-c2192cb3bf81</t>
        </is>
      </c>
      <c r="E1064" s="4" t="n">
        <v>46304.62431013674</v>
      </c>
      <c r="F1064" s="4" t="n">
        <v>46304.62431013681</v>
      </c>
      <c r="G1064" t="b">
        <v>1</v>
      </c>
      <c r="I1064" t="inlineStr">
        <is>
          <t>AUD</t>
        </is>
      </c>
      <c r="J1064" t="n">
        <v>0.8865</v>
      </c>
      <c r="K1064" s="5" t="inlineStr">
        <is>
          <t>01a1212c-719a-7616-bf3b-b6ee9e3119c7</t>
        </is>
      </c>
      <c r="L1064" s="5" t="inlineStr">
        <is>
          <t>01a1212c-b349-71cd-b6ad-2d162f34bcd9</t>
        </is>
      </c>
      <c r="M1064" s="6" t="n">
        <v>45839</v>
      </c>
    </row>
    <row r="1065">
      <c r="A1065" s="5" t="inlineStr">
        <is>
          <t>01a1212c-b4b1-760a-b685-11321b407f76</t>
        </is>
      </c>
      <c r="D1065" s="5" t="inlineStr">
        <is>
          <t>01a1212c-4b57-70cf-80fd-c2192cb3bf81</t>
        </is>
      </c>
      <c r="E1065" s="4" t="n">
        <v>46304.62431020704</v>
      </c>
      <c r="F1065" s="4" t="n">
        <v>46304.62431020711</v>
      </c>
      <c r="G1065" t="b">
        <v>1</v>
      </c>
      <c r="I1065" t="inlineStr">
        <is>
          <t>AUD</t>
        </is>
      </c>
      <c r="J1065" t="n">
        <v>0.8865</v>
      </c>
      <c r="K1065" s="5" t="inlineStr">
        <is>
          <t>01a1212c-7515-75a9-bea4-d4a41e7286ba</t>
        </is>
      </c>
      <c r="L1065" s="5" t="inlineStr">
        <is>
          <t>01a1212c-b349-71cd-b6ad-2d162f34bcd9</t>
        </is>
      </c>
      <c r="M1065" s="6" t="n">
        <v>45839</v>
      </c>
    </row>
    <row r="1066">
      <c r="A1066" s="5" t="inlineStr">
        <is>
          <t>01a1212c-b4b7-7103-9a8f-9c4532fbfb6b</t>
        </is>
      </c>
      <c r="D1066" s="5" t="inlineStr">
        <is>
          <t>01a1212c-4b57-70cf-80fd-c2192cb3bf81</t>
        </is>
      </c>
      <c r="E1066" s="4" t="n">
        <v>46304.62431027485</v>
      </c>
      <c r="F1066" s="4" t="n">
        <v>46304.62431027492</v>
      </c>
      <c r="G1066" t="b">
        <v>1</v>
      </c>
      <c r="I1066" t="inlineStr">
        <is>
          <t>AUD</t>
        </is>
      </c>
      <c r="J1066" t="n">
        <v>0.8865</v>
      </c>
      <c r="K1066" s="5" t="inlineStr">
        <is>
          <t>01a1212c-75aa-735b-b4ee-0e53e375e6f4</t>
        </is>
      </c>
      <c r="L1066" s="5" t="inlineStr">
        <is>
          <t>01a1212c-b349-71cd-b6ad-2d162f34bcd9</t>
        </is>
      </c>
      <c r="M1066" s="6" t="n">
        <v>45839</v>
      </c>
    </row>
    <row r="1067">
      <c r="A1067" s="5" t="inlineStr">
        <is>
          <t>01a1212c-b4bd-759b-9386-7e8725d0c146</t>
        </is>
      </c>
      <c r="D1067" s="5" t="inlineStr">
        <is>
          <t>01a1212c-4b57-70cf-80fd-c2192cb3bf81</t>
        </is>
      </c>
      <c r="E1067" s="4" t="n">
        <v>46304.62431034248</v>
      </c>
      <c r="F1067" s="4" t="n">
        <v>46304.62431034254</v>
      </c>
      <c r="G1067" t="b">
        <v>1</v>
      </c>
      <c r="I1067" t="inlineStr">
        <is>
          <t>AUD</t>
        </is>
      </c>
      <c r="J1067" t="n">
        <v>0.8865</v>
      </c>
      <c r="K1067" s="5" t="inlineStr">
        <is>
          <t>01a1212c-7911-7380-b8bc-fe5bcacfa72b</t>
        </is>
      </c>
      <c r="L1067" s="5" t="inlineStr">
        <is>
          <t>01a1212c-b349-71cd-b6ad-2d162f34bcd9</t>
        </is>
      </c>
      <c r="M1067" s="6" t="n">
        <v>45839</v>
      </c>
    </row>
    <row r="1068">
      <c r="A1068" s="5" t="inlineStr">
        <is>
          <t>01a1212c-b4c3-7756-ba8c-b921d4086147</t>
        </is>
      </c>
      <c r="D1068" s="5" t="inlineStr">
        <is>
          <t>01a1212c-4b57-70cf-80fd-c2192cb3bf81</t>
        </is>
      </c>
      <c r="E1068" s="4" t="n">
        <v>46304.62431041139</v>
      </c>
      <c r="F1068" s="4" t="n">
        <v>46304.62431041146</v>
      </c>
      <c r="G1068" t="b">
        <v>1</v>
      </c>
      <c r="I1068" t="inlineStr">
        <is>
          <t>AUD</t>
        </is>
      </c>
      <c r="J1068" t="n">
        <v>0.8865</v>
      </c>
      <c r="K1068" s="5" t="inlineStr">
        <is>
          <t>01a1212c-7afb-7749-9b51-b6fefc63a55f</t>
        </is>
      </c>
      <c r="L1068" s="5" t="inlineStr">
        <is>
          <t>01a1212c-b349-71cd-b6ad-2d162f34bcd9</t>
        </is>
      </c>
      <c r="M1068" s="6" t="n">
        <v>45839</v>
      </c>
    </row>
    <row r="1069">
      <c r="A1069" s="5" t="inlineStr">
        <is>
          <t>01a1212c-b4c9-721e-a222-020726fdfacc</t>
        </is>
      </c>
      <c r="D1069" s="5" t="inlineStr">
        <is>
          <t>01a1212c-4b57-70cf-80fd-c2192cb3bf81</t>
        </is>
      </c>
      <c r="E1069" s="4" t="n">
        <v>46304.624310482</v>
      </c>
      <c r="F1069" s="4" t="n">
        <v>46304.62431048208</v>
      </c>
      <c r="G1069" t="b">
        <v>1</v>
      </c>
      <c r="I1069" t="inlineStr">
        <is>
          <t>AUD</t>
        </is>
      </c>
      <c r="J1069" t="n">
        <v>0.8865</v>
      </c>
      <c r="K1069" s="5" t="inlineStr">
        <is>
          <t>01a1212c-7e90-7233-ab00-a795c8d91f6d</t>
        </is>
      </c>
      <c r="L1069" s="5" t="inlineStr">
        <is>
          <t>01a1212c-b349-71cd-b6ad-2d162f34bcd9</t>
        </is>
      </c>
      <c r="M1069" s="6" t="n">
        <v>45839</v>
      </c>
    </row>
    <row r="1070">
      <c r="A1070" s="5" t="inlineStr">
        <is>
          <t>01a1212c-b4cf-7026-ba25-acc5ef6f740a</t>
        </is>
      </c>
      <c r="D1070" s="5" t="inlineStr">
        <is>
          <t>01a1212c-4b57-70cf-80fd-c2192cb3bf81</t>
        </is>
      </c>
      <c r="E1070" s="4" t="n">
        <v>46304.62431055263</v>
      </c>
      <c r="F1070" s="4" t="n">
        <v>46304.6243105527</v>
      </c>
      <c r="G1070" t="b">
        <v>1</v>
      </c>
      <c r="I1070" t="inlineStr">
        <is>
          <t>AUD</t>
        </is>
      </c>
      <c r="J1070" t="n">
        <v>0.8865</v>
      </c>
      <c r="K1070" s="5" t="inlineStr">
        <is>
          <t>01a1212c-819f-704e-8265-3989eef0ef89</t>
        </is>
      </c>
      <c r="L1070" s="5" t="inlineStr">
        <is>
          <t>01a1212c-b349-71cd-b6ad-2d162f34bcd9</t>
        </is>
      </c>
      <c r="M1070" s="6" t="n">
        <v>45839</v>
      </c>
    </row>
    <row r="1071">
      <c r="A1071" s="5" t="inlineStr">
        <is>
          <t>01a1212c-b4d6-7425-aee5-b3e804f80b58</t>
        </is>
      </c>
      <c r="D1071" s="5" t="inlineStr">
        <is>
          <t>01a1212c-4b57-70cf-80fd-c2192cb3bf81</t>
        </is>
      </c>
      <c r="E1071" s="4" t="n">
        <v>46304.62431063492</v>
      </c>
      <c r="F1071" s="4" t="n">
        <v>46304.624310635</v>
      </c>
      <c r="G1071" t="b">
        <v>1</v>
      </c>
      <c r="I1071" t="inlineStr">
        <is>
          <t>AUD</t>
        </is>
      </c>
      <c r="J1071" t="n">
        <v>0.9456</v>
      </c>
      <c r="K1071" s="5" t="inlineStr">
        <is>
          <t>01a1212c-6ed1-75e4-b466-1b906512bd95</t>
        </is>
      </c>
      <c r="L1071" s="5" t="inlineStr">
        <is>
          <t>01a1212c-b349-71cd-b6ad-2d162f34bcd9</t>
        </is>
      </c>
      <c r="M1071" s="6" t="n">
        <v>45839</v>
      </c>
    </row>
    <row r="1072">
      <c r="A1072" s="5" t="inlineStr">
        <is>
          <t>01a1212c-b4dd-726b-86e3-08d431800f88</t>
        </is>
      </c>
      <c r="D1072" s="5" t="inlineStr">
        <is>
          <t>01a1212c-4b57-70cf-80fd-c2192cb3bf81</t>
        </is>
      </c>
      <c r="E1072" s="4" t="n">
        <v>46304.62431070859</v>
      </c>
      <c r="F1072" s="4" t="n">
        <v>46304.62431070866</v>
      </c>
      <c r="G1072" t="b">
        <v>1</v>
      </c>
      <c r="I1072" t="inlineStr">
        <is>
          <t>AUD</t>
        </is>
      </c>
      <c r="J1072" t="n">
        <v>0.9456</v>
      </c>
      <c r="K1072" s="5" t="inlineStr">
        <is>
          <t>01a1212c-757f-767f-8272-690dfe1bbf2a</t>
        </is>
      </c>
      <c r="L1072" s="5" t="inlineStr">
        <is>
          <t>01a1212c-b349-71cd-b6ad-2d162f34bcd9</t>
        </is>
      </c>
      <c r="M1072" s="6" t="n">
        <v>45839</v>
      </c>
    </row>
    <row r="1073">
      <c r="A1073" s="5" t="inlineStr">
        <is>
          <t>01a1212c-b4e3-7373-90e5-9582bbcb3669</t>
        </is>
      </c>
      <c r="D1073" s="5" t="inlineStr">
        <is>
          <t>01a1212c-4b57-70cf-80fd-c2192cb3bf81</t>
        </is>
      </c>
      <c r="E1073" s="4" t="n">
        <v>46304.6243107815</v>
      </c>
      <c r="F1073" s="4" t="n">
        <v>46304.62431078156</v>
      </c>
      <c r="G1073" t="b">
        <v>1</v>
      </c>
      <c r="I1073" t="inlineStr">
        <is>
          <t>AUD</t>
        </is>
      </c>
      <c r="J1073" t="n">
        <v>0.9456</v>
      </c>
      <c r="K1073" s="5" t="inlineStr">
        <is>
          <t>01a1212c-7bbf-72f9-807c-119d1e33d98c</t>
        </is>
      </c>
      <c r="L1073" s="5" t="inlineStr">
        <is>
          <t>01a1212c-b349-71cd-b6ad-2d162f34bcd9</t>
        </is>
      </c>
      <c r="M1073" s="6" t="n">
        <v>45839</v>
      </c>
    </row>
    <row r="1074">
      <c r="A1074" s="5" t="inlineStr">
        <is>
          <t>01a1212c-b4e9-75bd-897c-49bd27aa9609</t>
        </is>
      </c>
      <c r="D1074" s="5" t="inlineStr">
        <is>
          <t>01a1212c-4b57-70cf-80fd-c2192cb3bf81</t>
        </is>
      </c>
      <c r="E1074" s="4" t="n">
        <v>46304.62431085428</v>
      </c>
      <c r="F1074" s="4" t="n">
        <v>46304.62431085435</v>
      </c>
      <c r="G1074" t="b">
        <v>1</v>
      </c>
      <c r="I1074" t="inlineStr">
        <is>
          <t>AUD</t>
        </is>
      </c>
      <c r="J1074" t="n">
        <v>0.9456</v>
      </c>
      <c r="K1074" s="5" t="inlineStr">
        <is>
          <t>01a1212c-7dcc-7701-8351-3152abe5f99d</t>
        </is>
      </c>
      <c r="L1074" s="5" t="inlineStr">
        <is>
          <t>01a1212c-b349-71cd-b6ad-2d162f34bcd9</t>
        </is>
      </c>
      <c r="M1074" s="6" t="n">
        <v>45839</v>
      </c>
    </row>
    <row r="1075">
      <c r="A1075" s="5" t="inlineStr">
        <is>
          <t>01a1212c-b4ef-7218-abf0-30f2a07e698a</t>
        </is>
      </c>
      <c r="D1075" s="5" t="inlineStr">
        <is>
          <t>01a1212c-4b57-70cf-80fd-c2192cb3bf81</t>
        </is>
      </c>
      <c r="E1075" s="4" t="n">
        <v>46304.62431092617</v>
      </c>
      <c r="F1075" s="4" t="n">
        <v>46304.62431092624</v>
      </c>
      <c r="G1075" t="b">
        <v>1</v>
      </c>
      <c r="I1075" t="inlineStr">
        <is>
          <t>AUD</t>
        </is>
      </c>
      <c r="J1075" t="n">
        <v>1.0047</v>
      </c>
      <c r="K1075" s="5" t="inlineStr">
        <is>
          <t>01a1212c-6cde-735d-babb-fd56e63b9d5a</t>
        </is>
      </c>
      <c r="L1075" s="5" t="inlineStr">
        <is>
          <t>01a1212c-b349-71cd-b6ad-2d162f34bcd9</t>
        </is>
      </c>
      <c r="M1075" s="6" t="n">
        <v>45839</v>
      </c>
    </row>
    <row r="1076">
      <c r="A1076" s="5" t="inlineStr">
        <is>
          <t>01a1212c-b4f5-7778-8f63-9d13e2081e5c</t>
        </is>
      </c>
      <c r="D1076" s="5" t="inlineStr">
        <is>
          <t>01a1212c-4b57-70cf-80fd-c2192cb3bf81</t>
        </is>
      </c>
      <c r="E1076" s="4" t="n">
        <v>46304.62431099563</v>
      </c>
      <c r="F1076" s="4" t="n">
        <v>46304.62431099569</v>
      </c>
      <c r="G1076" t="b">
        <v>1</v>
      </c>
      <c r="I1076" t="inlineStr">
        <is>
          <t>AUD</t>
        </is>
      </c>
      <c r="J1076" t="n">
        <v>1.0047</v>
      </c>
      <c r="K1076" s="5" t="inlineStr">
        <is>
          <t>01a1212c-7157-7567-ba2e-f5a2ea2a31ab</t>
        </is>
      </c>
      <c r="L1076" s="5" t="inlineStr">
        <is>
          <t>01a1212c-b349-71cd-b6ad-2d162f34bcd9</t>
        </is>
      </c>
      <c r="M1076" s="6" t="n">
        <v>45839</v>
      </c>
    </row>
    <row r="1077">
      <c r="A1077" s="5" t="inlineStr">
        <is>
          <t>01a1212c-b4fc-724a-b87b-7e9018b5dce2</t>
        </is>
      </c>
      <c r="D1077" s="5" t="inlineStr">
        <is>
          <t>01a1212c-4b57-70cf-80fd-c2192cb3bf81</t>
        </is>
      </c>
      <c r="E1077" s="4" t="n">
        <v>46304.62431106941</v>
      </c>
      <c r="F1077" s="4" t="n">
        <v>46304.6243110695</v>
      </c>
      <c r="G1077" t="b">
        <v>1</v>
      </c>
      <c r="I1077" t="inlineStr">
        <is>
          <t>AUD</t>
        </is>
      </c>
      <c r="J1077" t="n">
        <v>1.0638</v>
      </c>
      <c r="K1077" s="5" t="inlineStr">
        <is>
          <t>01a1212c-6bf3-7787-bc84-0bf70e1c811f</t>
        </is>
      </c>
      <c r="L1077" s="5" t="inlineStr">
        <is>
          <t>01a1212c-b349-71cd-b6ad-2d162f34bcd9</t>
        </is>
      </c>
      <c r="M1077" s="6" t="n">
        <v>45839</v>
      </c>
    </row>
    <row r="1078">
      <c r="A1078" s="5" t="inlineStr">
        <is>
          <t>01a1212c-b502-758d-b121-594d814db220</t>
        </is>
      </c>
      <c r="D1078" s="5" t="inlineStr">
        <is>
          <t>01a1212c-4b57-70cf-80fd-c2192cb3bf81</t>
        </is>
      </c>
      <c r="E1078" s="4" t="n">
        <v>46304.62431113977</v>
      </c>
      <c r="F1078" s="4" t="n">
        <v>46304.62431113985</v>
      </c>
      <c r="G1078" t="b">
        <v>1</v>
      </c>
      <c r="I1078" t="inlineStr">
        <is>
          <t>AUD</t>
        </is>
      </c>
      <c r="J1078" t="n">
        <v>1.0638</v>
      </c>
      <c r="K1078" s="5" t="inlineStr">
        <is>
          <t>01a1212c-6dcc-720d-a5fa-03db95e8cb05</t>
        </is>
      </c>
      <c r="L1078" s="5" t="inlineStr">
        <is>
          <t>01a1212c-b349-71cd-b6ad-2d162f34bcd9</t>
        </is>
      </c>
      <c r="M1078" s="6" t="n">
        <v>45839</v>
      </c>
    </row>
    <row r="1079">
      <c r="A1079" s="5" t="inlineStr">
        <is>
          <t>01a1212c-b508-75d5-990b-5c6f9979e197</t>
        </is>
      </c>
      <c r="D1079" s="5" t="inlineStr">
        <is>
          <t>01a1212c-4b57-70cf-80fd-c2192cb3bf81</t>
        </is>
      </c>
      <c r="E1079" s="4" t="n">
        <v>46304.62431120722</v>
      </c>
      <c r="F1079" s="4" t="n">
        <v>46304.62431120731</v>
      </c>
      <c r="G1079" t="b">
        <v>1</v>
      </c>
      <c r="I1079" t="inlineStr">
        <is>
          <t>AUD</t>
        </is>
      </c>
      <c r="J1079" t="n">
        <v>1.0638</v>
      </c>
      <c r="K1079" s="5" t="inlineStr">
        <is>
          <t>01a1212c-7093-74e6-b33d-06958030fa15</t>
        </is>
      </c>
      <c r="L1079" s="5" t="inlineStr">
        <is>
          <t>01a1212c-b349-71cd-b6ad-2d162f34bcd9</t>
        </is>
      </c>
      <c r="M1079" s="6" t="n">
        <v>45839</v>
      </c>
    </row>
    <row r="1080">
      <c r="A1080" s="5" t="inlineStr">
        <is>
          <t>01a1212c-b50e-74b8-b6ad-f887617c0589</t>
        </is>
      </c>
      <c r="D1080" s="5" t="inlineStr">
        <is>
          <t>01a1212c-4b57-70cf-80fd-c2192cb3bf81</t>
        </is>
      </c>
      <c r="E1080" s="4" t="n">
        <v>46304.62431127965</v>
      </c>
      <c r="F1080" s="4" t="n">
        <v>46304.62431127972</v>
      </c>
      <c r="G1080" t="b">
        <v>1</v>
      </c>
      <c r="I1080" t="inlineStr">
        <is>
          <t>AUD</t>
        </is>
      </c>
      <c r="J1080" t="n">
        <v>1.0638</v>
      </c>
      <c r="K1080" s="5" t="inlineStr">
        <is>
          <t>01a1212c-7d8b-7334-b6a0-e0fad4eda28a</t>
        </is>
      </c>
      <c r="L1080" s="5" t="inlineStr">
        <is>
          <t>01a1212c-b349-71cd-b6ad-2d162f34bcd9</t>
        </is>
      </c>
      <c r="M1080" s="6" t="n">
        <v>45839</v>
      </c>
    </row>
    <row r="1081">
      <c r="A1081" s="5" t="inlineStr">
        <is>
          <t>01a1212c-b514-7289-82c4-27262fc6a48e</t>
        </is>
      </c>
      <c r="D1081" s="5" t="inlineStr">
        <is>
          <t>01a1212c-4b57-70cf-80fd-c2192cb3bf81</t>
        </is>
      </c>
      <c r="E1081" s="4" t="n">
        <v>46304.6243113521</v>
      </c>
      <c r="F1081" s="4" t="n">
        <v>46304.62431135216</v>
      </c>
      <c r="G1081" t="b">
        <v>1</v>
      </c>
      <c r="I1081" t="inlineStr">
        <is>
          <t>AUD</t>
        </is>
      </c>
      <c r="J1081" t="n">
        <v>1.1229</v>
      </c>
      <c r="K1081" s="5" t="inlineStr">
        <is>
          <t>01a1212c-6bc9-7747-8a7e-e6bec07ce141</t>
        </is>
      </c>
      <c r="L1081" s="5" t="inlineStr">
        <is>
          <t>01a1212c-b349-71cd-b6ad-2d162f34bcd9</t>
        </is>
      </c>
      <c r="M1081" s="6" t="n">
        <v>45839</v>
      </c>
    </row>
    <row r="1082">
      <c r="A1082" s="5" t="inlineStr">
        <is>
          <t>01a1212c-b51a-735e-a158-429cea89e795</t>
        </is>
      </c>
      <c r="D1082" s="5" t="inlineStr">
        <is>
          <t>01a1212c-4b57-70cf-80fd-c2192cb3bf81</t>
        </is>
      </c>
      <c r="E1082" s="4" t="n">
        <v>46304.62431142347</v>
      </c>
      <c r="F1082" s="4" t="n">
        <v>46304.62431142354</v>
      </c>
      <c r="G1082" t="b">
        <v>1</v>
      </c>
      <c r="I1082" t="inlineStr">
        <is>
          <t>AUD</t>
        </is>
      </c>
      <c r="J1082" t="n">
        <v>1.1229</v>
      </c>
      <c r="K1082" s="5" t="inlineStr">
        <is>
          <t>01a1212c-7b26-73b6-a1c9-7ef1ffc647f5</t>
        </is>
      </c>
      <c r="L1082" s="5" t="inlineStr">
        <is>
          <t>01a1212c-b349-71cd-b6ad-2d162f34bcd9</t>
        </is>
      </c>
      <c r="M1082" s="6" t="n">
        <v>45839</v>
      </c>
    </row>
    <row r="1083">
      <c r="A1083" s="5" t="inlineStr">
        <is>
          <t>01a1212c-b520-703a-86a8-99959c781539</t>
        </is>
      </c>
      <c r="D1083" s="5" t="inlineStr">
        <is>
          <t>01a1212c-4b57-70cf-80fd-c2192cb3bf81</t>
        </is>
      </c>
      <c r="E1083" s="4" t="n">
        <v>46304.62431149205</v>
      </c>
      <c r="F1083" s="4" t="n">
        <v>46304.62431149212</v>
      </c>
      <c r="G1083" t="b">
        <v>1</v>
      </c>
      <c r="I1083" t="inlineStr">
        <is>
          <t>AUD</t>
        </is>
      </c>
      <c r="J1083" t="n">
        <v>1.1229</v>
      </c>
      <c r="K1083" s="5" t="inlineStr">
        <is>
          <t>01a1212c-7be9-7245-9c15-bd3cb83542ff</t>
        </is>
      </c>
      <c r="L1083" s="5" t="inlineStr">
        <is>
          <t>01a1212c-b349-71cd-b6ad-2d162f34bcd9</t>
        </is>
      </c>
      <c r="M1083" s="6" t="n">
        <v>45839</v>
      </c>
    </row>
    <row r="1084">
      <c r="A1084" s="5" t="inlineStr">
        <is>
          <t>01a1212c-b526-7292-a2bb-b90e9f37a45c</t>
        </is>
      </c>
      <c r="D1084" s="5" t="inlineStr">
        <is>
          <t>01a1212c-4b57-70cf-80fd-c2192cb3bf81</t>
        </is>
      </c>
      <c r="E1084" s="4" t="n">
        <v>46304.62431156044</v>
      </c>
      <c r="F1084" s="4" t="n">
        <v>46304.62431156051</v>
      </c>
      <c r="G1084" t="b">
        <v>1</v>
      </c>
      <c r="I1084" t="inlineStr">
        <is>
          <t>AUD</t>
        </is>
      </c>
      <c r="J1084" t="n">
        <v>1.182</v>
      </c>
      <c r="K1084" s="5" t="inlineStr">
        <is>
          <t>01a1212c-6a83-75e3-a976-646e71a73596</t>
        </is>
      </c>
      <c r="L1084" s="5" t="inlineStr">
        <is>
          <t>01a1212c-b349-71cd-b6ad-2d162f34bcd9</t>
        </is>
      </c>
      <c r="M1084" s="6" t="n">
        <v>45839</v>
      </c>
    </row>
    <row r="1085">
      <c r="A1085" s="5" t="inlineStr">
        <is>
          <t>01a1212c-b52c-76a8-93d7-c5e5bd1d8ba3</t>
        </is>
      </c>
      <c r="D1085" s="5" t="inlineStr">
        <is>
          <t>01a1212c-4b57-70cf-80fd-c2192cb3bf81</t>
        </is>
      </c>
      <c r="E1085" s="4" t="n">
        <v>46304.62431162641</v>
      </c>
      <c r="F1085" s="4" t="n">
        <v>46304.62431162648</v>
      </c>
      <c r="G1085" t="b">
        <v>1</v>
      </c>
      <c r="I1085" t="inlineStr">
        <is>
          <t>AUD</t>
        </is>
      </c>
      <c r="J1085" t="n">
        <v>1.182</v>
      </c>
      <c r="K1085" s="5" t="inlineStr">
        <is>
          <t>01a1212c-6c5e-707b-87c6-5fa973c4227c</t>
        </is>
      </c>
      <c r="L1085" s="5" t="inlineStr">
        <is>
          <t>01a1212c-b349-71cd-b6ad-2d162f34bcd9</t>
        </is>
      </c>
      <c r="M1085" s="6" t="n">
        <v>45839</v>
      </c>
    </row>
    <row r="1086">
      <c r="A1086" s="5" t="inlineStr">
        <is>
          <t>01a1212c-b532-753c-92f8-06669b073dea</t>
        </is>
      </c>
      <c r="D1086" s="5" t="inlineStr">
        <is>
          <t>01a1212c-4b57-70cf-80fd-c2192cb3bf81</t>
        </is>
      </c>
      <c r="E1086" s="4" t="n">
        <v>46304.62431169891</v>
      </c>
      <c r="F1086" s="4" t="n">
        <v>46304.62431169898</v>
      </c>
      <c r="G1086" t="b">
        <v>1</v>
      </c>
      <c r="I1086" t="inlineStr">
        <is>
          <t>AUD</t>
        </is>
      </c>
      <c r="J1086" t="n">
        <v>1.182</v>
      </c>
      <c r="K1086" s="5" t="inlineStr">
        <is>
          <t>01a1212c-730f-762d-91e1-ab5755aaf176</t>
        </is>
      </c>
      <c r="L1086" s="5" t="inlineStr">
        <is>
          <t>01a1212c-b349-71cd-b6ad-2d162f34bcd9</t>
        </is>
      </c>
      <c r="M1086" s="6" t="n">
        <v>45839</v>
      </c>
    </row>
    <row r="1087">
      <c r="A1087" s="5" t="inlineStr">
        <is>
          <t>01a1212c-b538-7577-bbc0-3747a9e58ce3</t>
        </is>
      </c>
      <c r="D1087" s="5" t="inlineStr">
        <is>
          <t>01a1212c-4b57-70cf-80fd-c2192cb3bf81</t>
        </is>
      </c>
      <c r="E1087" s="4" t="n">
        <v>46304.6243117702</v>
      </c>
      <c r="F1087" s="4" t="n">
        <v>46304.62431177027</v>
      </c>
      <c r="G1087" t="b">
        <v>1</v>
      </c>
      <c r="I1087" t="inlineStr">
        <is>
          <t>AUD</t>
        </is>
      </c>
      <c r="J1087" t="n">
        <v>1.182</v>
      </c>
      <c r="K1087" s="5" t="inlineStr">
        <is>
          <t>01a1212c-7709-72df-b553-3dec9cf59792</t>
        </is>
      </c>
      <c r="L1087" s="5" t="inlineStr">
        <is>
          <t>01a1212c-b349-71cd-b6ad-2d162f34bcd9</t>
        </is>
      </c>
      <c r="M1087" s="6" t="n">
        <v>45839</v>
      </c>
    </row>
    <row r="1088">
      <c r="A1088" s="5" t="inlineStr">
        <is>
          <t>01a1212c-b53f-716b-b5f3-a7b0c5518b2e</t>
        </is>
      </c>
      <c r="D1088" s="5" t="inlineStr">
        <is>
          <t>01a1212c-4b57-70cf-80fd-c2192cb3bf81</t>
        </is>
      </c>
      <c r="E1088" s="4" t="n">
        <v>46304.624311842</v>
      </c>
      <c r="F1088" s="4" t="n">
        <v>46304.62431184208</v>
      </c>
      <c r="G1088" t="b">
        <v>1</v>
      </c>
      <c r="I1088" t="inlineStr">
        <is>
          <t>AUD</t>
        </is>
      </c>
      <c r="J1088" t="n">
        <v>1.182</v>
      </c>
      <c r="K1088" s="5" t="inlineStr">
        <is>
          <t>01a1212c-7984-77e5-aa4d-ea4f7dd9e0be</t>
        </is>
      </c>
      <c r="L1088" s="5" t="inlineStr">
        <is>
          <t>01a1212c-b349-71cd-b6ad-2d162f34bcd9</t>
        </is>
      </c>
      <c r="M1088" s="6" t="n">
        <v>45839</v>
      </c>
    </row>
    <row r="1089">
      <c r="A1089" s="5" t="inlineStr">
        <is>
          <t>01a1212c-b545-7474-b757-5574611ca93e</t>
        </is>
      </c>
      <c r="D1089" s="5" t="inlineStr">
        <is>
          <t>01a1212c-4b57-70cf-80fd-c2192cb3bf81</t>
        </is>
      </c>
      <c r="E1089" s="4" t="n">
        <v>46304.62431191294</v>
      </c>
      <c r="F1089" s="4" t="n">
        <v>46304.62431191302</v>
      </c>
      <c r="G1089" t="b">
        <v>1</v>
      </c>
      <c r="I1089" t="inlineStr">
        <is>
          <t>AUD</t>
        </is>
      </c>
      <c r="J1089" t="n">
        <v>1.182</v>
      </c>
      <c r="K1089" s="5" t="inlineStr">
        <is>
          <t>01a1212c-7a08-70cb-88cc-0d955086d8aa</t>
        </is>
      </c>
      <c r="L1089" s="5" t="inlineStr">
        <is>
          <t>01a1212c-b349-71cd-b6ad-2d162f34bcd9</t>
        </is>
      </c>
      <c r="M1089" s="6" t="n">
        <v>45839</v>
      </c>
    </row>
    <row r="1090">
      <c r="A1090" s="5" t="inlineStr">
        <is>
          <t>01a1212c-b54b-7144-aae4-e58770d5a761</t>
        </is>
      </c>
      <c r="D1090" s="5" t="inlineStr">
        <is>
          <t>01a1212c-4b57-70cf-80fd-c2192cb3bf81</t>
        </is>
      </c>
      <c r="E1090" s="4" t="n">
        <v>46304.62431198056</v>
      </c>
      <c r="F1090" s="4" t="n">
        <v>46304.62431198062</v>
      </c>
      <c r="G1090" t="b">
        <v>1</v>
      </c>
      <c r="I1090" t="inlineStr">
        <is>
          <t>AUD</t>
        </is>
      </c>
      <c r="J1090" t="n">
        <v>1.2411</v>
      </c>
      <c r="K1090" s="5" t="inlineStr">
        <is>
          <t>01a1212c-6e20-73a5-aefe-85160cb166ee</t>
        </is>
      </c>
      <c r="L1090" s="5" t="inlineStr">
        <is>
          <t>01a1212c-b349-71cd-b6ad-2d162f34bcd9</t>
        </is>
      </c>
      <c r="M1090" s="6" t="n">
        <v>45839</v>
      </c>
    </row>
    <row r="1091">
      <c r="A1091" s="5" t="inlineStr">
        <is>
          <t>01a1212c-b550-76dd-8eba-8376415c1be9</t>
        </is>
      </c>
      <c r="D1091" s="5" t="inlineStr">
        <is>
          <t>01a1212c-4b57-70cf-80fd-c2192cb3bf81</t>
        </is>
      </c>
      <c r="E1091" s="4" t="n">
        <v>46304.62431204753</v>
      </c>
      <c r="F1091" s="4" t="n">
        <v>46304.62431204763</v>
      </c>
      <c r="G1091" t="b">
        <v>1</v>
      </c>
      <c r="I1091" t="inlineStr">
        <is>
          <t>AUD</t>
        </is>
      </c>
      <c r="J1091" t="n">
        <v>1.2411</v>
      </c>
      <c r="K1091" s="5" t="inlineStr">
        <is>
          <t>01a1212c-733d-76f3-baba-b9d3c48b5990</t>
        </is>
      </c>
      <c r="L1091" s="5" t="inlineStr">
        <is>
          <t>01a1212c-b349-71cd-b6ad-2d162f34bcd9</t>
        </is>
      </c>
      <c r="M1091" s="6" t="n">
        <v>45839</v>
      </c>
    </row>
    <row r="1092">
      <c r="A1092" s="5" t="inlineStr">
        <is>
          <t>01a1212c-b556-73cc-84ef-5227d979b89f</t>
        </is>
      </c>
      <c r="D1092" s="5" t="inlineStr">
        <is>
          <t>01a1212c-4b57-70cf-80fd-c2192cb3bf81</t>
        </is>
      </c>
      <c r="E1092" s="4" t="n">
        <v>46304.62431211732</v>
      </c>
      <c r="F1092" s="4" t="n">
        <v>46304.6243121174</v>
      </c>
      <c r="G1092" t="b">
        <v>1</v>
      </c>
      <c r="I1092" t="inlineStr">
        <is>
          <t>AUD</t>
        </is>
      </c>
      <c r="J1092" t="n">
        <v>1.2411</v>
      </c>
      <c r="K1092" s="5" t="inlineStr">
        <is>
          <t>01a1212c-7396-7143-a0d0-9983b89d9143</t>
        </is>
      </c>
      <c r="L1092" s="5" t="inlineStr">
        <is>
          <t>01a1212c-b349-71cd-b6ad-2d162f34bcd9</t>
        </is>
      </c>
      <c r="M1092" s="6" t="n">
        <v>45839</v>
      </c>
    </row>
    <row r="1093">
      <c r="A1093" s="5" t="inlineStr">
        <is>
          <t>01a1212c-b55c-7226-b8be-642299e5b9ce</t>
        </is>
      </c>
      <c r="D1093" s="5" t="inlineStr">
        <is>
          <t>01a1212c-4b57-70cf-80fd-c2192cb3bf81</t>
        </is>
      </c>
      <c r="E1093" s="4" t="n">
        <v>46304.62431218519</v>
      </c>
      <c r="F1093" s="4" t="n">
        <v>46304.62431218527</v>
      </c>
      <c r="G1093" t="b">
        <v>1</v>
      </c>
      <c r="I1093" t="inlineStr">
        <is>
          <t>AUD</t>
        </is>
      </c>
      <c r="J1093" t="n">
        <v>1.2411</v>
      </c>
      <c r="K1093" s="5" t="inlineStr">
        <is>
          <t>01a1212c-753f-736c-986a-a53b3d31334e</t>
        </is>
      </c>
      <c r="L1093" s="5" t="inlineStr">
        <is>
          <t>01a1212c-b349-71cd-b6ad-2d162f34bcd9</t>
        </is>
      </c>
      <c r="M1093" s="6" t="n">
        <v>45839</v>
      </c>
    </row>
    <row r="1094">
      <c r="A1094" s="5" t="inlineStr">
        <is>
          <t>01a1212c-b562-746b-9a89-3ceb94bfb382</t>
        </is>
      </c>
      <c r="D1094" s="5" t="inlineStr">
        <is>
          <t>01a1212c-4b57-70cf-80fd-c2192cb3bf81</t>
        </is>
      </c>
      <c r="E1094" s="4" t="n">
        <v>46304.62431225543</v>
      </c>
      <c r="F1094" s="4" t="n">
        <v>46304.6243122555</v>
      </c>
      <c r="G1094" t="b">
        <v>1</v>
      </c>
      <c r="I1094" t="inlineStr">
        <is>
          <t>AUD</t>
        </is>
      </c>
      <c r="J1094" t="n">
        <v>1.2411</v>
      </c>
      <c r="K1094" s="5" t="inlineStr">
        <is>
          <t>01a1212c-75ec-7606-87d2-d682d2730242</t>
        </is>
      </c>
      <c r="L1094" s="5" t="inlineStr">
        <is>
          <t>01a1212c-b349-71cd-b6ad-2d162f34bcd9</t>
        </is>
      </c>
      <c r="M1094" s="6" t="n">
        <v>45839</v>
      </c>
    </row>
    <row r="1095">
      <c r="A1095" s="5" t="inlineStr">
        <is>
          <t>01a1212c-b568-7493-9343-579e3c52e84c</t>
        </is>
      </c>
      <c r="D1095" s="5" t="inlineStr">
        <is>
          <t>01a1212c-4b57-70cf-80fd-c2192cb3bf81</t>
        </is>
      </c>
      <c r="E1095" s="4" t="n">
        <v>46304.62431232566</v>
      </c>
      <c r="F1095" s="4" t="n">
        <v>46304.62431232573</v>
      </c>
      <c r="G1095" t="b">
        <v>1</v>
      </c>
      <c r="I1095" t="inlineStr">
        <is>
          <t>AUD</t>
        </is>
      </c>
      <c r="J1095" t="n">
        <v>1.2411</v>
      </c>
      <c r="K1095" s="5" t="inlineStr">
        <is>
          <t>01a1212c-765b-777c-ab2d-721a20593158</t>
        </is>
      </c>
      <c r="L1095" s="5" t="inlineStr">
        <is>
          <t>01a1212c-b349-71cd-b6ad-2d162f34bcd9</t>
        </is>
      </c>
      <c r="M1095" s="6" t="n">
        <v>45839</v>
      </c>
    </row>
    <row r="1096">
      <c r="A1096" s="5" t="inlineStr">
        <is>
          <t>01a1212c-b56f-72d9-8ae4-e21c1f08d352</t>
        </is>
      </c>
      <c r="D1096" s="5" t="inlineStr">
        <is>
          <t>01a1212c-4b57-70cf-80fd-c2192cb3bf81</t>
        </is>
      </c>
      <c r="E1096" s="4" t="n">
        <v>46304.62431239768</v>
      </c>
      <c r="F1096" s="4" t="n">
        <v>46304.62431239777</v>
      </c>
      <c r="G1096" t="b">
        <v>1</v>
      </c>
      <c r="I1096" t="inlineStr">
        <is>
          <t>AUD</t>
        </is>
      </c>
      <c r="J1096" t="n">
        <v>1.3002</v>
      </c>
      <c r="K1096" s="5" t="inlineStr">
        <is>
          <t>01a1212c-6896-70d6-844d-33deb9ce2d14</t>
        </is>
      </c>
      <c r="L1096" s="5" t="inlineStr">
        <is>
          <t>01a1212c-b349-71cd-b6ad-2d162f34bcd9</t>
        </is>
      </c>
      <c r="M1096" s="6" t="n">
        <v>45839</v>
      </c>
    </row>
    <row r="1097">
      <c r="A1097" s="5" t="inlineStr">
        <is>
          <t>01a1212c-b576-757a-b82b-99f0613ba7cf</t>
        </is>
      </c>
      <c r="D1097" s="5" t="inlineStr">
        <is>
          <t>01a1212c-4b57-70cf-80fd-c2192cb3bf81</t>
        </is>
      </c>
      <c r="E1097" s="4" t="n">
        <v>46304.62431248614</v>
      </c>
      <c r="F1097" s="4" t="n">
        <v>46304.62431248623</v>
      </c>
      <c r="G1097" t="b">
        <v>1</v>
      </c>
      <c r="I1097" t="inlineStr">
        <is>
          <t>AUD</t>
        </is>
      </c>
      <c r="J1097" t="n">
        <v>1.3002</v>
      </c>
      <c r="K1097" s="5" t="inlineStr">
        <is>
          <t>01a1212c-6d0a-76f3-b162-b89428bc8b86</t>
        </is>
      </c>
      <c r="L1097" s="5" t="inlineStr">
        <is>
          <t>01a1212c-b349-71cd-b6ad-2d162f34bcd9</t>
        </is>
      </c>
      <c r="M1097" s="6" t="n">
        <v>45839</v>
      </c>
    </row>
    <row r="1098">
      <c r="A1098" s="5" t="inlineStr">
        <is>
          <t>01a1212c-b57c-756f-9e6f-116f4146bd60</t>
        </is>
      </c>
      <c r="D1098" s="5" t="inlineStr">
        <is>
          <t>01a1212c-4b57-70cf-80fd-c2192cb3bf81</t>
        </is>
      </c>
      <c r="E1098" s="4" t="n">
        <v>46304.62431255837</v>
      </c>
      <c r="F1098" s="4" t="n">
        <v>46304.62431255844</v>
      </c>
      <c r="G1098" t="b">
        <v>1</v>
      </c>
      <c r="I1098" t="inlineStr">
        <is>
          <t>AUD</t>
        </is>
      </c>
      <c r="J1098" t="n">
        <v>1.3002</v>
      </c>
      <c r="K1098" s="5" t="inlineStr">
        <is>
          <t>01a1212c-7479-730c-8151-93b8e93442c2</t>
        </is>
      </c>
      <c r="L1098" s="5" t="inlineStr">
        <is>
          <t>01a1212c-b349-71cd-b6ad-2d162f34bcd9</t>
        </is>
      </c>
      <c r="M1098" s="6" t="n">
        <v>45839</v>
      </c>
    </row>
    <row r="1099">
      <c r="A1099" s="5" t="inlineStr">
        <is>
          <t>01a1212c-b583-758f-9b72-e8963b4c07ed</t>
        </is>
      </c>
      <c r="D1099" s="5" t="inlineStr">
        <is>
          <t>01a1212c-4b57-70cf-80fd-c2192cb3bf81</t>
        </is>
      </c>
      <c r="E1099" s="4" t="n">
        <v>46304.62431263101</v>
      </c>
      <c r="F1099" s="4" t="n">
        <v>46304.62431263107</v>
      </c>
      <c r="G1099" t="b">
        <v>1</v>
      </c>
      <c r="I1099" t="inlineStr">
        <is>
          <t>AUD</t>
        </is>
      </c>
      <c r="J1099" t="n">
        <v>1.3002</v>
      </c>
      <c r="K1099" s="5" t="inlineStr">
        <is>
          <t>01a1212c-74e5-7395-a1a4-2bc2487a534d</t>
        </is>
      </c>
      <c r="L1099" s="5" t="inlineStr">
        <is>
          <t>01a1212c-b349-71cd-b6ad-2d162f34bcd9</t>
        </is>
      </c>
      <c r="M1099" s="6" t="n">
        <v>45839</v>
      </c>
    </row>
    <row r="1100">
      <c r="A1100" s="5" t="inlineStr">
        <is>
          <t>01a1212c-b589-72ce-b4fe-49cce0eb7fa4</t>
        </is>
      </c>
      <c r="D1100" s="5" t="inlineStr">
        <is>
          <t>01a1212c-4b57-70cf-80fd-c2192cb3bf81</t>
        </is>
      </c>
      <c r="E1100" s="4" t="n">
        <v>46304.62431270107</v>
      </c>
      <c r="F1100" s="4" t="n">
        <v>46304.62431270115</v>
      </c>
      <c r="G1100" t="b">
        <v>1</v>
      </c>
      <c r="I1100" t="inlineStr">
        <is>
          <t>AUD</t>
        </is>
      </c>
      <c r="J1100" t="n">
        <v>1.3593</v>
      </c>
      <c r="K1100" s="5" t="inlineStr">
        <is>
          <t>01a1212c-6d8a-7538-8ed2-1bed262cc3a3</t>
        </is>
      </c>
      <c r="L1100" s="5" t="inlineStr">
        <is>
          <t>01a1212c-b349-71cd-b6ad-2d162f34bcd9</t>
        </is>
      </c>
      <c r="M1100" s="6" t="n">
        <v>45839</v>
      </c>
    </row>
    <row r="1101">
      <c r="A1101" s="5" t="inlineStr">
        <is>
          <t>01a1212c-b58f-743e-9ff1-d6aff93dc474</t>
        </is>
      </c>
      <c r="D1101" s="5" t="inlineStr">
        <is>
          <t>01a1212c-4b57-70cf-80fd-c2192cb3bf81</t>
        </is>
      </c>
      <c r="E1101" s="4" t="n">
        <v>46304.62431277027</v>
      </c>
      <c r="F1101" s="4" t="n">
        <v>46304.62431277033</v>
      </c>
      <c r="G1101" t="b">
        <v>1</v>
      </c>
      <c r="I1101" t="inlineStr">
        <is>
          <t>AUD</t>
        </is>
      </c>
      <c r="J1101" t="n">
        <v>1.3593</v>
      </c>
      <c r="K1101" s="5" t="inlineStr">
        <is>
          <t>01a1212c-6f14-75ce-b122-ae5ab106d8e8</t>
        </is>
      </c>
      <c r="L1101" s="5" t="inlineStr">
        <is>
          <t>01a1212c-b349-71cd-b6ad-2d162f34bcd9</t>
        </is>
      </c>
      <c r="M1101" s="6" t="n">
        <v>45839</v>
      </c>
    </row>
    <row r="1102">
      <c r="A1102" s="5" t="inlineStr">
        <is>
          <t>01a1212c-b595-7613-a898-4326865d055d</t>
        </is>
      </c>
      <c r="D1102" s="5" t="inlineStr">
        <is>
          <t>01a1212c-4b57-70cf-80fd-c2192cb3bf81</t>
        </is>
      </c>
      <c r="E1102" s="4" t="n">
        <v>46304.62431284057</v>
      </c>
      <c r="F1102" s="4" t="n">
        <v>46304.62431284063</v>
      </c>
      <c r="G1102" t="b">
        <v>1</v>
      </c>
      <c r="I1102" t="inlineStr">
        <is>
          <t>AUD</t>
        </is>
      </c>
      <c r="J1102" t="n">
        <v>1.3593</v>
      </c>
      <c r="K1102" s="5" t="inlineStr">
        <is>
          <t>01a1212c-7117-7388-8792-335c487cf88f</t>
        </is>
      </c>
      <c r="L1102" s="5" t="inlineStr">
        <is>
          <t>01a1212c-b349-71cd-b6ad-2d162f34bcd9</t>
        </is>
      </c>
      <c r="M1102" s="6" t="n">
        <v>45839</v>
      </c>
    </row>
    <row r="1103">
      <c r="A1103" s="5" t="inlineStr">
        <is>
          <t>01a1212c-b59b-702f-b7cd-f0ed7e9a420f</t>
        </is>
      </c>
      <c r="D1103" s="5" t="inlineStr">
        <is>
          <t>01a1212c-4b57-70cf-80fd-c2192cb3bf81</t>
        </is>
      </c>
      <c r="E1103" s="4" t="n">
        <v>46304.62431290674</v>
      </c>
      <c r="F1103" s="4" t="n">
        <v>46304.6243129068</v>
      </c>
      <c r="G1103" t="b">
        <v>1</v>
      </c>
      <c r="I1103" t="inlineStr">
        <is>
          <t>AUD</t>
        </is>
      </c>
      <c r="J1103" t="n">
        <v>1.3593</v>
      </c>
      <c r="K1103" s="5" t="inlineStr">
        <is>
          <t>01a1212c-7431-7269-8782-d6ec933249b5</t>
        </is>
      </c>
      <c r="L1103" s="5" t="inlineStr">
        <is>
          <t>01a1212c-b349-71cd-b6ad-2d162f34bcd9</t>
        </is>
      </c>
      <c r="M1103" s="6" t="n">
        <v>45839</v>
      </c>
    </row>
    <row r="1104">
      <c r="A1104" s="5" t="inlineStr">
        <is>
          <t>01a1212c-b5a1-7353-8a19-0719fe5cb186</t>
        </is>
      </c>
      <c r="D1104" s="5" t="inlineStr">
        <is>
          <t>01a1212c-4b57-70cf-80fd-c2192cb3bf81</t>
        </is>
      </c>
      <c r="E1104" s="4" t="n">
        <v>46304.62431297804</v>
      </c>
      <c r="F1104" s="4" t="n">
        <v>46304.62431297814</v>
      </c>
      <c r="G1104" t="b">
        <v>1</v>
      </c>
      <c r="I1104" t="inlineStr">
        <is>
          <t>AUD</t>
        </is>
      </c>
      <c r="J1104" t="n">
        <v>1.3593</v>
      </c>
      <c r="K1104" s="5" t="inlineStr">
        <is>
          <t>01a1212c-7aa5-75d5-bf94-ec295d881aed</t>
        </is>
      </c>
      <c r="L1104" s="5" t="inlineStr">
        <is>
          <t>01a1212c-b349-71cd-b6ad-2d162f34bcd9</t>
        </is>
      </c>
      <c r="M1104" s="6" t="n">
        <v>45839</v>
      </c>
    </row>
    <row r="1105">
      <c r="A1105" s="5" t="inlineStr">
        <is>
          <t>01a1212c-b5a7-7046-bf17-329c75300710</t>
        </is>
      </c>
      <c r="D1105" s="5" t="inlineStr">
        <is>
          <t>01a1212c-4b57-70cf-80fd-c2192cb3bf81</t>
        </is>
      </c>
      <c r="E1105" s="4" t="n">
        <v>46304.62431305088</v>
      </c>
      <c r="F1105" s="4" t="n">
        <v>46304.62431305095</v>
      </c>
      <c r="G1105" t="b">
        <v>1</v>
      </c>
      <c r="I1105" t="inlineStr">
        <is>
          <t>AUD</t>
        </is>
      </c>
      <c r="J1105" t="n">
        <v>1.4184</v>
      </c>
      <c r="K1105" s="5" t="inlineStr">
        <is>
          <t>01a1212c-6b44-7386-8841-c9a13ab8602b</t>
        </is>
      </c>
      <c r="L1105" s="5" t="inlineStr">
        <is>
          <t>01a1212c-b349-71cd-b6ad-2d162f34bcd9</t>
        </is>
      </c>
      <c r="M1105" s="6" t="n">
        <v>45839</v>
      </c>
    </row>
    <row r="1106">
      <c r="A1106" s="5" t="inlineStr">
        <is>
          <t>01a1212c-b5ad-731f-9993-c3616a4b8272</t>
        </is>
      </c>
      <c r="D1106" s="5" t="inlineStr">
        <is>
          <t>01a1212c-4b57-70cf-80fd-c2192cb3bf81</t>
        </is>
      </c>
      <c r="E1106" s="4" t="n">
        <v>46304.6243131209</v>
      </c>
      <c r="F1106" s="4" t="n">
        <v>46304.62431312097</v>
      </c>
      <c r="G1106" t="b">
        <v>1</v>
      </c>
      <c r="I1106" t="inlineStr">
        <is>
          <t>AUD</t>
        </is>
      </c>
      <c r="J1106" t="n">
        <v>1.4184</v>
      </c>
      <c r="K1106" s="5" t="inlineStr">
        <is>
          <t>01a1212c-70ec-7549-97f2-cc3906a47674</t>
        </is>
      </c>
      <c r="L1106" s="5" t="inlineStr">
        <is>
          <t>01a1212c-b349-71cd-b6ad-2d162f34bcd9</t>
        </is>
      </c>
      <c r="M1106" s="6" t="n">
        <v>45839</v>
      </c>
    </row>
    <row r="1107">
      <c r="A1107" s="5" t="inlineStr">
        <is>
          <t>01a1212c-b5b3-7632-aa86-c8639a73f8e3</t>
        </is>
      </c>
      <c r="D1107" s="5" t="inlineStr">
        <is>
          <t>01a1212c-4b57-70cf-80fd-c2192cb3bf81</t>
        </is>
      </c>
      <c r="E1107" s="4" t="n">
        <v>46304.62431318929</v>
      </c>
      <c r="F1107" s="4" t="n">
        <v>46304.62431318936</v>
      </c>
      <c r="G1107" t="b">
        <v>1</v>
      </c>
      <c r="I1107" t="inlineStr">
        <is>
          <t>AUD</t>
        </is>
      </c>
      <c r="J1107" t="n">
        <v>1.4184</v>
      </c>
      <c r="K1107" s="5" t="inlineStr">
        <is>
          <t>01a1212c-71ee-7697-ac4a-eeeb04d71bcc</t>
        </is>
      </c>
      <c r="L1107" s="5" t="inlineStr">
        <is>
          <t>01a1212c-b349-71cd-b6ad-2d162f34bcd9</t>
        </is>
      </c>
      <c r="M1107" s="6" t="n">
        <v>45839</v>
      </c>
    </row>
    <row r="1108">
      <c r="A1108" s="5" t="inlineStr">
        <is>
          <t>01a1212c-b5b9-70ba-8f6e-d52e6d7c9484</t>
        </is>
      </c>
      <c r="D1108" s="5" t="inlineStr">
        <is>
          <t>01a1212c-4b57-70cf-80fd-c2192cb3bf81</t>
        </is>
      </c>
      <c r="E1108" s="4" t="n">
        <v>46304.6243132571</v>
      </c>
      <c r="F1108" s="4" t="n">
        <v>46304.6243132572</v>
      </c>
      <c r="G1108" t="b">
        <v>1</v>
      </c>
      <c r="I1108" t="inlineStr">
        <is>
          <t>AUD</t>
        </is>
      </c>
      <c r="J1108" t="n">
        <v>1.4775</v>
      </c>
      <c r="K1108" s="5" t="inlineStr">
        <is>
          <t>01a1212c-6a2e-75f8-b19d-5dc788e0d375</t>
        </is>
      </c>
      <c r="L1108" s="5" t="inlineStr">
        <is>
          <t>01a1212c-b349-71cd-b6ad-2d162f34bcd9</t>
        </is>
      </c>
      <c r="M1108" s="6" t="n">
        <v>45839</v>
      </c>
    </row>
    <row r="1109">
      <c r="A1109" s="5" t="inlineStr">
        <is>
          <t>01a1212c-b5bf-75e0-a99d-85e524c8cbb0</t>
        </is>
      </c>
      <c r="D1109" s="5" t="inlineStr">
        <is>
          <t>01a1212c-4b57-70cf-80fd-c2192cb3bf81</t>
        </is>
      </c>
      <c r="E1109" s="4" t="n">
        <v>46304.62431332587</v>
      </c>
      <c r="F1109" s="4" t="n">
        <v>46304.62431332593</v>
      </c>
      <c r="G1109" t="b">
        <v>1</v>
      </c>
      <c r="I1109" t="inlineStr">
        <is>
          <t>AUD</t>
        </is>
      </c>
      <c r="J1109" t="n">
        <v>1.4775</v>
      </c>
      <c r="K1109" s="5" t="inlineStr">
        <is>
          <t>01a1212c-7000-7766-ae79-871c98d5aa0c</t>
        </is>
      </c>
      <c r="L1109" s="5" t="inlineStr">
        <is>
          <t>01a1212c-b349-71cd-b6ad-2d162f34bcd9</t>
        </is>
      </c>
      <c r="M1109" s="6" t="n">
        <v>45839</v>
      </c>
    </row>
    <row r="1110">
      <c r="A1110" s="5" t="inlineStr">
        <is>
          <t>01a1212c-b5c5-7445-9b1b-f630b9278f27</t>
        </is>
      </c>
      <c r="D1110" s="5" t="inlineStr">
        <is>
          <t>01a1212c-4b57-70cf-80fd-c2192cb3bf81</t>
        </is>
      </c>
      <c r="E1110" s="4" t="n">
        <v>46304.62431339364</v>
      </c>
      <c r="F1110" s="4" t="n">
        <v>46304.62431339372</v>
      </c>
      <c r="G1110" t="b">
        <v>1</v>
      </c>
      <c r="I1110" t="inlineStr">
        <is>
          <t>AUD</t>
        </is>
      </c>
      <c r="J1110" t="n">
        <v>1.5366</v>
      </c>
      <c r="K1110" s="5" t="inlineStr">
        <is>
          <t>01a1212c-6e7d-7269-818d-4fc41e4043b6</t>
        </is>
      </c>
      <c r="L1110" s="5" t="inlineStr">
        <is>
          <t>01a1212c-b349-71cd-b6ad-2d162f34bcd9</t>
        </is>
      </c>
      <c r="M1110" s="6" t="n">
        <v>45839</v>
      </c>
    </row>
    <row r="1111">
      <c r="A1111" s="5" t="inlineStr">
        <is>
          <t>01a1212c-b5cb-76e3-a7cd-9ca87ef420b8</t>
        </is>
      </c>
      <c r="D1111" s="5" t="inlineStr">
        <is>
          <t>01a1212c-4b57-70cf-80fd-c2192cb3bf81</t>
        </is>
      </c>
      <c r="E1111" s="4" t="n">
        <v>46304.62431346186</v>
      </c>
      <c r="F1111" s="4" t="n">
        <v>46304.62431346194</v>
      </c>
      <c r="G1111" t="b">
        <v>1</v>
      </c>
      <c r="I1111" t="inlineStr">
        <is>
          <t>AUD</t>
        </is>
      </c>
      <c r="J1111" t="n">
        <v>1.5366</v>
      </c>
      <c r="K1111" s="5" t="inlineStr">
        <is>
          <t>01a1212c-6f53-7010-bee2-43a946747025</t>
        </is>
      </c>
      <c r="L1111" s="5" t="inlineStr">
        <is>
          <t>01a1212c-b349-71cd-b6ad-2d162f34bcd9</t>
        </is>
      </c>
      <c r="M1111" s="6" t="n">
        <v>45839</v>
      </c>
    </row>
    <row r="1112">
      <c r="A1112" s="5" t="inlineStr">
        <is>
          <t>01a1212c-b5d0-74b5-9646-446b7a50e2ea</t>
        </is>
      </c>
      <c r="D1112" s="5" t="inlineStr">
        <is>
          <t>01a1212c-4b57-70cf-80fd-c2192cb3bf81</t>
        </is>
      </c>
      <c r="E1112" s="4" t="n">
        <v>46304.62431353117</v>
      </c>
      <c r="F1112" s="4" t="n">
        <v>46304.62431353125</v>
      </c>
      <c r="G1112" t="b">
        <v>1</v>
      </c>
      <c r="I1112" t="inlineStr">
        <is>
          <t>AUD</t>
        </is>
      </c>
      <c r="J1112" t="n">
        <v>1.5366</v>
      </c>
      <c r="K1112" s="5" t="inlineStr">
        <is>
          <t>01a1212c-703e-7558-9c38-d3ff61fb4ef7</t>
        </is>
      </c>
      <c r="L1112" s="5" t="inlineStr">
        <is>
          <t>01a1212c-b349-71cd-b6ad-2d162f34bcd9</t>
        </is>
      </c>
      <c r="M1112" s="6" t="n">
        <v>45839</v>
      </c>
    </row>
    <row r="1113">
      <c r="A1113" s="5" t="inlineStr">
        <is>
          <t>01a1212c-b5d6-7729-8bc5-4b8f285475e6</t>
        </is>
      </c>
      <c r="D1113" s="5" t="inlineStr">
        <is>
          <t>01a1212c-4b57-70cf-80fd-c2192cb3bf81</t>
        </is>
      </c>
      <c r="E1113" s="4" t="n">
        <v>46304.62431359875</v>
      </c>
      <c r="F1113" s="4" t="n">
        <v>46304.62431359882</v>
      </c>
      <c r="G1113" t="b">
        <v>1</v>
      </c>
      <c r="I1113" t="inlineStr">
        <is>
          <t>AUD</t>
        </is>
      </c>
      <c r="J1113" t="n">
        <v>1.5366</v>
      </c>
      <c r="K1113" s="5" t="inlineStr">
        <is>
          <t>01a1212c-71c3-7032-9840-53a08ae86f9c</t>
        </is>
      </c>
      <c r="L1113" s="5" t="inlineStr">
        <is>
          <t>01a1212c-b349-71cd-b6ad-2d162f34bcd9</t>
        </is>
      </c>
      <c r="M1113" s="6" t="n">
        <v>45839</v>
      </c>
    </row>
    <row r="1114">
      <c r="A1114" s="5" t="inlineStr">
        <is>
          <t>01a1212c-b5dc-7271-814b-19da1f6d10e0</t>
        </is>
      </c>
      <c r="D1114" s="5" t="inlineStr">
        <is>
          <t>01a1212c-4b57-70cf-80fd-c2192cb3bf81</t>
        </is>
      </c>
      <c r="E1114" s="4" t="n">
        <v>46304.62431366676</v>
      </c>
      <c r="F1114" s="4" t="n">
        <v>46304.62431366683</v>
      </c>
      <c r="G1114" t="b">
        <v>1</v>
      </c>
      <c r="I1114" t="inlineStr">
        <is>
          <t>AUD</t>
        </is>
      </c>
      <c r="J1114" t="n">
        <v>1.5957</v>
      </c>
      <c r="K1114" s="5" t="inlineStr">
        <is>
          <t>01a1212c-68f0-738d-8d20-79a1c973b960</t>
        </is>
      </c>
      <c r="L1114" s="5" t="inlineStr">
        <is>
          <t>01a1212c-b349-71cd-b6ad-2d162f34bcd9</t>
        </is>
      </c>
      <c r="M1114" s="6" t="n">
        <v>45839</v>
      </c>
    </row>
    <row r="1115">
      <c r="A1115" s="5" t="inlineStr">
        <is>
          <t>01a1212c-b5e2-75ca-8505-a17b75da173e</t>
        </is>
      </c>
      <c r="D1115" s="5" t="inlineStr">
        <is>
          <t>01a1212c-4b57-70cf-80fd-c2192cb3bf81</t>
        </is>
      </c>
      <c r="E1115" s="4" t="n">
        <v>46304.62431373644</v>
      </c>
      <c r="F1115" s="4" t="n">
        <v>46304.6243137365</v>
      </c>
      <c r="G1115" t="b">
        <v>1</v>
      </c>
      <c r="I1115" t="inlineStr">
        <is>
          <t>AUD</t>
        </is>
      </c>
      <c r="J1115" t="n">
        <v>1.5957</v>
      </c>
      <c r="K1115" s="5" t="inlineStr">
        <is>
          <t>01a1212c-6b1b-73e9-a54d-e62e154ff71c</t>
        </is>
      </c>
      <c r="L1115" s="5" t="inlineStr">
        <is>
          <t>01a1212c-b349-71cd-b6ad-2d162f34bcd9</t>
        </is>
      </c>
      <c r="M1115" s="6" t="n">
        <v>45839</v>
      </c>
    </row>
    <row r="1116">
      <c r="A1116" s="5" t="inlineStr">
        <is>
          <t>01a1212c-b5e8-77a3-b36f-8b37849f45fd</t>
        </is>
      </c>
      <c r="D1116" s="5" t="inlineStr">
        <is>
          <t>01a1212c-4b57-70cf-80fd-c2192cb3bf81</t>
        </is>
      </c>
      <c r="E1116" s="4" t="n">
        <v>46304.62431380533</v>
      </c>
      <c r="F1116" s="4" t="n">
        <v>46304.62431380541</v>
      </c>
      <c r="G1116" t="b">
        <v>1</v>
      </c>
      <c r="I1116" t="inlineStr">
        <is>
          <t>AUD</t>
        </is>
      </c>
      <c r="J1116" t="n">
        <v>1.6548</v>
      </c>
      <c r="K1116" s="5" t="inlineStr">
        <is>
          <t>01a1212c-6c1d-7297-ba65-fe335d60502e</t>
        </is>
      </c>
      <c r="L1116" s="5" t="inlineStr">
        <is>
          <t>01a1212c-b349-71cd-b6ad-2d162f34bcd9</t>
        </is>
      </c>
      <c r="M1116" s="6" t="n">
        <v>45839</v>
      </c>
    </row>
    <row r="1117">
      <c r="A1117" s="5" t="inlineStr">
        <is>
          <t>01a1212c-b5ee-73eb-9cf9-73628af72085</t>
        </is>
      </c>
      <c r="D1117" s="5" t="inlineStr">
        <is>
          <t>01a1212c-4b57-70cf-80fd-c2192cb3bf81</t>
        </is>
      </c>
      <c r="E1117" s="4" t="n">
        <v>46304.62431387569</v>
      </c>
      <c r="F1117" s="4" t="n">
        <v>46304.62431387576</v>
      </c>
      <c r="G1117" t="b">
        <v>1</v>
      </c>
      <c r="I1117" t="inlineStr">
        <is>
          <t>AUD</t>
        </is>
      </c>
      <c r="J1117" t="n">
        <v>1.6548</v>
      </c>
      <c r="K1117" s="5" t="inlineStr">
        <is>
          <t>01a1212c-6cb3-74c4-b753-3ced98bb4fa1</t>
        </is>
      </c>
      <c r="L1117" s="5" t="inlineStr">
        <is>
          <t>01a1212c-b349-71cd-b6ad-2d162f34bcd9</t>
        </is>
      </c>
      <c r="M1117" s="6" t="n">
        <v>45839</v>
      </c>
    </row>
    <row r="1118">
      <c r="A1118" s="5" t="inlineStr">
        <is>
          <t>01a1212c-b5f4-7395-8150-c1bd5db54d66</t>
        </is>
      </c>
      <c r="D1118" s="5" t="inlineStr">
        <is>
          <t>01a1212c-4b57-70cf-80fd-c2192cb3bf81</t>
        </is>
      </c>
      <c r="E1118" s="4" t="n">
        <v>46304.62431394646</v>
      </c>
      <c r="F1118" s="4" t="n">
        <v>46304.62431394652</v>
      </c>
      <c r="G1118" t="b">
        <v>1</v>
      </c>
      <c r="I1118" t="inlineStr">
        <is>
          <t>AUD</t>
        </is>
      </c>
      <c r="J1118" t="n">
        <v>1.7139</v>
      </c>
      <c r="K1118" s="5" t="inlineStr">
        <is>
          <t>01a1212c-6d61-7172-937f-90562bb7a3f9</t>
        </is>
      </c>
      <c r="L1118" s="5" t="inlineStr">
        <is>
          <t>01a1212c-b349-71cd-b6ad-2d162f34bcd9</t>
        </is>
      </c>
      <c r="M1118" s="6" t="n">
        <v>45839</v>
      </c>
    </row>
    <row r="1119">
      <c r="A1119" s="5" t="inlineStr">
        <is>
          <t>01a1212c-b5fa-70dc-b3a2-2da3f412563a</t>
        </is>
      </c>
      <c r="D1119" s="5" t="inlineStr">
        <is>
          <t>01a1212c-4b57-70cf-80fd-c2192cb3bf81</t>
        </is>
      </c>
      <c r="E1119" s="4" t="n">
        <v>46304.62431401458</v>
      </c>
      <c r="F1119" s="4" t="n">
        <v>46304.62431401465</v>
      </c>
      <c r="G1119" t="b">
        <v>1</v>
      </c>
      <c r="I1119" t="inlineStr">
        <is>
          <t>AUD</t>
        </is>
      </c>
      <c r="J1119" t="n">
        <v>1.773</v>
      </c>
      <c r="K1119" s="5" t="inlineStr">
        <is>
          <t>01a1212c-696e-7146-9e01-741d10f2bed2</t>
        </is>
      </c>
      <c r="L1119" s="5" t="inlineStr">
        <is>
          <t>01a1212c-b349-71cd-b6ad-2d162f34bcd9</t>
        </is>
      </c>
      <c r="M1119" s="6" t="n">
        <v>45839</v>
      </c>
    </row>
    <row r="1120">
      <c r="A1120" s="5" t="inlineStr">
        <is>
          <t>01a1212c-b600-7089-b9eb-110e30077ee9</t>
        </is>
      </c>
      <c r="D1120" s="5" t="inlineStr">
        <is>
          <t>01a1212c-4b57-70cf-80fd-c2192cb3bf81</t>
        </is>
      </c>
      <c r="E1120" s="4" t="n">
        <v>46304.62431408541</v>
      </c>
      <c r="F1120" s="4" t="n">
        <v>46304.62431408547</v>
      </c>
      <c r="G1120" t="b">
        <v>1</v>
      </c>
      <c r="I1120" t="inlineStr">
        <is>
          <t>AUD</t>
        </is>
      </c>
      <c r="J1120" t="n">
        <v>1.773</v>
      </c>
      <c r="K1120" s="5" t="inlineStr">
        <is>
          <t>01a1212c-69ed-703d-98c7-86793a7bce47</t>
        </is>
      </c>
      <c r="L1120" s="5" t="inlineStr">
        <is>
          <t>01a1212c-b349-71cd-b6ad-2d162f34bcd9</t>
        </is>
      </c>
      <c r="M1120" s="6" t="n">
        <v>45839</v>
      </c>
    </row>
    <row r="1121">
      <c r="A1121" s="5" t="inlineStr">
        <is>
          <t>01a1212c-b606-770e-a7ce-8efbeabc1121</t>
        </is>
      </c>
      <c r="D1121" s="5" t="inlineStr">
        <is>
          <t>01a1212c-4b57-70cf-80fd-c2192cb3bf81</t>
        </is>
      </c>
      <c r="E1121" s="4" t="n">
        <v>46304.62431415371</v>
      </c>
      <c r="F1121" s="4" t="n">
        <v>46304.62431415379</v>
      </c>
      <c r="G1121" t="b">
        <v>1</v>
      </c>
      <c r="I1121" t="inlineStr">
        <is>
          <t>AUD</t>
        </is>
      </c>
      <c r="J1121" t="n">
        <v>1.8321</v>
      </c>
      <c r="K1121" s="5" t="inlineStr">
        <is>
          <t>01a1212c-6ac3-7045-85af-681a40396939</t>
        </is>
      </c>
      <c r="L1121" s="5" t="inlineStr">
        <is>
          <t>01a1212c-b349-71cd-b6ad-2d162f34bcd9</t>
        </is>
      </c>
      <c r="M1121" s="6" t="n">
        <v>45839</v>
      </c>
    </row>
    <row r="1122">
      <c r="A1122" s="5" t="inlineStr">
        <is>
          <t>01a1212c-b60c-778a-ba29-22b76cefc663</t>
        </is>
      </c>
      <c r="D1122" s="5" t="inlineStr">
        <is>
          <t>01a1212c-4b57-70cf-80fd-c2192cb3bf81</t>
        </is>
      </c>
      <c r="E1122" s="4" t="n">
        <v>46304.62431422494</v>
      </c>
      <c r="F1122" s="4" t="n">
        <v>46304.62431422502</v>
      </c>
      <c r="G1122" t="b">
        <v>1</v>
      </c>
      <c r="I1122" t="inlineStr">
        <is>
          <t>AUD</t>
        </is>
      </c>
      <c r="J1122" t="n">
        <v>1.8912</v>
      </c>
      <c r="K1122" s="5" t="inlineStr">
        <is>
          <t>01a1212c-692f-76c3-8991-b28be5dbbe78</t>
        </is>
      </c>
      <c r="L1122" s="5" t="inlineStr">
        <is>
          <t>01a1212c-b349-71cd-b6ad-2d162f34bcd9</t>
        </is>
      </c>
      <c r="M1122" s="6" t="n">
        <v>45839</v>
      </c>
    </row>
    <row r="1123">
      <c r="A1123" s="5" t="inlineStr">
        <is>
          <t>01a1212c-b613-74f5-951f-8a111b0995b8</t>
        </is>
      </c>
      <c r="D1123" s="5" t="inlineStr">
        <is>
          <t>01a1212c-4b57-70cf-80fd-c2192cb3bf81</t>
        </is>
      </c>
      <c r="E1123" s="4" t="n">
        <v>46304.62431430077</v>
      </c>
      <c r="F1123" s="4" t="n">
        <v>46304.62431430085</v>
      </c>
      <c r="G1123" t="b">
        <v>1</v>
      </c>
      <c r="I1123" t="inlineStr">
        <is>
          <t>AUD</t>
        </is>
      </c>
      <c r="J1123" t="n">
        <v>2.186</v>
      </c>
      <c r="K1123" s="5" t="inlineStr">
        <is>
          <t>01a1212c-68c3-7400-8c25-aa53cd5ab679</t>
        </is>
      </c>
      <c r="L1123" s="5" t="inlineStr">
        <is>
          <t>01a1212c-b349-71cd-b6ad-2d162f34bcd9</t>
        </is>
      </c>
      <c r="M1123" s="6" t="n">
        <v>45839</v>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AJ127"/>
  <sheetViews>
    <sheetView workbookViewId="0">
      <pane ySplit="1" topLeftCell="A2" activePane="bottomLeft" state="frozen"/>
      <selection pane="bottomLeft" activeCell="A1" sqref="A1"/>
    </sheetView>
  </sheetViews>
  <sheetFormatPr baseColWidth="8" defaultRowHeight="15"/>
  <cols>
    <col width="38.2" customWidth="1" min="1" max="1"/>
    <col width="19.2" customWidth="1" min="2" max="2"/>
    <col width="38.2" customWidth="1" min="3" max="3"/>
    <col width="28.2" customWidth="1" min="4" max="4"/>
    <col width="28.2" customWidth="1" min="5" max="5"/>
    <col width="11.2" customWidth="1" min="6" max="6"/>
    <col width="63.2" customWidth="1" min="7" max="7"/>
    <col width="30.2" customWidth="1" min="8" max="8"/>
    <col width="18.2" customWidth="1" min="9" max="9"/>
    <col width="12.2" customWidth="1" min="10" max="10"/>
    <col width="10.2" customWidth="1" min="11" max="11"/>
    <col width="6.2" customWidth="1" min="12" max="12"/>
    <col width="30.2" customWidth="1" min="13" max="13"/>
    <col width="15.2" customWidth="1" min="14" max="14"/>
    <col width="37.2" customWidth="1" min="15" max="15"/>
    <col width="28.2" customWidth="1" min="16" max="16"/>
    <col width="35.2" customWidth="1" min="17" max="17"/>
    <col width="26.2" customWidth="1" min="18" max="18"/>
    <col width="32.2" customWidth="1" min="19" max="19"/>
    <col width="23.2" customWidth="1" min="20" max="20"/>
    <col width="29.2" customWidth="1" min="21" max="21"/>
    <col width="20.2" customWidth="1" min="22" max="22"/>
    <col width="27.2" customWidth="1" min="23" max="23"/>
    <col width="18.2" customWidth="1" min="24" max="24"/>
    <col width="31.2" customWidth="1" min="25" max="25"/>
    <col width="44.2" customWidth="1" min="26" max="26"/>
    <col width="35.2" customWidth="1" min="27" max="27"/>
    <col width="42.2" customWidth="1" min="28" max="28"/>
    <col width="33.2" customWidth="1" min="29" max="29"/>
    <col width="44.2" customWidth="1" min="30" max="30"/>
    <col width="35.2" customWidth="1" min="31" max="31"/>
    <col width="36.2" customWidth="1" min="32" max="32"/>
    <col width="27.2" customWidth="1" min="33" max="33"/>
    <col width="46.2" customWidth="1" min="34" max="34"/>
    <col width="37.2" customWidth="1" min="35" max="35"/>
    <col width="38.2" customWidth="1" min="36" max="36"/>
  </cols>
  <sheetData>
    <row r="1" ht="32" customHeight="1">
      <c r="A1" s="1" t="inlineStr">
        <is>
          <t>id</t>
        </is>
      </c>
      <c r="B1" s="1" t="inlineStr">
        <is>
          <t>legacy_id</t>
        </is>
      </c>
      <c r="C1" s="1" t="inlineStr">
        <is>
          <t>account_id</t>
        </is>
      </c>
      <c r="D1" s="1" t="inlineStr">
        <is>
          <t>created_at</t>
        </is>
      </c>
      <c r="E1" s="1" t="inlineStr">
        <is>
          <t>updated_at</t>
        </is>
      </c>
      <c r="F1" s="1" t="inlineStr">
        <is>
          <t>is_active</t>
        </is>
      </c>
      <c r="G1" s="1" t="inlineStr">
        <is>
          <t>notes</t>
        </is>
      </c>
      <c r="H1" s="1" t="inlineStr">
        <is>
          <t>description</t>
        </is>
      </c>
      <c r="I1" s="1" t="inlineStr">
        <is>
          <t>instrument__name</t>
        </is>
      </c>
      <c r="J1" s="1" t="inlineStr">
        <is>
          <t>date</t>
        </is>
      </c>
      <c r="K1" s="1" t="inlineStr">
        <is>
          <t>quantity</t>
        </is>
      </c>
      <c r="L1" s="1" t="inlineStr">
        <is>
          <t>file</t>
        </is>
      </c>
      <c r="M1" s="1" t="inlineStr">
        <is>
          <t>calculated_fiscal_year__name</t>
        </is>
      </c>
      <c r="N1" s="1" t="inlineStr">
        <is>
          <t>dividend_type</t>
        </is>
      </c>
      <c r="O1" s="1" t="inlineStr">
        <is>
          <t>unfranked_amount_per_share_currency</t>
        </is>
      </c>
      <c r="P1" s="1" t="inlineStr">
        <is>
          <t>unfranked_amount_per_share</t>
        </is>
      </c>
      <c r="Q1" s="1" t="inlineStr">
        <is>
          <t>franked_amount_per_share_currency</t>
        </is>
      </c>
      <c r="R1" s="1" t="inlineStr">
        <is>
          <t>franked_amount_per_share</t>
        </is>
      </c>
      <c r="S1" s="1" t="inlineStr">
        <is>
          <t>local_withholding_tax_currency</t>
        </is>
      </c>
      <c r="T1" s="1" t="inlineStr">
        <is>
          <t>local_withholding_tax</t>
        </is>
      </c>
      <c r="U1" s="1" t="inlineStr">
        <is>
          <t>foreign_tax_credit_currency</t>
        </is>
      </c>
      <c r="V1" s="1" t="inlineStr">
        <is>
          <t>foreign_tax_credit</t>
        </is>
      </c>
      <c r="W1" s="1" t="inlineStr">
        <is>
          <t>lic_capital_gain_currency</t>
        </is>
      </c>
      <c r="X1" s="1" t="inlineStr">
        <is>
          <t>lic_capital_gain</t>
        </is>
      </c>
      <c r="Y1" s="1" t="inlineStr">
        <is>
          <t>corporate_tax_rate_percentage</t>
        </is>
      </c>
      <c r="Z1" s="1" t="inlineStr">
        <is>
          <t>calculated_total_unfranked_amount_currency</t>
        </is>
      </c>
      <c r="AA1" s="1" t="inlineStr">
        <is>
          <t>calculated_total_unfranked_amount</t>
        </is>
      </c>
      <c r="AB1" s="1" t="inlineStr">
        <is>
          <t>calculated_total_franked_amount_currency</t>
        </is>
      </c>
      <c r="AC1" s="1" t="inlineStr">
        <is>
          <t>calculated_total_franked_amount</t>
        </is>
      </c>
      <c r="AD1" s="1" t="inlineStr">
        <is>
          <t>calculated_total_franking_credits_currency</t>
        </is>
      </c>
      <c r="AE1" s="1" t="inlineStr">
        <is>
          <t>calculated_total_franking_credits</t>
        </is>
      </c>
      <c r="AF1" s="1" t="inlineStr">
        <is>
          <t>calculated_total_dividend_currency</t>
        </is>
      </c>
      <c r="AG1" s="1" t="inlineStr">
        <is>
          <t>calculated_total_dividend</t>
        </is>
      </c>
      <c r="AH1" s="1" t="inlineStr">
        <is>
          <t>calculated_total_dividend_converted_currency</t>
        </is>
      </c>
      <c r="AI1" s="1" t="inlineStr">
        <is>
          <t>calculated_total_dividend_converted</t>
        </is>
      </c>
      <c r="AJ1" s="1" t="inlineStr">
        <is>
          <t>exchange_rate_id</t>
        </is>
      </c>
    </row>
    <row r="2">
      <c r="A2" s="5" t="inlineStr">
        <is>
          <t>01a1212c-bab2-708b-a498-150a25d6cfa6</t>
        </is>
      </c>
      <c r="B2" t="inlineStr">
        <is>
          <t>2017-03-29_TLS.AX</t>
        </is>
      </c>
      <c r="C2" s="5" t="inlineStr">
        <is>
          <t>01a1212c-4b57-70cf-80fd-c2192cb3bf81</t>
        </is>
      </c>
      <c r="D2" s="4" t="n">
        <v>46304.62432800166</v>
      </c>
      <c r="E2" s="4" t="n">
        <v>46304.62432800174</v>
      </c>
      <c r="F2" t="b">
        <v>1</v>
      </c>
      <c r="G2" t="inlineStr">
        <is>
          <t>FAKE DATA - generated for demonstration, not a real portfolio</t>
        </is>
      </c>
      <c r="H2" t="inlineStr">
        <is>
          <t>2017-03-29 | Dividend | TLS</t>
        </is>
      </c>
      <c r="I2" t="inlineStr">
        <is>
          <t>TLS</t>
        </is>
      </c>
      <c r="J2" s="6" t="n">
        <v>42823</v>
      </c>
      <c r="K2" t="n">
        <v>195</v>
      </c>
      <c r="L2" t="inlineStr"/>
      <c r="M2" t="inlineStr">
        <is>
          <t>FY2016/17</t>
        </is>
      </c>
      <c r="N2" t="inlineStr">
        <is>
          <t>LOCAL</t>
        </is>
      </c>
      <c r="O2" t="inlineStr">
        <is>
          <t>AUD</t>
        </is>
      </c>
      <c r="P2" t="n">
        <v>0</v>
      </c>
      <c r="Q2" t="inlineStr">
        <is>
          <t>AUD</t>
        </is>
      </c>
      <c r="R2" t="n">
        <v>0.155</v>
      </c>
      <c r="S2" t="inlineStr">
        <is>
          <t>AUD</t>
        </is>
      </c>
      <c r="T2" t="n">
        <v>0</v>
      </c>
      <c r="U2" t="inlineStr">
        <is>
          <t>AUD</t>
        </is>
      </c>
      <c r="V2" t="n">
        <v>0</v>
      </c>
      <c r="W2" t="inlineStr">
        <is>
          <t>AUD</t>
        </is>
      </c>
      <c r="X2" t="n">
        <v>0</v>
      </c>
      <c r="Y2" t="n">
        <v>30</v>
      </c>
      <c r="Z2" t="inlineStr">
        <is>
          <t>AUD</t>
        </is>
      </c>
      <c r="AA2" t="n">
        <v>0</v>
      </c>
      <c r="AB2" t="inlineStr">
        <is>
          <t>AUD</t>
        </is>
      </c>
      <c r="AC2" t="n">
        <v>30.225</v>
      </c>
      <c r="AD2" t="inlineStr">
        <is>
          <t>AUD</t>
        </is>
      </c>
      <c r="AE2" t="n">
        <v>12.953571</v>
      </c>
      <c r="AF2" t="inlineStr">
        <is>
          <t>AUD</t>
        </is>
      </c>
      <c r="AG2" t="n">
        <v>30.225</v>
      </c>
      <c r="AH2" t="inlineStr">
        <is>
          <t>AUD</t>
        </is>
      </c>
      <c r="AI2" t="n">
        <v>30.225</v>
      </c>
      <c r="AJ2" t="n">
        <v/>
      </c>
    </row>
    <row r="3">
      <c r="A3" s="5" t="inlineStr">
        <is>
          <t>01a1212c-bab6-75d7-9585-c71f2e0e9333</t>
        </is>
      </c>
      <c r="B3" t="inlineStr">
        <is>
          <t>2017-05-14_AAPL</t>
        </is>
      </c>
      <c r="C3" s="5" t="inlineStr">
        <is>
          <t>01a1212c-4b57-70cf-80fd-c2192cb3bf81</t>
        </is>
      </c>
      <c r="D3" s="4" t="n">
        <v>46304.62432805823</v>
      </c>
      <c r="E3" s="4" t="n">
        <v>46304.62432805831</v>
      </c>
      <c r="F3" t="b">
        <v>1</v>
      </c>
      <c r="G3" t="n">
        <v/>
      </c>
      <c r="H3" t="inlineStr">
        <is>
          <t>2017-05-14 | Dividend | AAPL</t>
        </is>
      </c>
      <c r="I3" t="inlineStr">
        <is>
          <t>AAPL</t>
        </is>
      </c>
      <c r="J3" s="6" t="n">
        <v>42869</v>
      </c>
      <c r="K3" t="n">
        <v>4</v>
      </c>
      <c r="L3" t="inlineStr"/>
      <c r="M3" t="inlineStr">
        <is>
          <t>FY2016/17</t>
        </is>
      </c>
      <c r="N3" t="inlineStr">
        <is>
          <t>FOREIGN</t>
        </is>
      </c>
      <c r="O3" t="inlineStr">
        <is>
          <t>USD</t>
        </is>
      </c>
      <c r="P3" t="n">
        <v>0.63</v>
      </c>
      <c r="Q3" t="inlineStr">
        <is>
          <t>USD</t>
        </is>
      </c>
      <c r="R3" t="n">
        <v>0</v>
      </c>
      <c r="S3" t="inlineStr">
        <is>
          <t>USD</t>
        </is>
      </c>
      <c r="T3" t="n">
        <v>0</v>
      </c>
      <c r="U3" t="inlineStr">
        <is>
          <t>USD</t>
        </is>
      </c>
      <c r="V3" t="n">
        <v>0.38</v>
      </c>
      <c r="W3" t="inlineStr">
        <is>
          <t>USD</t>
        </is>
      </c>
      <c r="X3" t="n">
        <v>0</v>
      </c>
      <c r="Y3" t="n">
        <v>30</v>
      </c>
      <c r="Z3" t="inlineStr">
        <is>
          <t>USD</t>
        </is>
      </c>
      <c r="AA3" t="n">
        <v>2.52</v>
      </c>
      <c r="AB3" t="inlineStr">
        <is>
          <t>USD</t>
        </is>
      </c>
      <c r="AC3" t="n">
        <v>0</v>
      </c>
      <c r="AD3" t="inlineStr">
        <is>
          <t>USD</t>
        </is>
      </c>
      <c r="AE3" t="n">
        <v>0</v>
      </c>
      <c r="AF3" t="inlineStr">
        <is>
          <t>USD</t>
        </is>
      </c>
      <c r="AG3" t="n">
        <v>2.52</v>
      </c>
      <c r="AH3" t="inlineStr">
        <is>
          <t>AUD</t>
        </is>
      </c>
      <c r="AI3" t="n">
        <v>3.78</v>
      </c>
      <c r="AJ3" s="5" t="inlineStr">
        <is>
          <t>01a1212c-bab7-723d-9f86-d0011a2f7e01</t>
        </is>
      </c>
    </row>
    <row r="4">
      <c r="A4" s="5" t="inlineStr">
        <is>
          <t>01a1212c-babb-7701-816d-c7b516474e80</t>
        </is>
      </c>
      <c r="B4" t="inlineStr">
        <is>
          <t>2017-06-06_MSFT</t>
        </is>
      </c>
      <c r="C4" s="5" t="inlineStr">
        <is>
          <t>01a1212c-4b57-70cf-80fd-c2192cb3bf81</t>
        </is>
      </c>
      <c r="D4" s="4" t="n">
        <v>46304.6243281092</v>
      </c>
      <c r="E4" s="4" t="n">
        <v>46304.62432810927</v>
      </c>
      <c r="F4" t="b">
        <v>1</v>
      </c>
      <c r="G4" t="n">
        <v/>
      </c>
      <c r="H4" t="inlineStr">
        <is>
          <t>2017-06-06 | Dividend | MSFT</t>
        </is>
      </c>
      <c r="I4" t="inlineStr">
        <is>
          <t>MSFT</t>
        </is>
      </c>
      <c r="J4" s="6" t="n">
        <v>42892</v>
      </c>
      <c r="K4" t="n">
        <v>14</v>
      </c>
      <c r="L4" t="inlineStr"/>
      <c r="M4" t="inlineStr">
        <is>
          <t>FY2016/17</t>
        </is>
      </c>
      <c r="N4" t="inlineStr">
        <is>
          <t>FOREIGN</t>
        </is>
      </c>
      <c r="O4" t="inlineStr">
        <is>
          <t>USD</t>
        </is>
      </c>
      <c r="P4" t="n">
        <v>0.39</v>
      </c>
      <c r="Q4" t="inlineStr">
        <is>
          <t>USD</t>
        </is>
      </c>
      <c r="R4" t="n">
        <v>0</v>
      </c>
      <c r="S4" t="inlineStr">
        <is>
          <t>USD</t>
        </is>
      </c>
      <c r="T4" t="n">
        <v>0</v>
      </c>
      <c r="U4" t="inlineStr">
        <is>
          <t>USD</t>
        </is>
      </c>
      <c r="V4" t="n">
        <v>0.82</v>
      </c>
      <c r="W4" t="inlineStr">
        <is>
          <t>USD</t>
        </is>
      </c>
      <c r="X4" t="n">
        <v>0</v>
      </c>
      <c r="Y4" t="n">
        <v>30</v>
      </c>
      <c r="Z4" t="inlineStr">
        <is>
          <t>USD</t>
        </is>
      </c>
      <c r="AA4" t="n">
        <v>5.46</v>
      </c>
      <c r="AB4" t="inlineStr">
        <is>
          <t>USD</t>
        </is>
      </c>
      <c r="AC4" t="n">
        <v>0</v>
      </c>
      <c r="AD4" t="inlineStr">
        <is>
          <t>USD</t>
        </is>
      </c>
      <c r="AE4" t="n">
        <v>0</v>
      </c>
      <c r="AF4" t="inlineStr">
        <is>
          <t>USD</t>
        </is>
      </c>
      <c r="AG4" t="n">
        <v>5.46</v>
      </c>
      <c r="AH4" t="inlineStr">
        <is>
          <t>AUD</t>
        </is>
      </c>
      <c r="AI4" t="n">
        <v>8.19</v>
      </c>
      <c r="AJ4" s="5" t="inlineStr">
        <is>
          <t>01a1212c-babb-7701-816d-c7b68b99f17a</t>
        </is>
      </c>
    </row>
    <row r="5">
      <c r="A5" s="5" t="inlineStr">
        <is>
          <t>01a1212c-babf-730c-8081-1dc8f1233438</t>
        </is>
      </c>
      <c r="B5" t="inlineStr">
        <is>
          <t>2017-08-13_AAPL</t>
        </is>
      </c>
      <c r="C5" s="5" t="inlineStr">
        <is>
          <t>01a1212c-4b57-70cf-80fd-c2192cb3bf81</t>
        </is>
      </c>
      <c r="D5" s="4" t="n">
        <v>46304.62432815719</v>
      </c>
      <c r="E5" s="4" t="n">
        <v>46304.62432815725</v>
      </c>
      <c r="F5" t="b">
        <v>1</v>
      </c>
      <c r="G5" t="n">
        <v/>
      </c>
      <c r="H5" t="inlineStr">
        <is>
          <t>2017-08-13 | Dividend | AAPL</t>
        </is>
      </c>
      <c r="I5" t="inlineStr">
        <is>
          <t>AAPL</t>
        </is>
      </c>
      <c r="J5" s="6" t="n">
        <v>42960</v>
      </c>
      <c r="K5" t="n">
        <v>14</v>
      </c>
      <c r="L5" t="inlineStr"/>
      <c r="M5" t="inlineStr">
        <is>
          <t>FY2017/18</t>
        </is>
      </c>
      <c r="N5" t="inlineStr">
        <is>
          <t>FOREIGN</t>
        </is>
      </c>
      <c r="O5" t="inlineStr">
        <is>
          <t>USD</t>
        </is>
      </c>
      <c r="P5" t="n">
        <v>0.63</v>
      </c>
      <c r="Q5" t="inlineStr">
        <is>
          <t>USD</t>
        </is>
      </c>
      <c r="R5" t="n">
        <v>0</v>
      </c>
      <c r="S5" t="inlineStr">
        <is>
          <t>USD</t>
        </is>
      </c>
      <c r="T5" t="n">
        <v>0</v>
      </c>
      <c r="U5" t="inlineStr">
        <is>
          <t>USD</t>
        </is>
      </c>
      <c r="V5" t="n">
        <v>1.32</v>
      </c>
      <c r="W5" t="inlineStr">
        <is>
          <t>USD</t>
        </is>
      </c>
      <c r="X5" t="n">
        <v>0</v>
      </c>
      <c r="Y5" t="n">
        <v>30</v>
      </c>
      <c r="Z5" t="inlineStr">
        <is>
          <t>USD</t>
        </is>
      </c>
      <c r="AA5" t="n">
        <v>8.82</v>
      </c>
      <c r="AB5" t="inlineStr">
        <is>
          <t>USD</t>
        </is>
      </c>
      <c r="AC5" t="n">
        <v>0</v>
      </c>
      <c r="AD5" t="inlineStr">
        <is>
          <t>USD</t>
        </is>
      </c>
      <c r="AE5" t="n">
        <v>0</v>
      </c>
      <c r="AF5" t="inlineStr">
        <is>
          <t>USD</t>
        </is>
      </c>
      <c r="AG5" t="n">
        <v>8.82</v>
      </c>
      <c r="AH5" t="inlineStr">
        <is>
          <t>AUD</t>
        </is>
      </c>
      <c r="AI5" t="n">
        <v>13.23</v>
      </c>
      <c r="AJ5" s="5" t="inlineStr">
        <is>
          <t>01a1212c-babf-730c-8081-1dc9fd788c85</t>
        </is>
      </c>
    </row>
    <row r="6">
      <c r="A6" s="5" t="inlineStr">
        <is>
          <t>01a1212c-bac3-76b0-9994-b7cf3654fcf5</t>
        </is>
      </c>
      <c r="B6" t="inlineStr">
        <is>
          <t>2017-09-05_MSFT</t>
        </is>
      </c>
      <c r="C6" s="5" t="inlineStr">
        <is>
          <t>01a1212c-4b57-70cf-80fd-c2192cb3bf81</t>
        </is>
      </c>
      <c r="D6" s="4" t="n">
        <v>46304.62432820306</v>
      </c>
      <c r="E6" s="4" t="n">
        <v>46304.62432820313</v>
      </c>
      <c r="F6" t="b">
        <v>1</v>
      </c>
      <c r="G6" t="n">
        <v/>
      </c>
      <c r="H6" t="inlineStr">
        <is>
          <t>2017-09-05 | Dividend | MSFT</t>
        </is>
      </c>
      <c r="I6" t="inlineStr">
        <is>
          <t>MSFT</t>
        </is>
      </c>
      <c r="J6" s="6" t="n">
        <v>42983</v>
      </c>
      <c r="K6" t="n">
        <v>30</v>
      </c>
      <c r="L6" t="inlineStr"/>
      <c r="M6" t="inlineStr">
        <is>
          <t>FY2017/18</t>
        </is>
      </c>
      <c r="N6" t="inlineStr">
        <is>
          <t>FOREIGN</t>
        </is>
      </c>
      <c r="O6" t="inlineStr">
        <is>
          <t>USD</t>
        </is>
      </c>
      <c r="P6" t="n">
        <v>0.39</v>
      </c>
      <c r="Q6" t="inlineStr">
        <is>
          <t>USD</t>
        </is>
      </c>
      <c r="R6" t="n">
        <v>0</v>
      </c>
      <c r="S6" t="inlineStr">
        <is>
          <t>USD</t>
        </is>
      </c>
      <c r="T6" t="n">
        <v>0</v>
      </c>
      <c r="U6" t="inlineStr">
        <is>
          <t>USD</t>
        </is>
      </c>
      <c r="V6" t="n">
        <v>1.76</v>
      </c>
      <c r="W6" t="inlineStr">
        <is>
          <t>USD</t>
        </is>
      </c>
      <c r="X6" t="n">
        <v>0</v>
      </c>
      <c r="Y6" t="n">
        <v>30</v>
      </c>
      <c r="Z6" t="inlineStr">
        <is>
          <t>USD</t>
        </is>
      </c>
      <c r="AA6" t="n">
        <v>11.7</v>
      </c>
      <c r="AB6" t="inlineStr">
        <is>
          <t>USD</t>
        </is>
      </c>
      <c r="AC6" t="n">
        <v>0</v>
      </c>
      <c r="AD6" t="inlineStr">
        <is>
          <t>USD</t>
        </is>
      </c>
      <c r="AE6" t="n">
        <v>0</v>
      </c>
      <c r="AF6" t="inlineStr">
        <is>
          <t>USD</t>
        </is>
      </c>
      <c r="AG6" t="n">
        <v>11.7</v>
      </c>
      <c r="AH6" t="inlineStr">
        <is>
          <t>AUD</t>
        </is>
      </c>
      <c r="AI6" t="n">
        <v>17.55</v>
      </c>
      <c r="AJ6" s="5" t="inlineStr">
        <is>
          <t>01a1212c-bac3-76b0-9994-b7d0e7f858a6</t>
        </is>
      </c>
    </row>
    <row r="7">
      <c r="A7" s="5" t="inlineStr">
        <is>
          <t>01a1212c-bac7-7366-9a40-00ba3224328d</t>
        </is>
      </c>
      <c r="B7" t="inlineStr">
        <is>
          <t>2017-09-20_CBA.AX</t>
        </is>
      </c>
      <c r="C7" s="5" t="inlineStr">
        <is>
          <t>01a1212c-4b57-70cf-80fd-c2192cb3bf81</t>
        </is>
      </c>
      <c r="D7" s="4" t="n">
        <v>46304.62432823429</v>
      </c>
      <c r="E7" s="4" t="n">
        <v>46304.62432823436</v>
      </c>
      <c r="F7" t="b">
        <v>1</v>
      </c>
      <c r="G7" t="n">
        <v/>
      </c>
      <c r="H7" t="inlineStr">
        <is>
          <t>2017-09-20 | Dividend | CBA</t>
        </is>
      </c>
      <c r="I7" t="inlineStr">
        <is>
          <t>CBA</t>
        </is>
      </c>
      <c r="J7" s="6" t="n">
        <v>42998</v>
      </c>
      <c r="K7" t="n">
        <v>10</v>
      </c>
      <c r="L7" t="inlineStr"/>
      <c r="M7" t="inlineStr">
        <is>
          <t>FY2017/18</t>
        </is>
      </c>
      <c r="N7" t="inlineStr">
        <is>
          <t>LOCAL</t>
        </is>
      </c>
      <c r="O7" t="inlineStr">
        <is>
          <t>AUD</t>
        </is>
      </c>
      <c r="P7" t="n">
        <v>0</v>
      </c>
      <c r="Q7" t="inlineStr">
        <is>
          <t>AUD</t>
        </is>
      </c>
      <c r="R7" t="n">
        <v>2.3</v>
      </c>
      <c r="S7" t="inlineStr">
        <is>
          <t>AUD</t>
        </is>
      </c>
      <c r="T7" t="n">
        <v>0</v>
      </c>
      <c r="U7" t="inlineStr">
        <is>
          <t>AUD</t>
        </is>
      </c>
      <c r="V7" t="n">
        <v>0</v>
      </c>
      <c r="W7" t="inlineStr">
        <is>
          <t>AUD</t>
        </is>
      </c>
      <c r="X7" t="n">
        <v>0</v>
      </c>
      <c r="Y7" t="n">
        <v>30</v>
      </c>
      <c r="Z7" t="inlineStr">
        <is>
          <t>AUD</t>
        </is>
      </c>
      <c r="AA7" t="n">
        <v>0</v>
      </c>
      <c r="AB7" t="inlineStr">
        <is>
          <t>AUD</t>
        </is>
      </c>
      <c r="AC7" t="n">
        <v>23</v>
      </c>
      <c r="AD7" t="inlineStr">
        <is>
          <t>AUD</t>
        </is>
      </c>
      <c r="AE7" t="n">
        <v>9.857143000000001</v>
      </c>
      <c r="AF7" t="inlineStr">
        <is>
          <t>AUD</t>
        </is>
      </c>
      <c r="AG7" t="n">
        <v>23</v>
      </c>
      <c r="AH7" t="inlineStr">
        <is>
          <t>AUD</t>
        </is>
      </c>
      <c r="AI7" t="n">
        <v>23</v>
      </c>
      <c r="AJ7" t="n">
        <v/>
      </c>
    </row>
    <row r="8">
      <c r="A8" s="5" t="inlineStr">
        <is>
          <t>01a1212c-bac9-7100-b777-04d000090fa1</t>
        </is>
      </c>
      <c r="B8" t="inlineStr">
        <is>
          <t>2017-09-27_TLS.AX</t>
        </is>
      </c>
      <c r="C8" s="5" t="inlineStr">
        <is>
          <t>01a1212c-4b57-70cf-80fd-c2192cb3bf81</t>
        </is>
      </c>
      <c r="D8" s="4" t="n">
        <v>46304.62432826675</v>
      </c>
      <c r="E8" s="4" t="n">
        <v>46304.62432826683</v>
      </c>
      <c r="F8" t="b">
        <v>1</v>
      </c>
      <c r="G8" t="n">
        <v/>
      </c>
      <c r="H8" t="inlineStr">
        <is>
          <t>2017-09-27 | Dividend | TLS</t>
        </is>
      </c>
      <c r="I8" t="inlineStr">
        <is>
          <t>TLS</t>
        </is>
      </c>
      <c r="J8" s="6" t="n">
        <v>43005</v>
      </c>
      <c r="K8" t="n">
        <v>494</v>
      </c>
      <c r="L8" t="inlineStr"/>
      <c r="M8" t="inlineStr">
        <is>
          <t>FY2017/18</t>
        </is>
      </c>
      <c r="N8" t="inlineStr">
        <is>
          <t>LOCAL</t>
        </is>
      </c>
      <c r="O8" t="inlineStr">
        <is>
          <t>AUD</t>
        </is>
      </c>
      <c r="P8" t="n">
        <v>0</v>
      </c>
      <c r="Q8" t="inlineStr">
        <is>
          <t>AUD</t>
        </is>
      </c>
      <c r="R8" t="n">
        <v>0.155</v>
      </c>
      <c r="S8" t="inlineStr">
        <is>
          <t>AUD</t>
        </is>
      </c>
      <c r="T8" t="n">
        <v>0</v>
      </c>
      <c r="U8" t="inlineStr">
        <is>
          <t>AUD</t>
        </is>
      </c>
      <c r="V8" t="n">
        <v>0</v>
      </c>
      <c r="W8" t="inlineStr">
        <is>
          <t>AUD</t>
        </is>
      </c>
      <c r="X8" t="n">
        <v>0</v>
      </c>
      <c r="Y8" t="n">
        <v>30</v>
      </c>
      <c r="Z8" t="inlineStr">
        <is>
          <t>AUD</t>
        </is>
      </c>
      <c r="AA8" t="n">
        <v>0</v>
      </c>
      <c r="AB8" t="inlineStr">
        <is>
          <t>AUD</t>
        </is>
      </c>
      <c r="AC8" t="n">
        <v>76.56999999999999</v>
      </c>
      <c r="AD8" t="inlineStr">
        <is>
          <t>AUD</t>
        </is>
      </c>
      <c r="AE8" t="n">
        <v>32.815714</v>
      </c>
      <c r="AF8" t="inlineStr">
        <is>
          <t>AUD</t>
        </is>
      </c>
      <c r="AG8" t="n">
        <v>76.56999999999999</v>
      </c>
      <c r="AH8" t="inlineStr">
        <is>
          <t>AUD</t>
        </is>
      </c>
      <c r="AI8" t="n">
        <v>76.56999999999999</v>
      </c>
      <c r="AJ8" t="n">
        <v/>
      </c>
    </row>
    <row r="9">
      <c r="A9" s="5" t="inlineStr">
        <is>
          <t>01a1212c-bacc-7540-8a5a-1424b2d2b4a5</t>
        </is>
      </c>
      <c r="B9" t="inlineStr">
        <is>
          <t>2017-11-13_AAPL</t>
        </is>
      </c>
      <c r="C9" s="5" t="inlineStr">
        <is>
          <t>01a1212c-4b57-70cf-80fd-c2192cb3bf81</t>
        </is>
      </c>
      <c r="D9" s="4" t="n">
        <v>46304.62432831661</v>
      </c>
      <c r="E9" s="4" t="n">
        <v>46304.62432831668</v>
      </c>
      <c r="F9" t="b">
        <v>1</v>
      </c>
      <c r="G9" t="n">
        <v/>
      </c>
      <c r="H9" t="inlineStr">
        <is>
          <t>2017-11-13 | Dividend | AAPL</t>
        </is>
      </c>
      <c r="I9" t="inlineStr">
        <is>
          <t>AAPL</t>
        </is>
      </c>
      <c r="J9" s="6" t="n">
        <v>43052</v>
      </c>
      <c r="K9" t="n">
        <v>14</v>
      </c>
      <c r="L9" t="inlineStr"/>
      <c r="M9" t="inlineStr">
        <is>
          <t>FY2017/18</t>
        </is>
      </c>
      <c r="N9" t="inlineStr">
        <is>
          <t>FOREIGN</t>
        </is>
      </c>
      <c r="O9" t="inlineStr">
        <is>
          <t>USD</t>
        </is>
      </c>
      <c r="P9" t="n">
        <v>0.63</v>
      </c>
      <c r="Q9" t="inlineStr">
        <is>
          <t>USD</t>
        </is>
      </c>
      <c r="R9" t="n">
        <v>0</v>
      </c>
      <c r="S9" t="inlineStr">
        <is>
          <t>USD</t>
        </is>
      </c>
      <c r="T9" t="n">
        <v>0</v>
      </c>
      <c r="U9" t="inlineStr">
        <is>
          <t>USD</t>
        </is>
      </c>
      <c r="V9" t="n">
        <v>1.32</v>
      </c>
      <c r="W9" t="inlineStr">
        <is>
          <t>USD</t>
        </is>
      </c>
      <c r="X9" t="n">
        <v>0</v>
      </c>
      <c r="Y9" t="n">
        <v>30</v>
      </c>
      <c r="Z9" t="inlineStr">
        <is>
          <t>USD</t>
        </is>
      </c>
      <c r="AA9" t="n">
        <v>8.82</v>
      </c>
      <c r="AB9" t="inlineStr">
        <is>
          <t>USD</t>
        </is>
      </c>
      <c r="AC9" t="n">
        <v>0</v>
      </c>
      <c r="AD9" t="inlineStr">
        <is>
          <t>USD</t>
        </is>
      </c>
      <c r="AE9" t="n">
        <v>0</v>
      </c>
      <c r="AF9" t="inlineStr">
        <is>
          <t>USD</t>
        </is>
      </c>
      <c r="AG9" t="n">
        <v>8.82</v>
      </c>
      <c r="AH9" t="inlineStr">
        <is>
          <t>AUD</t>
        </is>
      </c>
      <c r="AI9" t="n">
        <v>13.23</v>
      </c>
      <c r="AJ9" s="5" t="inlineStr">
        <is>
          <t>01a1212c-bacd-701f-a448-be3268cd8b4a</t>
        </is>
      </c>
    </row>
    <row r="10">
      <c r="A10" s="5" t="inlineStr">
        <is>
          <t>01a1212c-bad0-7528-9e9b-4a0f53122dcb</t>
        </is>
      </c>
      <c r="B10" t="inlineStr">
        <is>
          <t>2017-12-06_MSFT</t>
        </is>
      </c>
      <c r="C10" s="5" t="inlineStr">
        <is>
          <t>01a1212c-4b57-70cf-80fd-c2192cb3bf81</t>
        </is>
      </c>
      <c r="D10" s="4" t="n">
        <v>46304.62432836132</v>
      </c>
      <c r="E10" s="4" t="n">
        <v>46304.62432836139</v>
      </c>
      <c r="F10" t="b">
        <v>1</v>
      </c>
      <c r="G10" t="n">
        <v/>
      </c>
      <c r="H10" t="inlineStr">
        <is>
          <t>2017-12-06 | Dividend | MSFT</t>
        </is>
      </c>
      <c r="I10" t="inlineStr">
        <is>
          <t>MSFT</t>
        </is>
      </c>
      <c r="J10" s="6" t="n">
        <v>43075</v>
      </c>
      <c r="K10" t="n">
        <v>38</v>
      </c>
      <c r="L10" t="inlineStr"/>
      <c r="M10" t="inlineStr">
        <is>
          <t>FY2017/18</t>
        </is>
      </c>
      <c r="N10" t="inlineStr">
        <is>
          <t>FOREIGN</t>
        </is>
      </c>
      <c r="O10" t="inlineStr">
        <is>
          <t>USD</t>
        </is>
      </c>
      <c r="P10" t="n">
        <v>0.42</v>
      </c>
      <c r="Q10" t="inlineStr">
        <is>
          <t>USD</t>
        </is>
      </c>
      <c r="R10" t="n">
        <v>0</v>
      </c>
      <c r="S10" t="inlineStr">
        <is>
          <t>USD</t>
        </is>
      </c>
      <c r="T10" t="n">
        <v>0</v>
      </c>
      <c r="U10" t="inlineStr">
        <is>
          <t>USD</t>
        </is>
      </c>
      <c r="V10" t="n">
        <v>2.39</v>
      </c>
      <c r="W10" t="inlineStr">
        <is>
          <t>USD</t>
        </is>
      </c>
      <c r="X10" t="n">
        <v>0</v>
      </c>
      <c r="Y10" t="n">
        <v>30</v>
      </c>
      <c r="Z10" t="inlineStr">
        <is>
          <t>USD</t>
        </is>
      </c>
      <c r="AA10" t="n">
        <v>15.96</v>
      </c>
      <c r="AB10" t="inlineStr">
        <is>
          <t>USD</t>
        </is>
      </c>
      <c r="AC10" t="n">
        <v>0</v>
      </c>
      <c r="AD10" t="inlineStr">
        <is>
          <t>USD</t>
        </is>
      </c>
      <c r="AE10" t="n">
        <v>0</v>
      </c>
      <c r="AF10" t="inlineStr">
        <is>
          <t>USD</t>
        </is>
      </c>
      <c r="AG10" t="n">
        <v>15.96</v>
      </c>
      <c r="AH10" t="inlineStr">
        <is>
          <t>AUD</t>
        </is>
      </c>
      <c r="AI10" t="n">
        <v>23.94</v>
      </c>
      <c r="AJ10" s="5" t="inlineStr">
        <is>
          <t>01a1212c-bad1-7281-a34c-c8cb6755a8ce</t>
        </is>
      </c>
    </row>
    <row r="11">
      <c r="A11" s="5" t="inlineStr">
        <is>
          <t>01a1212c-bad4-71ba-96bb-98a9a966edc1</t>
        </is>
      </c>
      <c r="B11" t="inlineStr">
        <is>
          <t>2018-02-12_AAPL</t>
        </is>
      </c>
      <c r="C11" s="5" t="inlineStr">
        <is>
          <t>01a1212c-4b57-70cf-80fd-c2192cb3bf81</t>
        </is>
      </c>
      <c r="D11" s="4" t="n">
        <v>46304.62432840529</v>
      </c>
      <c r="E11" s="4" t="n">
        <v>46304.62432840536</v>
      </c>
      <c r="F11" t="b">
        <v>1</v>
      </c>
      <c r="G11" t="n">
        <v/>
      </c>
      <c r="H11" t="inlineStr">
        <is>
          <t>2018-02-12 | Dividend | AAPL</t>
        </is>
      </c>
      <c r="I11" t="inlineStr">
        <is>
          <t>AAPL</t>
        </is>
      </c>
      <c r="J11" s="6" t="n">
        <v>43143</v>
      </c>
      <c r="K11" t="n">
        <v>14</v>
      </c>
      <c r="L11" t="inlineStr"/>
      <c r="M11" t="inlineStr">
        <is>
          <t>FY2017/18</t>
        </is>
      </c>
      <c r="N11" t="inlineStr">
        <is>
          <t>FOREIGN</t>
        </is>
      </c>
      <c r="O11" t="inlineStr">
        <is>
          <t>USD</t>
        </is>
      </c>
      <c r="P11" t="n">
        <v>0.63</v>
      </c>
      <c r="Q11" t="inlineStr">
        <is>
          <t>USD</t>
        </is>
      </c>
      <c r="R11" t="n">
        <v>0</v>
      </c>
      <c r="S11" t="inlineStr">
        <is>
          <t>USD</t>
        </is>
      </c>
      <c r="T11" t="n">
        <v>0</v>
      </c>
      <c r="U11" t="inlineStr">
        <is>
          <t>USD</t>
        </is>
      </c>
      <c r="V11" t="n">
        <v>1.32</v>
      </c>
      <c r="W11" t="inlineStr">
        <is>
          <t>USD</t>
        </is>
      </c>
      <c r="X11" t="n">
        <v>0</v>
      </c>
      <c r="Y11" t="n">
        <v>30</v>
      </c>
      <c r="Z11" t="inlineStr">
        <is>
          <t>USD</t>
        </is>
      </c>
      <c r="AA11" t="n">
        <v>8.82</v>
      </c>
      <c r="AB11" t="inlineStr">
        <is>
          <t>USD</t>
        </is>
      </c>
      <c r="AC11" t="n">
        <v>0</v>
      </c>
      <c r="AD11" t="inlineStr">
        <is>
          <t>USD</t>
        </is>
      </c>
      <c r="AE11" t="n">
        <v>0</v>
      </c>
      <c r="AF11" t="inlineStr">
        <is>
          <t>USD</t>
        </is>
      </c>
      <c r="AG11" t="n">
        <v>8.82</v>
      </c>
      <c r="AH11" t="inlineStr">
        <is>
          <t>AUD</t>
        </is>
      </c>
      <c r="AI11" t="n">
        <v>13.23</v>
      </c>
      <c r="AJ11" s="5" t="inlineStr">
        <is>
          <t>01a1212c-bad5-77b3-9316-0646326a9579</t>
        </is>
      </c>
    </row>
    <row r="12">
      <c r="A12" s="5" t="inlineStr">
        <is>
          <t>01a1212c-bad8-70f9-bfc7-1d8015c5f6c3</t>
        </is>
      </c>
      <c r="B12" t="inlineStr">
        <is>
          <t>2018-03-07_MSFT</t>
        </is>
      </c>
      <c r="C12" s="5" t="inlineStr">
        <is>
          <t>01a1212c-4b57-70cf-80fd-c2192cb3bf81</t>
        </is>
      </c>
      <c r="D12" s="4" t="n">
        <v>46304.62432845306</v>
      </c>
      <c r="E12" s="4" t="n">
        <v>46304.62432845312</v>
      </c>
      <c r="F12" t="b">
        <v>1</v>
      </c>
      <c r="G12" t="n">
        <v/>
      </c>
      <c r="H12" t="inlineStr">
        <is>
          <t>2018-03-07 | Dividend | MSFT</t>
        </is>
      </c>
      <c r="I12" t="inlineStr">
        <is>
          <t>MSFT</t>
        </is>
      </c>
      <c r="J12" s="6" t="n">
        <v>43166</v>
      </c>
      <c r="K12" t="n">
        <v>38</v>
      </c>
      <c r="L12" t="inlineStr"/>
      <c r="M12" t="inlineStr">
        <is>
          <t>FY2017/18</t>
        </is>
      </c>
      <c r="N12" t="inlineStr">
        <is>
          <t>FOREIGN</t>
        </is>
      </c>
      <c r="O12" t="inlineStr">
        <is>
          <t>USD</t>
        </is>
      </c>
      <c r="P12" t="n">
        <v>0.42</v>
      </c>
      <c r="Q12" t="inlineStr">
        <is>
          <t>USD</t>
        </is>
      </c>
      <c r="R12" t="n">
        <v>0</v>
      </c>
      <c r="S12" t="inlineStr">
        <is>
          <t>USD</t>
        </is>
      </c>
      <c r="T12" t="n">
        <v>0</v>
      </c>
      <c r="U12" t="inlineStr">
        <is>
          <t>USD</t>
        </is>
      </c>
      <c r="V12" t="n">
        <v>2.39</v>
      </c>
      <c r="W12" t="inlineStr">
        <is>
          <t>USD</t>
        </is>
      </c>
      <c r="X12" t="n">
        <v>0</v>
      </c>
      <c r="Y12" t="n">
        <v>30</v>
      </c>
      <c r="Z12" t="inlineStr">
        <is>
          <t>USD</t>
        </is>
      </c>
      <c r="AA12" t="n">
        <v>15.96</v>
      </c>
      <c r="AB12" t="inlineStr">
        <is>
          <t>USD</t>
        </is>
      </c>
      <c r="AC12" t="n">
        <v>0</v>
      </c>
      <c r="AD12" t="inlineStr">
        <is>
          <t>USD</t>
        </is>
      </c>
      <c r="AE12" t="n">
        <v>0</v>
      </c>
      <c r="AF12" t="inlineStr">
        <is>
          <t>USD</t>
        </is>
      </c>
      <c r="AG12" t="n">
        <v>15.96</v>
      </c>
      <c r="AH12" t="inlineStr">
        <is>
          <t>AUD</t>
        </is>
      </c>
      <c r="AI12" t="n">
        <v>23.94</v>
      </c>
      <c r="AJ12" s="5" t="inlineStr">
        <is>
          <t>01a1212c-bad9-741c-95c6-2cb182e4f251</t>
        </is>
      </c>
    </row>
    <row r="13">
      <c r="A13" s="5" t="inlineStr">
        <is>
          <t>01a1212c-badc-7688-b6b1-d7cadc5b3f1a</t>
        </is>
      </c>
      <c r="B13" t="inlineStr">
        <is>
          <t>2018-03-21_CBA.AX</t>
        </is>
      </c>
      <c r="C13" s="5" t="inlineStr">
        <is>
          <t>01a1212c-4b57-70cf-80fd-c2192cb3bf81</t>
        </is>
      </c>
      <c r="D13" s="4" t="n">
        <v>46304.62432848629</v>
      </c>
      <c r="E13" s="4" t="n">
        <v>46304.62432848635</v>
      </c>
      <c r="F13" t="b">
        <v>1</v>
      </c>
      <c r="G13" t="n">
        <v/>
      </c>
      <c r="H13" t="inlineStr">
        <is>
          <t>2018-03-21 | Dividend | CBA</t>
        </is>
      </c>
      <c r="I13" t="inlineStr">
        <is>
          <t>CBA</t>
        </is>
      </c>
      <c r="J13" s="6" t="n">
        <v>43180</v>
      </c>
      <c r="K13" t="n">
        <v>10</v>
      </c>
      <c r="L13" t="inlineStr"/>
      <c r="M13" t="inlineStr">
        <is>
          <t>FY2017/18</t>
        </is>
      </c>
      <c r="N13" t="inlineStr">
        <is>
          <t>LOCAL</t>
        </is>
      </c>
      <c r="O13" t="inlineStr">
        <is>
          <t>AUD</t>
        </is>
      </c>
      <c r="P13" t="n">
        <v>0</v>
      </c>
      <c r="Q13" t="inlineStr">
        <is>
          <t>AUD</t>
        </is>
      </c>
      <c r="R13" t="n">
        <v>2</v>
      </c>
      <c r="S13" t="inlineStr">
        <is>
          <t>AUD</t>
        </is>
      </c>
      <c r="T13" t="n">
        <v>0</v>
      </c>
      <c r="U13" t="inlineStr">
        <is>
          <t>AUD</t>
        </is>
      </c>
      <c r="V13" t="n">
        <v>0</v>
      </c>
      <c r="W13" t="inlineStr">
        <is>
          <t>AUD</t>
        </is>
      </c>
      <c r="X13" t="n">
        <v>0</v>
      </c>
      <c r="Y13" t="n">
        <v>30</v>
      </c>
      <c r="Z13" t="inlineStr">
        <is>
          <t>AUD</t>
        </is>
      </c>
      <c r="AA13" t="n">
        <v>0</v>
      </c>
      <c r="AB13" t="inlineStr">
        <is>
          <t>AUD</t>
        </is>
      </c>
      <c r="AC13" t="n">
        <v>20</v>
      </c>
      <c r="AD13" t="inlineStr">
        <is>
          <t>AUD</t>
        </is>
      </c>
      <c r="AE13" t="n">
        <v>8.571429</v>
      </c>
      <c r="AF13" t="inlineStr">
        <is>
          <t>AUD</t>
        </is>
      </c>
      <c r="AG13" t="n">
        <v>20</v>
      </c>
      <c r="AH13" t="inlineStr">
        <is>
          <t>AUD</t>
        </is>
      </c>
      <c r="AI13" t="n">
        <v>20</v>
      </c>
      <c r="AJ13" t="n">
        <v/>
      </c>
    </row>
    <row r="14">
      <c r="A14" s="5" t="inlineStr">
        <is>
          <t>01a1212c-badf-72d9-90ee-83d33e7a07fa</t>
        </is>
      </c>
      <c r="B14" t="inlineStr">
        <is>
          <t>2018-03-28_TLS.AX</t>
        </is>
      </c>
      <c r="C14" s="5" t="inlineStr">
        <is>
          <t>01a1212c-4b57-70cf-80fd-c2192cb3bf81</t>
        </is>
      </c>
      <c r="D14" s="4" t="n">
        <v>46304.62432852093</v>
      </c>
      <c r="E14" s="4" t="n">
        <v>46304.62432852099</v>
      </c>
      <c r="F14" t="b">
        <v>1</v>
      </c>
      <c r="G14" t="n">
        <v/>
      </c>
      <c r="H14" t="inlineStr">
        <is>
          <t>2018-03-28 | Dividend | TLS</t>
        </is>
      </c>
      <c r="I14" t="inlineStr">
        <is>
          <t>TLS</t>
        </is>
      </c>
      <c r="J14" s="6" t="n">
        <v>43187</v>
      </c>
      <c r="K14" t="n">
        <v>809</v>
      </c>
      <c r="L14" t="inlineStr"/>
      <c r="M14" t="inlineStr">
        <is>
          <t>FY2017/18</t>
        </is>
      </c>
      <c r="N14" t="inlineStr">
        <is>
          <t>LOCAL</t>
        </is>
      </c>
      <c r="O14" t="inlineStr">
        <is>
          <t>AUD</t>
        </is>
      </c>
      <c r="P14" t="n">
        <v>0</v>
      </c>
      <c r="Q14" t="inlineStr">
        <is>
          <t>AUD</t>
        </is>
      </c>
      <c r="R14" t="n">
        <v>0.11</v>
      </c>
      <c r="S14" t="inlineStr">
        <is>
          <t>AUD</t>
        </is>
      </c>
      <c r="T14" t="n">
        <v>0</v>
      </c>
      <c r="U14" t="inlineStr">
        <is>
          <t>AUD</t>
        </is>
      </c>
      <c r="V14" t="n">
        <v>0</v>
      </c>
      <c r="W14" t="inlineStr">
        <is>
          <t>AUD</t>
        </is>
      </c>
      <c r="X14" t="n">
        <v>0</v>
      </c>
      <c r="Y14" t="n">
        <v>30</v>
      </c>
      <c r="Z14" t="inlineStr">
        <is>
          <t>AUD</t>
        </is>
      </c>
      <c r="AA14" t="n">
        <v>0</v>
      </c>
      <c r="AB14" t="inlineStr">
        <is>
          <t>AUD</t>
        </is>
      </c>
      <c r="AC14" t="n">
        <v>88.98999999999999</v>
      </c>
      <c r="AD14" t="inlineStr">
        <is>
          <t>AUD</t>
        </is>
      </c>
      <c r="AE14" t="n">
        <v>38.138571</v>
      </c>
      <c r="AF14" t="inlineStr">
        <is>
          <t>AUD</t>
        </is>
      </c>
      <c r="AG14" t="n">
        <v>88.98999999999999</v>
      </c>
      <c r="AH14" t="inlineStr">
        <is>
          <t>AUD</t>
        </is>
      </c>
      <c r="AI14" t="n">
        <v>88.98999999999999</v>
      </c>
      <c r="AJ14" t="n">
        <v/>
      </c>
    </row>
    <row r="15">
      <c r="A15" s="5" t="inlineStr">
        <is>
          <t>01a1212c-bae2-7169-983f-ae966800f89e</t>
        </is>
      </c>
      <c r="B15" t="inlineStr">
        <is>
          <t>2018-05-14_AAPL</t>
        </is>
      </c>
      <c r="C15" s="5" t="inlineStr">
        <is>
          <t>01a1212c-4b57-70cf-80fd-c2192cb3bf81</t>
        </is>
      </c>
      <c r="D15" s="4" t="n">
        <v>46304.62432857102</v>
      </c>
      <c r="E15" s="4" t="n">
        <v>46304.62432857109</v>
      </c>
      <c r="F15" t="b">
        <v>1</v>
      </c>
      <c r="G15" t="n">
        <v/>
      </c>
      <c r="H15" t="inlineStr">
        <is>
          <t>2018-05-14 | Dividend | AAPL</t>
        </is>
      </c>
      <c r="I15" t="inlineStr">
        <is>
          <t>AAPL</t>
        </is>
      </c>
      <c r="J15" s="6" t="n">
        <v>43234</v>
      </c>
      <c r="K15" t="n">
        <v>14</v>
      </c>
      <c r="L15" t="inlineStr"/>
      <c r="M15" t="inlineStr">
        <is>
          <t>FY2017/18</t>
        </is>
      </c>
      <c r="N15" t="inlineStr">
        <is>
          <t>FOREIGN</t>
        </is>
      </c>
      <c r="O15" t="inlineStr">
        <is>
          <t>USD</t>
        </is>
      </c>
      <c r="P15" t="n">
        <v>0.73</v>
      </c>
      <c r="Q15" t="inlineStr">
        <is>
          <t>USD</t>
        </is>
      </c>
      <c r="R15" t="n">
        <v>0</v>
      </c>
      <c r="S15" t="inlineStr">
        <is>
          <t>USD</t>
        </is>
      </c>
      <c r="T15" t="n">
        <v>0</v>
      </c>
      <c r="U15" t="inlineStr">
        <is>
          <t>USD</t>
        </is>
      </c>
      <c r="V15" t="n">
        <v>1.53</v>
      </c>
      <c r="W15" t="inlineStr">
        <is>
          <t>USD</t>
        </is>
      </c>
      <c r="X15" t="n">
        <v>0</v>
      </c>
      <c r="Y15" t="n">
        <v>30</v>
      </c>
      <c r="Z15" t="inlineStr">
        <is>
          <t>USD</t>
        </is>
      </c>
      <c r="AA15" t="n">
        <v>10.22</v>
      </c>
      <c r="AB15" t="inlineStr">
        <is>
          <t>USD</t>
        </is>
      </c>
      <c r="AC15" t="n">
        <v>0</v>
      </c>
      <c r="AD15" t="inlineStr">
        <is>
          <t>USD</t>
        </is>
      </c>
      <c r="AE15" t="n">
        <v>0</v>
      </c>
      <c r="AF15" t="inlineStr">
        <is>
          <t>USD</t>
        </is>
      </c>
      <c r="AG15" t="n">
        <v>10.22</v>
      </c>
      <c r="AH15" t="inlineStr">
        <is>
          <t>AUD</t>
        </is>
      </c>
      <c r="AI15" t="n">
        <v>15.33</v>
      </c>
      <c r="AJ15" s="5" t="inlineStr">
        <is>
          <t>01a1212c-bae3-7421-9c1f-d1d1ce930cb8</t>
        </is>
      </c>
    </row>
    <row r="16">
      <c r="A16" s="5" t="inlineStr">
        <is>
          <t>01a1212c-bae7-7004-9bc7-e76c0d673a66</t>
        </is>
      </c>
      <c r="B16" t="inlineStr">
        <is>
          <t>2018-06-06_MSFT</t>
        </is>
      </c>
      <c r="C16" s="5" t="inlineStr">
        <is>
          <t>01a1212c-4b57-70cf-80fd-c2192cb3bf81</t>
        </is>
      </c>
      <c r="D16" s="4" t="n">
        <v>46304.6243286215</v>
      </c>
      <c r="E16" s="4" t="n">
        <v>46304.62432862158</v>
      </c>
      <c r="F16" t="b">
        <v>1</v>
      </c>
      <c r="G16" t="n">
        <v/>
      </c>
      <c r="H16" t="inlineStr">
        <is>
          <t>2018-06-06 | Dividend | MSFT</t>
        </is>
      </c>
      <c r="I16" t="inlineStr">
        <is>
          <t>MSFT</t>
        </is>
      </c>
      <c r="J16" s="6" t="n">
        <v>43257</v>
      </c>
      <c r="K16" t="n">
        <v>38</v>
      </c>
      <c r="L16" t="inlineStr"/>
      <c r="M16" t="inlineStr">
        <is>
          <t>FY2017/18</t>
        </is>
      </c>
      <c r="N16" t="inlineStr">
        <is>
          <t>FOREIGN</t>
        </is>
      </c>
      <c r="O16" t="inlineStr">
        <is>
          <t>USD</t>
        </is>
      </c>
      <c r="P16" t="n">
        <v>0.42</v>
      </c>
      <c r="Q16" t="inlineStr">
        <is>
          <t>USD</t>
        </is>
      </c>
      <c r="R16" t="n">
        <v>0</v>
      </c>
      <c r="S16" t="inlineStr">
        <is>
          <t>USD</t>
        </is>
      </c>
      <c r="T16" t="n">
        <v>0</v>
      </c>
      <c r="U16" t="inlineStr">
        <is>
          <t>USD</t>
        </is>
      </c>
      <c r="V16" t="n">
        <v>2.39</v>
      </c>
      <c r="W16" t="inlineStr">
        <is>
          <t>USD</t>
        </is>
      </c>
      <c r="X16" t="n">
        <v>0</v>
      </c>
      <c r="Y16" t="n">
        <v>30</v>
      </c>
      <c r="Z16" t="inlineStr">
        <is>
          <t>USD</t>
        </is>
      </c>
      <c r="AA16" t="n">
        <v>15.96</v>
      </c>
      <c r="AB16" t="inlineStr">
        <is>
          <t>USD</t>
        </is>
      </c>
      <c r="AC16" t="n">
        <v>0</v>
      </c>
      <c r="AD16" t="inlineStr">
        <is>
          <t>USD</t>
        </is>
      </c>
      <c r="AE16" t="n">
        <v>0</v>
      </c>
      <c r="AF16" t="inlineStr">
        <is>
          <t>USD</t>
        </is>
      </c>
      <c r="AG16" t="n">
        <v>15.96</v>
      </c>
      <c r="AH16" t="inlineStr">
        <is>
          <t>AUD</t>
        </is>
      </c>
      <c r="AI16" t="n">
        <v>23.94</v>
      </c>
      <c r="AJ16" s="5" t="inlineStr">
        <is>
          <t>01a1212c-bae7-7004-9bc7-e76db89d1de6</t>
        </is>
      </c>
    </row>
    <row r="17">
      <c r="A17" s="5" t="inlineStr">
        <is>
          <t>01a1212c-baeb-7760-96f9-f58dd9bdc3a9</t>
        </is>
      </c>
      <c r="B17" t="inlineStr">
        <is>
          <t>2018-08-13_AAPL</t>
        </is>
      </c>
      <c r="C17" s="5" t="inlineStr">
        <is>
          <t>01a1212c-4b57-70cf-80fd-c2192cb3bf81</t>
        </is>
      </c>
      <c r="D17" s="4" t="n">
        <v>46304.62432867019</v>
      </c>
      <c r="E17" s="4" t="n">
        <v>46304.62432867027</v>
      </c>
      <c r="F17" t="b">
        <v>1</v>
      </c>
      <c r="G17" t="n">
        <v/>
      </c>
      <c r="H17" t="inlineStr">
        <is>
          <t>2018-08-13 | Dividend | AAPL</t>
        </is>
      </c>
      <c r="I17" t="inlineStr">
        <is>
          <t>AAPL</t>
        </is>
      </c>
      <c r="J17" s="6" t="n">
        <v>43325</v>
      </c>
      <c r="K17" t="n">
        <v>14</v>
      </c>
      <c r="L17" t="inlineStr"/>
      <c r="M17" t="inlineStr">
        <is>
          <t>FY2018/19</t>
        </is>
      </c>
      <c r="N17" t="inlineStr">
        <is>
          <t>FOREIGN</t>
        </is>
      </c>
      <c r="O17" t="inlineStr">
        <is>
          <t>USD</t>
        </is>
      </c>
      <c r="P17" t="n">
        <v>0.73</v>
      </c>
      <c r="Q17" t="inlineStr">
        <is>
          <t>USD</t>
        </is>
      </c>
      <c r="R17" t="n">
        <v>0</v>
      </c>
      <c r="S17" t="inlineStr">
        <is>
          <t>USD</t>
        </is>
      </c>
      <c r="T17" t="n">
        <v>0</v>
      </c>
      <c r="U17" t="inlineStr">
        <is>
          <t>USD</t>
        </is>
      </c>
      <c r="V17" t="n">
        <v>1.53</v>
      </c>
      <c r="W17" t="inlineStr">
        <is>
          <t>USD</t>
        </is>
      </c>
      <c r="X17" t="n">
        <v>0</v>
      </c>
      <c r="Y17" t="n">
        <v>30</v>
      </c>
      <c r="Z17" t="inlineStr">
        <is>
          <t>USD</t>
        </is>
      </c>
      <c r="AA17" t="n">
        <v>10.22</v>
      </c>
      <c r="AB17" t="inlineStr">
        <is>
          <t>USD</t>
        </is>
      </c>
      <c r="AC17" t="n">
        <v>0</v>
      </c>
      <c r="AD17" t="inlineStr">
        <is>
          <t>USD</t>
        </is>
      </c>
      <c r="AE17" t="n">
        <v>0</v>
      </c>
      <c r="AF17" t="inlineStr">
        <is>
          <t>USD</t>
        </is>
      </c>
      <c r="AG17" t="n">
        <v>10.22</v>
      </c>
      <c r="AH17" t="inlineStr">
        <is>
          <t>AUD</t>
        </is>
      </c>
      <c r="AI17" t="n">
        <v>15.33</v>
      </c>
      <c r="AJ17" s="5" t="inlineStr">
        <is>
          <t>01a1212c-baec-773a-8f80-f9098743517c</t>
        </is>
      </c>
    </row>
    <row r="18">
      <c r="A18" s="5" t="inlineStr">
        <is>
          <t>01a1212c-baef-7707-a249-79bc32593539</t>
        </is>
      </c>
      <c r="B18" t="inlineStr">
        <is>
          <t>2018-09-05_MSFT</t>
        </is>
      </c>
      <c r="C18" s="5" t="inlineStr">
        <is>
          <t>01a1212c-4b57-70cf-80fd-c2192cb3bf81</t>
        </is>
      </c>
      <c r="D18" s="4" t="n">
        <v>46304.62432871986</v>
      </c>
      <c r="E18" s="4" t="n">
        <v>46304.62432871992</v>
      </c>
      <c r="F18" t="b">
        <v>1</v>
      </c>
      <c r="G18" t="n">
        <v/>
      </c>
      <c r="H18" t="inlineStr">
        <is>
          <t>2018-09-05 | Dividend | MSFT</t>
        </is>
      </c>
      <c r="I18" t="inlineStr">
        <is>
          <t>MSFT</t>
        </is>
      </c>
      <c r="J18" s="6" t="n">
        <v>43348</v>
      </c>
      <c r="K18" t="n">
        <v>38</v>
      </c>
      <c r="L18" t="inlineStr"/>
      <c r="M18" t="inlineStr">
        <is>
          <t>FY2018/19</t>
        </is>
      </c>
      <c r="N18" t="inlineStr">
        <is>
          <t>FOREIGN</t>
        </is>
      </c>
      <c r="O18" t="inlineStr">
        <is>
          <t>USD</t>
        </is>
      </c>
      <c r="P18" t="n">
        <v>0.42</v>
      </c>
      <c r="Q18" t="inlineStr">
        <is>
          <t>USD</t>
        </is>
      </c>
      <c r="R18" t="n">
        <v>0</v>
      </c>
      <c r="S18" t="inlineStr">
        <is>
          <t>USD</t>
        </is>
      </c>
      <c r="T18" t="n">
        <v>0</v>
      </c>
      <c r="U18" t="inlineStr">
        <is>
          <t>USD</t>
        </is>
      </c>
      <c r="V18" t="n">
        <v>2.39</v>
      </c>
      <c r="W18" t="inlineStr">
        <is>
          <t>USD</t>
        </is>
      </c>
      <c r="X18" t="n">
        <v>0</v>
      </c>
      <c r="Y18" t="n">
        <v>30</v>
      </c>
      <c r="Z18" t="inlineStr">
        <is>
          <t>USD</t>
        </is>
      </c>
      <c r="AA18" t="n">
        <v>15.96</v>
      </c>
      <c r="AB18" t="inlineStr">
        <is>
          <t>USD</t>
        </is>
      </c>
      <c r="AC18" t="n">
        <v>0</v>
      </c>
      <c r="AD18" t="inlineStr">
        <is>
          <t>USD</t>
        </is>
      </c>
      <c r="AE18" t="n">
        <v>0</v>
      </c>
      <c r="AF18" t="inlineStr">
        <is>
          <t>USD</t>
        </is>
      </c>
      <c r="AG18" t="n">
        <v>15.96</v>
      </c>
      <c r="AH18" t="inlineStr">
        <is>
          <t>AUD</t>
        </is>
      </c>
      <c r="AI18" t="n">
        <v>23.94</v>
      </c>
      <c r="AJ18" s="5" t="inlineStr">
        <is>
          <t>01a1212c-baf0-71f1-8a87-cc013ec73918</t>
        </is>
      </c>
    </row>
    <row r="19">
      <c r="A19" s="5" t="inlineStr">
        <is>
          <t>01a1212c-baf4-7733-ac86-16c7b4b022cc</t>
        </is>
      </c>
      <c r="B19" t="inlineStr">
        <is>
          <t>2018-09-19_CBA.AX</t>
        </is>
      </c>
      <c r="C19" s="5" t="inlineStr">
        <is>
          <t>01a1212c-4b57-70cf-80fd-c2192cb3bf81</t>
        </is>
      </c>
      <c r="D19" s="4" t="n">
        <v>46304.62432875554</v>
      </c>
      <c r="E19" s="4" t="n">
        <v>46304.62432875561</v>
      </c>
      <c r="F19" t="b">
        <v>1</v>
      </c>
      <c r="G19" t="n">
        <v/>
      </c>
      <c r="H19" t="inlineStr">
        <is>
          <t>2018-09-19 | Dividend | CBA</t>
        </is>
      </c>
      <c r="I19" t="inlineStr">
        <is>
          <t>CBA</t>
        </is>
      </c>
      <c r="J19" s="6" t="n">
        <v>43362</v>
      </c>
      <c r="K19" t="n">
        <v>10</v>
      </c>
      <c r="L19" t="inlineStr"/>
      <c r="M19" t="inlineStr">
        <is>
          <t>FY2018/19</t>
        </is>
      </c>
      <c r="N19" t="inlineStr">
        <is>
          <t>LOCAL</t>
        </is>
      </c>
      <c r="O19" t="inlineStr">
        <is>
          <t>AUD</t>
        </is>
      </c>
      <c r="P19" t="n">
        <v>0</v>
      </c>
      <c r="Q19" t="inlineStr">
        <is>
          <t>AUD</t>
        </is>
      </c>
      <c r="R19" t="n">
        <v>2.31</v>
      </c>
      <c r="S19" t="inlineStr">
        <is>
          <t>AUD</t>
        </is>
      </c>
      <c r="T19" t="n">
        <v>0</v>
      </c>
      <c r="U19" t="inlineStr">
        <is>
          <t>AUD</t>
        </is>
      </c>
      <c r="V19" t="n">
        <v>0</v>
      </c>
      <c r="W19" t="inlineStr">
        <is>
          <t>AUD</t>
        </is>
      </c>
      <c r="X19" t="n">
        <v>0</v>
      </c>
      <c r="Y19" t="n">
        <v>30</v>
      </c>
      <c r="Z19" t="inlineStr">
        <is>
          <t>AUD</t>
        </is>
      </c>
      <c r="AA19" t="n">
        <v>0</v>
      </c>
      <c r="AB19" t="inlineStr">
        <is>
          <t>AUD</t>
        </is>
      </c>
      <c r="AC19" t="n">
        <v>23.1</v>
      </c>
      <c r="AD19" t="inlineStr">
        <is>
          <t>AUD</t>
        </is>
      </c>
      <c r="AE19" t="n">
        <v>9.9</v>
      </c>
      <c r="AF19" t="inlineStr">
        <is>
          <t>AUD</t>
        </is>
      </c>
      <c r="AG19" t="n">
        <v>23.1</v>
      </c>
      <c r="AH19" t="inlineStr">
        <is>
          <t>AUD</t>
        </is>
      </c>
      <c r="AI19" t="n">
        <v>23.1</v>
      </c>
      <c r="AJ19" t="n">
        <v/>
      </c>
    </row>
    <row r="20">
      <c r="A20" s="5" t="inlineStr">
        <is>
          <t>01a1212c-baf6-7520-bd90-de504ded34f4</t>
        </is>
      </c>
      <c r="B20" t="inlineStr">
        <is>
          <t>2018-09-26_TLS.AX</t>
        </is>
      </c>
      <c r="C20" s="5" t="inlineStr">
        <is>
          <t>01a1212c-4b57-70cf-80fd-c2192cb3bf81</t>
        </is>
      </c>
      <c r="D20" s="4" t="n">
        <v>46304.62432878764</v>
      </c>
      <c r="E20" s="4" t="n">
        <v>46304.62432878771</v>
      </c>
      <c r="F20" t="b">
        <v>1</v>
      </c>
      <c r="G20" t="n">
        <v/>
      </c>
      <c r="H20" t="inlineStr">
        <is>
          <t>2018-09-26 | Dividend | TLS</t>
        </is>
      </c>
      <c r="I20" t="inlineStr">
        <is>
          <t>TLS</t>
        </is>
      </c>
      <c r="J20" s="6" t="n">
        <v>43369</v>
      </c>
      <c r="K20" t="n">
        <v>809</v>
      </c>
      <c r="L20" t="inlineStr"/>
      <c r="M20" t="inlineStr">
        <is>
          <t>FY2018/19</t>
        </is>
      </c>
      <c r="N20" t="inlineStr">
        <is>
          <t>LOCAL</t>
        </is>
      </c>
      <c r="O20" t="inlineStr">
        <is>
          <t>AUD</t>
        </is>
      </c>
      <c r="P20" t="n">
        <v>0</v>
      </c>
      <c r="Q20" t="inlineStr">
        <is>
          <t>AUD</t>
        </is>
      </c>
      <c r="R20" t="n">
        <v>0.11</v>
      </c>
      <c r="S20" t="inlineStr">
        <is>
          <t>AUD</t>
        </is>
      </c>
      <c r="T20" t="n">
        <v>0</v>
      </c>
      <c r="U20" t="inlineStr">
        <is>
          <t>AUD</t>
        </is>
      </c>
      <c r="V20" t="n">
        <v>0</v>
      </c>
      <c r="W20" t="inlineStr">
        <is>
          <t>AUD</t>
        </is>
      </c>
      <c r="X20" t="n">
        <v>0</v>
      </c>
      <c r="Y20" t="n">
        <v>30</v>
      </c>
      <c r="Z20" t="inlineStr">
        <is>
          <t>AUD</t>
        </is>
      </c>
      <c r="AA20" t="n">
        <v>0</v>
      </c>
      <c r="AB20" t="inlineStr">
        <is>
          <t>AUD</t>
        </is>
      </c>
      <c r="AC20" t="n">
        <v>88.98999999999999</v>
      </c>
      <c r="AD20" t="inlineStr">
        <is>
          <t>AUD</t>
        </is>
      </c>
      <c r="AE20" t="n">
        <v>38.138571</v>
      </c>
      <c r="AF20" t="inlineStr">
        <is>
          <t>AUD</t>
        </is>
      </c>
      <c r="AG20" t="n">
        <v>88.98999999999999</v>
      </c>
      <c r="AH20" t="inlineStr">
        <is>
          <t>AUD</t>
        </is>
      </c>
      <c r="AI20" t="n">
        <v>88.98999999999999</v>
      </c>
      <c r="AJ20" t="n">
        <v/>
      </c>
    </row>
    <row r="21">
      <c r="A21" s="5" t="inlineStr">
        <is>
          <t>01a1212c-bafa-73f1-b748-26d9cebeffcb</t>
        </is>
      </c>
      <c r="B21" t="inlineStr">
        <is>
          <t>2018-11-11_AAPL</t>
        </is>
      </c>
      <c r="C21" s="5" t="inlineStr">
        <is>
          <t>01a1212c-4b57-70cf-80fd-c2192cb3bf81</t>
        </is>
      </c>
      <c r="D21" s="4" t="n">
        <v>46304.62432884389</v>
      </c>
      <c r="E21" s="4" t="n">
        <v>46304.62432884396</v>
      </c>
      <c r="F21" t="b">
        <v>1</v>
      </c>
      <c r="G21" t="n">
        <v/>
      </c>
      <c r="H21" t="inlineStr">
        <is>
          <t>2018-11-11 | Dividend | AAPL</t>
        </is>
      </c>
      <c r="I21" t="inlineStr">
        <is>
          <t>AAPL</t>
        </is>
      </c>
      <c r="J21" s="6" t="n">
        <v>43415</v>
      </c>
      <c r="K21" t="n">
        <v>16</v>
      </c>
      <c r="L21" t="inlineStr"/>
      <c r="M21" t="inlineStr">
        <is>
          <t>FY2018/19</t>
        </is>
      </c>
      <c r="N21" t="inlineStr">
        <is>
          <t>FOREIGN</t>
        </is>
      </c>
      <c r="O21" t="inlineStr">
        <is>
          <t>USD</t>
        </is>
      </c>
      <c r="P21" t="n">
        <v>0.73</v>
      </c>
      <c r="Q21" t="inlineStr">
        <is>
          <t>USD</t>
        </is>
      </c>
      <c r="R21" t="n">
        <v>0</v>
      </c>
      <c r="S21" t="inlineStr">
        <is>
          <t>USD</t>
        </is>
      </c>
      <c r="T21" t="n">
        <v>0</v>
      </c>
      <c r="U21" t="inlineStr">
        <is>
          <t>USD</t>
        </is>
      </c>
      <c r="V21" t="n">
        <v>1.75</v>
      </c>
      <c r="W21" t="inlineStr">
        <is>
          <t>USD</t>
        </is>
      </c>
      <c r="X21" t="n">
        <v>0</v>
      </c>
      <c r="Y21" t="n">
        <v>30</v>
      </c>
      <c r="Z21" t="inlineStr">
        <is>
          <t>USD</t>
        </is>
      </c>
      <c r="AA21" t="n">
        <v>11.68</v>
      </c>
      <c r="AB21" t="inlineStr">
        <is>
          <t>USD</t>
        </is>
      </c>
      <c r="AC21" t="n">
        <v>0</v>
      </c>
      <c r="AD21" t="inlineStr">
        <is>
          <t>USD</t>
        </is>
      </c>
      <c r="AE21" t="n">
        <v>0</v>
      </c>
      <c r="AF21" t="inlineStr">
        <is>
          <t>USD</t>
        </is>
      </c>
      <c r="AG21" t="n">
        <v>11.68</v>
      </c>
      <c r="AH21" t="inlineStr">
        <is>
          <t>AUD</t>
        </is>
      </c>
      <c r="AI21" t="n">
        <v>17.52</v>
      </c>
      <c r="AJ21" s="5" t="inlineStr">
        <is>
          <t>01a1212c-bafb-72f0-9900-abe06a66f73d</t>
        </is>
      </c>
    </row>
    <row r="22">
      <c r="A22" s="5" t="inlineStr">
        <is>
          <t>01a1212c-bafe-762b-acc9-46ca75b4b71e</t>
        </is>
      </c>
      <c r="B22" t="inlineStr">
        <is>
          <t>2018-12-05_MSFT</t>
        </is>
      </c>
      <c r="C22" s="5" t="inlineStr">
        <is>
          <t>01a1212c-4b57-70cf-80fd-c2192cb3bf81</t>
        </is>
      </c>
      <c r="D22" s="4" t="n">
        <v>46304.62432889104</v>
      </c>
      <c r="E22" s="4" t="n">
        <v>46304.62432889111</v>
      </c>
      <c r="F22" t="b">
        <v>1</v>
      </c>
      <c r="G22" t="n">
        <v/>
      </c>
      <c r="H22" t="inlineStr">
        <is>
          <t>2018-12-05 | Dividend | MSFT</t>
        </is>
      </c>
      <c r="I22" t="inlineStr">
        <is>
          <t>MSFT</t>
        </is>
      </c>
      <c r="J22" s="6" t="n">
        <v>43439</v>
      </c>
      <c r="K22" t="n">
        <v>56</v>
      </c>
      <c r="L22" t="inlineStr"/>
      <c r="M22" t="inlineStr">
        <is>
          <t>FY2018/19</t>
        </is>
      </c>
      <c r="N22" t="inlineStr">
        <is>
          <t>FOREIGN</t>
        </is>
      </c>
      <c r="O22" t="inlineStr">
        <is>
          <t>USD</t>
        </is>
      </c>
      <c r="P22" t="n">
        <v>0.46</v>
      </c>
      <c r="Q22" t="inlineStr">
        <is>
          <t>USD</t>
        </is>
      </c>
      <c r="R22" t="n">
        <v>0</v>
      </c>
      <c r="S22" t="inlineStr">
        <is>
          <t>USD</t>
        </is>
      </c>
      <c r="T22" t="n">
        <v>0</v>
      </c>
      <c r="U22" t="inlineStr">
        <is>
          <t>USD</t>
        </is>
      </c>
      <c r="V22" t="n">
        <v>3.86</v>
      </c>
      <c r="W22" t="inlineStr">
        <is>
          <t>USD</t>
        </is>
      </c>
      <c r="X22" t="n">
        <v>0</v>
      </c>
      <c r="Y22" t="n">
        <v>30</v>
      </c>
      <c r="Z22" t="inlineStr">
        <is>
          <t>USD</t>
        </is>
      </c>
      <c r="AA22" t="n">
        <v>25.76</v>
      </c>
      <c r="AB22" t="inlineStr">
        <is>
          <t>USD</t>
        </is>
      </c>
      <c r="AC22" t="n">
        <v>0</v>
      </c>
      <c r="AD22" t="inlineStr">
        <is>
          <t>USD</t>
        </is>
      </c>
      <c r="AE22" t="n">
        <v>0</v>
      </c>
      <c r="AF22" t="inlineStr">
        <is>
          <t>USD</t>
        </is>
      </c>
      <c r="AG22" t="n">
        <v>25.76</v>
      </c>
      <c r="AH22" t="inlineStr">
        <is>
          <t>AUD</t>
        </is>
      </c>
      <c r="AI22" t="n">
        <v>38.64</v>
      </c>
      <c r="AJ22" s="5" t="inlineStr">
        <is>
          <t>01a1212c-baff-72ee-993e-4cd699c4abeb</t>
        </is>
      </c>
    </row>
    <row r="23">
      <c r="A23" s="5" t="inlineStr">
        <is>
          <t>01a1212c-bb02-734e-9184-04cc6d58cdeb</t>
        </is>
      </c>
      <c r="B23" t="inlineStr">
        <is>
          <t>2019-01-31_BHP.AX</t>
        </is>
      </c>
      <c r="C23" s="5" t="inlineStr">
        <is>
          <t>01a1212c-4b57-70cf-80fd-c2192cb3bf81</t>
        </is>
      </c>
      <c r="D23" s="4" t="n">
        <v>46304.62432892331</v>
      </c>
      <c r="E23" s="4" t="n">
        <v>46304.62432892338</v>
      </c>
      <c r="F23" t="b">
        <v>1</v>
      </c>
      <c r="G23" t="n">
        <v/>
      </c>
      <c r="H23" t="inlineStr">
        <is>
          <t>2019-01-31 | Dividend | BHP</t>
        </is>
      </c>
      <c r="I23" t="inlineStr">
        <is>
          <t>BHP</t>
        </is>
      </c>
      <c r="J23" s="6" t="n">
        <v>43496</v>
      </c>
      <c r="K23" t="n">
        <v>43</v>
      </c>
      <c r="L23" t="inlineStr"/>
      <c r="M23" t="inlineStr">
        <is>
          <t>FY2018/19</t>
        </is>
      </c>
      <c r="N23" t="inlineStr">
        <is>
          <t>LOCAL</t>
        </is>
      </c>
      <c r="O23" t="inlineStr">
        <is>
          <t>AUD</t>
        </is>
      </c>
      <c r="P23" t="n">
        <v>0</v>
      </c>
      <c r="Q23" t="inlineStr">
        <is>
          <t>AUD</t>
        </is>
      </c>
      <c r="R23" t="n">
        <v>1.412742</v>
      </c>
      <c r="S23" t="inlineStr">
        <is>
          <t>AUD</t>
        </is>
      </c>
      <c r="T23" t="n">
        <v>0</v>
      </c>
      <c r="U23" t="inlineStr">
        <is>
          <t>AUD</t>
        </is>
      </c>
      <c r="V23" t="n">
        <v>0</v>
      </c>
      <c r="W23" t="inlineStr">
        <is>
          <t>AUD</t>
        </is>
      </c>
      <c r="X23" t="n">
        <v>0</v>
      </c>
      <c r="Y23" t="n">
        <v>30</v>
      </c>
      <c r="Z23" t="inlineStr">
        <is>
          <t>AUD</t>
        </is>
      </c>
      <c r="AA23" t="n">
        <v>0</v>
      </c>
      <c r="AB23" t="inlineStr">
        <is>
          <t>AUD</t>
        </is>
      </c>
      <c r="AC23" t="n">
        <v>60.747906</v>
      </c>
      <c r="AD23" t="inlineStr">
        <is>
          <t>AUD</t>
        </is>
      </c>
      <c r="AE23" t="n">
        <v>26.034817</v>
      </c>
      <c r="AF23" t="inlineStr">
        <is>
          <t>AUD</t>
        </is>
      </c>
      <c r="AG23" t="n">
        <v>60.747906</v>
      </c>
      <c r="AH23" t="inlineStr">
        <is>
          <t>AUD</t>
        </is>
      </c>
      <c r="AI23" t="n">
        <v>60.747906</v>
      </c>
      <c r="AJ23" t="n">
        <v/>
      </c>
    </row>
    <row r="24">
      <c r="A24" s="5" t="inlineStr">
        <is>
          <t>01a1212c-bb06-7787-9846-91cfe4f200cf</t>
        </is>
      </c>
      <c r="B24" t="inlineStr">
        <is>
          <t>2019-02-11_AAPL</t>
        </is>
      </c>
      <c r="C24" s="5" t="inlineStr">
        <is>
          <t>01a1212c-4b57-70cf-80fd-c2192cb3bf81</t>
        </is>
      </c>
      <c r="D24" s="4" t="n">
        <v>46304.62432897944</v>
      </c>
      <c r="E24" s="4" t="n">
        <v>46304.62432897952</v>
      </c>
      <c r="F24" t="b">
        <v>1</v>
      </c>
      <c r="G24" t="n">
        <v/>
      </c>
      <c r="H24" t="inlineStr">
        <is>
          <t>2019-02-11 | Dividend | AAPL</t>
        </is>
      </c>
      <c r="I24" t="inlineStr">
        <is>
          <t>AAPL</t>
        </is>
      </c>
      <c r="J24" s="6" t="n">
        <v>43507</v>
      </c>
      <c r="K24" t="n">
        <v>19</v>
      </c>
      <c r="L24" t="inlineStr"/>
      <c r="M24" t="inlineStr">
        <is>
          <t>FY2018/19</t>
        </is>
      </c>
      <c r="N24" t="inlineStr">
        <is>
          <t>FOREIGN</t>
        </is>
      </c>
      <c r="O24" t="inlineStr">
        <is>
          <t>USD</t>
        </is>
      </c>
      <c r="P24" t="n">
        <v>0.73</v>
      </c>
      <c r="Q24" t="inlineStr">
        <is>
          <t>USD</t>
        </is>
      </c>
      <c r="R24" t="n">
        <v>0</v>
      </c>
      <c r="S24" t="inlineStr">
        <is>
          <t>USD</t>
        </is>
      </c>
      <c r="T24" t="n">
        <v>0</v>
      </c>
      <c r="U24" t="inlineStr">
        <is>
          <t>USD</t>
        </is>
      </c>
      <c r="V24" t="n">
        <v>2.08</v>
      </c>
      <c r="W24" t="inlineStr">
        <is>
          <t>USD</t>
        </is>
      </c>
      <c r="X24" t="n">
        <v>0</v>
      </c>
      <c r="Y24" t="n">
        <v>30</v>
      </c>
      <c r="Z24" t="inlineStr">
        <is>
          <t>USD</t>
        </is>
      </c>
      <c r="AA24" t="n">
        <v>13.87</v>
      </c>
      <c r="AB24" t="inlineStr">
        <is>
          <t>USD</t>
        </is>
      </c>
      <c r="AC24" t="n">
        <v>0</v>
      </c>
      <c r="AD24" t="inlineStr">
        <is>
          <t>USD</t>
        </is>
      </c>
      <c r="AE24" t="n">
        <v>0</v>
      </c>
      <c r="AF24" t="inlineStr">
        <is>
          <t>USD</t>
        </is>
      </c>
      <c r="AG24" t="n">
        <v>13.87</v>
      </c>
      <c r="AH24" t="inlineStr">
        <is>
          <t>AUD</t>
        </is>
      </c>
      <c r="AI24" t="n">
        <v>20.805</v>
      </c>
      <c r="AJ24" s="5" t="inlineStr">
        <is>
          <t>01a1212c-bb06-7787-9846-91d0d1303cbf</t>
        </is>
      </c>
    </row>
    <row r="25">
      <c r="A25" s="5" t="inlineStr">
        <is>
          <t>01a1212c-bb0a-726b-b96b-ae56db970031</t>
        </is>
      </c>
      <c r="B25" t="inlineStr">
        <is>
          <t>2019-03-13_MSFT</t>
        </is>
      </c>
      <c r="C25" s="5" t="inlineStr">
        <is>
          <t>01a1212c-4b57-70cf-80fd-c2192cb3bf81</t>
        </is>
      </c>
      <c r="D25" s="4" t="n">
        <v>46304.62432902639</v>
      </c>
      <c r="E25" s="4" t="n">
        <v>46304.62432902646</v>
      </c>
      <c r="F25" t="b">
        <v>1</v>
      </c>
      <c r="G25" t="n">
        <v/>
      </c>
      <c r="H25" t="inlineStr">
        <is>
          <t>2019-03-13 | Dividend | MSFT</t>
        </is>
      </c>
      <c r="I25" t="inlineStr">
        <is>
          <t>MSFT</t>
        </is>
      </c>
      <c r="J25" s="6" t="n">
        <v>43537</v>
      </c>
      <c r="K25" t="n">
        <v>60</v>
      </c>
      <c r="L25" t="inlineStr"/>
      <c r="M25" t="inlineStr">
        <is>
          <t>FY2018/19</t>
        </is>
      </c>
      <c r="N25" t="inlineStr">
        <is>
          <t>FOREIGN</t>
        </is>
      </c>
      <c r="O25" t="inlineStr">
        <is>
          <t>USD</t>
        </is>
      </c>
      <c r="P25" t="n">
        <v>0.46</v>
      </c>
      <c r="Q25" t="inlineStr">
        <is>
          <t>USD</t>
        </is>
      </c>
      <c r="R25" t="n">
        <v>0</v>
      </c>
      <c r="S25" t="inlineStr">
        <is>
          <t>USD</t>
        </is>
      </c>
      <c r="T25" t="n">
        <v>0</v>
      </c>
      <c r="U25" t="inlineStr">
        <is>
          <t>USD</t>
        </is>
      </c>
      <c r="V25" t="n">
        <v>4.14</v>
      </c>
      <c r="W25" t="inlineStr">
        <is>
          <t>USD</t>
        </is>
      </c>
      <c r="X25" t="n">
        <v>0</v>
      </c>
      <c r="Y25" t="n">
        <v>30</v>
      </c>
      <c r="Z25" t="inlineStr">
        <is>
          <t>USD</t>
        </is>
      </c>
      <c r="AA25" t="n">
        <v>27.6</v>
      </c>
      <c r="AB25" t="inlineStr">
        <is>
          <t>USD</t>
        </is>
      </c>
      <c r="AC25" t="n">
        <v>0</v>
      </c>
      <c r="AD25" t="inlineStr">
        <is>
          <t>USD</t>
        </is>
      </c>
      <c r="AE25" t="n">
        <v>0</v>
      </c>
      <c r="AF25" t="inlineStr">
        <is>
          <t>USD</t>
        </is>
      </c>
      <c r="AG25" t="n">
        <v>27.6</v>
      </c>
      <c r="AH25" t="inlineStr">
        <is>
          <t>AUD</t>
        </is>
      </c>
      <c r="AI25" t="n">
        <v>41.4</v>
      </c>
      <c r="AJ25" s="5" t="inlineStr">
        <is>
          <t>01a1212c-bb0b-7187-bc3b-eca6b8b2ba79</t>
        </is>
      </c>
    </row>
    <row r="26">
      <c r="A26" s="5" t="inlineStr">
        <is>
          <t>01a1212c-bb0e-741a-af57-d5ad3f0b89f9</t>
        </is>
      </c>
      <c r="B26" t="inlineStr">
        <is>
          <t>2019-03-20_CBA.AX</t>
        </is>
      </c>
      <c r="C26" s="5" t="inlineStr">
        <is>
          <t>01a1212c-4b57-70cf-80fd-c2192cb3bf81</t>
        </is>
      </c>
      <c r="D26" s="4" t="n">
        <v>46304.62432905836</v>
      </c>
      <c r="E26" s="4" t="n">
        <v>46304.62432905842</v>
      </c>
      <c r="F26" t="b">
        <v>1</v>
      </c>
      <c r="G26" t="n">
        <v/>
      </c>
      <c r="H26" t="inlineStr">
        <is>
          <t>2019-03-20 | Dividend | CBA</t>
        </is>
      </c>
      <c r="I26" t="inlineStr">
        <is>
          <t>CBA</t>
        </is>
      </c>
      <c r="J26" s="6" t="n">
        <v>43544</v>
      </c>
      <c r="K26" t="n">
        <v>10</v>
      </c>
      <c r="L26" t="inlineStr"/>
      <c r="M26" t="inlineStr">
        <is>
          <t>FY2018/19</t>
        </is>
      </c>
      <c r="N26" t="inlineStr">
        <is>
          <t>LOCAL</t>
        </is>
      </c>
      <c r="O26" t="inlineStr">
        <is>
          <t>AUD</t>
        </is>
      </c>
      <c r="P26" t="n">
        <v>0</v>
      </c>
      <c r="Q26" t="inlineStr">
        <is>
          <t>AUD</t>
        </is>
      </c>
      <c r="R26" t="n">
        <v>2</v>
      </c>
      <c r="S26" t="inlineStr">
        <is>
          <t>AUD</t>
        </is>
      </c>
      <c r="T26" t="n">
        <v>0</v>
      </c>
      <c r="U26" t="inlineStr">
        <is>
          <t>AUD</t>
        </is>
      </c>
      <c r="V26" t="n">
        <v>0</v>
      </c>
      <c r="W26" t="inlineStr">
        <is>
          <t>AUD</t>
        </is>
      </c>
      <c r="X26" t="n">
        <v>0</v>
      </c>
      <c r="Y26" t="n">
        <v>30</v>
      </c>
      <c r="Z26" t="inlineStr">
        <is>
          <t>AUD</t>
        </is>
      </c>
      <c r="AA26" t="n">
        <v>0</v>
      </c>
      <c r="AB26" t="inlineStr">
        <is>
          <t>AUD</t>
        </is>
      </c>
      <c r="AC26" t="n">
        <v>20</v>
      </c>
      <c r="AD26" t="inlineStr">
        <is>
          <t>AUD</t>
        </is>
      </c>
      <c r="AE26" t="n">
        <v>8.571429</v>
      </c>
      <c r="AF26" t="inlineStr">
        <is>
          <t>AUD</t>
        </is>
      </c>
      <c r="AG26" t="n">
        <v>20</v>
      </c>
      <c r="AH26" t="inlineStr">
        <is>
          <t>AUD</t>
        </is>
      </c>
      <c r="AI26" t="n">
        <v>20</v>
      </c>
      <c r="AJ26" t="n">
        <v/>
      </c>
    </row>
    <row r="27">
      <c r="A27" s="5" t="inlineStr">
        <is>
          <t>01a1212c-bb11-706b-a0ce-42ea93c0585e</t>
        </is>
      </c>
      <c r="B27" t="inlineStr">
        <is>
          <t>2019-03-22_WES.AX</t>
        </is>
      </c>
      <c r="C27" s="5" t="inlineStr">
        <is>
          <t>01a1212c-4b57-70cf-80fd-c2192cb3bf81</t>
        </is>
      </c>
      <c r="D27" s="4" t="n">
        <v>46304.62432908981</v>
      </c>
      <c r="E27" s="4" t="n">
        <v>46304.62432908989</v>
      </c>
      <c r="F27" t="b">
        <v>1</v>
      </c>
      <c r="G27" t="n">
        <v/>
      </c>
      <c r="H27" t="inlineStr">
        <is>
          <t>2019-03-22 | Dividend | WES</t>
        </is>
      </c>
      <c r="I27" t="inlineStr">
        <is>
          <t>WES</t>
        </is>
      </c>
      <c r="J27" s="6" t="n">
        <v>43546</v>
      </c>
      <c r="K27" t="n">
        <v>14</v>
      </c>
      <c r="L27" t="inlineStr"/>
      <c r="M27" t="inlineStr">
        <is>
          <t>FY2018/19</t>
        </is>
      </c>
      <c r="N27" t="inlineStr">
        <is>
          <t>LOCAL</t>
        </is>
      </c>
      <c r="O27" t="inlineStr">
        <is>
          <t>AUD</t>
        </is>
      </c>
      <c r="P27" t="n">
        <v>0</v>
      </c>
      <c r="Q27" t="inlineStr">
        <is>
          <t>AUD</t>
        </is>
      </c>
      <c r="R27" t="n">
        <v>2</v>
      </c>
      <c r="S27" t="inlineStr">
        <is>
          <t>AUD</t>
        </is>
      </c>
      <c r="T27" t="n">
        <v>0</v>
      </c>
      <c r="U27" t="inlineStr">
        <is>
          <t>AUD</t>
        </is>
      </c>
      <c r="V27" t="n">
        <v>0</v>
      </c>
      <c r="W27" t="inlineStr">
        <is>
          <t>AUD</t>
        </is>
      </c>
      <c r="X27" t="n">
        <v>0</v>
      </c>
      <c r="Y27" t="n">
        <v>30</v>
      </c>
      <c r="Z27" t="inlineStr">
        <is>
          <t>AUD</t>
        </is>
      </c>
      <c r="AA27" t="n">
        <v>0</v>
      </c>
      <c r="AB27" t="inlineStr">
        <is>
          <t>AUD</t>
        </is>
      </c>
      <c r="AC27" t="n">
        <v>28</v>
      </c>
      <c r="AD27" t="inlineStr">
        <is>
          <t>AUD</t>
        </is>
      </c>
      <c r="AE27" t="n">
        <v>12</v>
      </c>
      <c r="AF27" t="inlineStr">
        <is>
          <t>AUD</t>
        </is>
      </c>
      <c r="AG27" t="n">
        <v>28</v>
      </c>
      <c r="AH27" t="inlineStr">
        <is>
          <t>AUD</t>
        </is>
      </c>
      <c r="AI27" t="n">
        <v>28</v>
      </c>
      <c r="AJ27" t="n">
        <v/>
      </c>
    </row>
    <row r="28">
      <c r="A28" s="5" t="inlineStr">
        <is>
          <t>01a1212c-bb13-71d5-a837-3508938a6d70</t>
        </is>
      </c>
      <c r="B28" t="inlineStr">
        <is>
          <t>2019-03-27_TLS.AX</t>
        </is>
      </c>
      <c r="C28" s="5" t="inlineStr">
        <is>
          <t>01a1212c-4b57-70cf-80fd-c2192cb3bf81</t>
        </is>
      </c>
      <c r="D28" s="4" t="n">
        <v>46304.6243291208</v>
      </c>
      <c r="E28" s="4" t="n">
        <v>46304.62432912087</v>
      </c>
      <c r="F28" t="b">
        <v>1</v>
      </c>
      <c r="G28" t="n">
        <v/>
      </c>
      <c r="H28" t="inlineStr">
        <is>
          <t>2019-03-27 | Dividend | TLS</t>
        </is>
      </c>
      <c r="I28" t="inlineStr">
        <is>
          <t>TLS</t>
        </is>
      </c>
      <c r="J28" s="6" t="n">
        <v>43551</v>
      </c>
      <c r="K28" t="n">
        <v>809</v>
      </c>
      <c r="L28" t="inlineStr"/>
      <c r="M28" t="inlineStr">
        <is>
          <t>FY2018/19</t>
        </is>
      </c>
      <c r="N28" t="inlineStr">
        <is>
          <t>LOCAL</t>
        </is>
      </c>
      <c r="O28" t="inlineStr">
        <is>
          <t>AUD</t>
        </is>
      </c>
      <c r="P28" t="n">
        <v>0</v>
      </c>
      <c r="Q28" t="inlineStr">
        <is>
          <t>AUD</t>
        </is>
      </c>
      <c r="R28" t="n">
        <v>0.08</v>
      </c>
      <c r="S28" t="inlineStr">
        <is>
          <t>AUD</t>
        </is>
      </c>
      <c r="T28" t="n">
        <v>0</v>
      </c>
      <c r="U28" t="inlineStr">
        <is>
          <t>AUD</t>
        </is>
      </c>
      <c r="V28" t="n">
        <v>0</v>
      </c>
      <c r="W28" t="inlineStr">
        <is>
          <t>AUD</t>
        </is>
      </c>
      <c r="X28" t="n">
        <v>0</v>
      </c>
      <c r="Y28" t="n">
        <v>30</v>
      </c>
      <c r="Z28" t="inlineStr">
        <is>
          <t>AUD</t>
        </is>
      </c>
      <c r="AA28" t="n">
        <v>0</v>
      </c>
      <c r="AB28" t="inlineStr">
        <is>
          <t>AUD</t>
        </is>
      </c>
      <c r="AC28" t="n">
        <v>64.72</v>
      </c>
      <c r="AD28" t="inlineStr">
        <is>
          <t>AUD</t>
        </is>
      </c>
      <c r="AE28" t="n">
        <v>27.737143</v>
      </c>
      <c r="AF28" t="inlineStr">
        <is>
          <t>AUD</t>
        </is>
      </c>
      <c r="AG28" t="n">
        <v>64.72</v>
      </c>
      <c r="AH28" t="inlineStr">
        <is>
          <t>AUD</t>
        </is>
      </c>
      <c r="AI28" t="n">
        <v>64.72</v>
      </c>
      <c r="AJ28" t="n">
        <v/>
      </c>
    </row>
    <row r="29">
      <c r="A29" s="5" t="inlineStr">
        <is>
          <t>01a1212c-bb16-7549-b469-d55913c50b0f</t>
        </is>
      </c>
      <c r="B29" t="inlineStr">
        <is>
          <t>2019-03-28_BHP.AX</t>
        </is>
      </c>
      <c r="C29" s="5" t="inlineStr">
        <is>
          <t>01a1212c-4b57-70cf-80fd-c2192cb3bf81</t>
        </is>
      </c>
      <c r="D29" s="4" t="n">
        <v>46304.62432915607</v>
      </c>
      <c r="E29" s="4" t="n">
        <v>46304.62432915615</v>
      </c>
      <c r="F29" t="b">
        <v>1</v>
      </c>
      <c r="G29" t="n">
        <v/>
      </c>
      <c r="H29" t="inlineStr">
        <is>
          <t>2019-03-28 | Dividend | BHP</t>
        </is>
      </c>
      <c r="I29" t="inlineStr">
        <is>
          <t>BHP</t>
        </is>
      </c>
      <c r="J29" s="6" t="n">
        <v>43552</v>
      </c>
      <c r="K29" t="n">
        <v>43</v>
      </c>
      <c r="L29" t="inlineStr"/>
      <c r="M29" t="inlineStr">
        <is>
          <t>FY2018/19</t>
        </is>
      </c>
      <c r="N29" t="inlineStr">
        <is>
          <t>LOCAL</t>
        </is>
      </c>
      <c r="O29" t="inlineStr">
        <is>
          <t>AUD</t>
        </is>
      </c>
      <c r="P29" t="n">
        <v>0</v>
      </c>
      <c r="Q29" t="inlineStr">
        <is>
          <t>AUD</t>
        </is>
      </c>
      <c r="R29" t="n">
        <v>0.780806</v>
      </c>
      <c r="S29" t="inlineStr">
        <is>
          <t>AUD</t>
        </is>
      </c>
      <c r="T29" t="n">
        <v>0</v>
      </c>
      <c r="U29" t="inlineStr">
        <is>
          <t>AUD</t>
        </is>
      </c>
      <c r="V29" t="n">
        <v>0</v>
      </c>
      <c r="W29" t="inlineStr">
        <is>
          <t>AUD</t>
        </is>
      </c>
      <c r="X29" t="n">
        <v>0</v>
      </c>
      <c r="Y29" t="n">
        <v>30</v>
      </c>
      <c r="Z29" t="inlineStr">
        <is>
          <t>AUD</t>
        </is>
      </c>
      <c r="AA29" t="n">
        <v>0</v>
      </c>
      <c r="AB29" t="inlineStr">
        <is>
          <t>AUD</t>
        </is>
      </c>
      <c r="AC29" t="n">
        <v>33.574658</v>
      </c>
      <c r="AD29" t="inlineStr">
        <is>
          <t>AUD</t>
        </is>
      </c>
      <c r="AE29" t="n">
        <v>14.389139</v>
      </c>
      <c r="AF29" t="inlineStr">
        <is>
          <t>AUD</t>
        </is>
      </c>
      <c r="AG29" t="n">
        <v>33.574658</v>
      </c>
      <c r="AH29" t="inlineStr">
        <is>
          <t>AUD</t>
        </is>
      </c>
      <c r="AI29" t="n">
        <v>33.574658</v>
      </c>
      <c r="AJ29" t="n">
        <v/>
      </c>
    </row>
    <row r="30">
      <c r="A30" s="5" t="inlineStr">
        <is>
          <t>01a1212c-bb19-7162-b864-7b28289e6ac5</t>
        </is>
      </c>
      <c r="B30" t="inlineStr">
        <is>
          <t>2019-05-13_AAPL</t>
        </is>
      </c>
      <c r="C30" s="5" t="inlineStr">
        <is>
          <t>01a1212c-4b57-70cf-80fd-c2192cb3bf81</t>
        </is>
      </c>
      <c r="D30" s="4" t="n">
        <v>46304.6243292016</v>
      </c>
      <c r="E30" s="4" t="n">
        <v>46304.62432920165</v>
      </c>
      <c r="F30" t="b">
        <v>1</v>
      </c>
      <c r="G30" t="n">
        <v/>
      </c>
      <c r="H30" t="inlineStr">
        <is>
          <t>2019-05-13 | Dividend | AAPL</t>
        </is>
      </c>
      <c r="I30" t="inlineStr">
        <is>
          <t>AAPL</t>
        </is>
      </c>
      <c r="J30" s="6" t="n">
        <v>43598</v>
      </c>
      <c r="K30" t="n">
        <v>21</v>
      </c>
      <c r="L30" t="inlineStr"/>
      <c r="M30" t="inlineStr">
        <is>
          <t>FY2018/19</t>
        </is>
      </c>
      <c r="N30" t="inlineStr">
        <is>
          <t>FOREIGN</t>
        </is>
      </c>
      <c r="O30" t="inlineStr">
        <is>
          <t>USD</t>
        </is>
      </c>
      <c r="P30" t="n">
        <v>0.77</v>
      </c>
      <c r="Q30" t="inlineStr">
        <is>
          <t>USD</t>
        </is>
      </c>
      <c r="R30" t="n">
        <v>0</v>
      </c>
      <c r="S30" t="inlineStr">
        <is>
          <t>USD</t>
        </is>
      </c>
      <c r="T30" t="n">
        <v>0</v>
      </c>
      <c r="U30" t="inlineStr">
        <is>
          <t>USD</t>
        </is>
      </c>
      <c r="V30" t="n">
        <v>2.43</v>
      </c>
      <c r="W30" t="inlineStr">
        <is>
          <t>USD</t>
        </is>
      </c>
      <c r="X30" t="n">
        <v>0</v>
      </c>
      <c r="Y30" t="n">
        <v>30</v>
      </c>
      <c r="Z30" t="inlineStr">
        <is>
          <t>USD</t>
        </is>
      </c>
      <c r="AA30" t="n">
        <v>16.17</v>
      </c>
      <c r="AB30" t="inlineStr">
        <is>
          <t>USD</t>
        </is>
      </c>
      <c r="AC30" t="n">
        <v>0</v>
      </c>
      <c r="AD30" t="inlineStr">
        <is>
          <t>USD</t>
        </is>
      </c>
      <c r="AE30" t="n">
        <v>0</v>
      </c>
      <c r="AF30" t="inlineStr">
        <is>
          <t>USD</t>
        </is>
      </c>
      <c r="AG30" t="n">
        <v>16.17</v>
      </c>
      <c r="AH30" t="inlineStr">
        <is>
          <t>AUD</t>
        </is>
      </c>
      <c r="AI30" t="n">
        <v>24.255</v>
      </c>
      <c r="AJ30" s="5" t="inlineStr">
        <is>
          <t>01a1212c-bb1a-715b-bfb4-b37dbb9c9ab7</t>
        </is>
      </c>
    </row>
    <row r="31">
      <c r="A31" s="5" t="inlineStr">
        <is>
          <t>01a1212c-bb1d-7082-bd1b-d7b11d00772a</t>
        </is>
      </c>
      <c r="B31" t="inlineStr">
        <is>
          <t>2019-06-05_MSFT</t>
        </is>
      </c>
      <c r="C31" s="5" t="inlineStr">
        <is>
          <t>01a1212c-4b57-70cf-80fd-c2192cb3bf81</t>
        </is>
      </c>
      <c r="D31" s="4" t="n">
        <v>46304.62432924633</v>
      </c>
      <c r="E31" s="4" t="n">
        <v>46304.6243292464</v>
      </c>
      <c r="F31" t="b">
        <v>1</v>
      </c>
      <c r="G31" t="n">
        <v/>
      </c>
      <c r="H31" t="inlineStr">
        <is>
          <t>2019-06-05 | Dividend | MSFT</t>
        </is>
      </c>
      <c r="I31" t="inlineStr">
        <is>
          <t>MSFT</t>
        </is>
      </c>
      <c r="J31" s="6" t="n">
        <v>43621</v>
      </c>
      <c r="K31" t="n">
        <v>60</v>
      </c>
      <c r="L31" t="inlineStr"/>
      <c r="M31" t="inlineStr">
        <is>
          <t>FY2018/19</t>
        </is>
      </c>
      <c r="N31" t="inlineStr">
        <is>
          <t>FOREIGN</t>
        </is>
      </c>
      <c r="O31" t="inlineStr">
        <is>
          <t>USD</t>
        </is>
      </c>
      <c r="P31" t="n">
        <v>0.46</v>
      </c>
      <c r="Q31" t="inlineStr">
        <is>
          <t>USD</t>
        </is>
      </c>
      <c r="R31" t="n">
        <v>0</v>
      </c>
      <c r="S31" t="inlineStr">
        <is>
          <t>USD</t>
        </is>
      </c>
      <c r="T31" t="n">
        <v>0</v>
      </c>
      <c r="U31" t="inlineStr">
        <is>
          <t>USD</t>
        </is>
      </c>
      <c r="V31" t="n">
        <v>4.14</v>
      </c>
      <c r="W31" t="inlineStr">
        <is>
          <t>USD</t>
        </is>
      </c>
      <c r="X31" t="n">
        <v>0</v>
      </c>
      <c r="Y31" t="n">
        <v>30</v>
      </c>
      <c r="Z31" t="inlineStr">
        <is>
          <t>USD</t>
        </is>
      </c>
      <c r="AA31" t="n">
        <v>27.6</v>
      </c>
      <c r="AB31" t="inlineStr">
        <is>
          <t>USD</t>
        </is>
      </c>
      <c r="AC31" t="n">
        <v>0</v>
      </c>
      <c r="AD31" t="inlineStr">
        <is>
          <t>USD</t>
        </is>
      </c>
      <c r="AE31" t="n">
        <v>0</v>
      </c>
      <c r="AF31" t="inlineStr">
        <is>
          <t>USD</t>
        </is>
      </c>
      <c r="AG31" t="n">
        <v>27.6</v>
      </c>
      <c r="AH31" t="inlineStr">
        <is>
          <t>AUD</t>
        </is>
      </c>
      <c r="AI31" t="n">
        <v>41.4</v>
      </c>
      <c r="AJ31" s="5" t="inlineStr">
        <is>
          <t>01a1212c-bb1e-7535-b190-240ed9536aac</t>
        </is>
      </c>
    </row>
    <row r="32">
      <c r="A32" s="5" t="inlineStr">
        <is>
          <t>01a1212c-bb21-7050-a52f-5f730feb8fd3</t>
        </is>
      </c>
      <c r="B32" t="inlineStr">
        <is>
          <t>2019-08-12_AAPL</t>
        </is>
      </c>
      <c r="C32" s="5" t="inlineStr">
        <is>
          <t>01a1212c-4b57-70cf-80fd-c2192cb3bf81</t>
        </is>
      </c>
      <c r="D32" s="4" t="n">
        <v>46304.62432929124</v>
      </c>
      <c r="E32" s="4" t="n">
        <v>46304.62432929131</v>
      </c>
      <c r="F32" t="b">
        <v>1</v>
      </c>
      <c r="G32" t="n">
        <v/>
      </c>
      <c r="H32" t="inlineStr">
        <is>
          <t>2019-08-12 | Dividend | AAPL</t>
        </is>
      </c>
      <c r="I32" t="inlineStr">
        <is>
          <t>AAPL</t>
        </is>
      </c>
      <c r="J32" s="6" t="n">
        <v>43689</v>
      </c>
      <c r="K32" t="n">
        <v>21</v>
      </c>
      <c r="L32" t="inlineStr"/>
      <c r="M32" t="inlineStr">
        <is>
          <t>FY2019/20</t>
        </is>
      </c>
      <c r="N32" t="inlineStr">
        <is>
          <t>FOREIGN</t>
        </is>
      </c>
      <c r="O32" t="inlineStr">
        <is>
          <t>USD</t>
        </is>
      </c>
      <c r="P32" t="n">
        <v>0.77</v>
      </c>
      <c r="Q32" t="inlineStr">
        <is>
          <t>USD</t>
        </is>
      </c>
      <c r="R32" t="n">
        <v>0</v>
      </c>
      <c r="S32" t="inlineStr">
        <is>
          <t>USD</t>
        </is>
      </c>
      <c r="T32" t="n">
        <v>0</v>
      </c>
      <c r="U32" t="inlineStr">
        <is>
          <t>USD</t>
        </is>
      </c>
      <c r="V32" t="n">
        <v>2.43</v>
      </c>
      <c r="W32" t="inlineStr">
        <is>
          <t>USD</t>
        </is>
      </c>
      <c r="X32" t="n">
        <v>0</v>
      </c>
      <c r="Y32" t="n">
        <v>30</v>
      </c>
      <c r="Z32" t="inlineStr">
        <is>
          <t>USD</t>
        </is>
      </c>
      <c r="AA32" t="n">
        <v>16.17</v>
      </c>
      <c r="AB32" t="inlineStr">
        <is>
          <t>USD</t>
        </is>
      </c>
      <c r="AC32" t="n">
        <v>0</v>
      </c>
      <c r="AD32" t="inlineStr">
        <is>
          <t>USD</t>
        </is>
      </c>
      <c r="AE32" t="n">
        <v>0</v>
      </c>
      <c r="AF32" t="inlineStr">
        <is>
          <t>USD</t>
        </is>
      </c>
      <c r="AG32" t="n">
        <v>16.17</v>
      </c>
      <c r="AH32" t="inlineStr">
        <is>
          <t>AUD</t>
        </is>
      </c>
      <c r="AI32" t="n">
        <v>24.255</v>
      </c>
      <c r="AJ32" s="5" t="inlineStr">
        <is>
          <t>01a1212c-bb21-7050-a52f-5f740bbf8063</t>
        </is>
      </c>
    </row>
    <row r="33">
      <c r="A33" s="5" t="inlineStr">
        <is>
          <t>01a1212c-bb25-7548-a3d2-380c3e0f602a</t>
        </is>
      </c>
      <c r="B33" t="inlineStr">
        <is>
          <t>2019-09-04_MSFT</t>
        </is>
      </c>
      <c r="C33" s="5" t="inlineStr">
        <is>
          <t>01a1212c-4b57-70cf-80fd-c2192cb3bf81</t>
        </is>
      </c>
      <c r="D33" s="4" t="n">
        <v>46304.6243293364</v>
      </c>
      <c r="E33" s="4" t="n">
        <v>46304.62432933646</v>
      </c>
      <c r="F33" t="b">
        <v>1</v>
      </c>
      <c r="G33" t="n">
        <v/>
      </c>
      <c r="H33" t="inlineStr">
        <is>
          <t>2019-09-04 | Dividend | MSFT</t>
        </is>
      </c>
      <c r="I33" t="inlineStr">
        <is>
          <t>MSFT</t>
        </is>
      </c>
      <c r="J33" s="6" t="n">
        <v>43712</v>
      </c>
      <c r="K33" t="n">
        <v>66</v>
      </c>
      <c r="L33" t="inlineStr"/>
      <c r="M33" t="inlineStr">
        <is>
          <t>FY2019/20</t>
        </is>
      </c>
      <c r="N33" t="inlineStr">
        <is>
          <t>FOREIGN</t>
        </is>
      </c>
      <c r="O33" t="inlineStr">
        <is>
          <t>USD</t>
        </is>
      </c>
      <c r="P33" t="n">
        <v>0.46</v>
      </c>
      <c r="Q33" t="inlineStr">
        <is>
          <t>USD</t>
        </is>
      </c>
      <c r="R33" t="n">
        <v>0</v>
      </c>
      <c r="S33" t="inlineStr">
        <is>
          <t>USD</t>
        </is>
      </c>
      <c r="T33" t="n">
        <v>0</v>
      </c>
      <c r="U33" t="inlineStr">
        <is>
          <t>USD</t>
        </is>
      </c>
      <c r="V33" t="n">
        <v>4.55</v>
      </c>
      <c r="W33" t="inlineStr">
        <is>
          <t>USD</t>
        </is>
      </c>
      <c r="X33" t="n">
        <v>0</v>
      </c>
      <c r="Y33" t="n">
        <v>30</v>
      </c>
      <c r="Z33" t="inlineStr">
        <is>
          <t>USD</t>
        </is>
      </c>
      <c r="AA33" t="n">
        <v>30.36</v>
      </c>
      <c r="AB33" t="inlineStr">
        <is>
          <t>USD</t>
        </is>
      </c>
      <c r="AC33" t="n">
        <v>0</v>
      </c>
      <c r="AD33" t="inlineStr">
        <is>
          <t>USD</t>
        </is>
      </c>
      <c r="AE33" t="n">
        <v>0</v>
      </c>
      <c r="AF33" t="inlineStr">
        <is>
          <t>USD</t>
        </is>
      </c>
      <c r="AG33" t="n">
        <v>30.36</v>
      </c>
      <c r="AH33" t="inlineStr">
        <is>
          <t>AUD</t>
        </is>
      </c>
      <c r="AI33" t="n">
        <v>45.54</v>
      </c>
      <c r="AJ33" s="5" t="inlineStr">
        <is>
          <t>01a1212c-bb25-7548-a3d2-380df50d217c</t>
        </is>
      </c>
    </row>
    <row r="34">
      <c r="A34" s="5" t="inlineStr">
        <is>
          <t>01a1212c-bb29-704b-83f0-111ffdf1a675</t>
        </is>
      </c>
      <c r="B34" t="inlineStr">
        <is>
          <t>2019-09-18_CBA.AX</t>
        </is>
      </c>
      <c r="C34" s="5" t="inlineStr">
        <is>
          <t>01a1212c-4b57-70cf-80fd-c2192cb3bf81</t>
        </is>
      </c>
      <c r="D34" s="4" t="n">
        <v>46304.62432936957</v>
      </c>
      <c r="E34" s="4" t="n">
        <v>46304.62432936964</v>
      </c>
      <c r="F34" t="b">
        <v>1</v>
      </c>
      <c r="G34" t="n">
        <v/>
      </c>
      <c r="H34" t="inlineStr">
        <is>
          <t>2019-09-18 | Dividend | CBA</t>
        </is>
      </c>
      <c r="I34" t="inlineStr">
        <is>
          <t>CBA</t>
        </is>
      </c>
      <c r="J34" s="6" t="n">
        <v>43726</v>
      </c>
      <c r="K34" t="n">
        <v>24</v>
      </c>
      <c r="L34" t="inlineStr"/>
      <c r="M34" t="inlineStr">
        <is>
          <t>FY2019/20</t>
        </is>
      </c>
      <c r="N34" t="inlineStr">
        <is>
          <t>LOCAL</t>
        </is>
      </c>
      <c r="O34" t="inlineStr">
        <is>
          <t>AUD</t>
        </is>
      </c>
      <c r="P34" t="n">
        <v>0</v>
      </c>
      <c r="Q34" t="inlineStr">
        <is>
          <t>AUD</t>
        </is>
      </c>
      <c r="R34" t="n">
        <v>2.31</v>
      </c>
      <c r="S34" t="inlineStr">
        <is>
          <t>AUD</t>
        </is>
      </c>
      <c r="T34" t="n">
        <v>0</v>
      </c>
      <c r="U34" t="inlineStr">
        <is>
          <t>AUD</t>
        </is>
      </c>
      <c r="V34" t="n">
        <v>0</v>
      </c>
      <c r="W34" t="inlineStr">
        <is>
          <t>AUD</t>
        </is>
      </c>
      <c r="X34" t="n">
        <v>0</v>
      </c>
      <c r="Y34" t="n">
        <v>30</v>
      </c>
      <c r="Z34" t="inlineStr">
        <is>
          <t>AUD</t>
        </is>
      </c>
      <c r="AA34" t="n">
        <v>0</v>
      </c>
      <c r="AB34" t="inlineStr">
        <is>
          <t>AUD</t>
        </is>
      </c>
      <c r="AC34" t="n">
        <v>55.44</v>
      </c>
      <c r="AD34" t="inlineStr">
        <is>
          <t>AUD</t>
        </is>
      </c>
      <c r="AE34" t="n">
        <v>23.76</v>
      </c>
      <c r="AF34" t="inlineStr">
        <is>
          <t>AUD</t>
        </is>
      </c>
      <c r="AG34" t="n">
        <v>55.44</v>
      </c>
      <c r="AH34" t="inlineStr">
        <is>
          <t>AUD</t>
        </is>
      </c>
      <c r="AI34" t="n">
        <v>55.44</v>
      </c>
      <c r="AJ34" t="n">
        <v/>
      </c>
    </row>
    <row r="35">
      <c r="A35" s="5" t="inlineStr">
        <is>
          <t>01a1212c-bb2b-769d-99cf-812b57de6cf6</t>
        </is>
      </c>
      <c r="B35" t="inlineStr">
        <is>
          <t>2019-09-23_WES.AX</t>
        </is>
      </c>
      <c r="C35" s="5" t="inlineStr">
        <is>
          <t>01a1212c-4b57-70cf-80fd-c2192cb3bf81</t>
        </is>
      </c>
      <c r="D35" s="4" t="n">
        <v>46304.62432940173</v>
      </c>
      <c r="E35" s="4" t="n">
        <v>46304.62432940179</v>
      </c>
      <c r="F35" t="b">
        <v>1</v>
      </c>
      <c r="G35" t="n">
        <v/>
      </c>
      <c r="H35" t="inlineStr">
        <is>
          <t>2019-09-23 | Dividend | WES</t>
        </is>
      </c>
      <c r="I35" t="inlineStr">
        <is>
          <t>WES</t>
        </is>
      </c>
      <c r="J35" s="6" t="n">
        <v>43731</v>
      </c>
      <c r="K35" t="n">
        <v>37</v>
      </c>
      <c r="L35" t="inlineStr"/>
      <c r="M35" t="inlineStr">
        <is>
          <t>FY2019/20</t>
        </is>
      </c>
      <c r="N35" t="inlineStr">
        <is>
          <t>LOCAL</t>
        </is>
      </c>
      <c r="O35" t="inlineStr">
        <is>
          <t>AUD</t>
        </is>
      </c>
      <c r="P35" t="n">
        <v>0</v>
      </c>
      <c r="Q35" t="inlineStr">
        <is>
          <t>AUD</t>
        </is>
      </c>
      <c r="R35" t="n">
        <v>0.78</v>
      </c>
      <c r="S35" t="inlineStr">
        <is>
          <t>AUD</t>
        </is>
      </c>
      <c r="T35" t="n">
        <v>0</v>
      </c>
      <c r="U35" t="inlineStr">
        <is>
          <t>AUD</t>
        </is>
      </c>
      <c r="V35" t="n">
        <v>0</v>
      </c>
      <c r="W35" t="inlineStr">
        <is>
          <t>AUD</t>
        </is>
      </c>
      <c r="X35" t="n">
        <v>0</v>
      </c>
      <c r="Y35" t="n">
        <v>30</v>
      </c>
      <c r="Z35" t="inlineStr">
        <is>
          <t>AUD</t>
        </is>
      </c>
      <c r="AA35" t="n">
        <v>0</v>
      </c>
      <c r="AB35" t="inlineStr">
        <is>
          <t>AUD</t>
        </is>
      </c>
      <c r="AC35" t="n">
        <v>28.86</v>
      </c>
      <c r="AD35" t="inlineStr">
        <is>
          <t>AUD</t>
        </is>
      </c>
      <c r="AE35" t="n">
        <v>12.368571</v>
      </c>
      <c r="AF35" t="inlineStr">
        <is>
          <t>AUD</t>
        </is>
      </c>
      <c r="AG35" t="n">
        <v>28.86</v>
      </c>
      <c r="AH35" t="inlineStr">
        <is>
          <t>AUD</t>
        </is>
      </c>
      <c r="AI35" t="n">
        <v>28.86</v>
      </c>
      <c r="AJ35" t="n">
        <v/>
      </c>
    </row>
    <row r="36">
      <c r="A36" s="5" t="inlineStr">
        <is>
          <t>01a1212c-bb2e-75a5-b95f-0d1c61b2a337</t>
        </is>
      </c>
      <c r="B36" t="inlineStr">
        <is>
          <t>2019-09-25_TLS.AX</t>
        </is>
      </c>
      <c r="C36" s="5" t="inlineStr">
        <is>
          <t>01a1212c-4b57-70cf-80fd-c2192cb3bf81</t>
        </is>
      </c>
      <c r="D36" s="4" t="n">
        <v>46304.62432943293</v>
      </c>
      <c r="E36" s="4" t="n">
        <v>46304.624329433</v>
      </c>
      <c r="F36" t="b">
        <v>1</v>
      </c>
      <c r="G36" t="n">
        <v/>
      </c>
      <c r="H36" t="inlineStr">
        <is>
          <t>2019-09-25 | Dividend | TLS</t>
        </is>
      </c>
      <c r="I36" t="inlineStr">
        <is>
          <t>TLS</t>
        </is>
      </c>
      <c r="J36" s="6" t="n">
        <v>43733</v>
      </c>
      <c r="K36" t="n">
        <v>809</v>
      </c>
      <c r="L36" t="inlineStr"/>
      <c r="M36" t="inlineStr">
        <is>
          <t>FY2019/20</t>
        </is>
      </c>
      <c r="N36" t="inlineStr">
        <is>
          <t>LOCAL</t>
        </is>
      </c>
      <c r="O36" t="inlineStr">
        <is>
          <t>AUD</t>
        </is>
      </c>
      <c r="P36" t="n">
        <v>0</v>
      </c>
      <c r="Q36" t="inlineStr">
        <is>
          <t>AUD</t>
        </is>
      </c>
      <c r="R36" t="n">
        <v>0.08</v>
      </c>
      <c r="S36" t="inlineStr">
        <is>
          <t>AUD</t>
        </is>
      </c>
      <c r="T36" t="n">
        <v>0</v>
      </c>
      <c r="U36" t="inlineStr">
        <is>
          <t>AUD</t>
        </is>
      </c>
      <c r="V36" t="n">
        <v>0</v>
      </c>
      <c r="W36" t="inlineStr">
        <is>
          <t>AUD</t>
        </is>
      </c>
      <c r="X36" t="n">
        <v>0</v>
      </c>
      <c r="Y36" t="n">
        <v>30</v>
      </c>
      <c r="Z36" t="inlineStr">
        <is>
          <t>AUD</t>
        </is>
      </c>
      <c r="AA36" t="n">
        <v>0</v>
      </c>
      <c r="AB36" t="inlineStr">
        <is>
          <t>AUD</t>
        </is>
      </c>
      <c r="AC36" t="n">
        <v>64.72</v>
      </c>
      <c r="AD36" t="inlineStr">
        <is>
          <t>AUD</t>
        </is>
      </c>
      <c r="AE36" t="n">
        <v>27.737143</v>
      </c>
      <c r="AF36" t="inlineStr">
        <is>
          <t>AUD</t>
        </is>
      </c>
      <c r="AG36" t="n">
        <v>64.72</v>
      </c>
      <c r="AH36" t="inlineStr">
        <is>
          <t>AUD</t>
        </is>
      </c>
      <c r="AI36" t="n">
        <v>64.72</v>
      </c>
      <c r="AJ36" t="n">
        <v/>
      </c>
    </row>
    <row r="37">
      <c r="A37" s="5" t="inlineStr">
        <is>
          <t>01a1212c-bb31-7138-9798-3dfcda8fc04e</t>
        </is>
      </c>
      <c r="B37" t="inlineStr">
        <is>
          <t>2019-09-26_BHP.AX</t>
        </is>
      </c>
      <c r="C37" s="5" t="inlineStr">
        <is>
          <t>01a1212c-4b57-70cf-80fd-c2192cb3bf81</t>
        </is>
      </c>
      <c r="D37" s="4" t="n">
        <v>46304.62432946399</v>
      </c>
      <c r="E37" s="4" t="n">
        <v>46304.62432946406</v>
      </c>
      <c r="F37" t="b">
        <v>1</v>
      </c>
      <c r="G37" t="n">
        <v/>
      </c>
      <c r="H37" t="inlineStr">
        <is>
          <t>2019-09-26 | Dividend | BHP</t>
        </is>
      </c>
      <c r="I37" t="inlineStr">
        <is>
          <t>BHP</t>
        </is>
      </c>
      <c r="J37" s="6" t="n">
        <v>43734</v>
      </c>
      <c r="K37" t="n">
        <v>43</v>
      </c>
      <c r="L37" t="inlineStr"/>
      <c r="M37" t="inlineStr">
        <is>
          <t>FY2019/20</t>
        </is>
      </c>
      <c r="N37" t="inlineStr">
        <is>
          <t>LOCAL</t>
        </is>
      </c>
      <c r="O37" t="inlineStr">
        <is>
          <t>AUD</t>
        </is>
      </c>
      <c r="P37" t="n">
        <v>0</v>
      </c>
      <c r="Q37" t="inlineStr">
        <is>
          <t>AUD</t>
        </is>
      </c>
      <c r="R37" t="n">
        <v>1.137026</v>
      </c>
      <c r="S37" t="inlineStr">
        <is>
          <t>AUD</t>
        </is>
      </c>
      <c r="T37" t="n">
        <v>0</v>
      </c>
      <c r="U37" t="inlineStr">
        <is>
          <t>AUD</t>
        </is>
      </c>
      <c r="V37" t="n">
        <v>0</v>
      </c>
      <c r="W37" t="inlineStr">
        <is>
          <t>AUD</t>
        </is>
      </c>
      <c r="X37" t="n">
        <v>0</v>
      </c>
      <c r="Y37" t="n">
        <v>30</v>
      </c>
      <c r="Z37" t="inlineStr">
        <is>
          <t>AUD</t>
        </is>
      </c>
      <c r="AA37" t="n">
        <v>0</v>
      </c>
      <c r="AB37" t="inlineStr">
        <is>
          <t>AUD</t>
        </is>
      </c>
      <c r="AC37" t="n">
        <v>48.892118</v>
      </c>
      <c r="AD37" t="inlineStr">
        <is>
          <t>AUD</t>
        </is>
      </c>
      <c r="AE37" t="n">
        <v>20.953765</v>
      </c>
      <c r="AF37" t="inlineStr">
        <is>
          <t>AUD</t>
        </is>
      </c>
      <c r="AG37" t="n">
        <v>48.892118</v>
      </c>
      <c r="AH37" t="inlineStr">
        <is>
          <t>AUD</t>
        </is>
      </c>
      <c r="AI37" t="n">
        <v>48.892118</v>
      </c>
      <c r="AJ37" t="n">
        <v/>
      </c>
    </row>
    <row r="38">
      <c r="A38" s="5" t="inlineStr">
        <is>
          <t>01a1212c-bb34-77c9-a440-4ca016c736c1</t>
        </is>
      </c>
      <c r="B38" t="inlineStr">
        <is>
          <t>2019-11-10_AAPL</t>
        </is>
      </c>
      <c r="C38" s="5" t="inlineStr">
        <is>
          <t>01a1212c-4b57-70cf-80fd-c2192cb3bf81</t>
        </is>
      </c>
      <c r="D38" s="4" t="n">
        <v>46304.62432951017</v>
      </c>
      <c r="E38" s="4" t="n">
        <v>46304.62432951024</v>
      </c>
      <c r="F38" t="b">
        <v>1</v>
      </c>
      <c r="G38" t="n">
        <v/>
      </c>
      <c r="H38" t="inlineStr">
        <is>
          <t>2019-11-10 | Dividend | AAPL</t>
        </is>
      </c>
      <c r="I38" t="inlineStr">
        <is>
          <t>AAPL</t>
        </is>
      </c>
      <c r="J38" s="6" t="n">
        <v>43779</v>
      </c>
      <c r="K38" t="n">
        <v>24</v>
      </c>
      <c r="L38" t="inlineStr"/>
      <c r="M38" t="inlineStr">
        <is>
          <t>FY2019/20</t>
        </is>
      </c>
      <c r="N38" t="inlineStr">
        <is>
          <t>FOREIGN</t>
        </is>
      </c>
      <c r="O38" t="inlineStr">
        <is>
          <t>USD</t>
        </is>
      </c>
      <c r="P38" t="n">
        <v>0.77</v>
      </c>
      <c r="Q38" t="inlineStr">
        <is>
          <t>USD</t>
        </is>
      </c>
      <c r="R38" t="n">
        <v>0</v>
      </c>
      <c r="S38" t="inlineStr">
        <is>
          <t>USD</t>
        </is>
      </c>
      <c r="T38" t="n">
        <v>0</v>
      </c>
      <c r="U38" t="inlineStr">
        <is>
          <t>USD</t>
        </is>
      </c>
      <c r="V38" t="n">
        <v>2.77</v>
      </c>
      <c r="W38" t="inlineStr">
        <is>
          <t>USD</t>
        </is>
      </c>
      <c r="X38" t="n">
        <v>0</v>
      </c>
      <c r="Y38" t="n">
        <v>30</v>
      </c>
      <c r="Z38" t="inlineStr">
        <is>
          <t>USD</t>
        </is>
      </c>
      <c r="AA38" t="n">
        <v>18.48</v>
      </c>
      <c r="AB38" t="inlineStr">
        <is>
          <t>USD</t>
        </is>
      </c>
      <c r="AC38" t="n">
        <v>0</v>
      </c>
      <c r="AD38" t="inlineStr">
        <is>
          <t>USD</t>
        </is>
      </c>
      <c r="AE38" t="n">
        <v>0</v>
      </c>
      <c r="AF38" t="inlineStr">
        <is>
          <t>USD</t>
        </is>
      </c>
      <c r="AG38" t="n">
        <v>18.48</v>
      </c>
      <c r="AH38" t="inlineStr">
        <is>
          <t>AUD</t>
        </is>
      </c>
      <c r="AI38" t="n">
        <v>27.72</v>
      </c>
      <c r="AJ38" s="5" t="inlineStr">
        <is>
          <t>01a1212c-bb34-77c9-a440-4ca1a657fbc0</t>
        </is>
      </c>
    </row>
    <row r="39">
      <c r="A39" s="5" t="inlineStr">
        <is>
          <t>01a1212c-bb38-7551-8fdd-de74a3c99263</t>
        </is>
      </c>
      <c r="B39" t="inlineStr">
        <is>
          <t>2019-12-11_MSFT</t>
        </is>
      </c>
      <c r="C39" s="5" t="inlineStr">
        <is>
          <t>01a1212c-4b57-70cf-80fd-c2192cb3bf81</t>
        </is>
      </c>
      <c r="D39" s="4" t="n">
        <v>46304.62432955774</v>
      </c>
      <c r="E39" s="4" t="n">
        <v>46304.6243295578</v>
      </c>
      <c r="F39" t="b">
        <v>1</v>
      </c>
      <c r="G39" t="n">
        <v/>
      </c>
      <c r="H39" t="inlineStr">
        <is>
          <t>2019-12-11 | Dividend | MSFT</t>
        </is>
      </c>
      <c r="I39" t="inlineStr">
        <is>
          <t>MSFT</t>
        </is>
      </c>
      <c r="J39" s="6" t="n">
        <v>43810</v>
      </c>
      <c r="K39" t="n">
        <v>72</v>
      </c>
      <c r="L39" t="inlineStr"/>
      <c r="M39" t="inlineStr">
        <is>
          <t>FY2019/20</t>
        </is>
      </c>
      <c r="N39" t="inlineStr">
        <is>
          <t>FOREIGN</t>
        </is>
      </c>
      <c r="O39" t="inlineStr">
        <is>
          <t>USD</t>
        </is>
      </c>
      <c r="P39" t="n">
        <v>0.51</v>
      </c>
      <c r="Q39" t="inlineStr">
        <is>
          <t>USD</t>
        </is>
      </c>
      <c r="R39" t="n">
        <v>0</v>
      </c>
      <c r="S39" t="inlineStr">
        <is>
          <t>USD</t>
        </is>
      </c>
      <c r="T39" t="n">
        <v>0</v>
      </c>
      <c r="U39" t="inlineStr">
        <is>
          <t>USD</t>
        </is>
      </c>
      <c r="V39" t="n">
        <v>5.51</v>
      </c>
      <c r="W39" t="inlineStr">
        <is>
          <t>USD</t>
        </is>
      </c>
      <c r="X39" t="n">
        <v>0</v>
      </c>
      <c r="Y39" t="n">
        <v>30</v>
      </c>
      <c r="Z39" t="inlineStr">
        <is>
          <t>USD</t>
        </is>
      </c>
      <c r="AA39" t="n">
        <v>36.72</v>
      </c>
      <c r="AB39" t="inlineStr">
        <is>
          <t>USD</t>
        </is>
      </c>
      <c r="AC39" t="n">
        <v>0</v>
      </c>
      <c r="AD39" t="inlineStr">
        <is>
          <t>USD</t>
        </is>
      </c>
      <c r="AE39" t="n">
        <v>0</v>
      </c>
      <c r="AF39" t="inlineStr">
        <is>
          <t>USD</t>
        </is>
      </c>
      <c r="AG39" t="n">
        <v>36.72</v>
      </c>
      <c r="AH39" t="inlineStr">
        <is>
          <t>AUD</t>
        </is>
      </c>
      <c r="AI39" t="n">
        <v>55.08</v>
      </c>
      <c r="AJ39" s="5" t="inlineStr">
        <is>
          <t>01a1212c-bb39-7289-8780-d5daa60558e2</t>
        </is>
      </c>
    </row>
    <row r="40">
      <c r="A40" s="5" t="inlineStr">
        <is>
          <t>01a1212c-bb3c-74f1-b5e8-8f2aece093cb</t>
        </is>
      </c>
      <c r="B40" t="inlineStr">
        <is>
          <t>2020-02-10_AAPL</t>
        </is>
      </c>
      <c r="C40" s="5" t="inlineStr">
        <is>
          <t>01a1212c-4b57-70cf-80fd-c2192cb3bf81</t>
        </is>
      </c>
      <c r="D40" s="4" t="n">
        <v>46304.62432960221</v>
      </c>
      <c r="E40" s="4" t="n">
        <v>46304.62432960228</v>
      </c>
      <c r="F40" t="b">
        <v>1</v>
      </c>
      <c r="G40" t="n">
        <v/>
      </c>
      <c r="H40" t="inlineStr">
        <is>
          <t>2020-02-10 | Dividend | AAPL</t>
        </is>
      </c>
      <c r="I40" t="inlineStr">
        <is>
          <t>AAPL</t>
        </is>
      </c>
      <c r="J40" s="6" t="n">
        <v>43871</v>
      </c>
      <c r="K40" t="n">
        <v>26</v>
      </c>
      <c r="L40" t="inlineStr"/>
      <c r="M40" t="inlineStr">
        <is>
          <t>FY2019/20</t>
        </is>
      </c>
      <c r="N40" t="inlineStr">
        <is>
          <t>FOREIGN</t>
        </is>
      </c>
      <c r="O40" t="inlineStr">
        <is>
          <t>USD</t>
        </is>
      </c>
      <c r="P40" t="n">
        <v>0.77</v>
      </c>
      <c r="Q40" t="inlineStr">
        <is>
          <t>USD</t>
        </is>
      </c>
      <c r="R40" t="n">
        <v>0</v>
      </c>
      <c r="S40" t="inlineStr">
        <is>
          <t>USD</t>
        </is>
      </c>
      <c r="T40" t="n">
        <v>0</v>
      </c>
      <c r="U40" t="inlineStr">
        <is>
          <t>USD</t>
        </is>
      </c>
      <c r="V40" t="n">
        <v>3</v>
      </c>
      <c r="W40" t="inlineStr">
        <is>
          <t>USD</t>
        </is>
      </c>
      <c r="X40" t="n">
        <v>0</v>
      </c>
      <c r="Y40" t="n">
        <v>30</v>
      </c>
      <c r="Z40" t="inlineStr">
        <is>
          <t>USD</t>
        </is>
      </c>
      <c r="AA40" t="n">
        <v>20.02</v>
      </c>
      <c r="AB40" t="inlineStr">
        <is>
          <t>USD</t>
        </is>
      </c>
      <c r="AC40" t="n">
        <v>0</v>
      </c>
      <c r="AD40" t="inlineStr">
        <is>
          <t>USD</t>
        </is>
      </c>
      <c r="AE40" t="n">
        <v>0</v>
      </c>
      <c r="AF40" t="inlineStr">
        <is>
          <t>USD</t>
        </is>
      </c>
      <c r="AG40" t="n">
        <v>20.02</v>
      </c>
      <c r="AH40" t="inlineStr">
        <is>
          <t>AUD</t>
        </is>
      </c>
      <c r="AI40" t="n">
        <v>30.03</v>
      </c>
      <c r="AJ40" s="5" t="inlineStr">
        <is>
          <t>01a1212c-bb3c-74f1-b5e8-8f2b143a6d7e</t>
        </is>
      </c>
    </row>
    <row r="41">
      <c r="A41" s="5" t="inlineStr">
        <is>
          <t>01a1212c-bb3f-76ea-971c-eac4f03da556</t>
        </is>
      </c>
      <c r="B41" t="inlineStr">
        <is>
          <t>2020-03-11_MSFT</t>
        </is>
      </c>
      <c r="C41" s="5" t="inlineStr">
        <is>
          <t>01a1212c-4b57-70cf-80fd-c2192cb3bf81</t>
        </is>
      </c>
      <c r="D41" s="4" t="n">
        <v>46304.62432964646</v>
      </c>
      <c r="E41" s="4" t="n">
        <v>46304.62432964652</v>
      </c>
      <c r="F41" t="b">
        <v>1</v>
      </c>
      <c r="G41" t="n">
        <v/>
      </c>
      <c r="H41" t="inlineStr">
        <is>
          <t>2020-03-11 | Dividend | MSFT</t>
        </is>
      </c>
      <c r="I41" t="inlineStr">
        <is>
          <t>MSFT</t>
        </is>
      </c>
      <c r="J41" s="6" t="n">
        <v>43901</v>
      </c>
      <c r="K41" t="n">
        <v>75</v>
      </c>
      <c r="L41" t="inlineStr"/>
      <c r="M41" t="inlineStr">
        <is>
          <t>FY2019/20</t>
        </is>
      </c>
      <c r="N41" t="inlineStr">
        <is>
          <t>FOREIGN</t>
        </is>
      </c>
      <c r="O41" t="inlineStr">
        <is>
          <t>USD</t>
        </is>
      </c>
      <c r="P41" t="n">
        <v>0.51</v>
      </c>
      <c r="Q41" t="inlineStr">
        <is>
          <t>USD</t>
        </is>
      </c>
      <c r="R41" t="n">
        <v>0</v>
      </c>
      <c r="S41" t="inlineStr">
        <is>
          <t>USD</t>
        </is>
      </c>
      <c r="T41" t="n">
        <v>0</v>
      </c>
      <c r="U41" t="inlineStr">
        <is>
          <t>USD</t>
        </is>
      </c>
      <c r="V41" t="n">
        <v>5.74</v>
      </c>
      <c r="W41" t="inlineStr">
        <is>
          <t>USD</t>
        </is>
      </c>
      <c r="X41" t="n">
        <v>0</v>
      </c>
      <c r="Y41" t="n">
        <v>30</v>
      </c>
      <c r="Z41" t="inlineStr">
        <is>
          <t>USD</t>
        </is>
      </c>
      <c r="AA41" t="n">
        <v>38.25</v>
      </c>
      <c r="AB41" t="inlineStr">
        <is>
          <t>USD</t>
        </is>
      </c>
      <c r="AC41" t="n">
        <v>0</v>
      </c>
      <c r="AD41" t="inlineStr">
        <is>
          <t>USD</t>
        </is>
      </c>
      <c r="AE41" t="n">
        <v>0</v>
      </c>
      <c r="AF41" t="inlineStr">
        <is>
          <t>USD</t>
        </is>
      </c>
      <c r="AG41" t="n">
        <v>38.25</v>
      </c>
      <c r="AH41" t="inlineStr">
        <is>
          <t>AUD</t>
        </is>
      </c>
      <c r="AI41" t="n">
        <v>57.375</v>
      </c>
      <c r="AJ41" s="5" t="inlineStr">
        <is>
          <t>01a1212c-bb40-76d2-a8ff-a4399d3bd043</t>
        </is>
      </c>
    </row>
    <row r="42">
      <c r="A42" s="5" t="inlineStr">
        <is>
          <t>01a1212c-bb43-705f-9637-81b61ad6e338</t>
        </is>
      </c>
      <c r="B42" t="inlineStr">
        <is>
          <t>2020-03-19_WES.AX</t>
        </is>
      </c>
      <c r="C42" s="5" t="inlineStr">
        <is>
          <t>01a1212c-4b57-70cf-80fd-c2192cb3bf81</t>
        </is>
      </c>
      <c r="D42" s="4" t="n">
        <v>46304.62432967783</v>
      </c>
      <c r="E42" s="4" t="n">
        <v>46304.62432967789</v>
      </c>
      <c r="F42" t="b">
        <v>1</v>
      </c>
      <c r="G42" t="n">
        <v/>
      </c>
      <c r="H42" t="inlineStr">
        <is>
          <t>2020-03-19 | Dividend | WES</t>
        </is>
      </c>
      <c r="I42" t="inlineStr">
        <is>
          <t>WES</t>
        </is>
      </c>
      <c r="J42" s="6" t="n">
        <v>43909</v>
      </c>
      <c r="K42" t="n">
        <v>37</v>
      </c>
      <c r="L42" t="inlineStr"/>
      <c r="M42" t="inlineStr">
        <is>
          <t>FY2019/20</t>
        </is>
      </c>
      <c r="N42" t="inlineStr">
        <is>
          <t>LOCAL</t>
        </is>
      </c>
      <c r="O42" t="inlineStr">
        <is>
          <t>AUD</t>
        </is>
      </c>
      <c r="P42" t="n">
        <v>0</v>
      </c>
      <c r="Q42" t="inlineStr">
        <is>
          <t>AUD</t>
        </is>
      </c>
      <c r="R42" t="n">
        <v>0.75</v>
      </c>
      <c r="S42" t="inlineStr">
        <is>
          <t>AUD</t>
        </is>
      </c>
      <c r="T42" t="n">
        <v>0</v>
      </c>
      <c r="U42" t="inlineStr">
        <is>
          <t>AUD</t>
        </is>
      </c>
      <c r="V42" t="n">
        <v>0</v>
      </c>
      <c r="W42" t="inlineStr">
        <is>
          <t>AUD</t>
        </is>
      </c>
      <c r="X42" t="n">
        <v>0</v>
      </c>
      <c r="Y42" t="n">
        <v>30</v>
      </c>
      <c r="Z42" t="inlineStr">
        <is>
          <t>AUD</t>
        </is>
      </c>
      <c r="AA42" t="n">
        <v>0</v>
      </c>
      <c r="AB42" t="inlineStr">
        <is>
          <t>AUD</t>
        </is>
      </c>
      <c r="AC42" t="n">
        <v>27.75</v>
      </c>
      <c r="AD42" t="inlineStr">
        <is>
          <t>AUD</t>
        </is>
      </c>
      <c r="AE42" t="n">
        <v>11.892857</v>
      </c>
      <c r="AF42" t="inlineStr">
        <is>
          <t>AUD</t>
        </is>
      </c>
      <c r="AG42" t="n">
        <v>27.75</v>
      </c>
      <c r="AH42" t="inlineStr">
        <is>
          <t>AUD</t>
        </is>
      </c>
      <c r="AI42" t="n">
        <v>27.75</v>
      </c>
      <c r="AJ42" t="n">
        <v/>
      </c>
    </row>
    <row r="43">
      <c r="A43" s="5" t="inlineStr">
        <is>
          <t>01a1212c-bb46-70ea-b3e1-c24e107bea1f</t>
        </is>
      </c>
      <c r="B43" t="inlineStr">
        <is>
          <t>2020-03-25_CBA.AX</t>
        </is>
      </c>
      <c r="C43" s="5" t="inlineStr">
        <is>
          <t>01a1212c-4b57-70cf-80fd-c2192cb3bf81</t>
        </is>
      </c>
      <c r="D43" s="4" t="n">
        <v>46304.62432971257</v>
      </c>
      <c r="E43" s="4" t="n">
        <v>46304.62432971264</v>
      </c>
      <c r="F43" t="b">
        <v>1</v>
      </c>
      <c r="G43" t="n">
        <v/>
      </c>
      <c r="H43" t="inlineStr">
        <is>
          <t>2020-03-25 | Dividend | CBA</t>
        </is>
      </c>
      <c r="I43" t="inlineStr">
        <is>
          <t>CBA</t>
        </is>
      </c>
      <c r="J43" s="6" t="n">
        <v>43915</v>
      </c>
      <c r="K43" t="n">
        <v>24</v>
      </c>
      <c r="L43" t="inlineStr"/>
      <c r="M43" t="inlineStr">
        <is>
          <t>FY2019/20</t>
        </is>
      </c>
      <c r="N43" t="inlineStr">
        <is>
          <t>LOCAL</t>
        </is>
      </c>
      <c r="O43" t="inlineStr">
        <is>
          <t>AUD</t>
        </is>
      </c>
      <c r="P43" t="n">
        <v>0</v>
      </c>
      <c r="Q43" t="inlineStr">
        <is>
          <t>AUD</t>
        </is>
      </c>
      <c r="R43" t="n">
        <v>2</v>
      </c>
      <c r="S43" t="inlineStr">
        <is>
          <t>AUD</t>
        </is>
      </c>
      <c r="T43" t="n">
        <v>0</v>
      </c>
      <c r="U43" t="inlineStr">
        <is>
          <t>AUD</t>
        </is>
      </c>
      <c r="V43" t="n">
        <v>0</v>
      </c>
      <c r="W43" t="inlineStr">
        <is>
          <t>AUD</t>
        </is>
      </c>
      <c r="X43" t="n">
        <v>0</v>
      </c>
      <c r="Y43" t="n">
        <v>30</v>
      </c>
      <c r="Z43" t="inlineStr">
        <is>
          <t>AUD</t>
        </is>
      </c>
      <c r="AA43" t="n">
        <v>0</v>
      </c>
      <c r="AB43" t="inlineStr">
        <is>
          <t>AUD</t>
        </is>
      </c>
      <c r="AC43" t="n">
        <v>48</v>
      </c>
      <c r="AD43" t="inlineStr">
        <is>
          <t>AUD</t>
        </is>
      </c>
      <c r="AE43" t="n">
        <v>20.571429</v>
      </c>
      <c r="AF43" t="inlineStr">
        <is>
          <t>AUD</t>
        </is>
      </c>
      <c r="AG43" t="n">
        <v>48</v>
      </c>
      <c r="AH43" t="inlineStr">
        <is>
          <t>AUD</t>
        </is>
      </c>
      <c r="AI43" t="n">
        <v>48</v>
      </c>
      <c r="AJ43" t="n">
        <v/>
      </c>
    </row>
    <row r="44">
      <c r="A44" s="5" t="inlineStr">
        <is>
          <t>01a1212c-bb49-7256-a96a-3f81590d203e</t>
        </is>
      </c>
      <c r="B44" t="inlineStr">
        <is>
          <t>2020-03-26_BHP.AX</t>
        </is>
      </c>
      <c r="C44" s="5" t="inlineStr">
        <is>
          <t>01a1212c-4b57-70cf-80fd-c2192cb3bf81</t>
        </is>
      </c>
      <c r="D44" s="4" t="n">
        <v>46304.62432974742</v>
      </c>
      <c r="E44" s="4" t="n">
        <v>46304.62432974749</v>
      </c>
      <c r="F44" t="b">
        <v>1</v>
      </c>
      <c r="G44" t="n">
        <v/>
      </c>
      <c r="H44" t="inlineStr">
        <is>
          <t>2020-03-26 | Dividend | BHP</t>
        </is>
      </c>
      <c r="I44" t="inlineStr">
        <is>
          <t>BHP</t>
        </is>
      </c>
      <c r="J44" s="6" t="n">
        <v>43916</v>
      </c>
      <c r="K44" t="n">
        <v>43</v>
      </c>
      <c r="L44" t="inlineStr"/>
      <c r="M44" t="inlineStr">
        <is>
          <t>FY2019/20</t>
        </is>
      </c>
      <c r="N44" t="inlineStr">
        <is>
          <t>LOCAL</t>
        </is>
      </c>
      <c r="O44" t="inlineStr">
        <is>
          <t>AUD</t>
        </is>
      </c>
      <c r="P44" t="n">
        <v>0</v>
      </c>
      <c r="Q44" t="inlineStr">
        <is>
          <t>AUD</t>
        </is>
      </c>
      <c r="R44" t="n">
        <v>0.994036</v>
      </c>
      <c r="S44" t="inlineStr">
        <is>
          <t>AUD</t>
        </is>
      </c>
      <c r="T44" t="n">
        <v>0</v>
      </c>
      <c r="U44" t="inlineStr">
        <is>
          <t>AUD</t>
        </is>
      </c>
      <c r="V44" t="n">
        <v>0</v>
      </c>
      <c r="W44" t="inlineStr">
        <is>
          <t>AUD</t>
        </is>
      </c>
      <c r="X44" t="n">
        <v>0</v>
      </c>
      <c r="Y44" t="n">
        <v>30</v>
      </c>
      <c r="Z44" t="inlineStr">
        <is>
          <t>AUD</t>
        </is>
      </c>
      <c r="AA44" t="n">
        <v>0</v>
      </c>
      <c r="AB44" t="inlineStr">
        <is>
          <t>AUD</t>
        </is>
      </c>
      <c r="AC44" t="n">
        <v>42.743548</v>
      </c>
      <c r="AD44" t="inlineStr">
        <is>
          <t>AUD</t>
        </is>
      </c>
      <c r="AE44" t="n">
        <v>18.318663</v>
      </c>
      <c r="AF44" t="inlineStr">
        <is>
          <t>AUD</t>
        </is>
      </c>
      <c r="AG44" t="n">
        <v>42.743548</v>
      </c>
      <c r="AH44" t="inlineStr">
        <is>
          <t>AUD</t>
        </is>
      </c>
      <c r="AI44" t="n">
        <v>42.743548</v>
      </c>
      <c r="AJ44" t="n">
        <v/>
      </c>
    </row>
    <row r="45">
      <c r="A45" s="5" t="inlineStr">
        <is>
          <t>01a1212c-bb4c-7290-8a51-7ecb4abe1607</t>
        </is>
      </c>
      <c r="B45" t="inlineStr">
        <is>
          <t>2020-05-11_AAPL</t>
        </is>
      </c>
      <c r="C45" s="5" t="inlineStr">
        <is>
          <t>01a1212c-4b57-70cf-80fd-c2192cb3bf81</t>
        </is>
      </c>
      <c r="D45" s="4" t="n">
        <v>46304.62432979304</v>
      </c>
      <c r="E45" s="4" t="n">
        <v>46304.62432979312</v>
      </c>
      <c r="F45" t="b">
        <v>1</v>
      </c>
      <c r="G45" t="n">
        <v/>
      </c>
      <c r="H45" t="inlineStr">
        <is>
          <t>2020-05-11 | Dividend | AAPL</t>
        </is>
      </c>
      <c r="I45" t="inlineStr">
        <is>
          <t>AAPL</t>
        </is>
      </c>
      <c r="J45" s="6" t="n">
        <v>43962</v>
      </c>
      <c r="K45" t="n">
        <v>26</v>
      </c>
      <c r="L45" t="inlineStr"/>
      <c r="M45" t="inlineStr">
        <is>
          <t>FY2019/20</t>
        </is>
      </c>
      <c r="N45" t="inlineStr">
        <is>
          <t>FOREIGN</t>
        </is>
      </c>
      <c r="O45" t="inlineStr">
        <is>
          <t>USD</t>
        </is>
      </c>
      <c r="P45" t="n">
        <v>0.82</v>
      </c>
      <c r="Q45" t="inlineStr">
        <is>
          <t>USD</t>
        </is>
      </c>
      <c r="R45" t="n">
        <v>0</v>
      </c>
      <c r="S45" t="inlineStr">
        <is>
          <t>USD</t>
        </is>
      </c>
      <c r="T45" t="n">
        <v>0</v>
      </c>
      <c r="U45" t="inlineStr">
        <is>
          <t>USD</t>
        </is>
      </c>
      <c r="V45" t="n">
        <v>3.2</v>
      </c>
      <c r="W45" t="inlineStr">
        <is>
          <t>USD</t>
        </is>
      </c>
      <c r="X45" t="n">
        <v>0</v>
      </c>
      <c r="Y45" t="n">
        <v>30</v>
      </c>
      <c r="Z45" t="inlineStr">
        <is>
          <t>USD</t>
        </is>
      </c>
      <c r="AA45" t="n">
        <v>21.32</v>
      </c>
      <c r="AB45" t="inlineStr">
        <is>
          <t>USD</t>
        </is>
      </c>
      <c r="AC45" t="n">
        <v>0</v>
      </c>
      <c r="AD45" t="inlineStr">
        <is>
          <t>USD</t>
        </is>
      </c>
      <c r="AE45" t="n">
        <v>0</v>
      </c>
      <c r="AF45" t="inlineStr">
        <is>
          <t>USD</t>
        </is>
      </c>
      <c r="AG45" t="n">
        <v>21.32</v>
      </c>
      <c r="AH45" t="inlineStr">
        <is>
          <t>AUD</t>
        </is>
      </c>
      <c r="AI45" t="n">
        <v>31.98</v>
      </c>
      <c r="AJ45" s="5" t="inlineStr">
        <is>
          <t>01a1212c-bb4d-717e-bb2d-512f571c2107</t>
        </is>
      </c>
    </row>
    <row r="46">
      <c r="A46" s="5" t="inlineStr">
        <is>
          <t>01a1212c-bb50-7303-bd76-1469cb6cef21</t>
        </is>
      </c>
      <c r="B46" t="inlineStr">
        <is>
          <t>2020-06-10_MSFT</t>
        </is>
      </c>
      <c r="C46" s="5" t="inlineStr">
        <is>
          <t>01a1212c-4b57-70cf-80fd-c2192cb3bf81</t>
        </is>
      </c>
      <c r="D46" s="4" t="n">
        <v>46304.62432983983</v>
      </c>
      <c r="E46" s="4" t="n">
        <v>46304.6243298399</v>
      </c>
      <c r="F46" t="b">
        <v>1</v>
      </c>
      <c r="G46" t="n">
        <v/>
      </c>
      <c r="H46" t="inlineStr">
        <is>
          <t>2020-06-10 | Dividend | MSFT</t>
        </is>
      </c>
      <c r="I46" t="inlineStr">
        <is>
          <t>MSFT</t>
        </is>
      </c>
      <c r="J46" s="6" t="n">
        <v>43992</v>
      </c>
      <c r="K46" t="n">
        <v>77</v>
      </c>
      <c r="L46" t="inlineStr"/>
      <c r="M46" t="inlineStr">
        <is>
          <t>FY2019/20</t>
        </is>
      </c>
      <c r="N46" t="inlineStr">
        <is>
          <t>FOREIGN</t>
        </is>
      </c>
      <c r="O46" t="inlineStr">
        <is>
          <t>USD</t>
        </is>
      </c>
      <c r="P46" t="n">
        <v>0.51</v>
      </c>
      <c r="Q46" t="inlineStr">
        <is>
          <t>USD</t>
        </is>
      </c>
      <c r="R46" t="n">
        <v>0</v>
      </c>
      <c r="S46" t="inlineStr">
        <is>
          <t>USD</t>
        </is>
      </c>
      <c r="T46" t="n">
        <v>0</v>
      </c>
      <c r="U46" t="inlineStr">
        <is>
          <t>USD</t>
        </is>
      </c>
      <c r="V46" t="n">
        <v>5.89</v>
      </c>
      <c r="W46" t="inlineStr">
        <is>
          <t>USD</t>
        </is>
      </c>
      <c r="X46" t="n">
        <v>0</v>
      </c>
      <c r="Y46" t="n">
        <v>30</v>
      </c>
      <c r="Z46" t="inlineStr">
        <is>
          <t>USD</t>
        </is>
      </c>
      <c r="AA46" t="n">
        <v>39.27</v>
      </c>
      <c r="AB46" t="inlineStr">
        <is>
          <t>USD</t>
        </is>
      </c>
      <c r="AC46" t="n">
        <v>0</v>
      </c>
      <c r="AD46" t="inlineStr">
        <is>
          <t>USD</t>
        </is>
      </c>
      <c r="AE46" t="n">
        <v>0</v>
      </c>
      <c r="AF46" t="inlineStr">
        <is>
          <t>USD</t>
        </is>
      </c>
      <c r="AG46" t="n">
        <v>39.27</v>
      </c>
      <c r="AH46" t="inlineStr">
        <is>
          <t>AUD</t>
        </is>
      </c>
      <c r="AI46" t="n">
        <v>58.905</v>
      </c>
      <c r="AJ46" s="5" t="inlineStr">
        <is>
          <t>01a1212c-bb51-731a-84eb-89c8c7a16ca6</t>
        </is>
      </c>
    </row>
    <row r="47">
      <c r="A47" s="5" t="inlineStr">
        <is>
          <t>01a1212c-bb54-776d-92fd-4e96be430844</t>
        </is>
      </c>
      <c r="B47" t="inlineStr">
        <is>
          <t>2020-08-10_AAPL</t>
        </is>
      </c>
      <c r="C47" s="5" t="inlineStr">
        <is>
          <t>01a1212c-4b57-70cf-80fd-c2192cb3bf81</t>
        </is>
      </c>
      <c r="D47" s="4" t="n">
        <v>46304.62432988828</v>
      </c>
      <c r="E47" s="4" t="n">
        <v>46304.62432988836</v>
      </c>
      <c r="F47" t="b">
        <v>1</v>
      </c>
      <c r="G47" t="n">
        <v/>
      </c>
      <c r="H47" t="inlineStr">
        <is>
          <t>2020-08-10 | Dividend | AAPL</t>
        </is>
      </c>
      <c r="I47" t="inlineStr">
        <is>
          <t>AAPL</t>
        </is>
      </c>
      <c r="J47" s="6" t="n">
        <v>44053</v>
      </c>
      <c r="K47" t="n">
        <v>29</v>
      </c>
      <c r="L47" t="inlineStr"/>
      <c r="M47" t="inlineStr">
        <is>
          <t>FY2020/21</t>
        </is>
      </c>
      <c r="N47" t="inlineStr">
        <is>
          <t>FOREIGN</t>
        </is>
      </c>
      <c r="O47" t="inlineStr">
        <is>
          <t>USD</t>
        </is>
      </c>
      <c r="P47" t="n">
        <v>0.82</v>
      </c>
      <c r="Q47" t="inlineStr">
        <is>
          <t>USD</t>
        </is>
      </c>
      <c r="R47" t="n">
        <v>0</v>
      </c>
      <c r="S47" t="inlineStr">
        <is>
          <t>USD</t>
        </is>
      </c>
      <c r="T47" t="n">
        <v>0</v>
      </c>
      <c r="U47" t="inlineStr">
        <is>
          <t>USD</t>
        </is>
      </c>
      <c r="V47" t="n">
        <v>3.57</v>
      </c>
      <c r="W47" t="inlineStr">
        <is>
          <t>USD</t>
        </is>
      </c>
      <c r="X47" t="n">
        <v>0</v>
      </c>
      <c r="Y47" t="n">
        <v>30</v>
      </c>
      <c r="Z47" t="inlineStr">
        <is>
          <t>USD</t>
        </is>
      </c>
      <c r="AA47" t="n">
        <v>23.78</v>
      </c>
      <c r="AB47" t="inlineStr">
        <is>
          <t>USD</t>
        </is>
      </c>
      <c r="AC47" t="n">
        <v>0</v>
      </c>
      <c r="AD47" t="inlineStr">
        <is>
          <t>USD</t>
        </is>
      </c>
      <c r="AE47" t="n">
        <v>0</v>
      </c>
      <c r="AF47" t="inlineStr">
        <is>
          <t>USD</t>
        </is>
      </c>
      <c r="AG47" t="n">
        <v>23.78</v>
      </c>
      <c r="AH47" t="inlineStr">
        <is>
          <t>AUD</t>
        </is>
      </c>
      <c r="AI47" t="n">
        <v>35.67</v>
      </c>
      <c r="AJ47" s="5" t="inlineStr">
        <is>
          <t>01a1212c-bb55-75c0-bcc6-cfe4f59cf064</t>
        </is>
      </c>
    </row>
    <row r="48">
      <c r="A48" s="5" t="inlineStr">
        <is>
          <t>01a1212c-bb58-7613-ba64-5c54092bf10f</t>
        </is>
      </c>
      <c r="B48" t="inlineStr">
        <is>
          <t>2020-09-09_MSFT</t>
        </is>
      </c>
      <c r="C48" s="5" t="inlineStr">
        <is>
          <t>01a1212c-4b57-70cf-80fd-c2192cb3bf81</t>
        </is>
      </c>
      <c r="D48" s="4" t="n">
        <v>46304.62432992503</v>
      </c>
      <c r="E48" s="4" t="n">
        <v>46304.62432992511</v>
      </c>
      <c r="F48" t="b">
        <v>1</v>
      </c>
      <c r="G48" t="n">
        <v/>
      </c>
      <c r="H48" t="inlineStr">
        <is>
          <t>2020-09-09 | Dividend | MSFT</t>
        </is>
      </c>
      <c r="I48" t="inlineStr">
        <is>
          <t>MSFT</t>
        </is>
      </c>
      <c r="J48" s="6" t="n">
        <v>44083</v>
      </c>
      <c r="K48" t="n">
        <v>82</v>
      </c>
      <c r="L48" t="inlineStr"/>
      <c r="M48" t="inlineStr">
        <is>
          <t>FY2020/21</t>
        </is>
      </c>
      <c r="N48" t="inlineStr">
        <is>
          <t>FOREIGN</t>
        </is>
      </c>
      <c r="O48" t="inlineStr">
        <is>
          <t>USD</t>
        </is>
      </c>
      <c r="P48" t="n">
        <v>0.51</v>
      </c>
      <c r="Q48" t="inlineStr">
        <is>
          <t>USD</t>
        </is>
      </c>
      <c r="R48" t="n">
        <v>0</v>
      </c>
      <c r="S48" t="inlineStr">
        <is>
          <t>USD</t>
        </is>
      </c>
      <c r="T48" t="n">
        <v>0</v>
      </c>
      <c r="U48" t="inlineStr">
        <is>
          <t>USD</t>
        </is>
      </c>
      <c r="V48" t="n">
        <v>6.27</v>
      </c>
      <c r="W48" t="inlineStr">
        <is>
          <t>USD</t>
        </is>
      </c>
      <c r="X48" t="n">
        <v>0</v>
      </c>
      <c r="Y48" t="n">
        <v>30</v>
      </c>
      <c r="Z48" t="inlineStr">
        <is>
          <t>USD</t>
        </is>
      </c>
      <c r="AA48" t="n">
        <v>41.82</v>
      </c>
      <c r="AB48" t="inlineStr">
        <is>
          <t>USD</t>
        </is>
      </c>
      <c r="AC48" t="n">
        <v>0</v>
      </c>
      <c r="AD48" t="inlineStr">
        <is>
          <t>USD</t>
        </is>
      </c>
      <c r="AE48" t="n">
        <v>0</v>
      </c>
      <c r="AF48" t="inlineStr">
        <is>
          <t>USD</t>
        </is>
      </c>
      <c r="AG48" t="n">
        <v>41.82</v>
      </c>
      <c r="AH48" t="inlineStr">
        <is>
          <t>AUD</t>
        </is>
      </c>
      <c r="AI48" t="n">
        <v>62.73</v>
      </c>
      <c r="AJ48" s="5" t="inlineStr">
        <is>
          <t>01a1212c-7448-71d5-8111-61fffc328e2c</t>
        </is>
      </c>
    </row>
    <row r="49">
      <c r="A49" s="5" t="inlineStr">
        <is>
          <t>01a1212c-bb5c-75c8-806d-dcee311304f8</t>
        </is>
      </c>
      <c r="B49" t="inlineStr">
        <is>
          <t>2020-09-18_WES.AX</t>
        </is>
      </c>
      <c r="C49" s="5" t="inlineStr">
        <is>
          <t>01a1212c-4b57-70cf-80fd-c2192cb3bf81</t>
        </is>
      </c>
      <c r="D49" s="4" t="n">
        <v>46304.62432995964</v>
      </c>
      <c r="E49" s="4" t="n">
        <v>46304.62432995971</v>
      </c>
      <c r="F49" t="b">
        <v>1</v>
      </c>
      <c r="G49" t="n">
        <v/>
      </c>
      <c r="H49" t="inlineStr">
        <is>
          <t>2020-09-18 | Dividend | WES</t>
        </is>
      </c>
      <c r="I49" t="inlineStr">
        <is>
          <t>WES</t>
        </is>
      </c>
      <c r="J49" s="6" t="n">
        <v>44092</v>
      </c>
      <c r="K49" t="n">
        <v>65</v>
      </c>
      <c r="L49" t="inlineStr"/>
      <c r="M49" t="inlineStr">
        <is>
          <t>FY2020/21</t>
        </is>
      </c>
      <c r="N49" t="inlineStr">
        <is>
          <t>LOCAL</t>
        </is>
      </c>
      <c r="O49" t="inlineStr">
        <is>
          <t>AUD</t>
        </is>
      </c>
      <c r="P49" t="n">
        <v>0</v>
      </c>
      <c r="Q49" t="inlineStr">
        <is>
          <t>AUD</t>
        </is>
      </c>
      <c r="R49" t="n">
        <v>0.95</v>
      </c>
      <c r="S49" t="inlineStr">
        <is>
          <t>AUD</t>
        </is>
      </c>
      <c r="T49" t="n">
        <v>0</v>
      </c>
      <c r="U49" t="inlineStr">
        <is>
          <t>AUD</t>
        </is>
      </c>
      <c r="V49" t="n">
        <v>0</v>
      </c>
      <c r="W49" t="inlineStr">
        <is>
          <t>AUD</t>
        </is>
      </c>
      <c r="X49" t="n">
        <v>0</v>
      </c>
      <c r="Y49" t="n">
        <v>30</v>
      </c>
      <c r="Z49" t="inlineStr">
        <is>
          <t>AUD</t>
        </is>
      </c>
      <c r="AA49" t="n">
        <v>0</v>
      </c>
      <c r="AB49" t="inlineStr">
        <is>
          <t>AUD</t>
        </is>
      </c>
      <c r="AC49" t="n">
        <v>61.75</v>
      </c>
      <c r="AD49" t="inlineStr">
        <is>
          <t>AUD</t>
        </is>
      </c>
      <c r="AE49" t="n">
        <v>26.464286</v>
      </c>
      <c r="AF49" t="inlineStr">
        <is>
          <t>AUD</t>
        </is>
      </c>
      <c r="AG49" t="n">
        <v>61.75</v>
      </c>
      <c r="AH49" t="inlineStr">
        <is>
          <t>AUD</t>
        </is>
      </c>
      <c r="AI49" t="n">
        <v>61.75</v>
      </c>
      <c r="AJ49" t="n">
        <v/>
      </c>
    </row>
    <row r="50">
      <c r="A50" s="5" t="inlineStr">
        <is>
          <t>01a1212c-bb5e-76b4-93b2-25492b6ed9d2</t>
        </is>
      </c>
      <c r="B50" t="inlineStr">
        <is>
          <t>2020-09-23_CBA.AX</t>
        </is>
      </c>
      <c r="C50" s="5" t="inlineStr">
        <is>
          <t>01a1212c-4b57-70cf-80fd-c2192cb3bf81</t>
        </is>
      </c>
      <c r="D50" s="4" t="n">
        <v>46304.62432999074</v>
      </c>
      <c r="E50" s="4" t="n">
        <v>46304.62432999081</v>
      </c>
      <c r="F50" t="b">
        <v>1</v>
      </c>
      <c r="G50" t="n">
        <v/>
      </c>
      <c r="H50" t="inlineStr">
        <is>
          <t>2020-09-23 | Dividend | CBA</t>
        </is>
      </c>
      <c r="I50" t="inlineStr">
        <is>
          <t>CBA</t>
        </is>
      </c>
      <c r="J50" s="6" t="n">
        <v>44097</v>
      </c>
      <c r="K50" t="n">
        <v>24</v>
      </c>
      <c r="L50" t="inlineStr"/>
      <c r="M50" t="inlineStr">
        <is>
          <t>FY2020/21</t>
        </is>
      </c>
      <c r="N50" t="inlineStr">
        <is>
          <t>LOCAL</t>
        </is>
      </c>
      <c r="O50" t="inlineStr">
        <is>
          <t>AUD</t>
        </is>
      </c>
      <c r="P50" t="n">
        <v>0</v>
      </c>
      <c r="Q50" t="inlineStr">
        <is>
          <t>AUD</t>
        </is>
      </c>
      <c r="R50" t="n">
        <v>0.98</v>
      </c>
      <c r="S50" t="inlineStr">
        <is>
          <t>AUD</t>
        </is>
      </c>
      <c r="T50" t="n">
        <v>0</v>
      </c>
      <c r="U50" t="inlineStr">
        <is>
          <t>AUD</t>
        </is>
      </c>
      <c r="V50" t="n">
        <v>0</v>
      </c>
      <c r="W50" t="inlineStr">
        <is>
          <t>AUD</t>
        </is>
      </c>
      <c r="X50" t="n">
        <v>0</v>
      </c>
      <c r="Y50" t="n">
        <v>30</v>
      </c>
      <c r="Z50" t="inlineStr">
        <is>
          <t>AUD</t>
        </is>
      </c>
      <c r="AA50" t="n">
        <v>0</v>
      </c>
      <c r="AB50" t="inlineStr">
        <is>
          <t>AUD</t>
        </is>
      </c>
      <c r="AC50" t="n">
        <v>23.52</v>
      </c>
      <c r="AD50" t="inlineStr">
        <is>
          <t>AUD</t>
        </is>
      </c>
      <c r="AE50" t="n">
        <v>10.08</v>
      </c>
      <c r="AF50" t="inlineStr">
        <is>
          <t>AUD</t>
        </is>
      </c>
      <c r="AG50" t="n">
        <v>23.52</v>
      </c>
      <c r="AH50" t="inlineStr">
        <is>
          <t>AUD</t>
        </is>
      </c>
      <c r="AI50" t="n">
        <v>23.52</v>
      </c>
      <c r="AJ50" t="n">
        <v/>
      </c>
    </row>
    <row r="51">
      <c r="A51" s="5" t="inlineStr">
        <is>
          <t>01a1212c-bb61-7229-b49d-bb24888e8110</t>
        </is>
      </c>
      <c r="B51" t="inlineStr">
        <is>
          <t>2020-09-24_BHP.AX</t>
        </is>
      </c>
      <c r="C51" s="5" t="inlineStr">
        <is>
          <t>01a1212c-4b57-70cf-80fd-c2192cb3bf81</t>
        </is>
      </c>
      <c r="D51" s="4" t="n">
        <v>46304.62433002592</v>
      </c>
      <c r="E51" s="4" t="n">
        <v>46304.624330026</v>
      </c>
      <c r="F51" t="b">
        <v>1</v>
      </c>
      <c r="G51" t="n">
        <v/>
      </c>
      <c r="H51" t="inlineStr">
        <is>
          <t>2020-09-24 | Dividend | BHP</t>
        </is>
      </c>
      <c r="I51" t="inlineStr">
        <is>
          <t>BHP</t>
        </is>
      </c>
      <c r="J51" s="6" t="n">
        <v>44098</v>
      </c>
      <c r="K51" t="n">
        <v>95</v>
      </c>
      <c r="L51" t="inlineStr"/>
      <c r="M51" t="inlineStr">
        <is>
          <t>FY2020/21</t>
        </is>
      </c>
      <c r="N51" t="inlineStr">
        <is>
          <t>LOCAL</t>
        </is>
      </c>
      <c r="O51" t="inlineStr">
        <is>
          <t>AUD</t>
        </is>
      </c>
      <c r="P51" t="n">
        <v>0</v>
      </c>
      <c r="Q51" t="inlineStr">
        <is>
          <t>AUD</t>
        </is>
      </c>
      <c r="R51" t="n">
        <v>0.754561</v>
      </c>
      <c r="S51" t="inlineStr">
        <is>
          <t>AUD</t>
        </is>
      </c>
      <c r="T51" t="n">
        <v>0</v>
      </c>
      <c r="U51" t="inlineStr">
        <is>
          <t>AUD</t>
        </is>
      </c>
      <c r="V51" t="n">
        <v>0</v>
      </c>
      <c r="W51" t="inlineStr">
        <is>
          <t>AUD</t>
        </is>
      </c>
      <c r="X51" t="n">
        <v>0</v>
      </c>
      <c r="Y51" t="n">
        <v>30</v>
      </c>
      <c r="Z51" t="inlineStr">
        <is>
          <t>AUD</t>
        </is>
      </c>
      <c r="AA51" t="n">
        <v>0</v>
      </c>
      <c r="AB51" t="inlineStr">
        <is>
          <t>AUD</t>
        </is>
      </c>
      <c r="AC51" t="n">
        <v>71.683295</v>
      </c>
      <c r="AD51" t="inlineStr">
        <is>
          <t>AUD</t>
        </is>
      </c>
      <c r="AE51" t="n">
        <v>30.721412</v>
      </c>
      <c r="AF51" t="inlineStr">
        <is>
          <t>AUD</t>
        </is>
      </c>
      <c r="AG51" t="n">
        <v>71.683295</v>
      </c>
      <c r="AH51" t="inlineStr">
        <is>
          <t>AUD</t>
        </is>
      </c>
      <c r="AI51" t="n">
        <v>71.683295</v>
      </c>
      <c r="AJ51" t="n">
        <v/>
      </c>
    </row>
    <row r="52">
      <c r="A52" s="5" t="inlineStr">
        <is>
          <t>01a1212c-bb64-77e9-87dc-481bbcd7ce91</t>
        </is>
      </c>
      <c r="B52" t="inlineStr">
        <is>
          <t>2020-11-09_AAPL</t>
        </is>
      </c>
      <c r="C52" s="5" t="inlineStr">
        <is>
          <t>01a1212c-4b57-70cf-80fd-c2192cb3bf81</t>
        </is>
      </c>
      <c r="D52" s="4" t="n">
        <v>46304.62433007359</v>
      </c>
      <c r="E52" s="4" t="n">
        <v>46304.62433007366</v>
      </c>
      <c r="F52" t="b">
        <v>1</v>
      </c>
      <c r="G52" t="n">
        <v/>
      </c>
      <c r="H52" t="inlineStr">
        <is>
          <t>2020-11-09 | Dividend | AAPL</t>
        </is>
      </c>
      <c r="I52" t="inlineStr">
        <is>
          <t>AAPL</t>
        </is>
      </c>
      <c r="J52" s="6" t="n">
        <v>44144</v>
      </c>
      <c r="K52" t="n">
        <v>122</v>
      </c>
      <c r="L52" t="inlineStr"/>
      <c r="M52" t="inlineStr">
        <is>
          <t>FY2020/21</t>
        </is>
      </c>
      <c r="N52" t="inlineStr">
        <is>
          <t>FOREIGN</t>
        </is>
      </c>
      <c r="O52" t="inlineStr">
        <is>
          <t>USD</t>
        </is>
      </c>
      <c r="P52" t="n">
        <v>0.205</v>
      </c>
      <c r="Q52" t="inlineStr">
        <is>
          <t>USD</t>
        </is>
      </c>
      <c r="R52" t="n">
        <v>0</v>
      </c>
      <c r="S52" t="inlineStr">
        <is>
          <t>USD</t>
        </is>
      </c>
      <c r="T52" t="n">
        <v>0</v>
      </c>
      <c r="U52" t="inlineStr">
        <is>
          <t>USD</t>
        </is>
      </c>
      <c r="V52" t="n">
        <v>3.75</v>
      </c>
      <c r="W52" t="inlineStr">
        <is>
          <t>USD</t>
        </is>
      </c>
      <c r="X52" t="n">
        <v>0</v>
      </c>
      <c r="Y52" t="n">
        <v>30</v>
      </c>
      <c r="Z52" t="inlineStr">
        <is>
          <t>USD</t>
        </is>
      </c>
      <c r="AA52" t="n">
        <v>25.01</v>
      </c>
      <c r="AB52" t="inlineStr">
        <is>
          <t>USD</t>
        </is>
      </c>
      <c r="AC52" t="n">
        <v>0</v>
      </c>
      <c r="AD52" t="inlineStr">
        <is>
          <t>USD</t>
        </is>
      </c>
      <c r="AE52" t="n">
        <v>0</v>
      </c>
      <c r="AF52" t="inlineStr">
        <is>
          <t>USD</t>
        </is>
      </c>
      <c r="AG52" t="n">
        <v>25.01</v>
      </c>
      <c r="AH52" t="inlineStr">
        <is>
          <t>AUD</t>
        </is>
      </c>
      <c r="AI52" t="n">
        <v>37.515</v>
      </c>
      <c r="AJ52" s="5" t="inlineStr">
        <is>
          <t>01a1212c-bb65-77e8-b016-9066bc52c636</t>
        </is>
      </c>
    </row>
    <row r="53">
      <c r="A53" s="5" t="inlineStr">
        <is>
          <t>01a1212c-bb68-73ea-a7c4-b4f1863028f0</t>
        </is>
      </c>
      <c r="B53" t="inlineStr">
        <is>
          <t>2020-12-09_MSFT</t>
        </is>
      </c>
      <c r="C53" s="5" t="inlineStr">
        <is>
          <t>01a1212c-4b57-70cf-80fd-c2192cb3bf81</t>
        </is>
      </c>
      <c r="D53" s="4" t="n">
        <v>46304.62433011898</v>
      </c>
      <c r="E53" s="4" t="n">
        <v>46304.62433011905</v>
      </c>
      <c r="F53" t="b">
        <v>1</v>
      </c>
      <c r="G53" t="n">
        <v/>
      </c>
      <c r="H53" t="inlineStr">
        <is>
          <t>2020-12-09 | Dividend | MSFT</t>
        </is>
      </c>
      <c r="I53" t="inlineStr">
        <is>
          <t>MSFT</t>
        </is>
      </c>
      <c r="J53" s="6" t="n">
        <v>44174</v>
      </c>
      <c r="K53" t="n">
        <v>82</v>
      </c>
      <c r="L53" t="inlineStr"/>
      <c r="M53" t="inlineStr">
        <is>
          <t>FY2020/21</t>
        </is>
      </c>
      <c r="N53" t="inlineStr">
        <is>
          <t>FOREIGN</t>
        </is>
      </c>
      <c r="O53" t="inlineStr">
        <is>
          <t>USD</t>
        </is>
      </c>
      <c r="P53" t="n">
        <v>0.5600000000000001</v>
      </c>
      <c r="Q53" t="inlineStr">
        <is>
          <t>USD</t>
        </is>
      </c>
      <c r="R53" t="n">
        <v>0</v>
      </c>
      <c r="S53" t="inlineStr">
        <is>
          <t>USD</t>
        </is>
      </c>
      <c r="T53" t="n">
        <v>0</v>
      </c>
      <c r="U53" t="inlineStr">
        <is>
          <t>USD</t>
        </is>
      </c>
      <c r="V53" t="n">
        <v>6.89</v>
      </c>
      <c r="W53" t="inlineStr">
        <is>
          <t>USD</t>
        </is>
      </c>
      <c r="X53" t="n">
        <v>0</v>
      </c>
      <c r="Y53" t="n">
        <v>30</v>
      </c>
      <c r="Z53" t="inlineStr">
        <is>
          <t>USD</t>
        </is>
      </c>
      <c r="AA53" t="n">
        <v>45.92</v>
      </c>
      <c r="AB53" t="inlineStr">
        <is>
          <t>USD</t>
        </is>
      </c>
      <c r="AC53" t="n">
        <v>0</v>
      </c>
      <c r="AD53" t="inlineStr">
        <is>
          <t>USD</t>
        </is>
      </c>
      <c r="AE53" t="n">
        <v>0</v>
      </c>
      <c r="AF53" t="inlineStr">
        <is>
          <t>USD</t>
        </is>
      </c>
      <c r="AG53" t="n">
        <v>45.92</v>
      </c>
      <c r="AH53" t="inlineStr">
        <is>
          <t>AUD</t>
        </is>
      </c>
      <c r="AI53" t="n">
        <v>68.88</v>
      </c>
      <c r="AJ53" s="5" t="inlineStr">
        <is>
          <t>01a1212c-bb69-7098-b781-8357bcb0dbb7</t>
        </is>
      </c>
    </row>
    <row r="54">
      <c r="A54" s="5" t="inlineStr">
        <is>
          <t>01a1212c-bb6c-76de-8f22-45f8e8c2fa74</t>
        </is>
      </c>
      <c r="B54" t="inlineStr">
        <is>
          <t>2021-02-08_AAPL</t>
        </is>
      </c>
      <c r="C54" s="5" t="inlineStr">
        <is>
          <t>01a1212c-4b57-70cf-80fd-c2192cb3bf81</t>
        </is>
      </c>
      <c r="D54" s="4" t="n">
        <v>46304.62433016599</v>
      </c>
      <c r="E54" s="4" t="n">
        <v>46304.62433016604</v>
      </c>
      <c r="F54" t="b">
        <v>1</v>
      </c>
      <c r="G54" t="n">
        <v/>
      </c>
      <c r="H54" t="inlineStr">
        <is>
          <t>2021-02-08 | Dividend | AAPL</t>
        </is>
      </c>
      <c r="I54" t="inlineStr">
        <is>
          <t>AAPL</t>
        </is>
      </c>
      <c r="J54" s="6" t="n">
        <v>44235</v>
      </c>
      <c r="K54" t="n">
        <v>122</v>
      </c>
      <c r="L54" t="inlineStr"/>
      <c r="M54" t="inlineStr">
        <is>
          <t>FY2020/21</t>
        </is>
      </c>
      <c r="N54" t="inlineStr">
        <is>
          <t>FOREIGN</t>
        </is>
      </c>
      <c r="O54" t="inlineStr">
        <is>
          <t>USD</t>
        </is>
      </c>
      <c r="P54" t="n">
        <v>0.205</v>
      </c>
      <c r="Q54" t="inlineStr">
        <is>
          <t>USD</t>
        </is>
      </c>
      <c r="R54" t="n">
        <v>0</v>
      </c>
      <c r="S54" t="inlineStr">
        <is>
          <t>USD</t>
        </is>
      </c>
      <c r="T54" t="n">
        <v>0</v>
      </c>
      <c r="U54" t="inlineStr">
        <is>
          <t>USD</t>
        </is>
      </c>
      <c r="V54" t="n">
        <v>3.75</v>
      </c>
      <c r="W54" t="inlineStr">
        <is>
          <t>USD</t>
        </is>
      </c>
      <c r="X54" t="n">
        <v>0</v>
      </c>
      <c r="Y54" t="n">
        <v>30</v>
      </c>
      <c r="Z54" t="inlineStr">
        <is>
          <t>USD</t>
        </is>
      </c>
      <c r="AA54" t="n">
        <v>25.01</v>
      </c>
      <c r="AB54" t="inlineStr">
        <is>
          <t>USD</t>
        </is>
      </c>
      <c r="AC54" t="n">
        <v>0</v>
      </c>
      <c r="AD54" t="inlineStr">
        <is>
          <t>USD</t>
        </is>
      </c>
      <c r="AE54" t="n">
        <v>0</v>
      </c>
      <c r="AF54" t="inlineStr">
        <is>
          <t>USD</t>
        </is>
      </c>
      <c r="AG54" t="n">
        <v>25.01</v>
      </c>
      <c r="AH54" t="inlineStr">
        <is>
          <t>AUD</t>
        </is>
      </c>
      <c r="AI54" t="n">
        <v>37.515</v>
      </c>
      <c r="AJ54" s="5" t="inlineStr">
        <is>
          <t>01a1212c-bb6d-734b-bf22-9027f28ba765</t>
        </is>
      </c>
    </row>
    <row r="55">
      <c r="A55" s="5" t="inlineStr">
        <is>
          <t>01a1212c-bb70-7107-97cc-e89a66172b02</t>
        </is>
      </c>
      <c r="B55" t="inlineStr">
        <is>
          <t>2021-03-10_MSFT</t>
        </is>
      </c>
      <c r="C55" s="5" t="inlineStr">
        <is>
          <t>01a1212c-4b57-70cf-80fd-c2192cb3bf81</t>
        </is>
      </c>
      <c r="D55" s="4" t="n">
        <v>46304.62433022102</v>
      </c>
      <c r="E55" s="4" t="n">
        <v>46304.6243302211</v>
      </c>
      <c r="F55" t="b">
        <v>1</v>
      </c>
      <c r="G55" t="n">
        <v/>
      </c>
      <c r="H55" t="inlineStr">
        <is>
          <t>2021-03-10 | Dividend | MSFT</t>
        </is>
      </c>
      <c r="I55" t="inlineStr">
        <is>
          <t>MSFT</t>
        </is>
      </c>
      <c r="J55" s="6" t="n">
        <v>44265</v>
      </c>
      <c r="K55" t="n">
        <v>82</v>
      </c>
      <c r="L55" t="inlineStr"/>
      <c r="M55" t="inlineStr">
        <is>
          <t>FY2020/21</t>
        </is>
      </c>
      <c r="N55" t="inlineStr">
        <is>
          <t>FOREIGN</t>
        </is>
      </c>
      <c r="O55" t="inlineStr">
        <is>
          <t>USD</t>
        </is>
      </c>
      <c r="P55" t="n">
        <v>0.5600000000000001</v>
      </c>
      <c r="Q55" t="inlineStr">
        <is>
          <t>USD</t>
        </is>
      </c>
      <c r="R55" t="n">
        <v>0</v>
      </c>
      <c r="S55" t="inlineStr">
        <is>
          <t>USD</t>
        </is>
      </c>
      <c r="T55" t="n">
        <v>0</v>
      </c>
      <c r="U55" t="inlineStr">
        <is>
          <t>USD</t>
        </is>
      </c>
      <c r="V55" t="n">
        <v>6.89</v>
      </c>
      <c r="W55" t="inlineStr">
        <is>
          <t>USD</t>
        </is>
      </c>
      <c r="X55" t="n">
        <v>0</v>
      </c>
      <c r="Y55" t="n">
        <v>30</v>
      </c>
      <c r="Z55" t="inlineStr">
        <is>
          <t>USD</t>
        </is>
      </c>
      <c r="AA55" t="n">
        <v>45.92</v>
      </c>
      <c r="AB55" t="inlineStr">
        <is>
          <t>USD</t>
        </is>
      </c>
      <c r="AC55" t="n">
        <v>0</v>
      </c>
      <c r="AD55" t="inlineStr">
        <is>
          <t>USD</t>
        </is>
      </c>
      <c r="AE55" t="n">
        <v>0</v>
      </c>
      <c r="AF55" t="inlineStr">
        <is>
          <t>USD</t>
        </is>
      </c>
      <c r="AG55" t="n">
        <v>45.92</v>
      </c>
      <c r="AH55" t="inlineStr">
        <is>
          <t>AUD</t>
        </is>
      </c>
      <c r="AI55" t="n">
        <v>68.88</v>
      </c>
      <c r="AJ55" s="5" t="inlineStr">
        <is>
          <t>01a1212c-bb72-703c-b2e8-36949fe17da8</t>
        </is>
      </c>
    </row>
    <row r="56">
      <c r="A56" s="5" t="inlineStr">
        <is>
          <t>01a1212c-bb75-7695-9b76-85a0cd2377b2</t>
        </is>
      </c>
      <c r="B56" t="inlineStr">
        <is>
          <t>2021-03-19_WES.AX</t>
        </is>
      </c>
      <c r="C56" s="5" t="inlineStr">
        <is>
          <t>01a1212c-4b57-70cf-80fd-c2192cb3bf81</t>
        </is>
      </c>
      <c r="D56" s="4" t="n">
        <v>46304.62433025568</v>
      </c>
      <c r="E56" s="4" t="n">
        <v>46304.62433025576</v>
      </c>
      <c r="F56" t="b">
        <v>1</v>
      </c>
      <c r="G56" t="n">
        <v/>
      </c>
      <c r="H56" t="inlineStr">
        <is>
          <t>2021-03-19 | Dividend | WES</t>
        </is>
      </c>
      <c r="I56" t="inlineStr">
        <is>
          <t>WES</t>
        </is>
      </c>
      <c r="J56" s="6" t="n">
        <v>44274</v>
      </c>
      <c r="K56" t="n">
        <v>65</v>
      </c>
      <c r="L56" t="inlineStr"/>
      <c r="M56" t="inlineStr">
        <is>
          <t>FY2020/21</t>
        </is>
      </c>
      <c r="N56" t="inlineStr">
        <is>
          <t>LOCAL</t>
        </is>
      </c>
      <c r="O56" t="inlineStr">
        <is>
          <t>AUD</t>
        </is>
      </c>
      <c r="P56" t="n">
        <v>0</v>
      </c>
      <c r="Q56" t="inlineStr">
        <is>
          <t>AUD</t>
        </is>
      </c>
      <c r="R56" t="n">
        <v>0.88</v>
      </c>
      <c r="S56" t="inlineStr">
        <is>
          <t>AUD</t>
        </is>
      </c>
      <c r="T56" t="n">
        <v>0</v>
      </c>
      <c r="U56" t="inlineStr">
        <is>
          <t>AUD</t>
        </is>
      </c>
      <c r="V56" t="n">
        <v>0</v>
      </c>
      <c r="W56" t="inlineStr">
        <is>
          <t>AUD</t>
        </is>
      </c>
      <c r="X56" t="n">
        <v>0</v>
      </c>
      <c r="Y56" t="n">
        <v>30</v>
      </c>
      <c r="Z56" t="inlineStr">
        <is>
          <t>AUD</t>
        </is>
      </c>
      <c r="AA56" t="n">
        <v>0</v>
      </c>
      <c r="AB56" t="inlineStr">
        <is>
          <t>AUD</t>
        </is>
      </c>
      <c r="AC56" t="n">
        <v>57.2</v>
      </c>
      <c r="AD56" t="inlineStr">
        <is>
          <t>AUD</t>
        </is>
      </c>
      <c r="AE56" t="n">
        <v>24.514286</v>
      </c>
      <c r="AF56" t="inlineStr">
        <is>
          <t>AUD</t>
        </is>
      </c>
      <c r="AG56" t="n">
        <v>57.2</v>
      </c>
      <c r="AH56" t="inlineStr">
        <is>
          <t>AUD</t>
        </is>
      </c>
      <c r="AI56" t="n">
        <v>57.2</v>
      </c>
      <c r="AJ56" t="n">
        <v/>
      </c>
    </row>
    <row r="57">
      <c r="A57" s="5" t="inlineStr">
        <is>
          <t>01a1212c-bb78-75ad-b13a-9f64f820d7fd</t>
        </is>
      </c>
      <c r="B57" t="inlineStr">
        <is>
          <t>2021-03-23_CBA.AX</t>
        </is>
      </c>
      <c r="C57" s="5" t="inlineStr">
        <is>
          <t>01a1212c-4b57-70cf-80fd-c2192cb3bf81</t>
        </is>
      </c>
      <c r="D57" s="4" t="n">
        <v>46304.62433028833</v>
      </c>
      <c r="E57" s="4" t="n">
        <v>46304.62433028842</v>
      </c>
      <c r="F57" t="b">
        <v>1</v>
      </c>
      <c r="G57" t="n">
        <v/>
      </c>
      <c r="H57" t="inlineStr">
        <is>
          <t>2021-03-23 | Dividend | CBA</t>
        </is>
      </c>
      <c r="I57" t="inlineStr">
        <is>
          <t>CBA</t>
        </is>
      </c>
      <c r="J57" s="6" t="n">
        <v>44278</v>
      </c>
      <c r="K57" t="n">
        <v>24</v>
      </c>
      <c r="L57" t="inlineStr"/>
      <c r="M57" t="inlineStr">
        <is>
          <t>FY2020/21</t>
        </is>
      </c>
      <c r="N57" t="inlineStr">
        <is>
          <t>LOCAL</t>
        </is>
      </c>
      <c r="O57" t="inlineStr">
        <is>
          <t>AUD</t>
        </is>
      </c>
      <c r="P57" t="n">
        <v>0</v>
      </c>
      <c r="Q57" t="inlineStr">
        <is>
          <t>AUD</t>
        </is>
      </c>
      <c r="R57" t="n">
        <v>1.5</v>
      </c>
      <c r="S57" t="inlineStr">
        <is>
          <t>AUD</t>
        </is>
      </c>
      <c r="T57" t="n">
        <v>0</v>
      </c>
      <c r="U57" t="inlineStr">
        <is>
          <t>AUD</t>
        </is>
      </c>
      <c r="V57" t="n">
        <v>0</v>
      </c>
      <c r="W57" t="inlineStr">
        <is>
          <t>AUD</t>
        </is>
      </c>
      <c r="X57" t="n">
        <v>0</v>
      </c>
      <c r="Y57" t="n">
        <v>30</v>
      </c>
      <c r="Z57" t="inlineStr">
        <is>
          <t>AUD</t>
        </is>
      </c>
      <c r="AA57" t="n">
        <v>0</v>
      </c>
      <c r="AB57" t="inlineStr">
        <is>
          <t>AUD</t>
        </is>
      </c>
      <c r="AC57" t="n">
        <v>36</v>
      </c>
      <c r="AD57" t="inlineStr">
        <is>
          <t>AUD</t>
        </is>
      </c>
      <c r="AE57" t="n">
        <v>15.428571</v>
      </c>
      <c r="AF57" t="inlineStr">
        <is>
          <t>AUD</t>
        </is>
      </c>
      <c r="AG57" t="n">
        <v>36</v>
      </c>
      <c r="AH57" t="inlineStr">
        <is>
          <t>AUD</t>
        </is>
      </c>
      <c r="AI57" t="n">
        <v>36</v>
      </c>
      <c r="AJ57" t="n">
        <v/>
      </c>
    </row>
    <row r="58">
      <c r="A58" s="5" t="inlineStr">
        <is>
          <t>01a1212c-bb7b-73dd-86fe-adee5bdee94c</t>
        </is>
      </c>
      <c r="B58" t="inlineStr">
        <is>
          <t>2021-03-25_BHP.AX</t>
        </is>
      </c>
      <c r="C58" s="5" t="inlineStr">
        <is>
          <t>01a1212c-4b57-70cf-80fd-c2192cb3bf81</t>
        </is>
      </c>
      <c r="D58" s="4" t="n">
        <v>46304.62433032155</v>
      </c>
      <c r="E58" s="4" t="n">
        <v>46304.62433032162</v>
      </c>
      <c r="F58" t="b">
        <v>1</v>
      </c>
      <c r="G58" t="n">
        <v/>
      </c>
      <c r="H58" t="inlineStr">
        <is>
          <t>2021-03-25 | Dividend | BHP</t>
        </is>
      </c>
      <c r="I58" t="inlineStr">
        <is>
          <t>BHP</t>
        </is>
      </c>
      <c r="J58" s="6" t="n">
        <v>44280</v>
      </c>
      <c r="K58" t="n">
        <v>95</v>
      </c>
      <c r="L58" t="inlineStr"/>
      <c r="M58" t="inlineStr">
        <is>
          <t>FY2020/21</t>
        </is>
      </c>
      <c r="N58" t="inlineStr">
        <is>
          <t>LOCAL</t>
        </is>
      </c>
      <c r="O58" t="inlineStr">
        <is>
          <t>AUD</t>
        </is>
      </c>
      <c r="P58" t="n">
        <v>0</v>
      </c>
      <c r="Q58" t="inlineStr">
        <is>
          <t>AUD</t>
        </is>
      </c>
      <c r="R58" t="n">
        <v>1.311347</v>
      </c>
      <c r="S58" t="inlineStr">
        <is>
          <t>AUD</t>
        </is>
      </c>
      <c r="T58" t="n">
        <v>0</v>
      </c>
      <c r="U58" t="inlineStr">
        <is>
          <t>AUD</t>
        </is>
      </c>
      <c r="V58" t="n">
        <v>0</v>
      </c>
      <c r="W58" t="inlineStr">
        <is>
          <t>AUD</t>
        </is>
      </c>
      <c r="X58" t="n">
        <v>0</v>
      </c>
      <c r="Y58" t="n">
        <v>30</v>
      </c>
      <c r="Z58" t="inlineStr">
        <is>
          <t>AUD</t>
        </is>
      </c>
      <c r="AA58" t="n">
        <v>0</v>
      </c>
      <c r="AB58" t="inlineStr">
        <is>
          <t>AUD</t>
        </is>
      </c>
      <c r="AC58" t="n">
        <v>124.577965</v>
      </c>
      <c r="AD58" t="inlineStr">
        <is>
          <t>AUD</t>
        </is>
      </c>
      <c r="AE58" t="n">
        <v>53.390556</v>
      </c>
      <c r="AF58" t="inlineStr">
        <is>
          <t>AUD</t>
        </is>
      </c>
      <c r="AG58" t="n">
        <v>124.577965</v>
      </c>
      <c r="AH58" t="inlineStr">
        <is>
          <t>AUD</t>
        </is>
      </c>
      <c r="AI58" t="n">
        <v>124.577965</v>
      </c>
      <c r="AJ58" t="n">
        <v/>
      </c>
    </row>
    <row r="59">
      <c r="A59" s="5" t="inlineStr">
        <is>
          <t>01a1212c-bb7e-714a-ad1e-ee2437c2d6cf</t>
        </is>
      </c>
      <c r="B59" t="inlineStr">
        <is>
          <t>2021-05-10_AAPL</t>
        </is>
      </c>
      <c r="C59" s="5" t="inlineStr">
        <is>
          <t>01a1212c-4b57-70cf-80fd-c2192cb3bf81</t>
        </is>
      </c>
      <c r="D59" s="4" t="n">
        <v>46304.62433037124</v>
      </c>
      <c r="E59" s="4" t="n">
        <v>46304.62433037131</v>
      </c>
      <c r="F59" t="b">
        <v>1</v>
      </c>
      <c r="G59" t="n">
        <v/>
      </c>
      <c r="H59" t="inlineStr">
        <is>
          <t>2021-05-10 | Dividend | AAPL</t>
        </is>
      </c>
      <c r="I59" t="inlineStr">
        <is>
          <t>AAPL</t>
        </is>
      </c>
      <c r="J59" s="6" t="n">
        <v>44326</v>
      </c>
      <c r="K59" t="n">
        <v>122</v>
      </c>
      <c r="L59" t="inlineStr"/>
      <c r="M59" t="inlineStr">
        <is>
          <t>FY2020/21</t>
        </is>
      </c>
      <c r="N59" t="inlineStr">
        <is>
          <t>FOREIGN</t>
        </is>
      </c>
      <c r="O59" t="inlineStr">
        <is>
          <t>USD</t>
        </is>
      </c>
      <c r="P59" t="n">
        <v>0.22</v>
      </c>
      <c r="Q59" t="inlineStr">
        <is>
          <t>USD</t>
        </is>
      </c>
      <c r="R59" t="n">
        <v>0</v>
      </c>
      <c r="S59" t="inlineStr">
        <is>
          <t>USD</t>
        </is>
      </c>
      <c r="T59" t="n">
        <v>0</v>
      </c>
      <c r="U59" t="inlineStr">
        <is>
          <t>USD</t>
        </is>
      </c>
      <c r="V59" t="n">
        <v>4.03</v>
      </c>
      <c r="W59" t="inlineStr">
        <is>
          <t>USD</t>
        </is>
      </c>
      <c r="X59" t="n">
        <v>0</v>
      </c>
      <c r="Y59" t="n">
        <v>30</v>
      </c>
      <c r="Z59" t="inlineStr">
        <is>
          <t>USD</t>
        </is>
      </c>
      <c r="AA59" t="n">
        <v>26.84</v>
      </c>
      <c r="AB59" t="inlineStr">
        <is>
          <t>USD</t>
        </is>
      </c>
      <c r="AC59" t="n">
        <v>0</v>
      </c>
      <c r="AD59" t="inlineStr">
        <is>
          <t>USD</t>
        </is>
      </c>
      <c r="AE59" t="n">
        <v>0</v>
      </c>
      <c r="AF59" t="inlineStr">
        <is>
          <t>USD</t>
        </is>
      </c>
      <c r="AG59" t="n">
        <v>26.84</v>
      </c>
      <c r="AH59" t="inlineStr">
        <is>
          <t>AUD</t>
        </is>
      </c>
      <c r="AI59" t="n">
        <v>40.26</v>
      </c>
      <c r="AJ59" s="5" t="inlineStr">
        <is>
          <t>01a1212c-bb7f-74ab-b92a-106abbe4300f</t>
        </is>
      </c>
    </row>
    <row r="60">
      <c r="A60" s="5" t="inlineStr">
        <is>
          <t>01a1212c-bb82-761e-adbf-b3c02547e301</t>
        </is>
      </c>
      <c r="B60" t="inlineStr">
        <is>
          <t>2021-06-09_MSFT</t>
        </is>
      </c>
      <c r="C60" s="5" t="inlineStr">
        <is>
          <t>01a1212c-4b57-70cf-80fd-c2192cb3bf81</t>
        </is>
      </c>
      <c r="D60" s="4" t="n">
        <v>46304.62433042124</v>
      </c>
      <c r="E60" s="4" t="n">
        <v>46304.62433042131</v>
      </c>
      <c r="F60" t="b">
        <v>1</v>
      </c>
      <c r="G60" t="n">
        <v/>
      </c>
      <c r="H60" t="inlineStr">
        <is>
          <t>2021-06-09 | Dividend | MSFT</t>
        </is>
      </c>
      <c r="I60" t="inlineStr">
        <is>
          <t>MSFT</t>
        </is>
      </c>
      <c r="J60" s="6" t="n">
        <v>44356</v>
      </c>
      <c r="K60" t="n">
        <v>85</v>
      </c>
      <c r="L60" t="inlineStr"/>
      <c r="M60" t="inlineStr">
        <is>
          <t>FY2020/21</t>
        </is>
      </c>
      <c r="N60" t="inlineStr">
        <is>
          <t>FOREIGN</t>
        </is>
      </c>
      <c r="O60" t="inlineStr">
        <is>
          <t>USD</t>
        </is>
      </c>
      <c r="P60" t="n">
        <v>0.5600000000000001</v>
      </c>
      <c r="Q60" t="inlineStr">
        <is>
          <t>USD</t>
        </is>
      </c>
      <c r="R60" t="n">
        <v>0</v>
      </c>
      <c r="S60" t="inlineStr">
        <is>
          <t>USD</t>
        </is>
      </c>
      <c r="T60" t="n">
        <v>0</v>
      </c>
      <c r="U60" t="inlineStr">
        <is>
          <t>USD</t>
        </is>
      </c>
      <c r="V60" t="n">
        <v>7.14</v>
      </c>
      <c r="W60" t="inlineStr">
        <is>
          <t>USD</t>
        </is>
      </c>
      <c r="X60" t="n">
        <v>0</v>
      </c>
      <c r="Y60" t="n">
        <v>30</v>
      </c>
      <c r="Z60" t="inlineStr">
        <is>
          <t>USD</t>
        </is>
      </c>
      <c r="AA60" t="n">
        <v>47.6</v>
      </c>
      <c r="AB60" t="inlineStr">
        <is>
          <t>USD</t>
        </is>
      </c>
      <c r="AC60" t="n">
        <v>0</v>
      </c>
      <c r="AD60" t="inlineStr">
        <is>
          <t>USD</t>
        </is>
      </c>
      <c r="AE60" t="n">
        <v>0</v>
      </c>
      <c r="AF60" t="inlineStr">
        <is>
          <t>USD</t>
        </is>
      </c>
      <c r="AG60" t="n">
        <v>47.6</v>
      </c>
      <c r="AH60" t="inlineStr">
        <is>
          <t>AUD</t>
        </is>
      </c>
      <c r="AI60" t="n">
        <v>71.40000000000001</v>
      </c>
      <c r="AJ60" s="5" t="inlineStr">
        <is>
          <t>01a1212c-bb83-7360-8897-8a76c1e2ed59</t>
        </is>
      </c>
    </row>
    <row r="61">
      <c r="A61" s="5" t="inlineStr">
        <is>
          <t>01a1212c-bb86-709e-ad61-46c0e53ef074</t>
        </is>
      </c>
      <c r="B61" t="inlineStr">
        <is>
          <t>2021-08-09_AAPL</t>
        </is>
      </c>
      <c r="C61" s="5" t="inlineStr">
        <is>
          <t>01a1212c-4b57-70cf-80fd-c2192cb3bf81</t>
        </is>
      </c>
      <c r="D61" s="4" t="n">
        <v>46304.62433046897</v>
      </c>
      <c r="E61" s="4" t="n">
        <v>46304.62433046904</v>
      </c>
      <c r="F61" t="b">
        <v>1</v>
      </c>
      <c r="G61" t="n">
        <v/>
      </c>
      <c r="H61" t="inlineStr">
        <is>
          <t>2021-08-09 | Dividend | AAPL</t>
        </is>
      </c>
      <c r="I61" t="inlineStr">
        <is>
          <t>AAPL</t>
        </is>
      </c>
      <c r="J61" s="6" t="n">
        <v>44417</v>
      </c>
      <c r="K61" t="n">
        <v>122</v>
      </c>
      <c r="L61" t="inlineStr"/>
      <c r="M61" t="inlineStr">
        <is>
          <t>FY2021/22</t>
        </is>
      </c>
      <c r="N61" t="inlineStr">
        <is>
          <t>FOREIGN</t>
        </is>
      </c>
      <c r="O61" t="inlineStr">
        <is>
          <t>USD</t>
        </is>
      </c>
      <c r="P61" t="n">
        <v>0.22</v>
      </c>
      <c r="Q61" t="inlineStr">
        <is>
          <t>USD</t>
        </is>
      </c>
      <c r="R61" t="n">
        <v>0</v>
      </c>
      <c r="S61" t="inlineStr">
        <is>
          <t>USD</t>
        </is>
      </c>
      <c r="T61" t="n">
        <v>0</v>
      </c>
      <c r="U61" t="inlineStr">
        <is>
          <t>USD</t>
        </is>
      </c>
      <c r="V61" t="n">
        <v>4.03</v>
      </c>
      <c r="W61" t="inlineStr">
        <is>
          <t>USD</t>
        </is>
      </c>
      <c r="X61" t="n">
        <v>0</v>
      </c>
      <c r="Y61" t="n">
        <v>30</v>
      </c>
      <c r="Z61" t="inlineStr">
        <is>
          <t>USD</t>
        </is>
      </c>
      <c r="AA61" t="n">
        <v>26.84</v>
      </c>
      <c r="AB61" t="inlineStr">
        <is>
          <t>USD</t>
        </is>
      </c>
      <c r="AC61" t="n">
        <v>0</v>
      </c>
      <c r="AD61" t="inlineStr">
        <is>
          <t>USD</t>
        </is>
      </c>
      <c r="AE61" t="n">
        <v>0</v>
      </c>
      <c r="AF61" t="inlineStr">
        <is>
          <t>USD</t>
        </is>
      </c>
      <c r="AG61" t="n">
        <v>26.84</v>
      </c>
      <c r="AH61" t="inlineStr">
        <is>
          <t>AUD</t>
        </is>
      </c>
      <c r="AI61" t="n">
        <v>40.26</v>
      </c>
      <c r="AJ61" s="5" t="inlineStr">
        <is>
          <t>01a1212c-bb87-74cf-9cdc-2936b8627652</t>
        </is>
      </c>
    </row>
    <row r="62">
      <c r="A62" s="5" t="inlineStr">
        <is>
          <t>01a1212c-bb8a-72a5-88d1-735722473ab3</t>
        </is>
      </c>
      <c r="B62" t="inlineStr">
        <is>
          <t>2021-09-08_MSFT</t>
        </is>
      </c>
      <c r="C62" s="5" t="inlineStr">
        <is>
          <t>01a1212c-4b57-70cf-80fd-c2192cb3bf81</t>
        </is>
      </c>
      <c r="D62" s="4" t="n">
        <v>46304.62433051598</v>
      </c>
      <c r="E62" s="4" t="n">
        <v>46304.62433051604</v>
      </c>
      <c r="F62" t="b">
        <v>1</v>
      </c>
      <c r="G62" t="n">
        <v/>
      </c>
      <c r="H62" t="inlineStr">
        <is>
          <t>2021-09-08 | Dividend | MSFT</t>
        </is>
      </c>
      <c r="I62" t="inlineStr">
        <is>
          <t>MSFT</t>
        </is>
      </c>
      <c r="J62" s="6" t="n">
        <v>44447</v>
      </c>
      <c r="K62" t="n">
        <v>85</v>
      </c>
      <c r="L62" t="inlineStr"/>
      <c r="M62" t="inlineStr">
        <is>
          <t>FY2021/22</t>
        </is>
      </c>
      <c r="N62" t="inlineStr">
        <is>
          <t>FOREIGN</t>
        </is>
      </c>
      <c r="O62" t="inlineStr">
        <is>
          <t>USD</t>
        </is>
      </c>
      <c r="P62" t="n">
        <v>0.5600000000000001</v>
      </c>
      <c r="Q62" t="inlineStr">
        <is>
          <t>USD</t>
        </is>
      </c>
      <c r="R62" t="n">
        <v>0</v>
      </c>
      <c r="S62" t="inlineStr">
        <is>
          <t>USD</t>
        </is>
      </c>
      <c r="T62" t="n">
        <v>0</v>
      </c>
      <c r="U62" t="inlineStr">
        <is>
          <t>USD</t>
        </is>
      </c>
      <c r="V62" t="n">
        <v>7.14</v>
      </c>
      <c r="W62" t="inlineStr">
        <is>
          <t>USD</t>
        </is>
      </c>
      <c r="X62" t="n">
        <v>0</v>
      </c>
      <c r="Y62" t="n">
        <v>30</v>
      </c>
      <c r="Z62" t="inlineStr">
        <is>
          <t>USD</t>
        </is>
      </c>
      <c r="AA62" t="n">
        <v>47.6</v>
      </c>
      <c r="AB62" t="inlineStr">
        <is>
          <t>USD</t>
        </is>
      </c>
      <c r="AC62" t="n">
        <v>0</v>
      </c>
      <c r="AD62" t="inlineStr">
        <is>
          <t>USD</t>
        </is>
      </c>
      <c r="AE62" t="n">
        <v>0</v>
      </c>
      <c r="AF62" t="inlineStr">
        <is>
          <t>USD</t>
        </is>
      </c>
      <c r="AG62" t="n">
        <v>47.6</v>
      </c>
      <c r="AH62" t="inlineStr">
        <is>
          <t>AUD</t>
        </is>
      </c>
      <c r="AI62" t="n">
        <v>71.40000000000001</v>
      </c>
      <c r="AJ62" s="5" t="inlineStr">
        <is>
          <t>01a1212c-bb8b-7150-9e60-5ac2cf115a26</t>
        </is>
      </c>
    </row>
    <row r="63">
      <c r="A63" s="5" t="inlineStr">
        <is>
          <t>01a1212c-bb8e-7777-8d95-8770aa2d2a9f</t>
        </is>
      </c>
      <c r="B63" t="inlineStr">
        <is>
          <t>2021-09-21_CBA.AX</t>
        </is>
      </c>
      <c r="C63" s="5" t="inlineStr">
        <is>
          <t>01a1212c-4b57-70cf-80fd-c2192cb3bf81</t>
        </is>
      </c>
      <c r="D63" s="4" t="n">
        <v>46304.62433054762</v>
      </c>
      <c r="E63" s="4" t="n">
        <v>46304.62433054768</v>
      </c>
      <c r="F63" t="b">
        <v>1</v>
      </c>
      <c r="G63" t="n">
        <v/>
      </c>
      <c r="H63" t="inlineStr">
        <is>
          <t>2021-09-21 | Dividend | CBA</t>
        </is>
      </c>
      <c r="I63" t="inlineStr">
        <is>
          <t>CBA</t>
        </is>
      </c>
      <c r="J63" s="6" t="n">
        <v>44460</v>
      </c>
      <c r="K63" t="n">
        <v>31</v>
      </c>
      <c r="L63" t="inlineStr"/>
      <c r="M63" t="inlineStr">
        <is>
          <t>FY2021/22</t>
        </is>
      </c>
      <c r="N63" t="inlineStr">
        <is>
          <t>LOCAL</t>
        </is>
      </c>
      <c r="O63" t="inlineStr">
        <is>
          <t>AUD</t>
        </is>
      </c>
      <c r="P63" t="n">
        <v>0</v>
      </c>
      <c r="Q63" t="inlineStr">
        <is>
          <t>AUD</t>
        </is>
      </c>
      <c r="R63" t="n">
        <v>2</v>
      </c>
      <c r="S63" t="inlineStr">
        <is>
          <t>AUD</t>
        </is>
      </c>
      <c r="T63" t="n">
        <v>0</v>
      </c>
      <c r="U63" t="inlineStr">
        <is>
          <t>AUD</t>
        </is>
      </c>
      <c r="V63" t="n">
        <v>0</v>
      </c>
      <c r="W63" t="inlineStr">
        <is>
          <t>AUD</t>
        </is>
      </c>
      <c r="X63" t="n">
        <v>0</v>
      </c>
      <c r="Y63" t="n">
        <v>30</v>
      </c>
      <c r="Z63" t="inlineStr">
        <is>
          <t>AUD</t>
        </is>
      </c>
      <c r="AA63" t="n">
        <v>0</v>
      </c>
      <c r="AB63" t="inlineStr">
        <is>
          <t>AUD</t>
        </is>
      </c>
      <c r="AC63" t="n">
        <v>62</v>
      </c>
      <c r="AD63" t="inlineStr">
        <is>
          <t>AUD</t>
        </is>
      </c>
      <c r="AE63" t="n">
        <v>26.571429</v>
      </c>
      <c r="AF63" t="inlineStr">
        <is>
          <t>AUD</t>
        </is>
      </c>
      <c r="AG63" t="n">
        <v>62</v>
      </c>
      <c r="AH63" t="inlineStr">
        <is>
          <t>AUD</t>
        </is>
      </c>
      <c r="AI63" t="n">
        <v>62</v>
      </c>
      <c r="AJ63" t="n">
        <v/>
      </c>
    </row>
    <row r="64">
      <c r="A64" s="5" t="inlineStr">
        <is>
          <t>01a1212c-bb92-7612-8077-1a99711d62ea</t>
        </is>
      </c>
      <c r="B64" t="inlineStr">
        <is>
          <t>2021-09-23_BHP.AX</t>
        </is>
      </c>
      <c r="C64" s="5" t="inlineStr">
        <is>
          <t>01a1212c-4b57-70cf-80fd-c2192cb3bf81</t>
        </is>
      </c>
      <c r="D64" s="4" t="n">
        <v>46304.62433058351</v>
      </c>
      <c r="E64" s="4" t="n">
        <v>46304.62433058357</v>
      </c>
      <c r="F64" t="b">
        <v>1</v>
      </c>
      <c r="G64" t="n">
        <v/>
      </c>
      <c r="H64" t="inlineStr">
        <is>
          <t>2021-09-23 | Dividend | BHP</t>
        </is>
      </c>
      <c r="I64" t="inlineStr">
        <is>
          <t>BHP</t>
        </is>
      </c>
      <c r="J64" s="6" t="n">
        <v>44462</v>
      </c>
      <c r="K64" t="n">
        <v>95</v>
      </c>
      <c r="L64" t="inlineStr"/>
      <c r="M64" t="inlineStr">
        <is>
          <t>FY2021/22</t>
        </is>
      </c>
      <c r="N64" t="inlineStr">
        <is>
          <t>LOCAL</t>
        </is>
      </c>
      <c r="O64" t="inlineStr">
        <is>
          <t>AUD</t>
        </is>
      </c>
      <c r="P64" t="n">
        <v>0</v>
      </c>
      <c r="Q64" t="inlineStr">
        <is>
          <t>AUD</t>
        </is>
      </c>
      <c r="R64" t="n">
        <v>2.71527</v>
      </c>
      <c r="S64" t="inlineStr">
        <is>
          <t>AUD</t>
        </is>
      </c>
      <c r="T64" t="n">
        <v>0</v>
      </c>
      <c r="U64" t="inlineStr">
        <is>
          <t>AUD</t>
        </is>
      </c>
      <c r="V64" t="n">
        <v>0</v>
      </c>
      <c r="W64" t="inlineStr">
        <is>
          <t>AUD</t>
        </is>
      </c>
      <c r="X64" t="n">
        <v>0</v>
      </c>
      <c r="Y64" t="n">
        <v>30</v>
      </c>
      <c r="Z64" t="inlineStr">
        <is>
          <t>AUD</t>
        </is>
      </c>
      <c r="AA64" t="n">
        <v>0</v>
      </c>
      <c r="AB64" t="inlineStr">
        <is>
          <t>AUD</t>
        </is>
      </c>
      <c r="AC64" t="n">
        <v>257.95065</v>
      </c>
      <c r="AD64" t="inlineStr">
        <is>
          <t>AUD</t>
        </is>
      </c>
      <c r="AE64" t="n">
        <v>110.550279</v>
      </c>
      <c r="AF64" t="inlineStr">
        <is>
          <t>AUD</t>
        </is>
      </c>
      <c r="AG64" t="n">
        <v>257.95065</v>
      </c>
      <c r="AH64" t="inlineStr">
        <is>
          <t>AUD</t>
        </is>
      </c>
      <c r="AI64" t="n">
        <v>257.95065</v>
      </c>
      <c r="AJ64" t="n">
        <v/>
      </c>
    </row>
    <row r="65">
      <c r="A65" s="5" t="inlineStr">
        <is>
          <t>01a1212c-bb94-7342-bfbf-3ff64f5fc108</t>
        </is>
      </c>
      <c r="B65" t="inlineStr">
        <is>
          <t>2021-09-25_WES.AX</t>
        </is>
      </c>
      <c r="C65" s="5" t="inlineStr">
        <is>
          <t>01a1212c-4b57-70cf-80fd-c2192cb3bf81</t>
        </is>
      </c>
      <c r="D65" s="4" t="n">
        <v>46304.62433061576</v>
      </c>
      <c r="E65" s="4" t="n">
        <v>46304.62433061584</v>
      </c>
      <c r="F65" t="b">
        <v>1</v>
      </c>
      <c r="G65" t="n">
        <v/>
      </c>
      <c r="H65" t="inlineStr">
        <is>
          <t>2021-09-25 | Dividend | WES</t>
        </is>
      </c>
      <c r="I65" t="inlineStr">
        <is>
          <t>WES</t>
        </is>
      </c>
      <c r="J65" s="6" t="n">
        <v>44464</v>
      </c>
      <c r="K65" t="n">
        <v>65</v>
      </c>
      <c r="L65" t="inlineStr"/>
      <c r="M65" t="inlineStr">
        <is>
          <t>FY2021/22</t>
        </is>
      </c>
      <c r="N65" t="inlineStr">
        <is>
          <t>LOCAL</t>
        </is>
      </c>
      <c r="O65" t="inlineStr">
        <is>
          <t>AUD</t>
        </is>
      </c>
      <c r="P65" t="n">
        <v>0</v>
      </c>
      <c r="Q65" t="inlineStr">
        <is>
          <t>AUD</t>
        </is>
      </c>
      <c r="R65" t="n">
        <v>0.9</v>
      </c>
      <c r="S65" t="inlineStr">
        <is>
          <t>AUD</t>
        </is>
      </c>
      <c r="T65" t="n">
        <v>0</v>
      </c>
      <c r="U65" t="inlineStr">
        <is>
          <t>AUD</t>
        </is>
      </c>
      <c r="V65" t="n">
        <v>0</v>
      </c>
      <c r="W65" t="inlineStr">
        <is>
          <t>AUD</t>
        </is>
      </c>
      <c r="X65" t="n">
        <v>0</v>
      </c>
      <c r="Y65" t="n">
        <v>30</v>
      </c>
      <c r="Z65" t="inlineStr">
        <is>
          <t>AUD</t>
        </is>
      </c>
      <c r="AA65" t="n">
        <v>0</v>
      </c>
      <c r="AB65" t="inlineStr">
        <is>
          <t>AUD</t>
        </is>
      </c>
      <c r="AC65" t="n">
        <v>58.5</v>
      </c>
      <c r="AD65" t="inlineStr">
        <is>
          <t>AUD</t>
        </is>
      </c>
      <c r="AE65" t="n">
        <v>25.071429</v>
      </c>
      <c r="AF65" t="inlineStr">
        <is>
          <t>AUD</t>
        </is>
      </c>
      <c r="AG65" t="n">
        <v>58.5</v>
      </c>
      <c r="AH65" t="inlineStr">
        <is>
          <t>AUD</t>
        </is>
      </c>
      <c r="AI65" t="n">
        <v>58.5</v>
      </c>
      <c r="AJ65" t="n">
        <v/>
      </c>
    </row>
    <row r="66">
      <c r="A66" s="5" t="inlineStr">
        <is>
          <t>01a1212c-bb97-773e-b435-3678291031c2</t>
        </is>
      </c>
      <c r="B66" t="inlineStr">
        <is>
          <t>2021-11-08_AAPL</t>
        </is>
      </c>
      <c r="C66" s="5" t="inlineStr">
        <is>
          <t>01a1212c-4b57-70cf-80fd-c2192cb3bf81</t>
        </is>
      </c>
      <c r="D66" s="4" t="n">
        <v>46304.62433066098</v>
      </c>
      <c r="E66" s="4" t="n">
        <v>46304.62433066103</v>
      </c>
      <c r="F66" t="b">
        <v>1</v>
      </c>
      <c r="G66" t="n">
        <v/>
      </c>
      <c r="H66" t="inlineStr">
        <is>
          <t>2021-11-08 | Dividend | AAPL</t>
        </is>
      </c>
      <c r="I66" t="inlineStr">
        <is>
          <t>AAPL</t>
        </is>
      </c>
      <c r="J66" s="6" t="n">
        <v>44508</v>
      </c>
      <c r="K66" t="n">
        <v>122</v>
      </c>
      <c r="L66" t="inlineStr"/>
      <c r="M66" t="inlineStr">
        <is>
          <t>FY2021/22</t>
        </is>
      </c>
      <c r="N66" t="inlineStr">
        <is>
          <t>FOREIGN</t>
        </is>
      </c>
      <c r="O66" t="inlineStr">
        <is>
          <t>USD</t>
        </is>
      </c>
      <c r="P66" t="n">
        <v>0.22</v>
      </c>
      <c r="Q66" t="inlineStr">
        <is>
          <t>USD</t>
        </is>
      </c>
      <c r="R66" t="n">
        <v>0</v>
      </c>
      <c r="S66" t="inlineStr">
        <is>
          <t>USD</t>
        </is>
      </c>
      <c r="T66" t="n">
        <v>0</v>
      </c>
      <c r="U66" t="inlineStr">
        <is>
          <t>USD</t>
        </is>
      </c>
      <c r="V66" t="n">
        <v>4.03</v>
      </c>
      <c r="W66" t="inlineStr">
        <is>
          <t>USD</t>
        </is>
      </c>
      <c r="X66" t="n">
        <v>0</v>
      </c>
      <c r="Y66" t="n">
        <v>30</v>
      </c>
      <c r="Z66" t="inlineStr">
        <is>
          <t>USD</t>
        </is>
      </c>
      <c r="AA66" t="n">
        <v>26.84</v>
      </c>
      <c r="AB66" t="inlineStr">
        <is>
          <t>USD</t>
        </is>
      </c>
      <c r="AC66" t="n">
        <v>0</v>
      </c>
      <c r="AD66" t="inlineStr">
        <is>
          <t>USD</t>
        </is>
      </c>
      <c r="AE66" t="n">
        <v>0</v>
      </c>
      <c r="AF66" t="inlineStr">
        <is>
          <t>USD</t>
        </is>
      </c>
      <c r="AG66" t="n">
        <v>26.84</v>
      </c>
      <c r="AH66" t="inlineStr">
        <is>
          <t>AUD</t>
        </is>
      </c>
      <c r="AI66" t="n">
        <v>40.26</v>
      </c>
      <c r="AJ66" s="5" t="inlineStr">
        <is>
          <t>01a1212c-bb98-72d9-8d1c-a91877122839</t>
        </is>
      </c>
    </row>
    <row r="67">
      <c r="A67" s="5" t="inlineStr">
        <is>
          <t>01a1212c-bb9b-774e-b93c-c500184ce9db</t>
        </is>
      </c>
      <c r="B67" t="inlineStr">
        <is>
          <t>2021-12-08_MSFT</t>
        </is>
      </c>
      <c r="C67" s="5" t="inlineStr">
        <is>
          <t>01a1212c-4b57-70cf-80fd-c2192cb3bf81</t>
        </is>
      </c>
      <c r="D67" s="4" t="n">
        <v>46304.62433070673</v>
      </c>
      <c r="E67" s="4" t="n">
        <v>46304.62433070681</v>
      </c>
      <c r="F67" t="b">
        <v>1</v>
      </c>
      <c r="G67" t="n">
        <v/>
      </c>
      <c r="H67" t="inlineStr">
        <is>
          <t>2021-12-08 | Dividend | MSFT</t>
        </is>
      </c>
      <c r="I67" t="inlineStr">
        <is>
          <t>MSFT</t>
        </is>
      </c>
      <c r="J67" s="6" t="n">
        <v>44538</v>
      </c>
      <c r="K67" t="n">
        <v>88</v>
      </c>
      <c r="L67" t="inlineStr"/>
      <c r="M67" t="inlineStr">
        <is>
          <t>FY2021/22</t>
        </is>
      </c>
      <c r="N67" t="inlineStr">
        <is>
          <t>FOREIGN</t>
        </is>
      </c>
      <c r="O67" t="inlineStr">
        <is>
          <t>USD</t>
        </is>
      </c>
      <c r="P67" t="n">
        <v>0.62</v>
      </c>
      <c r="Q67" t="inlineStr">
        <is>
          <t>USD</t>
        </is>
      </c>
      <c r="R67" t="n">
        <v>0</v>
      </c>
      <c r="S67" t="inlineStr">
        <is>
          <t>USD</t>
        </is>
      </c>
      <c r="T67" t="n">
        <v>0</v>
      </c>
      <c r="U67" t="inlineStr">
        <is>
          <t>USD</t>
        </is>
      </c>
      <c r="V67" t="n">
        <v>8.18</v>
      </c>
      <c r="W67" t="inlineStr">
        <is>
          <t>USD</t>
        </is>
      </c>
      <c r="X67" t="n">
        <v>0</v>
      </c>
      <c r="Y67" t="n">
        <v>30</v>
      </c>
      <c r="Z67" t="inlineStr">
        <is>
          <t>USD</t>
        </is>
      </c>
      <c r="AA67" t="n">
        <v>54.56</v>
      </c>
      <c r="AB67" t="inlineStr">
        <is>
          <t>USD</t>
        </is>
      </c>
      <c r="AC67" t="n">
        <v>0</v>
      </c>
      <c r="AD67" t="inlineStr">
        <is>
          <t>USD</t>
        </is>
      </c>
      <c r="AE67" t="n">
        <v>0</v>
      </c>
      <c r="AF67" t="inlineStr">
        <is>
          <t>USD</t>
        </is>
      </c>
      <c r="AG67" t="n">
        <v>54.56</v>
      </c>
      <c r="AH67" t="inlineStr">
        <is>
          <t>AUD</t>
        </is>
      </c>
      <c r="AI67" t="n">
        <v>81.84</v>
      </c>
      <c r="AJ67" s="5" t="inlineStr">
        <is>
          <t>01a1212c-bb9c-764e-adb3-f0bd79f25611</t>
        </is>
      </c>
    </row>
    <row r="68">
      <c r="A68" s="5" t="inlineStr">
        <is>
          <t>01a1212c-bb9f-70fe-874d-efc90f260700</t>
        </is>
      </c>
      <c r="B68" t="inlineStr">
        <is>
          <t>2021-12-12_WES.AX</t>
        </is>
      </c>
      <c r="C68" s="5" t="inlineStr">
        <is>
          <t>01a1212c-4b57-70cf-80fd-c2192cb3bf81</t>
        </is>
      </c>
      <c r="D68" s="4" t="n">
        <v>46304.62433073777</v>
      </c>
      <c r="E68" s="4" t="n">
        <v>46304.62433073784</v>
      </c>
      <c r="F68" t="b">
        <v>1</v>
      </c>
      <c r="G68" t="n">
        <v/>
      </c>
      <c r="H68" t="inlineStr">
        <is>
          <t>2021-12-12 | Dividend | WES</t>
        </is>
      </c>
      <c r="I68" t="inlineStr">
        <is>
          <t>WES</t>
        </is>
      </c>
      <c r="J68" s="6" t="n">
        <v>44542</v>
      </c>
      <c r="K68" t="n">
        <v>65</v>
      </c>
      <c r="L68" t="inlineStr"/>
      <c r="M68" t="inlineStr">
        <is>
          <t>FY2021/22</t>
        </is>
      </c>
      <c r="N68" t="inlineStr">
        <is>
          <t>LOCAL</t>
        </is>
      </c>
      <c r="O68" t="inlineStr">
        <is>
          <t>AUD</t>
        </is>
      </c>
      <c r="P68" t="n">
        <v>0</v>
      </c>
      <c r="Q68" t="inlineStr">
        <is>
          <t>AUD</t>
        </is>
      </c>
      <c r="R68" t="n">
        <v>2</v>
      </c>
      <c r="S68" t="inlineStr">
        <is>
          <t>AUD</t>
        </is>
      </c>
      <c r="T68" t="n">
        <v>0</v>
      </c>
      <c r="U68" t="inlineStr">
        <is>
          <t>AUD</t>
        </is>
      </c>
      <c r="V68" t="n">
        <v>0</v>
      </c>
      <c r="W68" t="inlineStr">
        <is>
          <t>AUD</t>
        </is>
      </c>
      <c r="X68" t="n">
        <v>0</v>
      </c>
      <c r="Y68" t="n">
        <v>30</v>
      </c>
      <c r="Z68" t="inlineStr">
        <is>
          <t>AUD</t>
        </is>
      </c>
      <c r="AA68" t="n">
        <v>0</v>
      </c>
      <c r="AB68" t="inlineStr">
        <is>
          <t>AUD</t>
        </is>
      </c>
      <c r="AC68" t="n">
        <v>130</v>
      </c>
      <c r="AD68" t="inlineStr">
        <is>
          <t>AUD</t>
        </is>
      </c>
      <c r="AE68" t="n">
        <v>55.714286</v>
      </c>
      <c r="AF68" t="inlineStr">
        <is>
          <t>AUD</t>
        </is>
      </c>
      <c r="AG68" t="n">
        <v>130</v>
      </c>
      <c r="AH68" t="inlineStr">
        <is>
          <t>AUD</t>
        </is>
      </c>
      <c r="AI68" t="n">
        <v>130</v>
      </c>
      <c r="AJ68" t="n">
        <v/>
      </c>
    </row>
    <row r="69">
      <c r="A69" s="5" t="inlineStr">
        <is>
          <t>01a1212c-bba2-74d1-a758-bfdb63b1e722</t>
        </is>
      </c>
      <c r="B69" t="inlineStr">
        <is>
          <t>2022-02-07_AAPL</t>
        </is>
      </c>
      <c r="C69" s="5" t="inlineStr">
        <is>
          <t>01a1212c-4b57-70cf-80fd-c2192cb3bf81</t>
        </is>
      </c>
      <c r="D69" s="4" t="n">
        <v>46304.62433078804</v>
      </c>
      <c r="E69" s="4" t="n">
        <v>46304.62433078812</v>
      </c>
      <c r="F69" t="b">
        <v>1</v>
      </c>
      <c r="G69" t="n">
        <v/>
      </c>
      <c r="H69" t="inlineStr">
        <is>
          <t>2022-02-07 | Dividend | AAPL</t>
        </is>
      </c>
      <c r="I69" t="inlineStr">
        <is>
          <t>AAPL</t>
        </is>
      </c>
      <c r="J69" s="6" t="n">
        <v>44599</v>
      </c>
      <c r="K69" t="n">
        <v>134</v>
      </c>
      <c r="L69" t="inlineStr"/>
      <c r="M69" t="inlineStr">
        <is>
          <t>FY2021/22</t>
        </is>
      </c>
      <c r="N69" t="inlineStr">
        <is>
          <t>FOREIGN</t>
        </is>
      </c>
      <c r="O69" t="inlineStr">
        <is>
          <t>USD</t>
        </is>
      </c>
      <c r="P69" t="n">
        <v>0.22</v>
      </c>
      <c r="Q69" t="inlineStr">
        <is>
          <t>USD</t>
        </is>
      </c>
      <c r="R69" t="n">
        <v>0</v>
      </c>
      <c r="S69" t="inlineStr">
        <is>
          <t>USD</t>
        </is>
      </c>
      <c r="T69" t="n">
        <v>0</v>
      </c>
      <c r="U69" t="inlineStr">
        <is>
          <t>USD</t>
        </is>
      </c>
      <c r="V69" t="n">
        <v>4.42</v>
      </c>
      <c r="W69" t="inlineStr">
        <is>
          <t>USD</t>
        </is>
      </c>
      <c r="X69" t="n">
        <v>0</v>
      </c>
      <c r="Y69" t="n">
        <v>30</v>
      </c>
      <c r="Z69" t="inlineStr">
        <is>
          <t>USD</t>
        </is>
      </c>
      <c r="AA69" t="n">
        <v>29.48</v>
      </c>
      <c r="AB69" t="inlineStr">
        <is>
          <t>USD</t>
        </is>
      </c>
      <c r="AC69" t="n">
        <v>0</v>
      </c>
      <c r="AD69" t="inlineStr">
        <is>
          <t>USD</t>
        </is>
      </c>
      <c r="AE69" t="n">
        <v>0</v>
      </c>
      <c r="AF69" t="inlineStr">
        <is>
          <t>USD</t>
        </is>
      </c>
      <c r="AG69" t="n">
        <v>29.48</v>
      </c>
      <c r="AH69" t="inlineStr">
        <is>
          <t>AUD</t>
        </is>
      </c>
      <c r="AI69" t="n">
        <v>44.22</v>
      </c>
      <c r="AJ69" s="5" t="inlineStr">
        <is>
          <t>01a1212c-bba3-7730-a829-ae99ab14a830</t>
        </is>
      </c>
    </row>
    <row r="70">
      <c r="A70" s="5" t="inlineStr">
        <is>
          <t>01a1212c-bba6-7179-a105-e7f54c69896c</t>
        </is>
      </c>
      <c r="B70" t="inlineStr">
        <is>
          <t>2022-03-09_MSFT</t>
        </is>
      </c>
      <c r="C70" s="5" t="inlineStr">
        <is>
          <t>01a1212c-4b57-70cf-80fd-c2192cb3bf81</t>
        </is>
      </c>
      <c r="D70" s="4" t="n">
        <v>46304.62433083365</v>
      </c>
      <c r="E70" s="4" t="n">
        <v>46304.62433083371</v>
      </c>
      <c r="F70" t="b">
        <v>1</v>
      </c>
      <c r="G70" t="n">
        <v/>
      </c>
      <c r="H70" t="inlineStr">
        <is>
          <t>2022-03-09 | Dividend | MSFT</t>
        </is>
      </c>
      <c r="I70" t="inlineStr">
        <is>
          <t>MSFT</t>
        </is>
      </c>
      <c r="J70" s="6" t="n">
        <v>44629</v>
      </c>
      <c r="K70" t="n">
        <v>90</v>
      </c>
      <c r="L70" t="inlineStr"/>
      <c r="M70" t="inlineStr">
        <is>
          <t>FY2021/22</t>
        </is>
      </c>
      <c r="N70" t="inlineStr">
        <is>
          <t>FOREIGN</t>
        </is>
      </c>
      <c r="O70" t="inlineStr">
        <is>
          <t>USD</t>
        </is>
      </c>
      <c r="P70" t="n">
        <v>0.62</v>
      </c>
      <c r="Q70" t="inlineStr">
        <is>
          <t>USD</t>
        </is>
      </c>
      <c r="R70" t="n">
        <v>0</v>
      </c>
      <c r="S70" t="inlineStr">
        <is>
          <t>USD</t>
        </is>
      </c>
      <c r="T70" t="n">
        <v>0</v>
      </c>
      <c r="U70" t="inlineStr">
        <is>
          <t>USD</t>
        </is>
      </c>
      <c r="V70" t="n">
        <v>8.369999999999999</v>
      </c>
      <c r="W70" t="inlineStr">
        <is>
          <t>USD</t>
        </is>
      </c>
      <c r="X70" t="n">
        <v>0</v>
      </c>
      <c r="Y70" t="n">
        <v>30</v>
      </c>
      <c r="Z70" t="inlineStr">
        <is>
          <t>USD</t>
        </is>
      </c>
      <c r="AA70" t="n">
        <v>55.8</v>
      </c>
      <c r="AB70" t="inlineStr">
        <is>
          <t>USD</t>
        </is>
      </c>
      <c r="AC70" t="n">
        <v>0</v>
      </c>
      <c r="AD70" t="inlineStr">
        <is>
          <t>USD</t>
        </is>
      </c>
      <c r="AE70" t="n">
        <v>0</v>
      </c>
      <c r="AF70" t="inlineStr">
        <is>
          <t>USD</t>
        </is>
      </c>
      <c r="AG70" t="n">
        <v>55.8</v>
      </c>
      <c r="AH70" t="inlineStr">
        <is>
          <t>AUD</t>
        </is>
      </c>
      <c r="AI70" t="n">
        <v>83.7</v>
      </c>
      <c r="AJ70" s="5" t="inlineStr">
        <is>
          <t>01a1212c-bba7-7067-a4d4-bfe30ea42c64</t>
        </is>
      </c>
    </row>
    <row r="71">
      <c r="A71" s="5" t="inlineStr">
        <is>
          <t>01a1212c-bbaa-7750-8cdb-4b1c6adf547d</t>
        </is>
      </c>
      <c r="B71" t="inlineStr">
        <is>
          <t>2022-03-17_BHP.AX</t>
        </is>
      </c>
      <c r="C71" s="5" t="inlineStr">
        <is>
          <t>01a1212c-4b57-70cf-80fd-c2192cb3bf81</t>
        </is>
      </c>
      <c r="D71" s="4" t="n">
        <v>46304.62433086484</v>
      </c>
      <c r="E71" s="4" t="n">
        <v>46304.62433086491</v>
      </c>
      <c r="F71" t="b">
        <v>1</v>
      </c>
      <c r="G71" t="n">
        <v/>
      </c>
      <c r="H71" t="inlineStr">
        <is>
          <t>2022-03-17 | Dividend | BHP</t>
        </is>
      </c>
      <c r="I71" t="inlineStr">
        <is>
          <t>BHP</t>
        </is>
      </c>
      <c r="J71" s="6" t="n">
        <v>44637</v>
      </c>
      <c r="K71" t="n">
        <v>121</v>
      </c>
      <c r="L71" t="inlineStr"/>
      <c r="M71" t="inlineStr">
        <is>
          <t>FY2021/22</t>
        </is>
      </c>
      <c r="N71" t="inlineStr">
        <is>
          <t>LOCAL</t>
        </is>
      </c>
      <c r="O71" t="inlineStr">
        <is>
          <t>AUD</t>
        </is>
      </c>
      <c r="P71" t="n">
        <v>0</v>
      </c>
      <c r="Q71" t="inlineStr">
        <is>
          <t>AUD</t>
        </is>
      </c>
      <c r="R71" t="n">
        <v>2.080559</v>
      </c>
      <c r="S71" t="inlineStr">
        <is>
          <t>AUD</t>
        </is>
      </c>
      <c r="T71" t="n">
        <v>0</v>
      </c>
      <c r="U71" t="inlineStr">
        <is>
          <t>AUD</t>
        </is>
      </c>
      <c r="V71" t="n">
        <v>0</v>
      </c>
      <c r="W71" t="inlineStr">
        <is>
          <t>AUD</t>
        </is>
      </c>
      <c r="X71" t="n">
        <v>0</v>
      </c>
      <c r="Y71" t="n">
        <v>30</v>
      </c>
      <c r="Z71" t="inlineStr">
        <is>
          <t>AUD</t>
        </is>
      </c>
      <c r="AA71" t="n">
        <v>0</v>
      </c>
      <c r="AB71" t="inlineStr">
        <is>
          <t>AUD</t>
        </is>
      </c>
      <c r="AC71" t="n">
        <v>251.747639</v>
      </c>
      <c r="AD71" t="inlineStr">
        <is>
          <t>AUD</t>
        </is>
      </c>
      <c r="AE71" t="n">
        <v>107.891845</v>
      </c>
      <c r="AF71" t="inlineStr">
        <is>
          <t>AUD</t>
        </is>
      </c>
      <c r="AG71" t="n">
        <v>251.747639</v>
      </c>
      <c r="AH71" t="inlineStr">
        <is>
          <t>AUD</t>
        </is>
      </c>
      <c r="AI71" t="n">
        <v>251.747639</v>
      </c>
      <c r="AJ71" t="n">
        <v/>
      </c>
    </row>
    <row r="72">
      <c r="A72" s="5" t="inlineStr">
        <is>
          <t>01a1212c-bbad-7030-8d0f-77d9ec79979b</t>
        </is>
      </c>
      <c r="B72" t="inlineStr">
        <is>
          <t>2022-03-18_WES.AX</t>
        </is>
      </c>
      <c r="C72" s="5" t="inlineStr">
        <is>
          <t>01a1212c-4b57-70cf-80fd-c2192cb3bf81</t>
        </is>
      </c>
      <c r="D72" s="4" t="n">
        <v>46304.62433089578</v>
      </c>
      <c r="E72" s="4" t="n">
        <v>46304.62433089584</v>
      </c>
      <c r="F72" t="b">
        <v>1</v>
      </c>
      <c r="G72" t="n">
        <v/>
      </c>
      <c r="H72" t="inlineStr">
        <is>
          <t>2022-03-18 | Dividend | WES</t>
        </is>
      </c>
      <c r="I72" t="inlineStr">
        <is>
          <t>WES</t>
        </is>
      </c>
      <c r="J72" s="6" t="n">
        <v>44638</v>
      </c>
      <c r="K72" t="n">
        <v>65</v>
      </c>
      <c r="L72" t="inlineStr"/>
      <c r="M72" t="inlineStr">
        <is>
          <t>FY2021/22</t>
        </is>
      </c>
      <c r="N72" t="inlineStr">
        <is>
          <t>LOCAL</t>
        </is>
      </c>
      <c r="O72" t="inlineStr">
        <is>
          <t>AUD</t>
        </is>
      </c>
      <c r="P72" t="n">
        <v>0</v>
      </c>
      <c r="Q72" t="inlineStr">
        <is>
          <t>AUD</t>
        </is>
      </c>
      <c r="R72" t="n">
        <v>0.8</v>
      </c>
      <c r="S72" t="inlineStr">
        <is>
          <t>AUD</t>
        </is>
      </c>
      <c r="T72" t="n">
        <v>0</v>
      </c>
      <c r="U72" t="inlineStr">
        <is>
          <t>AUD</t>
        </is>
      </c>
      <c r="V72" t="n">
        <v>0</v>
      </c>
      <c r="W72" t="inlineStr">
        <is>
          <t>AUD</t>
        </is>
      </c>
      <c r="X72" t="n">
        <v>0</v>
      </c>
      <c r="Y72" t="n">
        <v>30</v>
      </c>
      <c r="Z72" t="inlineStr">
        <is>
          <t>AUD</t>
        </is>
      </c>
      <c r="AA72" t="n">
        <v>0</v>
      </c>
      <c r="AB72" t="inlineStr">
        <is>
          <t>AUD</t>
        </is>
      </c>
      <c r="AC72" t="n">
        <v>52</v>
      </c>
      <c r="AD72" t="inlineStr">
        <is>
          <t>AUD</t>
        </is>
      </c>
      <c r="AE72" t="n">
        <v>22.285714</v>
      </c>
      <c r="AF72" t="inlineStr">
        <is>
          <t>AUD</t>
        </is>
      </c>
      <c r="AG72" t="n">
        <v>52</v>
      </c>
      <c r="AH72" t="inlineStr">
        <is>
          <t>AUD</t>
        </is>
      </c>
      <c r="AI72" t="n">
        <v>52</v>
      </c>
      <c r="AJ72" t="n">
        <v/>
      </c>
    </row>
    <row r="73">
      <c r="A73" s="5" t="inlineStr">
        <is>
          <t>01a1212c-bbaf-7742-830a-9d04946892cf</t>
        </is>
      </c>
      <c r="B73" t="inlineStr">
        <is>
          <t>2022-03-23_CBA.AX</t>
        </is>
      </c>
      <c r="C73" s="5" t="inlineStr">
        <is>
          <t>01a1212c-4b57-70cf-80fd-c2192cb3bf81</t>
        </is>
      </c>
      <c r="D73" s="4" t="n">
        <v>46304.62433092658</v>
      </c>
      <c r="E73" s="4" t="n">
        <v>46304.62433092666</v>
      </c>
      <c r="F73" t="b">
        <v>1</v>
      </c>
      <c r="G73" t="n">
        <v/>
      </c>
      <c r="H73" t="inlineStr">
        <is>
          <t>2022-03-23 | Dividend | CBA</t>
        </is>
      </c>
      <c r="I73" t="inlineStr">
        <is>
          <t>CBA</t>
        </is>
      </c>
      <c r="J73" s="6" t="n">
        <v>44643</v>
      </c>
      <c r="K73" t="n">
        <v>31</v>
      </c>
      <c r="L73" t="inlineStr"/>
      <c r="M73" t="inlineStr">
        <is>
          <t>FY2021/22</t>
        </is>
      </c>
      <c r="N73" t="inlineStr">
        <is>
          <t>LOCAL</t>
        </is>
      </c>
      <c r="O73" t="inlineStr">
        <is>
          <t>AUD</t>
        </is>
      </c>
      <c r="P73" t="n">
        <v>0</v>
      </c>
      <c r="Q73" t="inlineStr">
        <is>
          <t>AUD</t>
        </is>
      </c>
      <c r="R73" t="n">
        <v>1.75</v>
      </c>
      <c r="S73" t="inlineStr">
        <is>
          <t>AUD</t>
        </is>
      </c>
      <c r="T73" t="n">
        <v>0</v>
      </c>
      <c r="U73" t="inlineStr">
        <is>
          <t>AUD</t>
        </is>
      </c>
      <c r="V73" t="n">
        <v>0</v>
      </c>
      <c r="W73" t="inlineStr">
        <is>
          <t>AUD</t>
        </is>
      </c>
      <c r="X73" t="n">
        <v>0</v>
      </c>
      <c r="Y73" t="n">
        <v>30</v>
      </c>
      <c r="Z73" t="inlineStr">
        <is>
          <t>AUD</t>
        </is>
      </c>
      <c r="AA73" t="n">
        <v>0</v>
      </c>
      <c r="AB73" t="inlineStr">
        <is>
          <t>AUD</t>
        </is>
      </c>
      <c r="AC73" t="n">
        <v>54.25</v>
      </c>
      <c r="AD73" t="inlineStr">
        <is>
          <t>AUD</t>
        </is>
      </c>
      <c r="AE73" t="n">
        <v>23.25</v>
      </c>
      <c r="AF73" t="inlineStr">
        <is>
          <t>AUD</t>
        </is>
      </c>
      <c r="AG73" t="n">
        <v>54.25</v>
      </c>
      <c r="AH73" t="inlineStr">
        <is>
          <t>AUD</t>
        </is>
      </c>
      <c r="AI73" t="n">
        <v>54.25</v>
      </c>
      <c r="AJ73" t="n">
        <v/>
      </c>
    </row>
    <row r="74">
      <c r="A74" s="5" t="inlineStr">
        <is>
          <t>01a1212c-bbb2-74cb-a72c-29858d3f6b18</t>
        </is>
      </c>
      <c r="B74" t="inlineStr">
        <is>
          <t>2022-05-09_AAPL</t>
        </is>
      </c>
      <c r="C74" s="5" t="inlineStr">
        <is>
          <t>01a1212c-4b57-70cf-80fd-c2192cb3bf81</t>
        </is>
      </c>
      <c r="D74" s="4" t="n">
        <v>46304.62433097264</v>
      </c>
      <c r="E74" s="4" t="n">
        <v>46304.6243309727</v>
      </c>
      <c r="F74" t="b">
        <v>1</v>
      </c>
      <c r="G74" t="n">
        <v/>
      </c>
      <c r="H74" t="inlineStr">
        <is>
          <t>2022-05-09 | Dividend | AAPL</t>
        </is>
      </c>
      <c r="I74" t="inlineStr">
        <is>
          <t>AAPL</t>
        </is>
      </c>
      <c r="J74" s="6" t="n">
        <v>44690</v>
      </c>
      <c r="K74" t="n">
        <v>140</v>
      </c>
      <c r="L74" t="inlineStr"/>
      <c r="M74" t="inlineStr">
        <is>
          <t>FY2021/22</t>
        </is>
      </c>
      <c r="N74" t="inlineStr">
        <is>
          <t>FOREIGN</t>
        </is>
      </c>
      <c r="O74" t="inlineStr">
        <is>
          <t>USD</t>
        </is>
      </c>
      <c r="P74" t="n">
        <v>0.23</v>
      </c>
      <c r="Q74" t="inlineStr">
        <is>
          <t>USD</t>
        </is>
      </c>
      <c r="R74" t="n">
        <v>0</v>
      </c>
      <c r="S74" t="inlineStr">
        <is>
          <t>USD</t>
        </is>
      </c>
      <c r="T74" t="n">
        <v>0</v>
      </c>
      <c r="U74" t="inlineStr">
        <is>
          <t>USD</t>
        </is>
      </c>
      <c r="V74" t="n">
        <v>4.83</v>
      </c>
      <c r="W74" t="inlineStr">
        <is>
          <t>USD</t>
        </is>
      </c>
      <c r="X74" t="n">
        <v>0</v>
      </c>
      <c r="Y74" t="n">
        <v>30</v>
      </c>
      <c r="Z74" t="inlineStr">
        <is>
          <t>USD</t>
        </is>
      </c>
      <c r="AA74" t="n">
        <v>32.2</v>
      </c>
      <c r="AB74" t="inlineStr">
        <is>
          <t>USD</t>
        </is>
      </c>
      <c r="AC74" t="n">
        <v>0</v>
      </c>
      <c r="AD74" t="inlineStr">
        <is>
          <t>USD</t>
        </is>
      </c>
      <c r="AE74" t="n">
        <v>0</v>
      </c>
      <c r="AF74" t="inlineStr">
        <is>
          <t>USD</t>
        </is>
      </c>
      <c r="AG74" t="n">
        <v>32.2</v>
      </c>
      <c r="AH74" t="inlineStr">
        <is>
          <t>AUD</t>
        </is>
      </c>
      <c r="AI74" t="n">
        <v>48.3</v>
      </c>
      <c r="AJ74" s="5" t="inlineStr">
        <is>
          <t>01a1212c-bbb3-74d6-b1c4-e432acde8281</t>
        </is>
      </c>
    </row>
    <row r="75">
      <c r="A75" s="5" t="inlineStr">
        <is>
          <t>01a1212c-bbb6-738d-925e-92e3244ae070</t>
        </is>
      </c>
      <c r="B75" t="inlineStr">
        <is>
          <t>2022-06-08_MSFT</t>
        </is>
      </c>
      <c r="C75" s="5" t="inlineStr">
        <is>
          <t>01a1212c-4b57-70cf-80fd-c2192cb3bf81</t>
        </is>
      </c>
      <c r="D75" s="4" t="n">
        <v>46304.62433102041</v>
      </c>
      <c r="E75" s="4" t="n">
        <v>46304.62433102049</v>
      </c>
      <c r="F75" t="b">
        <v>1</v>
      </c>
      <c r="G75" t="n">
        <v/>
      </c>
      <c r="H75" t="inlineStr">
        <is>
          <t>2022-06-08 | Dividend | MSFT</t>
        </is>
      </c>
      <c r="I75" t="inlineStr">
        <is>
          <t>MSFT</t>
        </is>
      </c>
      <c r="J75" s="6" t="n">
        <v>44720</v>
      </c>
      <c r="K75" t="n">
        <v>90</v>
      </c>
      <c r="L75" t="inlineStr"/>
      <c r="M75" t="inlineStr">
        <is>
          <t>FY2021/22</t>
        </is>
      </c>
      <c r="N75" t="inlineStr">
        <is>
          <t>FOREIGN</t>
        </is>
      </c>
      <c r="O75" t="inlineStr">
        <is>
          <t>USD</t>
        </is>
      </c>
      <c r="P75" t="n">
        <v>0.62</v>
      </c>
      <c r="Q75" t="inlineStr">
        <is>
          <t>USD</t>
        </is>
      </c>
      <c r="R75" t="n">
        <v>0</v>
      </c>
      <c r="S75" t="inlineStr">
        <is>
          <t>USD</t>
        </is>
      </c>
      <c r="T75" t="n">
        <v>0</v>
      </c>
      <c r="U75" t="inlineStr">
        <is>
          <t>USD</t>
        </is>
      </c>
      <c r="V75" t="n">
        <v>8.369999999999999</v>
      </c>
      <c r="W75" t="inlineStr">
        <is>
          <t>USD</t>
        </is>
      </c>
      <c r="X75" t="n">
        <v>0</v>
      </c>
      <c r="Y75" t="n">
        <v>30</v>
      </c>
      <c r="Z75" t="inlineStr">
        <is>
          <t>USD</t>
        </is>
      </c>
      <c r="AA75" t="n">
        <v>55.8</v>
      </c>
      <c r="AB75" t="inlineStr">
        <is>
          <t>USD</t>
        </is>
      </c>
      <c r="AC75" t="n">
        <v>0</v>
      </c>
      <c r="AD75" t="inlineStr">
        <is>
          <t>USD</t>
        </is>
      </c>
      <c r="AE75" t="n">
        <v>0</v>
      </c>
      <c r="AF75" t="inlineStr">
        <is>
          <t>USD</t>
        </is>
      </c>
      <c r="AG75" t="n">
        <v>55.8</v>
      </c>
      <c r="AH75" t="inlineStr">
        <is>
          <t>AUD</t>
        </is>
      </c>
      <c r="AI75" t="n">
        <v>83.7</v>
      </c>
      <c r="AJ75" s="5" t="inlineStr">
        <is>
          <t>01a1212c-bbb7-70a8-8158-4c0c15b2cb74</t>
        </is>
      </c>
    </row>
    <row r="76">
      <c r="A76" s="5" t="inlineStr">
        <is>
          <t>01a1212c-bbba-711d-b1d5-0be5cdaf0c0c</t>
        </is>
      </c>
      <c r="B76" t="inlineStr">
        <is>
          <t>2022-08-08_AAPL</t>
        </is>
      </c>
      <c r="C76" s="5" t="inlineStr">
        <is>
          <t>01a1212c-4b57-70cf-80fd-c2192cb3bf81</t>
        </is>
      </c>
      <c r="D76" s="4" t="n">
        <v>46304.6243310655</v>
      </c>
      <c r="E76" s="4" t="n">
        <v>46304.62433106558</v>
      </c>
      <c r="F76" t="b">
        <v>1</v>
      </c>
      <c r="G76" t="n">
        <v/>
      </c>
      <c r="H76" t="inlineStr">
        <is>
          <t>2022-08-08 | Dividend | AAPL</t>
        </is>
      </c>
      <c r="I76" t="inlineStr">
        <is>
          <t>AAPL</t>
        </is>
      </c>
      <c r="J76" s="6" t="n">
        <v>44781</v>
      </c>
      <c r="K76" t="n">
        <v>146</v>
      </c>
      <c r="L76" t="inlineStr"/>
      <c r="M76" t="inlineStr">
        <is>
          <t>FY2022/23</t>
        </is>
      </c>
      <c r="N76" t="inlineStr">
        <is>
          <t>FOREIGN</t>
        </is>
      </c>
      <c r="O76" t="inlineStr">
        <is>
          <t>USD</t>
        </is>
      </c>
      <c r="P76" t="n">
        <v>0.23</v>
      </c>
      <c r="Q76" t="inlineStr">
        <is>
          <t>USD</t>
        </is>
      </c>
      <c r="R76" t="n">
        <v>0</v>
      </c>
      <c r="S76" t="inlineStr">
        <is>
          <t>USD</t>
        </is>
      </c>
      <c r="T76" t="n">
        <v>0</v>
      </c>
      <c r="U76" t="inlineStr">
        <is>
          <t>USD</t>
        </is>
      </c>
      <c r="V76" t="n">
        <v>5.04</v>
      </c>
      <c r="W76" t="inlineStr">
        <is>
          <t>USD</t>
        </is>
      </c>
      <c r="X76" t="n">
        <v>0</v>
      </c>
      <c r="Y76" t="n">
        <v>30</v>
      </c>
      <c r="Z76" t="inlineStr">
        <is>
          <t>USD</t>
        </is>
      </c>
      <c r="AA76" t="n">
        <v>33.58</v>
      </c>
      <c r="AB76" t="inlineStr">
        <is>
          <t>USD</t>
        </is>
      </c>
      <c r="AC76" t="n">
        <v>0</v>
      </c>
      <c r="AD76" t="inlineStr">
        <is>
          <t>USD</t>
        </is>
      </c>
      <c r="AE76" t="n">
        <v>0</v>
      </c>
      <c r="AF76" t="inlineStr">
        <is>
          <t>USD</t>
        </is>
      </c>
      <c r="AG76" t="n">
        <v>33.58</v>
      </c>
      <c r="AH76" t="inlineStr">
        <is>
          <t>AUD</t>
        </is>
      </c>
      <c r="AI76" t="n">
        <v>50.37</v>
      </c>
      <c r="AJ76" s="5" t="inlineStr">
        <is>
          <t>01a1212c-bbbb-7436-a9db-fd812af40f86</t>
        </is>
      </c>
    </row>
    <row r="77">
      <c r="A77" s="5" t="inlineStr">
        <is>
          <t>01a1212c-bbbe-74bb-8d9e-957664c1496f</t>
        </is>
      </c>
      <c r="B77" t="inlineStr">
        <is>
          <t>2022-09-07_MSFT</t>
        </is>
      </c>
      <c r="C77" s="5" t="inlineStr">
        <is>
          <t>01a1212c-4b57-70cf-80fd-c2192cb3bf81</t>
        </is>
      </c>
      <c r="D77" s="4" t="n">
        <v>46304.62433111478</v>
      </c>
      <c r="E77" s="4" t="n">
        <v>46304.62433111485</v>
      </c>
      <c r="F77" t="b">
        <v>1</v>
      </c>
      <c r="G77" t="n">
        <v/>
      </c>
      <c r="H77" t="inlineStr">
        <is>
          <t>2022-09-07 | Dividend | MSFT</t>
        </is>
      </c>
      <c r="I77" t="inlineStr">
        <is>
          <t>MSFT</t>
        </is>
      </c>
      <c r="J77" s="6" t="n">
        <v>44811</v>
      </c>
      <c r="K77" t="n">
        <v>93</v>
      </c>
      <c r="L77" t="inlineStr"/>
      <c r="M77" t="inlineStr">
        <is>
          <t>FY2022/23</t>
        </is>
      </c>
      <c r="N77" t="inlineStr">
        <is>
          <t>FOREIGN</t>
        </is>
      </c>
      <c r="O77" t="inlineStr">
        <is>
          <t>USD</t>
        </is>
      </c>
      <c r="P77" t="n">
        <v>0.62</v>
      </c>
      <c r="Q77" t="inlineStr">
        <is>
          <t>USD</t>
        </is>
      </c>
      <c r="R77" t="n">
        <v>0</v>
      </c>
      <c r="S77" t="inlineStr">
        <is>
          <t>USD</t>
        </is>
      </c>
      <c r="T77" t="n">
        <v>0</v>
      </c>
      <c r="U77" t="inlineStr">
        <is>
          <t>USD</t>
        </is>
      </c>
      <c r="V77" t="n">
        <v>8.65</v>
      </c>
      <c r="W77" t="inlineStr">
        <is>
          <t>USD</t>
        </is>
      </c>
      <c r="X77" t="n">
        <v>0</v>
      </c>
      <c r="Y77" t="n">
        <v>30</v>
      </c>
      <c r="Z77" t="inlineStr">
        <is>
          <t>USD</t>
        </is>
      </c>
      <c r="AA77" t="n">
        <v>57.66</v>
      </c>
      <c r="AB77" t="inlineStr">
        <is>
          <t>USD</t>
        </is>
      </c>
      <c r="AC77" t="n">
        <v>0</v>
      </c>
      <c r="AD77" t="inlineStr">
        <is>
          <t>USD</t>
        </is>
      </c>
      <c r="AE77" t="n">
        <v>0</v>
      </c>
      <c r="AF77" t="inlineStr">
        <is>
          <t>USD</t>
        </is>
      </c>
      <c r="AG77" t="n">
        <v>57.66</v>
      </c>
      <c r="AH77" t="inlineStr">
        <is>
          <t>AUD</t>
        </is>
      </c>
      <c r="AI77" t="n">
        <v>86.48999999999999</v>
      </c>
      <c r="AJ77" s="5" t="inlineStr">
        <is>
          <t>01a1212c-bbbf-72cf-9110-c63c7189d8c4</t>
        </is>
      </c>
    </row>
    <row r="78">
      <c r="A78" s="5" t="inlineStr">
        <is>
          <t>01a1212c-bbc2-702e-9c93-c787afa05a31</t>
        </is>
      </c>
      <c r="B78" t="inlineStr">
        <is>
          <t>2022-09-21_CBA.AX</t>
        </is>
      </c>
      <c r="C78" s="5" t="inlineStr">
        <is>
          <t>01a1212c-4b57-70cf-80fd-c2192cb3bf81</t>
        </is>
      </c>
      <c r="D78" s="4" t="n">
        <v>46304.62433114675</v>
      </c>
      <c r="E78" s="4" t="n">
        <v>46304.62433114682</v>
      </c>
      <c r="F78" t="b">
        <v>1</v>
      </c>
      <c r="G78" t="n">
        <v/>
      </c>
      <c r="H78" t="inlineStr">
        <is>
          <t>2022-09-21 | Dividend | CBA</t>
        </is>
      </c>
      <c r="I78" t="inlineStr">
        <is>
          <t>CBA</t>
        </is>
      </c>
      <c r="J78" s="6" t="n">
        <v>44825</v>
      </c>
      <c r="K78" t="n">
        <v>31</v>
      </c>
      <c r="L78" t="inlineStr"/>
      <c r="M78" t="inlineStr">
        <is>
          <t>FY2022/23</t>
        </is>
      </c>
      <c r="N78" t="inlineStr">
        <is>
          <t>LOCAL</t>
        </is>
      </c>
      <c r="O78" t="inlineStr">
        <is>
          <t>AUD</t>
        </is>
      </c>
      <c r="P78" t="n">
        <v>0</v>
      </c>
      <c r="Q78" t="inlineStr">
        <is>
          <t>AUD</t>
        </is>
      </c>
      <c r="R78" t="n">
        <v>2.1</v>
      </c>
      <c r="S78" t="inlineStr">
        <is>
          <t>AUD</t>
        </is>
      </c>
      <c r="T78" t="n">
        <v>0</v>
      </c>
      <c r="U78" t="inlineStr">
        <is>
          <t>AUD</t>
        </is>
      </c>
      <c r="V78" t="n">
        <v>0</v>
      </c>
      <c r="W78" t="inlineStr">
        <is>
          <t>AUD</t>
        </is>
      </c>
      <c r="X78" t="n">
        <v>0</v>
      </c>
      <c r="Y78" t="n">
        <v>30</v>
      </c>
      <c r="Z78" t="inlineStr">
        <is>
          <t>AUD</t>
        </is>
      </c>
      <c r="AA78" t="n">
        <v>0</v>
      </c>
      <c r="AB78" t="inlineStr">
        <is>
          <t>AUD</t>
        </is>
      </c>
      <c r="AC78" t="n">
        <v>65.09999999999999</v>
      </c>
      <c r="AD78" t="inlineStr">
        <is>
          <t>AUD</t>
        </is>
      </c>
      <c r="AE78" t="n">
        <v>27.9</v>
      </c>
      <c r="AF78" t="inlineStr">
        <is>
          <t>AUD</t>
        </is>
      </c>
      <c r="AG78" t="n">
        <v>65.09999999999999</v>
      </c>
      <c r="AH78" t="inlineStr">
        <is>
          <t>AUD</t>
        </is>
      </c>
      <c r="AI78" t="n">
        <v>65.09999999999999</v>
      </c>
      <c r="AJ78" t="n">
        <v/>
      </c>
    </row>
    <row r="79">
      <c r="A79" s="5" t="inlineStr">
        <is>
          <t>01a1212c-bbc5-70fd-b5ba-9586c2d7e619</t>
        </is>
      </c>
      <c r="B79" t="inlineStr">
        <is>
          <t>2022-09-22_BHP.AX</t>
        </is>
      </c>
      <c r="C79" s="5" t="inlineStr">
        <is>
          <t>01a1212c-4b57-70cf-80fd-c2192cb3bf81</t>
        </is>
      </c>
      <c r="D79" s="4" t="n">
        <v>46304.62433118022</v>
      </c>
      <c r="E79" s="4" t="n">
        <v>46304.62433118029</v>
      </c>
      <c r="F79" t="b">
        <v>1</v>
      </c>
      <c r="G79" t="n">
        <v/>
      </c>
      <c r="H79" t="inlineStr">
        <is>
          <t>2022-09-22 | Dividend | BHP</t>
        </is>
      </c>
      <c r="I79" t="inlineStr">
        <is>
          <t>BHP</t>
        </is>
      </c>
      <c r="J79" s="6" t="n">
        <v>44826</v>
      </c>
      <c r="K79" t="n">
        <v>121</v>
      </c>
      <c r="L79" t="inlineStr"/>
      <c r="M79" t="inlineStr">
        <is>
          <t>FY2022/23</t>
        </is>
      </c>
      <c r="N79" t="inlineStr">
        <is>
          <t>LOCAL</t>
        </is>
      </c>
      <c r="O79" t="inlineStr">
        <is>
          <t>AUD</t>
        </is>
      </c>
      <c r="P79" t="n">
        <v>0</v>
      </c>
      <c r="Q79" t="inlineStr">
        <is>
          <t>AUD</t>
        </is>
      </c>
      <c r="R79" t="n">
        <v>2.551839</v>
      </c>
      <c r="S79" t="inlineStr">
        <is>
          <t>AUD</t>
        </is>
      </c>
      <c r="T79" t="n">
        <v>0</v>
      </c>
      <c r="U79" t="inlineStr">
        <is>
          <t>AUD</t>
        </is>
      </c>
      <c r="V79" t="n">
        <v>0</v>
      </c>
      <c r="W79" t="inlineStr">
        <is>
          <t>AUD</t>
        </is>
      </c>
      <c r="X79" t="n">
        <v>0</v>
      </c>
      <c r="Y79" t="n">
        <v>30</v>
      </c>
      <c r="Z79" t="inlineStr">
        <is>
          <t>AUD</t>
        </is>
      </c>
      <c r="AA79" t="n">
        <v>0</v>
      </c>
      <c r="AB79" t="inlineStr">
        <is>
          <t>AUD</t>
        </is>
      </c>
      <c r="AC79" t="n">
        <v>308.772519</v>
      </c>
      <c r="AD79" t="inlineStr">
        <is>
          <t>AUD</t>
        </is>
      </c>
      <c r="AE79" t="n">
        <v>132.33108</v>
      </c>
      <c r="AF79" t="inlineStr">
        <is>
          <t>AUD</t>
        </is>
      </c>
      <c r="AG79" t="n">
        <v>308.772519</v>
      </c>
      <c r="AH79" t="inlineStr">
        <is>
          <t>AUD</t>
        </is>
      </c>
      <c r="AI79" t="n">
        <v>308.772519</v>
      </c>
      <c r="AJ79" t="n">
        <v/>
      </c>
    </row>
    <row r="80">
      <c r="A80" s="5" t="inlineStr">
        <is>
          <t>01a1212c-bbc8-71f7-aa35-f33e44443a77</t>
        </is>
      </c>
      <c r="B80" t="inlineStr">
        <is>
          <t>2022-11-07_AAPL</t>
        </is>
      </c>
      <c r="C80" s="5" t="inlineStr">
        <is>
          <t>01a1212c-4b57-70cf-80fd-c2192cb3bf81</t>
        </is>
      </c>
      <c r="D80" s="4" t="n">
        <v>46304.62433122567</v>
      </c>
      <c r="E80" s="4" t="n">
        <v>46304.62433122574</v>
      </c>
      <c r="F80" t="b">
        <v>1</v>
      </c>
      <c r="G80" t="n">
        <v/>
      </c>
      <c r="H80" t="inlineStr">
        <is>
          <t>2022-11-07 | Dividend | AAPL</t>
        </is>
      </c>
      <c r="I80" t="inlineStr">
        <is>
          <t>AAPL</t>
        </is>
      </c>
      <c r="J80" s="6" t="n">
        <v>44872</v>
      </c>
      <c r="K80" t="n">
        <v>146</v>
      </c>
      <c r="L80" t="inlineStr"/>
      <c r="M80" t="inlineStr">
        <is>
          <t>FY2022/23</t>
        </is>
      </c>
      <c r="N80" t="inlineStr">
        <is>
          <t>FOREIGN</t>
        </is>
      </c>
      <c r="O80" t="inlineStr">
        <is>
          <t>USD</t>
        </is>
      </c>
      <c r="P80" t="n">
        <v>0.23</v>
      </c>
      <c r="Q80" t="inlineStr">
        <is>
          <t>USD</t>
        </is>
      </c>
      <c r="R80" t="n">
        <v>0</v>
      </c>
      <c r="S80" t="inlineStr">
        <is>
          <t>USD</t>
        </is>
      </c>
      <c r="T80" t="n">
        <v>0</v>
      </c>
      <c r="U80" t="inlineStr">
        <is>
          <t>USD</t>
        </is>
      </c>
      <c r="V80" t="n">
        <v>5.04</v>
      </c>
      <c r="W80" t="inlineStr">
        <is>
          <t>USD</t>
        </is>
      </c>
      <c r="X80" t="n">
        <v>0</v>
      </c>
      <c r="Y80" t="n">
        <v>30</v>
      </c>
      <c r="Z80" t="inlineStr">
        <is>
          <t>USD</t>
        </is>
      </c>
      <c r="AA80" t="n">
        <v>33.58</v>
      </c>
      <c r="AB80" t="inlineStr">
        <is>
          <t>USD</t>
        </is>
      </c>
      <c r="AC80" t="n">
        <v>0</v>
      </c>
      <c r="AD80" t="inlineStr">
        <is>
          <t>USD</t>
        </is>
      </c>
      <c r="AE80" t="n">
        <v>0</v>
      </c>
      <c r="AF80" t="inlineStr">
        <is>
          <t>USD</t>
        </is>
      </c>
      <c r="AG80" t="n">
        <v>33.58</v>
      </c>
      <c r="AH80" t="inlineStr">
        <is>
          <t>AUD</t>
        </is>
      </c>
      <c r="AI80" t="n">
        <v>50.37</v>
      </c>
      <c r="AJ80" s="5" t="inlineStr">
        <is>
          <t>01a1212c-bbc9-718b-bcbf-bc95806edeff</t>
        </is>
      </c>
    </row>
    <row r="81">
      <c r="A81" s="5" t="inlineStr">
        <is>
          <t>01a1212c-bbcc-7472-bc5a-9167e73fcfbc</t>
        </is>
      </c>
      <c r="B81" t="inlineStr">
        <is>
          <t>2022-12-07_MSFT</t>
        </is>
      </c>
      <c r="C81" s="5" t="inlineStr">
        <is>
          <t>01a1212c-4b57-70cf-80fd-c2192cb3bf81</t>
        </is>
      </c>
      <c r="D81" s="4" t="n">
        <v>46304.62433127625</v>
      </c>
      <c r="E81" s="4" t="n">
        <v>46304.62433127632</v>
      </c>
      <c r="F81" t="b">
        <v>1</v>
      </c>
      <c r="G81" t="n">
        <v/>
      </c>
      <c r="H81" t="inlineStr">
        <is>
          <t>2022-12-07 | Dividend | MSFT</t>
        </is>
      </c>
      <c r="I81" t="inlineStr">
        <is>
          <t>MSFT</t>
        </is>
      </c>
      <c r="J81" s="6" t="n">
        <v>44902</v>
      </c>
      <c r="K81" t="n">
        <v>95</v>
      </c>
      <c r="L81" t="inlineStr"/>
      <c r="M81" t="inlineStr">
        <is>
          <t>FY2022/23</t>
        </is>
      </c>
      <c r="N81" t="inlineStr">
        <is>
          <t>FOREIGN</t>
        </is>
      </c>
      <c r="O81" t="inlineStr">
        <is>
          <t>USD</t>
        </is>
      </c>
      <c r="P81" t="n">
        <v>0.68</v>
      </c>
      <c r="Q81" t="inlineStr">
        <is>
          <t>USD</t>
        </is>
      </c>
      <c r="R81" t="n">
        <v>0</v>
      </c>
      <c r="S81" t="inlineStr">
        <is>
          <t>USD</t>
        </is>
      </c>
      <c r="T81" t="n">
        <v>0</v>
      </c>
      <c r="U81" t="inlineStr">
        <is>
          <t>USD</t>
        </is>
      </c>
      <c r="V81" t="n">
        <v>9.69</v>
      </c>
      <c r="W81" t="inlineStr">
        <is>
          <t>USD</t>
        </is>
      </c>
      <c r="X81" t="n">
        <v>0</v>
      </c>
      <c r="Y81" t="n">
        <v>30</v>
      </c>
      <c r="Z81" t="inlineStr">
        <is>
          <t>USD</t>
        </is>
      </c>
      <c r="AA81" t="n">
        <v>64.59999999999999</v>
      </c>
      <c r="AB81" t="inlineStr">
        <is>
          <t>USD</t>
        </is>
      </c>
      <c r="AC81" t="n">
        <v>0</v>
      </c>
      <c r="AD81" t="inlineStr">
        <is>
          <t>USD</t>
        </is>
      </c>
      <c r="AE81" t="n">
        <v>0</v>
      </c>
      <c r="AF81" t="inlineStr">
        <is>
          <t>USD</t>
        </is>
      </c>
      <c r="AG81" t="n">
        <v>64.59999999999999</v>
      </c>
      <c r="AH81" t="inlineStr">
        <is>
          <t>AUD</t>
        </is>
      </c>
      <c r="AI81" t="n">
        <v>96.90000000000001</v>
      </c>
      <c r="AJ81" s="5" t="inlineStr">
        <is>
          <t>01a1212c-bbcd-705c-bdc5-39763f163b5b</t>
        </is>
      </c>
    </row>
    <row r="82">
      <c r="A82" s="5" t="inlineStr">
        <is>
          <t>01a1212c-bbd0-70e3-8515-a79910ce7f52</t>
        </is>
      </c>
      <c r="B82" t="inlineStr">
        <is>
          <t>2023-02-13_AAPL</t>
        </is>
      </c>
      <c r="C82" s="5" t="inlineStr">
        <is>
          <t>01a1212c-4b57-70cf-80fd-c2192cb3bf81</t>
        </is>
      </c>
      <c r="D82" s="4" t="n">
        <v>46304.62433132498</v>
      </c>
      <c r="E82" s="4" t="n">
        <v>46304.62433132505</v>
      </c>
      <c r="F82" t="b">
        <v>1</v>
      </c>
      <c r="G82" t="n">
        <v/>
      </c>
      <c r="H82" t="inlineStr">
        <is>
          <t>2023-02-13 | Dividend | AAPL</t>
        </is>
      </c>
      <c r="I82" t="inlineStr">
        <is>
          <t>AAPL</t>
        </is>
      </c>
      <c r="J82" s="6" t="n">
        <v>44970</v>
      </c>
      <c r="K82" t="n">
        <v>146</v>
      </c>
      <c r="L82" t="inlineStr"/>
      <c r="M82" t="inlineStr">
        <is>
          <t>FY2022/23</t>
        </is>
      </c>
      <c r="N82" t="inlineStr">
        <is>
          <t>FOREIGN</t>
        </is>
      </c>
      <c r="O82" t="inlineStr">
        <is>
          <t>USD</t>
        </is>
      </c>
      <c r="P82" t="n">
        <v>0.23</v>
      </c>
      <c r="Q82" t="inlineStr">
        <is>
          <t>USD</t>
        </is>
      </c>
      <c r="R82" t="n">
        <v>0</v>
      </c>
      <c r="S82" t="inlineStr">
        <is>
          <t>USD</t>
        </is>
      </c>
      <c r="T82" t="n">
        <v>0</v>
      </c>
      <c r="U82" t="inlineStr">
        <is>
          <t>USD</t>
        </is>
      </c>
      <c r="V82" t="n">
        <v>5.04</v>
      </c>
      <c r="W82" t="inlineStr">
        <is>
          <t>USD</t>
        </is>
      </c>
      <c r="X82" t="n">
        <v>0</v>
      </c>
      <c r="Y82" t="n">
        <v>30</v>
      </c>
      <c r="Z82" t="inlineStr">
        <is>
          <t>USD</t>
        </is>
      </c>
      <c r="AA82" t="n">
        <v>33.58</v>
      </c>
      <c r="AB82" t="inlineStr">
        <is>
          <t>USD</t>
        </is>
      </c>
      <c r="AC82" t="n">
        <v>0</v>
      </c>
      <c r="AD82" t="inlineStr">
        <is>
          <t>USD</t>
        </is>
      </c>
      <c r="AE82" t="n">
        <v>0</v>
      </c>
      <c r="AF82" t="inlineStr">
        <is>
          <t>USD</t>
        </is>
      </c>
      <c r="AG82" t="n">
        <v>33.58</v>
      </c>
      <c r="AH82" t="inlineStr">
        <is>
          <t>AUD</t>
        </is>
      </c>
      <c r="AI82" t="n">
        <v>50.37</v>
      </c>
      <c r="AJ82" s="5" t="inlineStr">
        <is>
          <t>01a1212c-bbd1-75f3-82f8-a5850008dc9b</t>
        </is>
      </c>
    </row>
    <row r="83">
      <c r="A83" s="5" t="inlineStr">
        <is>
          <t>01a1212c-bbd5-7715-8ee3-e90a93826ac2</t>
        </is>
      </c>
      <c r="B83" t="inlineStr">
        <is>
          <t>2023-03-08_MSFT</t>
        </is>
      </c>
      <c r="C83" s="5" t="inlineStr">
        <is>
          <t>01a1212c-4b57-70cf-80fd-c2192cb3bf81</t>
        </is>
      </c>
      <c r="D83" s="4" t="n">
        <v>46304.624331373</v>
      </c>
      <c r="E83" s="4" t="n">
        <v>46304.62433137307</v>
      </c>
      <c r="F83" t="b">
        <v>1</v>
      </c>
      <c r="G83" t="n">
        <v/>
      </c>
      <c r="H83" t="inlineStr">
        <is>
          <t>2023-03-08 | Dividend | MSFT</t>
        </is>
      </c>
      <c r="I83" t="inlineStr">
        <is>
          <t>MSFT</t>
        </is>
      </c>
      <c r="J83" s="6" t="n">
        <v>44993</v>
      </c>
      <c r="K83" t="n">
        <v>95</v>
      </c>
      <c r="L83" t="inlineStr"/>
      <c r="M83" t="inlineStr">
        <is>
          <t>FY2022/23</t>
        </is>
      </c>
      <c r="N83" t="inlineStr">
        <is>
          <t>FOREIGN</t>
        </is>
      </c>
      <c r="O83" t="inlineStr">
        <is>
          <t>USD</t>
        </is>
      </c>
      <c r="P83" t="n">
        <v>0.68</v>
      </c>
      <c r="Q83" t="inlineStr">
        <is>
          <t>USD</t>
        </is>
      </c>
      <c r="R83" t="n">
        <v>0</v>
      </c>
      <c r="S83" t="inlineStr">
        <is>
          <t>USD</t>
        </is>
      </c>
      <c r="T83" t="n">
        <v>0</v>
      </c>
      <c r="U83" t="inlineStr">
        <is>
          <t>USD</t>
        </is>
      </c>
      <c r="V83" t="n">
        <v>9.69</v>
      </c>
      <c r="W83" t="inlineStr">
        <is>
          <t>USD</t>
        </is>
      </c>
      <c r="X83" t="n">
        <v>0</v>
      </c>
      <c r="Y83" t="n">
        <v>30</v>
      </c>
      <c r="Z83" t="inlineStr">
        <is>
          <t>USD</t>
        </is>
      </c>
      <c r="AA83" t="n">
        <v>64.59999999999999</v>
      </c>
      <c r="AB83" t="inlineStr">
        <is>
          <t>USD</t>
        </is>
      </c>
      <c r="AC83" t="n">
        <v>0</v>
      </c>
      <c r="AD83" t="inlineStr">
        <is>
          <t>USD</t>
        </is>
      </c>
      <c r="AE83" t="n">
        <v>0</v>
      </c>
      <c r="AF83" t="inlineStr">
        <is>
          <t>USD</t>
        </is>
      </c>
      <c r="AG83" t="n">
        <v>64.59999999999999</v>
      </c>
      <c r="AH83" t="inlineStr">
        <is>
          <t>AUD</t>
        </is>
      </c>
      <c r="AI83" t="n">
        <v>96.90000000000001</v>
      </c>
      <c r="AJ83" s="5" t="inlineStr">
        <is>
          <t>01a1212c-bbd5-7715-8ee3-e90bd7aacc18</t>
        </is>
      </c>
    </row>
    <row r="84">
      <c r="A84" s="5" t="inlineStr">
        <is>
          <t>01a1212c-bbd9-76dd-8e24-a6ca747366a9</t>
        </is>
      </c>
      <c r="B84" t="inlineStr">
        <is>
          <t>2023-03-29_CBA.AX</t>
        </is>
      </c>
      <c r="C84" s="5" t="inlineStr">
        <is>
          <t>01a1212c-4b57-70cf-80fd-c2192cb3bf81</t>
        </is>
      </c>
      <c r="D84" s="4" t="n">
        <v>46304.62433141055</v>
      </c>
      <c r="E84" s="4" t="n">
        <v>46304.62433141064</v>
      </c>
      <c r="F84" t="b">
        <v>1</v>
      </c>
      <c r="G84" t="n">
        <v/>
      </c>
      <c r="H84" t="inlineStr">
        <is>
          <t>2023-03-29 | Dividend | CBA</t>
        </is>
      </c>
      <c r="I84" t="inlineStr">
        <is>
          <t>CBA</t>
        </is>
      </c>
      <c r="J84" s="6" t="n">
        <v>45014</v>
      </c>
      <c r="K84" t="n">
        <v>31</v>
      </c>
      <c r="L84" t="inlineStr"/>
      <c r="M84" t="inlineStr">
        <is>
          <t>FY2022/23</t>
        </is>
      </c>
      <c r="N84" t="inlineStr">
        <is>
          <t>LOCAL</t>
        </is>
      </c>
      <c r="O84" t="inlineStr">
        <is>
          <t>AUD</t>
        </is>
      </c>
      <c r="P84" t="n">
        <v>0</v>
      </c>
      <c r="Q84" t="inlineStr">
        <is>
          <t>AUD</t>
        </is>
      </c>
      <c r="R84" t="n">
        <v>2.1</v>
      </c>
      <c r="S84" t="inlineStr">
        <is>
          <t>AUD</t>
        </is>
      </c>
      <c r="T84" t="n">
        <v>0</v>
      </c>
      <c r="U84" t="inlineStr">
        <is>
          <t>AUD</t>
        </is>
      </c>
      <c r="V84" t="n">
        <v>0</v>
      </c>
      <c r="W84" t="inlineStr">
        <is>
          <t>AUD</t>
        </is>
      </c>
      <c r="X84" t="n">
        <v>0</v>
      </c>
      <c r="Y84" t="n">
        <v>30</v>
      </c>
      <c r="Z84" t="inlineStr">
        <is>
          <t>AUD</t>
        </is>
      </c>
      <c r="AA84" t="n">
        <v>0</v>
      </c>
      <c r="AB84" t="inlineStr">
        <is>
          <t>AUD</t>
        </is>
      </c>
      <c r="AC84" t="n">
        <v>65.09999999999999</v>
      </c>
      <c r="AD84" t="inlineStr">
        <is>
          <t>AUD</t>
        </is>
      </c>
      <c r="AE84" t="n">
        <v>27.9</v>
      </c>
      <c r="AF84" t="inlineStr">
        <is>
          <t>AUD</t>
        </is>
      </c>
      <c r="AG84" t="n">
        <v>65.09999999999999</v>
      </c>
      <c r="AH84" t="inlineStr">
        <is>
          <t>AUD</t>
        </is>
      </c>
      <c r="AI84" t="n">
        <v>65.09999999999999</v>
      </c>
      <c r="AJ84" t="n">
        <v/>
      </c>
    </row>
    <row r="85">
      <c r="A85" s="5" t="inlineStr">
        <is>
          <t>01a1212c-bbdc-705d-83f4-2028018c0705</t>
        </is>
      </c>
      <c r="B85" t="inlineStr">
        <is>
          <t>2023-03-30_BHP.AX</t>
        </is>
      </c>
      <c r="C85" s="5" t="inlineStr">
        <is>
          <t>01a1212c-4b57-70cf-80fd-c2192cb3bf81</t>
        </is>
      </c>
      <c r="D85" s="4" t="n">
        <v>46304.62433144274</v>
      </c>
      <c r="E85" s="4" t="n">
        <v>46304.62433144281</v>
      </c>
      <c r="F85" t="b">
        <v>1</v>
      </c>
      <c r="G85" t="n">
        <v/>
      </c>
      <c r="H85" t="inlineStr">
        <is>
          <t>2023-03-30 | Dividend | BHP</t>
        </is>
      </c>
      <c r="I85" t="inlineStr">
        <is>
          <t>BHP</t>
        </is>
      </c>
      <c r="J85" s="6" t="n">
        <v>45015</v>
      </c>
      <c r="K85" t="n">
        <v>121</v>
      </c>
      <c r="L85" t="inlineStr"/>
      <c r="M85" t="inlineStr">
        <is>
          <t>FY2022/23</t>
        </is>
      </c>
      <c r="N85" t="inlineStr">
        <is>
          <t>LOCAL</t>
        </is>
      </c>
      <c r="O85" t="inlineStr">
        <is>
          <t>AUD</t>
        </is>
      </c>
      <c r="P85" t="n">
        <v>0</v>
      </c>
      <c r="Q85" t="inlineStr">
        <is>
          <t>AUD</t>
        </is>
      </c>
      <c r="R85" t="n">
        <v>1.363636</v>
      </c>
      <c r="S85" t="inlineStr">
        <is>
          <t>AUD</t>
        </is>
      </c>
      <c r="T85" t="n">
        <v>0</v>
      </c>
      <c r="U85" t="inlineStr">
        <is>
          <t>AUD</t>
        </is>
      </c>
      <c r="V85" t="n">
        <v>0</v>
      </c>
      <c r="W85" t="inlineStr">
        <is>
          <t>AUD</t>
        </is>
      </c>
      <c r="X85" t="n">
        <v>0</v>
      </c>
      <c r="Y85" t="n">
        <v>30</v>
      </c>
      <c r="Z85" t="inlineStr">
        <is>
          <t>AUD</t>
        </is>
      </c>
      <c r="AA85" t="n">
        <v>0</v>
      </c>
      <c r="AB85" t="inlineStr">
        <is>
          <t>AUD</t>
        </is>
      </c>
      <c r="AC85" t="n">
        <v>164.999956</v>
      </c>
      <c r="AD85" t="inlineStr">
        <is>
          <t>AUD</t>
        </is>
      </c>
      <c r="AE85" t="n">
        <v>70.71426700000001</v>
      </c>
      <c r="AF85" t="inlineStr">
        <is>
          <t>AUD</t>
        </is>
      </c>
      <c r="AG85" t="n">
        <v>164.999956</v>
      </c>
      <c r="AH85" t="inlineStr">
        <is>
          <t>AUD</t>
        </is>
      </c>
      <c r="AI85" t="n">
        <v>164.999956</v>
      </c>
      <c r="AJ85" t="n">
        <v/>
      </c>
    </row>
    <row r="86">
      <c r="A86" s="5" t="inlineStr">
        <is>
          <t>01a1212c-bbdf-75e4-b272-f3d0f38ca608</t>
        </is>
      </c>
      <c r="B86" t="inlineStr">
        <is>
          <t>2023-05-15_AAPL</t>
        </is>
      </c>
      <c r="C86" s="5" t="inlineStr">
        <is>
          <t>01a1212c-4b57-70cf-80fd-c2192cb3bf81</t>
        </is>
      </c>
      <c r="D86" s="4" t="n">
        <v>46304.62433149098</v>
      </c>
      <c r="E86" s="4" t="n">
        <v>46304.62433149105</v>
      </c>
      <c r="F86" t="b">
        <v>1</v>
      </c>
      <c r="G86" t="n">
        <v/>
      </c>
      <c r="H86" t="inlineStr">
        <is>
          <t>2023-05-15 | Dividend | AAPL</t>
        </is>
      </c>
      <c r="I86" t="inlineStr">
        <is>
          <t>AAPL</t>
        </is>
      </c>
      <c r="J86" s="6" t="n">
        <v>45061</v>
      </c>
      <c r="K86" t="n">
        <v>146</v>
      </c>
      <c r="L86" t="inlineStr"/>
      <c r="M86" t="inlineStr">
        <is>
          <t>FY2022/23</t>
        </is>
      </c>
      <c r="N86" t="inlineStr">
        <is>
          <t>FOREIGN</t>
        </is>
      </c>
      <c r="O86" t="inlineStr">
        <is>
          <t>USD</t>
        </is>
      </c>
      <c r="P86" t="n">
        <v>0.24</v>
      </c>
      <c r="Q86" t="inlineStr">
        <is>
          <t>USD</t>
        </is>
      </c>
      <c r="R86" t="n">
        <v>0</v>
      </c>
      <c r="S86" t="inlineStr">
        <is>
          <t>USD</t>
        </is>
      </c>
      <c r="T86" t="n">
        <v>0</v>
      </c>
      <c r="U86" t="inlineStr">
        <is>
          <t>USD</t>
        </is>
      </c>
      <c r="V86" t="n">
        <v>5.26</v>
      </c>
      <c r="W86" t="inlineStr">
        <is>
          <t>USD</t>
        </is>
      </c>
      <c r="X86" t="n">
        <v>0</v>
      </c>
      <c r="Y86" t="n">
        <v>30</v>
      </c>
      <c r="Z86" t="inlineStr">
        <is>
          <t>USD</t>
        </is>
      </c>
      <c r="AA86" t="n">
        <v>35.04</v>
      </c>
      <c r="AB86" t="inlineStr">
        <is>
          <t>USD</t>
        </is>
      </c>
      <c r="AC86" t="n">
        <v>0</v>
      </c>
      <c r="AD86" t="inlineStr">
        <is>
          <t>USD</t>
        </is>
      </c>
      <c r="AE86" t="n">
        <v>0</v>
      </c>
      <c r="AF86" t="inlineStr">
        <is>
          <t>USD</t>
        </is>
      </c>
      <c r="AG86" t="n">
        <v>35.04</v>
      </c>
      <c r="AH86" t="inlineStr">
        <is>
          <t>AUD</t>
        </is>
      </c>
      <c r="AI86" t="n">
        <v>52.56</v>
      </c>
      <c r="AJ86" s="5" t="inlineStr">
        <is>
          <t>01a1212c-bbe0-700b-a668-8aac0a31fbff</t>
        </is>
      </c>
    </row>
    <row r="87">
      <c r="A87" s="5" t="inlineStr">
        <is>
          <t>01a1212c-bbe3-74ae-bb02-a897a2602164</t>
        </is>
      </c>
      <c r="B87" t="inlineStr">
        <is>
          <t>2023-06-07_MSFT</t>
        </is>
      </c>
      <c r="C87" s="5" t="inlineStr">
        <is>
          <t>01a1212c-4b57-70cf-80fd-c2192cb3bf81</t>
        </is>
      </c>
      <c r="D87" s="4" t="n">
        <v>46304.6243315389</v>
      </c>
      <c r="E87" s="4" t="n">
        <v>46304.62433153896</v>
      </c>
      <c r="F87" t="b">
        <v>1</v>
      </c>
      <c r="G87" t="n">
        <v/>
      </c>
      <c r="H87" t="inlineStr">
        <is>
          <t>2023-06-07 | Dividend | MSFT</t>
        </is>
      </c>
      <c r="I87" t="inlineStr">
        <is>
          <t>MSFT</t>
        </is>
      </c>
      <c r="J87" s="6" t="n">
        <v>45084</v>
      </c>
      <c r="K87" t="n">
        <v>98</v>
      </c>
      <c r="L87" t="inlineStr"/>
      <c r="M87" t="inlineStr">
        <is>
          <t>FY2022/23</t>
        </is>
      </c>
      <c r="N87" t="inlineStr">
        <is>
          <t>FOREIGN</t>
        </is>
      </c>
      <c r="O87" t="inlineStr">
        <is>
          <t>USD</t>
        </is>
      </c>
      <c r="P87" t="n">
        <v>0.68</v>
      </c>
      <c r="Q87" t="inlineStr">
        <is>
          <t>USD</t>
        </is>
      </c>
      <c r="R87" t="n">
        <v>0</v>
      </c>
      <c r="S87" t="inlineStr">
        <is>
          <t>USD</t>
        </is>
      </c>
      <c r="T87" t="n">
        <v>0</v>
      </c>
      <c r="U87" t="inlineStr">
        <is>
          <t>USD</t>
        </is>
      </c>
      <c r="V87" t="n">
        <v>10</v>
      </c>
      <c r="W87" t="inlineStr">
        <is>
          <t>USD</t>
        </is>
      </c>
      <c r="X87" t="n">
        <v>0</v>
      </c>
      <c r="Y87" t="n">
        <v>30</v>
      </c>
      <c r="Z87" t="inlineStr">
        <is>
          <t>USD</t>
        </is>
      </c>
      <c r="AA87" t="n">
        <v>66.64</v>
      </c>
      <c r="AB87" t="inlineStr">
        <is>
          <t>USD</t>
        </is>
      </c>
      <c r="AC87" t="n">
        <v>0</v>
      </c>
      <c r="AD87" t="inlineStr">
        <is>
          <t>USD</t>
        </is>
      </c>
      <c r="AE87" t="n">
        <v>0</v>
      </c>
      <c r="AF87" t="inlineStr">
        <is>
          <t>USD</t>
        </is>
      </c>
      <c r="AG87" t="n">
        <v>66.64</v>
      </c>
      <c r="AH87" t="inlineStr">
        <is>
          <t>AUD</t>
        </is>
      </c>
      <c r="AI87" t="n">
        <v>99.95999999999999</v>
      </c>
      <c r="AJ87" s="5" t="inlineStr">
        <is>
          <t>01a1212c-bbe4-7487-ae17-955445981da2</t>
        </is>
      </c>
    </row>
    <row r="88">
      <c r="A88" s="5" t="inlineStr">
        <is>
          <t>01a1212c-bbe7-779f-9311-1d65b78dd63a</t>
        </is>
      </c>
      <c r="B88" t="inlineStr">
        <is>
          <t>2023-08-14_AAPL</t>
        </is>
      </c>
      <c r="C88" s="5" t="inlineStr">
        <is>
          <t>01a1212c-4b57-70cf-80fd-c2192cb3bf81</t>
        </is>
      </c>
      <c r="D88" s="4" t="n">
        <v>46304.62433158412</v>
      </c>
      <c r="E88" s="4" t="n">
        <v>46304.62433158418</v>
      </c>
      <c r="F88" t="b">
        <v>1</v>
      </c>
      <c r="G88" t="n">
        <v/>
      </c>
      <c r="H88" t="inlineStr">
        <is>
          <t>2023-08-14 | Dividend | AAPL</t>
        </is>
      </c>
      <c r="I88" t="inlineStr">
        <is>
          <t>AAPL</t>
        </is>
      </c>
      <c r="J88" s="6" t="n">
        <v>45152</v>
      </c>
      <c r="K88" t="n">
        <v>149</v>
      </c>
      <c r="L88" t="inlineStr"/>
      <c r="M88" t="inlineStr">
        <is>
          <t>FY2023/24</t>
        </is>
      </c>
      <c r="N88" t="inlineStr">
        <is>
          <t>FOREIGN</t>
        </is>
      </c>
      <c r="O88" t="inlineStr">
        <is>
          <t>USD</t>
        </is>
      </c>
      <c r="P88" t="n">
        <v>0.24</v>
      </c>
      <c r="Q88" t="inlineStr">
        <is>
          <t>USD</t>
        </is>
      </c>
      <c r="R88" t="n">
        <v>0</v>
      </c>
      <c r="S88" t="inlineStr">
        <is>
          <t>USD</t>
        </is>
      </c>
      <c r="T88" t="n">
        <v>0</v>
      </c>
      <c r="U88" t="inlineStr">
        <is>
          <t>USD</t>
        </is>
      </c>
      <c r="V88" t="n">
        <v>5.36</v>
      </c>
      <c r="W88" t="inlineStr">
        <is>
          <t>USD</t>
        </is>
      </c>
      <c r="X88" t="n">
        <v>0</v>
      </c>
      <c r="Y88" t="n">
        <v>30</v>
      </c>
      <c r="Z88" t="inlineStr">
        <is>
          <t>USD</t>
        </is>
      </c>
      <c r="AA88" t="n">
        <v>35.76</v>
      </c>
      <c r="AB88" t="inlineStr">
        <is>
          <t>USD</t>
        </is>
      </c>
      <c r="AC88" t="n">
        <v>0</v>
      </c>
      <c r="AD88" t="inlineStr">
        <is>
          <t>USD</t>
        </is>
      </c>
      <c r="AE88" t="n">
        <v>0</v>
      </c>
      <c r="AF88" t="inlineStr">
        <is>
          <t>USD</t>
        </is>
      </c>
      <c r="AG88" t="n">
        <v>35.76</v>
      </c>
      <c r="AH88" t="inlineStr">
        <is>
          <t>AUD</t>
        </is>
      </c>
      <c r="AI88" t="n">
        <v>53.64</v>
      </c>
      <c r="AJ88" s="5" t="inlineStr">
        <is>
          <t>01a1212c-bbe8-7157-b3dd-24504b4af501</t>
        </is>
      </c>
    </row>
    <row r="89">
      <c r="A89" s="5" t="inlineStr">
        <is>
          <t>01a1212c-bbeb-71b1-9cf0-e802807e830c</t>
        </is>
      </c>
      <c r="B89" t="inlineStr">
        <is>
          <t>2023-09-06_MSFT</t>
        </is>
      </c>
      <c r="C89" s="5" t="inlineStr">
        <is>
          <t>01a1212c-4b57-70cf-80fd-c2192cb3bf81</t>
        </is>
      </c>
      <c r="D89" s="4" t="n">
        <v>46304.62433163118</v>
      </c>
      <c r="E89" s="4" t="n">
        <v>46304.62433163125</v>
      </c>
      <c r="F89" t="b">
        <v>1</v>
      </c>
      <c r="G89" t="n">
        <v/>
      </c>
      <c r="H89" t="inlineStr">
        <is>
          <t>2023-09-06 | Dividend | MSFT</t>
        </is>
      </c>
      <c r="I89" t="inlineStr">
        <is>
          <t>MSFT</t>
        </is>
      </c>
      <c r="J89" s="6" t="n">
        <v>45175</v>
      </c>
      <c r="K89" t="n">
        <v>98</v>
      </c>
      <c r="L89" t="inlineStr"/>
      <c r="M89" t="inlineStr">
        <is>
          <t>FY2023/24</t>
        </is>
      </c>
      <c r="N89" t="inlineStr">
        <is>
          <t>FOREIGN</t>
        </is>
      </c>
      <c r="O89" t="inlineStr">
        <is>
          <t>USD</t>
        </is>
      </c>
      <c r="P89" t="n">
        <v>0.68</v>
      </c>
      <c r="Q89" t="inlineStr">
        <is>
          <t>USD</t>
        </is>
      </c>
      <c r="R89" t="n">
        <v>0</v>
      </c>
      <c r="S89" t="inlineStr">
        <is>
          <t>USD</t>
        </is>
      </c>
      <c r="T89" t="n">
        <v>0</v>
      </c>
      <c r="U89" t="inlineStr">
        <is>
          <t>USD</t>
        </is>
      </c>
      <c r="V89" t="n">
        <v>10</v>
      </c>
      <c r="W89" t="inlineStr">
        <is>
          <t>USD</t>
        </is>
      </c>
      <c r="X89" t="n">
        <v>0</v>
      </c>
      <c r="Y89" t="n">
        <v>30</v>
      </c>
      <c r="Z89" t="inlineStr">
        <is>
          <t>USD</t>
        </is>
      </c>
      <c r="AA89" t="n">
        <v>66.64</v>
      </c>
      <c r="AB89" t="inlineStr">
        <is>
          <t>USD</t>
        </is>
      </c>
      <c r="AC89" t="n">
        <v>0</v>
      </c>
      <c r="AD89" t="inlineStr">
        <is>
          <t>USD</t>
        </is>
      </c>
      <c r="AE89" t="n">
        <v>0</v>
      </c>
      <c r="AF89" t="inlineStr">
        <is>
          <t>USD</t>
        </is>
      </c>
      <c r="AG89" t="n">
        <v>66.64</v>
      </c>
      <c r="AH89" t="inlineStr">
        <is>
          <t>AUD</t>
        </is>
      </c>
      <c r="AI89" t="n">
        <v>99.95999999999999</v>
      </c>
      <c r="AJ89" s="5" t="inlineStr">
        <is>
          <t>01a1212c-bbec-74fb-8c8e-e39542393c40</t>
        </is>
      </c>
    </row>
    <row r="90">
      <c r="A90" s="5" t="inlineStr">
        <is>
          <t>01a1212c-bbef-70ae-9658-d680c1602e07</t>
        </is>
      </c>
      <c r="B90" t="inlineStr">
        <is>
          <t>2023-09-20_CBA.AX</t>
        </is>
      </c>
      <c r="C90" s="5" t="inlineStr">
        <is>
          <t>01a1212c-4b57-70cf-80fd-c2192cb3bf81</t>
        </is>
      </c>
      <c r="D90" s="4" t="n">
        <v>46304.6243316622</v>
      </c>
      <c r="E90" s="4" t="n">
        <v>46304.62433166227</v>
      </c>
      <c r="F90" t="b">
        <v>1</v>
      </c>
      <c r="G90" t="n">
        <v/>
      </c>
      <c r="H90" t="inlineStr">
        <is>
          <t>2023-09-20 | Dividend | CBA</t>
        </is>
      </c>
      <c r="I90" t="inlineStr">
        <is>
          <t>CBA</t>
        </is>
      </c>
      <c r="J90" s="6" t="n">
        <v>45189</v>
      </c>
      <c r="K90" t="n">
        <v>38</v>
      </c>
      <c r="L90" t="inlineStr"/>
      <c r="M90" t="inlineStr">
        <is>
          <t>FY2023/24</t>
        </is>
      </c>
      <c r="N90" t="inlineStr">
        <is>
          <t>LOCAL</t>
        </is>
      </c>
      <c r="O90" t="inlineStr">
        <is>
          <t>AUD</t>
        </is>
      </c>
      <c r="P90" t="n">
        <v>0</v>
      </c>
      <c r="Q90" t="inlineStr">
        <is>
          <t>AUD</t>
        </is>
      </c>
      <c r="R90" t="n">
        <v>2.4</v>
      </c>
      <c r="S90" t="inlineStr">
        <is>
          <t>AUD</t>
        </is>
      </c>
      <c r="T90" t="n">
        <v>0</v>
      </c>
      <c r="U90" t="inlineStr">
        <is>
          <t>AUD</t>
        </is>
      </c>
      <c r="V90" t="n">
        <v>0</v>
      </c>
      <c r="W90" t="inlineStr">
        <is>
          <t>AUD</t>
        </is>
      </c>
      <c r="X90" t="n">
        <v>0</v>
      </c>
      <c r="Y90" t="n">
        <v>30</v>
      </c>
      <c r="Z90" t="inlineStr">
        <is>
          <t>AUD</t>
        </is>
      </c>
      <c r="AA90" t="n">
        <v>0</v>
      </c>
      <c r="AB90" t="inlineStr">
        <is>
          <t>AUD</t>
        </is>
      </c>
      <c r="AC90" t="n">
        <v>91.2</v>
      </c>
      <c r="AD90" t="inlineStr">
        <is>
          <t>AUD</t>
        </is>
      </c>
      <c r="AE90" t="n">
        <v>39.085714</v>
      </c>
      <c r="AF90" t="inlineStr">
        <is>
          <t>AUD</t>
        </is>
      </c>
      <c r="AG90" t="n">
        <v>91.2</v>
      </c>
      <c r="AH90" t="inlineStr">
        <is>
          <t>AUD</t>
        </is>
      </c>
      <c r="AI90" t="n">
        <v>91.2</v>
      </c>
      <c r="AJ90" t="n">
        <v/>
      </c>
    </row>
    <row r="91">
      <c r="A91" s="5" t="inlineStr">
        <is>
          <t>01a1212c-bbf2-708b-abbc-55f106fa435e</t>
        </is>
      </c>
      <c r="B91" t="inlineStr">
        <is>
          <t>2023-09-28_BHP.AX</t>
        </is>
      </c>
      <c r="C91" s="5" t="inlineStr">
        <is>
          <t>01a1212c-4b57-70cf-80fd-c2192cb3bf81</t>
        </is>
      </c>
      <c r="D91" s="4" t="n">
        <v>46304.62433169533</v>
      </c>
      <c r="E91" s="4" t="n">
        <v>46304.62433169541</v>
      </c>
      <c r="F91" t="b">
        <v>1</v>
      </c>
      <c r="G91" t="n">
        <v/>
      </c>
      <c r="H91" t="inlineStr">
        <is>
          <t>2023-09-28 | Dividend | BHP</t>
        </is>
      </c>
      <c r="I91" t="inlineStr">
        <is>
          <t>BHP</t>
        </is>
      </c>
      <c r="J91" s="6" t="n">
        <v>45197</v>
      </c>
      <c r="K91" t="n">
        <v>121</v>
      </c>
      <c r="L91" t="inlineStr"/>
      <c r="M91" t="inlineStr">
        <is>
          <t>FY2023/24</t>
        </is>
      </c>
      <c r="N91" t="inlineStr">
        <is>
          <t>LOCAL</t>
        </is>
      </c>
      <c r="O91" t="inlineStr">
        <is>
          <t>AUD</t>
        </is>
      </c>
      <c r="P91" t="n">
        <v>0</v>
      </c>
      <c r="Q91" t="inlineStr">
        <is>
          <t>AUD</t>
        </is>
      </c>
      <c r="R91" t="n">
        <v>1.250651</v>
      </c>
      <c r="S91" t="inlineStr">
        <is>
          <t>AUD</t>
        </is>
      </c>
      <c r="T91" t="n">
        <v>0</v>
      </c>
      <c r="U91" t="inlineStr">
        <is>
          <t>AUD</t>
        </is>
      </c>
      <c r="V91" t="n">
        <v>0</v>
      </c>
      <c r="W91" t="inlineStr">
        <is>
          <t>AUD</t>
        </is>
      </c>
      <c r="X91" t="n">
        <v>0</v>
      </c>
      <c r="Y91" t="n">
        <v>30</v>
      </c>
      <c r="Z91" t="inlineStr">
        <is>
          <t>AUD</t>
        </is>
      </c>
      <c r="AA91" t="n">
        <v>0</v>
      </c>
      <c r="AB91" t="inlineStr">
        <is>
          <t>AUD</t>
        </is>
      </c>
      <c r="AC91" t="n">
        <v>151.328771</v>
      </c>
      <c r="AD91" t="inlineStr">
        <is>
          <t>AUD</t>
        </is>
      </c>
      <c r="AE91" t="n">
        <v>64.855188</v>
      </c>
      <c r="AF91" t="inlineStr">
        <is>
          <t>AUD</t>
        </is>
      </c>
      <c r="AG91" t="n">
        <v>151.328771</v>
      </c>
      <c r="AH91" t="inlineStr">
        <is>
          <t>AUD</t>
        </is>
      </c>
      <c r="AI91" t="n">
        <v>151.328771</v>
      </c>
      <c r="AJ91" t="n">
        <v/>
      </c>
    </row>
    <row r="92">
      <c r="A92" s="5" t="inlineStr">
        <is>
          <t>01a1212c-bbf4-772d-ad24-c6c4b0247140</t>
        </is>
      </c>
      <c r="B92" t="inlineStr">
        <is>
          <t>2023-11-13_AAPL</t>
        </is>
      </c>
      <c r="C92" s="5" t="inlineStr">
        <is>
          <t>01a1212c-4b57-70cf-80fd-c2192cb3bf81</t>
        </is>
      </c>
      <c r="D92" s="4" t="n">
        <v>46304.62433174198</v>
      </c>
      <c r="E92" s="4" t="n">
        <v>46304.62433174212</v>
      </c>
      <c r="F92" t="b">
        <v>1</v>
      </c>
      <c r="G92" t="n">
        <v/>
      </c>
      <c r="H92" t="inlineStr">
        <is>
          <t>2023-11-13 | Dividend | AAPL</t>
        </is>
      </c>
      <c r="I92" t="inlineStr">
        <is>
          <t>AAPL</t>
        </is>
      </c>
      <c r="J92" s="6" t="n">
        <v>45243</v>
      </c>
      <c r="K92" t="n">
        <v>152</v>
      </c>
      <c r="L92" t="inlineStr"/>
      <c r="M92" t="inlineStr">
        <is>
          <t>FY2023/24</t>
        </is>
      </c>
      <c r="N92" t="inlineStr">
        <is>
          <t>FOREIGN</t>
        </is>
      </c>
      <c r="O92" t="inlineStr">
        <is>
          <t>USD</t>
        </is>
      </c>
      <c r="P92" t="n">
        <v>0.24</v>
      </c>
      <c r="Q92" t="inlineStr">
        <is>
          <t>USD</t>
        </is>
      </c>
      <c r="R92" t="n">
        <v>0</v>
      </c>
      <c r="S92" t="inlineStr">
        <is>
          <t>USD</t>
        </is>
      </c>
      <c r="T92" t="n">
        <v>0</v>
      </c>
      <c r="U92" t="inlineStr">
        <is>
          <t>USD</t>
        </is>
      </c>
      <c r="V92" t="n">
        <v>5.47</v>
      </c>
      <c r="W92" t="inlineStr">
        <is>
          <t>USD</t>
        </is>
      </c>
      <c r="X92" t="n">
        <v>0</v>
      </c>
      <c r="Y92" t="n">
        <v>30</v>
      </c>
      <c r="Z92" t="inlineStr">
        <is>
          <t>USD</t>
        </is>
      </c>
      <c r="AA92" t="n">
        <v>36.48</v>
      </c>
      <c r="AB92" t="inlineStr">
        <is>
          <t>USD</t>
        </is>
      </c>
      <c r="AC92" t="n">
        <v>0</v>
      </c>
      <c r="AD92" t="inlineStr">
        <is>
          <t>USD</t>
        </is>
      </c>
      <c r="AE92" t="n">
        <v>0</v>
      </c>
      <c r="AF92" t="inlineStr">
        <is>
          <t>USD</t>
        </is>
      </c>
      <c r="AG92" t="n">
        <v>36.48</v>
      </c>
      <c r="AH92" t="inlineStr">
        <is>
          <t>AUD</t>
        </is>
      </c>
      <c r="AI92" t="n">
        <v>54.72</v>
      </c>
      <c r="AJ92" s="5" t="inlineStr">
        <is>
          <t>01a1212c-bbf5-7058-928e-e455b684cb0c</t>
        </is>
      </c>
    </row>
    <row r="93">
      <c r="A93" s="5" t="inlineStr">
        <is>
          <t>01a1212c-bbf8-7708-bdf4-9855d995cf66</t>
        </is>
      </c>
      <c r="B93" t="inlineStr">
        <is>
          <t>2023-12-06_MSFT</t>
        </is>
      </c>
      <c r="C93" s="5" t="inlineStr">
        <is>
          <t>01a1212c-4b57-70cf-80fd-c2192cb3bf81</t>
        </is>
      </c>
      <c r="D93" s="4" t="n">
        <v>46304.62433178791</v>
      </c>
      <c r="E93" s="4" t="n">
        <v>46304.62433178798</v>
      </c>
      <c r="F93" t="b">
        <v>1</v>
      </c>
      <c r="G93" t="n">
        <v/>
      </c>
      <c r="H93" t="inlineStr">
        <is>
          <t>2023-12-06 | Dividend | MSFT</t>
        </is>
      </c>
      <c r="I93" t="inlineStr">
        <is>
          <t>MSFT</t>
        </is>
      </c>
      <c r="J93" s="6" t="n">
        <v>45266</v>
      </c>
      <c r="K93" t="n">
        <v>99</v>
      </c>
      <c r="L93" t="inlineStr"/>
      <c r="M93" t="inlineStr">
        <is>
          <t>FY2023/24</t>
        </is>
      </c>
      <c r="N93" t="inlineStr">
        <is>
          <t>FOREIGN</t>
        </is>
      </c>
      <c r="O93" t="inlineStr">
        <is>
          <t>USD</t>
        </is>
      </c>
      <c r="P93" t="n">
        <v>0.75</v>
      </c>
      <c r="Q93" t="inlineStr">
        <is>
          <t>USD</t>
        </is>
      </c>
      <c r="R93" t="n">
        <v>0</v>
      </c>
      <c r="S93" t="inlineStr">
        <is>
          <t>USD</t>
        </is>
      </c>
      <c r="T93" t="n">
        <v>0</v>
      </c>
      <c r="U93" t="inlineStr">
        <is>
          <t>USD</t>
        </is>
      </c>
      <c r="V93" t="n">
        <v>11.14</v>
      </c>
      <c r="W93" t="inlineStr">
        <is>
          <t>USD</t>
        </is>
      </c>
      <c r="X93" t="n">
        <v>0</v>
      </c>
      <c r="Y93" t="n">
        <v>30</v>
      </c>
      <c r="Z93" t="inlineStr">
        <is>
          <t>USD</t>
        </is>
      </c>
      <c r="AA93" t="n">
        <v>74.25</v>
      </c>
      <c r="AB93" t="inlineStr">
        <is>
          <t>USD</t>
        </is>
      </c>
      <c r="AC93" t="n">
        <v>0</v>
      </c>
      <c r="AD93" t="inlineStr">
        <is>
          <t>USD</t>
        </is>
      </c>
      <c r="AE93" t="n">
        <v>0</v>
      </c>
      <c r="AF93" t="inlineStr">
        <is>
          <t>USD</t>
        </is>
      </c>
      <c r="AG93" t="n">
        <v>74.25</v>
      </c>
      <c r="AH93" t="inlineStr">
        <is>
          <t>AUD</t>
        </is>
      </c>
      <c r="AI93" t="n">
        <v>111.375</v>
      </c>
      <c r="AJ93" s="5" t="inlineStr">
        <is>
          <t>01a1212c-bbf9-75c5-b95e-e7d2d8c88930</t>
        </is>
      </c>
    </row>
    <row r="94">
      <c r="A94" s="5" t="inlineStr">
        <is>
          <t>01a1212c-bbfd-71de-b179-5d99a25609b5</t>
        </is>
      </c>
      <c r="B94" t="inlineStr">
        <is>
          <t>2024-02-12_AAPL</t>
        </is>
      </c>
      <c r="C94" s="5" t="inlineStr">
        <is>
          <t>01a1212c-4b57-70cf-80fd-c2192cb3bf81</t>
        </is>
      </c>
      <c r="D94" s="4" t="n">
        <v>46304.62433183616</v>
      </c>
      <c r="E94" s="4" t="n">
        <v>46304.62433183622</v>
      </c>
      <c r="F94" t="b">
        <v>1</v>
      </c>
      <c r="G94" t="n">
        <v/>
      </c>
      <c r="H94" t="inlineStr">
        <is>
          <t>2024-02-12 | Dividend | AAPL</t>
        </is>
      </c>
      <c r="I94" t="inlineStr">
        <is>
          <t>AAPL</t>
        </is>
      </c>
      <c r="J94" s="6" t="n">
        <v>45334</v>
      </c>
      <c r="K94" t="n">
        <v>158</v>
      </c>
      <c r="L94" t="inlineStr"/>
      <c r="M94" t="inlineStr">
        <is>
          <t>FY2023/24</t>
        </is>
      </c>
      <c r="N94" t="inlineStr">
        <is>
          <t>FOREIGN</t>
        </is>
      </c>
      <c r="O94" t="inlineStr">
        <is>
          <t>USD</t>
        </is>
      </c>
      <c r="P94" t="n">
        <v>0.24</v>
      </c>
      <c r="Q94" t="inlineStr">
        <is>
          <t>USD</t>
        </is>
      </c>
      <c r="R94" t="n">
        <v>0</v>
      </c>
      <c r="S94" t="inlineStr">
        <is>
          <t>USD</t>
        </is>
      </c>
      <c r="T94" t="n">
        <v>0</v>
      </c>
      <c r="U94" t="inlineStr">
        <is>
          <t>USD</t>
        </is>
      </c>
      <c r="V94" t="n">
        <v>5.69</v>
      </c>
      <c r="W94" t="inlineStr">
        <is>
          <t>USD</t>
        </is>
      </c>
      <c r="X94" t="n">
        <v>0</v>
      </c>
      <c r="Y94" t="n">
        <v>30</v>
      </c>
      <c r="Z94" t="inlineStr">
        <is>
          <t>USD</t>
        </is>
      </c>
      <c r="AA94" t="n">
        <v>37.92</v>
      </c>
      <c r="AB94" t="inlineStr">
        <is>
          <t>USD</t>
        </is>
      </c>
      <c r="AC94" t="n">
        <v>0</v>
      </c>
      <c r="AD94" t="inlineStr">
        <is>
          <t>USD</t>
        </is>
      </c>
      <c r="AE94" t="n">
        <v>0</v>
      </c>
      <c r="AF94" t="inlineStr">
        <is>
          <t>USD</t>
        </is>
      </c>
      <c r="AG94" t="n">
        <v>37.92</v>
      </c>
      <c r="AH94" t="inlineStr">
        <is>
          <t>AUD</t>
        </is>
      </c>
      <c r="AI94" t="n">
        <v>56.88</v>
      </c>
      <c r="AJ94" s="5" t="inlineStr">
        <is>
          <t>01a1212c-bbfd-71de-b179-5d9ae0379078</t>
        </is>
      </c>
    </row>
    <row r="95">
      <c r="A95" s="5" t="inlineStr">
        <is>
          <t>01a1212c-bc00-7293-8807-c23599af66ab</t>
        </is>
      </c>
      <c r="B95" t="inlineStr">
        <is>
          <t>2024-03-06_MSFT</t>
        </is>
      </c>
      <c r="C95" s="5" t="inlineStr">
        <is>
          <t>01a1212c-4b57-70cf-80fd-c2192cb3bf81</t>
        </is>
      </c>
      <c r="D95" s="4" t="n">
        <v>46304.62433188251</v>
      </c>
      <c r="E95" s="4" t="n">
        <v>46304.62433188259</v>
      </c>
      <c r="F95" t="b">
        <v>1</v>
      </c>
      <c r="G95" t="n">
        <v/>
      </c>
      <c r="H95" t="inlineStr">
        <is>
          <t>2024-03-06 | Dividend | MSFT</t>
        </is>
      </c>
      <c r="I95" t="inlineStr">
        <is>
          <t>MSFT</t>
        </is>
      </c>
      <c r="J95" s="6" t="n">
        <v>45357</v>
      </c>
      <c r="K95" t="n">
        <v>100</v>
      </c>
      <c r="L95" t="inlineStr"/>
      <c r="M95" t="inlineStr">
        <is>
          <t>FY2023/24</t>
        </is>
      </c>
      <c r="N95" t="inlineStr">
        <is>
          <t>FOREIGN</t>
        </is>
      </c>
      <c r="O95" t="inlineStr">
        <is>
          <t>USD</t>
        </is>
      </c>
      <c r="P95" t="n">
        <v>0.75</v>
      </c>
      <c r="Q95" t="inlineStr">
        <is>
          <t>USD</t>
        </is>
      </c>
      <c r="R95" t="n">
        <v>0</v>
      </c>
      <c r="S95" t="inlineStr">
        <is>
          <t>USD</t>
        </is>
      </c>
      <c r="T95" t="n">
        <v>0</v>
      </c>
      <c r="U95" t="inlineStr">
        <is>
          <t>USD</t>
        </is>
      </c>
      <c r="V95" t="n">
        <v>11.25</v>
      </c>
      <c r="W95" t="inlineStr">
        <is>
          <t>USD</t>
        </is>
      </c>
      <c r="X95" t="n">
        <v>0</v>
      </c>
      <c r="Y95" t="n">
        <v>30</v>
      </c>
      <c r="Z95" t="inlineStr">
        <is>
          <t>USD</t>
        </is>
      </c>
      <c r="AA95" t="n">
        <v>75</v>
      </c>
      <c r="AB95" t="inlineStr">
        <is>
          <t>USD</t>
        </is>
      </c>
      <c r="AC95" t="n">
        <v>0</v>
      </c>
      <c r="AD95" t="inlineStr">
        <is>
          <t>USD</t>
        </is>
      </c>
      <c r="AE95" t="n">
        <v>0</v>
      </c>
      <c r="AF95" t="inlineStr">
        <is>
          <t>USD</t>
        </is>
      </c>
      <c r="AG95" t="n">
        <v>75</v>
      </c>
      <c r="AH95" t="inlineStr">
        <is>
          <t>AUD</t>
        </is>
      </c>
      <c r="AI95" t="n">
        <v>112.5</v>
      </c>
      <c r="AJ95" s="5" t="inlineStr">
        <is>
          <t>01a1212c-bc01-75d8-b725-f9d7056b8f5d</t>
        </is>
      </c>
    </row>
    <row r="96">
      <c r="A96" s="5" t="inlineStr">
        <is>
          <t>01a1212c-bc05-72df-85e3-d75b6eae2961</t>
        </is>
      </c>
      <c r="B96" t="inlineStr">
        <is>
          <t>2024-03-27_CBA.AX</t>
        </is>
      </c>
      <c r="C96" s="5" t="inlineStr">
        <is>
          <t>01a1212c-4b57-70cf-80fd-c2192cb3bf81</t>
        </is>
      </c>
      <c r="D96" s="4" t="n">
        <v>46304.62433191494</v>
      </c>
      <c r="E96" s="4" t="n">
        <v>46304.62433191501</v>
      </c>
      <c r="F96" t="b">
        <v>1</v>
      </c>
      <c r="G96" t="n">
        <v/>
      </c>
      <c r="H96" t="inlineStr">
        <is>
          <t>2024-03-27 | Dividend | CBA</t>
        </is>
      </c>
      <c r="I96" t="inlineStr">
        <is>
          <t>CBA</t>
        </is>
      </c>
      <c r="J96" s="6" t="n">
        <v>45378</v>
      </c>
      <c r="K96" t="n">
        <v>38</v>
      </c>
      <c r="L96" t="inlineStr"/>
      <c r="M96" t="inlineStr">
        <is>
          <t>FY2023/24</t>
        </is>
      </c>
      <c r="N96" t="inlineStr">
        <is>
          <t>LOCAL</t>
        </is>
      </c>
      <c r="O96" t="inlineStr">
        <is>
          <t>AUD</t>
        </is>
      </c>
      <c r="P96" t="n">
        <v>0</v>
      </c>
      <c r="Q96" t="inlineStr">
        <is>
          <t>AUD</t>
        </is>
      </c>
      <c r="R96" t="n">
        <v>2.15</v>
      </c>
      <c r="S96" t="inlineStr">
        <is>
          <t>AUD</t>
        </is>
      </c>
      <c r="T96" t="n">
        <v>0</v>
      </c>
      <c r="U96" t="inlineStr">
        <is>
          <t>AUD</t>
        </is>
      </c>
      <c r="V96" t="n">
        <v>0</v>
      </c>
      <c r="W96" t="inlineStr">
        <is>
          <t>AUD</t>
        </is>
      </c>
      <c r="X96" t="n">
        <v>0</v>
      </c>
      <c r="Y96" t="n">
        <v>30</v>
      </c>
      <c r="Z96" t="inlineStr">
        <is>
          <t>AUD</t>
        </is>
      </c>
      <c r="AA96" t="n">
        <v>0</v>
      </c>
      <c r="AB96" t="inlineStr">
        <is>
          <t>AUD</t>
        </is>
      </c>
      <c r="AC96" t="n">
        <v>81.7</v>
      </c>
      <c r="AD96" t="inlineStr">
        <is>
          <t>AUD</t>
        </is>
      </c>
      <c r="AE96" t="n">
        <v>35.014286</v>
      </c>
      <c r="AF96" t="inlineStr">
        <is>
          <t>AUD</t>
        </is>
      </c>
      <c r="AG96" t="n">
        <v>81.7</v>
      </c>
      <c r="AH96" t="inlineStr">
        <is>
          <t>AUD</t>
        </is>
      </c>
      <c r="AI96" t="n">
        <v>81.7</v>
      </c>
      <c r="AJ96" t="n">
        <v/>
      </c>
    </row>
    <row r="97">
      <c r="A97" s="5" t="inlineStr">
        <is>
          <t>01a1212c-bc07-70a6-8f68-30e7a871f80f</t>
        </is>
      </c>
      <c r="B97" t="inlineStr">
        <is>
          <t>2024-03-28_BHP.AX</t>
        </is>
      </c>
      <c r="C97" s="5" t="inlineStr">
        <is>
          <t>01a1212c-4b57-70cf-80fd-c2192cb3bf81</t>
        </is>
      </c>
      <c r="D97" s="4" t="n">
        <v>46304.62433194668</v>
      </c>
      <c r="E97" s="4" t="n">
        <v>46304.62433194675</v>
      </c>
      <c r="F97" t="b">
        <v>1</v>
      </c>
      <c r="G97" t="n">
        <v/>
      </c>
      <c r="H97" t="inlineStr">
        <is>
          <t>2024-03-28 | Dividend | BHP</t>
        </is>
      </c>
      <c r="I97" t="inlineStr">
        <is>
          <t>BHP</t>
        </is>
      </c>
      <c r="J97" s="6" t="n">
        <v>45379</v>
      </c>
      <c r="K97" t="n">
        <v>138</v>
      </c>
      <c r="L97" t="inlineStr"/>
      <c r="M97" t="inlineStr">
        <is>
          <t>FY2023/24</t>
        </is>
      </c>
      <c r="N97" t="inlineStr">
        <is>
          <t>LOCAL</t>
        </is>
      </c>
      <c r="O97" t="inlineStr">
        <is>
          <t>AUD</t>
        </is>
      </c>
      <c r="P97" t="n">
        <v>0</v>
      </c>
      <c r="Q97" t="inlineStr">
        <is>
          <t>AUD</t>
        </is>
      </c>
      <c r="R97" t="n">
        <v>1.096196</v>
      </c>
      <c r="S97" t="inlineStr">
        <is>
          <t>AUD</t>
        </is>
      </c>
      <c r="T97" t="n">
        <v>0</v>
      </c>
      <c r="U97" t="inlineStr">
        <is>
          <t>AUD</t>
        </is>
      </c>
      <c r="V97" t="n">
        <v>0</v>
      </c>
      <c r="W97" t="inlineStr">
        <is>
          <t>AUD</t>
        </is>
      </c>
      <c r="X97" t="n">
        <v>0</v>
      </c>
      <c r="Y97" t="n">
        <v>30</v>
      </c>
      <c r="Z97" t="inlineStr">
        <is>
          <t>AUD</t>
        </is>
      </c>
      <c r="AA97" t="n">
        <v>0</v>
      </c>
      <c r="AB97" t="inlineStr">
        <is>
          <t>AUD</t>
        </is>
      </c>
      <c r="AC97" t="n">
        <v>151.275048</v>
      </c>
      <c r="AD97" t="inlineStr">
        <is>
          <t>AUD</t>
        </is>
      </c>
      <c r="AE97" t="n">
        <v>64.83216299999999</v>
      </c>
      <c r="AF97" t="inlineStr">
        <is>
          <t>AUD</t>
        </is>
      </c>
      <c r="AG97" t="n">
        <v>151.275048</v>
      </c>
      <c r="AH97" t="inlineStr">
        <is>
          <t>AUD</t>
        </is>
      </c>
      <c r="AI97" t="n">
        <v>151.275048</v>
      </c>
      <c r="AJ97" t="n">
        <v/>
      </c>
    </row>
    <row r="98">
      <c r="A98" s="5" t="inlineStr">
        <is>
          <t>01a1212c-bc0a-72b6-9892-2649475c58db</t>
        </is>
      </c>
      <c r="B98" t="inlineStr">
        <is>
          <t>2024-05-13_AAPL</t>
        </is>
      </c>
      <c r="C98" s="5" t="inlineStr">
        <is>
          <t>01a1212c-4b57-70cf-80fd-c2192cb3bf81</t>
        </is>
      </c>
      <c r="D98" s="4" t="n">
        <v>46304.62433199275</v>
      </c>
      <c r="E98" s="4" t="n">
        <v>46304.62433199281</v>
      </c>
      <c r="F98" t="b">
        <v>1</v>
      </c>
      <c r="G98" t="n">
        <v/>
      </c>
      <c r="H98" t="inlineStr">
        <is>
          <t>2024-05-13 | Dividend | AAPL</t>
        </is>
      </c>
      <c r="I98" t="inlineStr">
        <is>
          <t>AAPL</t>
        </is>
      </c>
      <c r="J98" s="6" t="n">
        <v>45425</v>
      </c>
      <c r="K98" t="n">
        <v>161</v>
      </c>
      <c r="L98" t="inlineStr"/>
      <c r="M98" t="inlineStr">
        <is>
          <t>FY2023/24</t>
        </is>
      </c>
      <c r="N98" t="inlineStr">
        <is>
          <t>FOREIGN</t>
        </is>
      </c>
      <c r="O98" t="inlineStr">
        <is>
          <t>USD</t>
        </is>
      </c>
      <c r="P98" t="n">
        <v>0.25</v>
      </c>
      <c r="Q98" t="inlineStr">
        <is>
          <t>USD</t>
        </is>
      </c>
      <c r="R98" t="n">
        <v>0</v>
      </c>
      <c r="S98" t="inlineStr">
        <is>
          <t>USD</t>
        </is>
      </c>
      <c r="T98" t="n">
        <v>0</v>
      </c>
      <c r="U98" t="inlineStr">
        <is>
          <t>USD</t>
        </is>
      </c>
      <c r="V98" t="n">
        <v>6.04</v>
      </c>
      <c r="W98" t="inlineStr">
        <is>
          <t>USD</t>
        </is>
      </c>
      <c r="X98" t="n">
        <v>0</v>
      </c>
      <c r="Y98" t="n">
        <v>30</v>
      </c>
      <c r="Z98" t="inlineStr">
        <is>
          <t>USD</t>
        </is>
      </c>
      <c r="AA98" t="n">
        <v>40.25</v>
      </c>
      <c r="AB98" t="inlineStr">
        <is>
          <t>USD</t>
        </is>
      </c>
      <c r="AC98" t="n">
        <v>0</v>
      </c>
      <c r="AD98" t="inlineStr">
        <is>
          <t>USD</t>
        </is>
      </c>
      <c r="AE98" t="n">
        <v>0</v>
      </c>
      <c r="AF98" t="inlineStr">
        <is>
          <t>USD</t>
        </is>
      </c>
      <c r="AG98" t="n">
        <v>40.25</v>
      </c>
      <c r="AH98" t="inlineStr">
        <is>
          <t>AUD</t>
        </is>
      </c>
      <c r="AI98" t="n">
        <v>60.375</v>
      </c>
      <c r="AJ98" s="5" t="inlineStr">
        <is>
          <t>01a1212c-bc0b-710f-a0bd-12e6ee05e4fb</t>
        </is>
      </c>
    </row>
    <row r="99">
      <c r="A99" s="5" t="inlineStr">
        <is>
          <t>01a1212c-bc0e-7787-8b82-f7cbd44cd907</t>
        </is>
      </c>
      <c r="B99" t="inlineStr">
        <is>
          <t>2024-06-05_MSFT</t>
        </is>
      </c>
      <c r="C99" s="5" t="inlineStr">
        <is>
          <t>01a1212c-4b57-70cf-80fd-c2192cb3bf81</t>
        </is>
      </c>
      <c r="D99" s="4" t="n">
        <v>46304.62433204116</v>
      </c>
      <c r="E99" s="4" t="n">
        <v>46304.62433204122</v>
      </c>
      <c r="F99" t="b">
        <v>1</v>
      </c>
      <c r="G99" t="n">
        <v/>
      </c>
      <c r="H99" t="inlineStr">
        <is>
          <t>2024-06-05 | Dividend | MSFT</t>
        </is>
      </c>
      <c r="I99" t="inlineStr">
        <is>
          <t>MSFT</t>
        </is>
      </c>
      <c r="J99" s="6" t="n">
        <v>45448</v>
      </c>
      <c r="K99" t="n">
        <v>100</v>
      </c>
      <c r="L99" t="inlineStr"/>
      <c r="M99" t="inlineStr">
        <is>
          <t>FY2023/24</t>
        </is>
      </c>
      <c r="N99" t="inlineStr">
        <is>
          <t>FOREIGN</t>
        </is>
      </c>
      <c r="O99" t="inlineStr">
        <is>
          <t>USD</t>
        </is>
      </c>
      <c r="P99" t="n">
        <v>0.75</v>
      </c>
      <c r="Q99" t="inlineStr">
        <is>
          <t>USD</t>
        </is>
      </c>
      <c r="R99" t="n">
        <v>0</v>
      </c>
      <c r="S99" t="inlineStr">
        <is>
          <t>USD</t>
        </is>
      </c>
      <c r="T99" t="n">
        <v>0</v>
      </c>
      <c r="U99" t="inlineStr">
        <is>
          <t>USD</t>
        </is>
      </c>
      <c r="V99" t="n">
        <v>11.25</v>
      </c>
      <c r="W99" t="inlineStr">
        <is>
          <t>USD</t>
        </is>
      </c>
      <c r="X99" t="n">
        <v>0</v>
      </c>
      <c r="Y99" t="n">
        <v>30</v>
      </c>
      <c r="Z99" t="inlineStr">
        <is>
          <t>USD</t>
        </is>
      </c>
      <c r="AA99" t="n">
        <v>75</v>
      </c>
      <c r="AB99" t="inlineStr">
        <is>
          <t>USD</t>
        </is>
      </c>
      <c r="AC99" t="n">
        <v>0</v>
      </c>
      <c r="AD99" t="inlineStr">
        <is>
          <t>USD</t>
        </is>
      </c>
      <c r="AE99" t="n">
        <v>0</v>
      </c>
      <c r="AF99" t="inlineStr">
        <is>
          <t>USD</t>
        </is>
      </c>
      <c r="AG99" t="n">
        <v>75</v>
      </c>
      <c r="AH99" t="inlineStr">
        <is>
          <t>AUD</t>
        </is>
      </c>
      <c r="AI99" t="n">
        <v>112.5</v>
      </c>
      <c r="AJ99" s="5" t="inlineStr">
        <is>
          <t>01a1212c-bc0f-72da-8953-64d94d8163b4</t>
        </is>
      </c>
    </row>
    <row r="100">
      <c r="A100" s="5" t="inlineStr">
        <is>
          <t>01a1212c-bc12-7063-9361-645e86e5ac99</t>
        </is>
      </c>
      <c r="B100" t="inlineStr">
        <is>
          <t>2024-08-15_AAPL</t>
        </is>
      </c>
      <c r="C100" s="5" t="inlineStr">
        <is>
          <t>01a1212c-4b57-70cf-80fd-c2192cb3bf81</t>
        </is>
      </c>
      <c r="D100" s="4" t="n">
        <v>46304.62433208882</v>
      </c>
      <c r="E100" s="4" t="n">
        <v>46304.62433208889</v>
      </c>
      <c r="F100" t="b">
        <v>1</v>
      </c>
      <c r="G100" t="n">
        <v/>
      </c>
      <c r="H100" t="inlineStr">
        <is>
          <t>2024-08-15 | Dividend | AAPL</t>
        </is>
      </c>
      <c r="I100" t="inlineStr">
        <is>
          <t>AAPL</t>
        </is>
      </c>
      <c r="J100" s="6" t="n">
        <v>45519</v>
      </c>
      <c r="K100" t="n">
        <v>164</v>
      </c>
      <c r="L100" t="inlineStr"/>
      <c r="M100" t="inlineStr">
        <is>
          <t>FY2024/25</t>
        </is>
      </c>
      <c r="N100" t="inlineStr">
        <is>
          <t>FOREIGN</t>
        </is>
      </c>
      <c r="O100" t="inlineStr">
        <is>
          <t>USD</t>
        </is>
      </c>
      <c r="P100" t="n">
        <v>0.25</v>
      </c>
      <c r="Q100" t="inlineStr">
        <is>
          <t>USD</t>
        </is>
      </c>
      <c r="R100" t="n">
        <v>0</v>
      </c>
      <c r="S100" t="inlineStr">
        <is>
          <t>USD</t>
        </is>
      </c>
      <c r="T100" t="n">
        <v>0</v>
      </c>
      <c r="U100" t="inlineStr">
        <is>
          <t>USD</t>
        </is>
      </c>
      <c r="V100" t="n">
        <v>6.15</v>
      </c>
      <c r="W100" t="inlineStr">
        <is>
          <t>USD</t>
        </is>
      </c>
      <c r="X100" t="n">
        <v>0</v>
      </c>
      <c r="Y100" t="n">
        <v>30</v>
      </c>
      <c r="Z100" t="inlineStr">
        <is>
          <t>USD</t>
        </is>
      </c>
      <c r="AA100" t="n">
        <v>41</v>
      </c>
      <c r="AB100" t="inlineStr">
        <is>
          <t>USD</t>
        </is>
      </c>
      <c r="AC100" t="n">
        <v>0</v>
      </c>
      <c r="AD100" t="inlineStr">
        <is>
          <t>USD</t>
        </is>
      </c>
      <c r="AE100" t="n">
        <v>0</v>
      </c>
      <c r="AF100" t="inlineStr">
        <is>
          <t>USD</t>
        </is>
      </c>
      <c r="AG100" t="n">
        <v>41</v>
      </c>
      <c r="AH100" t="inlineStr">
        <is>
          <t>AUD</t>
        </is>
      </c>
      <c r="AI100" t="n">
        <v>61.5</v>
      </c>
      <c r="AJ100" s="5" t="inlineStr">
        <is>
          <t>01a1212c-bc13-77c2-abab-55d66362cdca</t>
        </is>
      </c>
    </row>
    <row r="101">
      <c r="A101" s="5" t="inlineStr">
        <is>
          <t>01a1212c-bc16-752a-928a-0b4d44a77202</t>
        </is>
      </c>
      <c r="B101" t="inlineStr">
        <is>
          <t>2024-09-05_MSFT</t>
        </is>
      </c>
      <c r="C101" s="5" t="inlineStr">
        <is>
          <t>01a1212c-4b57-70cf-80fd-c2192cb3bf81</t>
        </is>
      </c>
      <c r="D101" s="4" t="n">
        <v>46304.62433213556</v>
      </c>
      <c r="E101" s="4" t="n">
        <v>46304.62433213562</v>
      </c>
      <c r="F101" t="b">
        <v>1</v>
      </c>
      <c r="G101" t="n">
        <v/>
      </c>
      <c r="H101" t="inlineStr">
        <is>
          <t>2024-09-05 | Dividend | MSFT</t>
        </is>
      </c>
      <c r="I101" t="inlineStr">
        <is>
          <t>MSFT</t>
        </is>
      </c>
      <c r="J101" s="6" t="n">
        <v>45540</v>
      </c>
      <c r="K101" t="n">
        <v>100</v>
      </c>
      <c r="L101" t="inlineStr"/>
      <c r="M101" t="inlineStr">
        <is>
          <t>FY2024/25</t>
        </is>
      </c>
      <c r="N101" t="inlineStr">
        <is>
          <t>FOREIGN</t>
        </is>
      </c>
      <c r="O101" t="inlineStr">
        <is>
          <t>USD</t>
        </is>
      </c>
      <c r="P101" t="n">
        <v>0.75</v>
      </c>
      <c r="Q101" t="inlineStr">
        <is>
          <t>USD</t>
        </is>
      </c>
      <c r="R101" t="n">
        <v>0</v>
      </c>
      <c r="S101" t="inlineStr">
        <is>
          <t>USD</t>
        </is>
      </c>
      <c r="T101" t="n">
        <v>0</v>
      </c>
      <c r="U101" t="inlineStr">
        <is>
          <t>USD</t>
        </is>
      </c>
      <c r="V101" t="n">
        <v>11.25</v>
      </c>
      <c r="W101" t="inlineStr">
        <is>
          <t>USD</t>
        </is>
      </c>
      <c r="X101" t="n">
        <v>0</v>
      </c>
      <c r="Y101" t="n">
        <v>30</v>
      </c>
      <c r="Z101" t="inlineStr">
        <is>
          <t>USD</t>
        </is>
      </c>
      <c r="AA101" t="n">
        <v>75</v>
      </c>
      <c r="AB101" t="inlineStr">
        <is>
          <t>USD</t>
        </is>
      </c>
      <c r="AC101" t="n">
        <v>0</v>
      </c>
      <c r="AD101" t="inlineStr">
        <is>
          <t>USD</t>
        </is>
      </c>
      <c r="AE101" t="n">
        <v>0</v>
      </c>
      <c r="AF101" t="inlineStr">
        <is>
          <t>USD</t>
        </is>
      </c>
      <c r="AG101" t="n">
        <v>75</v>
      </c>
      <c r="AH101" t="inlineStr">
        <is>
          <t>AUD</t>
        </is>
      </c>
      <c r="AI101" t="n">
        <v>112.5</v>
      </c>
      <c r="AJ101" s="5" t="inlineStr">
        <is>
          <t>01a1212c-bc17-765e-9a76-00d196a58bbe</t>
        </is>
      </c>
    </row>
    <row r="102">
      <c r="A102" s="5" t="inlineStr">
        <is>
          <t>01a1212c-bc1b-7342-a51f-d94bf1627939</t>
        </is>
      </c>
      <c r="B102" t="inlineStr">
        <is>
          <t>2024-09-25_CBA.AX</t>
        </is>
      </c>
      <c r="C102" s="5" t="inlineStr">
        <is>
          <t>01a1212c-4b57-70cf-80fd-c2192cb3bf81</t>
        </is>
      </c>
      <c r="D102" s="4" t="n">
        <v>46304.62433216871</v>
      </c>
      <c r="E102" s="4" t="n">
        <v>46304.62433216877</v>
      </c>
      <c r="F102" t="b">
        <v>1</v>
      </c>
      <c r="G102" t="n">
        <v/>
      </c>
      <c r="H102" t="inlineStr">
        <is>
          <t>2024-09-25 | Dividend | CBA</t>
        </is>
      </c>
      <c r="I102" t="inlineStr">
        <is>
          <t>CBA</t>
        </is>
      </c>
      <c r="J102" s="6" t="n">
        <v>45560</v>
      </c>
      <c r="K102" t="n">
        <v>38</v>
      </c>
      <c r="L102" t="inlineStr"/>
      <c r="M102" t="inlineStr">
        <is>
          <t>FY2024/25</t>
        </is>
      </c>
      <c r="N102" t="inlineStr">
        <is>
          <t>LOCAL</t>
        </is>
      </c>
      <c r="O102" t="inlineStr">
        <is>
          <t>AUD</t>
        </is>
      </c>
      <c r="P102" t="n">
        <v>0</v>
      </c>
      <c r="Q102" t="inlineStr">
        <is>
          <t>AUD</t>
        </is>
      </c>
      <c r="R102" t="n">
        <v>2.5</v>
      </c>
      <c r="S102" t="inlineStr">
        <is>
          <t>AUD</t>
        </is>
      </c>
      <c r="T102" t="n">
        <v>0</v>
      </c>
      <c r="U102" t="inlineStr">
        <is>
          <t>AUD</t>
        </is>
      </c>
      <c r="V102" t="n">
        <v>0</v>
      </c>
      <c r="W102" t="inlineStr">
        <is>
          <t>AUD</t>
        </is>
      </c>
      <c r="X102" t="n">
        <v>0</v>
      </c>
      <c r="Y102" t="n">
        <v>30</v>
      </c>
      <c r="Z102" t="inlineStr">
        <is>
          <t>AUD</t>
        </is>
      </c>
      <c r="AA102" t="n">
        <v>0</v>
      </c>
      <c r="AB102" t="inlineStr">
        <is>
          <t>AUD</t>
        </is>
      </c>
      <c r="AC102" t="n">
        <v>95</v>
      </c>
      <c r="AD102" t="inlineStr">
        <is>
          <t>AUD</t>
        </is>
      </c>
      <c r="AE102" t="n">
        <v>40.714286</v>
      </c>
      <c r="AF102" t="inlineStr">
        <is>
          <t>AUD</t>
        </is>
      </c>
      <c r="AG102" t="n">
        <v>95</v>
      </c>
      <c r="AH102" t="inlineStr">
        <is>
          <t>AUD</t>
        </is>
      </c>
      <c r="AI102" t="n">
        <v>95</v>
      </c>
      <c r="AJ102" t="n">
        <v/>
      </c>
    </row>
    <row r="103">
      <c r="A103" s="5" t="inlineStr">
        <is>
          <t>01a1212c-bc1d-7764-843d-6eae473ec64b</t>
        </is>
      </c>
      <c r="B103" t="inlineStr">
        <is>
          <t>2024-10-03_BHP.AX</t>
        </is>
      </c>
      <c r="C103" s="5" t="inlineStr">
        <is>
          <t>01a1212c-4b57-70cf-80fd-c2192cb3bf81</t>
        </is>
      </c>
      <c r="D103" s="4" t="n">
        <v>46304.62433220074</v>
      </c>
      <c r="E103" s="4" t="n">
        <v>46304.62433220081</v>
      </c>
      <c r="F103" t="b">
        <v>1</v>
      </c>
      <c r="G103" t="n">
        <v/>
      </c>
      <c r="H103" t="inlineStr">
        <is>
          <t>2024-10-03 | Dividend | BHP</t>
        </is>
      </c>
      <c r="I103" t="inlineStr">
        <is>
          <t>BHP</t>
        </is>
      </c>
      <c r="J103" s="6" t="n">
        <v>45568</v>
      </c>
      <c r="K103" t="n">
        <v>138</v>
      </c>
      <c r="L103" t="inlineStr"/>
      <c r="M103" t="inlineStr">
        <is>
          <t>FY2024/25</t>
        </is>
      </c>
      <c r="N103" t="inlineStr">
        <is>
          <t>LOCAL</t>
        </is>
      </c>
      <c r="O103" t="inlineStr">
        <is>
          <t>AUD</t>
        </is>
      </c>
      <c r="P103" t="n">
        <v>0</v>
      </c>
      <c r="Q103" t="inlineStr">
        <is>
          <t>AUD</t>
        </is>
      </c>
      <c r="R103" t="n">
        <v>1.109986</v>
      </c>
      <c r="S103" t="inlineStr">
        <is>
          <t>AUD</t>
        </is>
      </c>
      <c r="T103" t="n">
        <v>0</v>
      </c>
      <c r="U103" t="inlineStr">
        <is>
          <t>AUD</t>
        </is>
      </c>
      <c r="V103" t="n">
        <v>0</v>
      </c>
      <c r="W103" t="inlineStr">
        <is>
          <t>AUD</t>
        </is>
      </c>
      <c r="X103" t="n">
        <v>0</v>
      </c>
      <c r="Y103" t="n">
        <v>30</v>
      </c>
      <c r="Z103" t="inlineStr">
        <is>
          <t>AUD</t>
        </is>
      </c>
      <c r="AA103" t="n">
        <v>0</v>
      </c>
      <c r="AB103" t="inlineStr">
        <is>
          <t>AUD</t>
        </is>
      </c>
      <c r="AC103" t="n">
        <v>153.178068</v>
      </c>
      <c r="AD103" t="inlineStr">
        <is>
          <t>AUD</t>
        </is>
      </c>
      <c r="AE103" t="n">
        <v>65.64774300000001</v>
      </c>
      <c r="AF103" t="inlineStr">
        <is>
          <t>AUD</t>
        </is>
      </c>
      <c r="AG103" t="n">
        <v>153.178068</v>
      </c>
      <c r="AH103" t="inlineStr">
        <is>
          <t>AUD</t>
        </is>
      </c>
      <c r="AI103" t="n">
        <v>153.178068</v>
      </c>
      <c r="AJ103" t="n">
        <v/>
      </c>
    </row>
    <row r="104">
      <c r="A104" s="5" t="inlineStr">
        <is>
          <t>01a1212c-bc20-76a5-8252-da7523096437</t>
        </is>
      </c>
      <c r="B104" t="inlineStr">
        <is>
          <t>2024-11-11_AAPL</t>
        </is>
      </c>
      <c r="C104" s="5" t="inlineStr">
        <is>
          <t>01a1212c-4b57-70cf-80fd-c2192cb3bf81</t>
        </is>
      </c>
      <c r="D104" s="4" t="n">
        <v>46304.62433225073</v>
      </c>
      <c r="E104" s="4" t="n">
        <v>46304.6243322508</v>
      </c>
      <c r="F104" t="b">
        <v>1</v>
      </c>
      <c r="G104" t="n">
        <v/>
      </c>
      <c r="H104" t="inlineStr">
        <is>
          <t>2024-11-11 | Dividend | AAPL</t>
        </is>
      </c>
      <c r="I104" t="inlineStr">
        <is>
          <t>AAPL</t>
        </is>
      </c>
      <c r="J104" s="6" t="n">
        <v>45607</v>
      </c>
      <c r="K104" t="n">
        <v>164</v>
      </c>
      <c r="L104" t="inlineStr"/>
      <c r="M104" t="inlineStr">
        <is>
          <t>FY2024/25</t>
        </is>
      </c>
      <c r="N104" t="inlineStr">
        <is>
          <t>FOREIGN</t>
        </is>
      </c>
      <c r="O104" t="inlineStr">
        <is>
          <t>USD</t>
        </is>
      </c>
      <c r="P104" t="n">
        <v>0.25</v>
      </c>
      <c r="Q104" t="inlineStr">
        <is>
          <t>USD</t>
        </is>
      </c>
      <c r="R104" t="n">
        <v>0</v>
      </c>
      <c r="S104" t="inlineStr">
        <is>
          <t>USD</t>
        </is>
      </c>
      <c r="T104" t="n">
        <v>0</v>
      </c>
      <c r="U104" t="inlineStr">
        <is>
          <t>USD</t>
        </is>
      </c>
      <c r="V104" t="n">
        <v>6.15</v>
      </c>
      <c r="W104" t="inlineStr">
        <is>
          <t>USD</t>
        </is>
      </c>
      <c r="X104" t="n">
        <v>0</v>
      </c>
      <c r="Y104" t="n">
        <v>30</v>
      </c>
      <c r="Z104" t="inlineStr">
        <is>
          <t>USD</t>
        </is>
      </c>
      <c r="AA104" t="n">
        <v>41</v>
      </c>
      <c r="AB104" t="inlineStr">
        <is>
          <t>USD</t>
        </is>
      </c>
      <c r="AC104" t="n">
        <v>0</v>
      </c>
      <c r="AD104" t="inlineStr">
        <is>
          <t>USD</t>
        </is>
      </c>
      <c r="AE104" t="n">
        <v>0</v>
      </c>
      <c r="AF104" t="inlineStr">
        <is>
          <t>USD</t>
        </is>
      </c>
      <c r="AG104" t="n">
        <v>41</v>
      </c>
      <c r="AH104" t="inlineStr">
        <is>
          <t>AUD</t>
        </is>
      </c>
      <c r="AI104" t="n">
        <v>61.5</v>
      </c>
      <c r="AJ104" s="5" t="inlineStr">
        <is>
          <t>01a1212c-bc21-767f-a2e4-e19fb5c2bab0</t>
        </is>
      </c>
    </row>
    <row r="105">
      <c r="A105" s="5" t="inlineStr">
        <is>
          <t>01a1212c-bc24-74d1-9786-2638f5e2c3e5</t>
        </is>
      </c>
      <c r="B105" t="inlineStr">
        <is>
          <t>2024-12-12_MSFT</t>
        </is>
      </c>
      <c r="C105" s="5" t="inlineStr">
        <is>
          <t>01a1212c-4b57-70cf-80fd-c2192cb3bf81</t>
        </is>
      </c>
      <c r="D105" s="4" t="n">
        <v>46304.62433229727</v>
      </c>
      <c r="E105" s="4" t="n">
        <v>46304.62433229734</v>
      </c>
      <c r="F105" t="b">
        <v>1</v>
      </c>
      <c r="G105" t="n">
        <v/>
      </c>
      <c r="H105" t="inlineStr">
        <is>
          <t>2024-12-12 | Dividend | MSFT</t>
        </is>
      </c>
      <c r="I105" t="inlineStr">
        <is>
          <t>MSFT</t>
        </is>
      </c>
      <c r="J105" s="6" t="n">
        <v>45638</v>
      </c>
      <c r="K105" t="n">
        <v>71</v>
      </c>
      <c r="L105" t="inlineStr"/>
      <c r="M105" t="inlineStr">
        <is>
          <t>FY2024/25</t>
        </is>
      </c>
      <c r="N105" t="inlineStr">
        <is>
          <t>FOREIGN</t>
        </is>
      </c>
      <c r="O105" t="inlineStr">
        <is>
          <t>USD</t>
        </is>
      </c>
      <c r="P105" t="n">
        <v>0.83</v>
      </c>
      <c r="Q105" t="inlineStr">
        <is>
          <t>USD</t>
        </is>
      </c>
      <c r="R105" t="n">
        <v>0</v>
      </c>
      <c r="S105" t="inlineStr">
        <is>
          <t>USD</t>
        </is>
      </c>
      <c r="T105" t="n">
        <v>0</v>
      </c>
      <c r="U105" t="inlineStr">
        <is>
          <t>USD</t>
        </is>
      </c>
      <c r="V105" t="n">
        <v>8.84</v>
      </c>
      <c r="W105" t="inlineStr">
        <is>
          <t>USD</t>
        </is>
      </c>
      <c r="X105" t="n">
        <v>0</v>
      </c>
      <c r="Y105" t="n">
        <v>30</v>
      </c>
      <c r="Z105" t="inlineStr">
        <is>
          <t>USD</t>
        </is>
      </c>
      <c r="AA105" t="n">
        <v>58.93</v>
      </c>
      <c r="AB105" t="inlineStr">
        <is>
          <t>USD</t>
        </is>
      </c>
      <c r="AC105" t="n">
        <v>0</v>
      </c>
      <c r="AD105" t="inlineStr">
        <is>
          <t>USD</t>
        </is>
      </c>
      <c r="AE105" t="n">
        <v>0</v>
      </c>
      <c r="AF105" t="inlineStr">
        <is>
          <t>USD</t>
        </is>
      </c>
      <c r="AG105" t="n">
        <v>58.93</v>
      </c>
      <c r="AH105" t="inlineStr">
        <is>
          <t>AUD</t>
        </is>
      </c>
      <c r="AI105" t="n">
        <v>88.395</v>
      </c>
      <c r="AJ105" s="5" t="inlineStr">
        <is>
          <t>01a1212c-bc25-7364-9870-09e7100b7480</t>
        </is>
      </c>
    </row>
    <row r="106">
      <c r="A106" s="5" t="inlineStr">
        <is>
          <t>01a1212c-bc28-70a9-9859-bd29aacba74d</t>
        </is>
      </c>
      <c r="B106" t="inlineStr">
        <is>
          <t>2025-02-13_AAPL</t>
        </is>
      </c>
      <c r="C106" s="5" t="inlineStr">
        <is>
          <t>01a1212c-4b57-70cf-80fd-c2192cb3bf81</t>
        </is>
      </c>
      <c r="D106" s="4" t="n">
        <v>46304.62433234243</v>
      </c>
      <c r="E106" s="4" t="n">
        <v>46304.6243323425</v>
      </c>
      <c r="F106" t="b">
        <v>1</v>
      </c>
      <c r="G106" t="n">
        <v/>
      </c>
      <c r="H106" t="inlineStr">
        <is>
          <t>2025-02-13 | Dividend | AAPL</t>
        </is>
      </c>
      <c r="I106" t="inlineStr">
        <is>
          <t>AAPL</t>
        </is>
      </c>
      <c r="J106" s="6" t="n">
        <v>45701</v>
      </c>
      <c r="K106" t="n">
        <v>164</v>
      </c>
      <c r="L106" t="inlineStr"/>
      <c r="M106" t="inlineStr">
        <is>
          <t>FY2024/25</t>
        </is>
      </c>
      <c r="N106" t="inlineStr">
        <is>
          <t>FOREIGN</t>
        </is>
      </c>
      <c r="O106" t="inlineStr">
        <is>
          <t>USD</t>
        </is>
      </c>
      <c r="P106" t="n">
        <v>0.25</v>
      </c>
      <c r="Q106" t="inlineStr">
        <is>
          <t>USD</t>
        </is>
      </c>
      <c r="R106" t="n">
        <v>0</v>
      </c>
      <c r="S106" t="inlineStr">
        <is>
          <t>USD</t>
        </is>
      </c>
      <c r="T106" t="n">
        <v>0</v>
      </c>
      <c r="U106" t="inlineStr">
        <is>
          <t>USD</t>
        </is>
      </c>
      <c r="V106" t="n">
        <v>6.15</v>
      </c>
      <c r="W106" t="inlineStr">
        <is>
          <t>USD</t>
        </is>
      </c>
      <c r="X106" t="n">
        <v>0</v>
      </c>
      <c r="Y106" t="n">
        <v>30</v>
      </c>
      <c r="Z106" t="inlineStr">
        <is>
          <t>USD</t>
        </is>
      </c>
      <c r="AA106" t="n">
        <v>41</v>
      </c>
      <c r="AB106" t="inlineStr">
        <is>
          <t>USD</t>
        </is>
      </c>
      <c r="AC106" t="n">
        <v>0</v>
      </c>
      <c r="AD106" t="inlineStr">
        <is>
          <t>USD</t>
        </is>
      </c>
      <c r="AE106" t="n">
        <v>0</v>
      </c>
      <c r="AF106" t="inlineStr">
        <is>
          <t>USD</t>
        </is>
      </c>
      <c r="AG106" t="n">
        <v>41</v>
      </c>
      <c r="AH106" t="inlineStr">
        <is>
          <t>AUD</t>
        </is>
      </c>
      <c r="AI106" t="n">
        <v>61.5</v>
      </c>
      <c r="AJ106" s="5" t="inlineStr">
        <is>
          <t>01a1212c-bc29-778c-82c6-722ff0de2417</t>
        </is>
      </c>
    </row>
    <row r="107">
      <c r="A107" s="5" t="inlineStr">
        <is>
          <t>01a1212c-bc2c-764e-8aaa-b60cc1c34a30</t>
        </is>
      </c>
      <c r="B107" t="inlineStr">
        <is>
          <t>2025-03-13_MSFT</t>
        </is>
      </c>
      <c r="C107" s="5" t="inlineStr">
        <is>
          <t>01a1212c-4b57-70cf-80fd-c2192cb3bf81</t>
        </is>
      </c>
      <c r="D107" s="4" t="n">
        <v>46304.62433238912</v>
      </c>
      <c r="E107" s="4" t="n">
        <v>46304.62433238918</v>
      </c>
      <c r="F107" t="b">
        <v>1</v>
      </c>
      <c r="G107" t="n">
        <v/>
      </c>
      <c r="H107" t="inlineStr">
        <is>
          <t>2025-03-13 | Dividend | MSFT</t>
        </is>
      </c>
      <c r="I107" t="inlineStr">
        <is>
          <t>MSFT</t>
        </is>
      </c>
      <c r="J107" s="6" t="n">
        <v>45729</v>
      </c>
      <c r="K107" t="n">
        <v>72</v>
      </c>
      <c r="L107" t="inlineStr"/>
      <c r="M107" t="inlineStr">
        <is>
          <t>FY2024/25</t>
        </is>
      </c>
      <c r="N107" t="inlineStr">
        <is>
          <t>FOREIGN</t>
        </is>
      </c>
      <c r="O107" t="inlineStr">
        <is>
          <t>USD</t>
        </is>
      </c>
      <c r="P107" t="n">
        <v>0.83</v>
      </c>
      <c r="Q107" t="inlineStr">
        <is>
          <t>USD</t>
        </is>
      </c>
      <c r="R107" t="n">
        <v>0</v>
      </c>
      <c r="S107" t="inlineStr">
        <is>
          <t>USD</t>
        </is>
      </c>
      <c r="T107" t="n">
        <v>0</v>
      </c>
      <c r="U107" t="inlineStr">
        <is>
          <t>USD</t>
        </is>
      </c>
      <c r="V107" t="n">
        <v>8.960000000000001</v>
      </c>
      <c r="W107" t="inlineStr">
        <is>
          <t>USD</t>
        </is>
      </c>
      <c r="X107" t="n">
        <v>0</v>
      </c>
      <c r="Y107" t="n">
        <v>30</v>
      </c>
      <c r="Z107" t="inlineStr">
        <is>
          <t>USD</t>
        </is>
      </c>
      <c r="AA107" t="n">
        <v>59.76</v>
      </c>
      <c r="AB107" t="inlineStr">
        <is>
          <t>USD</t>
        </is>
      </c>
      <c r="AC107" t="n">
        <v>0</v>
      </c>
      <c r="AD107" t="inlineStr">
        <is>
          <t>USD</t>
        </is>
      </c>
      <c r="AE107" t="n">
        <v>0</v>
      </c>
      <c r="AF107" t="inlineStr">
        <is>
          <t>USD</t>
        </is>
      </c>
      <c r="AG107" t="n">
        <v>59.76</v>
      </c>
      <c r="AH107" t="inlineStr">
        <is>
          <t>AUD</t>
        </is>
      </c>
      <c r="AI107" t="n">
        <v>89.64</v>
      </c>
      <c r="AJ107" s="5" t="inlineStr">
        <is>
          <t>01a1212c-bc2d-7134-ac65-b1883748a0c0</t>
        </is>
      </c>
    </row>
    <row r="108">
      <c r="A108" s="5" t="inlineStr">
        <is>
          <t>01a1212c-bc30-7211-aaa1-cf04465ad881</t>
        </is>
      </c>
      <c r="B108" t="inlineStr">
        <is>
          <t>2025-03-26_CBA.AX</t>
        </is>
      </c>
      <c r="C108" s="5" t="inlineStr">
        <is>
          <t>01a1212c-4b57-70cf-80fd-c2192cb3bf81</t>
        </is>
      </c>
      <c r="D108" s="4" t="n">
        <v>46304.62433242079</v>
      </c>
      <c r="E108" s="4" t="n">
        <v>46304.62433242086</v>
      </c>
      <c r="F108" t="b">
        <v>1</v>
      </c>
      <c r="G108" t="n">
        <v/>
      </c>
      <c r="H108" t="inlineStr">
        <is>
          <t>2025-03-26 | Dividend | CBA</t>
        </is>
      </c>
      <c r="I108" t="inlineStr">
        <is>
          <t>CBA</t>
        </is>
      </c>
      <c r="J108" s="6" t="n">
        <v>45742</v>
      </c>
      <c r="K108" t="n">
        <v>38</v>
      </c>
      <c r="L108" t="inlineStr"/>
      <c r="M108" t="inlineStr">
        <is>
          <t>FY2024/25</t>
        </is>
      </c>
      <c r="N108" t="inlineStr">
        <is>
          <t>LOCAL</t>
        </is>
      </c>
      <c r="O108" t="inlineStr">
        <is>
          <t>AUD</t>
        </is>
      </c>
      <c r="P108" t="n">
        <v>0</v>
      </c>
      <c r="Q108" t="inlineStr">
        <is>
          <t>AUD</t>
        </is>
      </c>
      <c r="R108" t="n">
        <v>2.25</v>
      </c>
      <c r="S108" t="inlineStr">
        <is>
          <t>AUD</t>
        </is>
      </c>
      <c r="T108" t="n">
        <v>0</v>
      </c>
      <c r="U108" t="inlineStr">
        <is>
          <t>AUD</t>
        </is>
      </c>
      <c r="V108" t="n">
        <v>0</v>
      </c>
      <c r="W108" t="inlineStr">
        <is>
          <t>AUD</t>
        </is>
      </c>
      <c r="X108" t="n">
        <v>0</v>
      </c>
      <c r="Y108" t="n">
        <v>30</v>
      </c>
      <c r="Z108" t="inlineStr">
        <is>
          <t>AUD</t>
        </is>
      </c>
      <c r="AA108" t="n">
        <v>0</v>
      </c>
      <c r="AB108" t="inlineStr">
        <is>
          <t>AUD</t>
        </is>
      </c>
      <c r="AC108" t="n">
        <v>85.5</v>
      </c>
      <c r="AD108" t="inlineStr">
        <is>
          <t>AUD</t>
        </is>
      </c>
      <c r="AE108" t="n">
        <v>36.642857</v>
      </c>
      <c r="AF108" t="inlineStr">
        <is>
          <t>AUD</t>
        </is>
      </c>
      <c r="AG108" t="n">
        <v>85.5</v>
      </c>
      <c r="AH108" t="inlineStr">
        <is>
          <t>AUD</t>
        </is>
      </c>
      <c r="AI108" t="n">
        <v>85.5</v>
      </c>
      <c r="AJ108" t="n">
        <v/>
      </c>
    </row>
    <row r="109">
      <c r="A109" s="5" t="inlineStr">
        <is>
          <t>01a1212c-bc33-7577-ba18-c4c1a3bd1298</t>
        </is>
      </c>
      <c r="B109" t="inlineStr">
        <is>
          <t>2025-03-27_BHP.AX</t>
        </is>
      </c>
      <c r="C109" s="5" t="inlineStr">
        <is>
          <t>01a1212c-4b57-70cf-80fd-c2192cb3bf81</t>
        </is>
      </c>
      <c r="D109" s="4" t="n">
        <v>46304.6243324563</v>
      </c>
      <c r="E109" s="4" t="n">
        <v>46304.62433245637</v>
      </c>
      <c r="F109" t="b">
        <v>1</v>
      </c>
      <c r="G109" t="n">
        <v/>
      </c>
      <c r="H109" t="inlineStr">
        <is>
          <t>2025-03-27 | Dividend | BHP</t>
        </is>
      </c>
      <c r="I109" t="inlineStr">
        <is>
          <t>BHP</t>
        </is>
      </c>
      <c r="J109" s="6" t="n">
        <v>45743</v>
      </c>
      <c r="K109" t="n">
        <v>138</v>
      </c>
      <c r="L109" t="inlineStr"/>
      <c r="M109" t="inlineStr">
        <is>
          <t>FY2024/25</t>
        </is>
      </c>
      <c r="N109" t="inlineStr">
        <is>
          <t>LOCAL</t>
        </is>
      </c>
      <c r="O109" t="inlineStr">
        <is>
          <t>AUD</t>
        </is>
      </c>
      <c r="P109" t="n">
        <v>0</v>
      </c>
      <c r="Q109" t="inlineStr">
        <is>
          <t>AUD</t>
        </is>
      </c>
      <c r="R109" t="n">
        <v>0.7909350000000001</v>
      </c>
      <c r="S109" t="inlineStr">
        <is>
          <t>AUD</t>
        </is>
      </c>
      <c r="T109" t="n">
        <v>0</v>
      </c>
      <c r="U109" t="inlineStr">
        <is>
          <t>AUD</t>
        </is>
      </c>
      <c r="V109" t="n">
        <v>0</v>
      </c>
      <c r="W109" t="inlineStr">
        <is>
          <t>AUD</t>
        </is>
      </c>
      <c r="X109" t="n">
        <v>0</v>
      </c>
      <c r="Y109" t="n">
        <v>30</v>
      </c>
      <c r="Z109" t="inlineStr">
        <is>
          <t>AUD</t>
        </is>
      </c>
      <c r="AA109" t="n">
        <v>0</v>
      </c>
      <c r="AB109" t="inlineStr">
        <is>
          <t>AUD</t>
        </is>
      </c>
      <c r="AC109" t="n">
        <v>109.14903</v>
      </c>
      <c r="AD109" t="inlineStr">
        <is>
          <t>AUD</t>
        </is>
      </c>
      <c r="AE109" t="n">
        <v>46.778156</v>
      </c>
      <c r="AF109" t="inlineStr">
        <is>
          <t>AUD</t>
        </is>
      </c>
      <c r="AG109" t="n">
        <v>109.14903</v>
      </c>
      <c r="AH109" t="inlineStr">
        <is>
          <t>AUD</t>
        </is>
      </c>
      <c r="AI109" t="n">
        <v>109.14903</v>
      </c>
      <c r="AJ109" t="n">
        <v/>
      </c>
    </row>
    <row r="110">
      <c r="A110" s="5" t="inlineStr">
        <is>
          <t>01a1212c-bc36-7360-86af-368848fc2cf2</t>
        </is>
      </c>
      <c r="B110" t="inlineStr">
        <is>
          <t>2025-05-15_AAPL</t>
        </is>
      </c>
      <c r="C110" s="5" t="inlineStr">
        <is>
          <t>01a1212c-4b57-70cf-80fd-c2192cb3bf81</t>
        </is>
      </c>
      <c r="D110" s="4" t="n">
        <v>46304.62433250176</v>
      </c>
      <c r="E110" s="4" t="n">
        <v>46304.62433250183</v>
      </c>
      <c r="F110" t="b">
        <v>1</v>
      </c>
      <c r="G110" t="n">
        <v/>
      </c>
      <c r="H110" t="inlineStr">
        <is>
          <t>2025-05-15 | Dividend | AAPL</t>
        </is>
      </c>
      <c r="I110" t="inlineStr">
        <is>
          <t>AAPL</t>
        </is>
      </c>
      <c r="J110" s="6" t="n">
        <v>45792</v>
      </c>
      <c r="K110" t="n">
        <v>167</v>
      </c>
      <c r="L110" t="inlineStr"/>
      <c r="M110" t="inlineStr">
        <is>
          <t>FY2024/25</t>
        </is>
      </c>
      <c r="N110" t="inlineStr">
        <is>
          <t>FOREIGN</t>
        </is>
      </c>
      <c r="O110" t="inlineStr">
        <is>
          <t>USD</t>
        </is>
      </c>
      <c r="P110" t="n">
        <v>0.26</v>
      </c>
      <c r="Q110" t="inlineStr">
        <is>
          <t>USD</t>
        </is>
      </c>
      <c r="R110" t="n">
        <v>0</v>
      </c>
      <c r="S110" t="inlineStr">
        <is>
          <t>USD</t>
        </is>
      </c>
      <c r="T110" t="n">
        <v>0</v>
      </c>
      <c r="U110" t="inlineStr">
        <is>
          <t>USD</t>
        </is>
      </c>
      <c r="V110" t="n">
        <v>6.51</v>
      </c>
      <c r="W110" t="inlineStr">
        <is>
          <t>USD</t>
        </is>
      </c>
      <c r="X110" t="n">
        <v>0</v>
      </c>
      <c r="Y110" t="n">
        <v>30</v>
      </c>
      <c r="Z110" t="inlineStr">
        <is>
          <t>USD</t>
        </is>
      </c>
      <c r="AA110" t="n">
        <v>43.42</v>
      </c>
      <c r="AB110" t="inlineStr">
        <is>
          <t>USD</t>
        </is>
      </c>
      <c r="AC110" t="n">
        <v>0</v>
      </c>
      <c r="AD110" t="inlineStr">
        <is>
          <t>USD</t>
        </is>
      </c>
      <c r="AE110" t="n">
        <v>0</v>
      </c>
      <c r="AF110" t="inlineStr">
        <is>
          <t>USD</t>
        </is>
      </c>
      <c r="AG110" t="n">
        <v>43.42</v>
      </c>
      <c r="AH110" t="inlineStr">
        <is>
          <t>AUD</t>
        </is>
      </c>
      <c r="AI110" t="n">
        <v>65.13</v>
      </c>
      <c r="AJ110" s="5" t="inlineStr">
        <is>
          <t>01a1212c-bc37-733d-b9fe-2708e286843b</t>
        </is>
      </c>
    </row>
    <row r="111">
      <c r="A111" s="5" t="inlineStr">
        <is>
          <t>01a1212c-bc3a-74a0-89f9-22ef4dc1c0a9</t>
        </is>
      </c>
      <c r="B111" t="inlineStr">
        <is>
          <t>2025-06-05_MSFT</t>
        </is>
      </c>
      <c r="C111" s="5" t="inlineStr">
        <is>
          <t>01a1212c-4b57-70cf-80fd-c2192cb3bf81</t>
        </is>
      </c>
      <c r="D111" s="4" t="n">
        <v>46304.62433253612</v>
      </c>
      <c r="E111" s="4" t="n">
        <v>46304.62433253619</v>
      </c>
      <c r="F111" t="b">
        <v>1</v>
      </c>
      <c r="G111" t="n">
        <v/>
      </c>
      <c r="H111" t="inlineStr">
        <is>
          <t>2025-06-05 | Dividend | MSFT</t>
        </is>
      </c>
      <c r="I111" t="inlineStr">
        <is>
          <t>MSFT</t>
        </is>
      </c>
      <c r="J111" s="6" t="n">
        <v>45813</v>
      </c>
      <c r="K111" t="n">
        <v>72</v>
      </c>
      <c r="L111" t="inlineStr"/>
      <c r="M111" t="inlineStr">
        <is>
          <t>FY2024/25</t>
        </is>
      </c>
      <c r="N111" t="inlineStr">
        <is>
          <t>FOREIGN</t>
        </is>
      </c>
      <c r="O111" t="inlineStr">
        <is>
          <t>USD</t>
        </is>
      </c>
      <c r="P111" t="n">
        <v>0.83</v>
      </c>
      <c r="Q111" t="inlineStr">
        <is>
          <t>USD</t>
        </is>
      </c>
      <c r="R111" t="n">
        <v>0</v>
      </c>
      <c r="S111" t="inlineStr">
        <is>
          <t>USD</t>
        </is>
      </c>
      <c r="T111" t="n">
        <v>0</v>
      </c>
      <c r="U111" t="inlineStr">
        <is>
          <t>USD</t>
        </is>
      </c>
      <c r="V111" t="n">
        <v>8.960000000000001</v>
      </c>
      <c r="W111" t="inlineStr">
        <is>
          <t>USD</t>
        </is>
      </c>
      <c r="X111" t="n">
        <v>0</v>
      </c>
      <c r="Y111" t="n">
        <v>30</v>
      </c>
      <c r="Z111" t="inlineStr">
        <is>
          <t>USD</t>
        </is>
      </c>
      <c r="AA111" t="n">
        <v>59.76</v>
      </c>
      <c r="AB111" t="inlineStr">
        <is>
          <t>USD</t>
        </is>
      </c>
      <c r="AC111" t="n">
        <v>0</v>
      </c>
      <c r="AD111" t="inlineStr">
        <is>
          <t>USD</t>
        </is>
      </c>
      <c r="AE111" t="n">
        <v>0</v>
      </c>
      <c r="AF111" t="inlineStr">
        <is>
          <t>USD</t>
        </is>
      </c>
      <c r="AG111" t="n">
        <v>59.76</v>
      </c>
      <c r="AH111" t="inlineStr">
        <is>
          <t>AUD</t>
        </is>
      </c>
      <c r="AI111" t="n">
        <v>89.64</v>
      </c>
      <c r="AJ111" s="5" t="inlineStr">
        <is>
          <t>01a1212c-8242-7126-aa4d-24e5db3cd83f</t>
        </is>
      </c>
    </row>
    <row r="112">
      <c r="A112" s="5" t="inlineStr">
        <is>
          <t>01a1212c-bc3d-72e4-8da3-f97fe5be2646</t>
        </is>
      </c>
      <c r="B112" t="inlineStr">
        <is>
          <t>2025-08-14_AAPL</t>
        </is>
      </c>
      <c r="C112" s="5" t="inlineStr">
        <is>
          <t>01a1212c-4b57-70cf-80fd-c2192cb3bf81</t>
        </is>
      </c>
      <c r="D112" s="4" t="n">
        <v>46304.6243325816</v>
      </c>
      <c r="E112" s="4" t="n">
        <v>46304.62433258167</v>
      </c>
      <c r="F112" t="b">
        <v>1</v>
      </c>
      <c r="G112" t="n">
        <v/>
      </c>
      <c r="H112" t="inlineStr">
        <is>
          <t>2025-08-14 | Dividend | AAPL</t>
        </is>
      </c>
      <c r="I112" t="inlineStr">
        <is>
          <t>AAPL</t>
        </is>
      </c>
      <c r="J112" s="6" t="n">
        <v>45883</v>
      </c>
      <c r="K112" t="n">
        <v>167</v>
      </c>
      <c r="L112" t="inlineStr"/>
      <c r="M112" t="inlineStr">
        <is>
          <t>FY2025/26</t>
        </is>
      </c>
      <c r="N112" t="inlineStr">
        <is>
          <t>FOREIGN</t>
        </is>
      </c>
      <c r="O112" t="inlineStr">
        <is>
          <t>USD</t>
        </is>
      </c>
      <c r="P112" t="n">
        <v>0.26</v>
      </c>
      <c r="Q112" t="inlineStr">
        <is>
          <t>USD</t>
        </is>
      </c>
      <c r="R112" t="n">
        <v>0</v>
      </c>
      <c r="S112" t="inlineStr">
        <is>
          <t>USD</t>
        </is>
      </c>
      <c r="T112" t="n">
        <v>0</v>
      </c>
      <c r="U112" t="inlineStr">
        <is>
          <t>USD</t>
        </is>
      </c>
      <c r="V112" t="n">
        <v>6.51</v>
      </c>
      <c r="W112" t="inlineStr">
        <is>
          <t>USD</t>
        </is>
      </c>
      <c r="X112" t="n">
        <v>0</v>
      </c>
      <c r="Y112" t="n">
        <v>30</v>
      </c>
      <c r="Z112" t="inlineStr">
        <is>
          <t>USD</t>
        </is>
      </c>
      <c r="AA112" t="n">
        <v>43.42</v>
      </c>
      <c r="AB112" t="inlineStr">
        <is>
          <t>USD</t>
        </is>
      </c>
      <c r="AC112" t="n">
        <v>0</v>
      </c>
      <c r="AD112" t="inlineStr">
        <is>
          <t>USD</t>
        </is>
      </c>
      <c r="AE112" t="n">
        <v>0</v>
      </c>
      <c r="AF112" t="inlineStr">
        <is>
          <t>USD</t>
        </is>
      </c>
      <c r="AG112" t="n">
        <v>43.42</v>
      </c>
      <c r="AH112" t="inlineStr">
        <is>
          <t>AUD</t>
        </is>
      </c>
      <c r="AI112" t="n">
        <v>65.13</v>
      </c>
      <c r="AJ112" s="5" t="inlineStr">
        <is>
          <t>01a1212c-bc3e-7225-a7e3-822f45dcedb4</t>
        </is>
      </c>
    </row>
    <row r="113">
      <c r="A113" s="5" t="inlineStr">
        <is>
          <t>01a1212c-bc41-73e4-84d6-02aa4c048a87</t>
        </is>
      </c>
      <c r="B113" t="inlineStr">
        <is>
          <t>2025-09-11_MSFT</t>
        </is>
      </c>
      <c r="C113" s="5" t="inlineStr">
        <is>
          <t>01a1212c-4b57-70cf-80fd-c2192cb3bf81</t>
        </is>
      </c>
      <c r="D113" s="4" t="n">
        <v>46304.62433263038</v>
      </c>
      <c r="E113" s="4" t="n">
        <v>46304.62433263046</v>
      </c>
      <c r="F113" t="b">
        <v>1</v>
      </c>
      <c r="G113" t="n">
        <v/>
      </c>
      <c r="H113" t="inlineStr">
        <is>
          <t>2025-09-11 | Dividend | MSFT</t>
        </is>
      </c>
      <c r="I113" t="inlineStr">
        <is>
          <t>MSFT</t>
        </is>
      </c>
      <c r="J113" s="6" t="n">
        <v>45911</v>
      </c>
      <c r="K113" t="n">
        <v>75</v>
      </c>
      <c r="L113" t="inlineStr"/>
      <c r="M113" t="inlineStr">
        <is>
          <t>FY2025/26</t>
        </is>
      </c>
      <c r="N113" t="inlineStr">
        <is>
          <t>FOREIGN</t>
        </is>
      </c>
      <c r="O113" t="inlineStr">
        <is>
          <t>USD</t>
        </is>
      </c>
      <c r="P113" t="n">
        <v>0.83</v>
      </c>
      <c r="Q113" t="inlineStr">
        <is>
          <t>USD</t>
        </is>
      </c>
      <c r="R113" t="n">
        <v>0</v>
      </c>
      <c r="S113" t="inlineStr">
        <is>
          <t>USD</t>
        </is>
      </c>
      <c r="T113" t="n">
        <v>0</v>
      </c>
      <c r="U113" t="inlineStr">
        <is>
          <t>USD</t>
        </is>
      </c>
      <c r="V113" t="n">
        <v>9.34</v>
      </c>
      <c r="W113" t="inlineStr">
        <is>
          <t>USD</t>
        </is>
      </c>
      <c r="X113" t="n">
        <v>0</v>
      </c>
      <c r="Y113" t="n">
        <v>30</v>
      </c>
      <c r="Z113" t="inlineStr">
        <is>
          <t>USD</t>
        </is>
      </c>
      <c r="AA113" t="n">
        <v>62.25</v>
      </c>
      <c r="AB113" t="inlineStr">
        <is>
          <t>USD</t>
        </is>
      </c>
      <c r="AC113" t="n">
        <v>0</v>
      </c>
      <c r="AD113" t="inlineStr">
        <is>
          <t>USD</t>
        </is>
      </c>
      <c r="AE113" t="n">
        <v>0</v>
      </c>
      <c r="AF113" t="inlineStr">
        <is>
          <t>USD</t>
        </is>
      </c>
      <c r="AG113" t="n">
        <v>62.25</v>
      </c>
      <c r="AH113" t="inlineStr">
        <is>
          <t>AUD</t>
        </is>
      </c>
      <c r="AI113" t="n">
        <v>93.375</v>
      </c>
      <c r="AJ113" s="5" t="inlineStr">
        <is>
          <t>01a1212c-bc42-73ce-a813-0127e00f44ba</t>
        </is>
      </c>
    </row>
    <row r="114">
      <c r="A114" s="5" t="inlineStr">
        <is>
          <t>01a1212c-bc46-72bd-bcd7-f3193e497eaa</t>
        </is>
      </c>
      <c r="B114" t="inlineStr">
        <is>
          <t>2025-09-24_CBA.AX</t>
        </is>
      </c>
      <c r="C114" s="5" t="inlineStr">
        <is>
          <t>01a1212c-4b57-70cf-80fd-c2192cb3bf81</t>
        </is>
      </c>
      <c r="D114" s="4" t="n">
        <v>46304.62433266664</v>
      </c>
      <c r="E114" s="4" t="n">
        <v>46304.62433266671</v>
      </c>
      <c r="F114" t="b">
        <v>1</v>
      </c>
      <c r="G114" t="n">
        <v/>
      </c>
      <c r="H114" t="inlineStr">
        <is>
          <t>2025-09-24 | Dividend | CBA</t>
        </is>
      </c>
      <c r="I114" t="inlineStr">
        <is>
          <t>CBA</t>
        </is>
      </c>
      <c r="J114" s="6" t="n">
        <v>45924</v>
      </c>
      <c r="K114" t="n">
        <v>41</v>
      </c>
      <c r="L114" t="inlineStr"/>
      <c r="M114" t="inlineStr">
        <is>
          <t>FY2025/26</t>
        </is>
      </c>
      <c r="N114" t="inlineStr">
        <is>
          <t>LOCAL</t>
        </is>
      </c>
      <c r="O114" t="inlineStr">
        <is>
          <t>AUD</t>
        </is>
      </c>
      <c r="P114" t="n">
        <v>0</v>
      </c>
      <c r="Q114" t="inlineStr">
        <is>
          <t>AUD</t>
        </is>
      </c>
      <c r="R114" t="n">
        <v>2.6</v>
      </c>
      <c r="S114" t="inlineStr">
        <is>
          <t>AUD</t>
        </is>
      </c>
      <c r="T114" t="n">
        <v>0</v>
      </c>
      <c r="U114" t="inlineStr">
        <is>
          <t>AUD</t>
        </is>
      </c>
      <c r="V114" t="n">
        <v>0</v>
      </c>
      <c r="W114" t="inlineStr">
        <is>
          <t>AUD</t>
        </is>
      </c>
      <c r="X114" t="n">
        <v>0</v>
      </c>
      <c r="Y114" t="n">
        <v>30</v>
      </c>
      <c r="Z114" t="inlineStr">
        <is>
          <t>AUD</t>
        </is>
      </c>
      <c r="AA114" t="n">
        <v>0</v>
      </c>
      <c r="AB114" t="inlineStr">
        <is>
          <t>AUD</t>
        </is>
      </c>
      <c r="AC114" t="n">
        <v>106.6</v>
      </c>
      <c r="AD114" t="inlineStr">
        <is>
          <t>AUD</t>
        </is>
      </c>
      <c r="AE114" t="n">
        <v>45.685714</v>
      </c>
      <c r="AF114" t="inlineStr">
        <is>
          <t>AUD</t>
        </is>
      </c>
      <c r="AG114" t="n">
        <v>106.6</v>
      </c>
      <c r="AH114" t="inlineStr">
        <is>
          <t>AUD</t>
        </is>
      </c>
      <c r="AI114" t="n">
        <v>106.6</v>
      </c>
      <c r="AJ114" t="n">
        <v/>
      </c>
    </row>
    <row r="115">
      <c r="A115" s="5" t="inlineStr">
        <is>
          <t>01a1212c-bc48-737a-a29e-268966394956</t>
        </is>
      </c>
      <c r="B115" t="inlineStr">
        <is>
          <t>2025-09-25_BHP.AX</t>
        </is>
      </c>
      <c r="C115" s="5" t="inlineStr">
        <is>
          <t>01a1212c-4b57-70cf-80fd-c2192cb3bf81</t>
        </is>
      </c>
      <c r="D115" s="4" t="n">
        <v>46304.62433269998</v>
      </c>
      <c r="E115" s="4" t="n">
        <v>46304.62433270005</v>
      </c>
      <c r="F115" t="b">
        <v>1</v>
      </c>
      <c r="G115" t="n">
        <v/>
      </c>
      <c r="H115" t="inlineStr">
        <is>
          <t>2025-09-25 | Dividend | BHP</t>
        </is>
      </c>
      <c r="I115" t="inlineStr">
        <is>
          <t>BHP</t>
        </is>
      </c>
      <c r="J115" s="6" t="n">
        <v>45925</v>
      </c>
      <c r="K115" t="n">
        <v>138</v>
      </c>
      <c r="L115" t="inlineStr"/>
      <c r="M115" t="inlineStr">
        <is>
          <t>FY2025/26</t>
        </is>
      </c>
      <c r="N115" t="inlineStr">
        <is>
          <t>LOCAL</t>
        </is>
      </c>
      <c r="O115" t="inlineStr">
        <is>
          <t>AUD</t>
        </is>
      </c>
      <c r="P115" t="n">
        <v>0</v>
      </c>
      <c r="Q115" t="inlineStr">
        <is>
          <t>AUD</t>
        </is>
      </c>
      <c r="R115" t="n">
        <v>0.919273</v>
      </c>
      <c r="S115" t="inlineStr">
        <is>
          <t>AUD</t>
        </is>
      </c>
      <c r="T115" t="n">
        <v>0</v>
      </c>
      <c r="U115" t="inlineStr">
        <is>
          <t>AUD</t>
        </is>
      </c>
      <c r="V115" t="n">
        <v>0</v>
      </c>
      <c r="W115" t="inlineStr">
        <is>
          <t>AUD</t>
        </is>
      </c>
      <c r="X115" t="n">
        <v>0</v>
      </c>
      <c r="Y115" t="n">
        <v>30</v>
      </c>
      <c r="Z115" t="inlineStr">
        <is>
          <t>AUD</t>
        </is>
      </c>
      <c r="AA115" t="n">
        <v>0</v>
      </c>
      <c r="AB115" t="inlineStr">
        <is>
          <t>AUD</t>
        </is>
      </c>
      <c r="AC115" t="n">
        <v>126.859674</v>
      </c>
      <c r="AD115" t="inlineStr">
        <is>
          <t>AUD</t>
        </is>
      </c>
      <c r="AE115" t="n">
        <v>54.368432</v>
      </c>
      <c r="AF115" t="inlineStr">
        <is>
          <t>AUD</t>
        </is>
      </c>
      <c r="AG115" t="n">
        <v>126.859674</v>
      </c>
      <c r="AH115" t="inlineStr">
        <is>
          <t>AUD</t>
        </is>
      </c>
      <c r="AI115" t="n">
        <v>126.859674</v>
      </c>
      <c r="AJ115" t="n">
        <v/>
      </c>
    </row>
    <row r="116">
      <c r="A116" s="5" t="inlineStr">
        <is>
          <t>01a1212c-bc4b-7224-9d57-508bb0617520</t>
        </is>
      </c>
      <c r="B116" t="inlineStr">
        <is>
          <t>2025-11-13_AAPL</t>
        </is>
      </c>
      <c r="C116" s="5" t="inlineStr">
        <is>
          <t>01a1212c-4b57-70cf-80fd-c2192cb3bf81</t>
        </is>
      </c>
      <c r="D116" s="4" t="n">
        <v>46304.62433274808</v>
      </c>
      <c r="E116" s="4" t="n">
        <v>46304.62433274814</v>
      </c>
      <c r="F116" t="b">
        <v>1</v>
      </c>
      <c r="G116" t="n">
        <v/>
      </c>
      <c r="H116" t="inlineStr">
        <is>
          <t>2025-11-13 | Dividend | AAPL</t>
        </is>
      </c>
      <c r="I116" t="inlineStr">
        <is>
          <t>AAPL</t>
        </is>
      </c>
      <c r="J116" s="6" t="n">
        <v>45974</v>
      </c>
      <c r="K116" t="n">
        <v>168</v>
      </c>
      <c r="L116" t="inlineStr"/>
      <c r="M116" t="inlineStr">
        <is>
          <t>FY2025/26</t>
        </is>
      </c>
      <c r="N116" t="inlineStr">
        <is>
          <t>FOREIGN</t>
        </is>
      </c>
      <c r="O116" t="inlineStr">
        <is>
          <t>USD</t>
        </is>
      </c>
      <c r="P116" t="n">
        <v>0.26</v>
      </c>
      <c r="Q116" t="inlineStr">
        <is>
          <t>USD</t>
        </is>
      </c>
      <c r="R116" t="n">
        <v>0</v>
      </c>
      <c r="S116" t="inlineStr">
        <is>
          <t>USD</t>
        </is>
      </c>
      <c r="T116" t="n">
        <v>0</v>
      </c>
      <c r="U116" t="inlineStr">
        <is>
          <t>USD</t>
        </is>
      </c>
      <c r="V116" t="n">
        <v>6.55</v>
      </c>
      <c r="W116" t="inlineStr">
        <is>
          <t>USD</t>
        </is>
      </c>
      <c r="X116" t="n">
        <v>0</v>
      </c>
      <c r="Y116" t="n">
        <v>30</v>
      </c>
      <c r="Z116" t="inlineStr">
        <is>
          <t>USD</t>
        </is>
      </c>
      <c r="AA116" t="n">
        <v>43.68</v>
      </c>
      <c r="AB116" t="inlineStr">
        <is>
          <t>USD</t>
        </is>
      </c>
      <c r="AC116" t="n">
        <v>0</v>
      </c>
      <c r="AD116" t="inlineStr">
        <is>
          <t>USD</t>
        </is>
      </c>
      <c r="AE116" t="n">
        <v>0</v>
      </c>
      <c r="AF116" t="inlineStr">
        <is>
          <t>USD</t>
        </is>
      </c>
      <c r="AG116" t="n">
        <v>43.68</v>
      </c>
      <c r="AH116" t="inlineStr">
        <is>
          <t>AUD</t>
        </is>
      </c>
      <c r="AI116" t="n">
        <v>65.52</v>
      </c>
      <c r="AJ116" s="5" t="inlineStr">
        <is>
          <t>01a1212c-bc4c-706a-8161-d280702f3676</t>
        </is>
      </c>
    </row>
    <row r="117">
      <c r="A117" s="5" t="inlineStr">
        <is>
          <t>01a1212c-bc4f-75dc-8ac6-a8a868f44903</t>
        </is>
      </c>
      <c r="B117" t="inlineStr">
        <is>
          <t>2025-12-11_MSFT</t>
        </is>
      </c>
      <c r="C117" s="5" t="inlineStr">
        <is>
          <t>01a1212c-4b57-70cf-80fd-c2192cb3bf81</t>
        </is>
      </c>
      <c r="D117" s="4" t="n">
        <v>46304.62433279517</v>
      </c>
      <c r="E117" s="4" t="n">
        <v>46304.62433279524</v>
      </c>
      <c r="F117" t="b">
        <v>1</v>
      </c>
      <c r="G117" t="n">
        <v/>
      </c>
      <c r="H117" t="inlineStr">
        <is>
          <t>2025-12-11 | Dividend | MSFT</t>
        </is>
      </c>
      <c r="I117" t="inlineStr">
        <is>
          <t>MSFT</t>
        </is>
      </c>
      <c r="J117" s="6" t="n">
        <v>46002</v>
      </c>
      <c r="K117" t="n">
        <v>76</v>
      </c>
      <c r="L117" t="inlineStr"/>
      <c r="M117" t="inlineStr">
        <is>
          <t>FY2025/26</t>
        </is>
      </c>
      <c r="N117" t="inlineStr">
        <is>
          <t>FOREIGN</t>
        </is>
      </c>
      <c r="O117" t="inlineStr">
        <is>
          <t>USD</t>
        </is>
      </c>
      <c r="P117" t="n">
        <v>0.91</v>
      </c>
      <c r="Q117" t="inlineStr">
        <is>
          <t>USD</t>
        </is>
      </c>
      <c r="R117" t="n">
        <v>0</v>
      </c>
      <c r="S117" t="inlineStr">
        <is>
          <t>USD</t>
        </is>
      </c>
      <c r="T117" t="n">
        <v>0</v>
      </c>
      <c r="U117" t="inlineStr">
        <is>
          <t>USD</t>
        </is>
      </c>
      <c r="V117" t="n">
        <v>10.37</v>
      </c>
      <c r="W117" t="inlineStr">
        <is>
          <t>USD</t>
        </is>
      </c>
      <c r="X117" t="n">
        <v>0</v>
      </c>
      <c r="Y117" t="n">
        <v>30</v>
      </c>
      <c r="Z117" t="inlineStr">
        <is>
          <t>USD</t>
        </is>
      </c>
      <c r="AA117" t="n">
        <v>69.16</v>
      </c>
      <c r="AB117" t="inlineStr">
        <is>
          <t>USD</t>
        </is>
      </c>
      <c r="AC117" t="n">
        <v>0</v>
      </c>
      <c r="AD117" t="inlineStr">
        <is>
          <t>USD</t>
        </is>
      </c>
      <c r="AE117" t="n">
        <v>0</v>
      </c>
      <c r="AF117" t="inlineStr">
        <is>
          <t>USD</t>
        </is>
      </c>
      <c r="AG117" t="n">
        <v>69.16</v>
      </c>
      <c r="AH117" t="inlineStr">
        <is>
          <t>AUD</t>
        </is>
      </c>
      <c r="AI117" t="n">
        <v>103.74</v>
      </c>
      <c r="AJ117" s="5" t="inlineStr">
        <is>
          <t>01a1212c-bc50-734b-827c-3da61f96ae5f</t>
        </is>
      </c>
    </row>
    <row r="118">
      <c r="A118" s="5" t="inlineStr">
        <is>
          <t>01a1212c-bc53-70e1-93f1-425c4263fa77</t>
        </is>
      </c>
      <c r="B118" t="inlineStr">
        <is>
          <t>2026-02-12_AAPL</t>
        </is>
      </c>
      <c r="C118" s="5" t="inlineStr">
        <is>
          <t>01a1212c-4b57-70cf-80fd-c2192cb3bf81</t>
        </is>
      </c>
      <c r="D118" s="4" t="n">
        <v>46304.62433284171</v>
      </c>
      <c r="E118" s="4" t="n">
        <v>46304.62433284177</v>
      </c>
      <c r="F118" t="b">
        <v>1</v>
      </c>
      <c r="G118" t="n">
        <v/>
      </c>
      <c r="H118" t="inlineStr">
        <is>
          <t>2026-02-12 | Dividend | AAPL</t>
        </is>
      </c>
      <c r="I118" t="inlineStr">
        <is>
          <t>AAPL</t>
        </is>
      </c>
      <c r="J118" s="6" t="n">
        <v>46065</v>
      </c>
      <c r="K118" t="n">
        <v>168</v>
      </c>
      <c r="L118" t="inlineStr"/>
      <c r="M118" t="inlineStr">
        <is>
          <t>FY2025/26</t>
        </is>
      </c>
      <c r="N118" t="inlineStr">
        <is>
          <t>FOREIGN</t>
        </is>
      </c>
      <c r="O118" t="inlineStr">
        <is>
          <t>USD</t>
        </is>
      </c>
      <c r="P118" t="n">
        <v>0.26</v>
      </c>
      <c r="Q118" t="inlineStr">
        <is>
          <t>USD</t>
        </is>
      </c>
      <c r="R118" t="n">
        <v>0</v>
      </c>
      <c r="S118" t="inlineStr">
        <is>
          <t>USD</t>
        </is>
      </c>
      <c r="T118" t="n">
        <v>0</v>
      </c>
      <c r="U118" t="inlineStr">
        <is>
          <t>USD</t>
        </is>
      </c>
      <c r="V118" t="n">
        <v>6.55</v>
      </c>
      <c r="W118" t="inlineStr">
        <is>
          <t>USD</t>
        </is>
      </c>
      <c r="X118" t="n">
        <v>0</v>
      </c>
      <c r="Y118" t="n">
        <v>30</v>
      </c>
      <c r="Z118" t="inlineStr">
        <is>
          <t>USD</t>
        </is>
      </c>
      <c r="AA118" t="n">
        <v>43.68</v>
      </c>
      <c r="AB118" t="inlineStr">
        <is>
          <t>USD</t>
        </is>
      </c>
      <c r="AC118" t="n">
        <v>0</v>
      </c>
      <c r="AD118" t="inlineStr">
        <is>
          <t>USD</t>
        </is>
      </c>
      <c r="AE118" t="n">
        <v>0</v>
      </c>
      <c r="AF118" t="inlineStr">
        <is>
          <t>USD</t>
        </is>
      </c>
      <c r="AG118" t="n">
        <v>43.68</v>
      </c>
      <c r="AH118" t="inlineStr">
        <is>
          <t>AUD</t>
        </is>
      </c>
      <c r="AI118" t="n">
        <v>65.52</v>
      </c>
      <c r="AJ118" s="5" t="inlineStr">
        <is>
          <t>01a1212c-bc54-752d-887b-88b06f0b0334</t>
        </is>
      </c>
    </row>
    <row r="119">
      <c r="A119" s="5" t="inlineStr">
        <is>
          <t>01a1212c-bc58-768e-bf2b-45f83cbb5c4b</t>
        </is>
      </c>
      <c r="B119" t="inlineStr">
        <is>
          <t>2026-03-12_MSFT</t>
        </is>
      </c>
      <c r="C119" s="5" t="inlineStr">
        <is>
          <t>01a1212c-4b57-70cf-80fd-c2192cb3bf81</t>
        </is>
      </c>
      <c r="D119" s="4" t="n">
        <v>46304.62433288871</v>
      </c>
      <c r="E119" s="4" t="n">
        <v>46304.62433288879</v>
      </c>
      <c r="F119" t="b">
        <v>1</v>
      </c>
      <c r="G119" t="n">
        <v/>
      </c>
      <c r="H119" t="inlineStr">
        <is>
          <t>2026-03-12 | Dividend | MSFT</t>
        </is>
      </c>
      <c r="I119" t="inlineStr">
        <is>
          <t>MSFT</t>
        </is>
      </c>
      <c r="J119" s="6" t="n">
        <v>46093</v>
      </c>
      <c r="K119" t="n">
        <v>77</v>
      </c>
      <c r="L119" t="inlineStr"/>
      <c r="M119" t="inlineStr">
        <is>
          <t>FY2025/26</t>
        </is>
      </c>
      <c r="N119" t="inlineStr">
        <is>
          <t>FOREIGN</t>
        </is>
      </c>
      <c r="O119" t="inlineStr">
        <is>
          <t>USD</t>
        </is>
      </c>
      <c r="P119" t="n">
        <v>0.91</v>
      </c>
      <c r="Q119" t="inlineStr">
        <is>
          <t>USD</t>
        </is>
      </c>
      <c r="R119" t="n">
        <v>0</v>
      </c>
      <c r="S119" t="inlineStr">
        <is>
          <t>USD</t>
        </is>
      </c>
      <c r="T119" t="n">
        <v>0</v>
      </c>
      <c r="U119" t="inlineStr">
        <is>
          <t>USD</t>
        </is>
      </c>
      <c r="V119" t="n">
        <v>10.51</v>
      </c>
      <c r="W119" t="inlineStr">
        <is>
          <t>USD</t>
        </is>
      </c>
      <c r="X119" t="n">
        <v>0</v>
      </c>
      <c r="Y119" t="n">
        <v>30</v>
      </c>
      <c r="Z119" t="inlineStr">
        <is>
          <t>USD</t>
        </is>
      </c>
      <c r="AA119" t="n">
        <v>70.06999999999999</v>
      </c>
      <c r="AB119" t="inlineStr">
        <is>
          <t>USD</t>
        </is>
      </c>
      <c r="AC119" t="n">
        <v>0</v>
      </c>
      <c r="AD119" t="inlineStr">
        <is>
          <t>USD</t>
        </is>
      </c>
      <c r="AE119" t="n">
        <v>0</v>
      </c>
      <c r="AF119" t="inlineStr">
        <is>
          <t>USD</t>
        </is>
      </c>
      <c r="AG119" t="n">
        <v>70.06999999999999</v>
      </c>
      <c r="AH119" t="inlineStr">
        <is>
          <t>AUD</t>
        </is>
      </c>
      <c r="AI119" t="n">
        <v>105.105</v>
      </c>
      <c r="AJ119" s="5" t="inlineStr">
        <is>
          <t>01a1212c-bc58-768e-bf2b-45f9473ac9a5</t>
        </is>
      </c>
    </row>
    <row r="120">
      <c r="A120" s="5" t="inlineStr">
        <is>
          <t>01a1212c-bc5b-73a3-bb29-a3e8320a8fa4</t>
        </is>
      </c>
      <c r="B120" t="inlineStr">
        <is>
          <t>2026-03-25_CBA.AX</t>
        </is>
      </c>
      <c r="C120" s="5" t="inlineStr">
        <is>
          <t>01a1212c-4b57-70cf-80fd-c2192cb3bf81</t>
        </is>
      </c>
      <c r="D120" s="4" t="n">
        <v>46304.62433291957</v>
      </c>
      <c r="E120" s="4" t="n">
        <v>46304.62433291964</v>
      </c>
      <c r="F120" t="b">
        <v>1</v>
      </c>
      <c r="G120" t="n">
        <v/>
      </c>
      <c r="H120" t="inlineStr">
        <is>
          <t>2026-03-25 | Dividend | CBA</t>
        </is>
      </c>
      <c r="I120" t="inlineStr">
        <is>
          <t>CBA</t>
        </is>
      </c>
      <c r="J120" s="6" t="n">
        <v>46106</v>
      </c>
      <c r="K120" t="n">
        <v>41</v>
      </c>
      <c r="L120" t="inlineStr"/>
      <c r="M120" t="inlineStr">
        <is>
          <t>FY2025/26</t>
        </is>
      </c>
      <c r="N120" t="inlineStr">
        <is>
          <t>LOCAL</t>
        </is>
      </c>
      <c r="O120" t="inlineStr">
        <is>
          <t>AUD</t>
        </is>
      </c>
      <c r="P120" t="n">
        <v>0</v>
      </c>
      <c r="Q120" t="inlineStr">
        <is>
          <t>AUD</t>
        </is>
      </c>
      <c r="R120" t="n">
        <v>2.35</v>
      </c>
      <c r="S120" t="inlineStr">
        <is>
          <t>AUD</t>
        </is>
      </c>
      <c r="T120" t="n">
        <v>0</v>
      </c>
      <c r="U120" t="inlineStr">
        <is>
          <t>AUD</t>
        </is>
      </c>
      <c r="V120" t="n">
        <v>0</v>
      </c>
      <c r="W120" t="inlineStr">
        <is>
          <t>AUD</t>
        </is>
      </c>
      <c r="X120" t="n">
        <v>0</v>
      </c>
      <c r="Y120" t="n">
        <v>30</v>
      </c>
      <c r="Z120" t="inlineStr">
        <is>
          <t>AUD</t>
        </is>
      </c>
      <c r="AA120" t="n">
        <v>0</v>
      </c>
      <c r="AB120" t="inlineStr">
        <is>
          <t>AUD</t>
        </is>
      </c>
      <c r="AC120" t="n">
        <v>96.34999999999999</v>
      </c>
      <c r="AD120" t="inlineStr">
        <is>
          <t>AUD</t>
        </is>
      </c>
      <c r="AE120" t="n">
        <v>41.292857</v>
      </c>
      <c r="AF120" t="inlineStr">
        <is>
          <t>AUD</t>
        </is>
      </c>
      <c r="AG120" t="n">
        <v>96.34999999999999</v>
      </c>
      <c r="AH120" t="inlineStr">
        <is>
          <t>AUD</t>
        </is>
      </c>
      <c r="AI120" t="n">
        <v>96.34999999999999</v>
      </c>
      <c r="AJ120" t="n">
        <v/>
      </c>
    </row>
    <row r="121">
      <c r="A121" s="5" t="inlineStr">
        <is>
          <t>01a1212c-bc5e-73ca-b808-a42855501e77</t>
        </is>
      </c>
      <c r="B121" t="inlineStr">
        <is>
          <t>2026-03-26_BHP.AX</t>
        </is>
      </c>
      <c r="C121" s="5" t="inlineStr">
        <is>
          <t>01a1212c-4b57-70cf-80fd-c2192cb3bf81</t>
        </is>
      </c>
      <c r="D121" s="4" t="n">
        <v>46304.62433295095</v>
      </c>
      <c r="E121" s="4" t="n">
        <v>46304.62433295102</v>
      </c>
      <c r="F121" t="b">
        <v>1</v>
      </c>
      <c r="G121" t="n">
        <v/>
      </c>
      <c r="H121" t="inlineStr">
        <is>
          <t>2026-03-26 | Dividend | BHP</t>
        </is>
      </c>
      <c r="I121" t="inlineStr">
        <is>
          <t>BHP</t>
        </is>
      </c>
      <c r="J121" s="6" t="n">
        <v>46107</v>
      </c>
      <c r="K121" t="n">
        <v>163</v>
      </c>
      <c r="L121" t="inlineStr"/>
      <c r="M121" t="inlineStr">
        <is>
          <t>FY2025/26</t>
        </is>
      </c>
      <c r="N121" t="inlineStr">
        <is>
          <t>LOCAL</t>
        </is>
      </c>
      <c r="O121" t="inlineStr">
        <is>
          <t>AUD</t>
        </is>
      </c>
      <c r="P121" t="n">
        <v>0</v>
      </c>
      <c r="Q121" t="inlineStr">
        <is>
          <t>AUD</t>
        </is>
      </c>
      <c r="R121" t="n">
        <v>1.038469</v>
      </c>
      <c r="S121" t="inlineStr">
        <is>
          <t>AUD</t>
        </is>
      </c>
      <c r="T121" t="n">
        <v>0</v>
      </c>
      <c r="U121" t="inlineStr">
        <is>
          <t>AUD</t>
        </is>
      </c>
      <c r="V121" t="n">
        <v>0</v>
      </c>
      <c r="W121" t="inlineStr">
        <is>
          <t>AUD</t>
        </is>
      </c>
      <c r="X121" t="n">
        <v>0</v>
      </c>
      <c r="Y121" t="n">
        <v>30</v>
      </c>
      <c r="Z121" t="inlineStr">
        <is>
          <t>AUD</t>
        </is>
      </c>
      <c r="AA121" t="n">
        <v>0</v>
      </c>
      <c r="AB121" t="inlineStr">
        <is>
          <t>AUD</t>
        </is>
      </c>
      <c r="AC121" t="n">
        <v>169.270447</v>
      </c>
      <c r="AD121" t="inlineStr">
        <is>
          <t>AUD</t>
        </is>
      </c>
      <c r="AE121" t="n">
        <v>72.544477</v>
      </c>
      <c r="AF121" t="inlineStr">
        <is>
          <t>AUD</t>
        </is>
      </c>
      <c r="AG121" t="n">
        <v>169.270447</v>
      </c>
      <c r="AH121" t="inlineStr">
        <is>
          <t>AUD</t>
        </is>
      </c>
      <c r="AI121" t="n">
        <v>169.270447</v>
      </c>
      <c r="AJ121" t="n">
        <v/>
      </c>
    </row>
    <row r="122">
      <c r="A122" s="5" t="inlineStr">
        <is>
          <t>01a1212c-bc61-7284-a6c9-ca4f084acbdb</t>
        </is>
      </c>
      <c r="B122" t="inlineStr">
        <is>
          <t>2026-05-14_AAPL</t>
        </is>
      </c>
      <c r="C122" s="5" t="inlineStr">
        <is>
          <t>01a1212c-4b57-70cf-80fd-c2192cb3bf81</t>
        </is>
      </c>
      <c r="D122" s="4" t="n">
        <v>46304.62433299825</v>
      </c>
      <c r="E122" s="4" t="n">
        <v>46304.62433299832</v>
      </c>
      <c r="F122" t="b">
        <v>1</v>
      </c>
      <c r="G122" t="n">
        <v/>
      </c>
      <c r="H122" t="inlineStr">
        <is>
          <t>2026-05-14 | Dividend | AAPL</t>
        </is>
      </c>
      <c r="I122" t="inlineStr">
        <is>
          <t>AAPL</t>
        </is>
      </c>
      <c r="J122" s="6" t="n">
        <v>46156</v>
      </c>
      <c r="K122" t="n">
        <v>171</v>
      </c>
      <c r="L122" t="inlineStr"/>
      <c r="M122" t="inlineStr">
        <is>
          <t>FY2025/26</t>
        </is>
      </c>
      <c r="N122" t="inlineStr">
        <is>
          <t>FOREIGN</t>
        </is>
      </c>
      <c r="O122" t="inlineStr">
        <is>
          <t>USD</t>
        </is>
      </c>
      <c r="P122" t="n">
        <v>0.27</v>
      </c>
      <c r="Q122" t="inlineStr">
        <is>
          <t>USD</t>
        </is>
      </c>
      <c r="R122" t="n">
        <v>0</v>
      </c>
      <c r="S122" t="inlineStr">
        <is>
          <t>USD</t>
        </is>
      </c>
      <c r="T122" t="n">
        <v>0</v>
      </c>
      <c r="U122" t="inlineStr">
        <is>
          <t>USD</t>
        </is>
      </c>
      <c r="V122" t="n">
        <v>6.93</v>
      </c>
      <c r="W122" t="inlineStr">
        <is>
          <t>USD</t>
        </is>
      </c>
      <c r="X122" t="n">
        <v>0</v>
      </c>
      <c r="Y122" t="n">
        <v>30</v>
      </c>
      <c r="Z122" t="inlineStr">
        <is>
          <t>USD</t>
        </is>
      </c>
      <c r="AA122" t="n">
        <v>46.17</v>
      </c>
      <c r="AB122" t="inlineStr">
        <is>
          <t>USD</t>
        </is>
      </c>
      <c r="AC122" t="n">
        <v>0</v>
      </c>
      <c r="AD122" t="inlineStr">
        <is>
          <t>USD</t>
        </is>
      </c>
      <c r="AE122" t="n">
        <v>0</v>
      </c>
      <c r="AF122" t="inlineStr">
        <is>
          <t>USD</t>
        </is>
      </c>
      <c r="AG122" t="n">
        <v>46.17</v>
      </c>
      <c r="AH122" t="inlineStr">
        <is>
          <t>AUD</t>
        </is>
      </c>
      <c r="AI122" t="n">
        <v>69.255</v>
      </c>
      <c r="AJ122" s="5" t="inlineStr">
        <is>
          <t>01a1212c-bc62-725a-af25-3e1f728e3c94</t>
        </is>
      </c>
    </row>
    <row r="123">
      <c r="A123" s="5" t="inlineStr">
        <is>
          <t>01a1212c-bc65-765f-9608-cdd4cfa40a30</t>
        </is>
      </c>
      <c r="B123" t="inlineStr">
        <is>
          <t>2026-06-11_MSFT</t>
        </is>
      </c>
      <c r="C123" s="5" t="inlineStr">
        <is>
          <t>01a1212c-4b57-70cf-80fd-c2192cb3bf81</t>
        </is>
      </c>
      <c r="D123" s="4" t="n">
        <v>46304.62433304575</v>
      </c>
      <c r="E123" s="4" t="n">
        <v>46304.62433304582</v>
      </c>
      <c r="F123" t="b">
        <v>1</v>
      </c>
      <c r="G123" t="n">
        <v/>
      </c>
      <c r="H123" t="inlineStr">
        <is>
          <t>2026-06-11 | Dividend | MSFT</t>
        </is>
      </c>
      <c r="I123" t="inlineStr">
        <is>
          <t>MSFT</t>
        </is>
      </c>
      <c r="J123" s="6" t="n">
        <v>46184</v>
      </c>
      <c r="K123" t="n">
        <v>77</v>
      </c>
      <c r="L123" t="inlineStr"/>
      <c r="M123" t="inlineStr">
        <is>
          <t>FY2025/26</t>
        </is>
      </c>
      <c r="N123" t="inlineStr">
        <is>
          <t>FOREIGN</t>
        </is>
      </c>
      <c r="O123" t="inlineStr">
        <is>
          <t>USD</t>
        </is>
      </c>
      <c r="P123" t="n">
        <v>0.91</v>
      </c>
      <c r="Q123" t="inlineStr">
        <is>
          <t>USD</t>
        </is>
      </c>
      <c r="R123" t="n">
        <v>0</v>
      </c>
      <c r="S123" t="inlineStr">
        <is>
          <t>USD</t>
        </is>
      </c>
      <c r="T123" t="n">
        <v>0</v>
      </c>
      <c r="U123" t="inlineStr">
        <is>
          <t>USD</t>
        </is>
      </c>
      <c r="V123" t="n">
        <v>10.51</v>
      </c>
      <c r="W123" t="inlineStr">
        <is>
          <t>USD</t>
        </is>
      </c>
      <c r="X123" t="n">
        <v>0</v>
      </c>
      <c r="Y123" t="n">
        <v>30</v>
      </c>
      <c r="Z123" t="inlineStr">
        <is>
          <t>USD</t>
        </is>
      </c>
      <c r="AA123" t="n">
        <v>70.06999999999999</v>
      </c>
      <c r="AB123" t="inlineStr">
        <is>
          <t>USD</t>
        </is>
      </c>
      <c r="AC123" t="n">
        <v>0</v>
      </c>
      <c r="AD123" t="inlineStr">
        <is>
          <t>USD</t>
        </is>
      </c>
      <c r="AE123" t="n">
        <v>0</v>
      </c>
      <c r="AF123" t="inlineStr">
        <is>
          <t>USD</t>
        </is>
      </c>
      <c r="AG123" t="n">
        <v>70.06999999999999</v>
      </c>
      <c r="AH123" t="inlineStr">
        <is>
          <t>AUD</t>
        </is>
      </c>
      <c r="AI123" t="n">
        <v>105.105</v>
      </c>
      <c r="AJ123" s="5" t="inlineStr">
        <is>
          <t>01a1212c-bc66-77a8-b790-d5cd2c039c15</t>
        </is>
      </c>
    </row>
    <row r="124">
      <c r="A124" s="5" t="inlineStr">
        <is>
          <t>01a1212c-bc69-7584-a1f0-3b73cae03254</t>
        </is>
      </c>
      <c r="B124" t="inlineStr">
        <is>
          <t>2026-08-13_AAPL</t>
        </is>
      </c>
      <c r="C124" s="5" t="inlineStr">
        <is>
          <t>01a1212c-4b57-70cf-80fd-c2192cb3bf81</t>
        </is>
      </c>
      <c r="D124" s="4" t="n">
        <v>46304.62433309031</v>
      </c>
      <c r="E124" s="4" t="n">
        <v>46304.62433309038</v>
      </c>
      <c r="F124" t="b">
        <v>1</v>
      </c>
      <c r="G124" t="n">
        <v/>
      </c>
      <c r="H124" t="inlineStr">
        <is>
          <t>2026-08-13 | Dividend | AAPL</t>
        </is>
      </c>
      <c r="I124" t="inlineStr">
        <is>
          <t>AAPL</t>
        </is>
      </c>
      <c r="J124" s="6" t="n">
        <v>46247</v>
      </c>
      <c r="K124" t="n">
        <v>171</v>
      </c>
      <c r="L124" t="inlineStr"/>
      <c r="M124" t="inlineStr">
        <is>
          <t>FY2026/27</t>
        </is>
      </c>
      <c r="N124" t="inlineStr">
        <is>
          <t>FOREIGN</t>
        </is>
      </c>
      <c r="O124" t="inlineStr">
        <is>
          <t>USD</t>
        </is>
      </c>
      <c r="P124" t="n">
        <v>0.27</v>
      </c>
      <c r="Q124" t="inlineStr">
        <is>
          <t>USD</t>
        </is>
      </c>
      <c r="R124" t="n">
        <v>0</v>
      </c>
      <c r="S124" t="inlineStr">
        <is>
          <t>USD</t>
        </is>
      </c>
      <c r="T124" t="n">
        <v>0</v>
      </c>
      <c r="U124" t="inlineStr">
        <is>
          <t>USD</t>
        </is>
      </c>
      <c r="V124" t="n">
        <v>6.93</v>
      </c>
      <c r="W124" t="inlineStr">
        <is>
          <t>USD</t>
        </is>
      </c>
      <c r="X124" t="n">
        <v>0</v>
      </c>
      <c r="Y124" t="n">
        <v>30</v>
      </c>
      <c r="Z124" t="inlineStr">
        <is>
          <t>USD</t>
        </is>
      </c>
      <c r="AA124" t="n">
        <v>46.17</v>
      </c>
      <c r="AB124" t="inlineStr">
        <is>
          <t>USD</t>
        </is>
      </c>
      <c r="AC124" t="n">
        <v>0</v>
      </c>
      <c r="AD124" t="inlineStr">
        <is>
          <t>USD</t>
        </is>
      </c>
      <c r="AE124" t="n">
        <v>0</v>
      </c>
      <c r="AF124" t="inlineStr">
        <is>
          <t>USD</t>
        </is>
      </c>
      <c r="AG124" t="n">
        <v>46.17</v>
      </c>
      <c r="AH124" t="inlineStr">
        <is>
          <t>AUD</t>
        </is>
      </c>
      <c r="AI124" t="n">
        <v>69.255</v>
      </c>
      <c r="AJ124" s="5" t="inlineStr">
        <is>
          <t>01a1212c-bc6a-734f-baa3-d5904e2d7f6d</t>
        </is>
      </c>
    </row>
    <row r="125">
      <c r="A125" s="5" t="inlineStr">
        <is>
          <t>01a1212c-bc6d-7246-b5cc-2af5753b4f88</t>
        </is>
      </c>
      <c r="B125" t="inlineStr">
        <is>
          <t>2026-09-10_MSFT</t>
        </is>
      </c>
      <c r="C125" s="5" t="inlineStr">
        <is>
          <t>01a1212c-4b57-70cf-80fd-c2192cb3bf81</t>
        </is>
      </c>
      <c r="D125" s="4" t="n">
        <v>46304.62433313683</v>
      </c>
      <c r="E125" s="4" t="n">
        <v>46304.6243331369</v>
      </c>
      <c r="F125" t="b">
        <v>1</v>
      </c>
      <c r="G125" t="n">
        <v/>
      </c>
      <c r="H125" t="inlineStr">
        <is>
          <t>2026-09-10 | Dividend | MSFT</t>
        </is>
      </c>
      <c r="I125" t="inlineStr">
        <is>
          <t>MSFT</t>
        </is>
      </c>
      <c r="J125" s="6" t="n">
        <v>46275</v>
      </c>
      <c r="K125" t="n">
        <v>81</v>
      </c>
      <c r="L125" t="inlineStr"/>
      <c r="M125" t="inlineStr">
        <is>
          <t>FY2026/27</t>
        </is>
      </c>
      <c r="N125" t="inlineStr">
        <is>
          <t>FOREIGN</t>
        </is>
      </c>
      <c r="O125" t="inlineStr">
        <is>
          <t>USD</t>
        </is>
      </c>
      <c r="P125" t="n">
        <v>0.91</v>
      </c>
      <c r="Q125" t="inlineStr">
        <is>
          <t>USD</t>
        </is>
      </c>
      <c r="R125" t="n">
        <v>0</v>
      </c>
      <c r="S125" t="inlineStr">
        <is>
          <t>USD</t>
        </is>
      </c>
      <c r="T125" t="n">
        <v>0</v>
      </c>
      <c r="U125" t="inlineStr">
        <is>
          <t>USD</t>
        </is>
      </c>
      <c r="V125" t="n">
        <v>11.06</v>
      </c>
      <c r="W125" t="inlineStr">
        <is>
          <t>USD</t>
        </is>
      </c>
      <c r="X125" t="n">
        <v>0</v>
      </c>
      <c r="Y125" t="n">
        <v>30</v>
      </c>
      <c r="Z125" t="inlineStr">
        <is>
          <t>USD</t>
        </is>
      </c>
      <c r="AA125" t="n">
        <v>73.70999999999999</v>
      </c>
      <c r="AB125" t="inlineStr">
        <is>
          <t>USD</t>
        </is>
      </c>
      <c r="AC125" t="n">
        <v>0</v>
      </c>
      <c r="AD125" t="inlineStr">
        <is>
          <t>USD</t>
        </is>
      </c>
      <c r="AE125" t="n">
        <v>0</v>
      </c>
      <c r="AF125" t="inlineStr">
        <is>
          <t>USD</t>
        </is>
      </c>
      <c r="AG125" t="n">
        <v>73.70999999999999</v>
      </c>
      <c r="AH125" t="inlineStr">
        <is>
          <t>AUD</t>
        </is>
      </c>
      <c r="AI125" t="n">
        <v>110.565</v>
      </c>
      <c r="AJ125" s="5" t="inlineStr">
        <is>
          <t>01a1212c-bc6e-73e6-a391-bd896a5fec8e</t>
        </is>
      </c>
    </row>
    <row r="126">
      <c r="A126" s="5" t="inlineStr">
        <is>
          <t>01a1212c-bc71-7681-ae34-f867863376eb</t>
        </is>
      </c>
      <c r="B126" t="inlineStr">
        <is>
          <t>2026-09-23_CBA.AX</t>
        </is>
      </c>
      <c r="C126" s="5" t="inlineStr">
        <is>
          <t>01a1212c-4b57-70cf-80fd-c2192cb3bf81</t>
        </is>
      </c>
      <c r="D126" s="4" t="n">
        <v>46304.62433316891</v>
      </c>
      <c r="E126" s="4" t="n">
        <v>46304.62433316898</v>
      </c>
      <c r="F126" t="b">
        <v>1</v>
      </c>
      <c r="G126" t="n">
        <v/>
      </c>
      <c r="H126" t="inlineStr">
        <is>
          <t>2026-09-23 | Dividend | CBA</t>
        </is>
      </c>
      <c r="I126" t="inlineStr">
        <is>
          <t>CBA</t>
        </is>
      </c>
      <c r="J126" s="6" t="n">
        <v>46288</v>
      </c>
      <c r="K126" t="n">
        <v>41</v>
      </c>
      <c r="L126" t="inlineStr"/>
      <c r="M126" t="inlineStr">
        <is>
          <t>FY2026/27</t>
        </is>
      </c>
      <c r="N126" t="inlineStr">
        <is>
          <t>LOCAL</t>
        </is>
      </c>
      <c r="O126" t="inlineStr">
        <is>
          <t>AUD</t>
        </is>
      </c>
      <c r="P126" t="n">
        <v>0</v>
      </c>
      <c r="Q126" t="inlineStr">
        <is>
          <t>AUD</t>
        </is>
      </c>
      <c r="R126" t="n">
        <v>2.7</v>
      </c>
      <c r="S126" t="inlineStr">
        <is>
          <t>AUD</t>
        </is>
      </c>
      <c r="T126" t="n">
        <v>0</v>
      </c>
      <c r="U126" t="inlineStr">
        <is>
          <t>AUD</t>
        </is>
      </c>
      <c r="V126" t="n">
        <v>0</v>
      </c>
      <c r="W126" t="inlineStr">
        <is>
          <t>AUD</t>
        </is>
      </c>
      <c r="X126" t="n">
        <v>0</v>
      </c>
      <c r="Y126" t="n">
        <v>30</v>
      </c>
      <c r="Z126" t="inlineStr">
        <is>
          <t>AUD</t>
        </is>
      </c>
      <c r="AA126" t="n">
        <v>0</v>
      </c>
      <c r="AB126" t="inlineStr">
        <is>
          <t>AUD</t>
        </is>
      </c>
      <c r="AC126" t="n">
        <v>110.7</v>
      </c>
      <c r="AD126" t="inlineStr">
        <is>
          <t>AUD</t>
        </is>
      </c>
      <c r="AE126" t="n">
        <v>47.442857</v>
      </c>
      <c r="AF126" t="inlineStr">
        <is>
          <t>AUD</t>
        </is>
      </c>
      <c r="AG126" t="n">
        <v>110.7</v>
      </c>
      <c r="AH126" t="inlineStr">
        <is>
          <t>AUD</t>
        </is>
      </c>
      <c r="AI126" t="n">
        <v>110.7</v>
      </c>
      <c r="AJ126" t="n">
        <v/>
      </c>
    </row>
    <row r="127">
      <c r="A127" s="5" t="inlineStr">
        <is>
          <t>01a1212c-bc74-70ec-a3ed-717543eb6826</t>
        </is>
      </c>
      <c r="B127" t="inlineStr">
        <is>
          <t>2026-09-24_BHP.AX</t>
        </is>
      </c>
      <c r="C127" s="5" t="inlineStr">
        <is>
          <t>01a1212c-4b57-70cf-80fd-c2192cb3bf81</t>
        </is>
      </c>
      <c r="D127" s="4" t="n">
        <v>46304.6243332001</v>
      </c>
      <c r="E127" s="4" t="n">
        <v>46304.62433320018</v>
      </c>
      <c r="F127" t="b">
        <v>1</v>
      </c>
      <c r="G127" t="n">
        <v/>
      </c>
      <c r="H127" t="inlineStr">
        <is>
          <t>2026-09-24 | Dividend | BHP</t>
        </is>
      </c>
      <c r="I127" t="inlineStr">
        <is>
          <t>BHP</t>
        </is>
      </c>
      <c r="J127" s="6" t="n">
        <v>46289</v>
      </c>
      <c r="K127" t="n">
        <v>163</v>
      </c>
      <c r="L127" t="inlineStr"/>
      <c r="M127" t="inlineStr">
        <is>
          <t>FY2026/27</t>
        </is>
      </c>
      <c r="N127" t="inlineStr">
        <is>
          <t>LOCAL</t>
        </is>
      </c>
      <c r="O127" t="inlineStr">
        <is>
          <t>AUD</t>
        </is>
      </c>
      <c r="P127" t="n">
        <v>0</v>
      </c>
      <c r="Q127" t="inlineStr">
        <is>
          <t>AUD</t>
        </is>
      </c>
      <c r="R127" t="n">
        <v>1.379887</v>
      </c>
      <c r="S127" t="inlineStr">
        <is>
          <t>AUD</t>
        </is>
      </c>
      <c r="T127" t="n">
        <v>0</v>
      </c>
      <c r="U127" t="inlineStr">
        <is>
          <t>AUD</t>
        </is>
      </c>
      <c r="V127" t="n">
        <v>0</v>
      </c>
      <c r="W127" t="inlineStr">
        <is>
          <t>AUD</t>
        </is>
      </c>
      <c r="X127" t="n">
        <v>0</v>
      </c>
      <c r="Y127" t="n">
        <v>30</v>
      </c>
      <c r="Z127" t="inlineStr">
        <is>
          <t>AUD</t>
        </is>
      </c>
      <c r="AA127" t="n">
        <v>0</v>
      </c>
      <c r="AB127" t="inlineStr">
        <is>
          <t>AUD</t>
        </is>
      </c>
      <c r="AC127" t="n">
        <v>224.921581</v>
      </c>
      <c r="AD127" t="inlineStr">
        <is>
          <t>AUD</t>
        </is>
      </c>
      <c r="AE127" t="n">
        <v>96.394963</v>
      </c>
      <c r="AF127" t="inlineStr">
        <is>
          <t>AUD</t>
        </is>
      </c>
      <c r="AG127" t="n">
        <v>224.921581</v>
      </c>
      <c r="AH127" t="inlineStr">
        <is>
          <t>AUD</t>
        </is>
      </c>
      <c r="AI127" t="n">
        <v>224.921581</v>
      </c>
      <c r="AJ127" t="n">
        <v/>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U86"/>
  <sheetViews>
    <sheetView workbookViewId="0">
      <pane ySplit="1" topLeftCell="A2" activePane="bottomLeft" state="frozen"/>
      <selection pane="bottomLeft" activeCell="A1" sqref="A1"/>
    </sheetView>
  </sheetViews>
  <sheetFormatPr baseColWidth="8" defaultRowHeight="15"/>
  <cols>
    <col width="38.2" customWidth="1" min="1" max="1"/>
    <col width="20.2" customWidth="1" min="2" max="2"/>
    <col width="38.2" customWidth="1" min="3" max="3"/>
    <col width="28.2" customWidth="1" min="4" max="4"/>
    <col width="28.2" customWidth="1" min="5" max="5"/>
    <col width="11.2" customWidth="1" min="6" max="6"/>
    <col width="63.2" customWidth="1" min="7" max="7"/>
    <col width="34.2" customWidth="1" min="8" max="8"/>
    <col width="18.2" customWidth="1" min="9" max="9"/>
    <col width="12.2" customWidth="1" min="10" max="10"/>
    <col width="11.2" customWidth="1" min="11" max="11"/>
    <col width="6.2" customWidth="1" min="12" max="12"/>
    <col width="30.2" customWidth="1" min="13" max="13"/>
    <col width="40.2" customWidth="1" min="14" max="14"/>
    <col width="31.2" customWidth="1" min="15" max="15"/>
    <col width="32.2" customWidth="1" min="16" max="16"/>
    <col width="23.2" customWidth="1" min="17" max="17"/>
    <col width="40.2" customWidth="1" min="18" max="18"/>
    <col width="31.2" customWidth="1" min="19" max="19"/>
    <col width="50.2" customWidth="1" min="20" max="20"/>
    <col width="41.2" customWidth="1" min="21" max="21"/>
  </cols>
  <sheetData>
    <row r="1" ht="32" customHeight="1">
      <c r="A1" s="1" t="inlineStr">
        <is>
          <t>id</t>
        </is>
      </c>
      <c r="B1" s="1" t="inlineStr">
        <is>
          <t>legacy_id</t>
        </is>
      </c>
      <c r="C1" s="1" t="inlineStr">
        <is>
          <t>account_id</t>
        </is>
      </c>
      <c r="D1" s="1" t="inlineStr">
        <is>
          <t>created_at</t>
        </is>
      </c>
      <c r="E1" s="1" t="inlineStr">
        <is>
          <t>updated_at</t>
        </is>
      </c>
      <c r="F1" s="1" t="inlineStr">
        <is>
          <t>is_active</t>
        </is>
      </c>
      <c r="G1" s="1" t="inlineStr">
        <is>
          <t>notes</t>
        </is>
      </c>
      <c r="H1" s="1" t="inlineStr">
        <is>
          <t>description</t>
        </is>
      </c>
      <c r="I1" s="1" t="inlineStr">
        <is>
          <t>instrument__name</t>
        </is>
      </c>
      <c r="J1" s="1" t="inlineStr">
        <is>
          <t>date</t>
        </is>
      </c>
      <c r="K1" s="1" t="inlineStr">
        <is>
          <t>quantity</t>
        </is>
      </c>
      <c r="L1" s="1" t="inlineStr">
        <is>
          <t>file</t>
        </is>
      </c>
      <c r="M1" s="1" t="inlineStr">
        <is>
          <t>calculated_fiscal_year__name</t>
        </is>
      </c>
      <c r="N1" s="1" t="inlineStr">
        <is>
          <t>distribution_amount_per_share_currency</t>
        </is>
      </c>
      <c r="O1" s="1" t="inlineStr">
        <is>
          <t>distribution_amount_per_share</t>
        </is>
      </c>
      <c r="P1" s="1" t="inlineStr">
        <is>
          <t>total_withholding_tax_currency</t>
        </is>
      </c>
      <c r="Q1" s="1" t="inlineStr">
        <is>
          <t>total_withholding_tax</t>
        </is>
      </c>
      <c r="R1" s="1" t="inlineStr">
        <is>
          <t>calculated_total_distribution_currency</t>
        </is>
      </c>
      <c r="S1" s="1" t="inlineStr">
        <is>
          <t>calculated_total_distribution</t>
        </is>
      </c>
      <c r="T1" s="1" t="inlineStr">
        <is>
          <t>calculated_total_distribution_converted_currency</t>
        </is>
      </c>
      <c r="U1" s="1" t="inlineStr">
        <is>
          <t>calculated_total_distribution_converted</t>
        </is>
      </c>
    </row>
    <row r="2">
      <c r="A2" s="5" t="inlineStr">
        <is>
          <t>01a1212c-bc94-71cd-b32e-11b88b84f799</t>
        </is>
      </c>
      <c r="B2" t="inlineStr">
        <is>
          <t>2016-10-18_VGS.AX</t>
        </is>
      </c>
      <c r="C2" s="5" t="inlineStr">
        <is>
          <t>01a1212c-4b57-70cf-80fd-c2192cb3bf81</t>
        </is>
      </c>
      <c r="D2" s="4" t="n">
        <v>46304.6243335748</v>
      </c>
      <c r="E2" s="4" t="n">
        <v>46304.62433357489</v>
      </c>
      <c r="F2" t="b">
        <v>1</v>
      </c>
      <c r="G2" t="inlineStr">
        <is>
          <t>FAKE DATA - generated for demonstration, not a real portfolio</t>
        </is>
      </c>
      <c r="H2" t="inlineStr">
        <is>
          <t>2016-10-18 | Distribution | VGS</t>
        </is>
      </c>
      <c r="I2" t="inlineStr">
        <is>
          <t>VGS</t>
        </is>
      </c>
      <c r="J2" s="6" t="n">
        <v>42661</v>
      </c>
      <c r="K2" t="n">
        <v>22</v>
      </c>
      <c r="L2" t="inlineStr"/>
      <c r="M2" t="inlineStr">
        <is>
          <t>FY2016/17</t>
        </is>
      </c>
      <c r="N2" t="inlineStr">
        <is>
          <t>AUD</t>
        </is>
      </c>
      <c r="O2" t="n">
        <v>0.247087</v>
      </c>
      <c r="P2" t="inlineStr">
        <is>
          <t>AUD</t>
        </is>
      </c>
      <c r="Q2" t="n">
        <v>0.01</v>
      </c>
      <c r="R2" t="inlineStr">
        <is>
          <t>AUD</t>
        </is>
      </c>
      <c r="S2" t="n">
        <v>5.435914</v>
      </c>
      <c r="T2" t="inlineStr">
        <is>
          <t>AUD</t>
        </is>
      </c>
      <c r="U2" t="n">
        <v>5.435914</v>
      </c>
    </row>
    <row r="3">
      <c r="A3" s="5" t="inlineStr">
        <is>
          <t>01a1212c-bc97-70ff-936a-b657b32616c7</t>
        </is>
      </c>
      <c r="B3" t="inlineStr">
        <is>
          <t>2016-10-18_VAS.AX</t>
        </is>
      </c>
      <c r="C3" s="5" t="inlineStr">
        <is>
          <t>01a1212c-4b57-70cf-80fd-c2192cb3bf81</t>
        </is>
      </c>
      <c r="D3" s="4" t="n">
        <v>46304.62433361292</v>
      </c>
      <c r="E3" s="4" t="n">
        <v>46304.624333613</v>
      </c>
      <c r="F3" t="b">
        <v>1</v>
      </c>
      <c r="G3" t="n">
        <v/>
      </c>
      <c r="H3" t="inlineStr">
        <is>
          <t>2016-10-18 | Distribution | VAS</t>
        </is>
      </c>
      <c r="I3" t="inlineStr">
        <is>
          <t>VAS</t>
        </is>
      </c>
      <c r="J3" s="6" t="n">
        <v>42661</v>
      </c>
      <c r="K3" t="n">
        <v>14</v>
      </c>
      <c r="L3" t="inlineStr"/>
      <c r="M3" t="inlineStr">
        <is>
          <t>FY2016/17</t>
        </is>
      </c>
      <c r="N3" t="inlineStr">
        <is>
          <t>AUD</t>
        </is>
      </c>
      <c r="O3" t="n">
        <v>0.994358</v>
      </c>
      <c r="P3" t="inlineStr">
        <is>
          <t>AUD</t>
        </is>
      </c>
      <c r="Q3" t="n">
        <v>0.03</v>
      </c>
      <c r="R3" t="inlineStr">
        <is>
          <t>AUD</t>
        </is>
      </c>
      <c r="S3" t="n">
        <v>13.921012</v>
      </c>
      <c r="T3" t="inlineStr">
        <is>
          <t>AUD</t>
        </is>
      </c>
      <c r="U3" t="n">
        <v>13.921012</v>
      </c>
    </row>
    <row r="4">
      <c r="A4" s="5" t="inlineStr">
        <is>
          <t>01a1212c-bc9a-74d3-a3f4-89f31c66b6d5</t>
        </is>
      </c>
      <c r="B4" t="inlineStr">
        <is>
          <t>2017-01-17_VGS.AX</t>
        </is>
      </c>
      <c r="C4" s="5" t="inlineStr">
        <is>
          <t>01a1212c-4b57-70cf-80fd-c2192cb3bf81</t>
        </is>
      </c>
      <c r="D4" s="4" t="n">
        <v>46304.62433364215</v>
      </c>
      <c r="E4" s="4" t="n">
        <v>46304.62433364223</v>
      </c>
      <c r="F4" t="b">
        <v>1</v>
      </c>
      <c r="G4" t="n">
        <v/>
      </c>
      <c r="H4" t="inlineStr">
        <is>
          <t>2017-01-17 | Distribution | VGS</t>
        </is>
      </c>
      <c r="I4" t="inlineStr">
        <is>
          <t>VGS</t>
        </is>
      </c>
      <c r="J4" s="6" t="n">
        <v>42752</v>
      </c>
      <c r="K4" t="n">
        <v>86</v>
      </c>
      <c r="L4" t="inlineStr"/>
      <c r="M4" t="inlineStr">
        <is>
          <t>FY2016/17</t>
        </is>
      </c>
      <c r="N4" t="inlineStr">
        <is>
          <t>AUD</t>
        </is>
      </c>
      <c r="O4" t="n">
        <v>0.358562</v>
      </c>
      <c r="P4" t="inlineStr">
        <is>
          <t>AUD</t>
        </is>
      </c>
      <c r="Q4" t="n">
        <v>0.04</v>
      </c>
      <c r="R4" t="inlineStr">
        <is>
          <t>AUD</t>
        </is>
      </c>
      <c r="S4" t="n">
        <v>30.836332</v>
      </c>
      <c r="T4" t="inlineStr">
        <is>
          <t>AUD</t>
        </is>
      </c>
      <c r="U4" t="n">
        <v>30.836332</v>
      </c>
    </row>
    <row r="5">
      <c r="A5" s="5" t="inlineStr">
        <is>
          <t>01a1212c-bc9c-744b-9f2a-4dbd72175d20</t>
        </is>
      </c>
      <c r="B5" t="inlineStr">
        <is>
          <t>2017-01-17_VAS.AX</t>
        </is>
      </c>
      <c r="C5" s="5" t="inlineStr">
        <is>
          <t>01a1212c-4b57-70cf-80fd-c2192cb3bf81</t>
        </is>
      </c>
      <c r="D5" s="4" t="n">
        <v>46304.62433367112</v>
      </c>
      <c r="E5" s="4" t="n">
        <v>46304.62433367121</v>
      </c>
      <c r="F5" t="b">
        <v>1</v>
      </c>
      <c r="G5" t="n">
        <v/>
      </c>
      <c r="H5" t="inlineStr">
        <is>
          <t>2017-01-17 | Distribution | VAS</t>
        </is>
      </c>
      <c r="I5" t="inlineStr">
        <is>
          <t>VAS</t>
        </is>
      </c>
      <c r="J5" s="6" t="n">
        <v>42752</v>
      </c>
      <c r="K5" t="n">
        <v>56</v>
      </c>
      <c r="L5" t="inlineStr"/>
      <c r="M5" t="inlineStr">
        <is>
          <t>FY2016/17</t>
        </is>
      </c>
      <c r="N5" t="inlineStr">
        <is>
          <t>AUD</t>
        </is>
      </c>
      <c r="O5" t="n">
        <v>0.930364</v>
      </c>
      <c r="P5" t="inlineStr">
        <is>
          <t>AUD</t>
        </is>
      </c>
      <c r="Q5" t="n">
        <v>0.17</v>
      </c>
      <c r="R5" t="inlineStr">
        <is>
          <t>AUD</t>
        </is>
      </c>
      <c r="S5" t="n">
        <v>52.100384</v>
      </c>
      <c r="T5" t="inlineStr">
        <is>
          <t>AUD</t>
        </is>
      </c>
      <c r="U5" t="n">
        <v>52.100384</v>
      </c>
    </row>
    <row r="6">
      <c r="A6" s="5" t="inlineStr">
        <is>
          <t>01a1212c-bc9f-7340-ad51-2233b3fe632d</t>
        </is>
      </c>
      <c r="B6" t="inlineStr">
        <is>
          <t>2017-04-17_VGS.AX</t>
        </is>
      </c>
      <c r="C6" s="5" t="inlineStr">
        <is>
          <t>01a1212c-4b57-70cf-80fd-c2192cb3bf81</t>
        </is>
      </c>
      <c r="D6" s="4" t="n">
        <v>46304.62433370148</v>
      </c>
      <c r="E6" s="4" t="n">
        <v>46304.62433370158</v>
      </c>
      <c r="F6" t="b">
        <v>1</v>
      </c>
      <c r="G6" t="n">
        <v/>
      </c>
      <c r="H6" t="inlineStr">
        <is>
          <t>2017-04-17 | Distribution | VGS</t>
        </is>
      </c>
      <c r="I6" t="inlineStr">
        <is>
          <t>VGS</t>
        </is>
      </c>
      <c r="J6" s="6" t="n">
        <v>42842</v>
      </c>
      <c r="K6" t="n">
        <v>160</v>
      </c>
      <c r="L6" t="inlineStr"/>
      <c r="M6" t="inlineStr">
        <is>
          <t>FY2016/17</t>
        </is>
      </c>
      <c r="N6" t="inlineStr">
        <is>
          <t>AUD</t>
        </is>
      </c>
      <c r="O6" t="n">
        <v>0.264939</v>
      </c>
      <c r="P6" t="inlineStr">
        <is>
          <t>AUD</t>
        </is>
      </c>
      <c r="Q6" t="n">
        <v>0.14</v>
      </c>
      <c r="R6" t="inlineStr">
        <is>
          <t>AUD</t>
        </is>
      </c>
      <c r="S6" t="n">
        <v>42.39024</v>
      </c>
      <c r="T6" t="inlineStr">
        <is>
          <t>AUD</t>
        </is>
      </c>
      <c r="U6" t="n">
        <v>42.39024</v>
      </c>
    </row>
    <row r="7">
      <c r="A7" s="5" t="inlineStr">
        <is>
          <t>01a1212c-bca2-719e-86a7-9263649f3126</t>
        </is>
      </c>
      <c r="B7" t="inlineStr">
        <is>
          <t>2017-04-17_VAS.AX</t>
        </is>
      </c>
      <c r="C7" s="5" t="inlineStr">
        <is>
          <t>01a1212c-4b57-70cf-80fd-c2192cb3bf81</t>
        </is>
      </c>
      <c r="D7" s="4" t="n">
        <v>46304.62433373493</v>
      </c>
      <c r="E7" s="4" t="n">
        <v>46304.62433373501</v>
      </c>
      <c r="F7" t="b">
        <v>1</v>
      </c>
      <c r="G7" t="n">
        <v/>
      </c>
      <c r="H7" t="inlineStr">
        <is>
          <t>2017-04-17 | Distribution | VAS</t>
        </is>
      </c>
      <c r="I7" t="inlineStr">
        <is>
          <t>VAS</t>
        </is>
      </c>
      <c r="J7" s="6" t="n">
        <v>42842</v>
      </c>
      <c r="K7" t="n">
        <v>105</v>
      </c>
      <c r="L7" t="inlineStr"/>
      <c r="M7" t="inlineStr">
        <is>
          <t>FY2016/17</t>
        </is>
      </c>
      <c r="N7" t="inlineStr">
        <is>
          <t>AUD</t>
        </is>
      </c>
      <c r="O7" t="n">
        <v>0.550688</v>
      </c>
      <c r="P7" t="inlineStr">
        <is>
          <t>AUD</t>
        </is>
      </c>
      <c r="Q7" t="n">
        <v>0.22</v>
      </c>
      <c r="R7" t="inlineStr">
        <is>
          <t>AUD</t>
        </is>
      </c>
      <c r="S7" t="n">
        <v>57.82224</v>
      </c>
      <c r="T7" t="inlineStr">
        <is>
          <t>AUD</t>
        </is>
      </c>
      <c r="U7" t="n">
        <v>57.82224</v>
      </c>
    </row>
    <row r="8">
      <c r="A8" s="5" t="inlineStr">
        <is>
          <t>01a1212c-bca5-7102-8e7f-31c649863eda</t>
        </is>
      </c>
      <c r="B8" t="inlineStr">
        <is>
          <t>2017-07-17_VGS.AX</t>
        </is>
      </c>
      <c r="C8" s="5" t="inlineStr">
        <is>
          <t>01a1212c-4b57-70cf-80fd-c2192cb3bf81</t>
        </is>
      </c>
      <c r="D8" s="4" t="n">
        <v>46304.62433376973</v>
      </c>
      <c r="E8" s="4" t="n">
        <v>46304.62433376982</v>
      </c>
      <c r="F8" t="b">
        <v>1</v>
      </c>
      <c r="G8" t="n">
        <v/>
      </c>
      <c r="H8" t="inlineStr">
        <is>
          <t>2017-07-17 | Distribution | VGS</t>
        </is>
      </c>
      <c r="I8" t="inlineStr">
        <is>
          <t>VGS</t>
        </is>
      </c>
      <c r="J8" s="6" t="n">
        <v>42933</v>
      </c>
      <c r="K8" t="n">
        <v>235</v>
      </c>
      <c r="L8" t="inlineStr"/>
      <c r="M8" t="inlineStr">
        <is>
          <t>FY2017/18</t>
        </is>
      </c>
      <c r="N8" t="inlineStr">
        <is>
          <t>AUD</t>
        </is>
      </c>
      <c r="O8" t="n">
        <v>1.006588</v>
      </c>
      <c r="P8" t="inlineStr">
        <is>
          <t>AUD</t>
        </is>
      </c>
      <c r="Q8" t="n">
        <v>0.6899999999999999</v>
      </c>
      <c r="R8" t="inlineStr">
        <is>
          <t>AUD</t>
        </is>
      </c>
      <c r="S8" t="n">
        <v>236.54818</v>
      </c>
      <c r="T8" t="inlineStr">
        <is>
          <t>AUD</t>
        </is>
      </c>
      <c r="U8" t="n">
        <v>236.54818</v>
      </c>
    </row>
    <row r="9">
      <c r="A9" s="5" t="inlineStr">
        <is>
          <t>01a1212c-bca7-77bc-bd85-0e1f282804f0</t>
        </is>
      </c>
      <c r="B9" t="inlineStr">
        <is>
          <t>2017-07-17_VAS.AX</t>
        </is>
      </c>
      <c r="C9" s="5" t="inlineStr">
        <is>
          <t>01a1212c-4b57-70cf-80fd-c2192cb3bf81</t>
        </is>
      </c>
      <c r="D9" s="4" t="n">
        <v>46304.62433379933</v>
      </c>
      <c r="E9" s="4" t="n">
        <v>46304.62433379939</v>
      </c>
      <c r="F9" t="b">
        <v>1</v>
      </c>
      <c r="G9" t="n">
        <v/>
      </c>
      <c r="H9" t="inlineStr">
        <is>
          <t>2017-07-17 | Distribution | VAS</t>
        </is>
      </c>
      <c r="I9" t="inlineStr">
        <is>
          <t>VAS</t>
        </is>
      </c>
      <c r="J9" s="6" t="n">
        <v>42933</v>
      </c>
      <c r="K9" t="n">
        <v>155</v>
      </c>
      <c r="L9" t="inlineStr"/>
      <c r="M9" t="inlineStr">
        <is>
          <t>FY2017/18</t>
        </is>
      </c>
      <c r="N9" t="inlineStr">
        <is>
          <t>AUD</t>
        </is>
      </c>
      <c r="O9" t="n">
        <v>0.461387</v>
      </c>
      <c r="P9" t="inlineStr">
        <is>
          <t>AUD</t>
        </is>
      </c>
      <c r="Q9" t="n">
        <v>0.08</v>
      </c>
      <c r="R9" t="inlineStr">
        <is>
          <t>AUD</t>
        </is>
      </c>
      <c r="S9" t="n">
        <v>71.514985</v>
      </c>
      <c r="T9" t="inlineStr">
        <is>
          <t>AUD</t>
        </is>
      </c>
      <c r="U9" t="n">
        <v>71.514985</v>
      </c>
    </row>
    <row r="10">
      <c r="A10" s="5" t="inlineStr">
        <is>
          <t>01a1212c-bcaa-72dc-89aa-784613b31b15</t>
        </is>
      </c>
      <c r="B10" t="inlineStr">
        <is>
          <t>2017-10-16_VGS.AX</t>
        </is>
      </c>
      <c r="C10" s="5" t="inlineStr">
        <is>
          <t>01a1212c-4b57-70cf-80fd-c2192cb3bf81</t>
        </is>
      </c>
      <c r="D10" s="4" t="n">
        <v>46304.62433382766</v>
      </c>
      <c r="E10" s="4" t="n">
        <v>46304.62433382774</v>
      </c>
      <c r="F10" t="b">
        <v>1</v>
      </c>
      <c r="G10" t="n">
        <v/>
      </c>
      <c r="H10" t="inlineStr">
        <is>
          <t>2017-10-16 | Distribution | VGS</t>
        </is>
      </c>
      <c r="I10" t="inlineStr">
        <is>
          <t>VGS</t>
        </is>
      </c>
      <c r="J10" s="6" t="n">
        <v>43024</v>
      </c>
      <c r="K10" t="n">
        <v>317</v>
      </c>
      <c r="L10" t="inlineStr"/>
      <c r="M10" t="inlineStr">
        <is>
          <t>FY2017/18</t>
        </is>
      </c>
      <c r="N10" t="inlineStr">
        <is>
          <t>AUD</t>
        </is>
      </c>
      <c r="O10" t="n">
        <v>0.239648</v>
      </c>
      <c r="P10" t="inlineStr">
        <is>
          <t>AUD</t>
        </is>
      </c>
      <c r="Q10" t="n">
        <v>0.15</v>
      </c>
      <c r="R10" t="inlineStr">
        <is>
          <t>AUD</t>
        </is>
      </c>
      <c r="S10" t="n">
        <v>75.968416</v>
      </c>
      <c r="T10" t="inlineStr">
        <is>
          <t>AUD</t>
        </is>
      </c>
      <c r="U10" t="n">
        <v>75.968416</v>
      </c>
    </row>
    <row r="11">
      <c r="A11" s="5" t="inlineStr">
        <is>
          <t>01a1212c-bcac-70ba-90f2-f235f75e9c48</t>
        </is>
      </c>
      <c r="B11" t="inlineStr">
        <is>
          <t>2017-10-16_VAS.AX</t>
        </is>
      </c>
      <c r="C11" s="5" t="inlineStr">
        <is>
          <t>01a1212c-4b57-70cf-80fd-c2192cb3bf81</t>
        </is>
      </c>
      <c r="D11" s="4" t="n">
        <v>46304.62433385784</v>
      </c>
      <c r="E11" s="4" t="n">
        <v>46304.62433385792</v>
      </c>
      <c r="F11" t="b">
        <v>1</v>
      </c>
      <c r="G11" t="n">
        <v/>
      </c>
      <c r="H11" t="inlineStr">
        <is>
          <t>2017-10-16 | Distribution | VAS</t>
        </is>
      </c>
      <c r="I11" t="inlineStr">
        <is>
          <t>VAS</t>
        </is>
      </c>
      <c r="J11" s="6" t="n">
        <v>43024</v>
      </c>
      <c r="K11" t="n">
        <v>210</v>
      </c>
      <c r="L11" t="inlineStr"/>
      <c r="M11" t="inlineStr">
        <is>
          <t>FY2017/18</t>
        </is>
      </c>
      <c r="N11" t="inlineStr">
        <is>
          <t>AUD</t>
        </is>
      </c>
      <c r="O11" t="n">
        <v>0.983422</v>
      </c>
      <c r="P11" t="inlineStr">
        <is>
          <t>AUD</t>
        </is>
      </c>
      <c r="Q11" t="n">
        <v>0.03</v>
      </c>
      <c r="R11" t="inlineStr">
        <is>
          <t>AUD</t>
        </is>
      </c>
      <c r="S11" t="n">
        <v>206.51862</v>
      </c>
      <c r="T11" t="inlineStr">
        <is>
          <t>AUD</t>
        </is>
      </c>
      <c r="U11" t="n">
        <v>206.51862</v>
      </c>
    </row>
    <row r="12">
      <c r="A12" s="5" t="inlineStr">
        <is>
          <t>01a1212c-bcaf-7202-996f-a10e4ce2fbaa</t>
        </is>
      </c>
      <c r="B12" t="inlineStr">
        <is>
          <t>2018-01-16_VGS.AX</t>
        </is>
      </c>
      <c r="C12" s="5" t="inlineStr">
        <is>
          <t>01a1212c-4b57-70cf-80fd-c2192cb3bf81</t>
        </is>
      </c>
      <c r="D12" s="4" t="n">
        <v>46304.62433388556</v>
      </c>
      <c r="E12" s="4" t="n">
        <v>46304.62433388562</v>
      </c>
      <c r="F12" t="b">
        <v>1</v>
      </c>
      <c r="G12" t="n">
        <v/>
      </c>
      <c r="H12" t="inlineStr">
        <is>
          <t>2018-01-16 | Distribution | VGS</t>
        </is>
      </c>
      <c r="I12" t="inlineStr">
        <is>
          <t>VGS</t>
        </is>
      </c>
      <c r="J12" s="6" t="n">
        <v>43116</v>
      </c>
      <c r="K12" t="n">
        <v>369</v>
      </c>
      <c r="L12" t="inlineStr"/>
      <c r="M12" t="inlineStr">
        <is>
          <t>FY2017/18</t>
        </is>
      </c>
      <c r="N12" t="inlineStr">
        <is>
          <t>AUD</t>
        </is>
      </c>
      <c r="O12" t="n">
        <v>0.304192</v>
      </c>
      <c r="P12" t="inlineStr">
        <is>
          <t>AUD</t>
        </is>
      </c>
      <c r="Q12" t="n">
        <v>0.39</v>
      </c>
      <c r="R12" t="inlineStr">
        <is>
          <t>AUD</t>
        </is>
      </c>
      <c r="S12" t="n">
        <v>112.246848</v>
      </c>
      <c r="T12" t="inlineStr">
        <is>
          <t>AUD</t>
        </is>
      </c>
      <c r="U12" t="n">
        <v>112.246848</v>
      </c>
    </row>
    <row r="13">
      <c r="A13" s="5" t="inlineStr">
        <is>
          <t>01a1212c-bcb2-7187-afa5-013aa519e9fb</t>
        </is>
      </c>
      <c r="B13" t="inlineStr">
        <is>
          <t>2018-01-16_VAS.AX</t>
        </is>
      </c>
      <c r="C13" s="5" t="inlineStr">
        <is>
          <t>01a1212c-4b57-70cf-80fd-c2192cb3bf81</t>
        </is>
      </c>
      <c r="D13" s="4" t="n">
        <v>46304.62433392261</v>
      </c>
      <c r="E13" s="4" t="n">
        <v>46304.62433392267</v>
      </c>
      <c r="F13" t="b">
        <v>1</v>
      </c>
      <c r="G13" t="n">
        <v/>
      </c>
      <c r="H13" t="inlineStr">
        <is>
          <t>2018-01-16 | Distribution | VAS</t>
        </is>
      </c>
      <c r="I13" t="inlineStr">
        <is>
          <t>VAS</t>
        </is>
      </c>
      <c r="J13" s="6" t="n">
        <v>43116</v>
      </c>
      <c r="K13" t="n">
        <v>247</v>
      </c>
      <c r="L13" t="inlineStr"/>
      <c r="M13" t="inlineStr">
        <is>
          <t>FY2017/18</t>
        </is>
      </c>
      <c r="N13" t="inlineStr">
        <is>
          <t>AUD</t>
        </is>
      </c>
      <c r="O13" t="n">
        <v>0.682118</v>
      </c>
      <c r="P13" t="inlineStr">
        <is>
          <t>AUD</t>
        </is>
      </c>
      <c r="Q13" t="n">
        <v>0.3</v>
      </c>
      <c r="R13" t="inlineStr">
        <is>
          <t>AUD</t>
        </is>
      </c>
      <c r="S13" t="n">
        <v>168.483146</v>
      </c>
      <c r="T13" t="inlineStr">
        <is>
          <t>AUD</t>
        </is>
      </c>
      <c r="U13" t="n">
        <v>168.483146</v>
      </c>
    </row>
    <row r="14">
      <c r="A14" s="5" t="inlineStr">
        <is>
          <t>01a1212c-bcb6-7411-bd41-e01c719f6eff</t>
        </is>
      </c>
      <c r="B14" t="inlineStr">
        <is>
          <t>2018-04-17_VGS.AX</t>
        </is>
      </c>
      <c r="C14" s="5" t="inlineStr">
        <is>
          <t>01a1212c-4b57-70cf-80fd-c2192cb3bf81</t>
        </is>
      </c>
      <c r="D14" s="4" t="n">
        <v>46304.62433396393</v>
      </c>
      <c r="E14" s="4" t="n">
        <v>46304.62433396399</v>
      </c>
      <c r="F14" t="b">
        <v>1</v>
      </c>
      <c r="G14" t="n">
        <v/>
      </c>
      <c r="H14" t="inlineStr">
        <is>
          <t>2018-04-17 | Distribution | VGS</t>
        </is>
      </c>
      <c r="I14" t="inlineStr">
        <is>
          <t>VGS</t>
        </is>
      </c>
      <c r="J14" s="6" t="n">
        <v>43207</v>
      </c>
      <c r="K14" t="n">
        <v>445</v>
      </c>
      <c r="L14" t="inlineStr"/>
      <c r="M14" t="inlineStr">
        <is>
          <t>FY2017/18</t>
        </is>
      </c>
      <c r="N14" t="inlineStr">
        <is>
          <t>AUD</t>
        </is>
      </c>
      <c r="O14" t="n">
        <v>0.215727</v>
      </c>
      <c r="P14" t="inlineStr">
        <is>
          <t>AUD</t>
        </is>
      </c>
      <c r="Q14" t="n">
        <v>0.24</v>
      </c>
      <c r="R14" t="inlineStr">
        <is>
          <t>AUD</t>
        </is>
      </c>
      <c r="S14" t="n">
        <v>95.998515</v>
      </c>
      <c r="T14" t="inlineStr">
        <is>
          <t>AUD</t>
        </is>
      </c>
      <c r="U14" t="n">
        <v>95.998515</v>
      </c>
    </row>
    <row r="15">
      <c r="A15" s="5" t="inlineStr">
        <is>
          <t>01a1212c-bcb8-74ce-babe-39e0e37f8cd1</t>
        </is>
      </c>
      <c r="B15" t="inlineStr">
        <is>
          <t>2018-04-17_VAS.AX</t>
        </is>
      </c>
      <c r="C15" s="5" t="inlineStr">
        <is>
          <t>01a1212c-4b57-70cf-80fd-c2192cb3bf81</t>
        </is>
      </c>
      <c r="D15" s="4" t="n">
        <v>46304.62433399296</v>
      </c>
      <c r="E15" s="4" t="n">
        <v>46304.62433399303</v>
      </c>
      <c r="F15" t="b">
        <v>1</v>
      </c>
      <c r="G15" t="n">
        <v/>
      </c>
      <c r="H15" t="inlineStr">
        <is>
          <t>2018-04-17 | Distribution | VAS</t>
        </is>
      </c>
      <c r="I15" t="inlineStr">
        <is>
          <t>VAS</t>
        </is>
      </c>
      <c r="J15" s="6" t="n">
        <v>43207</v>
      </c>
      <c r="K15" t="n">
        <v>301</v>
      </c>
      <c r="L15" t="inlineStr"/>
      <c r="M15" t="inlineStr">
        <is>
          <t>FY2017/18</t>
        </is>
      </c>
      <c r="N15" t="inlineStr">
        <is>
          <t>AUD</t>
        </is>
      </c>
      <c r="O15" t="n">
        <v>0.649641</v>
      </c>
      <c r="P15" t="inlineStr">
        <is>
          <t>AUD</t>
        </is>
      </c>
      <c r="Q15" t="n">
        <v>0.63</v>
      </c>
      <c r="R15" t="inlineStr">
        <is>
          <t>AUD</t>
        </is>
      </c>
      <c r="S15" t="n">
        <v>195.541941</v>
      </c>
      <c r="T15" t="inlineStr">
        <is>
          <t>AUD</t>
        </is>
      </c>
      <c r="U15" t="n">
        <v>195.541941</v>
      </c>
    </row>
    <row r="16">
      <c r="A16" s="5" t="inlineStr">
        <is>
          <t>01a1212c-bcbb-777b-8c41-e810ba523a70</t>
        </is>
      </c>
      <c r="B16" t="inlineStr">
        <is>
          <t>2018-07-16_VGS.AX</t>
        </is>
      </c>
      <c r="C16" s="5" t="inlineStr">
        <is>
          <t>01a1212c-4b57-70cf-80fd-c2192cb3bf81</t>
        </is>
      </c>
      <c r="D16" s="4" t="n">
        <v>46304.6243340206</v>
      </c>
      <c r="E16" s="4" t="n">
        <v>46304.62433402067</v>
      </c>
      <c r="F16" t="b">
        <v>1</v>
      </c>
      <c r="G16" t="n">
        <v/>
      </c>
      <c r="H16" t="inlineStr">
        <is>
          <t>2018-07-16 | Distribution | VGS</t>
        </is>
      </c>
      <c r="I16" t="inlineStr">
        <is>
          <t>VGS</t>
        </is>
      </c>
      <c r="J16" s="6" t="n">
        <v>43297</v>
      </c>
      <c r="K16" t="n">
        <v>499</v>
      </c>
      <c r="L16" t="inlineStr"/>
      <c r="M16" t="inlineStr">
        <is>
          <t>FY2018/19</t>
        </is>
      </c>
      <c r="N16" t="inlineStr">
        <is>
          <t>AUD</t>
        </is>
      </c>
      <c r="O16" t="n">
        <v>0.9278189999999999</v>
      </c>
      <c r="P16" t="inlineStr">
        <is>
          <t>AUD</t>
        </is>
      </c>
      <c r="Q16" t="n">
        <v>1.8</v>
      </c>
      <c r="R16" t="inlineStr">
        <is>
          <t>AUD</t>
        </is>
      </c>
      <c r="S16" t="n">
        <v>462.981681</v>
      </c>
      <c r="T16" t="inlineStr">
        <is>
          <t>AUD</t>
        </is>
      </c>
      <c r="U16" t="n">
        <v>462.981681</v>
      </c>
    </row>
    <row r="17">
      <c r="A17" s="5" t="inlineStr">
        <is>
          <t>01a1212c-bcbd-717e-aa58-e10e6caeeb1c</t>
        </is>
      </c>
      <c r="B17" t="inlineStr">
        <is>
          <t>2018-07-16_A200.AX</t>
        </is>
      </c>
      <c r="C17" s="5" t="inlineStr">
        <is>
          <t>01a1212c-4b57-70cf-80fd-c2192cb3bf81</t>
        </is>
      </c>
      <c r="D17" s="4" t="n">
        <v>46304.62433404795</v>
      </c>
      <c r="E17" s="4" t="n">
        <v>46304.62433404802</v>
      </c>
      <c r="F17" t="b">
        <v>1</v>
      </c>
      <c r="G17" t="n">
        <v/>
      </c>
      <c r="H17" t="inlineStr">
        <is>
          <t>2018-07-16 | Distribution | A200</t>
        </is>
      </c>
      <c r="I17" t="inlineStr">
        <is>
          <t>A200</t>
        </is>
      </c>
      <c r="J17" s="6" t="n">
        <v>43297</v>
      </c>
      <c r="K17" t="n">
        <v>8</v>
      </c>
      <c r="L17" t="inlineStr"/>
      <c r="M17" t="inlineStr">
        <is>
          <t>FY2018/19</t>
        </is>
      </c>
      <c r="N17" t="inlineStr">
        <is>
          <t>AUD</t>
        </is>
      </c>
      <c r="O17" t="n">
        <v>0.20213</v>
      </c>
      <c r="P17" t="inlineStr">
        <is>
          <t>AUD</t>
        </is>
      </c>
      <c r="Q17" t="n">
        <v>0</v>
      </c>
      <c r="R17" t="inlineStr">
        <is>
          <t>AUD</t>
        </is>
      </c>
      <c r="S17" t="n">
        <v>1.61704</v>
      </c>
      <c r="T17" t="inlineStr">
        <is>
          <t>AUD</t>
        </is>
      </c>
      <c r="U17" t="n">
        <v>1.61704</v>
      </c>
    </row>
    <row r="18">
      <c r="A18" s="5" t="inlineStr">
        <is>
          <t>01a1212c-bcbf-7688-a635-9b8197dcf7bf</t>
        </is>
      </c>
      <c r="B18" t="inlineStr">
        <is>
          <t>2018-07-16_VAS.AX</t>
        </is>
      </c>
      <c r="C18" s="5" t="inlineStr">
        <is>
          <t>01a1212c-4b57-70cf-80fd-c2192cb3bf81</t>
        </is>
      </c>
      <c r="D18" s="4" t="n">
        <v>46304.624334075</v>
      </c>
      <c r="E18" s="4" t="n">
        <v>46304.62433407507</v>
      </c>
      <c r="F18" t="b">
        <v>1</v>
      </c>
      <c r="G18" t="n">
        <v/>
      </c>
      <c r="H18" t="inlineStr">
        <is>
          <t>2018-07-16 | Distribution | VAS</t>
        </is>
      </c>
      <c r="I18" t="inlineStr">
        <is>
          <t>VAS</t>
        </is>
      </c>
      <c r="J18" s="6" t="n">
        <v>43297</v>
      </c>
      <c r="K18" t="n">
        <v>328</v>
      </c>
      <c r="L18" t="inlineStr"/>
      <c r="M18" t="inlineStr">
        <is>
          <t>FY2018/19</t>
        </is>
      </c>
      <c r="N18" t="inlineStr">
        <is>
          <t>AUD</t>
        </is>
      </c>
      <c r="O18" t="n">
        <v>1.035617</v>
      </c>
      <c r="P18" t="inlineStr">
        <is>
          <t>AUD</t>
        </is>
      </c>
      <c r="Q18" t="n">
        <v>1.3</v>
      </c>
      <c r="R18" t="inlineStr">
        <is>
          <t>AUD</t>
        </is>
      </c>
      <c r="S18" t="n">
        <v>339.682376</v>
      </c>
      <c r="T18" t="inlineStr">
        <is>
          <t>AUD</t>
        </is>
      </c>
      <c r="U18" t="n">
        <v>339.682376</v>
      </c>
    </row>
    <row r="19">
      <c r="A19" s="5" t="inlineStr">
        <is>
          <t>01a1212c-bcc2-7760-b4e1-c1a7c519706a</t>
        </is>
      </c>
      <c r="B19" t="inlineStr">
        <is>
          <t>2018-10-15_VGS.AX</t>
        </is>
      </c>
      <c r="C19" s="5" t="inlineStr">
        <is>
          <t>01a1212c-4b57-70cf-80fd-c2192cb3bf81</t>
        </is>
      </c>
      <c r="D19" s="4" t="n">
        <v>46304.62433410465</v>
      </c>
      <c r="E19" s="4" t="n">
        <v>46304.62433410472</v>
      </c>
      <c r="F19" t="b">
        <v>1</v>
      </c>
      <c r="G19" t="n">
        <v/>
      </c>
      <c r="H19" t="inlineStr">
        <is>
          <t>2018-10-15 | Distribution | VGS</t>
        </is>
      </c>
      <c r="I19" t="inlineStr">
        <is>
          <t>VGS</t>
        </is>
      </c>
      <c r="J19" s="6" t="n">
        <v>43388</v>
      </c>
      <c r="K19" t="n">
        <v>569</v>
      </c>
      <c r="L19" t="inlineStr"/>
      <c r="M19" t="inlineStr">
        <is>
          <t>FY2018/19</t>
        </is>
      </c>
      <c r="N19" t="inlineStr">
        <is>
          <t>AUD</t>
        </is>
      </c>
      <c r="O19" t="n">
        <v>0.305294</v>
      </c>
      <c r="P19" t="inlineStr">
        <is>
          <t>AUD</t>
        </is>
      </c>
      <c r="Q19" t="n">
        <v>0.34</v>
      </c>
      <c r="R19" t="inlineStr">
        <is>
          <t>AUD</t>
        </is>
      </c>
      <c r="S19" t="n">
        <v>173.712286</v>
      </c>
      <c r="T19" t="inlineStr">
        <is>
          <t>AUD</t>
        </is>
      </c>
      <c r="U19" t="n">
        <v>173.712286</v>
      </c>
    </row>
    <row r="20">
      <c r="A20" s="5" t="inlineStr">
        <is>
          <t>01a1212c-bcc4-761e-b212-40bdc6ed8945</t>
        </is>
      </c>
      <c r="B20" t="inlineStr">
        <is>
          <t>2018-10-15_A200.AX</t>
        </is>
      </c>
      <c r="C20" s="5" t="inlineStr">
        <is>
          <t>01a1212c-4b57-70cf-80fd-c2192cb3bf81</t>
        </is>
      </c>
      <c r="D20" s="4" t="n">
        <v>46304.62433413539</v>
      </c>
      <c r="E20" s="4" t="n">
        <v>46304.62433413546</v>
      </c>
      <c r="F20" t="b">
        <v>1</v>
      </c>
      <c r="G20" t="n">
        <v/>
      </c>
      <c r="H20" t="inlineStr">
        <is>
          <t>2018-10-15 | Distribution | A200</t>
        </is>
      </c>
      <c r="I20" t="inlineStr">
        <is>
          <t>A200</t>
        </is>
      </c>
      <c r="J20" s="6" t="n">
        <v>43388</v>
      </c>
      <c r="K20" t="n">
        <v>47</v>
      </c>
      <c r="L20" t="inlineStr"/>
      <c r="M20" t="inlineStr">
        <is>
          <t>FY2018/19</t>
        </is>
      </c>
      <c r="N20" t="inlineStr">
        <is>
          <t>AUD</t>
        </is>
      </c>
      <c r="O20" t="n">
        <v>1.097834</v>
      </c>
      <c r="P20" t="inlineStr">
        <is>
          <t>AUD</t>
        </is>
      </c>
      <c r="Q20" t="n">
        <v>0.07000000000000001</v>
      </c>
      <c r="R20" t="inlineStr">
        <is>
          <t>AUD</t>
        </is>
      </c>
      <c r="S20" t="n">
        <v>51.598198</v>
      </c>
      <c r="T20" t="inlineStr">
        <is>
          <t>AUD</t>
        </is>
      </c>
      <c r="U20" t="n">
        <v>51.598198</v>
      </c>
    </row>
    <row r="21">
      <c r="A21" s="5" t="inlineStr">
        <is>
          <t>01a1212c-bcc7-77fc-953e-01cd0ac30c35</t>
        </is>
      </c>
      <c r="B21" t="inlineStr">
        <is>
          <t>2018-10-15_VAS.AX</t>
        </is>
      </c>
      <c r="C21" s="5" t="inlineStr">
        <is>
          <t>01a1212c-4b57-70cf-80fd-c2192cb3bf81</t>
        </is>
      </c>
      <c r="D21" s="4" t="n">
        <v>46304.62433416258</v>
      </c>
      <c r="E21" s="4" t="n">
        <v>46304.62433416265</v>
      </c>
      <c r="F21" t="b">
        <v>1</v>
      </c>
      <c r="G21" t="n">
        <v/>
      </c>
      <c r="H21" t="inlineStr">
        <is>
          <t>2018-10-15 | Distribution | VAS</t>
        </is>
      </c>
      <c r="I21" t="inlineStr">
        <is>
          <t>VAS</t>
        </is>
      </c>
      <c r="J21" s="6" t="n">
        <v>43388</v>
      </c>
      <c r="K21" t="n">
        <v>328</v>
      </c>
      <c r="L21" t="inlineStr"/>
      <c r="M21" t="inlineStr">
        <is>
          <t>FY2018/19</t>
        </is>
      </c>
      <c r="N21" t="inlineStr">
        <is>
          <t>AUD</t>
        </is>
      </c>
      <c r="O21" t="n">
        <v>1.135101</v>
      </c>
      <c r="P21" t="inlineStr">
        <is>
          <t>AUD</t>
        </is>
      </c>
      <c r="Q21" t="n">
        <v>0.8100000000000001</v>
      </c>
      <c r="R21" t="inlineStr">
        <is>
          <t>AUD</t>
        </is>
      </c>
      <c r="S21" t="n">
        <v>372.313128</v>
      </c>
      <c r="T21" t="inlineStr">
        <is>
          <t>AUD</t>
        </is>
      </c>
      <c r="U21" t="n">
        <v>372.313128</v>
      </c>
    </row>
    <row r="22">
      <c r="A22" s="5" t="inlineStr">
        <is>
          <t>01a1212c-bcc9-718d-b3c1-ef0eae10a429</t>
        </is>
      </c>
      <c r="B22" t="inlineStr">
        <is>
          <t>2019-01-16_VGS.AX</t>
        </is>
      </c>
      <c r="C22" s="5" t="inlineStr">
        <is>
          <t>01a1212c-4b57-70cf-80fd-c2192cb3bf81</t>
        </is>
      </c>
      <c r="D22" s="4" t="n">
        <v>46304.62433418949</v>
      </c>
      <c r="E22" s="4" t="n">
        <v>46304.62433418956</v>
      </c>
      <c r="F22" t="b">
        <v>1</v>
      </c>
      <c r="G22" t="n">
        <v/>
      </c>
      <c r="H22" t="inlineStr">
        <is>
          <t>2019-01-16 | Distribution | VGS</t>
        </is>
      </c>
      <c r="I22" t="inlineStr">
        <is>
          <t>VGS</t>
        </is>
      </c>
      <c r="J22" s="6" t="n">
        <v>43481</v>
      </c>
      <c r="K22" t="n">
        <v>632</v>
      </c>
      <c r="L22" t="inlineStr"/>
      <c r="M22" t="inlineStr">
        <is>
          <t>FY2018/19</t>
        </is>
      </c>
      <c r="N22" t="inlineStr">
        <is>
          <t>AUD</t>
        </is>
      </c>
      <c r="O22" t="n">
        <v>0.394046</v>
      </c>
      <c r="P22" t="inlineStr">
        <is>
          <t>AUD</t>
        </is>
      </c>
      <c r="Q22" t="n">
        <v>0.36</v>
      </c>
      <c r="R22" t="inlineStr">
        <is>
          <t>AUD</t>
        </is>
      </c>
      <c r="S22" t="n">
        <v>249.037072</v>
      </c>
      <c r="T22" t="inlineStr">
        <is>
          <t>AUD</t>
        </is>
      </c>
      <c r="U22" t="n">
        <v>249.037072</v>
      </c>
    </row>
    <row r="23">
      <c r="A23" s="5" t="inlineStr">
        <is>
          <t>01a1212c-bccc-706b-ba30-05c55d3a0299</t>
        </is>
      </c>
      <c r="B23" t="inlineStr">
        <is>
          <t>2019-01-16_A200.AX</t>
        </is>
      </c>
      <c r="C23" s="5" t="inlineStr">
        <is>
          <t>01a1212c-4b57-70cf-80fd-c2192cb3bf81</t>
        </is>
      </c>
      <c r="D23" s="4" t="n">
        <v>46304.62433421685</v>
      </c>
      <c r="E23" s="4" t="n">
        <v>46304.62433421692</v>
      </c>
      <c r="F23" t="b">
        <v>1</v>
      </c>
      <c r="G23" t="n">
        <v/>
      </c>
      <c r="H23" t="inlineStr">
        <is>
          <t>2019-01-16 | Distribution | A200</t>
        </is>
      </c>
      <c r="I23" t="inlineStr">
        <is>
          <t>A200</t>
        </is>
      </c>
      <c r="J23" s="6" t="n">
        <v>43481</v>
      </c>
      <c r="K23" t="n">
        <v>83</v>
      </c>
      <c r="L23" t="inlineStr"/>
      <c r="M23" t="inlineStr">
        <is>
          <t>FY2018/19</t>
        </is>
      </c>
      <c r="N23" t="inlineStr">
        <is>
          <t>AUD</t>
        </is>
      </c>
      <c r="O23" t="n">
        <v>0.677545</v>
      </c>
      <c r="P23" t="inlineStr">
        <is>
          <t>AUD</t>
        </is>
      </c>
      <c r="Q23" t="n">
        <v>0.16</v>
      </c>
      <c r="R23" t="inlineStr">
        <is>
          <t>AUD</t>
        </is>
      </c>
      <c r="S23" t="n">
        <v>56.236235</v>
      </c>
      <c r="T23" t="inlineStr">
        <is>
          <t>AUD</t>
        </is>
      </c>
      <c r="U23" t="n">
        <v>56.236235</v>
      </c>
    </row>
    <row r="24">
      <c r="A24" s="5" t="inlineStr">
        <is>
          <t>01a1212c-bcce-7005-8343-c3c1de19c672</t>
        </is>
      </c>
      <c r="B24" t="inlineStr">
        <is>
          <t>2019-01-16_VAS.AX</t>
        </is>
      </c>
      <c r="C24" s="5" t="inlineStr">
        <is>
          <t>01a1212c-4b57-70cf-80fd-c2192cb3bf81</t>
        </is>
      </c>
      <c r="D24" s="4" t="n">
        <v>46304.62433424382</v>
      </c>
      <c r="E24" s="4" t="n">
        <v>46304.62433424389</v>
      </c>
      <c r="F24" t="b">
        <v>1</v>
      </c>
      <c r="G24" t="n">
        <v/>
      </c>
      <c r="H24" t="inlineStr">
        <is>
          <t>2019-01-16 | Distribution | VAS</t>
        </is>
      </c>
      <c r="I24" t="inlineStr">
        <is>
          <t>VAS</t>
        </is>
      </c>
      <c r="J24" s="6" t="n">
        <v>43481</v>
      </c>
      <c r="K24" t="n">
        <v>328</v>
      </c>
      <c r="L24" t="inlineStr"/>
      <c r="M24" t="inlineStr">
        <is>
          <t>FY2018/19</t>
        </is>
      </c>
      <c r="N24" t="inlineStr">
        <is>
          <t>AUD</t>
        </is>
      </c>
      <c r="O24" t="n">
        <v>0.69582</v>
      </c>
      <c r="P24" t="inlineStr">
        <is>
          <t>AUD</t>
        </is>
      </c>
      <c r="Q24" t="n">
        <v>0.29</v>
      </c>
      <c r="R24" t="inlineStr">
        <is>
          <t>AUD</t>
        </is>
      </c>
      <c r="S24" t="n">
        <v>228.22896</v>
      </c>
      <c r="T24" t="inlineStr">
        <is>
          <t>AUD</t>
        </is>
      </c>
      <c r="U24" t="n">
        <v>228.22896</v>
      </c>
    </row>
    <row r="25">
      <c r="A25" s="5" t="inlineStr">
        <is>
          <t>01a1212c-bcd0-73c9-afa2-c0e2c2cfea44</t>
        </is>
      </c>
      <c r="B25" t="inlineStr">
        <is>
          <t>2019-04-15_VGS.AX</t>
        </is>
      </c>
      <c r="C25" s="5" t="inlineStr">
        <is>
          <t>01a1212c-4b57-70cf-80fd-c2192cb3bf81</t>
        </is>
      </c>
      <c r="D25" s="4" t="n">
        <v>46304.62433427283</v>
      </c>
      <c r="E25" s="4" t="n">
        <v>46304.62433427291</v>
      </c>
      <c r="F25" t="b">
        <v>1</v>
      </c>
      <c r="G25" t="n">
        <v/>
      </c>
      <c r="H25" t="inlineStr">
        <is>
          <t>2019-04-15 | Distribution | VGS</t>
        </is>
      </c>
      <c r="I25" t="inlineStr">
        <is>
          <t>VGS</t>
        </is>
      </c>
      <c r="J25" s="6" t="n">
        <v>43570</v>
      </c>
      <c r="K25" t="n">
        <v>696</v>
      </c>
      <c r="L25" t="inlineStr"/>
      <c r="M25" t="inlineStr">
        <is>
          <t>FY2018/19</t>
        </is>
      </c>
      <c r="N25" t="inlineStr">
        <is>
          <t>AUD</t>
        </is>
      </c>
      <c r="O25" t="n">
        <v>0.471838</v>
      </c>
      <c r="P25" t="inlineStr">
        <is>
          <t>AUD</t>
        </is>
      </c>
      <c r="Q25" t="n">
        <v>0.74</v>
      </c>
      <c r="R25" t="inlineStr">
        <is>
          <t>AUD</t>
        </is>
      </c>
      <c r="S25" t="n">
        <v>328.399248</v>
      </c>
      <c r="T25" t="inlineStr">
        <is>
          <t>AUD</t>
        </is>
      </c>
      <c r="U25" t="n">
        <v>328.399248</v>
      </c>
    </row>
    <row r="26">
      <c r="A26" s="5" t="inlineStr">
        <is>
          <t>01a1212c-bcd3-714f-b2a7-b6a3a1aa0f16</t>
        </is>
      </c>
      <c r="B26" t="inlineStr">
        <is>
          <t>2019-04-15_A200.AX</t>
        </is>
      </c>
      <c r="C26" s="5" t="inlineStr">
        <is>
          <t>01a1212c-4b57-70cf-80fd-c2192cb3bf81</t>
        </is>
      </c>
      <c r="D26" s="4" t="n">
        <v>46304.62433429994</v>
      </c>
      <c r="E26" s="4" t="n">
        <v>46304.62433430001</v>
      </c>
      <c r="F26" t="b">
        <v>1</v>
      </c>
      <c r="G26" t="n">
        <v/>
      </c>
      <c r="H26" t="inlineStr">
        <is>
          <t>2019-04-15 | Distribution | A200</t>
        </is>
      </c>
      <c r="I26" t="inlineStr">
        <is>
          <t>A200</t>
        </is>
      </c>
      <c r="J26" s="6" t="n">
        <v>43570</v>
      </c>
      <c r="K26" t="n">
        <v>118</v>
      </c>
      <c r="L26" t="inlineStr"/>
      <c r="M26" t="inlineStr">
        <is>
          <t>FY2018/19</t>
        </is>
      </c>
      <c r="N26" t="inlineStr">
        <is>
          <t>AUD</t>
        </is>
      </c>
      <c r="O26" t="n">
        <v>0.930579</v>
      </c>
      <c r="P26" t="inlineStr">
        <is>
          <t>AUD</t>
        </is>
      </c>
      <c r="Q26" t="n">
        <v>0.14</v>
      </c>
      <c r="R26" t="inlineStr">
        <is>
          <t>AUD</t>
        </is>
      </c>
      <c r="S26" t="n">
        <v>109.808322</v>
      </c>
      <c r="T26" t="inlineStr">
        <is>
          <t>AUD</t>
        </is>
      </c>
      <c r="U26" t="n">
        <v>109.808322</v>
      </c>
    </row>
    <row r="27">
      <c r="A27" s="5" t="inlineStr">
        <is>
          <t>01a1212c-bcd6-76cc-aa14-d0dc748681cb</t>
        </is>
      </c>
      <c r="B27" t="inlineStr">
        <is>
          <t>2019-04-15_VAS.AX</t>
        </is>
      </c>
      <c r="C27" s="5" t="inlineStr">
        <is>
          <t>01a1212c-4b57-70cf-80fd-c2192cb3bf81</t>
        </is>
      </c>
      <c r="D27" s="4" t="n">
        <v>46304.62433433274</v>
      </c>
      <c r="E27" s="4" t="n">
        <v>46304.62433433281</v>
      </c>
      <c r="F27" t="b">
        <v>1</v>
      </c>
      <c r="G27" t="n">
        <v/>
      </c>
      <c r="H27" t="inlineStr">
        <is>
          <t>2019-04-15 | Distribution | VAS</t>
        </is>
      </c>
      <c r="I27" t="inlineStr">
        <is>
          <t>VAS</t>
        </is>
      </c>
      <c r="J27" s="6" t="n">
        <v>43570</v>
      </c>
      <c r="K27" t="n">
        <v>131</v>
      </c>
      <c r="L27" t="inlineStr"/>
      <c r="M27" t="inlineStr">
        <is>
          <t>FY2018/19</t>
        </is>
      </c>
      <c r="N27" t="inlineStr">
        <is>
          <t>AUD</t>
        </is>
      </c>
      <c r="O27" t="n">
        <v>0.889916</v>
      </c>
      <c r="P27" t="inlineStr">
        <is>
          <t>AUD</t>
        </is>
      </c>
      <c r="Q27" t="n">
        <v>0.18</v>
      </c>
      <c r="R27" t="inlineStr">
        <is>
          <t>AUD</t>
        </is>
      </c>
      <c r="S27" t="n">
        <v>116.578996</v>
      </c>
      <c r="T27" t="inlineStr">
        <is>
          <t>AUD</t>
        </is>
      </c>
      <c r="U27" t="n">
        <v>116.578996</v>
      </c>
    </row>
    <row r="28">
      <c r="A28" s="5" t="inlineStr">
        <is>
          <t>01a1212c-bcd8-73cc-8bbe-6aed6017d131</t>
        </is>
      </c>
      <c r="B28" t="inlineStr">
        <is>
          <t>2019-07-15_VGS.AX</t>
        </is>
      </c>
      <c r="C28" s="5" t="inlineStr">
        <is>
          <t>01a1212c-4b57-70cf-80fd-c2192cb3bf81</t>
        </is>
      </c>
      <c r="D28" s="4" t="n">
        <v>46304.62433436025</v>
      </c>
      <c r="E28" s="4" t="n">
        <v>46304.62433436033</v>
      </c>
      <c r="F28" t="b">
        <v>1</v>
      </c>
      <c r="G28" t="n">
        <v/>
      </c>
      <c r="H28" t="inlineStr">
        <is>
          <t>2019-07-15 | Distribution | VGS</t>
        </is>
      </c>
      <c r="I28" t="inlineStr">
        <is>
          <t>VGS</t>
        </is>
      </c>
      <c r="J28" s="6" t="n">
        <v>43661</v>
      </c>
      <c r="K28" t="n">
        <v>761</v>
      </c>
      <c r="L28" t="inlineStr"/>
      <c r="M28" t="inlineStr">
        <is>
          <t>FY2019/20</t>
        </is>
      </c>
      <c r="N28" t="inlineStr">
        <is>
          <t>AUD</t>
        </is>
      </c>
      <c r="O28" t="n">
        <v>0.742723</v>
      </c>
      <c r="P28" t="inlineStr">
        <is>
          <t>AUD</t>
        </is>
      </c>
      <c r="Q28" t="n">
        <v>1.72</v>
      </c>
      <c r="R28" t="inlineStr">
        <is>
          <t>AUD</t>
        </is>
      </c>
      <c r="S28" t="n">
        <v>565.212203</v>
      </c>
      <c r="T28" t="inlineStr">
        <is>
          <t>AUD</t>
        </is>
      </c>
      <c r="U28" t="n">
        <v>565.212203</v>
      </c>
    </row>
    <row r="29">
      <c r="A29" s="5" t="inlineStr">
        <is>
          <t>01a1212c-bcda-70e0-a1dd-b63b80a4b98b</t>
        </is>
      </c>
      <c r="B29" t="inlineStr">
        <is>
          <t>2019-07-15_A200.AX</t>
        </is>
      </c>
      <c r="C29" s="5" t="inlineStr">
        <is>
          <t>01a1212c-4b57-70cf-80fd-c2192cb3bf81</t>
        </is>
      </c>
      <c r="D29" s="4" t="n">
        <v>46304.62433438776</v>
      </c>
      <c r="E29" s="4" t="n">
        <v>46304.62433438782</v>
      </c>
      <c r="F29" t="b">
        <v>1</v>
      </c>
      <c r="G29" t="n">
        <v/>
      </c>
      <c r="H29" t="inlineStr">
        <is>
          <t>2019-07-15 | Distribution | A200</t>
        </is>
      </c>
      <c r="I29" t="inlineStr">
        <is>
          <t>A200</t>
        </is>
      </c>
      <c r="J29" s="6" t="n">
        <v>43661</v>
      </c>
      <c r="K29" t="n">
        <v>154</v>
      </c>
      <c r="L29" t="inlineStr"/>
      <c r="M29" t="inlineStr">
        <is>
          <t>FY2019/20</t>
        </is>
      </c>
      <c r="N29" t="inlineStr">
        <is>
          <t>AUD</t>
        </is>
      </c>
      <c r="O29" t="n">
        <v>1.092549</v>
      </c>
      <c r="P29" t="inlineStr">
        <is>
          <t>AUD</t>
        </is>
      </c>
      <c r="Q29" t="n">
        <v>0.34</v>
      </c>
      <c r="R29" t="inlineStr">
        <is>
          <t>AUD</t>
        </is>
      </c>
      <c r="S29" t="n">
        <v>168.252546</v>
      </c>
      <c r="T29" t="inlineStr">
        <is>
          <t>AUD</t>
        </is>
      </c>
      <c r="U29" t="n">
        <v>168.252546</v>
      </c>
    </row>
    <row r="30">
      <c r="A30" s="5" t="inlineStr">
        <is>
          <t>01a1212c-bcdd-72d1-9f9f-0c75b6706e82</t>
        </is>
      </c>
      <c r="B30" t="inlineStr">
        <is>
          <t>2019-07-15_VAS.AX</t>
        </is>
      </c>
      <c r="C30" s="5" t="inlineStr">
        <is>
          <t>01a1212c-4b57-70cf-80fd-c2192cb3bf81</t>
        </is>
      </c>
      <c r="D30" s="4" t="n">
        <v>46304.6243344148</v>
      </c>
      <c r="E30" s="4" t="n">
        <v>46304.62433441486</v>
      </c>
      <c r="F30" t="b">
        <v>1</v>
      </c>
      <c r="G30" t="n">
        <v/>
      </c>
      <c r="H30" t="inlineStr">
        <is>
          <t>2019-07-15 | Distribution | VAS</t>
        </is>
      </c>
      <c r="I30" t="inlineStr">
        <is>
          <t>VAS</t>
        </is>
      </c>
      <c r="J30" s="6" t="n">
        <v>43661</v>
      </c>
      <c r="K30" t="n">
        <v>131</v>
      </c>
      <c r="L30" t="inlineStr"/>
      <c r="M30" t="inlineStr">
        <is>
          <t>FY2019/20</t>
        </is>
      </c>
      <c r="N30" t="inlineStr">
        <is>
          <t>AUD</t>
        </is>
      </c>
      <c r="O30" t="n">
        <v>0.805009</v>
      </c>
      <c r="P30" t="inlineStr">
        <is>
          <t>AUD</t>
        </is>
      </c>
      <c r="Q30" t="n">
        <v>0.36</v>
      </c>
      <c r="R30" t="inlineStr">
        <is>
          <t>AUD</t>
        </is>
      </c>
      <c r="S30" t="n">
        <v>105.456179</v>
      </c>
      <c r="T30" t="inlineStr">
        <is>
          <t>AUD</t>
        </is>
      </c>
      <c r="U30" t="n">
        <v>105.456179</v>
      </c>
    </row>
    <row r="31">
      <c r="A31" s="5" t="inlineStr">
        <is>
          <t>01a1212c-bcdf-71bc-8c22-b76662a6a65f</t>
        </is>
      </c>
      <c r="B31" t="inlineStr">
        <is>
          <t>2019-10-15_VGS.AX</t>
        </is>
      </c>
      <c r="C31" s="5" t="inlineStr">
        <is>
          <t>01a1212c-4b57-70cf-80fd-c2192cb3bf81</t>
        </is>
      </c>
      <c r="D31" s="4" t="n">
        <v>46304.6243344437</v>
      </c>
      <c r="E31" s="4" t="n">
        <v>46304.62433444378</v>
      </c>
      <c r="F31" t="b">
        <v>1</v>
      </c>
      <c r="G31" t="n">
        <v/>
      </c>
      <c r="H31" t="inlineStr">
        <is>
          <t>2019-10-15 | Distribution | VGS</t>
        </is>
      </c>
      <c r="I31" t="inlineStr">
        <is>
          <t>VGS</t>
        </is>
      </c>
      <c r="J31" s="6" t="n">
        <v>43753</v>
      </c>
      <c r="K31" t="n">
        <v>826</v>
      </c>
      <c r="L31" t="inlineStr"/>
      <c r="M31" t="inlineStr">
        <is>
          <t>FY2019/20</t>
        </is>
      </c>
      <c r="N31" t="inlineStr">
        <is>
          <t>AUD</t>
        </is>
      </c>
      <c r="O31" t="n">
        <v>0.380133</v>
      </c>
      <c r="P31" t="inlineStr">
        <is>
          <t>AUD</t>
        </is>
      </c>
      <c r="Q31" t="n">
        <v>1.21</v>
      </c>
      <c r="R31" t="inlineStr">
        <is>
          <t>AUD</t>
        </is>
      </c>
      <c r="S31" t="n">
        <v>313.989858</v>
      </c>
      <c r="T31" t="inlineStr">
        <is>
          <t>AUD</t>
        </is>
      </c>
      <c r="U31" t="n">
        <v>313.989858</v>
      </c>
    </row>
    <row r="32">
      <c r="A32" s="5" t="inlineStr">
        <is>
          <t>01a1212c-bce1-7045-87de-19fcb77cfb6e</t>
        </is>
      </c>
      <c r="B32" t="inlineStr">
        <is>
          <t>2019-10-15_A200.AX</t>
        </is>
      </c>
      <c r="C32" s="5" t="inlineStr">
        <is>
          <t>01a1212c-4b57-70cf-80fd-c2192cb3bf81</t>
        </is>
      </c>
      <c r="D32" s="4" t="n">
        <v>46304.62433447056</v>
      </c>
      <c r="E32" s="4" t="n">
        <v>46304.62433447064</v>
      </c>
      <c r="F32" t="b">
        <v>1</v>
      </c>
      <c r="G32" t="n">
        <v/>
      </c>
      <c r="H32" t="inlineStr">
        <is>
          <t>2019-10-15 | Distribution | A200</t>
        </is>
      </c>
      <c r="I32" t="inlineStr">
        <is>
          <t>A200</t>
        </is>
      </c>
      <c r="J32" s="6" t="n">
        <v>43753</v>
      </c>
      <c r="K32" t="n">
        <v>190</v>
      </c>
      <c r="L32" t="inlineStr"/>
      <c r="M32" t="inlineStr">
        <is>
          <t>FY2019/20</t>
        </is>
      </c>
      <c r="N32" t="inlineStr">
        <is>
          <t>AUD</t>
        </is>
      </c>
      <c r="O32" t="n">
        <v>1.398613</v>
      </c>
      <c r="P32" t="inlineStr">
        <is>
          <t>AUD</t>
        </is>
      </c>
      <c r="Q32" t="n">
        <v>0.1</v>
      </c>
      <c r="R32" t="inlineStr">
        <is>
          <t>AUD</t>
        </is>
      </c>
      <c r="S32" t="n">
        <v>265.73647</v>
      </c>
      <c r="T32" t="inlineStr">
        <is>
          <t>AUD</t>
        </is>
      </c>
      <c r="U32" t="n">
        <v>265.73647</v>
      </c>
    </row>
    <row r="33">
      <c r="A33" s="5" t="inlineStr">
        <is>
          <t>01a1212c-bce4-740c-9d26-0cb268f67f29</t>
        </is>
      </c>
      <c r="B33" t="inlineStr">
        <is>
          <t>2020-01-16_VGS.AX</t>
        </is>
      </c>
      <c r="C33" s="5" t="inlineStr">
        <is>
          <t>01a1212c-4b57-70cf-80fd-c2192cb3bf81</t>
        </is>
      </c>
      <c r="D33" s="4" t="n">
        <v>46304.62433450134</v>
      </c>
      <c r="E33" s="4" t="n">
        <v>46304.62433450142</v>
      </c>
      <c r="F33" t="b">
        <v>1</v>
      </c>
      <c r="G33" t="n">
        <v/>
      </c>
      <c r="H33" t="inlineStr">
        <is>
          <t>2020-01-16 | Distribution | VGS</t>
        </is>
      </c>
      <c r="I33" t="inlineStr">
        <is>
          <t>VGS</t>
        </is>
      </c>
      <c r="J33" s="6" t="n">
        <v>43846</v>
      </c>
      <c r="K33" t="n">
        <v>884</v>
      </c>
      <c r="L33" t="inlineStr"/>
      <c r="M33" t="inlineStr">
        <is>
          <t>FY2019/20</t>
        </is>
      </c>
      <c r="N33" t="inlineStr">
        <is>
          <t>AUD</t>
        </is>
      </c>
      <c r="O33" t="n">
        <v>0.451612</v>
      </c>
      <c r="P33" t="inlineStr">
        <is>
          <t>AUD</t>
        </is>
      </c>
      <c r="Q33" t="n">
        <v>1.39</v>
      </c>
      <c r="R33" t="inlineStr">
        <is>
          <t>AUD</t>
        </is>
      </c>
      <c r="S33" t="n">
        <v>399.225008</v>
      </c>
      <c r="T33" t="inlineStr">
        <is>
          <t>AUD</t>
        </is>
      </c>
      <c r="U33" t="n">
        <v>399.225008</v>
      </c>
    </row>
    <row r="34">
      <c r="A34" s="5" t="inlineStr">
        <is>
          <t>01a1212c-bce7-7605-a16c-b5749e17000e</t>
        </is>
      </c>
      <c r="B34" t="inlineStr">
        <is>
          <t>2020-01-16_A200.AX</t>
        </is>
      </c>
      <c r="C34" s="5" t="inlineStr">
        <is>
          <t>01a1212c-4b57-70cf-80fd-c2192cb3bf81</t>
        </is>
      </c>
      <c r="D34" s="4" t="n">
        <v>46304.62433452991</v>
      </c>
      <c r="E34" s="4" t="n">
        <v>46304.62433452997</v>
      </c>
      <c r="F34" t="b">
        <v>1</v>
      </c>
      <c r="G34" t="n">
        <v/>
      </c>
      <c r="H34" t="inlineStr">
        <is>
          <t>2020-01-16 | Distribution | A200</t>
        </is>
      </c>
      <c r="I34" t="inlineStr">
        <is>
          <t>A200</t>
        </is>
      </c>
      <c r="J34" s="6" t="n">
        <v>43846</v>
      </c>
      <c r="K34" t="n">
        <v>223</v>
      </c>
      <c r="L34" t="inlineStr"/>
      <c r="M34" t="inlineStr">
        <is>
          <t>FY2019/20</t>
        </is>
      </c>
      <c r="N34" t="inlineStr">
        <is>
          <t>AUD</t>
        </is>
      </c>
      <c r="O34" t="n">
        <v>1.152568</v>
      </c>
      <c r="P34" t="inlineStr">
        <is>
          <t>AUD</t>
        </is>
      </c>
      <c r="Q34" t="n">
        <v>0.21</v>
      </c>
      <c r="R34" t="inlineStr">
        <is>
          <t>AUD</t>
        </is>
      </c>
      <c r="S34" t="n">
        <v>257.022664</v>
      </c>
      <c r="T34" t="inlineStr">
        <is>
          <t>AUD</t>
        </is>
      </c>
      <c r="U34" t="n">
        <v>257.022664</v>
      </c>
    </row>
    <row r="35">
      <c r="A35" s="5" t="inlineStr">
        <is>
          <t>01a1212c-bce9-748d-b9e6-ec76ed451b9b</t>
        </is>
      </c>
      <c r="B35" t="inlineStr">
        <is>
          <t>2020-04-15_VGS.AX</t>
        </is>
      </c>
      <c r="C35" s="5" t="inlineStr">
        <is>
          <t>01a1212c-4b57-70cf-80fd-c2192cb3bf81</t>
        </is>
      </c>
      <c r="D35" s="4" t="n">
        <v>46304.62433455834</v>
      </c>
      <c r="E35" s="4" t="n">
        <v>46304.62433455842</v>
      </c>
      <c r="F35" t="b">
        <v>1</v>
      </c>
      <c r="G35" t="n">
        <v/>
      </c>
      <c r="H35" t="inlineStr">
        <is>
          <t>2020-04-15 | Distribution | VGS</t>
        </is>
      </c>
      <c r="I35" t="inlineStr">
        <is>
          <t>VGS</t>
        </is>
      </c>
      <c r="J35" s="6" t="n">
        <v>43936</v>
      </c>
      <c r="K35" t="n">
        <v>934</v>
      </c>
      <c r="L35" t="inlineStr"/>
      <c r="M35" t="inlineStr">
        <is>
          <t>FY2019/20</t>
        </is>
      </c>
      <c r="N35" t="inlineStr">
        <is>
          <t>AUD</t>
        </is>
      </c>
      <c r="O35" t="n">
        <v>0.457803</v>
      </c>
      <c r="P35" t="inlineStr">
        <is>
          <t>AUD</t>
        </is>
      </c>
      <c r="Q35" t="n">
        <v>1.58</v>
      </c>
      <c r="R35" t="inlineStr">
        <is>
          <t>AUD</t>
        </is>
      </c>
      <c r="S35" t="n">
        <v>427.588002</v>
      </c>
      <c r="T35" t="inlineStr">
        <is>
          <t>AUD</t>
        </is>
      </c>
      <c r="U35" t="n">
        <v>427.588002</v>
      </c>
    </row>
    <row r="36">
      <c r="A36" s="5" t="inlineStr">
        <is>
          <t>01a1212c-bceb-77cb-800b-198a52eebfc5</t>
        </is>
      </c>
      <c r="B36" t="inlineStr">
        <is>
          <t>2020-04-15_A200.AX</t>
        </is>
      </c>
      <c r="C36" s="5" t="inlineStr">
        <is>
          <t>01a1212c-4b57-70cf-80fd-c2192cb3bf81</t>
        </is>
      </c>
      <c r="D36" s="4" t="n">
        <v>46304.62433458662</v>
      </c>
      <c r="E36" s="4" t="n">
        <v>46304.62433458669</v>
      </c>
      <c r="F36" t="b">
        <v>1</v>
      </c>
      <c r="G36" t="n">
        <v/>
      </c>
      <c r="H36" t="inlineStr">
        <is>
          <t>2020-04-15 | Distribution | A200</t>
        </is>
      </c>
      <c r="I36" t="inlineStr">
        <is>
          <t>A200</t>
        </is>
      </c>
      <c r="J36" s="6" t="n">
        <v>43936</v>
      </c>
      <c r="K36" t="n">
        <v>253</v>
      </c>
      <c r="L36" t="inlineStr"/>
      <c r="M36" t="inlineStr">
        <is>
          <t>FY2019/20</t>
        </is>
      </c>
      <c r="N36" t="inlineStr">
        <is>
          <t>AUD</t>
        </is>
      </c>
      <c r="O36" t="n">
        <v>0.432706</v>
      </c>
      <c r="P36" t="inlineStr">
        <is>
          <t>AUD</t>
        </is>
      </c>
      <c r="Q36" t="n">
        <v>0.11</v>
      </c>
      <c r="R36" t="inlineStr">
        <is>
          <t>AUD</t>
        </is>
      </c>
      <c r="S36" t="n">
        <v>109.474618</v>
      </c>
      <c r="T36" t="inlineStr">
        <is>
          <t>AUD</t>
        </is>
      </c>
      <c r="U36" t="n">
        <v>109.474618</v>
      </c>
    </row>
    <row r="37">
      <c r="A37" s="5" t="inlineStr">
        <is>
          <t>01a1212c-bcee-7129-b63c-9049f1843f30</t>
        </is>
      </c>
      <c r="B37" t="inlineStr">
        <is>
          <t>2020-07-15_VGS.AX</t>
        </is>
      </c>
      <c r="C37" s="5" t="inlineStr">
        <is>
          <t>01a1212c-4b57-70cf-80fd-c2192cb3bf81</t>
        </is>
      </c>
      <c r="D37" s="4" t="n">
        <v>46304.62433461672</v>
      </c>
      <c r="E37" s="4" t="n">
        <v>46304.6243346168</v>
      </c>
      <c r="F37" t="b">
        <v>1</v>
      </c>
      <c r="G37" t="n">
        <v/>
      </c>
      <c r="H37" t="inlineStr">
        <is>
          <t>2020-07-15 | Distribution | VGS</t>
        </is>
      </c>
      <c r="I37" t="inlineStr">
        <is>
          <t>VGS</t>
        </is>
      </c>
      <c r="J37" s="6" t="n">
        <v>44027</v>
      </c>
      <c r="K37" t="n">
        <v>986</v>
      </c>
      <c r="L37" t="inlineStr"/>
      <c r="M37" t="inlineStr">
        <is>
          <t>FY2020/21</t>
        </is>
      </c>
      <c r="N37" t="inlineStr">
        <is>
          <t>AUD</t>
        </is>
      </c>
      <c r="O37" t="n">
        <v>0.653833</v>
      </c>
      <c r="P37" t="inlineStr">
        <is>
          <t>AUD</t>
        </is>
      </c>
      <c r="Q37" t="n">
        <v>0.07000000000000001</v>
      </c>
      <c r="R37" t="inlineStr">
        <is>
          <t>AUD</t>
        </is>
      </c>
      <c r="S37" t="n">
        <v>644.679338</v>
      </c>
      <c r="T37" t="inlineStr">
        <is>
          <t>AUD</t>
        </is>
      </c>
      <c r="U37" t="n">
        <v>644.679338</v>
      </c>
    </row>
    <row r="38">
      <c r="A38" s="5" t="inlineStr">
        <is>
          <t>01a1212c-bcf0-73ac-b6a6-bd2ff31129f1</t>
        </is>
      </c>
      <c r="B38" t="inlineStr">
        <is>
          <t>2020-07-15_A200.AX</t>
        </is>
      </c>
      <c r="C38" s="5" t="inlineStr">
        <is>
          <t>01a1212c-4b57-70cf-80fd-c2192cb3bf81</t>
        </is>
      </c>
      <c r="D38" s="4" t="n">
        <v>46304.62433464472</v>
      </c>
      <c r="E38" s="4" t="n">
        <v>46304.62433464479</v>
      </c>
      <c r="F38" t="b">
        <v>1</v>
      </c>
      <c r="G38" t="n">
        <v/>
      </c>
      <c r="H38" t="inlineStr">
        <is>
          <t>2020-07-15 | Distribution | A200</t>
        </is>
      </c>
      <c r="I38" t="inlineStr">
        <is>
          <t>A200</t>
        </is>
      </c>
      <c r="J38" s="6" t="n">
        <v>44027</v>
      </c>
      <c r="K38" t="n">
        <v>286</v>
      </c>
      <c r="L38" t="inlineStr"/>
      <c r="M38" t="inlineStr">
        <is>
          <t>FY2020/21</t>
        </is>
      </c>
      <c r="N38" t="inlineStr">
        <is>
          <t>AUD</t>
        </is>
      </c>
      <c r="O38" t="n">
        <v>0.579681</v>
      </c>
      <c r="P38" t="inlineStr">
        <is>
          <t>AUD</t>
        </is>
      </c>
      <c r="Q38" t="n">
        <v>0.33</v>
      </c>
      <c r="R38" t="inlineStr">
        <is>
          <t>AUD</t>
        </is>
      </c>
      <c r="S38" t="n">
        <v>165.788766</v>
      </c>
      <c r="T38" t="inlineStr">
        <is>
          <t>AUD</t>
        </is>
      </c>
      <c r="U38" t="n">
        <v>165.788766</v>
      </c>
    </row>
    <row r="39">
      <c r="A39" s="5" t="inlineStr">
        <is>
          <t>01a1212c-bcf3-7637-a3bb-0fc1ef37bfde</t>
        </is>
      </c>
      <c r="B39" t="inlineStr">
        <is>
          <t>2020-10-15_VGS.AX</t>
        </is>
      </c>
      <c r="C39" s="5" t="inlineStr">
        <is>
          <t>01a1212c-4b57-70cf-80fd-c2192cb3bf81</t>
        </is>
      </c>
      <c r="D39" s="4" t="n">
        <v>46304.62433467211</v>
      </c>
      <c r="E39" s="4" t="n">
        <v>46304.62433467217</v>
      </c>
      <c r="F39" t="b">
        <v>1</v>
      </c>
      <c r="G39" t="n">
        <v/>
      </c>
      <c r="H39" t="inlineStr">
        <is>
          <t>2020-10-15 | Distribution | VGS</t>
        </is>
      </c>
      <c r="I39" t="inlineStr">
        <is>
          <t>VGS</t>
        </is>
      </c>
      <c r="J39" s="6" t="n">
        <v>44119</v>
      </c>
      <c r="K39" t="n">
        <v>1040</v>
      </c>
      <c r="L39" t="inlineStr"/>
      <c r="M39" t="inlineStr">
        <is>
          <t>FY2020/21</t>
        </is>
      </c>
      <c r="N39" t="inlineStr">
        <is>
          <t>AUD</t>
        </is>
      </c>
      <c r="O39" t="n">
        <v>0.339639</v>
      </c>
      <c r="P39" t="inlineStr">
        <is>
          <t>AUD</t>
        </is>
      </c>
      <c r="Q39" t="n">
        <v>0.61</v>
      </c>
      <c r="R39" t="inlineStr">
        <is>
          <t>AUD</t>
        </is>
      </c>
      <c r="S39" t="n">
        <v>353.22456</v>
      </c>
      <c r="T39" t="inlineStr">
        <is>
          <t>AUD</t>
        </is>
      </c>
      <c r="U39" t="n">
        <v>353.22456</v>
      </c>
    </row>
    <row r="40">
      <c r="A40" s="5" t="inlineStr">
        <is>
          <t>01a1212c-bcf5-7308-b7ea-30c968f40b44</t>
        </is>
      </c>
      <c r="B40" t="inlineStr">
        <is>
          <t>2020-10-15_A200.AX</t>
        </is>
      </c>
      <c r="C40" s="5" t="inlineStr">
        <is>
          <t>01a1212c-4b57-70cf-80fd-c2192cb3bf81</t>
        </is>
      </c>
      <c r="D40" s="4" t="n">
        <v>46304.62433469894</v>
      </c>
      <c r="E40" s="4" t="n">
        <v>46304.624334699</v>
      </c>
      <c r="F40" t="b">
        <v>1</v>
      </c>
      <c r="G40" t="n">
        <v/>
      </c>
      <c r="H40" t="inlineStr">
        <is>
          <t>2020-10-15 | Distribution | A200</t>
        </is>
      </c>
      <c r="I40" t="inlineStr">
        <is>
          <t>A200</t>
        </is>
      </c>
      <c r="J40" s="6" t="n">
        <v>44119</v>
      </c>
      <c r="K40" t="n">
        <v>320</v>
      </c>
      <c r="L40" t="inlineStr"/>
      <c r="M40" t="inlineStr">
        <is>
          <t>FY2020/21</t>
        </is>
      </c>
      <c r="N40" t="inlineStr">
        <is>
          <t>AUD</t>
        </is>
      </c>
      <c r="O40" t="n">
        <v>0.674859</v>
      </c>
      <c r="P40" t="inlineStr">
        <is>
          <t>AUD</t>
        </is>
      </c>
      <c r="Q40" t="n">
        <v>0.46</v>
      </c>
      <c r="R40" t="inlineStr">
        <is>
          <t>AUD</t>
        </is>
      </c>
      <c r="S40" t="n">
        <v>215.95488</v>
      </c>
      <c r="T40" t="inlineStr">
        <is>
          <t>AUD</t>
        </is>
      </c>
      <c r="U40" t="n">
        <v>215.95488</v>
      </c>
    </row>
    <row r="41">
      <c r="A41" s="5" t="inlineStr">
        <is>
          <t>01a1212c-bcf8-7014-a5e0-2e6bda2b786e</t>
        </is>
      </c>
      <c r="B41" t="inlineStr">
        <is>
          <t>2021-01-18_VGS.AX</t>
        </is>
      </c>
      <c r="C41" s="5" t="inlineStr">
        <is>
          <t>01a1212c-4b57-70cf-80fd-c2192cb3bf81</t>
        </is>
      </c>
      <c r="D41" s="4" t="n">
        <v>46304.62433472701</v>
      </c>
      <c r="E41" s="4" t="n">
        <v>46304.62433472709</v>
      </c>
      <c r="F41" t="b">
        <v>1</v>
      </c>
      <c r="G41" t="n">
        <v/>
      </c>
      <c r="H41" t="inlineStr">
        <is>
          <t>2021-01-18 | Distribution | VGS</t>
        </is>
      </c>
      <c r="I41" t="inlineStr">
        <is>
          <t>VGS</t>
        </is>
      </c>
      <c r="J41" s="6" t="n">
        <v>44214</v>
      </c>
      <c r="K41" t="n">
        <v>1097</v>
      </c>
      <c r="L41" t="inlineStr"/>
      <c r="M41" t="inlineStr">
        <is>
          <t>FY2020/21</t>
        </is>
      </c>
      <c r="N41" t="inlineStr">
        <is>
          <t>AUD</t>
        </is>
      </c>
      <c r="O41" t="n">
        <v>0.411962</v>
      </c>
      <c r="P41" t="inlineStr">
        <is>
          <t>AUD</t>
        </is>
      </c>
      <c r="Q41" t="n">
        <v>0.23</v>
      </c>
      <c r="R41" t="inlineStr">
        <is>
          <t>AUD</t>
        </is>
      </c>
      <c r="S41" t="n">
        <v>451.922314</v>
      </c>
      <c r="T41" t="inlineStr">
        <is>
          <t>AUD</t>
        </is>
      </c>
      <c r="U41" t="n">
        <v>451.922314</v>
      </c>
    </row>
    <row r="42">
      <c r="A42" s="5" t="inlineStr">
        <is>
          <t>01a1212c-bcfa-70ad-8a4d-f39a2d6207f2</t>
        </is>
      </c>
      <c r="B42" t="inlineStr">
        <is>
          <t>2021-01-18_A200.AX</t>
        </is>
      </c>
      <c r="C42" s="5" t="inlineStr">
        <is>
          <t>01a1212c-4b57-70cf-80fd-c2192cb3bf81</t>
        </is>
      </c>
      <c r="D42" s="4" t="n">
        <v>46304.62433475976</v>
      </c>
      <c r="E42" s="4" t="n">
        <v>46304.62433475983</v>
      </c>
      <c r="F42" t="b">
        <v>1</v>
      </c>
      <c r="G42" t="n">
        <v/>
      </c>
      <c r="H42" t="inlineStr">
        <is>
          <t>2021-01-18 | Distribution | A200</t>
        </is>
      </c>
      <c r="I42" t="inlineStr">
        <is>
          <t>A200</t>
        </is>
      </c>
      <c r="J42" s="6" t="n">
        <v>44214</v>
      </c>
      <c r="K42" t="n">
        <v>355</v>
      </c>
      <c r="L42" t="inlineStr"/>
      <c r="M42" t="inlineStr">
        <is>
          <t>FY2020/21</t>
        </is>
      </c>
      <c r="N42" t="inlineStr">
        <is>
          <t>AUD</t>
        </is>
      </c>
      <c r="O42" t="n">
        <v>0.637842</v>
      </c>
      <c r="P42" t="inlineStr">
        <is>
          <t>AUD</t>
        </is>
      </c>
      <c r="Q42" t="n">
        <v>0.65</v>
      </c>
      <c r="R42" t="inlineStr">
        <is>
          <t>AUD</t>
        </is>
      </c>
      <c r="S42" t="n">
        <v>226.43391</v>
      </c>
      <c r="T42" t="inlineStr">
        <is>
          <t>AUD</t>
        </is>
      </c>
      <c r="U42" t="n">
        <v>226.43391</v>
      </c>
    </row>
    <row r="43">
      <c r="A43" s="5" t="inlineStr">
        <is>
          <t>01a1212c-bcfd-751a-9c71-bb9377eecde0</t>
        </is>
      </c>
      <c r="B43" t="inlineStr">
        <is>
          <t>2021-04-15_VGS.AX</t>
        </is>
      </c>
      <c r="C43" s="5" t="inlineStr">
        <is>
          <t>01a1212c-4b57-70cf-80fd-c2192cb3bf81</t>
        </is>
      </c>
      <c r="D43" s="4" t="n">
        <v>46304.62433479408</v>
      </c>
      <c r="E43" s="4" t="n">
        <v>46304.62433479414</v>
      </c>
      <c r="F43" t="b">
        <v>1</v>
      </c>
      <c r="G43" t="n">
        <v/>
      </c>
      <c r="H43" t="inlineStr">
        <is>
          <t>2021-04-15 | Distribution | VGS</t>
        </is>
      </c>
      <c r="I43" t="inlineStr">
        <is>
          <t>VGS</t>
        </is>
      </c>
      <c r="J43" s="6" t="n">
        <v>44301</v>
      </c>
      <c r="K43" t="n">
        <v>1149</v>
      </c>
      <c r="L43" t="inlineStr"/>
      <c r="M43" t="inlineStr">
        <is>
          <t>FY2020/21</t>
        </is>
      </c>
      <c r="N43" t="inlineStr">
        <is>
          <t>AUD</t>
        </is>
      </c>
      <c r="O43" t="n">
        <v>0.310117</v>
      </c>
      <c r="P43" t="inlineStr">
        <is>
          <t>AUD</t>
        </is>
      </c>
      <c r="Q43" t="n">
        <v>1.23</v>
      </c>
      <c r="R43" t="inlineStr">
        <is>
          <t>AUD</t>
        </is>
      </c>
      <c r="S43" t="n">
        <v>356.324433</v>
      </c>
      <c r="T43" t="inlineStr">
        <is>
          <t>AUD</t>
        </is>
      </c>
      <c r="U43" t="n">
        <v>356.324433</v>
      </c>
    </row>
    <row r="44">
      <c r="A44" s="5" t="inlineStr">
        <is>
          <t>01a1212c-bd00-72c2-8883-2bb106303290</t>
        </is>
      </c>
      <c r="B44" t="inlineStr">
        <is>
          <t>2021-04-15_A200.AX</t>
        </is>
      </c>
      <c r="C44" s="5" t="inlineStr">
        <is>
          <t>01a1212c-4b57-70cf-80fd-c2192cb3bf81</t>
        </is>
      </c>
      <c r="D44" s="4" t="n">
        <v>46304.62433482227</v>
      </c>
      <c r="E44" s="4" t="n">
        <v>46304.62433482234</v>
      </c>
      <c r="F44" t="b">
        <v>1</v>
      </c>
      <c r="G44" t="n">
        <v/>
      </c>
      <c r="H44" t="inlineStr">
        <is>
          <t>2021-04-15 | Distribution | A200</t>
        </is>
      </c>
      <c r="I44" t="inlineStr">
        <is>
          <t>A200</t>
        </is>
      </c>
      <c r="J44" s="6" t="n">
        <v>44301</v>
      </c>
      <c r="K44" t="n">
        <v>387</v>
      </c>
      <c r="L44" t="inlineStr"/>
      <c r="M44" t="inlineStr">
        <is>
          <t>FY2020/21</t>
        </is>
      </c>
      <c r="N44" t="inlineStr">
        <is>
          <t>AUD</t>
        </is>
      </c>
      <c r="O44" t="n">
        <v>0.8895380000000001</v>
      </c>
      <c r="P44" t="inlineStr">
        <is>
          <t>AUD</t>
        </is>
      </c>
      <c r="Q44" t="n">
        <v>0.5</v>
      </c>
      <c r="R44" t="inlineStr">
        <is>
          <t>AUD</t>
        </is>
      </c>
      <c r="S44" t="n">
        <v>344.251206</v>
      </c>
      <c r="T44" t="inlineStr">
        <is>
          <t>AUD</t>
        </is>
      </c>
      <c r="U44" t="n">
        <v>344.251206</v>
      </c>
    </row>
    <row r="45">
      <c r="A45" s="5" t="inlineStr">
        <is>
          <t>01a1212c-bd03-7430-937f-aa44612d3fa0</t>
        </is>
      </c>
      <c r="B45" t="inlineStr">
        <is>
          <t>2021-07-15_VGS.AX</t>
        </is>
      </c>
      <c r="C45" s="5" t="inlineStr">
        <is>
          <t>01a1212c-4b57-70cf-80fd-c2192cb3bf81</t>
        </is>
      </c>
      <c r="D45" s="4" t="n">
        <v>46304.62433485809</v>
      </c>
      <c r="E45" s="4" t="n">
        <v>46304.62433485816</v>
      </c>
      <c r="F45" t="b">
        <v>1</v>
      </c>
      <c r="G45" t="n">
        <v/>
      </c>
      <c r="H45" t="inlineStr">
        <is>
          <t>2021-07-15 | Distribution | VGS</t>
        </is>
      </c>
      <c r="I45" t="inlineStr">
        <is>
          <t>VGS</t>
        </is>
      </c>
      <c r="J45" s="6" t="n">
        <v>44392</v>
      </c>
      <c r="K45" t="n">
        <v>1194</v>
      </c>
      <c r="L45" t="inlineStr"/>
      <c r="M45" t="inlineStr">
        <is>
          <t>FY2021/22</t>
        </is>
      </c>
      <c r="N45" t="inlineStr">
        <is>
          <t>AUD</t>
        </is>
      </c>
      <c r="O45" t="n">
        <v>0.826481</v>
      </c>
      <c r="P45" t="inlineStr">
        <is>
          <t>AUD</t>
        </is>
      </c>
      <c r="Q45" t="n">
        <v>2.83</v>
      </c>
      <c r="R45" t="inlineStr">
        <is>
          <t>AUD</t>
        </is>
      </c>
      <c r="S45" t="n">
        <v>986.818314</v>
      </c>
      <c r="T45" t="inlineStr">
        <is>
          <t>AUD</t>
        </is>
      </c>
      <c r="U45" t="n">
        <v>986.818314</v>
      </c>
    </row>
    <row r="46">
      <c r="A46" s="5" t="inlineStr">
        <is>
          <t>01a1212c-bd05-7043-9d8f-77cd978c8d83</t>
        </is>
      </c>
      <c r="B46" t="inlineStr">
        <is>
          <t>2021-07-15_A200.AX</t>
        </is>
      </c>
      <c r="C46" s="5" t="inlineStr">
        <is>
          <t>01a1212c-4b57-70cf-80fd-c2192cb3bf81</t>
        </is>
      </c>
      <c r="D46" s="4" t="n">
        <v>46304.62433488809</v>
      </c>
      <c r="E46" s="4" t="n">
        <v>46304.62433488817</v>
      </c>
      <c r="F46" t="b">
        <v>1</v>
      </c>
      <c r="G46" t="n">
        <v/>
      </c>
      <c r="H46" t="inlineStr">
        <is>
          <t>2021-07-15 | Distribution | A200</t>
        </is>
      </c>
      <c r="I46" t="inlineStr">
        <is>
          <t>A200</t>
        </is>
      </c>
      <c r="J46" s="6" t="n">
        <v>44392</v>
      </c>
      <c r="K46" t="n">
        <v>414</v>
      </c>
      <c r="L46" t="inlineStr"/>
      <c r="M46" t="inlineStr">
        <is>
          <t>FY2021/22</t>
        </is>
      </c>
      <c r="N46" t="inlineStr">
        <is>
          <t>AUD</t>
        </is>
      </c>
      <c r="O46" t="n">
        <v>0.555612</v>
      </c>
      <c r="P46" t="inlineStr">
        <is>
          <t>AUD</t>
        </is>
      </c>
      <c r="Q46" t="n">
        <v>0.28</v>
      </c>
      <c r="R46" t="inlineStr">
        <is>
          <t>AUD</t>
        </is>
      </c>
      <c r="S46" t="n">
        <v>230.023368</v>
      </c>
      <c r="T46" t="inlineStr">
        <is>
          <t>AUD</t>
        </is>
      </c>
      <c r="U46" t="n">
        <v>230.023368</v>
      </c>
    </row>
    <row r="47">
      <c r="A47" s="5" t="inlineStr">
        <is>
          <t>01a1212c-bd08-755c-9483-c00591b3a3d7</t>
        </is>
      </c>
      <c r="B47" t="inlineStr">
        <is>
          <t>2021-10-15_VGS.AX</t>
        </is>
      </c>
      <c r="C47" s="5" t="inlineStr">
        <is>
          <t>01a1212c-4b57-70cf-80fd-c2192cb3bf81</t>
        </is>
      </c>
      <c r="D47" s="4" t="n">
        <v>46304.62433491568</v>
      </c>
      <c r="E47" s="4" t="n">
        <v>46304.62433491574</v>
      </c>
      <c r="F47" t="b">
        <v>1</v>
      </c>
      <c r="G47" t="n">
        <v/>
      </c>
      <c r="H47" t="inlineStr">
        <is>
          <t>2021-10-15 | Distribution | VGS</t>
        </is>
      </c>
      <c r="I47" t="inlineStr">
        <is>
          <t>VGS</t>
        </is>
      </c>
      <c r="J47" s="6" t="n">
        <v>44484</v>
      </c>
      <c r="K47" t="n">
        <v>1243</v>
      </c>
      <c r="L47" t="inlineStr"/>
      <c r="M47" t="inlineStr">
        <is>
          <t>FY2021/22</t>
        </is>
      </c>
      <c r="N47" t="inlineStr">
        <is>
          <t>AUD</t>
        </is>
      </c>
      <c r="O47" t="n">
        <v>0.335126</v>
      </c>
      <c r="P47" t="inlineStr">
        <is>
          <t>AUD</t>
        </is>
      </c>
      <c r="Q47" t="n">
        <v>1.13</v>
      </c>
      <c r="R47" t="inlineStr">
        <is>
          <t>AUD</t>
        </is>
      </c>
      <c r="S47" t="n">
        <v>416.561618</v>
      </c>
      <c r="T47" t="inlineStr">
        <is>
          <t>AUD</t>
        </is>
      </c>
      <c r="U47" t="n">
        <v>416.561618</v>
      </c>
    </row>
    <row r="48">
      <c r="A48" s="5" t="inlineStr">
        <is>
          <t>01a1212c-bd0a-77bd-bbd2-00f2da1173a4</t>
        </is>
      </c>
      <c r="B48" t="inlineStr">
        <is>
          <t>2021-10-15_A200.AX</t>
        </is>
      </c>
      <c r="C48" s="5" t="inlineStr">
        <is>
          <t>01a1212c-4b57-70cf-80fd-c2192cb3bf81</t>
        </is>
      </c>
      <c r="D48" s="4" t="n">
        <v>46304.62433494272</v>
      </c>
      <c r="E48" s="4" t="n">
        <v>46304.62433494279</v>
      </c>
      <c r="F48" t="b">
        <v>1</v>
      </c>
      <c r="G48" t="n">
        <v/>
      </c>
      <c r="H48" t="inlineStr">
        <is>
          <t>2021-10-15 | Distribution | A200</t>
        </is>
      </c>
      <c r="I48" t="inlineStr">
        <is>
          <t>A200</t>
        </is>
      </c>
      <c r="J48" s="6" t="n">
        <v>44484</v>
      </c>
      <c r="K48" t="n">
        <v>445</v>
      </c>
      <c r="L48" t="inlineStr"/>
      <c r="M48" t="inlineStr">
        <is>
          <t>FY2021/22</t>
        </is>
      </c>
      <c r="N48" t="inlineStr">
        <is>
          <t>AUD</t>
        </is>
      </c>
      <c r="O48" t="n">
        <v>1.723499</v>
      </c>
      <c r="P48" t="inlineStr">
        <is>
          <t>AUD</t>
        </is>
      </c>
      <c r="Q48" t="n">
        <v>2.87</v>
      </c>
      <c r="R48" t="inlineStr">
        <is>
          <t>AUD</t>
        </is>
      </c>
      <c r="S48" t="n">
        <v>766.957055</v>
      </c>
      <c r="T48" t="inlineStr">
        <is>
          <t>AUD</t>
        </is>
      </c>
      <c r="U48" t="n">
        <v>766.957055</v>
      </c>
    </row>
    <row r="49">
      <c r="A49" s="5" t="inlineStr">
        <is>
          <t>01a1212c-bd0d-7240-9e03-a4806c099397</t>
        </is>
      </c>
      <c r="B49" t="inlineStr">
        <is>
          <t>2022-01-18_VGS.AX</t>
        </is>
      </c>
      <c r="C49" s="5" t="inlineStr">
        <is>
          <t>01a1212c-4b57-70cf-80fd-c2192cb3bf81</t>
        </is>
      </c>
      <c r="D49" s="4" t="n">
        <v>46304.62433497165</v>
      </c>
      <c r="E49" s="4" t="n">
        <v>46304.6243349717</v>
      </c>
      <c r="F49" t="b">
        <v>1</v>
      </c>
      <c r="G49" t="n">
        <v/>
      </c>
      <c r="H49" t="inlineStr">
        <is>
          <t>2022-01-18 | Distribution | VGS</t>
        </is>
      </c>
      <c r="I49" t="inlineStr">
        <is>
          <t>VGS</t>
        </is>
      </c>
      <c r="J49" s="6" t="n">
        <v>44579</v>
      </c>
      <c r="K49" t="n">
        <v>1286</v>
      </c>
      <c r="L49" t="inlineStr"/>
      <c r="M49" t="inlineStr">
        <is>
          <t>FY2021/22</t>
        </is>
      </c>
      <c r="N49" t="inlineStr">
        <is>
          <t>AUD</t>
        </is>
      </c>
      <c r="O49" t="n">
        <v>0.440394</v>
      </c>
      <c r="P49" t="inlineStr">
        <is>
          <t>AUD</t>
        </is>
      </c>
      <c r="Q49" t="n">
        <v>0.82</v>
      </c>
      <c r="R49" t="inlineStr">
        <is>
          <t>AUD</t>
        </is>
      </c>
      <c r="S49" t="n">
        <v>566.346684</v>
      </c>
      <c r="T49" t="inlineStr">
        <is>
          <t>AUD</t>
        </is>
      </c>
      <c r="U49" t="n">
        <v>566.346684</v>
      </c>
    </row>
    <row r="50">
      <c r="A50" s="5" t="inlineStr">
        <is>
          <t>01a1212c-bd0f-75d7-9251-5a348502c409</t>
        </is>
      </c>
      <c r="B50" t="inlineStr">
        <is>
          <t>2022-01-18_A200.AX</t>
        </is>
      </c>
      <c r="C50" s="5" t="inlineStr">
        <is>
          <t>01a1212c-4b57-70cf-80fd-c2192cb3bf81</t>
        </is>
      </c>
      <c r="D50" s="4" t="n">
        <v>46304.62433499852</v>
      </c>
      <c r="E50" s="4" t="n">
        <v>46304.62433499859</v>
      </c>
      <c r="F50" t="b">
        <v>1</v>
      </c>
      <c r="G50" t="n">
        <v/>
      </c>
      <c r="H50" t="inlineStr">
        <is>
          <t>2022-01-18 | Distribution | A200</t>
        </is>
      </c>
      <c r="I50" t="inlineStr">
        <is>
          <t>A200</t>
        </is>
      </c>
      <c r="J50" s="6" t="n">
        <v>44579</v>
      </c>
      <c r="K50" t="n">
        <v>474</v>
      </c>
      <c r="L50" t="inlineStr"/>
      <c r="M50" t="inlineStr">
        <is>
          <t>FY2021/22</t>
        </is>
      </c>
      <c r="N50" t="inlineStr">
        <is>
          <t>AUD</t>
        </is>
      </c>
      <c r="O50" t="n">
        <v>0.788341</v>
      </c>
      <c r="P50" t="inlineStr">
        <is>
          <t>AUD</t>
        </is>
      </c>
      <c r="Q50" t="n">
        <v>0.72</v>
      </c>
      <c r="R50" t="inlineStr">
        <is>
          <t>AUD</t>
        </is>
      </c>
      <c r="S50" t="n">
        <v>373.673634</v>
      </c>
      <c r="T50" t="inlineStr">
        <is>
          <t>AUD</t>
        </is>
      </c>
      <c r="U50" t="n">
        <v>373.673634</v>
      </c>
    </row>
    <row r="51">
      <c r="A51" s="5" t="inlineStr">
        <is>
          <t>01a1212c-bd11-7446-98c9-436fcffe0fb3</t>
        </is>
      </c>
      <c r="B51" t="inlineStr">
        <is>
          <t>2022-04-15_VGS.AX</t>
        </is>
      </c>
      <c r="C51" s="5" t="inlineStr">
        <is>
          <t>01a1212c-4b57-70cf-80fd-c2192cb3bf81</t>
        </is>
      </c>
      <c r="D51" s="4" t="n">
        <v>46304.62433502541</v>
      </c>
      <c r="E51" s="4" t="n">
        <v>46304.62433502547</v>
      </c>
      <c r="F51" t="b">
        <v>1</v>
      </c>
      <c r="G51" t="n">
        <v/>
      </c>
      <c r="H51" t="inlineStr">
        <is>
          <t>2022-04-15 | Distribution | VGS</t>
        </is>
      </c>
      <c r="I51" t="inlineStr">
        <is>
          <t>VGS</t>
        </is>
      </c>
      <c r="J51" s="6" t="n">
        <v>44666</v>
      </c>
      <c r="K51" t="n">
        <v>1317</v>
      </c>
      <c r="L51" t="inlineStr"/>
      <c r="M51" t="inlineStr">
        <is>
          <t>FY2021/22</t>
        </is>
      </c>
      <c r="N51" t="inlineStr">
        <is>
          <t>AUD</t>
        </is>
      </c>
      <c r="O51" t="n">
        <v>0.411413</v>
      </c>
      <c r="P51" t="inlineStr">
        <is>
          <t>AUD</t>
        </is>
      </c>
      <c r="Q51" t="n">
        <v>1.15</v>
      </c>
      <c r="R51" t="inlineStr">
        <is>
          <t>AUD</t>
        </is>
      </c>
      <c r="S51" t="n">
        <v>541.830921</v>
      </c>
      <c r="T51" t="inlineStr">
        <is>
          <t>AUD</t>
        </is>
      </c>
      <c r="U51" t="n">
        <v>541.830921</v>
      </c>
    </row>
    <row r="52">
      <c r="A52" s="5" t="inlineStr">
        <is>
          <t>01a1212c-bd14-7439-95c7-08a3e98db75e</t>
        </is>
      </c>
      <c r="B52" t="inlineStr">
        <is>
          <t>2022-04-15_A200.AX</t>
        </is>
      </c>
      <c r="C52" s="5" t="inlineStr">
        <is>
          <t>01a1212c-4b57-70cf-80fd-c2192cb3bf81</t>
        </is>
      </c>
      <c r="D52" s="4" t="n">
        <v>46304.62433505226</v>
      </c>
      <c r="E52" s="4" t="n">
        <v>46304.62433505233</v>
      </c>
      <c r="F52" t="b">
        <v>1</v>
      </c>
      <c r="G52" t="n">
        <v/>
      </c>
      <c r="H52" t="inlineStr">
        <is>
          <t>2022-04-15 | Distribution | A200</t>
        </is>
      </c>
      <c r="I52" t="inlineStr">
        <is>
          <t>A200</t>
        </is>
      </c>
      <c r="J52" s="6" t="n">
        <v>44666</v>
      </c>
      <c r="K52" t="n">
        <v>493</v>
      </c>
      <c r="L52" t="inlineStr"/>
      <c r="M52" t="inlineStr">
        <is>
          <t>FY2021/22</t>
        </is>
      </c>
      <c r="N52" t="inlineStr">
        <is>
          <t>AUD</t>
        </is>
      </c>
      <c r="O52" t="n">
        <v>1.327435</v>
      </c>
      <c r="P52" t="inlineStr">
        <is>
          <t>AUD</t>
        </is>
      </c>
      <c r="Q52" t="n">
        <v>0.55</v>
      </c>
      <c r="R52" t="inlineStr">
        <is>
          <t>AUD</t>
        </is>
      </c>
      <c r="S52" t="n">
        <v>654.4254550000001</v>
      </c>
      <c r="T52" t="inlineStr">
        <is>
          <t>AUD</t>
        </is>
      </c>
      <c r="U52" t="n">
        <v>654.4254550000001</v>
      </c>
    </row>
    <row r="53">
      <c r="A53" s="5" t="inlineStr">
        <is>
          <t>01a1212c-bd16-7336-b131-04ba11ee4368</t>
        </is>
      </c>
      <c r="B53" t="inlineStr">
        <is>
          <t>2022-07-15_VGS.AX</t>
        </is>
      </c>
      <c r="C53" s="5" t="inlineStr">
        <is>
          <t>01a1212c-4b57-70cf-80fd-c2192cb3bf81</t>
        </is>
      </c>
      <c r="D53" s="4" t="n">
        <v>46304.62433508298</v>
      </c>
      <c r="E53" s="4" t="n">
        <v>46304.62433508306</v>
      </c>
      <c r="F53" t="b">
        <v>1</v>
      </c>
      <c r="G53" t="n">
        <v/>
      </c>
      <c r="H53" t="inlineStr">
        <is>
          <t>2022-07-15 | Distribution | VGS</t>
        </is>
      </c>
      <c r="I53" t="inlineStr">
        <is>
          <t>VGS</t>
        </is>
      </c>
      <c r="J53" s="6" t="n">
        <v>44757</v>
      </c>
      <c r="K53" t="n">
        <v>1356</v>
      </c>
      <c r="L53" t="inlineStr"/>
      <c r="M53" t="inlineStr">
        <is>
          <t>FY2022/23</t>
        </is>
      </c>
      <c r="N53" t="inlineStr">
        <is>
          <t>AUD</t>
        </is>
      </c>
      <c r="O53" t="n">
        <v>0.5557800000000001</v>
      </c>
      <c r="P53" t="inlineStr">
        <is>
          <t>AUD</t>
        </is>
      </c>
      <c r="Q53" t="n">
        <v>0.57</v>
      </c>
      <c r="R53" t="inlineStr">
        <is>
          <t>AUD</t>
        </is>
      </c>
      <c r="S53" t="n">
        <v>753.63768</v>
      </c>
      <c r="T53" t="inlineStr">
        <is>
          <t>AUD</t>
        </is>
      </c>
      <c r="U53" t="n">
        <v>753.63768</v>
      </c>
    </row>
    <row r="54">
      <c r="A54" s="5" t="inlineStr">
        <is>
          <t>01a1212c-bd19-7245-954b-0e7742c6d846</t>
        </is>
      </c>
      <c r="B54" t="inlineStr">
        <is>
          <t>2022-07-15_A200.AX</t>
        </is>
      </c>
      <c r="C54" s="5" t="inlineStr">
        <is>
          <t>01a1212c-4b57-70cf-80fd-c2192cb3bf81</t>
        </is>
      </c>
      <c r="D54" s="4" t="n">
        <v>46304.62433511631</v>
      </c>
      <c r="E54" s="4" t="n">
        <v>46304.62433511638</v>
      </c>
      <c r="F54" t="b">
        <v>1</v>
      </c>
      <c r="G54" t="n">
        <v/>
      </c>
      <c r="H54" t="inlineStr">
        <is>
          <t>2022-07-15 | Distribution | A200</t>
        </is>
      </c>
      <c r="I54" t="inlineStr">
        <is>
          <t>A200</t>
        </is>
      </c>
      <c r="J54" s="6" t="n">
        <v>44757</v>
      </c>
      <c r="K54" t="n">
        <v>517</v>
      </c>
      <c r="L54" t="inlineStr"/>
      <c r="M54" t="inlineStr">
        <is>
          <t>FY2022/23</t>
        </is>
      </c>
      <c r="N54" t="inlineStr">
        <is>
          <t>AUD</t>
        </is>
      </c>
      <c r="O54" t="n">
        <v>3.459284</v>
      </c>
      <c r="P54" t="inlineStr">
        <is>
          <t>AUD</t>
        </is>
      </c>
      <c r="Q54" t="n">
        <v>5.41</v>
      </c>
      <c r="R54" t="inlineStr">
        <is>
          <t>AUD</t>
        </is>
      </c>
      <c r="S54" t="n">
        <v>1788.449828</v>
      </c>
      <c r="T54" t="inlineStr">
        <is>
          <t>AUD</t>
        </is>
      </c>
      <c r="U54" t="n">
        <v>1788.449828</v>
      </c>
    </row>
    <row r="55">
      <c r="A55" s="5" t="inlineStr">
        <is>
          <t>01a1212c-bd1c-7283-a40b-8ffc4756bf07</t>
        </is>
      </c>
      <c r="B55" t="inlineStr">
        <is>
          <t>2022-10-17_VGS.AX</t>
        </is>
      </c>
      <c r="C55" s="5" t="inlineStr">
        <is>
          <t>01a1212c-4b57-70cf-80fd-c2192cb3bf81</t>
        </is>
      </c>
      <c r="D55" s="4" t="n">
        <v>46304.62433514358</v>
      </c>
      <c r="E55" s="4" t="n">
        <v>46304.62433514364</v>
      </c>
      <c r="F55" t="b">
        <v>1</v>
      </c>
      <c r="G55" t="n">
        <v/>
      </c>
      <c r="H55" t="inlineStr">
        <is>
          <t>2022-10-17 | Distribution | VGS</t>
        </is>
      </c>
      <c r="I55" t="inlineStr">
        <is>
          <t>VGS</t>
        </is>
      </c>
      <c r="J55" s="6" t="n">
        <v>44851</v>
      </c>
      <c r="K55" t="n">
        <v>1409</v>
      </c>
      <c r="L55" t="inlineStr"/>
      <c r="M55" t="inlineStr">
        <is>
          <t>FY2022/23</t>
        </is>
      </c>
      <c r="N55" t="inlineStr">
        <is>
          <t>AUD</t>
        </is>
      </c>
      <c r="O55" t="n">
        <v>0.350563</v>
      </c>
      <c r="P55" t="inlineStr">
        <is>
          <t>AUD</t>
        </is>
      </c>
      <c r="Q55" t="n">
        <v>1.39</v>
      </c>
      <c r="R55" t="inlineStr">
        <is>
          <t>AUD</t>
        </is>
      </c>
      <c r="S55" t="n">
        <v>493.943267</v>
      </c>
      <c r="T55" t="inlineStr">
        <is>
          <t>AUD</t>
        </is>
      </c>
      <c r="U55" t="n">
        <v>493.943267</v>
      </c>
    </row>
    <row r="56">
      <c r="A56" s="5" t="inlineStr">
        <is>
          <t>01a1212c-bd1e-74a9-a4b5-fc3f787bfdcf</t>
        </is>
      </c>
      <c r="B56" t="inlineStr">
        <is>
          <t>2022-10-17_A200.AX</t>
        </is>
      </c>
      <c r="C56" s="5" t="inlineStr">
        <is>
          <t>01a1212c-4b57-70cf-80fd-c2192cb3bf81</t>
        </is>
      </c>
      <c r="D56" s="4" t="n">
        <v>46304.62433517097</v>
      </c>
      <c r="E56" s="4" t="n">
        <v>46304.62433517104</v>
      </c>
      <c r="F56" t="b">
        <v>1</v>
      </c>
      <c r="G56" t="n">
        <v/>
      </c>
      <c r="H56" t="inlineStr">
        <is>
          <t>2022-10-17 | Distribution | A200</t>
        </is>
      </c>
      <c r="I56" t="inlineStr">
        <is>
          <t>A200</t>
        </is>
      </c>
      <c r="J56" s="6" t="n">
        <v>44851</v>
      </c>
      <c r="K56" t="n">
        <v>552</v>
      </c>
      <c r="L56" t="inlineStr"/>
      <c r="M56" t="inlineStr">
        <is>
          <t>FY2022/23</t>
        </is>
      </c>
      <c r="N56" t="inlineStr">
        <is>
          <t>AUD</t>
        </is>
      </c>
      <c r="O56" t="n">
        <v>1.864947</v>
      </c>
      <c r="P56" t="inlineStr">
        <is>
          <t>AUD</t>
        </is>
      </c>
      <c r="Q56" t="n">
        <v>2.8</v>
      </c>
      <c r="R56" t="inlineStr">
        <is>
          <t>AUD</t>
        </is>
      </c>
      <c r="S56" t="n">
        <v>1029.450744</v>
      </c>
      <c r="T56" t="inlineStr">
        <is>
          <t>AUD</t>
        </is>
      </c>
      <c r="U56" t="n">
        <v>1029.450744</v>
      </c>
    </row>
    <row r="57">
      <c r="A57" s="5" t="inlineStr">
        <is>
          <t>01a1212c-bd20-767e-b6af-380038fe8af9</t>
        </is>
      </c>
      <c r="B57" t="inlineStr">
        <is>
          <t>2023-01-17_VGS.AX</t>
        </is>
      </c>
      <c r="C57" s="5" t="inlineStr">
        <is>
          <t>01a1212c-4b57-70cf-80fd-c2192cb3bf81</t>
        </is>
      </c>
      <c r="D57" s="4" t="n">
        <v>46304.62433519735</v>
      </c>
      <c r="E57" s="4" t="n">
        <v>46304.62433519742</v>
      </c>
      <c r="F57" t="b">
        <v>1</v>
      </c>
      <c r="G57" t="n">
        <v/>
      </c>
      <c r="H57" t="inlineStr">
        <is>
          <t>2023-01-17 | Distribution | VGS</t>
        </is>
      </c>
      <c r="I57" t="inlineStr">
        <is>
          <t>VGS</t>
        </is>
      </c>
      <c r="J57" s="6" t="n">
        <v>44943</v>
      </c>
      <c r="K57" t="n">
        <v>1459</v>
      </c>
      <c r="L57" t="inlineStr"/>
      <c r="M57" t="inlineStr">
        <is>
          <t>FY2022/23</t>
        </is>
      </c>
      <c r="N57" t="inlineStr">
        <is>
          <t>AUD</t>
        </is>
      </c>
      <c r="O57" t="n">
        <v>0.297149</v>
      </c>
      <c r="P57" t="inlineStr">
        <is>
          <t>AUD</t>
        </is>
      </c>
      <c r="Q57" t="n">
        <v>0.25</v>
      </c>
      <c r="R57" t="inlineStr">
        <is>
          <t>AUD</t>
        </is>
      </c>
      <c r="S57" t="n">
        <v>433.540391</v>
      </c>
      <c r="T57" t="inlineStr">
        <is>
          <t>AUD</t>
        </is>
      </c>
      <c r="U57" t="n">
        <v>433.540391</v>
      </c>
    </row>
    <row r="58">
      <c r="A58" s="5" t="inlineStr">
        <is>
          <t>01a1212c-bd23-73ae-a57a-c64f084eb1b5</t>
        </is>
      </c>
      <c r="B58" t="inlineStr">
        <is>
          <t>2023-01-17_A200.AX</t>
        </is>
      </c>
      <c r="C58" s="5" t="inlineStr">
        <is>
          <t>01a1212c-4b57-70cf-80fd-c2192cb3bf81</t>
        </is>
      </c>
      <c r="D58" s="4" t="n">
        <v>46304.6243352239</v>
      </c>
      <c r="E58" s="4" t="n">
        <v>46304.62433522397</v>
      </c>
      <c r="F58" t="b">
        <v>1</v>
      </c>
      <c r="G58" t="n">
        <v/>
      </c>
      <c r="H58" t="inlineStr">
        <is>
          <t>2023-01-17 | Distribution | A200</t>
        </is>
      </c>
      <c r="I58" t="inlineStr">
        <is>
          <t>A200</t>
        </is>
      </c>
      <c r="J58" s="6" t="n">
        <v>44943</v>
      </c>
      <c r="K58" t="n">
        <v>585</v>
      </c>
      <c r="L58" t="inlineStr"/>
      <c r="M58" t="inlineStr">
        <is>
          <t>FY2022/23</t>
        </is>
      </c>
      <c r="N58" t="inlineStr">
        <is>
          <t>AUD</t>
        </is>
      </c>
      <c r="O58" t="n">
        <v>1.106212</v>
      </c>
      <c r="P58" t="inlineStr">
        <is>
          <t>AUD</t>
        </is>
      </c>
      <c r="Q58" t="n">
        <v>0.3</v>
      </c>
      <c r="R58" t="inlineStr">
        <is>
          <t>AUD</t>
        </is>
      </c>
      <c r="S58" t="n">
        <v>647.13402</v>
      </c>
      <c r="T58" t="inlineStr">
        <is>
          <t>AUD</t>
        </is>
      </c>
      <c r="U58" t="n">
        <v>647.13402</v>
      </c>
    </row>
    <row r="59">
      <c r="A59" s="5" t="inlineStr">
        <is>
          <t>01a1212c-bd26-7176-bc3c-75e11489b66d</t>
        </is>
      </c>
      <c r="B59" t="inlineStr">
        <is>
          <t>2023-04-17_VGS.AX</t>
        </is>
      </c>
      <c r="C59" s="5" t="inlineStr">
        <is>
          <t>01a1212c-4b57-70cf-80fd-c2192cb3bf81</t>
        </is>
      </c>
      <c r="D59" s="4" t="n">
        <v>46304.62433526149</v>
      </c>
      <c r="E59" s="4" t="n">
        <v>46304.62433526156</v>
      </c>
      <c r="F59" t="b">
        <v>1</v>
      </c>
      <c r="G59" t="n">
        <v/>
      </c>
      <c r="H59" t="inlineStr">
        <is>
          <t>2023-04-17 | Distribution | VGS</t>
        </is>
      </c>
      <c r="I59" t="inlineStr">
        <is>
          <t>VGS</t>
        </is>
      </c>
      <c r="J59" s="6" t="n">
        <v>45033</v>
      </c>
      <c r="K59" t="n">
        <v>1505</v>
      </c>
      <c r="L59" t="inlineStr"/>
      <c r="M59" t="inlineStr">
        <is>
          <t>FY2022/23</t>
        </is>
      </c>
      <c r="N59" t="inlineStr">
        <is>
          <t>AUD</t>
        </is>
      </c>
      <c r="O59" t="n">
        <v>0.228212</v>
      </c>
      <c r="P59" t="inlineStr">
        <is>
          <t>AUD</t>
        </is>
      </c>
      <c r="Q59" t="n">
        <v>1.1</v>
      </c>
      <c r="R59" t="inlineStr">
        <is>
          <t>AUD</t>
        </is>
      </c>
      <c r="S59" t="n">
        <v>343.45906</v>
      </c>
      <c r="T59" t="inlineStr">
        <is>
          <t>AUD</t>
        </is>
      </c>
      <c r="U59" t="n">
        <v>343.45906</v>
      </c>
    </row>
    <row r="60">
      <c r="A60" s="5" t="inlineStr">
        <is>
          <t>01a1212c-bd4f-70b7-bf8c-487f7634b261</t>
        </is>
      </c>
      <c r="B60" t="inlineStr">
        <is>
          <t>2023-04-17_A200.AX</t>
        </is>
      </c>
      <c r="C60" s="5" t="inlineStr">
        <is>
          <t>01a1212c-4b57-70cf-80fd-c2192cb3bf81</t>
        </is>
      </c>
      <c r="D60" s="4" t="n">
        <v>46304.62433574472</v>
      </c>
      <c r="E60" s="4" t="n">
        <v>46304.62433574483</v>
      </c>
      <c r="F60" t="b">
        <v>1</v>
      </c>
      <c r="G60" t="n">
        <v/>
      </c>
      <c r="H60" t="inlineStr">
        <is>
          <t>2023-04-17 | Distribution | A200</t>
        </is>
      </c>
      <c r="I60" t="inlineStr">
        <is>
          <t>A200</t>
        </is>
      </c>
      <c r="J60" s="6" t="n">
        <v>45033</v>
      </c>
      <c r="K60" t="n">
        <v>613</v>
      </c>
      <c r="L60" t="inlineStr"/>
      <c r="M60" t="inlineStr">
        <is>
          <t>FY2022/23</t>
        </is>
      </c>
      <c r="N60" t="inlineStr">
        <is>
          <t>AUD</t>
        </is>
      </c>
      <c r="O60" t="n">
        <v>1.133724</v>
      </c>
      <c r="P60" t="inlineStr">
        <is>
          <t>AUD</t>
        </is>
      </c>
      <c r="Q60" t="n">
        <v>1.21</v>
      </c>
      <c r="R60" t="inlineStr">
        <is>
          <t>AUD</t>
        </is>
      </c>
      <c r="S60" t="n">
        <v>694.972812</v>
      </c>
      <c r="T60" t="inlineStr">
        <is>
          <t>AUD</t>
        </is>
      </c>
      <c r="U60" t="n">
        <v>694.972812</v>
      </c>
    </row>
    <row r="61">
      <c r="A61" s="5" t="inlineStr">
        <is>
          <t>01a1212c-bd52-746c-9753-655187feecdd</t>
        </is>
      </c>
      <c r="B61" t="inlineStr">
        <is>
          <t>2023-07-17_VGS.AX</t>
        </is>
      </c>
      <c r="C61" s="5" t="inlineStr">
        <is>
          <t>01a1212c-4b57-70cf-80fd-c2192cb3bf81</t>
        </is>
      </c>
      <c r="D61" s="4" t="n">
        <v>46304.62433577706</v>
      </c>
      <c r="E61" s="4" t="n">
        <v>46304.62433577717</v>
      </c>
      <c r="F61" t="b">
        <v>1</v>
      </c>
      <c r="G61" t="n">
        <v/>
      </c>
      <c r="H61" t="inlineStr">
        <is>
          <t>2023-07-17 | Distribution | VGS</t>
        </is>
      </c>
      <c r="I61" t="inlineStr">
        <is>
          <t>VGS</t>
        </is>
      </c>
      <c r="J61" s="6" t="n">
        <v>45124</v>
      </c>
      <c r="K61" t="n">
        <v>1552</v>
      </c>
      <c r="L61" t="inlineStr"/>
      <c r="M61" t="inlineStr">
        <is>
          <t>FY2023/24</t>
        </is>
      </c>
      <c r="N61" t="inlineStr">
        <is>
          <t>AUD</t>
        </is>
      </c>
      <c r="O61" t="n">
        <v>1.121456</v>
      </c>
      <c r="P61" t="inlineStr">
        <is>
          <t>AUD</t>
        </is>
      </c>
      <c r="Q61" t="n">
        <v>5.58</v>
      </c>
      <c r="R61" t="inlineStr">
        <is>
          <t>AUD</t>
        </is>
      </c>
      <c r="S61" t="n">
        <v>1740.499712</v>
      </c>
      <c r="T61" t="inlineStr">
        <is>
          <t>AUD</t>
        </is>
      </c>
      <c r="U61" t="n">
        <v>1740.499712</v>
      </c>
    </row>
    <row r="62">
      <c r="A62" s="5" t="inlineStr">
        <is>
          <t>01a1212c-bd56-70f5-aaf0-d1fa95f05fa6</t>
        </is>
      </c>
      <c r="B62" t="inlineStr">
        <is>
          <t>2023-07-17_A200.AX</t>
        </is>
      </c>
      <c r="C62" s="5" t="inlineStr">
        <is>
          <t>01a1212c-4b57-70cf-80fd-c2192cb3bf81</t>
        </is>
      </c>
      <c r="D62" s="4" t="n">
        <v>46304.62433581696</v>
      </c>
      <c r="E62" s="4" t="n">
        <v>46304.62433581702</v>
      </c>
      <c r="F62" t="b">
        <v>1</v>
      </c>
      <c r="G62" t="n">
        <v/>
      </c>
      <c r="H62" t="inlineStr">
        <is>
          <t>2023-07-17 | Distribution | A200</t>
        </is>
      </c>
      <c r="I62" t="inlineStr">
        <is>
          <t>A200</t>
        </is>
      </c>
      <c r="J62" s="6" t="n">
        <v>45124</v>
      </c>
      <c r="K62" t="n">
        <v>644</v>
      </c>
      <c r="L62" t="inlineStr"/>
      <c r="M62" t="inlineStr">
        <is>
          <t>FY2023/24</t>
        </is>
      </c>
      <c r="N62" t="inlineStr">
        <is>
          <t>AUD</t>
        </is>
      </c>
      <c r="O62" t="n">
        <v>0.81635</v>
      </c>
      <c r="P62" t="inlineStr">
        <is>
          <t>AUD</t>
        </is>
      </c>
      <c r="Q62" t="n">
        <v>2.03</v>
      </c>
      <c r="R62" t="inlineStr">
        <is>
          <t>AUD</t>
        </is>
      </c>
      <c r="S62" t="n">
        <v>525.7294000000001</v>
      </c>
      <c r="T62" t="inlineStr">
        <is>
          <t>AUD</t>
        </is>
      </c>
      <c r="U62" t="n">
        <v>525.7294000000001</v>
      </c>
    </row>
    <row r="63">
      <c r="A63" s="5" t="inlineStr">
        <is>
          <t>01a1212c-bd58-74d4-b630-3f78394e7513</t>
        </is>
      </c>
      <c r="B63" t="inlineStr">
        <is>
          <t>2023-10-16_VGS.AX</t>
        </is>
      </c>
      <c r="C63" s="5" t="inlineStr">
        <is>
          <t>01a1212c-4b57-70cf-80fd-c2192cb3bf81</t>
        </is>
      </c>
      <c r="D63" s="4" t="n">
        <v>46304.62433584618</v>
      </c>
      <c r="E63" s="4" t="n">
        <v>46304.62433584627</v>
      </c>
      <c r="F63" t="b">
        <v>1</v>
      </c>
      <c r="G63" t="n">
        <v/>
      </c>
      <c r="H63" t="inlineStr">
        <is>
          <t>2023-10-16 | Distribution | VGS</t>
        </is>
      </c>
      <c r="I63" t="inlineStr">
        <is>
          <t>VGS</t>
        </is>
      </c>
      <c r="J63" s="6" t="n">
        <v>45215</v>
      </c>
      <c r="K63" t="n">
        <v>1588</v>
      </c>
      <c r="L63" t="inlineStr"/>
      <c r="M63" t="inlineStr">
        <is>
          <t>FY2023/24</t>
        </is>
      </c>
      <c r="N63" t="inlineStr">
        <is>
          <t>AUD</t>
        </is>
      </c>
      <c r="O63" t="n">
        <v>0.686644</v>
      </c>
      <c r="P63" t="inlineStr">
        <is>
          <t>AUD</t>
        </is>
      </c>
      <c r="Q63" t="n">
        <v>1.22</v>
      </c>
      <c r="R63" t="inlineStr">
        <is>
          <t>AUD</t>
        </is>
      </c>
      <c r="S63" t="n">
        <v>1090.390672</v>
      </c>
      <c r="T63" t="inlineStr">
        <is>
          <t>AUD</t>
        </is>
      </c>
      <c r="U63" t="n">
        <v>1090.390672</v>
      </c>
    </row>
    <row r="64">
      <c r="A64" s="5" t="inlineStr">
        <is>
          <t>01a1212c-bd5b-7422-8167-d073740ccb6f</t>
        </is>
      </c>
      <c r="B64" t="inlineStr">
        <is>
          <t>2023-10-16_A200.AX</t>
        </is>
      </c>
      <c r="C64" s="5" t="inlineStr">
        <is>
          <t>01a1212c-4b57-70cf-80fd-c2192cb3bf81</t>
        </is>
      </c>
      <c r="D64" s="4" t="n">
        <v>46304.62433587611</v>
      </c>
      <c r="E64" s="4" t="n">
        <v>46304.62433587618</v>
      </c>
      <c r="F64" t="b">
        <v>1</v>
      </c>
      <c r="G64" t="n">
        <v/>
      </c>
      <c r="H64" t="inlineStr">
        <is>
          <t>2023-10-16 | Distribution | A200</t>
        </is>
      </c>
      <c r="I64" t="inlineStr">
        <is>
          <t>A200</t>
        </is>
      </c>
      <c r="J64" s="6" t="n">
        <v>45215</v>
      </c>
      <c r="K64" t="n">
        <v>671</v>
      </c>
      <c r="L64" t="inlineStr"/>
      <c r="M64" t="inlineStr">
        <is>
          <t>FY2023/24</t>
        </is>
      </c>
      <c r="N64" t="inlineStr">
        <is>
          <t>AUD</t>
        </is>
      </c>
      <c r="O64" t="n">
        <v>1.705417</v>
      </c>
      <c r="P64" t="inlineStr">
        <is>
          <t>AUD</t>
        </is>
      </c>
      <c r="Q64" t="n">
        <v>2.5</v>
      </c>
      <c r="R64" t="inlineStr">
        <is>
          <t>AUD</t>
        </is>
      </c>
      <c r="S64" t="n">
        <v>1144.334807</v>
      </c>
      <c r="T64" t="inlineStr">
        <is>
          <t>AUD</t>
        </is>
      </c>
      <c r="U64" t="n">
        <v>1144.334807</v>
      </c>
    </row>
    <row r="65">
      <c r="A65" s="5" t="inlineStr">
        <is>
          <t>01a1212c-bd5d-7495-a026-b39dd6f56aee</t>
        </is>
      </c>
      <c r="B65" t="inlineStr">
        <is>
          <t>2024-01-16_VGS.AX</t>
        </is>
      </c>
      <c r="C65" s="5" t="inlineStr">
        <is>
          <t>01a1212c-4b57-70cf-80fd-c2192cb3bf81</t>
        </is>
      </c>
      <c r="D65" s="4" t="n">
        <v>46304.62433590374</v>
      </c>
      <c r="E65" s="4" t="n">
        <v>46304.62433590381</v>
      </c>
      <c r="F65" t="b">
        <v>1</v>
      </c>
      <c r="G65" t="n">
        <v/>
      </c>
      <c r="H65" t="inlineStr">
        <is>
          <t>2024-01-16 | Distribution | VGS</t>
        </is>
      </c>
      <c r="I65" t="inlineStr">
        <is>
          <t>VGS</t>
        </is>
      </c>
      <c r="J65" s="6" t="n">
        <v>45307</v>
      </c>
      <c r="K65" t="n">
        <v>1631</v>
      </c>
      <c r="L65" t="inlineStr"/>
      <c r="M65" t="inlineStr">
        <is>
          <t>FY2023/24</t>
        </is>
      </c>
      <c r="N65" t="inlineStr">
        <is>
          <t>AUD</t>
        </is>
      </c>
      <c r="O65" t="n">
        <v>0.546335</v>
      </c>
      <c r="P65" t="inlineStr">
        <is>
          <t>AUD</t>
        </is>
      </c>
      <c r="Q65" t="n">
        <v>2.92</v>
      </c>
      <c r="R65" t="inlineStr">
        <is>
          <t>AUD</t>
        </is>
      </c>
      <c r="S65" t="n">
        <v>891.0723850000001</v>
      </c>
      <c r="T65" t="inlineStr">
        <is>
          <t>AUD</t>
        </is>
      </c>
      <c r="U65" t="n">
        <v>891.0723850000001</v>
      </c>
    </row>
    <row r="66">
      <c r="A66" s="5" t="inlineStr">
        <is>
          <t>01a1212c-bd60-74cb-a328-2c112409a47c</t>
        </is>
      </c>
      <c r="B66" t="inlineStr">
        <is>
          <t>2024-01-16_A200.AX</t>
        </is>
      </c>
      <c r="C66" s="5" t="inlineStr">
        <is>
          <t>01a1212c-4b57-70cf-80fd-c2192cb3bf81</t>
        </is>
      </c>
      <c r="D66" s="4" t="n">
        <v>46304.62433593321</v>
      </c>
      <c r="E66" s="4" t="n">
        <v>46304.62433593329</v>
      </c>
      <c r="F66" t="b">
        <v>1</v>
      </c>
      <c r="G66" t="n">
        <v/>
      </c>
      <c r="H66" t="inlineStr">
        <is>
          <t>2024-01-16 | Distribution | A200</t>
        </is>
      </c>
      <c r="I66" t="inlineStr">
        <is>
          <t>A200</t>
        </is>
      </c>
      <c r="J66" s="6" t="n">
        <v>45307</v>
      </c>
      <c r="K66" t="n">
        <v>703</v>
      </c>
      <c r="L66" t="inlineStr"/>
      <c r="M66" t="inlineStr">
        <is>
          <t>FY2023/24</t>
        </is>
      </c>
      <c r="N66" t="inlineStr">
        <is>
          <t>AUD</t>
        </is>
      </c>
      <c r="O66" t="n">
        <v>1.030676</v>
      </c>
      <c r="P66" t="inlineStr">
        <is>
          <t>AUD</t>
        </is>
      </c>
      <c r="Q66" t="n">
        <v>2.6</v>
      </c>
      <c r="R66" t="inlineStr">
        <is>
          <t>AUD</t>
        </is>
      </c>
      <c r="S66" t="n">
        <v>724.565228</v>
      </c>
      <c r="T66" t="inlineStr">
        <is>
          <t>AUD</t>
        </is>
      </c>
      <c r="U66" t="n">
        <v>724.565228</v>
      </c>
    </row>
    <row r="67">
      <c r="A67" s="5" t="inlineStr">
        <is>
          <t>01a1212c-bd62-70d9-a3ae-23b70bc2adfb</t>
        </is>
      </c>
      <c r="B67" t="inlineStr">
        <is>
          <t>2024-04-16_VGS.AX</t>
        </is>
      </c>
      <c r="C67" s="5" t="inlineStr">
        <is>
          <t>01a1212c-4b57-70cf-80fd-c2192cb3bf81</t>
        </is>
      </c>
      <c r="D67" s="4" t="n">
        <v>46304.62433596289</v>
      </c>
      <c r="E67" s="4" t="n">
        <v>46304.62433596297</v>
      </c>
      <c r="F67" t="b">
        <v>1</v>
      </c>
      <c r="G67" t="n">
        <v/>
      </c>
      <c r="H67" t="inlineStr">
        <is>
          <t>2024-04-16 | Distribution | VGS</t>
        </is>
      </c>
      <c r="I67" t="inlineStr">
        <is>
          <t>VGS</t>
        </is>
      </c>
      <c r="J67" s="6" t="n">
        <v>45398</v>
      </c>
      <c r="K67" t="n">
        <v>1669</v>
      </c>
      <c r="L67" t="inlineStr"/>
      <c r="M67" t="inlineStr">
        <is>
          <t>FY2023/24</t>
        </is>
      </c>
      <c r="N67" t="inlineStr">
        <is>
          <t>AUD</t>
        </is>
      </c>
      <c r="O67" t="n">
        <v>0.9812</v>
      </c>
      <c r="P67" t="inlineStr">
        <is>
          <t>AUD</t>
        </is>
      </c>
      <c r="Q67" t="n">
        <v>6.31</v>
      </c>
      <c r="R67" t="inlineStr">
        <is>
          <t>AUD</t>
        </is>
      </c>
      <c r="S67" t="n">
        <v>1637.6228</v>
      </c>
      <c r="T67" t="inlineStr">
        <is>
          <t>AUD</t>
        </is>
      </c>
      <c r="U67" t="n">
        <v>1637.6228</v>
      </c>
    </row>
    <row r="68">
      <c r="A68" s="5" t="inlineStr">
        <is>
          <t>01a1212c-bd65-74f9-a2de-759c010e309b</t>
        </is>
      </c>
      <c r="B68" t="inlineStr">
        <is>
          <t>2024-04-16_A200.AX</t>
        </is>
      </c>
      <c r="C68" s="5" t="inlineStr">
        <is>
          <t>01a1212c-4b57-70cf-80fd-c2192cb3bf81</t>
        </is>
      </c>
      <c r="D68" s="4" t="n">
        <v>46304.62433599062</v>
      </c>
      <c r="E68" s="4" t="n">
        <v>46304.62433599069</v>
      </c>
      <c r="F68" t="b">
        <v>1</v>
      </c>
      <c r="G68" t="n">
        <v/>
      </c>
      <c r="H68" t="inlineStr">
        <is>
          <t>2024-04-16 | Distribution | A200</t>
        </is>
      </c>
      <c r="I68" t="inlineStr">
        <is>
          <t>A200</t>
        </is>
      </c>
      <c r="J68" s="6" t="n">
        <v>45398</v>
      </c>
      <c r="K68" t="n">
        <v>731</v>
      </c>
      <c r="L68" t="inlineStr"/>
      <c r="M68" t="inlineStr">
        <is>
          <t>FY2023/24</t>
        </is>
      </c>
      <c r="N68" t="inlineStr">
        <is>
          <t>AUD</t>
        </is>
      </c>
      <c r="O68" t="n">
        <v>1.095719</v>
      </c>
      <c r="P68" t="inlineStr">
        <is>
          <t>AUD</t>
        </is>
      </c>
      <c r="Q68" t="n">
        <v>0.86</v>
      </c>
      <c r="R68" t="inlineStr">
        <is>
          <t>AUD</t>
        </is>
      </c>
      <c r="S68" t="n">
        <v>800.970589</v>
      </c>
      <c r="T68" t="inlineStr">
        <is>
          <t>AUD</t>
        </is>
      </c>
      <c r="U68" t="n">
        <v>800.970589</v>
      </c>
    </row>
    <row r="69">
      <c r="A69" s="5" t="inlineStr">
        <is>
          <t>01a1212c-bd67-7566-94d5-a44bf06b6315</t>
        </is>
      </c>
      <c r="B69" t="inlineStr">
        <is>
          <t>2024-07-15_VGS.AX</t>
        </is>
      </c>
      <c r="C69" s="5" t="inlineStr">
        <is>
          <t>01a1212c-4b57-70cf-80fd-c2192cb3bf81</t>
        </is>
      </c>
      <c r="D69" s="4" t="n">
        <v>46304.62433601748</v>
      </c>
      <c r="E69" s="4" t="n">
        <v>46304.62433601754</v>
      </c>
      <c r="F69" t="b">
        <v>1</v>
      </c>
      <c r="G69" t="n">
        <v/>
      </c>
      <c r="H69" t="inlineStr">
        <is>
          <t>2024-07-15 | Distribution | VGS</t>
        </is>
      </c>
      <c r="I69" t="inlineStr">
        <is>
          <t>VGS</t>
        </is>
      </c>
      <c r="J69" s="6" t="n">
        <v>45488</v>
      </c>
      <c r="K69" t="n">
        <v>1694</v>
      </c>
      <c r="L69" t="inlineStr"/>
      <c r="M69" t="inlineStr">
        <is>
          <t>FY2024/25</t>
        </is>
      </c>
      <c r="N69" t="inlineStr">
        <is>
          <t>AUD</t>
        </is>
      </c>
      <c r="O69" t="n">
        <v>2.206526</v>
      </c>
      <c r="P69" t="inlineStr">
        <is>
          <t>AUD</t>
        </is>
      </c>
      <c r="Q69" t="n">
        <v>1.91</v>
      </c>
      <c r="R69" t="inlineStr">
        <is>
          <t>AUD</t>
        </is>
      </c>
      <c r="S69" t="n">
        <v>3737.855044</v>
      </c>
      <c r="T69" t="inlineStr">
        <is>
          <t>AUD</t>
        </is>
      </c>
      <c r="U69" t="n">
        <v>3737.855044</v>
      </c>
    </row>
    <row r="70">
      <c r="A70" s="5" t="inlineStr">
        <is>
          <t>01a1212c-bd6a-720e-8c74-4a7d1e128e1f</t>
        </is>
      </c>
      <c r="B70" t="inlineStr">
        <is>
          <t>2024-07-15_A200.AX</t>
        </is>
      </c>
      <c r="C70" s="5" t="inlineStr">
        <is>
          <t>01a1212c-4b57-70cf-80fd-c2192cb3bf81</t>
        </is>
      </c>
      <c r="D70" s="4" t="n">
        <v>46304.62433604605</v>
      </c>
      <c r="E70" s="4" t="n">
        <v>46304.62433604612</v>
      </c>
      <c r="F70" t="b">
        <v>1</v>
      </c>
      <c r="G70" t="n">
        <v/>
      </c>
      <c r="H70" t="inlineStr">
        <is>
          <t>2024-07-15 | Distribution | A200</t>
        </is>
      </c>
      <c r="I70" t="inlineStr">
        <is>
          <t>A200</t>
        </is>
      </c>
      <c r="J70" s="6" t="n">
        <v>45488</v>
      </c>
      <c r="K70" t="n">
        <v>749</v>
      </c>
      <c r="L70" t="inlineStr"/>
      <c r="M70" t="inlineStr">
        <is>
          <t>FY2024/25</t>
        </is>
      </c>
      <c r="N70" t="inlineStr">
        <is>
          <t>AUD</t>
        </is>
      </c>
      <c r="O70" t="n">
        <v>0.910076</v>
      </c>
      <c r="P70" t="inlineStr">
        <is>
          <t>AUD</t>
        </is>
      </c>
      <c r="Q70" t="n">
        <v>1.09</v>
      </c>
      <c r="R70" t="inlineStr">
        <is>
          <t>AUD</t>
        </is>
      </c>
      <c r="S70" t="n">
        <v>681.646924</v>
      </c>
      <c r="T70" t="inlineStr">
        <is>
          <t>AUD</t>
        </is>
      </c>
      <c r="U70" t="n">
        <v>681.646924</v>
      </c>
    </row>
    <row r="71">
      <c r="A71" s="5" t="inlineStr">
        <is>
          <t>01a1212c-bd6c-7602-a5a2-3d66efd71fae</t>
        </is>
      </c>
      <c r="B71" t="inlineStr">
        <is>
          <t>2024-10-15_VGS.AX</t>
        </is>
      </c>
      <c r="C71" s="5" t="inlineStr">
        <is>
          <t>01a1212c-4b57-70cf-80fd-c2192cb3bf81</t>
        </is>
      </c>
      <c r="D71" s="4" t="n">
        <v>46304.62433607267</v>
      </c>
      <c r="E71" s="4" t="n">
        <v>46304.62433607275</v>
      </c>
      <c r="F71" t="b">
        <v>1</v>
      </c>
      <c r="G71" t="n">
        <v/>
      </c>
      <c r="H71" t="inlineStr">
        <is>
          <t>2024-10-15 | Distribution | VGS</t>
        </is>
      </c>
      <c r="I71" t="inlineStr">
        <is>
          <t>VGS</t>
        </is>
      </c>
      <c r="J71" s="6" t="n">
        <v>45580</v>
      </c>
      <c r="K71" t="n">
        <v>1722</v>
      </c>
      <c r="L71" t="inlineStr"/>
      <c r="M71" t="inlineStr">
        <is>
          <t>FY2024/25</t>
        </is>
      </c>
      <c r="N71" t="inlineStr">
        <is>
          <t>AUD</t>
        </is>
      </c>
      <c r="O71" t="n">
        <v>0.281353</v>
      </c>
      <c r="P71" t="inlineStr">
        <is>
          <t>AUD</t>
        </is>
      </c>
      <c r="Q71" t="n">
        <v>1.34</v>
      </c>
      <c r="R71" t="inlineStr">
        <is>
          <t>AUD</t>
        </is>
      </c>
      <c r="S71" t="n">
        <v>484.489866</v>
      </c>
      <c r="T71" t="inlineStr">
        <is>
          <t>AUD</t>
        </is>
      </c>
      <c r="U71" t="n">
        <v>484.489866</v>
      </c>
    </row>
    <row r="72">
      <c r="A72" s="5" t="inlineStr">
        <is>
          <t>01a1212c-bd6e-7531-adbd-11002d05612e</t>
        </is>
      </c>
      <c r="B72" t="inlineStr">
        <is>
          <t>2024-10-15_A200.AX</t>
        </is>
      </c>
      <c r="C72" s="5" t="inlineStr">
        <is>
          <t>01a1212c-4b57-70cf-80fd-c2192cb3bf81</t>
        </is>
      </c>
      <c r="D72" s="4" t="n">
        <v>46304.62433609959</v>
      </c>
      <c r="E72" s="4" t="n">
        <v>46304.62433609967</v>
      </c>
      <c r="F72" t="b">
        <v>1</v>
      </c>
      <c r="G72" t="n">
        <v/>
      </c>
      <c r="H72" t="inlineStr">
        <is>
          <t>2024-10-15 | Distribution | A200</t>
        </is>
      </c>
      <c r="I72" t="inlineStr">
        <is>
          <t>A200</t>
        </is>
      </c>
      <c r="J72" s="6" t="n">
        <v>45580</v>
      </c>
      <c r="K72" t="n">
        <v>771</v>
      </c>
      <c r="L72" t="inlineStr"/>
      <c r="M72" t="inlineStr">
        <is>
          <t>FY2024/25</t>
        </is>
      </c>
      <c r="N72" t="inlineStr">
        <is>
          <t>AUD</t>
        </is>
      </c>
      <c r="O72" t="n">
        <v>1.255944</v>
      </c>
      <c r="P72" t="inlineStr">
        <is>
          <t>AUD</t>
        </is>
      </c>
      <c r="Q72" t="n">
        <v>1.78</v>
      </c>
      <c r="R72" t="inlineStr">
        <is>
          <t>AUD</t>
        </is>
      </c>
      <c r="S72" t="n">
        <v>968.332824</v>
      </c>
      <c r="T72" t="inlineStr">
        <is>
          <t>AUD</t>
        </is>
      </c>
      <c r="U72" t="n">
        <v>968.332824</v>
      </c>
    </row>
    <row r="73">
      <c r="A73" s="5" t="inlineStr">
        <is>
          <t>01a1212c-bd71-76c8-a440-f7654024e745</t>
        </is>
      </c>
      <c r="B73" t="inlineStr">
        <is>
          <t>2025-01-16_VGS.AX</t>
        </is>
      </c>
      <c r="C73" s="5" t="inlineStr">
        <is>
          <t>01a1212c-4b57-70cf-80fd-c2192cb3bf81</t>
        </is>
      </c>
      <c r="D73" s="4" t="n">
        <v>46304.62433613705</v>
      </c>
      <c r="E73" s="4" t="n">
        <v>46304.62433613713</v>
      </c>
      <c r="F73" t="b">
        <v>1</v>
      </c>
      <c r="G73" t="n">
        <v/>
      </c>
      <c r="H73" t="inlineStr">
        <is>
          <t>2025-01-16 | Distribution | VGS</t>
        </is>
      </c>
      <c r="I73" t="inlineStr">
        <is>
          <t>VGS</t>
        </is>
      </c>
      <c r="J73" s="6" t="n">
        <v>45673</v>
      </c>
      <c r="K73" t="n">
        <v>1752</v>
      </c>
      <c r="L73" t="inlineStr"/>
      <c r="M73" t="inlineStr">
        <is>
          <t>FY2024/25</t>
        </is>
      </c>
      <c r="N73" t="inlineStr">
        <is>
          <t>AUD</t>
        </is>
      </c>
      <c r="O73" t="n">
        <v>0.727587</v>
      </c>
      <c r="P73" t="inlineStr">
        <is>
          <t>AUD</t>
        </is>
      </c>
      <c r="Q73" t="n">
        <v>3.47</v>
      </c>
      <c r="R73" t="inlineStr">
        <is>
          <t>AUD</t>
        </is>
      </c>
      <c r="S73" t="n">
        <v>1274.732424</v>
      </c>
      <c r="T73" t="inlineStr">
        <is>
          <t>AUD</t>
        </is>
      </c>
      <c r="U73" t="n">
        <v>1274.732424</v>
      </c>
    </row>
    <row r="74">
      <c r="A74" s="5" t="inlineStr">
        <is>
          <t>01a1212c-bd74-71c8-adab-fe4d5d0e88d3</t>
        </is>
      </c>
      <c r="B74" t="inlineStr">
        <is>
          <t>2025-01-16_A200.AX</t>
        </is>
      </c>
      <c r="C74" s="5" t="inlineStr">
        <is>
          <t>01a1212c-4b57-70cf-80fd-c2192cb3bf81</t>
        </is>
      </c>
      <c r="D74" s="4" t="n">
        <v>46304.62433616551</v>
      </c>
      <c r="E74" s="4" t="n">
        <v>46304.62433616558</v>
      </c>
      <c r="F74" t="b">
        <v>1</v>
      </c>
      <c r="G74" t="n">
        <v/>
      </c>
      <c r="H74" t="inlineStr">
        <is>
          <t>2025-01-16 | Distribution | A200</t>
        </is>
      </c>
      <c r="I74" t="inlineStr">
        <is>
          <t>A200</t>
        </is>
      </c>
      <c r="J74" s="6" t="n">
        <v>45673</v>
      </c>
      <c r="K74" t="n">
        <v>794</v>
      </c>
      <c r="L74" t="inlineStr"/>
      <c r="M74" t="inlineStr">
        <is>
          <t>FY2024/25</t>
        </is>
      </c>
      <c r="N74" t="inlineStr">
        <is>
          <t>AUD</t>
        </is>
      </c>
      <c r="O74" t="n">
        <v>1.362294</v>
      </c>
      <c r="P74" t="inlineStr">
        <is>
          <t>AUD</t>
        </is>
      </c>
      <c r="Q74" t="n">
        <v>1.53</v>
      </c>
      <c r="R74" t="inlineStr">
        <is>
          <t>AUD</t>
        </is>
      </c>
      <c r="S74" t="n">
        <v>1081.661436</v>
      </c>
      <c r="T74" t="inlineStr">
        <is>
          <t>AUD</t>
        </is>
      </c>
      <c r="U74" t="n">
        <v>1081.661436</v>
      </c>
    </row>
    <row r="75">
      <c r="A75" s="5" t="inlineStr">
        <is>
          <t>01a1212c-bd76-77d6-a4a2-a693a122a6ab</t>
        </is>
      </c>
      <c r="B75" t="inlineStr">
        <is>
          <t>2025-04-15_VGS.AX</t>
        </is>
      </c>
      <c r="C75" s="5" t="inlineStr">
        <is>
          <t>01a1212c-4b57-70cf-80fd-c2192cb3bf81</t>
        </is>
      </c>
      <c r="D75" s="4" t="n">
        <v>46304.6243361948</v>
      </c>
      <c r="E75" s="4" t="n">
        <v>46304.62433619487</v>
      </c>
      <c r="F75" t="b">
        <v>1</v>
      </c>
      <c r="G75" t="n">
        <v/>
      </c>
      <c r="H75" t="inlineStr">
        <is>
          <t>2025-04-15 | Distribution | VGS</t>
        </is>
      </c>
      <c r="I75" t="inlineStr">
        <is>
          <t>VGS</t>
        </is>
      </c>
      <c r="J75" s="6" t="n">
        <v>45762</v>
      </c>
      <c r="K75" t="n">
        <v>1773</v>
      </c>
      <c r="L75" t="inlineStr"/>
      <c r="M75" t="inlineStr">
        <is>
          <t>FY2024/25</t>
        </is>
      </c>
      <c r="N75" t="inlineStr">
        <is>
          <t>AUD</t>
        </is>
      </c>
      <c r="O75" t="n">
        <v>1.462689</v>
      </c>
      <c r="P75" t="inlineStr">
        <is>
          <t>AUD</t>
        </is>
      </c>
      <c r="Q75" t="n">
        <v>6.46</v>
      </c>
      <c r="R75" t="inlineStr">
        <is>
          <t>AUD</t>
        </is>
      </c>
      <c r="S75" t="n">
        <v>2593.347597</v>
      </c>
      <c r="T75" t="inlineStr">
        <is>
          <t>AUD</t>
        </is>
      </c>
      <c r="U75" t="n">
        <v>2593.347597</v>
      </c>
    </row>
    <row r="76">
      <c r="A76" s="5" t="inlineStr">
        <is>
          <t>01a1212c-bd79-712b-bbf2-c340b7eb7044</t>
        </is>
      </c>
      <c r="B76" t="inlineStr">
        <is>
          <t>2025-04-15_A200.AX</t>
        </is>
      </c>
      <c r="C76" s="5" t="inlineStr">
        <is>
          <t>01a1212c-4b57-70cf-80fd-c2192cb3bf81</t>
        </is>
      </c>
      <c r="D76" s="4" t="n">
        <v>46304.62433622166</v>
      </c>
      <c r="E76" s="4" t="n">
        <v>46304.62433622171</v>
      </c>
      <c r="F76" t="b">
        <v>1</v>
      </c>
      <c r="G76" t="n">
        <v/>
      </c>
      <c r="H76" t="inlineStr">
        <is>
          <t>2025-04-15 | Distribution | A200</t>
        </is>
      </c>
      <c r="I76" t="inlineStr">
        <is>
          <t>A200</t>
        </is>
      </c>
      <c r="J76" s="6" t="n">
        <v>45762</v>
      </c>
      <c r="K76" t="n">
        <v>811</v>
      </c>
      <c r="L76" t="inlineStr"/>
      <c r="M76" t="inlineStr">
        <is>
          <t>FY2024/25</t>
        </is>
      </c>
      <c r="N76" t="inlineStr">
        <is>
          <t>AUD</t>
        </is>
      </c>
      <c r="O76" t="n">
        <v>0.909415</v>
      </c>
      <c r="P76" t="inlineStr">
        <is>
          <t>AUD</t>
        </is>
      </c>
      <c r="Q76" t="n">
        <v>0.32</v>
      </c>
      <c r="R76" t="inlineStr">
        <is>
          <t>AUD</t>
        </is>
      </c>
      <c r="S76" t="n">
        <v>737.535565</v>
      </c>
      <c r="T76" t="inlineStr">
        <is>
          <t>AUD</t>
        </is>
      </c>
      <c r="U76" t="n">
        <v>737.535565</v>
      </c>
    </row>
    <row r="77">
      <c r="A77" s="5" t="inlineStr">
        <is>
          <t>01a1212c-bd7b-7729-a228-105e687eb115</t>
        </is>
      </c>
      <c r="B77" t="inlineStr">
        <is>
          <t>2025-07-15_VGS.AX</t>
        </is>
      </c>
      <c r="C77" s="5" t="inlineStr">
        <is>
          <t>01a1212c-4b57-70cf-80fd-c2192cb3bf81</t>
        </is>
      </c>
      <c r="D77" s="4" t="n">
        <v>46304.62433624844</v>
      </c>
      <c r="E77" s="4" t="n">
        <v>46304.62433624853</v>
      </c>
      <c r="F77" t="b">
        <v>1</v>
      </c>
      <c r="G77" t="n">
        <v/>
      </c>
      <c r="H77" t="inlineStr">
        <is>
          <t>2025-07-15 | Distribution | VGS</t>
        </is>
      </c>
      <c r="I77" t="inlineStr">
        <is>
          <t>VGS</t>
        </is>
      </c>
      <c r="J77" s="6" t="n">
        <v>45853</v>
      </c>
      <c r="K77" t="n">
        <v>1802</v>
      </c>
      <c r="L77" t="inlineStr"/>
      <c r="M77" t="inlineStr">
        <is>
          <t>FY2025/26</t>
        </is>
      </c>
      <c r="N77" t="inlineStr">
        <is>
          <t>AUD</t>
        </is>
      </c>
      <c r="O77" t="n">
        <v>1.310342</v>
      </c>
      <c r="P77" t="inlineStr">
        <is>
          <t>AUD</t>
        </is>
      </c>
      <c r="Q77" t="n">
        <v>9.039999999999999</v>
      </c>
      <c r="R77" t="inlineStr">
        <is>
          <t>AUD</t>
        </is>
      </c>
      <c r="S77" t="n">
        <v>2361.236284</v>
      </c>
      <c r="T77" t="inlineStr">
        <is>
          <t>AUD</t>
        </is>
      </c>
      <c r="U77" t="n">
        <v>2361.236284</v>
      </c>
    </row>
    <row r="78">
      <c r="A78" s="5" t="inlineStr">
        <is>
          <t>01a1212c-bd7d-7526-841f-24f3479dad0d</t>
        </is>
      </c>
      <c r="B78" t="inlineStr">
        <is>
          <t>2025-07-15_A200.AX</t>
        </is>
      </c>
      <c r="C78" s="5" t="inlineStr">
        <is>
          <t>01a1212c-4b57-70cf-80fd-c2192cb3bf81</t>
        </is>
      </c>
      <c r="D78" s="4" t="n">
        <v>46304.62433627566</v>
      </c>
      <c r="E78" s="4" t="n">
        <v>46304.62433627573</v>
      </c>
      <c r="F78" t="b">
        <v>1</v>
      </c>
      <c r="G78" t="n">
        <v/>
      </c>
      <c r="H78" t="inlineStr">
        <is>
          <t>2025-07-15 | Distribution | A200</t>
        </is>
      </c>
      <c r="I78" t="inlineStr">
        <is>
          <t>A200</t>
        </is>
      </c>
      <c r="J78" s="6" t="n">
        <v>45853</v>
      </c>
      <c r="K78" t="n">
        <v>833</v>
      </c>
      <c r="L78" t="inlineStr"/>
      <c r="M78" t="inlineStr">
        <is>
          <t>FY2025/26</t>
        </is>
      </c>
      <c r="N78" t="inlineStr">
        <is>
          <t>AUD</t>
        </is>
      </c>
      <c r="O78" t="n">
        <v>1.052786</v>
      </c>
      <c r="P78" t="inlineStr">
        <is>
          <t>AUD</t>
        </is>
      </c>
      <c r="Q78" t="n">
        <v>0.78</v>
      </c>
      <c r="R78" t="inlineStr">
        <is>
          <t>AUD</t>
        </is>
      </c>
      <c r="S78" t="n">
        <v>876.970738</v>
      </c>
      <c r="T78" t="inlineStr">
        <is>
          <t>AUD</t>
        </is>
      </c>
      <c r="U78" t="n">
        <v>876.970738</v>
      </c>
    </row>
    <row r="79">
      <c r="A79" s="5" t="inlineStr">
        <is>
          <t>01a1212c-bd80-73e6-a743-dcceb727a31f</t>
        </is>
      </c>
      <c r="B79" t="inlineStr">
        <is>
          <t>2025-10-15_VGS.AX</t>
        </is>
      </c>
      <c r="C79" s="5" t="inlineStr">
        <is>
          <t>01a1212c-4b57-70cf-80fd-c2192cb3bf81</t>
        </is>
      </c>
      <c r="D79" s="4" t="n">
        <v>46304.6243363044</v>
      </c>
      <c r="E79" s="4" t="n">
        <v>46304.62433630447</v>
      </c>
      <c r="F79" t="b">
        <v>1</v>
      </c>
      <c r="G79" t="n">
        <v/>
      </c>
      <c r="H79" t="inlineStr">
        <is>
          <t>2025-10-15 | Distribution | VGS</t>
        </is>
      </c>
      <c r="I79" t="inlineStr">
        <is>
          <t>VGS</t>
        </is>
      </c>
      <c r="J79" s="6" t="n">
        <v>45945</v>
      </c>
      <c r="K79" t="n">
        <v>1822</v>
      </c>
      <c r="L79" t="inlineStr"/>
      <c r="M79" t="inlineStr">
        <is>
          <t>FY2025/26</t>
        </is>
      </c>
      <c r="N79" t="inlineStr">
        <is>
          <t>AUD</t>
        </is>
      </c>
      <c r="O79" t="n">
        <v>0.364894</v>
      </c>
      <c r="P79" t="inlineStr">
        <is>
          <t>AUD</t>
        </is>
      </c>
      <c r="Q79" t="n">
        <v>1.37</v>
      </c>
      <c r="R79" t="inlineStr">
        <is>
          <t>AUD</t>
        </is>
      </c>
      <c r="S79" t="n">
        <v>664.836868</v>
      </c>
      <c r="T79" t="inlineStr">
        <is>
          <t>AUD</t>
        </is>
      </c>
      <c r="U79" t="n">
        <v>664.836868</v>
      </c>
    </row>
    <row r="80">
      <c r="A80" s="5" t="inlineStr">
        <is>
          <t>01a1212c-bd82-76a1-9d00-bdfb35a03593</t>
        </is>
      </c>
      <c r="B80" t="inlineStr">
        <is>
          <t>2025-10-15_A200.AX</t>
        </is>
      </c>
      <c r="C80" s="5" t="inlineStr">
        <is>
          <t>01a1212c-4b57-70cf-80fd-c2192cb3bf81</t>
        </is>
      </c>
      <c r="D80" s="4" t="n">
        <v>46304.62433633345</v>
      </c>
      <c r="E80" s="4" t="n">
        <v>46304.62433633353</v>
      </c>
      <c r="F80" t="b">
        <v>1</v>
      </c>
      <c r="G80" t="n">
        <v/>
      </c>
      <c r="H80" t="inlineStr">
        <is>
          <t>2025-10-15 | Distribution | A200</t>
        </is>
      </c>
      <c r="I80" t="inlineStr">
        <is>
          <t>A200</t>
        </is>
      </c>
      <c r="J80" s="6" t="n">
        <v>45945</v>
      </c>
      <c r="K80" t="n">
        <v>849</v>
      </c>
      <c r="L80" t="inlineStr"/>
      <c r="M80" t="inlineStr">
        <is>
          <t>FY2025/26</t>
        </is>
      </c>
      <c r="N80" t="inlineStr">
        <is>
          <t>AUD</t>
        </is>
      </c>
      <c r="O80" t="n">
        <v>1.505534</v>
      </c>
      <c r="P80" t="inlineStr">
        <is>
          <t>AUD</t>
        </is>
      </c>
      <c r="Q80" t="n">
        <v>1.93</v>
      </c>
      <c r="R80" t="inlineStr">
        <is>
          <t>AUD</t>
        </is>
      </c>
      <c r="S80" t="n">
        <v>1278.198366</v>
      </c>
      <c r="T80" t="inlineStr">
        <is>
          <t>AUD</t>
        </is>
      </c>
      <c r="U80" t="n">
        <v>1278.198366</v>
      </c>
    </row>
    <row r="81">
      <c r="A81" s="5" t="inlineStr">
        <is>
          <t>01a1212c-bd85-75de-976c-d4dd6797fab6</t>
        </is>
      </c>
      <c r="B81" t="inlineStr">
        <is>
          <t>2026-01-16_VGS.AX</t>
        </is>
      </c>
      <c r="C81" s="5" t="inlineStr">
        <is>
          <t>01a1212c-4b57-70cf-80fd-c2192cb3bf81</t>
        </is>
      </c>
      <c r="D81" s="4" t="n">
        <v>46304.62433636229</v>
      </c>
      <c r="E81" s="4" t="n">
        <v>46304.62433636236</v>
      </c>
      <c r="F81" t="b">
        <v>1</v>
      </c>
      <c r="G81" t="n">
        <v/>
      </c>
      <c r="H81" t="inlineStr">
        <is>
          <t>2026-01-16 | Distribution | VGS</t>
        </is>
      </c>
      <c r="I81" t="inlineStr">
        <is>
          <t>VGS</t>
        </is>
      </c>
      <c r="J81" s="6" t="n">
        <v>46038</v>
      </c>
      <c r="K81" t="n">
        <v>1852</v>
      </c>
      <c r="L81" t="inlineStr"/>
      <c r="M81" t="inlineStr">
        <is>
          <t>FY2025/26</t>
        </is>
      </c>
      <c r="N81" t="inlineStr">
        <is>
          <t>AUD</t>
        </is>
      </c>
      <c r="O81" t="n">
        <v>0.484595</v>
      </c>
      <c r="P81" t="inlineStr">
        <is>
          <t>AUD</t>
        </is>
      </c>
      <c r="Q81" t="n">
        <v>0.33</v>
      </c>
      <c r="R81" t="inlineStr">
        <is>
          <t>AUD</t>
        </is>
      </c>
      <c r="S81" t="n">
        <v>897.46994</v>
      </c>
      <c r="T81" t="inlineStr">
        <is>
          <t>AUD</t>
        </is>
      </c>
      <c r="U81" t="n">
        <v>897.46994</v>
      </c>
    </row>
    <row r="82">
      <c r="A82" s="5" t="inlineStr">
        <is>
          <t>01a1212c-bd87-758d-b0fe-9ed138ac205a</t>
        </is>
      </c>
      <c r="B82" t="inlineStr">
        <is>
          <t>2026-01-16_A200.AX</t>
        </is>
      </c>
      <c r="C82" s="5" t="inlineStr">
        <is>
          <t>01a1212c-4b57-70cf-80fd-c2192cb3bf81</t>
        </is>
      </c>
      <c r="D82" s="4" t="n">
        <v>46304.62433638937</v>
      </c>
      <c r="E82" s="4" t="n">
        <v>46304.62433638945</v>
      </c>
      <c r="F82" t="b">
        <v>1</v>
      </c>
      <c r="G82" t="n">
        <v/>
      </c>
      <c r="H82" t="inlineStr">
        <is>
          <t>2026-01-16 | Distribution | A200</t>
        </is>
      </c>
      <c r="I82" t="inlineStr">
        <is>
          <t>A200</t>
        </is>
      </c>
      <c r="J82" s="6" t="n">
        <v>46038</v>
      </c>
      <c r="K82" t="n">
        <v>875</v>
      </c>
      <c r="L82" t="inlineStr"/>
      <c r="M82" t="inlineStr">
        <is>
          <t>FY2025/26</t>
        </is>
      </c>
      <c r="N82" t="inlineStr">
        <is>
          <t>AUD</t>
        </is>
      </c>
      <c r="O82" t="n">
        <v>1.162844</v>
      </c>
      <c r="P82" t="inlineStr">
        <is>
          <t>AUD</t>
        </is>
      </c>
      <c r="Q82" t="n">
        <v>0.2</v>
      </c>
      <c r="R82" t="inlineStr">
        <is>
          <t>AUD</t>
        </is>
      </c>
      <c r="S82" t="n">
        <v>1017.4885</v>
      </c>
      <c r="T82" t="inlineStr">
        <is>
          <t>AUD</t>
        </is>
      </c>
      <c r="U82" t="n">
        <v>1017.4885</v>
      </c>
    </row>
    <row r="83">
      <c r="A83" s="5" t="inlineStr">
        <is>
          <t>01a1212c-bd8a-77cc-ba2c-f8b97fde19e8</t>
        </is>
      </c>
      <c r="B83" t="inlineStr">
        <is>
          <t>2026-04-15_VGS.AX</t>
        </is>
      </c>
      <c r="C83" s="5" t="inlineStr">
        <is>
          <t>01a1212c-4b57-70cf-80fd-c2192cb3bf81</t>
        </is>
      </c>
      <c r="D83" s="4" t="n">
        <v>46304.62433641647</v>
      </c>
      <c r="E83" s="4" t="n">
        <v>46304.62433641654</v>
      </c>
      <c r="F83" t="b">
        <v>1</v>
      </c>
      <c r="G83" t="n">
        <v/>
      </c>
      <c r="H83" t="inlineStr">
        <is>
          <t>2026-04-15 | Distribution | VGS</t>
        </is>
      </c>
      <c r="I83" t="inlineStr">
        <is>
          <t>VGS</t>
        </is>
      </c>
      <c r="J83" s="6" t="n">
        <v>46127</v>
      </c>
      <c r="K83" t="n">
        <v>1883</v>
      </c>
      <c r="L83" t="inlineStr"/>
      <c r="M83" t="inlineStr">
        <is>
          <t>FY2025/26</t>
        </is>
      </c>
      <c r="N83" t="inlineStr">
        <is>
          <t>AUD</t>
        </is>
      </c>
      <c r="O83" t="n">
        <v>0.398397</v>
      </c>
      <c r="P83" t="inlineStr">
        <is>
          <t>AUD</t>
        </is>
      </c>
      <c r="Q83" t="n">
        <v>1.22</v>
      </c>
      <c r="R83" t="inlineStr">
        <is>
          <t>AUD</t>
        </is>
      </c>
      <c r="S83" t="n">
        <v>750.181551</v>
      </c>
      <c r="T83" t="inlineStr">
        <is>
          <t>AUD</t>
        </is>
      </c>
      <c r="U83" t="n">
        <v>750.181551</v>
      </c>
    </row>
    <row r="84">
      <c r="A84" s="5" t="inlineStr">
        <is>
          <t>01a1212c-bd8c-76f2-ac61-9b4291e0b39f</t>
        </is>
      </c>
      <c r="B84" t="inlineStr">
        <is>
          <t>2026-04-15_A200.AX</t>
        </is>
      </c>
      <c r="C84" s="5" t="inlineStr">
        <is>
          <t>01a1212c-4b57-70cf-80fd-c2192cb3bf81</t>
        </is>
      </c>
      <c r="D84" s="4" t="n">
        <v>46304.62433644309</v>
      </c>
      <c r="E84" s="4" t="n">
        <v>46304.62433644316</v>
      </c>
      <c r="F84" t="b">
        <v>1</v>
      </c>
      <c r="G84" t="n">
        <v/>
      </c>
      <c r="H84" t="inlineStr">
        <is>
          <t>2026-04-15 | Distribution | A200</t>
        </is>
      </c>
      <c r="I84" t="inlineStr">
        <is>
          <t>A200</t>
        </is>
      </c>
      <c r="J84" s="6" t="n">
        <v>46127</v>
      </c>
      <c r="K84" t="n">
        <v>900</v>
      </c>
      <c r="L84" t="inlineStr"/>
      <c r="M84" t="inlineStr">
        <is>
          <t>FY2025/26</t>
        </is>
      </c>
      <c r="N84" t="inlineStr">
        <is>
          <t>AUD</t>
        </is>
      </c>
      <c r="O84" t="n">
        <v>1.210187</v>
      </c>
      <c r="P84" t="inlineStr">
        <is>
          <t>AUD</t>
        </is>
      </c>
      <c r="Q84" t="n">
        <v>2.44</v>
      </c>
      <c r="R84" t="inlineStr">
        <is>
          <t>AUD</t>
        </is>
      </c>
      <c r="S84" t="n">
        <v>1089.1683</v>
      </c>
      <c r="T84" t="inlineStr">
        <is>
          <t>AUD</t>
        </is>
      </c>
      <c r="U84" t="n">
        <v>1089.1683</v>
      </c>
    </row>
    <row r="85">
      <c r="A85" s="5" t="inlineStr">
        <is>
          <t>01a1212c-bd8e-76e2-add0-5a7ad9feeca6</t>
        </is>
      </c>
      <c r="B85" t="inlineStr">
        <is>
          <t>2026-07-15_VGS.AX</t>
        </is>
      </c>
      <c r="C85" s="5" t="inlineStr">
        <is>
          <t>01a1212c-4b57-70cf-80fd-c2192cb3bf81</t>
        </is>
      </c>
      <c r="D85" s="4" t="n">
        <v>46304.62433646974</v>
      </c>
      <c r="E85" s="4" t="n">
        <v>46304.62433646982</v>
      </c>
      <c r="F85" t="b">
        <v>1</v>
      </c>
      <c r="G85" t="n">
        <v/>
      </c>
      <c r="H85" t="inlineStr">
        <is>
          <t>2026-07-15 | Distribution | VGS</t>
        </is>
      </c>
      <c r="I85" t="inlineStr">
        <is>
          <t>VGS</t>
        </is>
      </c>
      <c r="J85" s="6" t="n">
        <v>46218</v>
      </c>
      <c r="K85" t="n">
        <v>1911</v>
      </c>
      <c r="L85" t="inlineStr"/>
      <c r="M85" t="inlineStr">
        <is>
          <t>FY2026/27</t>
        </is>
      </c>
      <c r="N85" t="inlineStr">
        <is>
          <t>AUD</t>
        </is>
      </c>
      <c r="O85" t="n">
        <v>0.81904</v>
      </c>
      <c r="P85" t="inlineStr">
        <is>
          <t>AUD</t>
        </is>
      </c>
      <c r="Q85" t="n">
        <v>0.91</v>
      </c>
      <c r="R85" t="inlineStr">
        <is>
          <t>AUD</t>
        </is>
      </c>
      <c r="S85" t="n">
        <v>1565.18544</v>
      </c>
      <c r="T85" t="inlineStr">
        <is>
          <t>AUD</t>
        </is>
      </c>
      <c r="U85" t="n">
        <v>1565.18544</v>
      </c>
    </row>
    <row r="86">
      <c r="A86" s="5" t="inlineStr">
        <is>
          <t>01a1212c-bd91-74ac-85f0-6089c6a482b6</t>
        </is>
      </c>
      <c r="B86" t="inlineStr">
        <is>
          <t>2026-07-15_A200.AX</t>
        </is>
      </c>
      <c r="C86" s="5" t="inlineStr">
        <is>
          <t>01a1212c-4b57-70cf-80fd-c2192cb3bf81</t>
        </is>
      </c>
      <c r="D86" s="4" t="n">
        <v>46304.62433650222</v>
      </c>
      <c r="E86" s="4" t="n">
        <v>46304.62433650229</v>
      </c>
      <c r="F86" t="b">
        <v>1</v>
      </c>
      <c r="G86" t="n">
        <v/>
      </c>
      <c r="H86" t="inlineStr">
        <is>
          <t>2026-07-15 | Distribution | A200</t>
        </is>
      </c>
      <c r="I86" t="inlineStr">
        <is>
          <t>A200</t>
        </is>
      </c>
      <c r="J86" s="6" t="n">
        <v>46218</v>
      </c>
      <c r="K86" t="n">
        <v>923</v>
      </c>
      <c r="L86" t="inlineStr"/>
      <c r="M86" t="inlineStr">
        <is>
          <t>FY2026/27</t>
        </is>
      </c>
      <c r="N86" t="inlineStr">
        <is>
          <t>AUD</t>
        </is>
      </c>
      <c r="O86" t="n">
        <v>0.996897</v>
      </c>
      <c r="P86" t="inlineStr">
        <is>
          <t>AUD</t>
        </is>
      </c>
      <c r="Q86" t="n">
        <v>3.56</v>
      </c>
      <c r="R86" t="inlineStr">
        <is>
          <t>AUD</t>
        </is>
      </c>
      <c r="S86" t="n">
        <v>920.135931</v>
      </c>
      <c r="T86" t="inlineStr">
        <is>
          <t>AUD</t>
        </is>
      </c>
      <c r="U86" t="n">
        <v>920.135931</v>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38.2" customWidth="1" min="1" max="1"/>
    <col width="11.2" customWidth="1" min="2" max="2"/>
    <col width="13.2" customWidth="1" min="3" max="3"/>
    <col width="28.2" customWidth="1" min="4" max="4"/>
    <col width="28.2" customWidth="1" min="5" max="5"/>
    <col width="11.2" customWidth="1" min="6" max="6"/>
    <col width="7.2" customWidth="1" min="7" max="7"/>
    <col width="6.2" customWidth="1" min="8" max="8"/>
    <col width="38.2" customWidth="1" min="9" max="9"/>
    <col width="23.2" customWidth="1" min="10" max="10"/>
  </cols>
  <sheetData>
    <row r="1" ht="32" customHeight="1">
      <c r="A1" s="1" t="inlineStr">
        <is>
          <t>id</t>
        </is>
      </c>
      <c r="B1" s="1" t="inlineStr">
        <is>
          <t>legacy_id</t>
        </is>
      </c>
      <c r="C1" s="1" t="inlineStr">
        <is>
          <t>description</t>
        </is>
      </c>
      <c r="D1" s="1" t="inlineStr">
        <is>
          <t>created_at</t>
        </is>
      </c>
      <c r="E1" s="1" t="inlineStr">
        <is>
          <t>updated_at</t>
        </is>
      </c>
      <c r="F1" s="1" t="inlineStr">
        <is>
          <t>is_active</t>
        </is>
      </c>
      <c r="G1" s="1" t="inlineStr">
        <is>
          <t>notes</t>
        </is>
      </c>
      <c r="H1" s="1" t="inlineStr">
        <is>
          <t>file</t>
        </is>
      </c>
      <c r="I1" s="1" t="inlineStr">
        <is>
          <t>account_id</t>
        </is>
      </c>
      <c r="J1" s="1" t="inlineStr">
        <is>
          <t>include_price_history</t>
        </is>
      </c>
    </row>
    <row r="2">
      <c r="A2" s="5" t="inlineStr">
        <is>
          <t>01a1212c-bd9b-7545-ab42-de98f2f5a3bc</t>
        </is>
      </c>
      <c r="D2" s="4" t="n">
        <v>46304.62433662064</v>
      </c>
      <c r="E2" s="4" t="n">
        <v>46304.62433662073</v>
      </c>
      <c r="F2" t="b">
        <v>1</v>
      </c>
      <c r="H2" t="inlineStr"/>
      <c r="I2" s="5" t="inlineStr">
        <is>
          <t>01a1212c-4b57-70cf-80fd-c2192cb3bf81</t>
        </is>
      </c>
      <c r="J2" t="b">
        <v>0</v>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38.2" customWidth="1" min="1" max="1"/>
    <col width="11.2" customWidth="1" min="2" max="2"/>
    <col width="32.2" customWidth="1" min="3" max="3"/>
    <col width="38.2" customWidth="1" min="4" max="4"/>
    <col width="28.2" customWidth="1" min="5" max="5"/>
    <col width="28.2" customWidth="1" min="6" max="6"/>
    <col width="11.2" customWidth="1" min="7" max="7"/>
    <col width="63.2" customWidth="1" min="8" max="8"/>
    <col width="10.2" customWidth="1" min="9" max="9"/>
    <col width="12.2" customWidth="1" min="10" max="10"/>
    <col width="10.2" customWidth="1" min="11" max="11"/>
    <col width="18.2" customWidth="1" min="12" max="12"/>
  </cols>
  <sheetData>
    <row r="1" ht="32" customHeight="1">
      <c r="A1" s="1" t="inlineStr">
        <is>
          <t>id</t>
        </is>
      </c>
      <c r="B1" s="1" t="inlineStr">
        <is>
          <t>legacy_id</t>
        </is>
      </c>
      <c r="C1" s="1" t="inlineStr">
        <is>
          <t>description</t>
        </is>
      </c>
      <c r="D1" s="1" t="inlineStr">
        <is>
          <t>account_id</t>
        </is>
      </c>
      <c r="E1" s="1" t="inlineStr">
        <is>
          <t>created_at</t>
        </is>
      </c>
      <c r="F1" s="1" t="inlineStr">
        <is>
          <t>updated_at</t>
        </is>
      </c>
      <c r="G1" s="1" t="inlineStr">
        <is>
          <t>is_active</t>
        </is>
      </c>
      <c r="H1" s="1" t="inlineStr">
        <is>
          <t>notes</t>
        </is>
      </c>
      <c r="I1" s="1" t="inlineStr">
        <is>
          <t>status</t>
        </is>
      </c>
      <c r="J1" s="1" t="inlineStr">
        <is>
          <t>start_date</t>
        </is>
      </c>
      <c r="K1" s="1" t="inlineStr">
        <is>
          <t>end_date</t>
        </is>
      </c>
      <c r="L1" s="1" t="inlineStr">
        <is>
          <t>i1_election_made</t>
        </is>
      </c>
    </row>
    <row r="2">
      <c r="A2" s="5" t="inlineStr">
        <is>
          <t>01a1212c-4c00-723a-b829-32ab854ac3cb</t>
        </is>
      </c>
      <c r="B2" t="inlineStr">
        <is>
          <t>R001</t>
        </is>
      </c>
      <c r="C2" t="inlineStr">
        <is>
          <t>Australian resident throughout</t>
        </is>
      </c>
      <c r="D2" s="5" t="inlineStr">
        <is>
          <t>01a1212c-4b57-70cf-80fd-c2192cb3bf81</t>
        </is>
      </c>
      <c r="E2" s="4" t="n">
        <v>46304.62400000967</v>
      </c>
      <c r="F2" s="4" t="n">
        <v>46304.62400000977</v>
      </c>
      <c r="G2" t="b">
        <v>1</v>
      </c>
      <c r="H2" t="inlineStr">
        <is>
          <t>FAKE DATA - generated for demonstration, not a real portfolio</t>
        </is>
      </c>
      <c r="I2" t="inlineStr">
        <is>
          <t>RESIDENT</t>
        </is>
      </c>
      <c r="J2" s="6" t="n">
        <v>42644</v>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N23"/>
  <sheetViews>
    <sheetView workbookViewId="0">
      <pane ySplit="1" topLeftCell="A2" activePane="bottomLeft" state="frozen"/>
      <selection pane="bottomLeft" activeCell="A1" sqref="A1"/>
    </sheetView>
  </sheetViews>
  <sheetFormatPr baseColWidth="8" defaultRowHeight="15"/>
  <cols>
    <col width="38.2" customWidth="1" min="1" max="1"/>
    <col width="11.2" customWidth="1" min="2" max="2"/>
    <col width="13.2" customWidth="1" min="3" max="3"/>
    <col width="38.2" customWidth="1" min="4" max="4"/>
    <col width="28.2" customWidth="1" min="5" max="5"/>
    <col width="28.2" customWidth="1" min="6" max="6"/>
    <col width="11.2" customWidth="1" min="7" max="7"/>
    <col width="63.2" customWidth="1" min="8" max="8"/>
    <col width="18.2" customWidth="1" min="9" max="9"/>
    <col width="25.2" customWidth="1" min="10" max="10"/>
    <col width="6.2" customWidth="1" min="11" max="11"/>
    <col width="38.2" customWidth="1" min="12" max="12"/>
    <col width="33.2" customWidth="1" min="13" max="13"/>
    <col width="30.2" customWidth="1" min="14" max="14"/>
  </cols>
  <sheetData>
    <row r="1" ht="32" customHeight="1">
      <c r="A1" s="1" t="inlineStr">
        <is>
          <t>id</t>
        </is>
      </c>
      <c r="B1" s="1" t="inlineStr">
        <is>
          <t>legacy_id</t>
        </is>
      </c>
      <c r="C1" s="1" t="inlineStr">
        <is>
          <t>description</t>
        </is>
      </c>
      <c r="D1" s="1" t="inlineStr">
        <is>
          <t>account_id</t>
        </is>
      </c>
      <c r="E1" s="1" t="inlineStr">
        <is>
          <t>created_at</t>
        </is>
      </c>
      <c r="F1" s="1" t="inlineStr">
        <is>
          <t>updated_at</t>
        </is>
      </c>
      <c r="G1" s="1" t="inlineStr">
        <is>
          <t>is_active</t>
        </is>
      </c>
      <c r="H1" s="1" t="inlineStr">
        <is>
          <t>notes</t>
        </is>
      </c>
      <c r="I1" s="1" t="inlineStr">
        <is>
          <t>instrument__name</t>
        </is>
      </c>
      <c r="J1" s="1" t="inlineStr">
        <is>
          <t>financial_year_end_date</t>
        </is>
      </c>
      <c r="K1" s="1" t="inlineStr">
        <is>
          <t>file</t>
        </is>
      </c>
      <c r="L1" s="1" t="inlineStr">
        <is>
          <t>cost_base_adjustment_id</t>
        </is>
      </c>
      <c r="M1" s="1" t="inlineStr">
        <is>
          <t>gain_subject_to_mit_withholding</t>
        </is>
      </c>
      <c r="N1" s="1" t="inlineStr">
        <is>
          <t>calculated_fiscal_year__name</t>
        </is>
      </c>
    </row>
    <row r="2">
      <c r="A2" s="5" t="inlineStr">
        <is>
          <t>01a1212c-b7c9-73d5-a250-4e5bd16453a2</t>
        </is>
      </c>
      <c r="B2" t="inlineStr">
        <is>
          <t>AS001</t>
        </is>
      </c>
      <c r="D2" s="5" t="inlineStr">
        <is>
          <t>01a1212c-4b57-70cf-80fd-c2192cb3bf81</t>
        </is>
      </c>
      <c r="E2" s="4" t="n">
        <v>46304.62431937543</v>
      </c>
      <c r="F2" s="4" t="n">
        <v>46304.62431937552</v>
      </c>
      <c r="G2" t="b">
        <v>1</v>
      </c>
      <c r="H2" t="inlineStr">
        <is>
          <t>FAKE DATA - generated for demonstration, not a real portfolio</t>
        </is>
      </c>
      <c r="I2" t="inlineStr">
        <is>
          <t>VAS</t>
        </is>
      </c>
      <c r="J2" s="6" t="n">
        <v>42916</v>
      </c>
      <c r="K2" t="inlineStr"/>
      <c r="L2" s="5" t="inlineStr">
        <is>
          <t>01a1212c-86e3-7746-8ba0-0ab6783a06f8</t>
        </is>
      </c>
      <c r="M2" t="b">
        <v>0</v>
      </c>
      <c r="N2" t="inlineStr">
        <is>
          <t>FY2016/17</t>
        </is>
      </c>
    </row>
    <row r="3">
      <c r="A3" s="5" t="inlineStr">
        <is>
          <t>01a1212c-b7d7-75a5-9654-fc9125cd5996</t>
        </is>
      </c>
      <c r="B3" t="inlineStr">
        <is>
          <t>AS002</t>
        </is>
      </c>
      <c r="D3" s="5" t="inlineStr">
        <is>
          <t>01a1212c-4b57-70cf-80fd-c2192cb3bf81</t>
        </is>
      </c>
      <c r="E3" s="4" t="n">
        <v>46304.62431953703</v>
      </c>
      <c r="F3" s="4" t="n">
        <v>46304.62431953714</v>
      </c>
      <c r="G3" t="b">
        <v>1</v>
      </c>
      <c r="H3" t="n">
        <v/>
      </c>
      <c r="I3" t="inlineStr">
        <is>
          <t>VGS</t>
        </is>
      </c>
      <c r="J3" s="6" t="n">
        <v>42916</v>
      </c>
      <c r="K3" t="inlineStr"/>
      <c r="L3" s="5" t="inlineStr">
        <is>
          <t>01a1212c-8740-73af-aba7-780bf5c0bd86</t>
        </is>
      </c>
      <c r="M3" t="b">
        <v>0</v>
      </c>
      <c r="N3" t="inlineStr">
        <is>
          <t>FY2016/17</t>
        </is>
      </c>
    </row>
    <row r="4">
      <c r="A4" s="5" t="inlineStr">
        <is>
          <t>01a1212c-b7e4-7014-80c7-ee711ab72824</t>
        </is>
      </c>
      <c r="B4" t="inlineStr">
        <is>
          <t>AS003</t>
        </is>
      </c>
      <c r="D4" s="5" t="inlineStr">
        <is>
          <t>01a1212c-4b57-70cf-80fd-c2192cb3bf81</t>
        </is>
      </c>
      <c r="E4" s="4" t="n">
        <v>46304.62431968166</v>
      </c>
      <c r="F4" s="4" t="n">
        <v>46304.62431968177</v>
      </c>
      <c r="G4" t="b">
        <v>1</v>
      </c>
      <c r="H4" t="n">
        <v/>
      </c>
      <c r="I4" t="inlineStr">
        <is>
          <t>VAS</t>
        </is>
      </c>
      <c r="J4" s="6" t="n">
        <v>43281</v>
      </c>
      <c r="K4" t="inlineStr"/>
      <c r="L4" s="5" t="inlineStr">
        <is>
          <t>01a1212c-879d-732d-8fe0-5b1ea9c45809</t>
        </is>
      </c>
      <c r="M4" t="b">
        <v>0</v>
      </c>
      <c r="N4" t="inlineStr">
        <is>
          <t>FY2017/18</t>
        </is>
      </c>
    </row>
    <row r="5">
      <c r="A5" s="5" t="inlineStr">
        <is>
          <t>01a1212c-b7f0-7678-aa3b-5ce28b94d152</t>
        </is>
      </c>
      <c r="B5" t="inlineStr">
        <is>
          <t>AS004</t>
        </is>
      </c>
      <c r="D5" s="5" t="inlineStr">
        <is>
          <t>01a1212c-4b57-70cf-80fd-c2192cb3bf81</t>
        </is>
      </c>
      <c r="E5" s="4" t="n">
        <v>46304.62431981723</v>
      </c>
      <c r="F5" s="4" t="n">
        <v>46304.62431981734</v>
      </c>
      <c r="G5" t="b">
        <v>1</v>
      </c>
      <c r="H5" t="n">
        <v/>
      </c>
      <c r="I5" t="inlineStr">
        <is>
          <t>VGS</t>
        </is>
      </c>
      <c r="J5" s="6" t="n">
        <v>43281</v>
      </c>
      <c r="K5" t="inlineStr"/>
      <c r="L5" s="5" t="inlineStr">
        <is>
          <t>01a1212c-8862-7551-bc30-d78825299412</t>
        </is>
      </c>
      <c r="M5" t="b">
        <v>0</v>
      </c>
      <c r="N5" t="inlineStr">
        <is>
          <t>FY2017/18</t>
        </is>
      </c>
    </row>
    <row r="6">
      <c r="A6" s="5" t="inlineStr">
        <is>
          <t>01a1212c-b7fb-71e2-a790-02db6b23ff47</t>
        </is>
      </c>
      <c r="B6" t="inlineStr">
        <is>
          <t>AS005</t>
        </is>
      </c>
      <c r="D6" s="5" t="inlineStr">
        <is>
          <t>01a1212c-4b57-70cf-80fd-c2192cb3bf81</t>
        </is>
      </c>
      <c r="E6" s="4" t="n">
        <v>46304.62431995219</v>
      </c>
      <c r="F6" s="4" t="n">
        <v>46304.62431995228</v>
      </c>
      <c r="G6" t="b">
        <v>1</v>
      </c>
      <c r="H6" t="n">
        <v/>
      </c>
      <c r="I6" t="inlineStr">
        <is>
          <t>A200</t>
        </is>
      </c>
      <c r="J6" s="6" t="n">
        <v>43646</v>
      </c>
      <c r="K6" t="inlineStr"/>
      <c r="L6" s="5" t="inlineStr">
        <is>
          <t>01a1212c-8a2c-7766-8599-0bc070d57414</t>
        </is>
      </c>
      <c r="M6" t="b">
        <v>0</v>
      </c>
      <c r="N6" t="inlineStr">
        <is>
          <t>FY2018/19</t>
        </is>
      </c>
    </row>
    <row r="7">
      <c r="A7" s="5" t="inlineStr">
        <is>
          <t>01a1212c-b807-7539-b296-81b8c62c6ad8</t>
        </is>
      </c>
      <c r="B7" t="inlineStr">
        <is>
          <t>AS006</t>
        </is>
      </c>
      <c r="D7" s="5" t="inlineStr">
        <is>
          <t>01a1212c-4b57-70cf-80fd-c2192cb3bf81</t>
        </is>
      </c>
      <c r="E7" s="4" t="n">
        <v>46304.62432008389</v>
      </c>
      <c r="F7" s="4" t="n">
        <v>46304.62432008398</v>
      </c>
      <c r="G7" t="b">
        <v>1</v>
      </c>
      <c r="H7" t="n">
        <v/>
      </c>
      <c r="I7" t="inlineStr">
        <is>
          <t>VAS</t>
        </is>
      </c>
      <c r="J7" s="6" t="n">
        <v>43646</v>
      </c>
      <c r="K7" t="inlineStr"/>
      <c r="L7" s="5" t="inlineStr">
        <is>
          <t>01a1212c-8ab0-7595-bc11-bfe51cdde84f</t>
        </is>
      </c>
      <c r="M7" t="b">
        <v>0</v>
      </c>
      <c r="N7" t="inlineStr">
        <is>
          <t>FY2018/19</t>
        </is>
      </c>
    </row>
    <row r="8">
      <c r="A8" s="5" t="inlineStr">
        <is>
          <t>01a1212c-b812-73aa-88d9-eb92d5e91092</t>
        </is>
      </c>
      <c r="B8" t="inlineStr">
        <is>
          <t>AS007</t>
        </is>
      </c>
      <c r="D8" s="5" t="inlineStr">
        <is>
          <t>01a1212c-4b57-70cf-80fd-c2192cb3bf81</t>
        </is>
      </c>
      <c r="E8" s="4" t="n">
        <v>46304.62432021566</v>
      </c>
      <c r="F8" s="4" t="n">
        <v>46304.62432021575</v>
      </c>
      <c r="G8" t="b">
        <v>1</v>
      </c>
      <c r="H8" t="n">
        <v/>
      </c>
      <c r="I8" t="inlineStr">
        <is>
          <t>VGS</t>
        </is>
      </c>
      <c r="J8" s="6" t="n">
        <v>43646</v>
      </c>
      <c r="K8" t="inlineStr"/>
      <c r="L8" s="5" t="inlineStr">
        <is>
          <t>01a1212c-8baa-744f-813f-f3d3bee6fb69</t>
        </is>
      </c>
      <c r="M8" t="b">
        <v>0</v>
      </c>
      <c r="N8" t="inlineStr">
        <is>
          <t>FY2018/19</t>
        </is>
      </c>
    </row>
    <row r="9">
      <c r="A9" s="5" t="inlineStr">
        <is>
          <t>01a1212c-b81f-73bc-aa2a-6d9bfaba279d</t>
        </is>
      </c>
      <c r="B9" t="inlineStr">
        <is>
          <t>AS008</t>
        </is>
      </c>
      <c r="D9" s="5" t="inlineStr">
        <is>
          <t>01a1212c-4b57-70cf-80fd-c2192cb3bf81</t>
        </is>
      </c>
      <c r="E9" s="4" t="n">
        <v>46304.62432036136</v>
      </c>
      <c r="F9" s="4" t="n">
        <v>46304.62432036144</v>
      </c>
      <c r="G9" t="b">
        <v>1</v>
      </c>
      <c r="H9" t="n">
        <v/>
      </c>
      <c r="I9" t="inlineStr">
        <is>
          <t>A200</t>
        </is>
      </c>
      <c r="J9" s="6" t="n">
        <v>44012</v>
      </c>
      <c r="K9" t="inlineStr"/>
      <c r="L9" s="5" t="inlineStr">
        <is>
          <t>01a1212c-8dfd-70da-97a5-30b2c43d79af</t>
        </is>
      </c>
      <c r="M9" t="b">
        <v>0</v>
      </c>
      <c r="N9" t="inlineStr">
        <is>
          <t>FY2019/20</t>
        </is>
      </c>
    </row>
    <row r="10">
      <c r="A10" s="5" t="inlineStr">
        <is>
          <t>01a1212c-b82a-722d-ab6d-7b1f460c362a</t>
        </is>
      </c>
      <c r="B10" t="inlineStr">
        <is>
          <t>AS009</t>
        </is>
      </c>
      <c r="D10" s="5" t="inlineStr">
        <is>
          <t>01a1212c-4b57-70cf-80fd-c2192cb3bf81</t>
        </is>
      </c>
      <c r="E10" s="4" t="n">
        <v>46304.62432048797</v>
      </c>
      <c r="F10" s="4" t="n">
        <v>46304.62432048804</v>
      </c>
      <c r="G10" t="b">
        <v>1</v>
      </c>
      <c r="H10" t="n">
        <v/>
      </c>
      <c r="I10" t="inlineStr">
        <is>
          <t>VAS</t>
        </is>
      </c>
      <c r="J10" s="6" t="n">
        <v>44012</v>
      </c>
      <c r="K10" t="inlineStr"/>
      <c r="L10" t="n">
        <v/>
      </c>
      <c r="M10" t="b">
        <v>0</v>
      </c>
      <c r="N10" t="inlineStr">
        <is>
          <t>FY2019/20</t>
        </is>
      </c>
    </row>
    <row r="11">
      <c r="A11" s="5" t="inlineStr">
        <is>
          <t>01a1212c-b832-715d-9adb-09b6b4d62307</t>
        </is>
      </c>
      <c r="B11" t="inlineStr">
        <is>
          <t>AS010</t>
        </is>
      </c>
      <c r="D11" s="5" t="inlineStr">
        <is>
          <t>01a1212c-4b57-70cf-80fd-c2192cb3bf81</t>
        </is>
      </c>
      <c r="E11" s="4" t="n">
        <v>46304.62432058816</v>
      </c>
      <c r="F11" s="4" t="n">
        <v>46304.62432058824</v>
      </c>
      <c r="G11" t="b">
        <v>1</v>
      </c>
      <c r="H11" t="n">
        <v/>
      </c>
      <c r="I11" t="inlineStr">
        <is>
          <t>VGS</t>
        </is>
      </c>
      <c r="J11" s="6" t="n">
        <v>44012</v>
      </c>
      <c r="K11" t="inlineStr"/>
      <c r="L11" s="5" t="inlineStr">
        <is>
          <t>01a1212c-8ef2-7480-a493-3ead5a163b78</t>
        </is>
      </c>
      <c r="M11" t="b">
        <v>0</v>
      </c>
      <c r="N11" t="inlineStr">
        <is>
          <t>FY2019/20</t>
        </is>
      </c>
    </row>
    <row r="12">
      <c r="A12" s="5" t="inlineStr">
        <is>
          <t>01a1212c-b83d-7479-92d9-2b6ac4224295</t>
        </is>
      </c>
      <c r="B12" t="inlineStr">
        <is>
          <t>AS011</t>
        </is>
      </c>
      <c r="D12" s="5" t="inlineStr">
        <is>
          <t>01a1212c-4b57-70cf-80fd-c2192cb3bf81</t>
        </is>
      </c>
      <c r="E12" s="4" t="n">
        <v>46304.62432071516</v>
      </c>
      <c r="F12" s="4" t="n">
        <v>46304.62432071524</v>
      </c>
      <c r="G12" t="b">
        <v>1</v>
      </c>
      <c r="H12" t="n">
        <v/>
      </c>
      <c r="I12" t="inlineStr">
        <is>
          <t>A200</t>
        </is>
      </c>
      <c r="J12" s="6" t="n">
        <v>44377</v>
      </c>
      <c r="K12" t="inlineStr"/>
      <c r="L12" s="5" t="inlineStr">
        <is>
          <t>01a1212c-9145-7407-94b2-8ca10c380294</t>
        </is>
      </c>
      <c r="M12" t="b">
        <v>0</v>
      </c>
      <c r="N12" t="inlineStr">
        <is>
          <t>FY2020/21</t>
        </is>
      </c>
    </row>
    <row r="13">
      <c r="A13" s="5" t="inlineStr">
        <is>
          <t>01a1212c-b848-712f-a7ca-9d536b678fab</t>
        </is>
      </c>
      <c r="B13" t="inlineStr">
        <is>
          <t>AS012</t>
        </is>
      </c>
      <c r="D13" s="5" t="inlineStr">
        <is>
          <t>01a1212c-4b57-70cf-80fd-c2192cb3bf81</t>
        </is>
      </c>
      <c r="E13" s="4" t="n">
        <v>46304.62432084262</v>
      </c>
      <c r="F13" s="4" t="n">
        <v>46304.6243208427</v>
      </c>
      <c r="G13" t="b">
        <v>1</v>
      </c>
      <c r="H13" t="n">
        <v/>
      </c>
      <c r="I13" t="inlineStr">
        <is>
          <t>VGS</t>
        </is>
      </c>
      <c r="J13" s="6" t="n">
        <v>44377</v>
      </c>
      <c r="K13" t="inlineStr"/>
      <c r="L13" s="5" t="inlineStr">
        <is>
          <t>01a1212c-92bc-721b-87d2-9965816a5873</t>
        </is>
      </c>
      <c r="M13" t="b">
        <v>0</v>
      </c>
      <c r="N13" t="inlineStr">
        <is>
          <t>FY2020/21</t>
        </is>
      </c>
    </row>
    <row r="14">
      <c r="A14" s="5" t="inlineStr">
        <is>
          <t>01a1212c-b854-7187-b4e1-0bae09d73fa0</t>
        </is>
      </c>
      <c r="B14" t="inlineStr">
        <is>
          <t>AS013</t>
        </is>
      </c>
      <c r="D14" s="5" t="inlineStr">
        <is>
          <t>01a1212c-4b57-70cf-80fd-c2192cb3bf81</t>
        </is>
      </c>
      <c r="E14" s="4" t="n">
        <v>46304.62432097652</v>
      </c>
      <c r="F14" s="4" t="n">
        <v>46304.62432097659</v>
      </c>
      <c r="G14" t="b">
        <v>1</v>
      </c>
      <c r="H14" t="n">
        <v/>
      </c>
      <c r="I14" t="inlineStr">
        <is>
          <t>A200</t>
        </is>
      </c>
      <c r="J14" s="6" t="n">
        <v>44742</v>
      </c>
      <c r="K14" t="inlineStr"/>
      <c r="L14" s="5" t="inlineStr">
        <is>
          <t>01a1212c-95f5-76f4-bbee-039f3f452abb</t>
        </is>
      </c>
      <c r="M14" t="b">
        <v>0</v>
      </c>
      <c r="N14" t="inlineStr">
        <is>
          <t>FY2021/22</t>
        </is>
      </c>
    </row>
    <row r="15">
      <c r="A15" s="5" t="inlineStr">
        <is>
          <t>01a1212c-b85f-71a3-a8e6-451263325796</t>
        </is>
      </c>
      <c r="B15" t="inlineStr">
        <is>
          <t>AS014</t>
        </is>
      </c>
      <c r="D15" s="5" t="inlineStr">
        <is>
          <t>01a1212c-4b57-70cf-80fd-c2192cb3bf81</t>
        </is>
      </c>
      <c r="E15" s="4" t="n">
        <v>46304.62432110646</v>
      </c>
      <c r="F15" s="4" t="n">
        <v>46304.62432110654</v>
      </c>
      <c r="G15" t="b">
        <v>1</v>
      </c>
      <c r="H15" t="n">
        <v/>
      </c>
      <c r="I15" t="inlineStr">
        <is>
          <t>VGS</t>
        </is>
      </c>
      <c r="J15" s="6" t="n">
        <v>44742</v>
      </c>
      <c r="K15" t="inlineStr"/>
      <c r="L15" s="5" t="inlineStr">
        <is>
          <t>01a1212c-981b-74a7-bdd8-ec219dc8c198</t>
        </is>
      </c>
      <c r="M15" t="b">
        <v>0</v>
      </c>
      <c r="N15" t="inlineStr">
        <is>
          <t>FY2021/22</t>
        </is>
      </c>
    </row>
    <row r="16">
      <c r="A16" s="5" t="inlineStr">
        <is>
          <t>01a1212c-b86b-777c-82c2-481ee7894241</t>
        </is>
      </c>
      <c r="B16" t="inlineStr">
        <is>
          <t>AS015</t>
        </is>
      </c>
      <c r="D16" s="5" t="inlineStr">
        <is>
          <t>01a1212c-4b57-70cf-80fd-c2192cb3bf81</t>
        </is>
      </c>
      <c r="E16" s="4" t="n">
        <v>46304.62432124341</v>
      </c>
      <c r="F16" s="4" t="n">
        <v>46304.62432124352</v>
      </c>
      <c r="G16" t="b">
        <v>1</v>
      </c>
      <c r="H16" t="n">
        <v/>
      </c>
      <c r="I16" t="inlineStr">
        <is>
          <t>A200</t>
        </is>
      </c>
      <c r="J16" s="6" t="n">
        <v>45107</v>
      </c>
      <c r="K16" t="inlineStr"/>
      <c r="L16" s="5" t="inlineStr">
        <is>
          <t>01a1212c-9ad0-74f0-a00e-4a6eab2b410a</t>
        </is>
      </c>
      <c r="M16" t="b">
        <v>0</v>
      </c>
      <c r="N16" t="inlineStr">
        <is>
          <t>FY2022/23</t>
        </is>
      </c>
    </row>
    <row r="17">
      <c r="A17" s="5" t="inlineStr">
        <is>
          <t>01a1212c-b877-7625-9b2f-981f613f84c3</t>
        </is>
      </c>
      <c r="B17" t="inlineStr">
        <is>
          <t>AS016</t>
        </is>
      </c>
      <c r="D17" s="5" t="inlineStr">
        <is>
          <t>01a1212c-4b57-70cf-80fd-c2192cb3bf81</t>
        </is>
      </c>
      <c r="E17" s="4" t="n">
        <v>46304.62432138112</v>
      </c>
      <c r="F17" s="4" t="n">
        <v>46304.62432138121</v>
      </c>
      <c r="G17" t="b">
        <v>1</v>
      </c>
      <c r="H17" t="n">
        <v/>
      </c>
      <c r="I17" t="inlineStr">
        <is>
          <t>VGS</t>
        </is>
      </c>
      <c r="J17" s="6" t="n">
        <v>45107</v>
      </c>
      <c r="K17" t="inlineStr"/>
      <c r="L17" s="5" t="inlineStr">
        <is>
          <t>01a1212c-9d2e-765e-8221-1aed4db59a08</t>
        </is>
      </c>
      <c r="M17" t="b">
        <v>0</v>
      </c>
      <c r="N17" t="inlineStr">
        <is>
          <t>FY2022/23</t>
        </is>
      </c>
    </row>
    <row r="18">
      <c r="A18" s="5" t="inlineStr">
        <is>
          <t>01a1212c-b883-709d-abb5-b62f370f971a</t>
        </is>
      </c>
      <c r="B18" t="inlineStr">
        <is>
          <t>AS017</t>
        </is>
      </c>
      <c r="D18" s="5" t="inlineStr">
        <is>
          <t>01a1212c-4b57-70cf-80fd-c2192cb3bf81</t>
        </is>
      </c>
      <c r="E18" s="4" t="n">
        <v>46304.62432152138</v>
      </c>
      <c r="F18" s="4" t="n">
        <v>46304.62432152147</v>
      </c>
      <c r="G18" t="b">
        <v>1</v>
      </c>
      <c r="H18" t="n">
        <v/>
      </c>
      <c r="I18" t="inlineStr">
        <is>
          <t>A200</t>
        </is>
      </c>
      <c r="J18" s="6" t="n">
        <v>45473</v>
      </c>
      <c r="K18" t="inlineStr"/>
      <c r="L18" s="5" t="inlineStr">
        <is>
          <t>01a1212c-a047-707f-a63b-12a2e2f2c961</t>
        </is>
      </c>
      <c r="M18" t="b">
        <v>0</v>
      </c>
      <c r="N18" t="inlineStr">
        <is>
          <t>FY2023/24</t>
        </is>
      </c>
    </row>
    <row r="19">
      <c r="A19" s="5" t="inlineStr">
        <is>
          <t>01a1212c-b88e-77e0-809a-a9f0ad7dc349</t>
        </is>
      </c>
      <c r="B19" t="inlineStr">
        <is>
          <t>AS018</t>
        </is>
      </c>
      <c r="D19" s="5" t="inlineStr">
        <is>
          <t>01a1212c-4b57-70cf-80fd-c2192cb3bf81</t>
        </is>
      </c>
      <c r="E19" s="4" t="n">
        <v>46304.62432165509</v>
      </c>
      <c r="F19" s="4" t="n">
        <v>46304.62432165517</v>
      </c>
      <c r="G19" t="b">
        <v>1</v>
      </c>
      <c r="H19" t="n">
        <v/>
      </c>
      <c r="I19" t="inlineStr">
        <is>
          <t>VGS</t>
        </is>
      </c>
      <c r="J19" s="6" t="n">
        <v>45473</v>
      </c>
      <c r="K19" t="inlineStr"/>
      <c r="L19" s="5" t="inlineStr">
        <is>
          <t>01a1212c-a31f-7418-b8c4-7e234f854ae3</t>
        </is>
      </c>
      <c r="M19" t="b">
        <v>0</v>
      </c>
      <c r="N19" t="inlineStr">
        <is>
          <t>FY2023/24</t>
        </is>
      </c>
    </row>
    <row r="20">
      <c r="A20" s="5" t="inlineStr">
        <is>
          <t>01a1212c-b89a-7682-aa14-d1164975a191</t>
        </is>
      </c>
      <c r="B20" t="inlineStr">
        <is>
          <t>AS019</t>
        </is>
      </c>
      <c r="D20" s="5" t="inlineStr">
        <is>
          <t>01a1212c-4b57-70cf-80fd-c2192cb3bf81</t>
        </is>
      </c>
      <c r="E20" s="4" t="n">
        <v>46304.62432179134</v>
      </c>
      <c r="F20" s="4" t="n">
        <v>46304.62432179142</v>
      </c>
      <c r="G20" t="b">
        <v>1</v>
      </c>
      <c r="H20" t="n">
        <v/>
      </c>
      <c r="I20" t="inlineStr">
        <is>
          <t>A200</t>
        </is>
      </c>
      <c r="J20" s="6" t="n">
        <v>45838</v>
      </c>
      <c r="K20" t="inlineStr"/>
      <c r="L20" s="5" t="inlineStr">
        <is>
          <t>01a1212c-a805-700c-af80-50bada88a708</t>
        </is>
      </c>
      <c r="M20" t="b">
        <v>0</v>
      </c>
      <c r="N20" t="inlineStr">
        <is>
          <t>FY2024/25</t>
        </is>
      </c>
    </row>
    <row r="21">
      <c r="A21" s="5" t="inlineStr">
        <is>
          <t>01a1212c-b8a6-7670-b677-f58e215f5481</t>
        </is>
      </c>
      <c r="B21" t="inlineStr">
        <is>
          <t>AS020</t>
        </is>
      </c>
      <c r="D21" s="5" t="inlineStr">
        <is>
          <t>01a1212c-4b57-70cf-80fd-c2192cb3bf81</t>
        </is>
      </c>
      <c r="E21" s="4" t="n">
        <v>46304.62432192783</v>
      </c>
      <c r="F21" s="4" t="n">
        <v>46304.62432192789</v>
      </c>
      <c r="G21" t="b">
        <v>1</v>
      </c>
      <c r="H21" t="n">
        <v/>
      </c>
      <c r="I21" t="inlineStr">
        <is>
          <t>VGS</t>
        </is>
      </c>
      <c r="J21" s="6" t="n">
        <v>45838</v>
      </c>
      <c r="K21" t="inlineStr"/>
      <c r="L21" s="5" t="inlineStr">
        <is>
          <t>01a1212c-ab70-70ef-b386-0646b6e677c5</t>
        </is>
      </c>
      <c r="M21" t="b">
        <v>0</v>
      </c>
      <c r="N21" t="inlineStr">
        <is>
          <t>FY2024/25</t>
        </is>
      </c>
    </row>
    <row r="22">
      <c r="A22" s="5" t="inlineStr">
        <is>
          <t>01a1212c-b8b1-745f-9789-078fdc71d48e</t>
        </is>
      </c>
      <c r="B22" t="inlineStr">
        <is>
          <t>AS021</t>
        </is>
      </c>
      <c r="D22" s="5" t="inlineStr">
        <is>
          <t>01a1212c-4b57-70cf-80fd-c2192cb3bf81</t>
        </is>
      </c>
      <c r="E22" s="4" t="n">
        <v>46304.62432205659</v>
      </c>
      <c r="F22" s="4" t="n">
        <v>46304.62432205665</v>
      </c>
      <c r="G22" t="b">
        <v>1</v>
      </c>
      <c r="H22" t="n">
        <v/>
      </c>
      <c r="I22" t="inlineStr">
        <is>
          <t>A200</t>
        </is>
      </c>
      <c r="J22" s="6" t="n">
        <v>46203</v>
      </c>
      <c r="K22" t="inlineStr"/>
      <c r="L22" s="5" t="inlineStr">
        <is>
          <t>01a1212c-af76-73a3-8cc5-b6a47faf79d7</t>
        </is>
      </c>
      <c r="M22" t="b">
        <v>0</v>
      </c>
      <c r="N22" t="inlineStr">
        <is>
          <t>FY2025/26</t>
        </is>
      </c>
    </row>
    <row r="23">
      <c r="A23" s="5" t="inlineStr">
        <is>
          <t>01a1212c-b8bd-74c9-9871-9c6771047955</t>
        </is>
      </c>
      <c r="B23" t="inlineStr">
        <is>
          <t>AS022</t>
        </is>
      </c>
      <c r="D23" s="5" t="inlineStr">
        <is>
          <t>01a1212c-4b57-70cf-80fd-c2192cb3bf81</t>
        </is>
      </c>
      <c r="E23" s="4" t="n">
        <v>46304.62432219626</v>
      </c>
      <c r="F23" s="4" t="n">
        <v>46304.62432219635</v>
      </c>
      <c r="G23" t="b">
        <v>1</v>
      </c>
      <c r="H23" t="n">
        <v/>
      </c>
      <c r="I23" t="inlineStr">
        <is>
          <t>VGS</t>
        </is>
      </c>
      <c r="J23" s="6" t="n">
        <v>46203</v>
      </c>
      <c r="K23" t="inlineStr"/>
      <c r="L23" s="5" t="inlineStr">
        <is>
          <t>01a1212c-b349-71cd-b6ad-2d162f34bcd9</t>
        </is>
      </c>
      <c r="M23" t="b">
        <v>0</v>
      </c>
      <c r="N23" t="inlineStr">
        <is>
          <t>FY2025/26</t>
        </is>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L231"/>
  <sheetViews>
    <sheetView workbookViewId="0">
      <pane ySplit="1" topLeftCell="A2" activePane="bottomLeft" state="frozen"/>
      <selection pane="bottomLeft" activeCell="A1" sqref="A1"/>
    </sheetView>
  </sheetViews>
  <sheetFormatPr baseColWidth="8" defaultRowHeight="15"/>
  <cols>
    <col width="38.2" customWidth="1" min="1" max="1"/>
    <col width="33.2" customWidth="1" min="2" max="2"/>
    <col width="13.2" customWidth="1" min="3" max="3"/>
    <col width="38.2" customWidth="1" min="4" max="4"/>
    <col width="28.2" customWidth="1" min="5" max="5"/>
    <col width="28.2" customWidth="1" min="6" max="6"/>
    <col width="11.2" customWidth="1" min="7" max="7"/>
    <col width="63.2" customWidth="1" min="8" max="8"/>
    <col width="38.2" customWidth="1" min="9" max="9"/>
    <col width="27.2" customWidth="1" min="10" max="10"/>
    <col width="17.2" customWidth="1" min="11" max="11"/>
    <col width="13.2" customWidth="1" min="12" max="12"/>
  </cols>
  <sheetData>
    <row r="1" ht="32" customHeight="1">
      <c r="A1" s="1" t="inlineStr">
        <is>
          <t>id</t>
        </is>
      </c>
      <c r="B1" s="1" t="inlineStr">
        <is>
          <t>legacy_id</t>
        </is>
      </c>
      <c r="C1" s="1" t="inlineStr">
        <is>
          <t>description</t>
        </is>
      </c>
      <c r="D1" s="1" t="inlineStr">
        <is>
          <t>account_id</t>
        </is>
      </c>
      <c r="E1" s="1" t="inlineStr">
        <is>
          <t>created_at</t>
        </is>
      </c>
      <c r="F1" s="1" t="inlineStr">
        <is>
          <t>updated_at</t>
        </is>
      </c>
      <c r="G1" s="1" t="inlineStr">
        <is>
          <t>is_active</t>
        </is>
      </c>
      <c r="H1" s="1" t="inlineStr">
        <is>
          <t>notes</t>
        </is>
      </c>
      <c r="I1" s="1" t="inlineStr">
        <is>
          <t>statement_id</t>
        </is>
      </c>
      <c r="J1" s="1" t="inlineStr">
        <is>
          <t>component</t>
        </is>
      </c>
      <c r="K1" s="1" t="inlineStr">
        <is>
          <t>amount_currency</t>
        </is>
      </c>
      <c r="L1" s="1" t="inlineStr">
        <is>
          <t>amount</t>
        </is>
      </c>
    </row>
    <row r="2">
      <c r="A2" s="5" t="inlineStr">
        <is>
          <t>01a1212c-b8d6-719c-8e5d-4b299a6ca710</t>
        </is>
      </c>
      <c r="B2" t="inlineStr">
        <is>
          <t>AS001-AMIT_GROSS_UP</t>
        </is>
      </c>
      <c r="D2" s="5" t="inlineStr">
        <is>
          <t>01a1212c-4b57-70cf-80fd-c2192cb3bf81</t>
        </is>
      </c>
      <c r="E2" s="4" t="n">
        <v>46304.62432247929</v>
      </c>
      <c r="F2" s="4" t="n">
        <v>46304.62432247937</v>
      </c>
      <c r="G2" t="b">
        <v>1</v>
      </c>
      <c r="H2" t="n">
        <v/>
      </c>
      <c r="I2" s="5" t="inlineStr">
        <is>
          <t>01a1212c-b7c9-73d5-a250-4e5bd16453a2</t>
        </is>
      </c>
      <c r="J2" t="inlineStr">
        <is>
          <t>AMIT_GROSS_UP</t>
        </is>
      </c>
      <c r="K2" t="inlineStr">
        <is>
          <t>AUD</t>
        </is>
      </c>
      <c r="L2" t="n">
        <v>4.45</v>
      </c>
    </row>
    <row r="3">
      <c r="A3" s="5" t="inlineStr">
        <is>
          <t>01a1212c-b8e4-738b-8494-d2e96b268b6d</t>
        </is>
      </c>
      <c r="B3" t="inlineStr">
        <is>
          <t>AS001-COSTBASE_INCREASE</t>
        </is>
      </c>
      <c r="D3" s="5" t="inlineStr">
        <is>
          <t>01a1212c-4b57-70cf-80fd-c2192cb3bf81</t>
        </is>
      </c>
      <c r="E3" s="4" t="n">
        <v>46304.62432264838</v>
      </c>
      <c r="F3" s="4" t="n">
        <v>46304.62432264846</v>
      </c>
      <c r="G3" t="b">
        <v>1</v>
      </c>
      <c r="H3" t="n">
        <v/>
      </c>
      <c r="I3" s="5" t="inlineStr">
        <is>
          <t>01a1212c-b7c9-73d5-a250-4e5bd16453a2</t>
        </is>
      </c>
      <c r="J3" t="inlineStr">
        <is>
          <t>COSTBASE_INCREASE</t>
        </is>
      </c>
      <c r="K3" t="inlineStr">
        <is>
          <t>AUD</t>
        </is>
      </c>
      <c r="L3" t="n">
        <v>2.7</v>
      </c>
    </row>
    <row r="4">
      <c r="A4" s="5" t="inlineStr">
        <is>
          <t>01a1212c-b8d1-76f8-91e5-791c02b19ad4</t>
        </is>
      </c>
      <c r="B4" t="inlineStr">
        <is>
          <t>AS001-DISCOUNTED_NTAP</t>
        </is>
      </c>
      <c r="D4" s="5" t="inlineStr">
        <is>
          <t>01a1212c-4b57-70cf-80fd-c2192cb3bf81</t>
        </is>
      </c>
      <c r="E4" s="4" t="n">
        <v>46304.62432242874</v>
      </c>
      <c r="F4" s="4" t="n">
        <v>46304.6243224289</v>
      </c>
      <c r="G4" t="b">
        <v>1</v>
      </c>
      <c r="H4" t="inlineStr">
        <is>
          <t>FAKE DATA - generated for demonstration, not a real portfolio</t>
        </is>
      </c>
      <c r="I4" s="5" t="inlineStr">
        <is>
          <t>01a1212c-b7c9-73d5-a250-4e5bd16453a2</t>
        </is>
      </c>
      <c r="J4" t="inlineStr">
        <is>
          <t>DISCOUNTED_NTAP</t>
        </is>
      </c>
      <c r="K4" t="inlineStr">
        <is>
          <t>AUD</t>
        </is>
      </c>
      <c r="L4" t="n">
        <v>4.45</v>
      </c>
    </row>
    <row r="5">
      <c r="A5" s="5" t="inlineStr">
        <is>
          <t>01a1212c-b8e2-7624-93e8-79fadd76f13a</t>
        </is>
      </c>
      <c r="B5" t="inlineStr">
        <is>
          <t>AS001-FOREIGN_INCOME_TAX_OFFSET</t>
        </is>
      </c>
      <c r="D5" s="5" t="inlineStr">
        <is>
          <t>01a1212c-4b57-70cf-80fd-c2192cb3bf81</t>
        </is>
      </c>
      <c r="E5" s="4" t="n">
        <v>46304.62432262685</v>
      </c>
      <c r="F5" s="4" t="n">
        <v>46304.62432262694</v>
      </c>
      <c r="G5" t="b">
        <v>1</v>
      </c>
      <c r="H5" t="n">
        <v/>
      </c>
      <c r="I5" s="5" t="inlineStr">
        <is>
          <t>01a1212c-b7c9-73d5-a250-4e5bd16453a2</t>
        </is>
      </c>
      <c r="J5" t="inlineStr">
        <is>
          <t>FOREIGN_INCOME_TAX_OFFSET</t>
        </is>
      </c>
      <c r="K5" t="inlineStr">
        <is>
          <t>AUD</t>
        </is>
      </c>
      <c r="L5" t="n">
        <v>1.23</v>
      </c>
    </row>
    <row r="6">
      <c r="A6" s="5" t="inlineStr">
        <is>
          <t>01a1212c-b8dd-75b9-95e1-6b7505f5f78e</t>
        </is>
      </c>
      <c r="B6" t="inlineStr">
        <is>
          <t>AS001-FOREIGN_SOURCE_INCOME</t>
        </is>
      </c>
      <c r="D6" s="5" t="inlineStr">
        <is>
          <t>01a1212c-4b57-70cf-80fd-c2192cb3bf81</t>
        </is>
      </c>
      <c r="E6" s="4" t="n">
        <v>46304.62432256342</v>
      </c>
      <c r="F6" s="4" t="n">
        <v>46304.6243225635</v>
      </c>
      <c r="G6" t="b">
        <v>1</v>
      </c>
      <c r="H6" t="n">
        <v/>
      </c>
      <c r="I6" s="5" t="inlineStr">
        <is>
          <t>01a1212c-b7c9-73d5-a250-4e5bd16453a2</t>
        </is>
      </c>
      <c r="J6" t="inlineStr">
        <is>
          <t>FOREIGN_SOURCE_INCOME</t>
        </is>
      </c>
      <c r="K6" t="inlineStr">
        <is>
          <t>AUD</t>
        </is>
      </c>
      <c r="L6" t="n">
        <v>12.27</v>
      </c>
    </row>
    <row r="7">
      <c r="A7" s="5" t="inlineStr">
        <is>
          <t>01a1212c-b8d9-748b-adfb-a370fff208c8</t>
        </is>
      </c>
      <c r="B7" t="inlineStr">
        <is>
          <t>AS001-FRANKED_DISTRIBUTION</t>
        </is>
      </c>
      <c r="D7" s="5" t="inlineStr">
        <is>
          <t>01a1212c-4b57-70cf-80fd-c2192cb3bf81</t>
        </is>
      </c>
      <c r="E7" s="4" t="n">
        <v>46304.62432252323</v>
      </c>
      <c r="F7" s="4" t="n">
        <v>46304.6243225233</v>
      </c>
      <c r="G7" t="b">
        <v>1</v>
      </c>
      <c r="H7" t="n">
        <v/>
      </c>
      <c r="I7" s="5" t="inlineStr">
        <is>
          <t>01a1212c-b7c9-73d5-a250-4e5bd16453a2</t>
        </is>
      </c>
      <c r="J7" t="inlineStr">
        <is>
          <t>FRANKED_DISTRIBUTION</t>
        </is>
      </c>
      <c r="K7" t="inlineStr">
        <is>
          <t>AUD</t>
        </is>
      </c>
      <c r="L7" t="n">
        <v>136.77</v>
      </c>
    </row>
    <row r="8">
      <c r="A8" s="5" t="inlineStr">
        <is>
          <t>01a1212c-b8e0-70cd-bd63-8b642bfa919a</t>
        </is>
      </c>
      <c r="B8" t="inlineStr">
        <is>
          <t>AS001-FRANKING_CREDIT</t>
        </is>
      </c>
      <c r="D8" s="5" t="inlineStr">
        <is>
          <t>01a1212c-4b57-70cf-80fd-c2192cb3bf81</t>
        </is>
      </c>
      <c r="E8" s="4" t="n">
        <v>46304.62432260315</v>
      </c>
      <c r="F8" s="4" t="n">
        <v>46304.62432260322</v>
      </c>
      <c r="G8" t="b">
        <v>1</v>
      </c>
      <c r="H8" t="n">
        <v/>
      </c>
      <c r="I8" s="5" t="inlineStr">
        <is>
          <t>01a1212c-b7c9-73d5-a250-4e5bd16453a2</t>
        </is>
      </c>
      <c r="J8" t="inlineStr">
        <is>
          <t>FRANKING_CREDIT</t>
        </is>
      </c>
      <c r="K8" t="inlineStr">
        <is>
          <t>AUD</t>
        </is>
      </c>
      <c r="L8" t="n">
        <v>58.62</v>
      </c>
    </row>
    <row r="9">
      <c r="A9" s="5" t="inlineStr">
        <is>
          <t>01a1212c-b8df-7791-9485-6b1ab43ee0ba</t>
        </is>
      </c>
      <c r="B9" t="inlineStr">
        <is>
          <t>AS001-INTEREST</t>
        </is>
      </c>
      <c r="D9" s="5" t="inlineStr">
        <is>
          <t>01a1212c-4b57-70cf-80fd-c2192cb3bf81</t>
        </is>
      </c>
      <c r="E9" s="4" t="n">
        <v>46304.62432258327</v>
      </c>
      <c r="F9" s="4" t="n">
        <v>46304.62432258335</v>
      </c>
      <c r="G9" t="b">
        <v>1</v>
      </c>
      <c r="H9" t="n">
        <v/>
      </c>
      <c r="I9" s="5" t="inlineStr">
        <is>
          <t>01a1212c-b7c9-73d5-a250-4e5bd16453a2</t>
        </is>
      </c>
      <c r="J9" t="inlineStr">
        <is>
          <t>INTEREST</t>
        </is>
      </c>
      <c r="K9" t="inlineStr">
        <is>
          <t>AUD</t>
        </is>
      </c>
      <c r="L9" t="n">
        <v>3.51</v>
      </c>
    </row>
    <row r="10">
      <c r="A10" s="5" t="inlineStr">
        <is>
          <t>01a1212c-b8d4-7577-a6f7-6c6222a7eb8a</t>
        </is>
      </c>
      <c r="B10" t="inlineStr">
        <is>
          <t>AS001-OTHER_NTAP</t>
        </is>
      </c>
      <c r="D10" s="5" t="inlineStr">
        <is>
          <t>01a1212c-4b57-70cf-80fd-c2192cb3bf81</t>
        </is>
      </c>
      <c r="E10" s="4" t="n">
        <v>46304.62432245839</v>
      </c>
      <c r="F10" s="4" t="n">
        <v>46304.62432245847</v>
      </c>
      <c r="G10" t="b">
        <v>1</v>
      </c>
      <c r="H10" t="n">
        <v/>
      </c>
      <c r="I10" s="5" t="inlineStr">
        <is>
          <t>01a1212c-b7c9-73d5-a250-4e5bd16453a2</t>
        </is>
      </c>
      <c r="J10" t="inlineStr">
        <is>
          <t>OTHER_NTAP</t>
        </is>
      </c>
      <c r="K10" t="inlineStr">
        <is>
          <t>AUD</t>
        </is>
      </c>
      <c r="L10" t="n">
        <v>2.14</v>
      </c>
    </row>
    <row r="11">
      <c r="A11" s="5" t="inlineStr">
        <is>
          <t>01a1212c-b8d8-7015-8bc4-396d16540952</t>
        </is>
      </c>
      <c r="B11" t="inlineStr">
        <is>
          <t>AS001-TOTAL_CY_CG</t>
        </is>
      </c>
      <c r="D11" s="5" t="inlineStr">
        <is>
          <t>01a1212c-4b57-70cf-80fd-c2192cb3bf81</t>
        </is>
      </c>
      <c r="E11" s="4" t="n">
        <v>46304.62432250242</v>
      </c>
      <c r="F11" s="4" t="n">
        <v>46304.6243225025</v>
      </c>
      <c r="G11" t="b">
        <v>1</v>
      </c>
      <c r="H11" t="n">
        <v/>
      </c>
      <c r="I11" s="5" t="inlineStr">
        <is>
          <t>01a1212c-b7c9-73d5-a250-4e5bd16453a2</t>
        </is>
      </c>
      <c r="J11" t="inlineStr">
        <is>
          <t>TOTAL_CY_CG</t>
        </is>
      </c>
      <c r="K11" t="inlineStr">
        <is>
          <t>AUD</t>
        </is>
      </c>
      <c r="L11" t="n">
        <v>11.04</v>
      </c>
    </row>
    <row r="12">
      <c r="A12" s="5" t="inlineStr">
        <is>
          <t>01a1212c-b8db-7540-a759-feeef99fead0</t>
        </is>
      </c>
      <c r="B12" t="inlineStr">
        <is>
          <t>AS001-UNFRANKED_DISTRIBUTION</t>
        </is>
      </c>
      <c r="D12" s="5" t="inlineStr">
        <is>
          <t>01a1212c-4b57-70cf-80fd-c2192cb3bf81</t>
        </is>
      </c>
      <c r="E12" s="4" t="n">
        <v>46304.62432254342</v>
      </c>
      <c r="F12" s="4" t="n">
        <v>46304.62432254351</v>
      </c>
      <c r="G12" t="b">
        <v>1</v>
      </c>
      <c r="H12" t="n">
        <v/>
      </c>
      <c r="I12" s="5" t="inlineStr">
        <is>
          <t>01a1212c-b7c9-73d5-a250-4e5bd16453a2</t>
        </is>
      </c>
      <c r="J12" t="inlineStr">
        <is>
          <t>UNFRANKED_DISTRIBUTION</t>
        </is>
      </c>
      <c r="K12" t="inlineStr">
        <is>
          <t>AUD</t>
        </is>
      </c>
      <c r="L12" t="n">
        <v>22.8</v>
      </c>
    </row>
    <row r="13">
      <c r="A13" s="5" t="inlineStr">
        <is>
          <t>01a1212c-b8ea-7086-bb11-10910c8948f1</t>
        </is>
      </c>
      <c r="B13" t="inlineStr">
        <is>
          <t>AS002-AMIT_GROSS_UP</t>
        </is>
      </c>
      <c r="D13" s="5" t="inlineStr">
        <is>
          <t>01a1212c-4b57-70cf-80fd-c2192cb3bf81</t>
        </is>
      </c>
      <c r="E13" s="4" t="n">
        <v>46304.6243227107</v>
      </c>
      <c r="F13" s="4" t="n">
        <v>46304.62432271076</v>
      </c>
      <c r="G13" t="b">
        <v>1</v>
      </c>
      <c r="H13" t="n">
        <v/>
      </c>
      <c r="I13" s="5" t="inlineStr">
        <is>
          <t>01a1212c-b7d7-75a5-9654-fc9125cd5996</t>
        </is>
      </c>
      <c r="J13" t="inlineStr">
        <is>
          <t>AMIT_GROSS_UP</t>
        </is>
      </c>
      <c r="K13" t="inlineStr">
        <is>
          <t>AUD</t>
        </is>
      </c>
      <c r="L13" t="n">
        <v>6.16</v>
      </c>
    </row>
    <row r="14">
      <c r="A14" s="5" t="inlineStr">
        <is>
          <t>01a1212c-b8f5-77ae-bcc6-1d221dc51d38</t>
        </is>
      </c>
      <c r="B14" t="inlineStr">
        <is>
          <t>AS002-COSTBASE_INCREASE</t>
        </is>
      </c>
      <c r="D14" s="5" t="inlineStr">
        <is>
          <t>01a1212c-4b57-70cf-80fd-c2192cb3bf81</t>
        </is>
      </c>
      <c r="E14" s="4" t="n">
        <v>46304.62432283897</v>
      </c>
      <c r="F14" s="4" t="n">
        <v>46304.62432283905</v>
      </c>
      <c r="G14" t="b">
        <v>1</v>
      </c>
      <c r="H14" t="n">
        <v/>
      </c>
      <c r="I14" s="5" t="inlineStr">
        <is>
          <t>01a1212c-b7d7-75a5-9654-fc9125cd5996</t>
        </is>
      </c>
      <c r="J14" t="inlineStr">
        <is>
          <t>COSTBASE_INCREASE</t>
        </is>
      </c>
      <c r="K14" t="inlineStr">
        <is>
          <t>AUD</t>
        </is>
      </c>
      <c r="L14" t="n">
        <v>7.49</v>
      </c>
    </row>
    <row r="15">
      <c r="A15" s="5" t="inlineStr">
        <is>
          <t>01a1212c-b8e6-7672-b53c-d7dc1b96de92</t>
        </is>
      </c>
      <c r="B15" t="inlineStr">
        <is>
          <t>AS002-DISCOUNTED_NTAP</t>
        </is>
      </c>
      <c r="D15" s="5" t="inlineStr">
        <is>
          <t>01a1212c-4b57-70cf-80fd-c2192cb3bf81</t>
        </is>
      </c>
      <c r="E15" s="4" t="n">
        <v>46304.62432267042</v>
      </c>
      <c r="F15" s="4" t="n">
        <v>46304.6243226705</v>
      </c>
      <c r="G15" t="b">
        <v>1</v>
      </c>
      <c r="H15" t="n">
        <v/>
      </c>
      <c r="I15" s="5" t="inlineStr">
        <is>
          <t>01a1212c-b7d7-75a5-9654-fc9125cd5996</t>
        </is>
      </c>
      <c r="J15" t="inlineStr">
        <is>
          <t>DISCOUNTED_NTAP</t>
        </is>
      </c>
      <c r="K15" t="inlineStr">
        <is>
          <t>AUD</t>
        </is>
      </c>
      <c r="L15" t="n">
        <v>6.16</v>
      </c>
    </row>
    <row r="16">
      <c r="A16" s="5" t="inlineStr">
        <is>
          <t>01a1212c-b8f3-7645-ad2d-06108d0b4963</t>
        </is>
      </c>
      <c r="B16" t="inlineStr">
        <is>
          <t>AS002-FOREIGN_INCOME_TAX_OFFSET</t>
        </is>
      </c>
      <c r="D16" s="5" t="inlineStr">
        <is>
          <t>01a1212c-4b57-70cf-80fd-c2192cb3bf81</t>
        </is>
      </c>
      <c r="E16" s="4" t="n">
        <v>46304.62432281685</v>
      </c>
      <c r="F16" s="4" t="n">
        <v>46304.62432281692</v>
      </c>
      <c r="G16" t="b">
        <v>1</v>
      </c>
      <c r="H16" t="n">
        <v/>
      </c>
      <c r="I16" s="5" t="inlineStr">
        <is>
          <t>01a1212c-b7d7-75a5-9654-fc9125cd5996</t>
        </is>
      </c>
      <c r="J16" t="inlineStr">
        <is>
          <t>FOREIGN_INCOME_TAX_OFFSET</t>
        </is>
      </c>
      <c r="K16" t="inlineStr">
        <is>
          <t>AUD</t>
        </is>
      </c>
      <c r="L16" t="n">
        <v>7.44</v>
      </c>
    </row>
    <row r="17">
      <c r="A17" s="5" t="inlineStr">
        <is>
          <t>01a1212c-b8ed-7087-ba55-f3a524cb03a3</t>
        </is>
      </c>
      <c r="B17" t="inlineStr">
        <is>
          <t>AS002-FOREIGN_SOURCE_INCOME</t>
        </is>
      </c>
      <c r="D17" s="5" t="inlineStr">
        <is>
          <t>01a1212c-4b57-70cf-80fd-c2192cb3bf81</t>
        </is>
      </c>
      <c r="E17" s="4" t="n">
        <v>46304.62432275337</v>
      </c>
      <c r="F17" s="4" t="n">
        <v>46304.62432275345</v>
      </c>
      <c r="G17" t="b">
        <v>1</v>
      </c>
      <c r="H17" t="n">
        <v/>
      </c>
      <c r="I17" s="5" t="inlineStr">
        <is>
          <t>01a1212c-b7d7-75a5-9654-fc9125cd5996</t>
        </is>
      </c>
      <c r="J17" t="inlineStr">
        <is>
          <t>FOREIGN_SOURCE_INCOME</t>
        </is>
      </c>
      <c r="K17" t="inlineStr">
        <is>
          <t>AUD</t>
        </is>
      </c>
      <c r="L17" t="n">
        <v>74.41</v>
      </c>
    </row>
    <row r="18">
      <c r="A18" s="5" t="inlineStr">
        <is>
          <t>01a1212c-b8ef-701d-a4d4-db85a240ecaa</t>
        </is>
      </c>
      <c r="B18" t="inlineStr">
        <is>
          <t>AS002-INTEREST</t>
        </is>
      </c>
      <c r="D18" s="5" t="inlineStr">
        <is>
          <t>01a1212c-4b57-70cf-80fd-c2192cb3bf81</t>
        </is>
      </c>
      <c r="E18" s="4" t="n">
        <v>46304.62432277387</v>
      </c>
      <c r="F18" s="4" t="n">
        <v>46304.62432277395</v>
      </c>
      <c r="G18" t="b">
        <v>1</v>
      </c>
      <c r="H18" t="n">
        <v/>
      </c>
      <c r="I18" s="5" t="inlineStr">
        <is>
          <t>01a1212c-b7d7-75a5-9654-fc9125cd5996</t>
        </is>
      </c>
      <c r="J18" t="inlineStr">
        <is>
          <t>INTEREST</t>
        </is>
      </c>
      <c r="K18" t="inlineStr">
        <is>
          <t>AUD</t>
        </is>
      </c>
      <c r="L18" t="n">
        <v>3.96</v>
      </c>
    </row>
    <row r="19">
      <c r="A19" s="5" t="inlineStr">
        <is>
          <t>01a1212c-b8e8-7220-a9cc-f37fe29bab91</t>
        </is>
      </c>
      <c r="B19" t="inlineStr">
        <is>
          <t>AS002-OTHER_NTAP</t>
        </is>
      </c>
      <c r="D19" s="5" t="inlineStr">
        <is>
          <t>01a1212c-4b57-70cf-80fd-c2192cb3bf81</t>
        </is>
      </c>
      <c r="E19" s="4" t="n">
        <v>46304.6243226905</v>
      </c>
      <c r="F19" s="4" t="n">
        <v>46304.62432269058</v>
      </c>
      <c r="G19" t="b">
        <v>1</v>
      </c>
      <c r="H19" t="n">
        <v/>
      </c>
      <c r="I19" s="5" t="inlineStr">
        <is>
          <t>01a1212c-b7d7-75a5-9654-fc9125cd5996</t>
        </is>
      </c>
      <c r="J19" t="inlineStr">
        <is>
          <t>OTHER_NTAP</t>
        </is>
      </c>
      <c r="K19" t="inlineStr">
        <is>
          <t>AUD</t>
        </is>
      </c>
      <c r="L19" t="n">
        <v>2.11</v>
      </c>
    </row>
    <row r="20">
      <c r="A20" s="5" t="inlineStr">
        <is>
          <t>01a1212c-b8eb-762b-ab18-763f5d94f444</t>
        </is>
      </c>
      <c r="B20" t="inlineStr">
        <is>
          <t>AS002-TOTAL_CY_CG</t>
        </is>
      </c>
      <c r="D20" s="5" t="inlineStr">
        <is>
          <t>01a1212c-4b57-70cf-80fd-c2192cb3bf81</t>
        </is>
      </c>
      <c r="E20" s="4" t="n">
        <v>46304.62432273076</v>
      </c>
      <c r="F20" s="4" t="n">
        <v>46304.62432273084</v>
      </c>
      <c r="G20" t="b">
        <v>1</v>
      </c>
      <c r="H20" t="n">
        <v/>
      </c>
      <c r="I20" s="5" t="inlineStr">
        <is>
          <t>01a1212c-b7d7-75a5-9654-fc9125cd5996</t>
        </is>
      </c>
      <c r="J20" t="inlineStr">
        <is>
          <t>TOTAL_CY_CG</t>
        </is>
      </c>
      <c r="K20" t="inlineStr">
        <is>
          <t>AUD</t>
        </is>
      </c>
      <c r="L20" t="n">
        <v>14.43</v>
      </c>
    </row>
    <row r="21">
      <c r="A21" s="5" t="inlineStr">
        <is>
          <t>01a1212c-b8f1-775f-ac77-6c0590bcb68d</t>
        </is>
      </c>
      <c r="B21" t="inlineStr">
        <is>
          <t>AS002-UNFRANKED_DISTRIBUTION</t>
        </is>
      </c>
      <c r="D21" s="5" t="inlineStr">
        <is>
          <t>01a1212c-4b57-70cf-80fd-c2192cb3bf81</t>
        </is>
      </c>
      <c r="E21" s="4" t="n">
        <v>46304.62432279604</v>
      </c>
      <c r="F21" s="4" t="n">
        <v>46304.62432279612</v>
      </c>
      <c r="G21" t="b">
        <v>1</v>
      </c>
      <c r="H21" t="n">
        <v/>
      </c>
      <c r="I21" s="5" t="inlineStr">
        <is>
          <t>01a1212c-b7d7-75a5-9654-fc9125cd5996</t>
        </is>
      </c>
      <c r="J21" t="inlineStr">
        <is>
          <t>UNFRANKED_DISTRIBUTION</t>
        </is>
      </c>
      <c r="K21" t="inlineStr">
        <is>
          <t>AUD</t>
        </is>
      </c>
      <c r="L21" t="n">
        <v>0.79</v>
      </c>
    </row>
    <row r="22">
      <c r="A22" s="5" t="inlineStr">
        <is>
          <t>01a1212c-b8fa-7296-98c7-c9eeddccb387</t>
        </is>
      </c>
      <c r="B22" t="inlineStr">
        <is>
          <t>AS003-AMIT_GROSS_UP</t>
        </is>
      </c>
      <c r="D22" s="5" t="inlineStr">
        <is>
          <t>01a1212c-4b57-70cf-80fd-c2192cb3bf81</t>
        </is>
      </c>
      <c r="E22" s="4" t="n">
        <v>46304.6243228993</v>
      </c>
      <c r="F22" s="4" t="n">
        <v>46304.62432289938</v>
      </c>
      <c r="G22" t="b">
        <v>1</v>
      </c>
      <c r="H22" t="n">
        <v/>
      </c>
      <c r="I22" s="5" t="inlineStr">
        <is>
          <t>01a1212c-b7e4-7014-80c7-ee711ab72824</t>
        </is>
      </c>
      <c r="J22" t="inlineStr">
        <is>
          <t>AMIT_GROSS_UP</t>
        </is>
      </c>
      <c r="K22" t="inlineStr">
        <is>
          <t>AUD</t>
        </is>
      </c>
      <c r="L22" t="n">
        <v>46.6</v>
      </c>
    </row>
    <row r="23">
      <c r="A23" s="5" t="inlineStr">
        <is>
          <t>01a1212c-b908-7194-ad5d-3acea37a20c3</t>
        </is>
      </c>
      <c r="B23" t="inlineStr">
        <is>
          <t>AS003-COSTBASE_DECREASE</t>
        </is>
      </c>
      <c r="D23" s="5" t="inlineStr">
        <is>
          <t>01a1212c-4b57-70cf-80fd-c2192cb3bf81</t>
        </is>
      </c>
      <c r="E23" s="4" t="n">
        <v>46304.62432306567</v>
      </c>
      <c r="F23" s="4" t="n">
        <v>46304.62432306575</v>
      </c>
      <c r="G23" t="b">
        <v>1</v>
      </c>
      <c r="H23" t="n">
        <v/>
      </c>
      <c r="I23" s="5" t="inlineStr">
        <is>
          <t>01a1212c-b7e4-7014-80c7-ee711ab72824</t>
        </is>
      </c>
      <c r="J23" t="inlineStr">
        <is>
          <t>COSTBASE_DECREASE</t>
        </is>
      </c>
      <c r="K23" t="inlineStr">
        <is>
          <t>AUD</t>
        </is>
      </c>
      <c r="L23" t="n">
        <v>67.83</v>
      </c>
    </row>
    <row r="24">
      <c r="A24" s="5" t="inlineStr">
        <is>
          <t>01a1212c-b8f6-77f8-a470-4f318542370b</t>
        </is>
      </c>
      <c r="B24" t="inlineStr">
        <is>
          <t>AS003-DISCOUNTED_NTAP</t>
        </is>
      </c>
      <c r="D24" s="5" t="inlineStr">
        <is>
          <t>01a1212c-4b57-70cf-80fd-c2192cb3bf81</t>
        </is>
      </c>
      <c r="E24" s="4" t="n">
        <v>46304.62432285911</v>
      </c>
      <c r="F24" s="4" t="n">
        <v>46304.62432285918</v>
      </c>
      <c r="G24" t="b">
        <v>1</v>
      </c>
      <c r="H24" t="n">
        <v/>
      </c>
      <c r="I24" s="5" t="inlineStr">
        <is>
          <t>01a1212c-b7e4-7014-80c7-ee711ab72824</t>
        </is>
      </c>
      <c r="J24" t="inlineStr">
        <is>
          <t>DISCOUNTED_NTAP</t>
        </is>
      </c>
      <c r="K24" t="inlineStr">
        <is>
          <t>AUD</t>
        </is>
      </c>
      <c r="L24" t="n">
        <v>46.6</v>
      </c>
    </row>
    <row r="25">
      <c r="A25" s="5" t="inlineStr">
        <is>
          <t>01a1212c-b907-774e-bf34-4c8a0f8835e6</t>
        </is>
      </c>
      <c r="B25" t="inlineStr">
        <is>
          <t>AS003-FOREIGN_INCOME_TAX_OFFSET</t>
        </is>
      </c>
      <c r="D25" s="5" t="inlineStr">
        <is>
          <t>01a1212c-4b57-70cf-80fd-c2192cb3bf81</t>
        </is>
      </c>
      <c r="E25" s="4" t="n">
        <v>46304.62432304525</v>
      </c>
      <c r="F25" s="4" t="n">
        <v>46304.62432304531</v>
      </c>
      <c r="G25" t="b">
        <v>1</v>
      </c>
      <c r="H25" t="n">
        <v/>
      </c>
      <c r="I25" s="5" t="inlineStr">
        <is>
          <t>01a1212c-b7e4-7014-80c7-ee711ab72824</t>
        </is>
      </c>
      <c r="J25" t="inlineStr">
        <is>
          <t>FOREIGN_INCOME_TAX_OFFSET</t>
        </is>
      </c>
      <c r="K25" t="inlineStr">
        <is>
          <t>AUD</t>
        </is>
      </c>
      <c r="L25" t="n">
        <v>5.08</v>
      </c>
    </row>
    <row r="26">
      <c r="A26" s="5" t="inlineStr">
        <is>
          <t>01a1212c-b901-7707-bae1-3d22b4187974</t>
        </is>
      </c>
      <c r="B26" t="inlineStr">
        <is>
          <t>AS003-FOREIGN_SOURCE_INCOME</t>
        </is>
      </c>
      <c r="D26" s="5" t="inlineStr">
        <is>
          <t>01a1212c-4b57-70cf-80fd-c2192cb3bf81</t>
        </is>
      </c>
      <c r="E26" s="4" t="n">
        <v>46304.6243229786</v>
      </c>
      <c r="F26" s="4" t="n">
        <v>46304.62432297868</v>
      </c>
      <c r="G26" t="b">
        <v>1</v>
      </c>
      <c r="H26" t="n">
        <v/>
      </c>
      <c r="I26" s="5" t="inlineStr">
        <is>
          <t>01a1212c-b7e4-7014-80c7-ee711ab72824</t>
        </is>
      </c>
      <c r="J26" t="inlineStr">
        <is>
          <t>FOREIGN_SOURCE_INCOME</t>
        </is>
      </c>
      <c r="K26" t="inlineStr">
        <is>
          <t>AUD</t>
        </is>
      </c>
      <c r="L26" t="n">
        <v>50.8</v>
      </c>
    </row>
    <row r="27">
      <c r="A27" s="5" t="inlineStr">
        <is>
          <t>01a1212c-b8fd-71b8-a2fd-62a3ce74cd24</t>
        </is>
      </c>
      <c r="B27" t="inlineStr">
        <is>
          <t>AS003-FRANKED_DISTRIBUTION</t>
        </is>
      </c>
      <c r="D27" s="5" t="inlineStr">
        <is>
          <t>01a1212c-4b57-70cf-80fd-c2192cb3bf81</t>
        </is>
      </c>
      <c r="E27" s="4" t="n">
        <v>46304.62432293889</v>
      </c>
      <c r="F27" s="4" t="n">
        <v>46304.62432293897</v>
      </c>
      <c r="G27" t="b">
        <v>1</v>
      </c>
      <c r="H27" t="n">
        <v/>
      </c>
      <c r="I27" s="5" t="inlineStr">
        <is>
          <t>01a1212c-b7e4-7014-80c7-ee711ab72824</t>
        </is>
      </c>
      <c r="J27" t="inlineStr">
        <is>
          <t>FRANKED_DISTRIBUTION</t>
        </is>
      </c>
      <c r="K27" t="inlineStr">
        <is>
          <t>AUD</t>
        </is>
      </c>
      <c r="L27" t="n">
        <v>566.1</v>
      </c>
    </row>
    <row r="28">
      <c r="A28" s="5" t="inlineStr">
        <is>
          <t>01a1212c-b905-7309-8ae5-146c9f802bd1</t>
        </is>
      </c>
      <c r="B28" t="inlineStr">
        <is>
          <t>AS003-FRANKING_CREDIT</t>
        </is>
      </c>
      <c r="D28" s="5" t="inlineStr">
        <is>
          <t>01a1212c-4b57-70cf-80fd-c2192cb3bf81</t>
        </is>
      </c>
      <c r="E28" s="4" t="n">
        <v>46304.62432302465</v>
      </c>
      <c r="F28" s="4" t="n">
        <v>46304.62432302473</v>
      </c>
      <c r="G28" t="b">
        <v>1</v>
      </c>
      <c r="H28" t="n">
        <v/>
      </c>
      <c r="I28" s="5" t="inlineStr">
        <is>
          <t>01a1212c-b7e4-7014-80c7-ee711ab72824</t>
        </is>
      </c>
      <c r="J28" t="inlineStr">
        <is>
          <t>FRANKING_CREDIT</t>
        </is>
      </c>
      <c r="K28" t="inlineStr">
        <is>
          <t>AUD</t>
        </is>
      </c>
      <c r="L28" t="n">
        <v>242.61</v>
      </c>
    </row>
    <row r="29">
      <c r="A29" s="5" t="inlineStr">
        <is>
          <t>01a1212c-b903-7721-b51f-7e820d23846c</t>
        </is>
      </c>
      <c r="B29" t="inlineStr">
        <is>
          <t>AS003-INTEREST</t>
        </is>
      </c>
      <c r="D29" s="5" t="inlineStr">
        <is>
          <t>01a1212c-4b57-70cf-80fd-c2192cb3bf81</t>
        </is>
      </c>
      <c r="E29" s="4" t="n">
        <v>46304.62432300195</v>
      </c>
      <c r="F29" s="4" t="n">
        <v>46304.62432300203</v>
      </c>
      <c r="G29" t="b">
        <v>1</v>
      </c>
      <c r="H29" t="n">
        <v/>
      </c>
      <c r="I29" s="5" t="inlineStr">
        <is>
          <t>01a1212c-b7e4-7014-80c7-ee711ab72824</t>
        </is>
      </c>
      <c r="J29" t="inlineStr">
        <is>
          <t>INTEREST</t>
        </is>
      </c>
      <c r="K29" t="inlineStr">
        <is>
          <t>AUD</t>
        </is>
      </c>
      <c r="L29" t="n">
        <v>14.52</v>
      </c>
    </row>
    <row r="30">
      <c r="A30" s="5" t="inlineStr">
        <is>
          <t>01a1212c-b8f8-704a-9fba-3e809343fee6</t>
        </is>
      </c>
      <c r="B30" t="inlineStr">
        <is>
          <t>AS003-OTHER_NTAP</t>
        </is>
      </c>
      <c r="D30" s="5" t="inlineStr">
        <is>
          <t>01a1212c-4b57-70cf-80fd-c2192cb3bf81</t>
        </is>
      </c>
      <c r="E30" s="4" t="n">
        <v>46304.62432287914</v>
      </c>
      <c r="F30" s="4" t="n">
        <v>46304.62432287922</v>
      </c>
      <c r="G30" t="b">
        <v>1</v>
      </c>
      <c r="H30" t="n">
        <v/>
      </c>
      <c r="I30" s="5" t="inlineStr">
        <is>
          <t>01a1212c-b7e4-7014-80c7-ee711ab72824</t>
        </is>
      </c>
      <c r="J30" t="inlineStr">
        <is>
          <t>OTHER_NTAP</t>
        </is>
      </c>
      <c r="K30" t="inlineStr">
        <is>
          <t>AUD</t>
        </is>
      </c>
      <c r="L30" t="n">
        <v>2.95</v>
      </c>
    </row>
    <row r="31">
      <c r="A31" s="5" t="inlineStr">
        <is>
          <t>01a1212c-b8fc-772a-a6cd-70cc4817281b</t>
        </is>
      </c>
      <c r="B31" t="inlineStr">
        <is>
          <t>AS003-TOTAL_CY_CG</t>
        </is>
      </c>
      <c r="D31" s="5" t="inlineStr">
        <is>
          <t>01a1212c-4b57-70cf-80fd-c2192cb3bf81</t>
        </is>
      </c>
      <c r="E31" s="4" t="n">
        <v>46304.62432291909</v>
      </c>
      <c r="F31" s="4" t="n">
        <v>46304.62432291917</v>
      </c>
      <c r="G31" t="b">
        <v>1</v>
      </c>
      <c r="H31" t="n">
        <v/>
      </c>
      <c r="I31" s="5" t="inlineStr">
        <is>
          <t>01a1212c-b7e4-7014-80c7-ee711ab72824</t>
        </is>
      </c>
      <c r="J31" t="inlineStr">
        <is>
          <t>TOTAL_CY_CG</t>
        </is>
      </c>
      <c r="K31" t="inlineStr">
        <is>
          <t>AUD</t>
        </is>
      </c>
      <c r="L31" t="n">
        <v>96.15000000000001</v>
      </c>
    </row>
    <row r="32">
      <c r="A32" s="5" t="inlineStr">
        <is>
          <t>01a1212c-b8ff-75a5-86d7-5ef196b3f0e4</t>
        </is>
      </c>
      <c r="B32" t="inlineStr">
        <is>
          <t>AS003-UNFRANKED_DISTRIBUTION</t>
        </is>
      </c>
      <c r="D32" s="5" t="inlineStr">
        <is>
          <t>01a1212c-4b57-70cf-80fd-c2192cb3bf81</t>
        </is>
      </c>
      <c r="E32" s="4" t="n">
        <v>46304.62432295885</v>
      </c>
      <c r="F32" s="4" t="n">
        <v>46304.62432295894</v>
      </c>
      <c r="G32" t="b">
        <v>1</v>
      </c>
      <c r="H32" t="n">
        <v/>
      </c>
      <c r="I32" s="5" t="inlineStr">
        <is>
          <t>01a1212c-b7e4-7014-80c7-ee711ab72824</t>
        </is>
      </c>
      <c r="J32" t="inlineStr">
        <is>
          <t>UNFRANKED_DISTRIBUTION</t>
        </is>
      </c>
      <c r="K32" t="inlineStr">
        <is>
          <t>AUD</t>
        </is>
      </c>
      <c r="L32" t="n">
        <v>94.34999999999999</v>
      </c>
    </row>
    <row r="33">
      <c r="A33" s="5" t="inlineStr">
        <is>
          <t>01a1212c-b90e-70ac-b0f7-c6a0aba173f7</t>
        </is>
      </c>
      <c r="B33" t="inlineStr">
        <is>
          <t>AS004-AMIT_GROSS_UP</t>
        </is>
      </c>
      <c r="D33" s="5" t="inlineStr">
        <is>
          <t>01a1212c-4b57-70cf-80fd-c2192cb3bf81</t>
        </is>
      </c>
      <c r="E33" s="4" t="n">
        <v>46304.62432312679</v>
      </c>
      <c r="F33" s="4" t="n">
        <v>46304.62432312687</v>
      </c>
      <c r="G33" t="b">
        <v>1</v>
      </c>
      <c r="H33" t="n">
        <v/>
      </c>
      <c r="I33" s="5" t="inlineStr">
        <is>
          <t>01a1212c-b7f0-7678-aa3b-5ce28b94d152</t>
        </is>
      </c>
      <c r="J33" t="inlineStr">
        <is>
          <t>AMIT_GROSS_UP</t>
        </is>
      </c>
      <c r="K33" t="inlineStr">
        <is>
          <t>AUD</t>
        </is>
      </c>
      <c r="L33" t="n">
        <v>21.2</v>
      </c>
    </row>
    <row r="34">
      <c r="A34" s="5" t="inlineStr">
        <is>
          <t>01a1212c-b919-70eb-8630-d9b829b5d85d</t>
        </is>
      </c>
      <c r="B34" t="inlineStr">
        <is>
          <t>AS004-COSTBASE_DECREASE</t>
        </is>
      </c>
      <c r="D34" s="5" t="inlineStr">
        <is>
          <t>01a1212c-4b57-70cf-80fd-c2192cb3bf81</t>
        </is>
      </c>
      <c r="E34" s="4" t="n">
        <v>46304.6243232556</v>
      </c>
      <c r="F34" s="4" t="n">
        <v>46304.62432325568</v>
      </c>
      <c r="G34" t="b">
        <v>1</v>
      </c>
      <c r="H34" t="n">
        <v/>
      </c>
      <c r="I34" s="5" t="inlineStr">
        <is>
          <t>01a1212c-b7f0-7678-aa3b-5ce28b94d152</t>
        </is>
      </c>
      <c r="J34" t="inlineStr">
        <is>
          <t>COSTBASE_DECREASE</t>
        </is>
      </c>
      <c r="K34" t="inlineStr">
        <is>
          <t>AUD</t>
        </is>
      </c>
      <c r="L34" t="n">
        <v>60.31</v>
      </c>
    </row>
    <row r="35">
      <c r="A35" s="5" t="inlineStr">
        <is>
          <t>01a1212c-b90a-74ca-8439-e666df866fc0</t>
        </is>
      </c>
      <c r="B35" t="inlineStr">
        <is>
          <t>AS004-DISCOUNTED_NTAP</t>
        </is>
      </c>
      <c r="D35" s="5" t="inlineStr">
        <is>
          <t>01a1212c-4b57-70cf-80fd-c2192cb3bf81</t>
        </is>
      </c>
      <c r="E35" s="4" t="n">
        <v>46304.62432308588</v>
      </c>
      <c r="F35" s="4" t="n">
        <v>46304.62432308596</v>
      </c>
      <c r="G35" t="b">
        <v>1</v>
      </c>
      <c r="H35" t="n">
        <v/>
      </c>
      <c r="I35" s="5" t="inlineStr">
        <is>
          <t>01a1212c-b7f0-7678-aa3b-5ce28b94d152</t>
        </is>
      </c>
      <c r="J35" t="inlineStr">
        <is>
          <t>DISCOUNTED_NTAP</t>
        </is>
      </c>
      <c r="K35" t="inlineStr">
        <is>
          <t>AUD</t>
        </is>
      </c>
      <c r="L35" t="n">
        <v>21.2</v>
      </c>
    </row>
    <row r="36">
      <c r="A36" s="5" t="inlineStr">
        <is>
          <t>01a1212c-b917-72b1-9db5-19ea967cccb9</t>
        </is>
      </c>
      <c r="B36" t="inlineStr">
        <is>
          <t>AS004-FOREIGN_INCOME_TAX_OFFSET</t>
        </is>
      </c>
      <c r="D36" s="5" t="inlineStr">
        <is>
          <t>01a1212c-4b57-70cf-80fd-c2192cb3bf81</t>
        </is>
      </c>
      <c r="E36" s="4" t="n">
        <v>46304.62432323477</v>
      </c>
      <c r="F36" s="4" t="n">
        <v>46304.62432323485</v>
      </c>
      <c r="G36" t="b">
        <v>1</v>
      </c>
      <c r="H36" t="n">
        <v/>
      </c>
      <c r="I36" s="5" t="inlineStr">
        <is>
          <t>01a1212c-b7f0-7678-aa3b-5ce28b94d152</t>
        </is>
      </c>
      <c r="J36" t="inlineStr">
        <is>
          <t>FOREIGN_INCOME_TAX_OFFSET</t>
        </is>
      </c>
      <c r="K36" t="inlineStr">
        <is>
          <t>AUD</t>
        </is>
      </c>
      <c r="L36" t="n">
        <v>42.64</v>
      </c>
    </row>
    <row r="37">
      <c r="A37" s="5" t="inlineStr">
        <is>
          <t>01a1212c-b911-72e3-939e-63fec405cae2</t>
        </is>
      </c>
      <c r="B37" t="inlineStr">
        <is>
          <t>AS004-FOREIGN_SOURCE_INCOME</t>
        </is>
      </c>
      <c r="D37" s="5" t="inlineStr">
        <is>
          <t>01a1212c-4b57-70cf-80fd-c2192cb3bf81</t>
        </is>
      </c>
      <c r="E37" s="4" t="n">
        <v>46304.62432316839</v>
      </c>
      <c r="F37" s="4" t="n">
        <v>46304.62432316847</v>
      </c>
      <c r="G37" t="b">
        <v>1</v>
      </c>
      <c r="H37" t="n">
        <v/>
      </c>
      <c r="I37" s="5" t="inlineStr">
        <is>
          <t>01a1212c-b7f0-7678-aa3b-5ce28b94d152</t>
        </is>
      </c>
      <c r="J37" t="inlineStr">
        <is>
          <t>FOREIGN_SOURCE_INCOME</t>
        </is>
      </c>
      <c r="K37" t="inlineStr">
        <is>
          <t>AUD</t>
        </is>
      </c>
      <c r="L37" t="n">
        <v>426.37</v>
      </c>
    </row>
    <row r="38">
      <c r="A38" s="5" t="inlineStr">
        <is>
          <t>01a1212c-b913-7540-a22c-a0d1c906e616</t>
        </is>
      </c>
      <c r="B38" t="inlineStr">
        <is>
          <t>AS004-INTEREST</t>
        </is>
      </c>
      <c r="D38" s="5" t="inlineStr">
        <is>
          <t>01a1212c-4b57-70cf-80fd-c2192cb3bf81</t>
        </is>
      </c>
      <c r="E38" s="4" t="n">
        <v>46304.62432319199</v>
      </c>
      <c r="F38" s="4" t="n">
        <v>46304.62432319208</v>
      </c>
      <c r="G38" t="b">
        <v>1</v>
      </c>
      <c r="H38" t="n">
        <v/>
      </c>
      <c r="I38" s="5" t="inlineStr">
        <is>
          <t>01a1212c-b7f0-7678-aa3b-5ce28b94d152</t>
        </is>
      </c>
      <c r="J38" t="inlineStr">
        <is>
          <t>INTEREST</t>
        </is>
      </c>
      <c r="K38" t="inlineStr">
        <is>
          <t>AUD</t>
        </is>
      </c>
      <c r="L38" t="n">
        <v>22.68</v>
      </c>
    </row>
    <row r="39">
      <c r="A39" s="5" t="inlineStr">
        <is>
          <t>01a1212c-b90c-755f-a2f7-f6eb75ff62fb</t>
        </is>
      </c>
      <c r="B39" t="inlineStr">
        <is>
          <t>AS004-OTHER_NTAP</t>
        </is>
      </c>
      <c r="D39" s="5" t="inlineStr">
        <is>
          <t>01a1212c-4b57-70cf-80fd-c2192cb3bf81</t>
        </is>
      </c>
      <c r="E39" s="4" t="n">
        <v>46304.6243231063</v>
      </c>
      <c r="F39" s="4" t="n">
        <v>46304.62432310639</v>
      </c>
      <c r="G39" t="b">
        <v>1</v>
      </c>
      <c r="H39" t="n">
        <v/>
      </c>
      <c r="I39" s="5" t="inlineStr">
        <is>
          <t>01a1212c-b7f0-7678-aa3b-5ce28b94d152</t>
        </is>
      </c>
      <c r="J39" t="inlineStr">
        <is>
          <t>OTHER_NTAP</t>
        </is>
      </c>
      <c r="K39" t="inlineStr">
        <is>
          <t>AUD</t>
        </is>
      </c>
      <c r="L39" t="n">
        <v>7.1</v>
      </c>
    </row>
    <row r="40">
      <c r="A40" s="5" t="inlineStr">
        <is>
          <t>01a1212c-b90f-76fc-9e72-d88b53ece658</t>
        </is>
      </c>
      <c r="B40" t="inlineStr">
        <is>
          <t>AS004-TOTAL_CY_CG</t>
        </is>
      </c>
      <c r="D40" s="5" t="inlineStr">
        <is>
          <t>01a1212c-4b57-70cf-80fd-c2192cb3bf81</t>
        </is>
      </c>
      <c r="E40" s="4" t="n">
        <v>46304.62432314744</v>
      </c>
      <c r="F40" s="4" t="n">
        <v>46304.62432314752</v>
      </c>
      <c r="G40" t="b">
        <v>1</v>
      </c>
      <c r="H40" t="n">
        <v/>
      </c>
      <c r="I40" s="5" t="inlineStr">
        <is>
          <t>01a1212c-b7f0-7678-aa3b-5ce28b94d152</t>
        </is>
      </c>
      <c r="J40" t="inlineStr">
        <is>
          <t>TOTAL_CY_CG</t>
        </is>
      </c>
      <c r="K40" t="inlineStr">
        <is>
          <t>AUD</t>
        </is>
      </c>
      <c r="L40" t="n">
        <v>49.5</v>
      </c>
    </row>
    <row r="41">
      <c r="A41" s="5" t="inlineStr">
        <is>
          <t>01a1212c-b915-7748-a1b6-137e45c53031</t>
        </is>
      </c>
      <c r="B41" t="inlineStr">
        <is>
          <t>AS004-UNFRANKED_DISTRIBUTION</t>
        </is>
      </c>
      <c r="D41" s="5" t="inlineStr">
        <is>
          <t>01a1212c-4b57-70cf-80fd-c2192cb3bf81</t>
        </is>
      </c>
      <c r="E41" s="4" t="n">
        <v>46304.62432321306</v>
      </c>
      <c r="F41" s="4" t="n">
        <v>46304.62432321315</v>
      </c>
      <c r="G41" t="b">
        <v>1</v>
      </c>
      <c r="H41" t="n">
        <v/>
      </c>
      <c r="I41" s="5" t="inlineStr">
        <is>
          <t>01a1212c-b7f0-7678-aa3b-5ce28b94d152</t>
        </is>
      </c>
      <c r="J41" t="inlineStr">
        <is>
          <t>UNFRANKED_DISTRIBUTION</t>
        </is>
      </c>
      <c r="K41" t="inlineStr">
        <is>
          <t>AUD</t>
        </is>
      </c>
      <c r="L41" t="n">
        <v>4.54</v>
      </c>
    </row>
    <row r="42">
      <c r="A42" s="5" t="inlineStr">
        <is>
          <t>01a1212c-b920-7755-8f0c-ae95fd2f11da</t>
        </is>
      </c>
      <c r="B42" t="inlineStr">
        <is>
          <t>AS005-AMIT_GROSS_UP</t>
        </is>
      </c>
      <c r="D42" s="5" t="inlineStr">
        <is>
          <t>01a1212c-4b57-70cf-80fd-c2192cb3bf81</t>
        </is>
      </c>
      <c r="E42" s="4" t="n">
        <v>46304.62432333628</v>
      </c>
      <c r="F42" s="4" t="n">
        <v>46304.62432333636</v>
      </c>
      <c r="G42" t="b">
        <v>1</v>
      </c>
      <c r="H42" t="n">
        <v/>
      </c>
      <c r="I42" s="5" t="inlineStr">
        <is>
          <t>01a1212c-b7fb-71e2-a790-02db6b23ff47</t>
        </is>
      </c>
      <c r="J42" t="inlineStr">
        <is>
          <t>AMIT_GROSS_UP</t>
        </is>
      </c>
      <c r="K42" t="inlineStr">
        <is>
          <t>AUD</t>
        </is>
      </c>
      <c r="L42" t="n">
        <v>16.01</v>
      </c>
    </row>
    <row r="43">
      <c r="A43" s="5" t="inlineStr">
        <is>
          <t>01a1212c-b92e-75ae-acc0-68f25ddf1ece</t>
        </is>
      </c>
      <c r="B43" t="inlineStr">
        <is>
          <t>AS005-COSTBASE_INCREASE</t>
        </is>
      </c>
      <c r="D43" s="5" t="inlineStr">
        <is>
          <t>01a1212c-4b57-70cf-80fd-c2192cb3bf81</t>
        </is>
      </c>
      <c r="E43" s="4" t="n">
        <v>46304.62432350655</v>
      </c>
      <c r="F43" s="4" t="n">
        <v>46304.62432350663</v>
      </c>
      <c r="G43" t="b">
        <v>1</v>
      </c>
      <c r="H43" t="n">
        <v/>
      </c>
      <c r="I43" s="5" t="inlineStr">
        <is>
          <t>01a1212c-b7fb-71e2-a790-02db6b23ff47</t>
        </is>
      </c>
      <c r="J43" t="inlineStr">
        <is>
          <t>COSTBASE_INCREASE</t>
        </is>
      </c>
      <c r="K43" t="inlineStr">
        <is>
          <t>AUD</t>
        </is>
      </c>
      <c r="L43" t="n">
        <v>14.66</v>
      </c>
    </row>
    <row r="44">
      <c r="A44" s="5" t="inlineStr">
        <is>
          <t>01a1212c-b91c-77d8-a7b0-68126d823f10</t>
        </is>
      </c>
      <c r="B44" t="inlineStr">
        <is>
          <t>AS005-DISCOUNTED_NTAP</t>
        </is>
      </c>
      <c r="D44" s="5" t="inlineStr">
        <is>
          <t>01a1212c-4b57-70cf-80fd-c2192cb3bf81</t>
        </is>
      </c>
      <c r="E44" s="4" t="n">
        <v>46304.62432329617</v>
      </c>
      <c r="F44" s="4" t="n">
        <v>46304.62432329625</v>
      </c>
      <c r="G44" t="b">
        <v>1</v>
      </c>
      <c r="H44" t="n">
        <v/>
      </c>
      <c r="I44" s="5" t="inlineStr">
        <is>
          <t>01a1212c-b7fb-71e2-a790-02db6b23ff47</t>
        </is>
      </c>
      <c r="J44" t="inlineStr">
        <is>
          <t>DISCOUNTED_NTAP</t>
        </is>
      </c>
      <c r="K44" t="inlineStr">
        <is>
          <t>AUD</t>
        </is>
      </c>
      <c r="L44" t="n">
        <v>14.86</v>
      </c>
    </row>
    <row r="45">
      <c r="A45" s="5" t="inlineStr">
        <is>
          <t>01a1212c-b91a-73c8-8a24-d08667eae328</t>
        </is>
      </c>
      <c r="B45" t="inlineStr">
        <is>
          <t>AS005-DISCOUNTED_TAP</t>
        </is>
      </c>
      <c r="D45" s="5" t="inlineStr">
        <is>
          <t>01a1212c-4b57-70cf-80fd-c2192cb3bf81</t>
        </is>
      </c>
      <c r="E45" s="4" t="n">
        <v>46304.62432327594</v>
      </c>
      <c r="F45" s="4" t="n">
        <v>46304.62432327602</v>
      </c>
      <c r="G45" t="b">
        <v>1</v>
      </c>
      <c r="H45" t="n">
        <v/>
      </c>
      <c r="I45" s="5" t="inlineStr">
        <is>
          <t>01a1212c-b7fb-71e2-a790-02db6b23ff47</t>
        </is>
      </c>
      <c r="J45" t="inlineStr">
        <is>
          <t>DISCOUNTED_TAP</t>
        </is>
      </c>
      <c r="K45" t="inlineStr">
        <is>
          <t>AUD</t>
        </is>
      </c>
      <c r="L45" t="n">
        <v>1.15</v>
      </c>
    </row>
    <row r="46">
      <c r="A46" s="5" t="inlineStr">
        <is>
          <t>01a1212c-b92d-7006-ad64-4fce924bc677</t>
        </is>
      </c>
      <c r="B46" t="inlineStr">
        <is>
          <t>AS005-FOREIGN_INCOME_TAX_OFFSET</t>
        </is>
      </c>
      <c r="D46" s="5" t="inlineStr">
        <is>
          <t>01a1212c-4b57-70cf-80fd-c2192cb3bf81</t>
        </is>
      </c>
      <c r="E46" s="4" t="n">
        <v>46304.62432348595</v>
      </c>
      <c r="F46" s="4" t="n">
        <v>46304.62432348603</v>
      </c>
      <c r="G46" t="b">
        <v>1</v>
      </c>
      <c r="H46" t="n">
        <v/>
      </c>
      <c r="I46" s="5" t="inlineStr">
        <is>
          <t>01a1212c-b7fb-71e2-a790-02db6b23ff47</t>
        </is>
      </c>
      <c r="J46" t="inlineStr">
        <is>
          <t>FOREIGN_INCOME_TAX_OFFSET</t>
        </is>
      </c>
      <c r="K46" t="inlineStr">
        <is>
          <t>AUD</t>
        </is>
      </c>
      <c r="L46" t="n">
        <v>1.85</v>
      </c>
    </row>
    <row r="47">
      <c r="A47" s="5" t="inlineStr">
        <is>
          <t>01a1212c-b927-7176-824d-7f995a2dd90e</t>
        </is>
      </c>
      <c r="B47" t="inlineStr">
        <is>
          <t>AS005-FOREIGN_SOURCE_INCOME</t>
        </is>
      </c>
      <c r="D47" s="5" t="inlineStr">
        <is>
          <t>01a1212c-4b57-70cf-80fd-c2192cb3bf81</t>
        </is>
      </c>
      <c r="E47" s="4" t="n">
        <v>46304.62432342535</v>
      </c>
      <c r="F47" s="4" t="n">
        <v>46304.62432342543</v>
      </c>
      <c r="G47" t="b">
        <v>1</v>
      </c>
      <c r="H47" t="n">
        <v/>
      </c>
      <c r="I47" s="5" t="inlineStr">
        <is>
          <t>01a1212c-b7fb-71e2-a790-02db6b23ff47</t>
        </is>
      </c>
      <c r="J47" t="inlineStr">
        <is>
          <t>FOREIGN_SOURCE_INCOME</t>
        </is>
      </c>
      <c r="K47" t="inlineStr">
        <is>
          <t>AUD</t>
        </is>
      </c>
      <c r="L47" t="n">
        <v>18.46</v>
      </c>
    </row>
    <row r="48">
      <c r="A48" s="5" t="inlineStr">
        <is>
          <t>01a1212c-b924-773d-bbd0-4f439160abd4</t>
        </is>
      </c>
      <c r="B48" t="inlineStr">
        <is>
          <t>AS005-FRANKED_DISTRIBUTION</t>
        </is>
      </c>
      <c r="D48" s="5" t="inlineStr">
        <is>
          <t>01a1212c-4b57-70cf-80fd-c2192cb3bf81</t>
        </is>
      </c>
      <c r="E48" s="4" t="n">
        <v>46304.6243233846</v>
      </c>
      <c r="F48" s="4" t="n">
        <v>46304.62432338469</v>
      </c>
      <c r="G48" t="b">
        <v>1</v>
      </c>
      <c r="H48" t="n">
        <v/>
      </c>
      <c r="I48" s="5" t="inlineStr">
        <is>
          <t>01a1212c-b7fb-71e2-a790-02db6b23ff47</t>
        </is>
      </c>
      <c r="J48" t="inlineStr">
        <is>
          <t>FRANKED_DISTRIBUTION</t>
        </is>
      </c>
      <c r="K48" t="inlineStr">
        <is>
          <t>AUD</t>
        </is>
      </c>
      <c r="L48" t="n">
        <v>246.1</v>
      </c>
    </row>
    <row r="49">
      <c r="A49" s="5" t="inlineStr">
        <is>
          <t>01a1212c-b92b-71a0-88a1-ae50312fa3e8</t>
        </is>
      </c>
      <c r="B49" t="inlineStr">
        <is>
          <t>AS005-FRANKING_CREDIT</t>
        </is>
      </c>
      <c r="D49" s="5" t="inlineStr">
        <is>
          <t>01a1212c-4b57-70cf-80fd-c2192cb3bf81</t>
        </is>
      </c>
      <c r="E49" s="4" t="n">
        <v>46304.62432346545</v>
      </c>
      <c r="F49" s="4" t="n">
        <v>46304.62432346553</v>
      </c>
      <c r="G49" t="b">
        <v>1</v>
      </c>
      <c r="H49" t="n">
        <v/>
      </c>
      <c r="I49" s="5" t="inlineStr">
        <is>
          <t>01a1212c-b7fb-71e2-a790-02db6b23ff47</t>
        </is>
      </c>
      <c r="J49" t="inlineStr">
        <is>
          <t>FRANKING_CREDIT</t>
        </is>
      </c>
      <c r="K49" t="inlineStr">
        <is>
          <t>AUD</t>
        </is>
      </c>
      <c r="L49" t="n">
        <v>105.47</v>
      </c>
    </row>
    <row r="50">
      <c r="A50" s="5" t="inlineStr">
        <is>
          <t>01a1212c-b929-7019-adaa-bcbdec020f08</t>
        </is>
      </c>
      <c r="B50" t="inlineStr">
        <is>
          <t>AS005-INTEREST</t>
        </is>
      </c>
      <c r="D50" s="5" t="inlineStr">
        <is>
          <t>01a1212c-4b57-70cf-80fd-c2192cb3bf81</t>
        </is>
      </c>
      <c r="E50" s="4" t="n">
        <v>46304.62432344518</v>
      </c>
      <c r="F50" s="4" t="n">
        <v>46304.62432344526</v>
      </c>
      <c r="G50" t="b">
        <v>1</v>
      </c>
      <c r="H50" t="n">
        <v/>
      </c>
      <c r="I50" s="5" t="inlineStr">
        <is>
          <t>01a1212c-b7fb-71e2-a790-02db6b23ff47</t>
        </is>
      </c>
      <c r="J50" t="inlineStr">
        <is>
          <t>INTEREST</t>
        </is>
      </c>
      <c r="K50" t="inlineStr">
        <is>
          <t>AUD</t>
        </is>
      </c>
      <c r="L50" t="n">
        <v>6.15</v>
      </c>
    </row>
    <row r="51">
      <c r="A51" s="5" t="inlineStr">
        <is>
          <t>01a1212c-b91e-7772-864c-032e5fedafd0</t>
        </is>
      </c>
      <c r="B51" t="inlineStr">
        <is>
          <t>AS005-OTHER_NTAP</t>
        </is>
      </c>
      <c r="D51" s="5" t="inlineStr">
        <is>
          <t>01a1212c-4b57-70cf-80fd-c2192cb3bf81</t>
        </is>
      </c>
      <c r="E51" s="4" t="n">
        <v>46304.62432331636</v>
      </c>
      <c r="F51" s="4" t="n">
        <v>46304.62432331642</v>
      </c>
      <c r="G51" t="b">
        <v>1</v>
      </c>
      <c r="H51" t="n">
        <v/>
      </c>
      <c r="I51" s="5" t="inlineStr">
        <is>
          <t>01a1212c-b7fb-71e2-a790-02db6b23ff47</t>
        </is>
      </c>
      <c r="J51" t="inlineStr">
        <is>
          <t>OTHER_NTAP</t>
        </is>
      </c>
      <c r="K51" t="inlineStr">
        <is>
          <t>AUD</t>
        </is>
      </c>
      <c r="L51" t="n">
        <v>1.6</v>
      </c>
    </row>
    <row r="52">
      <c r="A52" s="5" t="inlineStr">
        <is>
          <t>01a1212c-b922-74d2-82f2-542c7970192e</t>
        </is>
      </c>
      <c r="B52" t="inlineStr">
        <is>
          <t>AS005-TOTAL_CY_CG</t>
        </is>
      </c>
      <c r="D52" s="5" t="inlineStr">
        <is>
          <t>01a1212c-4b57-70cf-80fd-c2192cb3bf81</t>
        </is>
      </c>
      <c r="E52" s="4" t="n">
        <v>46304.62432335888</v>
      </c>
      <c r="F52" s="4" t="n">
        <v>46304.62432335896</v>
      </c>
      <c r="G52" t="b">
        <v>1</v>
      </c>
      <c r="H52" t="n">
        <v/>
      </c>
      <c r="I52" s="5" t="inlineStr">
        <is>
          <t>01a1212c-b7fb-71e2-a790-02db6b23ff47</t>
        </is>
      </c>
      <c r="J52" t="inlineStr">
        <is>
          <t>TOTAL_CY_CG</t>
        </is>
      </c>
      <c r="K52" t="inlineStr">
        <is>
          <t>AUD</t>
        </is>
      </c>
      <c r="L52" t="n">
        <v>33.62</v>
      </c>
    </row>
    <row r="53">
      <c r="A53" s="5" t="inlineStr">
        <is>
          <t>01a1212c-b926-7496-91e1-5ab4e8d16bcb</t>
        </is>
      </c>
      <c r="B53" t="inlineStr">
        <is>
          <t>AS005-UNFRANKED_DISTRIBUTION</t>
        </is>
      </c>
      <c r="D53" s="5" t="inlineStr">
        <is>
          <t>01a1212c-4b57-70cf-80fd-c2192cb3bf81</t>
        </is>
      </c>
      <c r="E53" s="4" t="n">
        <v>46304.62432340525</v>
      </c>
      <c r="F53" s="4" t="n">
        <v>46304.62432340533</v>
      </c>
      <c r="G53" t="b">
        <v>1</v>
      </c>
      <c r="H53" t="n">
        <v/>
      </c>
      <c r="I53" s="5" t="inlineStr">
        <is>
          <t>01a1212c-b7fb-71e2-a790-02db6b23ff47</t>
        </is>
      </c>
      <c r="J53" t="inlineStr">
        <is>
          <t>UNFRANKED_DISTRIBUTION</t>
        </is>
      </c>
      <c r="K53" t="inlineStr">
        <is>
          <t>AUD</t>
        </is>
      </c>
      <c r="L53" t="n">
        <v>36.91</v>
      </c>
    </row>
    <row r="54">
      <c r="A54" s="5" t="inlineStr">
        <is>
          <t>01a1212c-b934-77c0-9fdb-2d6f3fe57345</t>
        </is>
      </c>
      <c r="B54" t="inlineStr">
        <is>
          <t>AS006-AMIT_GROSS_UP</t>
        </is>
      </c>
      <c r="D54" s="5" t="inlineStr">
        <is>
          <t>01a1212c-4b57-70cf-80fd-c2192cb3bf81</t>
        </is>
      </c>
      <c r="E54" s="4" t="n">
        <v>46304.62432357595</v>
      </c>
      <c r="F54" s="4" t="n">
        <v>46304.62432357602</v>
      </c>
      <c r="G54" t="b">
        <v>1</v>
      </c>
      <c r="H54" t="n">
        <v/>
      </c>
      <c r="I54" s="5" t="inlineStr">
        <is>
          <t>01a1212c-b807-7539-b296-81b8c62c6ad8</t>
        </is>
      </c>
      <c r="J54" t="inlineStr">
        <is>
          <t>AMIT_GROSS_UP</t>
        </is>
      </c>
      <c r="K54" t="inlineStr">
        <is>
          <t>AUD</t>
        </is>
      </c>
      <c r="L54" t="n">
        <v>45.31</v>
      </c>
    </row>
    <row r="55">
      <c r="A55" s="5" t="inlineStr">
        <is>
          <t>01a1212c-b943-7571-a5c4-cea578cdfa91</t>
        </is>
      </c>
      <c r="B55" t="inlineStr">
        <is>
          <t>AS006-COSTBASE_INCREASE</t>
        </is>
      </c>
      <c r="D55" s="5" t="inlineStr">
        <is>
          <t>01a1212c-4b57-70cf-80fd-c2192cb3bf81</t>
        </is>
      </c>
      <c r="E55" s="4" t="n">
        <v>46304.62432374587</v>
      </c>
      <c r="F55" s="4" t="n">
        <v>46304.62432374595</v>
      </c>
      <c r="G55" t="b">
        <v>1</v>
      </c>
      <c r="H55" t="n">
        <v/>
      </c>
      <c r="I55" s="5" t="inlineStr">
        <is>
          <t>01a1212c-b807-7539-b296-81b8c62c6ad8</t>
        </is>
      </c>
      <c r="J55" t="inlineStr">
        <is>
          <t>COSTBASE_INCREASE</t>
        </is>
      </c>
      <c r="K55" t="inlineStr">
        <is>
          <t>AUD</t>
        </is>
      </c>
      <c r="L55" t="n">
        <v>54.17</v>
      </c>
    </row>
    <row r="56">
      <c r="A56" s="5" t="inlineStr">
        <is>
          <t>01a1212c-b930-7254-9290-8471a20698d5</t>
        </is>
      </c>
      <c r="B56" t="inlineStr">
        <is>
          <t>AS006-DISCOUNTED_NTAP</t>
        </is>
      </c>
      <c r="D56" s="5" t="inlineStr">
        <is>
          <t>01a1212c-4b57-70cf-80fd-c2192cb3bf81</t>
        </is>
      </c>
      <c r="E56" s="4" t="n">
        <v>46304.62432352725</v>
      </c>
      <c r="F56" s="4" t="n">
        <v>46304.62432352733</v>
      </c>
      <c r="G56" t="b">
        <v>1</v>
      </c>
      <c r="H56" t="n">
        <v/>
      </c>
      <c r="I56" s="5" t="inlineStr">
        <is>
          <t>01a1212c-b807-7539-b296-81b8c62c6ad8</t>
        </is>
      </c>
      <c r="J56" t="inlineStr">
        <is>
          <t>DISCOUNTED_NTAP</t>
        </is>
      </c>
      <c r="K56" t="inlineStr">
        <is>
          <t>AUD</t>
        </is>
      </c>
      <c r="L56" t="n">
        <v>45.31</v>
      </c>
    </row>
    <row r="57">
      <c r="A57" s="5" t="inlineStr">
        <is>
          <t>01a1212c-b941-7418-8652-645163529525</t>
        </is>
      </c>
      <c r="B57" t="inlineStr">
        <is>
          <t>AS006-FOREIGN_INCOME_TAX_OFFSET</t>
        </is>
      </c>
      <c r="D57" s="5" t="inlineStr">
        <is>
          <t>01a1212c-4b57-70cf-80fd-c2192cb3bf81</t>
        </is>
      </c>
      <c r="E57" s="4" t="n">
        <v>46304.62432372293</v>
      </c>
      <c r="F57" s="4" t="n">
        <v>46304.62432372301</v>
      </c>
      <c r="G57" t="b">
        <v>1</v>
      </c>
      <c r="H57" t="n">
        <v/>
      </c>
      <c r="I57" s="5" t="inlineStr">
        <is>
          <t>01a1212c-b807-7539-b296-81b8c62c6ad8</t>
        </is>
      </c>
      <c r="J57" t="inlineStr">
        <is>
          <t>FOREIGN_INCOME_TAX_OFFSET</t>
        </is>
      </c>
      <c r="K57" t="inlineStr">
        <is>
          <t>AUD</t>
        </is>
      </c>
      <c r="L57" t="n">
        <v>10.79</v>
      </c>
    </row>
    <row r="58">
      <c r="A58" s="5" t="inlineStr">
        <is>
          <t>01a1212c-b93c-726c-a152-a294d15ef5a8</t>
        </is>
      </c>
      <c r="B58" t="inlineStr">
        <is>
          <t>AS006-FOREIGN_SOURCE_INCOME</t>
        </is>
      </c>
      <c r="D58" s="5" t="inlineStr">
        <is>
          <t>01a1212c-4b57-70cf-80fd-c2192cb3bf81</t>
        </is>
      </c>
      <c r="E58" s="4" t="n">
        <v>46304.62432365906</v>
      </c>
      <c r="F58" s="4" t="n">
        <v>46304.62432365914</v>
      </c>
      <c r="G58" t="b">
        <v>1</v>
      </c>
      <c r="H58" t="n">
        <v/>
      </c>
      <c r="I58" s="5" t="inlineStr">
        <is>
          <t>01a1212c-b807-7539-b296-81b8c62c6ad8</t>
        </is>
      </c>
      <c r="J58" t="inlineStr">
        <is>
          <t>FOREIGN_SOURCE_INCOME</t>
        </is>
      </c>
      <c r="K58" t="inlineStr">
        <is>
          <t>AUD</t>
        </is>
      </c>
      <c r="L58" t="n">
        <v>107.93</v>
      </c>
    </row>
    <row r="59">
      <c r="A59" s="5" t="inlineStr">
        <is>
          <t>01a1212c-b938-7246-a25e-f8bebd856a89</t>
        </is>
      </c>
      <c r="B59" t="inlineStr">
        <is>
          <t>AS006-FRANKED_DISTRIBUTION</t>
        </is>
      </c>
      <c r="D59" s="5" t="inlineStr">
        <is>
          <t>01a1212c-4b57-70cf-80fd-c2192cb3bf81</t>
        </is>
      </c>
      <c r="E59" s="4" t="n">
        <v>46304.6243236178</v>
      </c>
      <c r="F59" s="4" t="n">
        <v>46304.62432361789</v>
      </c>
      <c r="G59" t="b">
        <v>1</v>
      </c>
      <c r="H59" t="n">
        <v/>
      </c>
      <c r="I59" s="5" t="inlineStr">
        <is>
          <t>01a1212c-b807-7539-b296-81b8c62c6ad8</t>
        </is>
      </c>
      <c r="J59" t="inlineStr">
        <is>
          <t>FRANKED_DISTRIBUTION</t>
        </is>
      </c>
      <c r="K59" t="inlineStr">
        <is>
          <t>AUD</t>
        </is>
      </c>
      <c r="L59" t="n">
        <v>1202.59</v>
      </c>
    </row>
    <row r="60">
      <c r="A60" s="5" t="inlineStr">
        <is>
          <t>01a1212c-b93f-74e0-919a-d5fd17e8dfba</t>
        </is>
      </c>
      <c r="B60" t="inlineStr">
        <is>
          <t>AS006-FRANKING_CREDIT</t>
        </is>
      </c>
      <c r="D60" s="5" t="inlineStr">
        <is>
          <t>01a1212c-4b57-70cf-80fd-c2192cb3bf81</t>
        </is>
      </c>
      <c r="E60" s="4" t="n">
        <v>46304.62432369971</v>
      </c>
      <c r="F60" s="4" t="n">
        <v>46304.62432369978</v>
      </c>
      <c r="G60" t="b">
        <v>1</v>
      </c>
      <c r="H60" t="n">
        <v/>
      </c>
      <c r="I60" s="5" t="inlineStr">
        <is>
          <t>01a1212c-b807-7539-b296-81b8c62c6ad8</t>
        </is>
      </c>
      <c r="J60" t="inlineStr">
        <is>
          <t>FRANKING_CREDIT</t>
        </is>
      </c>
      <c r="K60" t="inlineStr">
        <is>
          <t>AUD</t>
        </is>
      </c>
      <c r="L60" t="n">
        <v>515.4</v>
      </c>
    </row>
    <row r="61">
      <c r="A61" s="5" t="inlineStr">
        <is>
          <t>01a1212c-b93d-7346-a96c-dc69dd609b91</t>
        </is>
      </c>
      <c r="B61" t="inlineStr">
        <is>
          <t>AS006-INTEREST</t>
        </is>
      </c>
      <c r="D61" s="5" t="inlineStr">
        <is>
          <t>01a1212c-4b57-70cf-80fd-c2192cb3bf81</t>
        </is>
      </c>
      <c r="E61" s="4" t="n">
        <v>46304.62432367921</v>
      </c>
      <c r="F61" s="4" t="n">
        <v>46304.62432367928</v>
      </c>
      <c r="G61" t="b">
        <v>1</v>
      </c>
      <c r="H61" t="n">
        <v/>
      </c>
      <c r="I61" s="5" t="inlineStr">
        <is>
          <t>01a1212c-b807-7539-b296-81b8c62c6ad8</t>
        </is>
      </c>
      <c r="J61" t="inlineStr">
        <is>
          <t>INTEREST</t>
        </is>
      </c>
      <c r="K61" t="inlineStr">
        <is>
          <t>AUD</t>
        </is>
      </c>
      <c r="L61" t="n">
        <v>30.84</v>
      </c>
    </row>
    <row r="62">
      <c r="A62" s="5" t="inlineStr">
        <is>
          <t>01a1212c-b933-776c-905e-be035b1736f7</t>
        </is>
      </c>
      <c r="B62" t="inlineStr">
        <is>
          <t>AS006-OTHER_NTAP</t>
        </is>
      </c>
      <c r="D62" s="5" t="inlineStr">
        <is>
          <t>01a1212c-4b57-70cf-80fd-c2192cb3bf81</t>
        </is>
      </c>
      <c r="E62" s="4" t="n">
        <v>46304.62432355471</v>
      </c>
      <c r="F62" s="4" t="n">
        <v>46304.6243235548</v>
      </c>
      <c r="G62" t="b">
        <v>1</v>
      </c>
      <c r="H62" t="n">
        <v/>
      </c>
      <c r="I62" s="5" t="inlineStr">
        <is>
          <t>01a1212c-b807-7539-b296-81b8c62c6ad8</t>
        </is>
      </c>
      <c r="J62" t="inlineStr">
        <is>
          <t>OTHER_NTAP</t>
        </is>
      </c>
      <c r="K62" t="inlineStr">
        <is>
          <t>AUD</t>
        </is>
      </c>
      <c r="L62" t="n">
        <v>4.75</v>
      </c>
    </row>
    <row r="63">
      <c r="A63" s="5" t="inlineStr">
        <is>
          <t>01a1212c-b936-73da-99fd-753f4daf2edc</t>
        </is>
      </c>
      <c r="B63" t="inlineStr">
        <is>
          <t>AS006-TOTAL_CY_CG</t>
        </is>
      </c>
      <c r="D63" s="5" t="inlineStr">
        <is>
          <t>01a1212c-4b57-70cf-80fd-c2192cb3bf81</t>
        </is>
      </c>
      <c r="E63" s="4" t="n">
        <v>46304.62432359749</v>
      </c>
      <c r="F63" s="4" t="n">
        <v>46304.62432359757</v>
      </c>
      <c r="G63" t="b">
        <v>1</v>
      </c>
      <c r="H63" t="n">
        <v/>
      </c>
      <c r="I63" s="5" t="inlineStr">
        <is>
          <t>01a1212c-b807-7539-b296-81b8c62c6ad8</t>
        </is>
      </c>
      <c r="J63" t="inlineStr">
        <is>
          <t>TOTAL_CY_CG</t>
        </is>
      </c>
      <c r="K63" t="inlineStr">
        <is>
          <t>AUD</t>
        </is>
      </c>
      <c r="L63" t="n">
        <v>95.37</v>
      </c>
    </row>
    <row r="64">
      <c r="A64" s="5" t="inlineStr">
        <is>
          <t>01a1212c-b93a-71b1-9d8d-566344729cb1</t>
        </is>
      </c>
      <c r="B64" t="inlineStr">
        <is>
          <t>AS006-UNFRANKED_DISTRIBUTION</t>
        </is>
      </c>
      <c r="D64" s="5" t="inlineStr">
        <is>
          <t>01a1212c-4b57-70cf-80fd-c2192cb3bf81</t>
        </is>
      </c>
      <c r="E64" s="4" t="n">
        <v>46304.62432363892</v>
      </c>
      <c r="F64" s="4" t="n">
        <v>46304.62432363901</v>
      </c>
      <c r="G64" t="b">
        <v>1</v>
      </c>
      <c r="H64" t="n">
        <v/>
      </c>
      <c r="I64" s="5" t="inlineStr">
        <is>
          <t>01a1212c-b807-7539-b296-81b8c62c6ad8</t>
        </is>
      </c>
      <c r="J64" t="inlineStr">
        <is>
          <t>UNFRANKED_DISTRIBUTION</t>
        </is>
      </c>
      <c r="K64" t="inlineStr">
        <is>
          <t>AUD</t>
        </is>
      </c>
      <c r="L64" t="n">
        <v>200.43</v>
      </c>
    </row>
    <row r="65">
      <c r="A65" s="5" t="inlineStr">
        <is>
          <t>01a1212c-b948-75a3-8114-678426018a13</t>
        </is>
      </c>
      <c r="B65" t="inlineStr">
        <is>
          <t>AS007-AMIT_GROSS_UP</t>
        </is>
      </c>
      <c r="D65" s="5" t="inlineStr">
        <is>
          <t>01a1212c-4b57-70cf-80fd-c2192cb3bf81</t>
        </is>
      </c>
      <c r="E65" s="4" t="n">
        <v>46304.62432380863</v>
      </c>
      <c r="F65" s="4" t="n">
        <v>46304.62432380871</v>
      </c>
      <c r="G65" t="b">
        <v>1</v>
      </c>
      <c r="H65" t="n">
        <v/>
      </c>
      <c r="I65" s="5" t="inlineStr">
        <is>
          <t>01a1212c-b812-73aa-88d9-eb92d5e91092</t>
        </is>
      </c>
      <c r="J65" t="inlineStr">
        <is>
          <t>AMIT_GROSS_UP</t>
        </is>
      </c>
      <c r="K65" t="inlineStr">
        <is>
          <t>AUD</t>
        </is>
      </c>
      <c r="L65" t="n">
        <v>59.11</v>
      </c>
    </row>
    <row r="66">
      <c r="A66" s="5" t="inlineStr">
        <is>
          <t>01a1212c-b953-7445-928f-abd9b157de3c</t>
        </is>
      </c>
      <c r="B66" t="inlineStr">
        <is>
          <t>AS007-COSTBASE_INCREASE</t>
        </is>
      </c>
      <c r="D66" s="5" t="inlineStr">
        <is>
          <t>01a1212c-4b57-70cf-80fd-c2192cb3bf81</t>
        </is>
      </c>
      <c r="E66" s="4" t="n">
        <v>46304.62432393373</v>
      </c>
      <c r="F66" s="4" t="n">
        <v>46304.62432393379</v>
      </c>
      <c r="G66" t="b">
        <v>1</v>
      </c>
      <c r="H66" t="n">
        <v/>
      </c>
      <c r="I66" s="5" t="inlineStr">
        <is>
          <t>01a1212c-b812-73aa-88d9-eb92d5e91092</t>
        </is>
      </c>
      <c r="J66" t="inlineStr">
        <is>
          <t>COSTBASE_INCREASE</t>
        </is>
      </c>
      <c r="K66" t="inlineStr">
        <is>
          <t>AUD</t>
        </is>
      </c>
      <c r="L66" t="n">
        <v>46.66</v>
      </c>
    </row>
    <row r="67">
      <c r="A67" s="5" t="inlineStr">
        <is>
          <t>01a1212c-b945-7470-a2ac-6274cb3cbb96</t>
        </is>
      </c>
      <c r="B67" t="inlineStr">
        <is>
          <t>AS007-DISCOUNTED_NTAP</t>
        </is>
      </c>
      <c r="D67" s="5" t="inlineStr">
        <is>
          <t>01a1212c-4b57-70cf-80fd-c2192cb3bf81</t>
        </is>
      </c>
      <c r="E67" s="4" t="n">
        <v>46304.62432376709</v>
      </c>
      <c r="F67" s="4" t="n">
        <v>46304.62432376717</v>
      </c>
      <c r="G67" t="b">
        <v>1</v>
      </c>
      <c r="H67" t="n">
        <v/>
      </c>
      <c r="I67" s="5" t="inlineStr">
        <is>
          <t>01a1212c-b812-73aa-88d9-eb92d5e91092</t>
        </is>
      </c>
      <c r="J67" t="inlineStr">
        <is>
          <t>DISCOUNTED_NTAP</t>
        </is>
      </c>
      <c r="K67" t="inlineStr">
        <is>
          <t>AUD</t>
        </is>
      </c>
      <c r="L67" t="n">
        <v>59.11</v>
      </c>
    </row>
    <row r="68">
      <c r="A68" s="5" t="inlineStr">
        <is>
          <t>01a1212c-b951-728d-bed5-06671c686f73</t>
        </is>
      </c>
      <c r="B68" t="inlineStr">
        <is>
          <t>AS007-FOREIGN_INCOME_TAX_OFFSET</t>
        </is>
      </c>
      <c r="D68" s="5" t="inlineStr">
        <is>
          <t>01a1212c-4b57-70cf-80fd-c2192cb3bf81</t>
        </is>
      </c>
      <c r="E68" s="4" t="n">
        <v>46304.62432391153</v>
      </c>
      <c r="F68" s="4" t="n">
        <v>46304.62432391159</v>
      </c>
      <c r="G68" t="b">
        <v>1</v>
      </c>
      <c r="H68" t="n">
        <v/>
      </c>
      <c r="I68" s="5" t="inlineStr">
        <is>
          <t>01a1212c-b812-73aa-88d9-eb92d5e91092</t>
        </is>
      </c>
      <c r="J68" t="inlineStr">
        <is>
          <t>FOREIGN_INCOME_TAX_OFFSET</t>
        </is>
      </c>
      <c r="K68" t="inlineStr">
        <is>
          <t>AUD</t>
        </is>
      </c>
      <c r="L68" t="n">
        <v>118.26</v>
      </c>
    </row>
    <row r="69">
      <c r="A69" s="5" t="inlineStr">
        <is>
          <t>01a1212c-b94c-764b-b71a-ba8a846a4b5f</t>
        </is>
      </c>
      <c r="B69" t="inlineStr">
        <is>
          <t>AS007-FOREIGN_SOURCE_INCOME</t>
        </is>
      </c>
      <c r="D69" s="5" t="inlineStr">
        <is>
          <t>01a1212c-4b57-70cf-80fd-c2192cb3bf81</t>
        </is>
      </c>
      <c r="E69" s="4" t="n">
        <v>46304.62432384818</v>
      </c>
      <c r="F69" s="4" t="n">
        <v>46304.62432384825</v>
      </c>
      <c r="G69" t="b">
        <v>1</v>
      </c>
      <c r="H69" t="n">
        <v/>
      </c>
      <c r="I69" s="5" t="inlineStr">
        <is>
          <t>01a1212c-b812-73aa-88d9-eb92d5e91092</t>
        </is>
      </c>
      <c r="J69" t="inlineStr">
        <is>
          <t>FOREIGN_SOURCE_INCOME</t>
        </is>
      </c>
      <c r="K69" t="inlineStr">
        <is>
          <t>AUD</t>
        </is>
      </c>
      <c r="L69" t="n">
        <v>1182.6</v>
      </c>
    </row>
    <row r="70">
      <c r="A70" s="5" t="inlineStr">
        <is>
          <t>01a1212c-b94e-714a-8a0b-4ddf09affba1</t>
        </is>
      </c>
      <c r="B70" t="inlineStr">
        <is>
          <t>AS007-INTEREST</t>
        </is>
      </c>
      <c r="D70" s="5" t="inlineStr">
        <is>
          <t>01a1212c-4b57-70cf-80fd-c2192cb3bf81</t>
        </is>
      </c>
      <c r="E70" s="4" t="n">
        <v>46304.62432386815</v>
      </c>
      <c r="F70" s="4" t="n">
        <v>46304.62432386821</v>
      </c>
      <c r="G70" t="b">
        <v>1</v>
      </c>
      <c r="H70" t="n">
        <v/>
      </c>
      <c r="I70" s="5" t="inlineStr">
        <is>
          <t>01a1212c-b812-73aa-88d9-eb92d5e91092</t>
        </is>
      </c>
      <c r="J70" t="inlineStr">
        <is>
          <t>INTEREST</t>
        </is>
      </c>
      <c r="K70" t="inlineStr">
        <is>
          <t>AUD</t>
        </is>
      </c>
      <c r="L70" t="n">
        <v>62.9</v>
      </c>
    </row>
    <row r="71">
      <c r="A71" s="5" t="inlineStr">
        <is>
          <t>01a1212c-b947-71c1-989f-f26bd9fc91a9</t>
        </is>
      </c>
      <c r="B71" t="inlineStr">
        <is>
          <t>AS007-OTHER_NTAP</t>
        </is>
      </c>
      <c r="D71" s="5" t="inlineStr">
        <is>
          <t>01a1212c-4b57-70cf-80fd-c2192cb3bf81</t>
        </is>
      </c>
      <c r="E71" s="4" t="n">
        <v>46304.62432378816</v>
      </c>
      <c r="F71" s="4" t="n">
        <v>46304.62432378824</v>
      </c>
      <c r="G71" t="b">
        <v>1</v>
      </c>
      <c r="H71" t="n">
        <v/>
      </c>
      <c r="I71" s="5" t="inlineStr">
        <is>
          <t>01a1212c-b812-73aa-88d9-eb92d5e91092</t>
        </is>
      </c>
      <c r="J71" t="inlineStr">
        <is>
          <t>OTHER_NTAP</t>
        </is>
      </c>
      <c r="K71" t="inlineStr">
        <is>
          <t>AUD</t>
        </is>
      </c>
      <c r="L71" t="n">
        <v>2.75</v>
      </c>
    </row>
    <row r="72">
      <c r="A72" s="5" t="inlineStr">
        <is>
          <t>01a1212c-b94a-7180-97b4-5c14a466d38e</t>
        </is>
      </c>
      <c r="B72" t="inlineStr">
        <is>
          <t>AS007-TOTAL_CY_CG</t>
        </is>
      </c>
      <c r="D72" s="5" t="inlineStr">
        <is>
          <t>01a1212c-4b57-70cf-80fd-c2192cb3bf81</t>
        </is>
      </c>
      <c r="E72" s="4" t="n">
        <v>46304.6243238284</v>
      </c>
      <c r="F72" s="4" t="n">
        <v>46304.62432382847</v>
      </c>
      <c r="G72" t="b">
        <v>1</v>
      </c>
      <c r="H72" t="n">
        <v/>
      </c>
      <c r="I72" s="5" t="inlineStr">
        <is>
          <t>01a1212c-b812-73aa-88d9-eb92d5e91092</t>
        </is>
      </c>
      <c r="J72" t="inlineStr">
        <is>
          <t>TOTAL_CY_CG</t>
        </is>
      </c>
      <c r="K72" t="inlineStr">
        <is>
          <t>AUD</t>
        </is>
      </c>
      <c r="L72" t="n">
        <v>120.97</v>
      </c>
    </row>
    <row r="73">
      <c r="A73" s="5" t="inlineStr">
        <is>
          <t>01a1212c-b950-7313-91b7-c67d9aebbeb0</t>
        </is>
      </c>
      <c r="B73" t="inlineStr">
        <is>
          <t>AS007-UNFRANKED_DISTRIBUTION</t>
        </is>
      </c>
      <c r="D73" s="5" t="inlineStr">
        <is>
          <t>01a1212c-4b57-70cf-80fd-c2192cb3bf81</t>
        </is>
      </c>
      <c r="E73" s="4" t="n">
        <v>46304.62432389035</v>
      </c>
      <c r="F73" s="4" t="n">
        <v>46304.62432389044</v>
      </c>
      <c r="G73" t="b">
        <v>1</v>
      </c>
      <c r="H73" t="n">
        <v/>
      </c>
      <c r="I73" s="5" t="inlineStr">
        <is>
          <t>01a1212c-b812-73aa-88d9-eb92d5e91092</t>
        </is>
      </c>
      <c r="J73" t="inlineStr">
        <is>
          <t>UNFRANKED_DISTRIBUTION</t>
        </is>
      </c>
      <c r="K73" t="inlineStr">
        <is>
          <t>AUD</t>
        </is>
      </c>
      <c r="L73" t="n">
        <v>12.58</v>
      </c>
    </row>
    <row r="74">
      <c r="A74" s="5" t="inlineStr">
        <is>
          <t>01a1212c-b95a-7589-8cc9-020075ee8d51</t>
        </is>
      </c>
      <c r="B74" t="inlineStr">
        <is>
          <t>AS008-AMIT_GROSS_UP</t>
        </is>
      </c>
      <c r="D74" s="5" t="inlineStr">
        <is>
          <t>01a1212c-4b57-70cf-80fd-c2192cb3bf81</t>
        </is>
      </c>
      <c r="E74" s="4" t="n">
        <v>46304.62432401512</v>
      </c>
      <c r="F74" s="4" t="n">
        <v>46304.62432401518</v>
      </c>
      <c r="G74" t="b">
        <v>1</v>
      </c>
      <c r="H74" t="n">
        <v/>
      </c>
      <c r="I74" s="5" t="inlineStr">
        <is>
          <t>01a1212c-b81f-73bc-aa2a-6d9bfaba279d</t>
        </is>
      </c>
      <c r="J74" t="inlineStr">
        <is>
          <t>AMIT_GROSS_UP</t>
        </is>
      </c>
      <c r="K74" t="inlineStr">
        <is>
          <t>AUD</t>
        </is>
      </c>
      <c r="L74" t="n">
        <v>69.42</v>
      </c>
    </row>
    <row r="75">
      <c r="A75" s="5" t="inlineStr">
        <is>
          <t>01a1212c-b969-721b-b0b7-5995fc95cf23</t>
        </is>
      </c>
      <c r="B75" t="inlineStr">
        <is>
          <t>AS008-COSTBASE_INCREASE</t>
        </is>
      </c>
      <c r="D75" s="5" t="inlineStr">
        <is>
          <t>01a1212c-4b57-70cf-80fd-c2192cb3bf81</t>
        </is>
      </c>
      <c r="E75" s="4" t="n">
        <v>46304.62432417966</v>
      </c>
      <c r="F75" s="4" t="n">
        <v>46304.62432417973</v>
      </c>
      <c r="G75" t="b">
        <v>1</v>
      </c>
      <c r="H75" t="n">
        <v/>
      </c>
      <c r="I75" s="5" t="inlineStr">
        <is>
          <t>01a1212c-b81f-73bc-aa2a-6d9bfaba279d</t>
        </is>
      </c>
      <c r="J75" t="inlineStr">
        <is>
          <t>COSTBASE_INCREASE</t>
        </is>
      </c>
      <c r="K75" t="inlineStr">
        <is>
          <t>AUD</t>
        </is>
      </c>
      <c r="L75" t="n">
        <v>54.14</v>
      </c>
    </row>
    <row r="76">
      <c r="A76" s="5" t="inlineStr">
        <is>
          <t>01a1212c-b957-7624-ae51-468f5d842483</t>
        </is>
      </c>
      <c r="B76" t="inlineStr">
        <is>
          <t>AS008-DISCOUNTED_NTAP</t>
        </is>
      </c>
      <c r="D76" s="5" t="inlineStr">
        <is>
          <t>01a1212c-4b57-70cf-80fd-c2192cb3bf81</t>
        </is>
      </c>
      <c r="E76" s="4" t="n">
        <v>46304.62432397466</v>
      </c>
      <c r="F76" s="4" t="n">
        <v>46304.62432397474</v>
      </c>
      <c r="G76" t="b">
        <v>1</v>
      </c>
      <c r="H76" t="n">
        <v/>
      </c>
      <c r="I76" s="5" t="inlineStr">
        <is>
          <t>01a1212c-b81f-73bc-aa2a-6d9bfaba279d</t>
        </is>
      </c>
      <c r="J76" t="inlineStr">
        <is>
          <t>DISCOUNTED_NTAP</t>
        </is>
      </c>
      <c r="K76" t="inlineStr">
        <is>
          <t>AUD</t>
        </is>
      </c>
      <c r="L76" t="n">
        <v>65.95</v>
      </c>
    </row>
    <row r="77">
      <c r="A77" s="5" t="inlineStr">
        <is>
          <t>01a1212c-b955-70de-b03a-c6d2046a8890</t>
        </is>
      </c>
      <c r="B77" t="inlineStr">
        <is>
          <t>AS008-DISCOUNTED_TAP</t>
        </is>
      </c>
      <c r="D77" s="5" t="inlineStr">
        <is>
          <t>01a1212c-4b57-70cf-80fd-c2192cb3bf81</t>
        </is>
      </c>
      <c r="E77" s="4" t="n">
        <v>46304.62432395383</v>
      </c>
      <c r="F77" s="4" t="n">
        <v>46304.6243239539</v>
      </c>
      <c r="G77" t="b">
        <v>1</v>
      </c>
      <c r="H77" t="n">
        <v/>
      </c>
      <c r="I77" s="5" t="inlineStr">
        <is>
          <t>01a1212c-b81f-73bc-aa2a-6d9bfaba279d</t>
        </is>
      </c>
      <c r="J77" t="inlineStr">
        <is>
          <t>DISCOUNTED_TAP</t>
        </is>
      </c>
      <c r="K77" t="inlineStr">
        <is>
          <t>AUD</t>
        </is>
      </c>
      <c r="L77" t="n">
        <v>3.47</v>
      </c>
    </row>
    <row r="78">
      <c r="A78" s="5" t="inlineStr">
        <is>
          <t>01a1212c-b967-73c7-9868-d08dd71ab742</t>
        </is>
      </c>
      <c r="B78" t="inlineStr">
        <is>
          <t>AS008-FOREIGN_INCOME_TAX_OFFSET</t>
        </is>
      </c>
      <c r="D78" s="5" t="inlineStr">
        <is>
          <t>01a1212c-4b57-70cf-80fd-c2192cb3bf81</t>
        </is>
      </c>
      <c r="E78" s="4" t="n">
        <v>46304.62432415903</v>
      </c>
      <c r="F78" s="4" t="n">
        <v>46304.62432415911</v>
      </c>
      <c r="G78" t="b">
        <v>1</v>
      </c>
      <c r="H78" t="n">
        <v/>
      </c>
      <c r="I78" s="5" t="inlineStr">
        <is>
          <t>01a1212c-b81f-73bc-aa2a-6d9bfaba279d</t>
        </is>
      </c>
      <c r="J78" t="inlineStr">
        <is>
          <t>FOREIGN_INCOME_TAX_OFFSET</t>
        </is>
      </c>
      <c r="K78" t="inlineStr">
        <is>
          <t>AUD</t>
        </is>
      </c>
      <c r="L78" t="n">
        <v>6.44</v>
      </c>
    </row>
    <row r="79">
      <c r="A79" s="5" t="inlineStr">
        <is>
          <t>01a1212c-b961-73d7-a365-141e3b599ffb</t>
        </is>
      </c>
      <c r="B79" t="inlineStr">
        <is>
          <t>AS008-FOREIGN_SOURCE_INCOME</t>
        </is>
      </c>
      <c r="D79" s="5" t="inlineStr">
        <is>
          <t>01a1212c-4b57-70cf-80fd-c2192cb3bf81</t>
        </is>
      </c>
      <c r="E79" s="4" t="n">
        <v>46304.62432409637</v>
      </c>
      <c r="F79" s="4" t="n">
        <v>46304.62432409645</v>
      </c>
      <c r="G79" t="b">
        <v>1</v>
      </c>
      <c r="H79" t="n">
        <v/>
      </c>
      <c r="I79" s="5" t="inlineStr">
        <is>
          <t>01a1212c-b81f-73bc-aa2a-6d9bfaba279d</t>
        </is>
      </c>
      <c r="J79" t="inlineStr">
        <is>
          <t>FOREIGN_SOURCE_INCOME</t>
        </is>
      </c>
      <c r="K79" t="inlineStr">
        <is>
          <t>AUD</t>
        </is>
      </c>
      <c r="L79" t="n">
        <v>64.44</v>
      </c>
    </row>
    <row r="80">
      <c r="A80" s="5" t="inlineStr">
        <is>
          <t>01a1212c-b95e-779d-ad5c-71c033a7507c</t>
        </is>
      </c>
      <c r="B80" t="inlineStr">
        <is>
          <t>AS008-FRANKED_DISTRIBUTION</t>
        </is>
      </c>
      <c r="D80" s="5" t="inlineStr">
        <is>
          <t>01a1212c-4b57-70cf-80fd-c2192cb3bf81</t>
        </is>
      </c>
      <c r="E80" s="4" t="n">
        <v>46304.62432405472</v>
      </c>
      <c r="F80" s="4" t="n">
        <v>46304.62432405485</v>
      </c>
      <c r="G80" t="b">
        <v>1</v>
      </c>
      <c r="H80" t="n">
        <v/>
      </c>
      <c r="I80" s="5" t="inlineStr">
        <is>
          <t>01a1212c-b81f-73bc-aa2a-6d9bfaba279d</t>
        </is>
      </c>
      <c r="J80" t="inlineStr">
        <is>
          <t>FRANKED_DISTRIBUTION</t>
        </is>
      </c>
      <c r="K80" t="inlineStr">
        <is>
          <t>AUD</t>
        </is>
      </c>
      <c r="L80" t="n">
        <v>859.2</v>
      </c>
    </row>
    <row r="81">
      <c r="A81" s="5" t="inlineStr">
        <is>
          <t>01a1212c-b965-711a-822e-2c283571c956</t>
        </is>
      </c>
      <c r="B81" t="inlineStr">
        <is>
          <t>AS008-FRANKING_CREDIT</t>
        </is>
      </c>
      <c r="D81" s="5" t="inlineStr">
        <is>
          <t>01a1212c-4b57-70cf-80fd-c2192cb3bf81</t>
        </is>
      </c>
      <c r="E81" s="4" t="n">
        <v>46304.62432413625</v>
      </c>
      <c r="F81" s="4" t="n">
        <v>46304.62432413632</v>
      </c>
      <c r="G81" t="b">
        <v>1</v>
      </c>
      <c r="H81" t="n">
        <v/>
      </c>
      <c r="I81" s="5" t="inlineStr">
        <is>
          <t>01a1212c-b81f-73bc-aa2a-6d9bfaba279d</t>
        </is>
      </c>
      <c r="J81" t="inlineStr">
        <is>
          <t>FRANKING_CREDIT</t>
        </is>
      </c>
      <c r="K81" t="inlineStr">
        <is>
          <t>AUD</t>
        </is>
      </c>
      <c r="L81" t="n">
        <v>368.23</v>
      </c>
    </row>
    <row r="82">
      <c r="A82" s="5" t="inlineStr">
        <is>
          <t>01a1212c-b963-747b-bd92-9edcceb89559</t>
        </is>
      </c>
      <c r="B82" t="inlineStr">
        <is>
          <t>AS008-INTEREST</t>
        </is>
      </c>
      <c r="D82" s="5" t="inlineStr">
        <is>
          <t>01a1212c-4b57-70cf-80fd-c2192cb3bf81</t>
        </is>
      </c>
      <c r="E82" s="4" t="n">
        <v>46304.62432411617</v>
      </c>
      <c r="F82" s="4" t="n">
        <v>46304.62432411625</v>
      </c>
      <c r="G82" t="b">
        <v>1</v>
      </c>
      <c r="H82" t="n">
        <v/>
      </c>
      <c r="I82" s="5" t="inlineStr">
        <is>
          <t>01a1212c-b81f-73bc-aa2a-6d9bfaba279d</t>
        </is>
      </c>
      <c r="J82" t="inlineStr">
        <is>
          <t>INTEREST</t>
        </is>
      </c>
      <c r="K82" t="inlineStr">
        <is>
          <t>AUD</t>
        </is>
      </c>
      <c r="L82" t="n">
        <v>21.48</v>
      </c>
    </row>
    <row r="83">
      <c r="A83" s="5" t="inlineStr">
        <is>
          <t>01a1212c-b959-723c-a2e0-d2c294555cb1</t>
        </is>
      </c>
      <c r="B83" t="inlineStr">
        <is>
          <t>AS008-OTHER_NTAP</t>
        </is>
      </c>
      <c r="D83" s="5" t="inlineStr">
        <is>
          <t>01a1212c-4b57-70cf-80fd-c2192cb3bf81</t>
        </is>
      </c>
      <c r="E83" s="4" t="n">
        <v>46304.62432399513</v>
      </c>
      <c r="F83" s="4" t="n">
        <v>46304.62432399521</v>
      </c>
      <c r="G83" t="b">
        <v>1</v>
      </c>
      <c r="H83" t="n">
        <v/>
      </c>
      <c r="I83" s="5" t="inlineStr">
        <is>
          <t>01a1212c-b81f-73bc-aa2a-6d9bfaba279d</t>
        </is>
      </c>
      <c r="J83" t="inlineStr">
        <is>
          <t>OTHER_NTAP</t>
        </is>
      </c>
      <c r="K83" t="inlineStr">
        <is>
          <t>AUD</t>
        </is>
      </c>
      <c r="L83" t="n">
        <v>16.46</v>
      </c>
    </row>
    <row r="84">
      <c r="A84" s="5" t="inlineStr">
        <is>
          <t>01a1212c-b95c-774a-bb27-d417a4562ae1</t>
        </is>
      </c>
      <c r="B84" t="inlineStr">
        <is>
          <t>AS008-TOTAL_CY_CG</t>
        </is>
      </c>
      <c r="D84" s="5" t="inlineStr">
        <is>
          <t>01a1212c-4b57-70cf-80fd-c2192cb3bf81</t>
        </is>
      </c>
      <c r="E84" s="4" t="n">
        <v>46304.62432403487</v>
      </c>
      <c r="F84" s="4" t="n">
        <v>46304.62432403495</v>
      </c>
      <c r="G84" t="b">
        <v>1</v>
      </c>
      <c r="H84" t="n">
        <v/>
      </c>
      <c r="I84" s="5" t="inlineStr">
        <is>
          <t>01a1212c-b81f-73bc-aa2a-6d9bfaba279d</t>
        </is>
      </c>
      <c r="J84" t="inlineStr">
        <is>
          <t>TOTAL_CY_CG</t>
        </is>
      </c>
      <c r="K84" t="inlineStr">
        <is>
          <t>AUD</t>
        </is>
      </c>
      <c r="L84" t="n">
        <v>155.3</v>
      </c>
    </row>
    <row r="85">
      <c r="A85" s="5" t="inlineStr">
        <is>
          <t>01a1212c-b95f-753a-8284-69bb7a469905</t>
        </is>
      </c>
      <c r="B85" t="inlineStr">
        <is>
          <t>AS008-UNFRANKED_DISTRIBUTION</t>
        </is>
      </c>
      <c r="D85" s="5" t="inlineStr">
        <is>
          <t>01a1212c-4b57-70cf-80fd-c2192cb3bf81</t>
        </is>
      </c>
      <c r="E85" s="4" t="n">
        <v>46304.62432407487</v>
      </c>
      <c r="F85" s="4" t="n">
        <v>46304.62432407495</v>
      </c>
      <c r="G85" t="b">
        <v>1</v>
      </c>
      <c r="H85" t="n">
        <v/>
      </c>
      <c r="I85" s="5" t="inlineStr">
        <is>
          <t>01a1212c-b81f-73bc-aa2a-6d9bfaba279d</t>
        </is>
      </c>
      <c r="J85" t="inlineStr">
        <is>
          <t>UNFRANKED_DISTRIBUTION</t>
        </is>
      </c>
      <c r="K85" t="inlineStr">
        <is>
          <t>AUD</t>
        </is>
      </c>
      <c r="L85" t="n">
        <v>128.88</v>
      </c>
    </row>
    <row r="86">
      <c r="A86" s="5" t="inlineStr">
        <is>
          <t>01a1212c-b96e-7442-be42-3e49367220de</t>
        </is>
      </c>
      <c r="B86" t="inlineStr">
        <is>
          <t>AS009-AMIT_GROSS_UP</t>
        </is>
      </c>
      <c r="D86" s="5" t="inlineStr">
        <is>
          <t>01a1212c-4b57-70cf-80fd-c2192cb3bf81</t>
        </is>
      </c>
      <c r="E86" s="4" t="n">
        <v>46304.62432423992</v>
      </c>
      <c r="F86" s="4" t="n">
        <v>46304.62432423999</v>
      </c>
      <c r="G86" t="b">
        <v>1</v>
      </c>
      <c r="H86" t="n">
        <v/>
      </c>
      <c r="I86" s="5" t="inlineStr">
        <is>
          <t>01a1212c-b82a-722d-ab6d-7b1f460c362a</t>
        </is>
      </c>
      <c r="J86" t="inlineStr">
        <is>
          <t>AMIT_GROSS_UP</t>
        </is>
      </c>
      <c r="K86" t="inlineStr">
        <is>
          <t>AUD</t>
        </is>
      </c>
      <c r="L86" t="n">
        <v>13.27</v>
      </c>
    </row>
    <row r="87">
      <c r="A87" s="5" t="inlineStr">
        <is>
          <t>01a1212c-b97c-74cd-ac98-4511e3bf4fb1</t>
        </is>
      </c>
      <c r="B87" t="inlineStr">
        <is>
          <t>AS009-COSTBASE_INCREASE</t>
        </is>
      </c>
      <c r="D87" s="5" t="inlineStr">
        <is>
          <t>01a1212c-4b57-70cf-80fd-c2192cb3bf81</t>
        </is>
      </c>
      <c r="E87" s="4" t="n">
        <v>46304.62432440594</v>
      </c>
      <c r="F87" s="4" t="n">
        <v>46304.62432440602</v>
      </c>
      <c r="G87" t="b">
        <v>1</v>
      </c>
      <c r="H87" t="n">
        <v/>
      </c>
      <c r="I87" s="5" t="inlineStr">
        <is>
          <t>01a1212c-b82a-722d-ab6d-7b1f460c362a</t>
        </is>
      </c>
      <c r="J87" t="inlineStr">
        <is>
          <t>COSTBASE_INCREASE</t>
        </is>
      </c>
      <c r="K87" t="inlineStr">
        <is>
          <t>AUD</t>
        </is>
      </c>
      <c r="L87" t="n">
        <v>4.41</v>
      </c>
    </row>
    <row r="88">
      <c r="A88" s="5" t="inlineStr">
        <is>
          <t>01a1212c-b96a-74e9-9551-1aba2f5d4905</t>
        </is>
      </c>
      <c r="B88" t="inlineStr">
        <is>
          <t>AS009-DISCOUNTED_NTAP</t>
        </is>
      </c>
      <c r="D88" s="5" t="inlineStr">
        <is>
          <t>01a1212c-4b57-70cf-80fd-c2192cb3bf81</t>
        </is>
      </c>
      <c r="E88" s="4" t="n">
        <v>46304.62432420002</v>
      </c>
      <c r="F88" s="4" t="n">
        <v>46304.62432420011</v>
      </c>
      <c r="G88" t="b">
        <v>1</v>
      </c>
      <c r="H88" t="n">
        <v/>
      </c>
      <c r="I88" s="5" t="inlineStr">
        <is>
          <t>01a1212c-b82a-722d-ab6d-7b1f460c362a</t>
        </is>
      </c>
      <c r="J88" t="inlineStr">
        <is>
          <t>DISCOUNTED_NTAP</t>
        </is>
      </c>
      <c r="K88" t="inlineStr">
        <is>
          <t>AUD</t>
        </is>
      </c>
      <c r="L88" t="n">
        <v>13.27</v>
      </c>
    </row>
    <row r="89">
      <c r="A89" s="5" t="inlineStr">
        <is>
          <t>01a1212c-b97a-776a-a1d0-818e01dfa09d</t>
        </is>
      </c>
      <c r="B89" t="inlineStr">
        <is>
          <t>AS009-FOREIGN_INCOME_TAX_OFFSET</t>
        </is>
      </c>
      <c r="D89" s="5" t="inlineStr">
        <is>
          <t>01a1212c-4b57-70cf-80fd-c2192cb3bf81</t>
        </is>
      </c>
      <c r="E89" s="4" t="n">
        <v>46304.62432438522</v>
      </c>
      <c r="F89" s="4" t="n">
        <v>46304.62432438529</v>
      </c>
      <c r="G89" t="b">
        <v>1</v>
      </c>
      <c r="H89" t="n">
        <v/>
      </c>
      <c r="I89" s="5" t="inlineStr">
        <is>
          <t>01a1212c-b82a-722d-ab6d-7b1f460c362a</t>
        </is>
      </c>
      <c r="J89" t="inlineStr">
        <is>
          <t>FOREIGN_INCOME_TAX_OFFSET</t>
        </is>
      </c>
      <c r="K89" t="inlineStr">
        <is>
          <t>AUD</t>
        </is>
      </c>
      <c r="L89" t="n">
        <v>0.85</v>
      </c>
    </row>
    <row r="90">
      <c r="A90" s="5" t="inlineStr">
        <is>
          <t>01a1212c-b975-7760-80f2-62848bbe26eb</t>
        </is>
      </c>
      <c r="B90" t="inlineStr">
        <is>
          <t>AS009-FOREIGN_SOURCE_INCOME</t>
        </is>
      </c>
      <c r="D90" s="5" t="inlineStr">
        <is>
          <t>01a1212c-4b57-70cf-80fd-c2192cb3bf81</t>
        </is>
      </c>
      <c r="E90" s="4" t="n">
        <v>46304.62432432178</v>
      </c>
      <c r="F90" s="4" t="n">
        <v>46304.62432432186</v>
      </c>
      <c r="G90" t="b">
        <v>1</v>
      </c>
      <c r="H90" t="n">
        <v/>
      </c>
      <c r="I90" s="5" t="inlineStr">
        <is>
          <t>01a1212c-b82a-722d-ab6d-7b1f460c362a</t>
        </is>
      </c>
      <c r="J90" t="inlineStr">
        <is>
          <t>FOREIGN_SOURCE_INCOME</t>
        </is>
      </c>
      <c r="K90" t="inlineStr">
        <is>
          <t>AUD</t>
        </is>
      </c>
      <c r="L90" t="n">
        <v>8.52</v>
      </c>
    </row>
    <row r="91">
      <c r="A91" s="5" t="inlineStr">
        <is>
          <t>01a1212c-b971-729a-88e8-4ac60e153f6a</t>
        </is>
      </c>
      <c r="B91" t="inlineStr">
        <is>
          <t>AS009-FRANKED_DISTRIBUTION</t>
        </is>
      </c>
      <c r="D91" s="5" t="inlineStr">
        <is>
          <t>01a1212c-4b57-70cf-80fd-c2192cb3bf81</t>
        </is>
      </c>
      <c r="E91" s="4" t="n">
        <v>46304.62432428191</v>
      </c>
      <c r="F91" s="4" t="n">
        <v>46304.62432428198</v>
      </c>
      <c r="G91" t="b">
        <v>1</v>
      </c>
      <c r="H91" t="n">
        <v/>
      </c>
      <c r="I91" s="5" t="inlineStr">
        <is>
          <t>01a1212c-b82a-722d-ab6d-7b1f460c362a</t>
        </is>
      </c>
      <c r="J91" t="inlineStr">
        <is>
          <t>FRANKED_DISTRIBUTION</t>
        </is>
      </c>
      <c r="K91" t="inlineStr">
        <is>
          <t>AUD</t>
        </is>
      </c>
      <c r="L91" t="n">
        <v>94.95999999999999</v>
      </c>
    </row>
    <row r="92">
      <c r="A92" s="5" t="inlineStr">
        <is>
          <t>01a1212c-b979-7151-ba7f-2a00b4515009</t>
        </is>
      </c>
      <c r="B92" t="inlineStr">
        <is>
          <t>AS009-FRANKING_CREDIT</t>
        </is>
      </c>
      <c r="D92" s="5" t="inlineStr">
        <is>
          <t>01a1212c-4b57-70cf-80fd-c2192cb3bf81</t>
        </is>
      </c>
      <c r="E92" s="4" t="n">
        <v>46304.6243243651</v>
      </c>
      <c r="F92" s="4" t="n">
        <v>46304.62432436518</v>
      </c>
      <c r="G92" t="b">
        <v>1</v>
      </c>
      <c r="H92" t="n">
        <v/>
      </c>
      <c r="I92" s="5" t="inlineStr">
        <is>
          <t>01a1212c-b82a-722d-ab6d-7b1f460c362a</t>
        </is>
      </c>
      <c r="J92" t="inlineStr">
        <is>
          <t>FRANKING_CREDIT</t>
        </is>
      </c>
      <c r="K92" t="inlineStr">
        <is>
          <t>AUD</t>
        </is>
      </c>
      <c r="L92" t="n">
        <v>40.69</v>
      </c>
    </row>
    <row r="93">
      <c r="A93" s="5" t="inlineStr">
        <is>
          <t>01a1212c-b977-7103-96bf-ed9fe8a8e60f</t>
        </is>
      </c>
      <c r="B93" t="inlineStr">
        <is>
          <t>AS009-INTEREST</t>
        </is>
      </c>
      <c r="D93" s="5" t="inlineStr">
        <is>
          <t>01a1212c-4b57-70cf-80fd-c2192cb3bf81</t>
        </is>
      </c>
      <c r="E93" s="4" t="n">
        <v>46304.62432434465</v>
      </c>
      <c r="F93" s="4" t="n">
        <v>46304.62432434475</v>
      </c>
      <c r="G93" t="b">
        <v>1</v>
      </c>
      <c r="H93" t="n">
        <v/>
      </c>
      <c r="I93" s="5" t="inlineStr">
        <is>
          <t>01a1212c-b82a-722d-ab6d-7b1f460c362a</t>
        </is>
      </c>
      <c r="J93" t="inlineStr">
        <is>
          <t>INTEREST</t>
        </is>
      </c>
      <c r="K93" t="inlineStr">
        <is>
          <t>AUD</t>
        </is>
      </c>
      <c r="L93" t="n">
        <v>2.43</v>
      </c>
    </row>
    <row r="94">
      <c r="A94" s="5" t="inlineStr">
        <is>
          <t>01a1212c-b96c-747a-b2d3-5d50455f3cf7</t>
        </is>
      </c>
      <c r="B94" t="inlineStr">
        <is>
          <t>AS009-OTHER_NTAP</t>
        </is>
      </c>
      <c r="D94" s="5" t="inlineStr">
        <is>
          <t>01a1212c-4b57-70cf-80fd-c2192cb3bf81</t>
        </is>
      </c>
      <c r="E94" s="4" t="n">
        <v>46304.62432422012</v>
      </c>
      <c r="F94" s="4" t="n">
        <v>46304.62432422018</v>
      </c>
      <c r="G94" t="b">
        <v>1</v>
      </c>
      <c r="H94" t="n">
        <v/>
      </c>
      <c r="I94" s="5" t="inlineStr">
        <is>
          <t>01a1212c-b82a-722d-ab6d-7b1f460c362a</t>
        </is>
      </c>
      <c r="J94" t="inlineStr">
        <is>
          <t>OTHER_NTAP</t>
        </is>
      </c>
      <c r="K94" t="inlineStr">
        <is>
          <t>AUD</t>
        </is>
      </c>
      <c r="L94" t="n">
        <v>3.14</v>
      </c>
    </row>
    <row r="95">
      <c r="A95" s="5" t="inlineStr">
        <is>
          <t>01a1212c-b96f-7438-ab23-b96d331e3a41</t>
        </is>
      </c>
      <c r="B95" t="inlineStr">
        <is>
          <t>AS009-TOTAL_CY_CG</t>
        </is>
      </c>
      <c r="D95" s="5" t="inlineStr">
        <is>
          <t>01a1212c-4b57-70cf-80fd-c2192cb3bf81</t>
        </is>
      </c>
      <c r="E95" s="4" t="n">
        <v>46304.62432426005</v>
      </c>
      <c r="F95" s="4" t="n">
        <v>46304.62432426013</v>
      </c>
      <c r="G95" t="b">
        <v>1</v>
      </c>
      <c r="H95" t="n">
        <v/>
      </c>
      <c r="I95" s="5" t="inlineStr">
        <is>
          <t>01a1212c-b82a-722d-ab6d-7b1f460c362a</t>
        </is>
      </c>
      <c r="J95" t="inlineStr">
        <is>
          <t>TOTAL_CY_CG</t>
        </is>
      </c>
      <c r="K95" t="inlineStr">
        <is>
          <t>AUD</t>
        </is>
      </c>
      <c r="L95" t="n">
        <v>29.68</v>
      </c>
    </row>
    <row r="96">
      <c r="A96" s="5" t="inlineStr">
        <is>
          <t>01a1212c-b973-7618-aa89-2a08f203104b</t>
        </is>
      </c>
      <c r="B96" t="inlineStr">
        <is>
          <t>AS009-UNFRANKED_DISTRIBUTION</t>
        </is>
      </c>
      <c r="D96" s="5" t="inlineStr">
        <is>
          <t>01a1212c-4b57-70cf-80fd-c2192cb3bf81</t>
        </is>
      </c>
      <c r="E96" s="4" t="n">
        <v>46304.62432430182</v>
      </c>
      <c r="F96" s="4" t="n">
        <v>46304.62432430188</v>
      </c>
      <c r="G96" t="b">
        <v>1</v>
      </c>
      <c r="H96" t="n">
        <v/>
      </c>
      <c r="I96" s="5" t="inlineStr">
        <is>
          <t>01a1212c-b82a-722d-ab6d-7b1f460c362a</t>
        </is>
      </c>
      <c r="J96" t="inlineStr">
        <is>
          <t>UNFRANKED_DISTRIBUTION</t>
        </is>
      </c>
      <c r="K96" t="inlineStr">
        <is>
          <t>AUD</t>
        </is>
      </c>
      <c r="L96" t="n">
        <v>15.82</v>
      </c>
    </row>
    <row r="97">
      <c r="A97" s="5" t="inlineStr">
        <is>
          <t>01a1212c-b981-7332-b3f0-8594a6905e38</t>
        </is>
      </c>
      <c r="B97" t="inlineStr">
        <is>
          <t>AS010-AMIT_GROSS_UP</t>
        </is>
      </c>
      <c r="D97" s="5" t="inlineStr">
        <is>
          <t>01a1212c-4b57-70cf-80fd-c2192cb3bf81</t>
        </is>
      </c>
      <c r="E97" s="4" t="n">
        <v>46304.62432446683</v>
      </c>
      <c r="F97" s="4" t="n">
        <v>46304.62432446691</v>
      </c>
      <c r="G97" t="b">
        <v>1</v>
      </c>
      <c r="H97" t="n">
        <v/>
      </c>
      <c r="I97" s="5" t="inlineStr">
        <is>
          <t>01a1212c-b832-715d-9adb-09b6b4d62307</t>
        </is>
      </c>
      <c r="J97" t="inlineStr">
        <is>
          <t>AMIT_GROSS_UP</t>
        </is>
      </c>
      <c r="K97" t="inlineStr">
        <is>
          <t>AUD</t>
        </is>
      </c>
      <c r="L97" t="n">
        <v>92.23</v>
      </c>
    </row>
    <row r="98">
      <c r="A98" s="5" t="inlineStr">
        <is>
          <t>01a1212c-b98c-7564-9bc8-019a15fc8e5d</t>
        </is>
      </c>
      <c r="B98" t="inlineStr">
        <is>
          <t>AS010-COSTBASE_INCREASE</t>
        </is>
      </c>
      <c r="D98" s="5" t="inlineStr">
        <is>
          <t>01a1212c-4b57-70cf-80fd-c2192cb3bf81</t>
        </is>
      </c>
      <c r="E98" s="4" t="n">
        <v>46304.62432459058</v>
      </c>
      <c r="F98" s="4" t="n">
        <v>46304.62432459065</v>
      </c>
      <c r="G98" t="b">
        <v>1</v>
      </c>
      <c r="H98" t="n">
        <v/>
      </c>
      <c r="I98" s="5" t="inlineStr">
        <is>
          <t>01a1212c-b832-715d-9adb-09b6b4d62307</t>
        </is>
      </c>
      <c r="J98" t="inlineStr">
        <is>
          <t>COSTBASE_INCREASE</t>
        </is>
      </c>
      <c r="K98" t="inlineStr">
        <is>
          <t>AUD</t>
        </is>
      </c>
      <c r="L98" t="n">
        <v>167.97</v>
      </c>
    </row>
    <row r="99">
      <c r="A99" s="5" t="inlineStr">
        <is>
          <t>01a1212c-b97e-7220-bb0c-40f5ae43594d</t>
        </is>
      </c>
      <c r="B99" t="inlineStr">
        <is>
          <t>AS010-DISCOUNTED_NTAP</t>
        </is>
      </c>
      <c r="D99" s="5" t="inlineStr">
        <is>
          <t>01a1212c-4b57-70cf-80fd-c2192cb3bf81</t>
        </is>
      </c>
      <c r="E99" s="4" t="n">
        <v>46304.62432442579</v>
      </c>
      <c r="F99" s="4" t="n">
        <v>46304.62432442586</v>
      </c>
      <c r="G99" t="b">
        <v>1</v>
      </c>
      <c r="H99" t="n">
        <v/>
      </c>
      <c r="I99" s="5" t="inlineStr">
        <is>
          <t>01a1212c-b832-715d-9adb-09b6b4d62307</t>
        </is>
      </c>
      <c r="J99" t="inlineStr">
        <is>
          <t>DISCOUNTED_NTAP</t>
        </is>
      </c>
      <c r="K99" t="inlineStr">
        <is>
          <t>AUD</t>
        </is>
      </c>
      <c r="L99" t="n">
        <v>92.23</v>
      </c>
    </row>
    <row r="100">
      <c r="A100" s="5" t="inlineStr">
        <is>
          <t>01a1212c-b98a-7450-86b6-10733d29abb0</t>
        </is>
      </c>
      <c r="B100" t="inlineStr">
        <is>
          <t>AS010-FOREIGN_INCOME_TAX_OFFSET</t>
        </is>
      </c>
      <c r="D100" s="5" t="inlineStr">
        <is>
          <t>01a1212c-4b57-70cf-80fd-c2192cb3bf81</t>
        </is>
      </c>
      <c r="E100" s="4" t="n">
        <v>46304.62432457048</v>
      </c>
      <c r="F100" s="4" t="n">
        <v>46304.62432457056</v>
      </c>
      <c r="G100" t="b">
        <v>1</v>
      </c>
      <c r="H100" t="n">
        <v/>
      </c>
      <c r="I100" s="5" t="inlineStr">
        <is>
          <t>01a1212c-b832-715d-9adb-09b6b4d62307</t>
        </is>
      </c>
      <c r="J100" t="inlineStr">
        <is>
          <t>FOREIGN_INCOME_TAX_OFFSET</t>
        </is>
      </c>
      <c r="K100" t="inlineStr">
        <is>
          <t>AUD</t>
        </is>
      </c>
      <c r="L100" t="n">
        <v>171.31</v>
      </c>
    </row>
    <row r="101">
      <c r="A101" s="5" t="inlineStr">
        <is>
          <t>01a1212c-b985-7258-a2e2-638795792927</t>
        </is>
      </c>
      <c r="B101" t="inlineStr">
        <is>
          <t>AS010-FOREIGN_SOURCE_INCOME</t>
        </is>
      </c>
      <c r="D101" s="5" t="inlineStr">
        <is>
          <t>01a1212c-4b57-70cf-80fd-c2192cb3bf81</t>
        </is>
      </c>
      <c r="E101" s="4" t="n">
        <v>46304.62432450861</v>
      </c>
      <c r="F101" s="4" t="n">
        <v>46304.6243245087</v>
      </c>
      <c r="G101" t="b">
        <v>1</v>
      </c>
      <c r="H101" t="n">
        <v/>
      </c>
      <c r="I101" s="5" t="inlineStr">
        <is>
          <t>01a1212c-b832-715d-9adb-09b6b4d62307</t>
        </is>
      </c>
      <c r="J101" t="inlineStr">
        <is>
          <t>FOREIGN_SOURCE_INCOME</t>
        </is>
      </c>
      <c r="K101" t="inlineStr">
        <is>
          <t>AUD</t>
        </is>
      </c>
      <c r="L101" t="n">
        <v>1713.15</v>
      </c>
    </row>
    <row r="102">
      <c r="A102" s="5" t="inlineStr">
        <is>
          <t>01a1212c-b987-739f-999c-9e32ab53b810</t>
        </is>
      </c>
      <c r="B102" t="inlineStr">
        <is>
          <t>AS010-INTEREST</t>
        </is>
      </c>
      <c r="D102" s="5" t="inlineStr">
        <is>
          <t>01a1212c-4b57-70cf-80fd-c2192cb3bf81</t>
        </is>
      </c>
      <c r="E102" s="4" t="n">
        <v>46304.62432452977</v>
      </c>
      <c r="F102" s="4" t="n">
        <v>46304.62432452984</v>
      </c>
      <c r="G102" t="b">
        <v>1</v>
      </c>
      <c r="H102" t="n">
        <v/>
      </c>
      <c r="I102" s="5" t="inlineStr">
        <is>
          <t>01a1212c-b832-715d-9adb-09b6b4d62307</t>
        </is>
      </c>
      <c r="J102" t="inlineStr">
        <is>
          <t>INTEREST</t>
        </is>
      </c>
      <c r="K102" t="inlineStr">
        <is>
          <t>AUD</t>
        </is>
      </c>
      <c r="L102" t="n">
        <v>91.12</v>
      </c>
    </row>
    <row r="103">
      <c r="A103" s="5" t="inlineStr">
        <is>
          <t>01a1212c-b980-71e7-8642-81f88bc495f5</t>
        </is>
      </c>
      <c r="B103" t="inlineStr">
        <is>
          <t>AS010-OTHER_NTAP</t>
        </is>
      </c>
      <c r="D103" s="5" t="inlineStr">
        <is>
          <t>01a1212c-4b57-70cf-80fd-c2192cb3bf81</t>
        </is>
      </c>
      <c r="E103" s="4" t="n">
        <v>46304.62432444729</v>
      </c>
      <c r="F103" s="4" t="n">
        <v>46304.62432444736</v>
      </c>
      <c r="G103" t="b">
        <v>1</v>
      </c>
      <c r="H103" t="n">
        <v/>
      </c>
      <c r="I103" s="5" t="inlineStr">
        <is>
          <t>01a1212c-b832-715d-9adb-09b6b4d62307</t>
        </is>
      </c>
      <c r="J103" t="inlineStr">
        <is>
          <t>OTHER_NTAP</t>
        </is>
      </c>
      <c r="K103" t="inlineStr">
        <is>
          <t>AUD</t>
        </is>
      </c>
      <c r="L103" t="n">
        <v>38.35</v>
      </c>
    </row>
    <row r="104">
      <c r="A104" s="5" t="inlineStr">
        <is>
          <t>01a1212c-b983-7704-805c-fa7884fe1f86</t>
        </is>
      </c>
      <c r="B104" t="inlineStr">
        <is>
          <t>AS010-TOTAL_CY_CG</t>
        </is>
      </c>
      <c r="D104" s="5" t="inlineStr">
        <is>
          <t>01a1212c-4b57-70cf-80fd-c2192cb3bf81</t>
        </is>
      </c>
      <c r="E104" s="4" t="n">
        <v>46304.62432448653</v>
      </c>
      <c r="F104" s="4" t="n">
        <v>46304.6243244866</v>
      </c>
      <c r="G104" t="b">
        <v>1</v>
      </c>
      <c r="H104" t="n">
        <v/>
      </c>
      <c r="I104" s="5" t="inlineStr">
        <is>
          <t>01a1212c-b832-715d-9adb-09b6b4d62307</t>
        </is>
      </c>
      <c r="J104" t="inlineStr">
        <is>
          <t>TOTAL_CY_CG</t>
        </is>
      </c>
      <c r="K104" t="inlineStr">
        <is>
          <t>AUD</t>
        </is>
      </c>
      <c r="L104" t="n">
        <v>222.81</v>
      </c>
    </row>
    <row r="105">
      <c r="A105" s="5" t="inlineStr">
        <is>
          <t>01a1212c-b989-7424-9724-b999d7da0993</t>
        </is>
      </c>
      <c r="B105" t="inlineStr">
        <is>
          <t>AS010-UNFRANKED_DISTRIBUTION</t>
        </is>
      </c>
      <c r="D105" s="5" t="inlineStr">
        <is>
          <t>01a1212c-4b57-70cf-80fd-c2192cb3bf81</t>
        </is>
      </c>
      <c r="E105" s="4" t="n">
        <v>46304.62432455006</v>
      </c>
      <c r="F105" s="4" t="n">
        <v>46304.62432455014</v>
      </c>
      <c r="G105" t="b">
        <v>1</v>
      </c>
      <c r="H105" t="n">
        <v/>
      </c>
      <c r="I105" s="5" t="inlineStr">
        <is>
          <t>01a1212c-b832-715d-9adb-09b6b4d62307</t>
        </is>
      </c>
      <c r="J105" t="inlineStr">
        <is>
          <t>UNFRANKED_DISTRIBUTION</t>
        </is>
      </c>
      <c r="K105" t="inlineStr">
        <is>
          <t>AUD</t>
        </is>
      </c>
      <c r="L105" t="n">
        <v>18.22</v>
      </c>
    </row>
    <row r="106">
      <c r="A106" s="5" t="inlineStr">
        <is>
          <t>01a1212c-b993-7573-b71a-e73e1e14f4cc</t>
        </is>
      </c>
      <c r="B106" t="inlineStr">
        <is>
          <t>AS011-AMIT_GROSS_UP</t>
        </is>
      </c>
      <c r="D106" s="5" t="inlineStr">
        <is>
          <t>01a1212c-4b57-70cf-80fd-c2192cb3bf81</t>
        </is>
      </c>
      <c r="E106" s="4" t="n">
        <v>46304.62432467397</v>
      </c>
      <c r="F106" s="4" t="n">
        <v>46304.62432467405</v>
      </c>
      <c r="G106" t="b">
        <v>1</v>
      </c>
      <c r="H106" t="n">
        <v/>
      </c>
      <c r="I106" s="5" t="inlineStr">
        <is>
          <t>01a1212c-b83d-7479-92d9-2b6ac4224295</t>
        </is>
      </c>
      <c r="J106" t="inlineStr">
        <is>
          <t>AMIT_GROSS_UP</t>
        </is>
      </c>
      <c r="K106" t="inlineStr">
        <is>
          <t>AUD</t>
        </is>
      </c>
      <c r="L106" t="n">
        <v>116.67</v>
      </c>
    </row>
    <row r="107">
      <c r="A107" s="5" t="inlineStr">
        <is>
          <t>01a1212c-b9a3-719a-9372-123b0283028c</t>
        </is>
      </c>
      <c r="B107" t="inlineStr">
        <is>
          <t>AS011-COSTBASE_INCREASE</t>
        </is>
      </c>
      <c r="D107" s="5" t="inlineStr">
        <is>
          <t>01a1212c-4b57-70cf-80fd-c2192cb3bf81</t>
        </is>
      </c>
      <c r="E107" s="4" t="n">
        <v>46304.62432485617</v>
      </c>
      <c r="F107" s="4" t="n">
        <v>46304.62432485625</v>
      </c>
      <c r="G107" t="b">
        <v>1</v>
      </c>
      <c r="H107" t="n">
        <v/>
      </c>
      <c r="I107" s="5" t="inlineStr">
        <is>
          <t>01a1212c-b83d-7479-92d9-2b6ac4224295</t>
        </is>
      </c>
      <c r="J107" t="inlineStr">
        <is>
          <t>COSTBASE_INCREASE</t>
        </is>
      </c>
      <c r="K107" t="inlineStr">
        <is>
          <t>AUD</t>
        </is>
      </c>
      <c r="L107" t="n">
        <v>48.94</v>
      </c>
    </row>
    <row r="108">
      <c r="A108" s="5" t="inlineStr">
        <is>
          <t>01a1212c-b990-719b-bd5c-83afb5b28ccf</t>
        </is>
      </c>
      <c r="B108" t="inlineStr">
        <is>
          <t>AS011-DISCOUNTED_NTAP</t>
        </is>
      </c>
      <c r="D108" s="5" t="inlineStr">
        <is>
          <t>01a1212c-4b57-70cf-80fd-c2192cb3bf81</t>
        </is>
      </c>
      <c r="E108" s="4" t="n">
        <v>46304.62432463373</v>
      </c>
      <c r="F108" s="4" t="n">
        <v>46304.6243246338</v>
      </c>
      <c r="G108" t="b">
        <v>1</v>
      </c>
      <c r="H108" t="n">
        <v/>
      </c>
      <c r="I108" s="5" t="inlineStr">
        <is>
          <t>01a1212c-b83d-7479-92d9-2b6ac4224295</t>
        </is>
      </c>
      <c r="J108" t="inlineStr">
        <is>
          <t>DISCOUNTED_NTAP</t>
        </is>
      </c>
      <c r="K108" t="inlineStr">
        <is>
          <t>AUD</t>
        </is>
      </c>
      <c r="L108" t="n">
        <v>110.27</v>
      </c>
    </row>
    <row r="109">
      <c r="A109" s="5" t="inlineStr">
        <is>
          <t>01a1212c-b98e-761f-a1ce-e24423e255af</t>
        </is>
      </c>
      <c r="B109" t="inlineStr">
        <is>
          <t>AS011-DISCOUNTED_TAP</t>
        </is>
      </c>
      <c r="D109" s="5" t="inlineStr">
        <is>
          <t>01a1212c-4b57-70cf-80fd-c2192cb3bf81</t>
        </is>
      </c>
      <c r="E109" s="4" t="n">
        <v>46304.62432461236</v>
      </c>
      <c r="F109" s="4" t="n">
        <v>46304.62432461243</v>
      </c>
      <c r="G109" t="b">
        <v>1</v>
      </c>
      <c r="H109" t="n">
        <v/>
      </c>
      <c r="I109" s="5" t="inlineStr">
        <is>
          <t>01a1212c-b83d-7479-92d9-2b6ac4224295</t>
        </is>
      </c>
      <c r="J109" t="inlineStr">
        <is>
          <t>DISCOUNTED_TAP</t>
        </is>
      </c>
      <c r="K109" t="inlineStr">
        <is>
          <t>AUD</t>
        </is>
      </c>
      <c r="L109" t="n">
        <v>6.4</v>
      </c>
    </row>
    <row r="110">
      <c r="A110" s="5" t="inlineStr">
        <is>
          <t>01a1212c-b9a1-7673-8bd9-080ef97da3d4</t>
        </is>
      </c>
      <c r="B110" t="inlineStr">
        <is>
          <t>AS011-FOREIGN_INCOME_TAX_OFFSET</t>
        </is>
      </c>
      <c r="D110" s="5" t="inlineStr">
        <is>
          <t>01a1212c-4b57-70cf-80fd-c2192cb3bf81</t>
        </is>
      </c>
      <c r="E110" s="4" t="n">
        <v>46304.62432483501</v>
      </c>
      <c r="F110" s="4" t="n">
        <v>46304.6243248351</v>
      </c>
      <c r="G110" t="b">
        <v>1</v>
      </c>
      <c r="H110" t="n">
        <v/>
      </c>
      <c r="I110" s="5" t="inlineStr">
        <is>
          <t>01a1212c-b83d-7479-92d9-2b6ac4224295</t>
        </is>
      </c>
      <c r="J110" t="inlineStr">
        <is>
          <t>FOREIGN_INCOME_TAX_OFFSET</t>
        </is>
      </c>
      <c r="K110" t="inlineStr">
        <is>
          <t>AUD</t>
        </is>
      </c>
      <c r="L110" t="n">
        <v>6.63</v>
      </c>
    </row>
    <row r="111">
      <c r="A111" s="5" t="inlineStr">
        <is>
          <t>01a1212c-b99b-74a2-bcb0-3724c4a84304</t>
        </is>
      </c>
      <c r="B111" t="inlineStr">
        <is>
          <t>AS011-FOREIGN_SOURCE_INCOME</t>
        </is>
      </c>
      <c r="D111" s="5" t="inlineStr">
        <is>
          <t>01a1212c-4b57-70cf-80fd-c2192cb3bf81</t>
        </is>
      </c>
      <c r="E111" s="4" t="n">
        <v>46304.62432476644</v>
      </c>
      <c r="F111" s="4" t="n">
        <v>46304.62432476653</v>
      </c>
      <c r="G111" t="b">
        <v>1</v>
      </c>
      <c r="H111" t="n">
        <v/>
      </c>
      <c r="I111" s="5" t="inlineStr">
        <is>
          <t>01a1212c-b83d-7479-92d9-2b6ac4224295</t>
        </is>
      </c>
      <c r="J111" t="inlineStr">
        <is>
          <t>FOREIGN_SOURCE_INCOME</t>
        </is>
      </c>
      <c r="K111" t="inlineStr">
        <is>
          <t>AUD</t>
        </is>
      </c>
      <c r="L111" t="n">
        <v>66.28</v>
      </c>
    </row>
    <row r="112">
      <c r="A112" s="5" t="inlineStr">
        <is>
          <t>01a1212c-b997-7405-84e8-b22c75f5a9eb</t>
        </is>
      </c>
      <c r="B112" t="inlineStr">
        <is>
          <t>AS011-FRANKED_DISTRIBUTION</t>
        </is>
      </c>
      <c r="D112" s="5" t="inlineStr">
        <is>
          <t>01a1212c-4b57-70cf-80fd-c2192cb3bf81</t>
        </is>
      </c>
      <c r="E112" s="4" t="n">
        <v>46304.62432471881</v>
      </c>
      <c r="F112" s="4" t="n">
        <v>46304.62432471889</v>
      </c>
      <c r="G112" t="b">
        <v>1</v>
      </c>
      <c r="H112" t="n">
        <v/>
      </c>
      <c r="I112" s="5" t="inlineStr">
        <is>
          <t>01a1212c-b83d-7479-92d9-2b6ac4224295</t>
        </is>
      </c>
      <c r="J112" t="inlineStr">
        <is>
          <t>FRANKED_DISTRIBUTION</t>
        </is>
      </c>
      <c r="K112" t="inlineStr">
        <is>
          <t>AUD</t>
        </is>
      </c>
      <c r="L112" t="n">
        <v>883.76</v>
      </c>
    </row>
    <row r="113">
      <c r="A113" s="5" t="inlineStr">
        <is>
          <t>01a1212c-b99f-7494-88d2-40896367ecdf</t>
        </is>
      </c>
      <c r="B113" t="inlineStr">
        <is>
          <t>AS011-FRANKING_CREDIT</t>
        </is>
      </c>
      <c r="D113" s="5" t="inlineStr">
        <is>
          <t>01a1212c-4b57-70cf-80fd-c2192cb3bf81</t>
        </is>
      </c>
      <c r="E113" s="4" t="n">
        <v>46304.62432481338</v>
      </c>
      <c r="F113" s="4" t="n">
        <v>46304.62432481347</v>
      </c>
      <c r="G113" t="b">
        <v>1</v>
      </c>
      <c r="H113" t="n">
        <v/>
      </c>
      <c r="I113" s="5" t="inlineStr">
        <is>
          <t>01a1212c-b83d-7479-92d9-2b6ac4224295</t>
        </is>
      </c>
      <c r="J113" t="inlineStr">
        <is>
          <t>FRANKING_CREDIT</t>
        </is>
      </c>
      <c r="K113" t="inlineStr">
        <is>
          <t>AUD</t>
        </is>
      </c>
      <c r="L113" t="n">
        <v>378.75</v>
      </c>
    </row>
    <row r="114">
      <c r="A114" s="5" t="inlineStr">
        <is>
          <t>01a1212c-b99d-7513-9012-c649fdd1dd06</t>
        </is>
      </c>
      <c r="B114" t="inlineStr">
        <is>
          <t>AS011-INTEREST</t>
        </is>
      </c>
      <c r="D114" s="5" t="inlineStr">
        <is>
          <t>01a1212c-4b57-70cf-80fd-c2192cb3bf81</t>
        </is>
      </c>
      <c r="E114" s="4" t="n">
        <v>46304.62432479192</v>
      </c>
      <c r="F114" s="4" t="n">
        <v>46304.624324792</v>
      </c>
      <c r="G114" t="b">
        <v>1</v>
      </c>
      <c r="H114" t="n">
        <v/>
      </c>
      <c r="I114" s="5" t="inlineStr">
        <is>
          <t>01a1212c-b83d-7479-92d9-2b6ac4224295</t>
        </is>
      </c>
      <c r="J114" t="inlineStr">
        <is>
          <t>INTEREST</t>
        </is>
      </c>
      <c r="K114" t="inlineStr">
        <is>
          <t>AUD</t>
        </is>
      </c>
      <c r="L114" t="n">
        <v>22.09</v>
      </c>
    </row>
    <row r="115">
      <c r="A115" s="5" t="inlineStr">
        <is>
          <t>01a1212c-b991-72a1-beb2-e10bb60648f4</t>
        </is>
      </c>
      <c r="B115" t="inlineStr">
        <is>
          <t>AS011-OTHER_NTAP</t>
        </is>
      </c>
      <c r="D115" s="5" t="inlineStr">
        <is>
          <t>01a1212c-4b57-70cf-80fd-c2192cb3bf81</t>
        </is>
      </c>
      <c r="E115" s="4" t="n">
        <v>46304.62432465368</v>
      </c>
      <c r="F115" s="4" t="n">
        <v>46304.62432465375</v>
      </c>
      <c r="G115" t="b">
        <v>1</v>
      </c>
      <c r="H115" t="n">
        <v/>
      </c>
      <c r="I115" s="5" t="inlineStr">
        <is>
          <t>01a1212c-b83d-7479-92d9-2b6ac4224295</t>
        </is>
      </c>
      <c r="J115" t="inlineStr">
        <is>
          <t>OTHER_NTAP</t>
        </is>
      </c>
      <c r="K115" t="inlineStr">
        <is>
          <t>AUD</t>
        </is>
      </c>
      <c r="L115" t="n">
        <v>48.72</v>
      </c>
    </row>
    <row r="116">
      <c r="A116" s="5" t="inlineStr">
        <is>
          <t>01a1212c-b995-766e-863d-87e21017d8e8</t>
        </is>
      </c>
      <c r="B116" t="inlineStr">
        <is>
          <t>AS011-TOTAL_CY_CG</t>
        </is>
      </c>
      <c r="D116" s="5" t="inlineStr">
        <is>
          <t>01a1212c-4b57-70cf-80fd-c2192cb3bf81</t>
        </is>
      </c>
      <c r="E116" s="4" t="n">
        <v>46304.62432469535</v>
      </c>
      <c r="F116" s="4" t="n">
        <v>46304.62432469543</v>
      </c>
      <c r="G116" t="b">
        <v>1</v>
      </c>
      <c r="H116" t="n">
        <v/>
      </c>
      <c r="I116" s="5" t="inlineStr">
        <is>
          <t>01a1212c-b83d-7479-92d9-2b6ac4224295</t>
        </is>
      </c>
      <c r="J116" t="inlineStr">
        <is>
          <t>TOTAL_CY_CG</t>
        </is>
      </c>
      <c r="K116" t="inlineStr">
        <is>
          <t>AUD</t>
        </is>
      </c>
      <c r="L116" t="n">
        <v>282.06</v>
      </c>
    </row>
    <row r="117">
      <c r="A117" s="5" t="inlineStr">
        <is>
          <t>01a1212c-b999-7083-99f4-0c991f8cb443</t>
        </is>
      </c>
      <c r="B117" t="inlineStr">
        <is>
          <t>AS011-UNFRANKED_DISTRIBUTION</t>
        </is>
      </c>
      <c r="D117" s="5" t="inlineStr">
        <is>
          <t>01a1212c-4b57-70cf-80fd-c2192cb3bf81</t>
        </is>
      </c>
      <c r="E117" s="4" t="n">
        <v>46304.6243247405</v>
      </c>
      <c r="F117" s="4" t="n">
        <v>46304.62432474057</v>
      </c>
      <c r="G117" t="b">
        <v>1</v>
      </c>
      <c r="H117" t="n">
        <v/>
      </c>
      <c r="I117" s="5" t="inlineStr">
        <is>
          <t>01a1212c-b83d-7479-92d9-2b6ac4224295</t>
        </is>
      </c>
      <c r="J117" t="inlineStr">
        <is>
          <t>UNFRANKED_DISTRIBUTION</t>
        </is>
      </c>
      <c r="K117" t="inlineStr">
        <is>
          <t>AUD</t>
        </is>
      </c>
      <c r="L117" t="n">
        <v>132.56</v>
      </c>
    </row>
    <row r="118">
      <c r="A118" s="5" t="inlineStr">
        <is>
          <t>01a1212c-b9a9-7325-b04a-2f80a70befe1</t>
        </is>
      </c>
      <c r="B118" t="inlineStr">
        <is>
          <t>AS012-AMIT_GROSS_UP</t>
        </is>
      </c>
      <c r="D118" s="5" t="inlineStr">
        <is>
          <t>01a1212c-4b57-70cf-80fd-c2192cb3bf81</t>
        </is>
      </c>
      <c r="E118" s="4" t="n">
        <v>46304.62432492561</v>
      </c>
      <c r="F118" s="4" t="n">
        <v>46304.62432492572</v>
      </c>
      <c r="G118" t="b">
        <v>1</v>
      </c>
      <c r="H118" t="n">
        <v/>
      </c>
      <c r="I118" s="5" t="inlineStr">
        <is>
          <t>01a1212c-b848-712f-a7ca-9d536b678fab</t>
        </is>
      </c>
      <c r="J118" t="inlineStr">
        <is>
          <t>AMIT_GROSS_UP</t>
        </is>
      </c>
      <c r="K118" t="inlineStr">
        <is>
          <t>AUD</t>
        </is>
      </c>
      <c r="L118" t="n">
        <v>222.53</v>
      </c>
    </row>
    <row r="119">
      <c r="A119" s="5" t="inlineStr">
        <is>
          <t>01a1212c-b9b4-7257-b607-4da9a066403a</t>
        </is>
      </c>
      <c r="B119" t="inlineStr">
        <is>
          <t>AS012-COSTBASE_INCREASE</t>
        </is>
      </c>
      <c r="D119" s="5" t="inlineStr">
        <is>
          <t>01a1212c-4b57-70cf-80fd-c2192cb3bf81</t>
        </is>
      </c>
      <c r="E119" s="4" t="n">
        <v>46304.62432505787</v>
      </c>
      <c r="F119" s="4" t="n">
        <v>46304.62432505794</v>
      </c>
      <c r="G119" t="b">
        <v>1</v>
      </c>
      <c r="H119" t="n">
        <v/>
      </c>
      <c r="I119" s="5" t="inlineStr">
        <is>
          <t>01a1212c-b848-712f-a7ca-9d536b678fab</t>
        </is>
      </c>
      <c r="J119" t="inlineStr">
        <is>
          <t>COSTBASE_INCREASE</t>
        </is>
      </c>
      <c r="K119" t="inlineStr">
        <is>
          <t>AUD</t>
        </is>
      </c>
      <c r="L119" t="n">
        <v>99.95999999999999</v>
      </c>
    </row>
    <row r="120">
      <c r="A120" s="5" t="inlineStr">
        <is>
          <t>01a1212c-b9a5-7191-9041-f067289c3d30</t>
        </is>
      </c>
      <c r="B120" t="inlineStr">
        <is>
          <t>AS012-DISCOUNTED_NTAP</t>
        </is>
      </c>
      <c r="D120" s="5" t="inlineStr">
        <is>
          <t>01a1212c-4b57-70cf-80fd-c2192cb3bf81</t>
        </is>
      </c>
      <c r="E120" s="4" t="n">
        <v>46304.62432487736</v>
      </c>
      <c r="F120" s="4" t="n">
        <v>46304.62432487746</v>
      </c>
      <c r="G120" t="b">
        <v>1</v>
      </c>
      <c r="H120" t="n">
        <v/>
      </c>
      <c r="I120" s="5" t="inlineStr">
        <is>
          <t>01a1212c-b848-712f-a7ca-9d536b678fab</t>
        </is>
      </c>
      <c r="J120" t="inlineStr">
        <is>
          <t>DISCOUNTED_NTAP</t>
        </is>
      </c>
      <c r="K120" t="inlineStr">
        <is>
          <t>AUD</t>
        </is>
      </c>
      <c r="L120" t="n">
        <v>222.53</v>
      </c>
    </row>
    <row r="121">
      <c r="A121" s="5" t="inlineStr">
        <is>
          <t>01a1212c-b9b3-75ca-823b-eaaa785252d1</t>
        </is>
      </c>
      <c r="B121" t="inlineStr">
        <is>
          <t>AS012-FOREIGN_INCOME_TAX_OFFSET</t>
        </is>
      </c>
      <c r="D121" s="5" t="inlineStr">
        <is>
          <t>01a1212c-4b57-70cf-80fd-c2192cb3bf81</t>
        </is>
      </c>
      <c r="E121" s="4" t="n">
        <v>46304.62432503758</v>
      </c>
      <c r="F121" s="4" t="n">
        <v>46304.62432503766</v>
      </c>
      <c r="G121" t="b">
        <v>1</v>
      </c>
      <c r="H121" t="n">
        <v/>
      </c>
      <c r="I121" s="5" t="inlineStr">
        <is>
          <t>01a1212c-b848-712f-a7ca-9d536b678fab</t>
        </is>
      </c>
      <c r="J121" t="inlineStr">
        <is>
          <t>FOREIGN_INCOME_TAX_OFFSET</t>
        </is>
      </c>
      <c r="K121" t="inlineStr">
        <is>
          <t>AUD</t>
        </is>
      </c>
      <c r="L121" t="n">
        <v>150</v>
      </c>
    </row>
    <row r="122">
      <c r="A122" s="5" t="inlineStr">
        <is>
          <t>01a1212c-b9ad-755d-9b0c-f5b4325ffdc4</t>
        </is>
      </c>
      <c r="B122" t="inlineStr">
        <is>
          <t>AS012-FOREIGN_SOURCE_INCOME</t>
        </is>
      </c>
      <c r="D122" s="5" t="inlineStr">
        <is>
          <t>01a1212c-4b57-70cf-80fd-c2192cb3bf81</t>
        </is>
      </c>
      <c r="E122" s="4" t="n">
        <v>46304.62432497153</v>
      </c>
      <c r="F122" s="4" t="n">
        <v>46304.62432497162</v>
      </c>
      <c r="G122" t="b">
        <v>1</v>
      </c>
      <c r="H122" t="n">
        <v/>
      </c>
      <c r="I122" s="5" t="inlineStr">
        <is>
          <t>01a1212c-b848-712f-a7ca-9d536b678fab</t>
        </is>
      </c>
      <c r="J122" t="inlineStr">
        <is>
          <t>FOREIGN_SOURCE_INCOME</t>
        </is>
      </c>
      <c r="K122" t="inlineStr">
        <is>
          <t>AUD</t>
        </is>
      </c>
      <c r="L122" t="n">
        <v>1499.98</v>
      </c>
    </row>
    <row r="123">
      <c r="A123" s="5" t="inlineStr">
        <is>
          <t>01a1212c-b9af-778c-835e-cd8cffbb95c4</t>
        </is>
      </c>
      <c r="B123" t="inlineStr">
        <is>
          <t>AS012-INTEREST</t>
        </is>
      </c>
      <c r="D123" s="5" t="inlineStr">
        <is>
          <t>01a1212c-4b57-70cf-80fd-c2192cb3bf81</t>
        </is>
      </c>
      <c r="E123" s="4" t="n">
        <v>46304.6243249949</v>
      </c>
      <c r="F123" s="4" t="n">
        <v>46304.62432499499</v>
      </c>
      <c r="G123" t="b">
        <v>1</v>
      </c>
      <c r="H123" t="n">
        <v/>
      </c>
      <c r="I123" s="5" t="inlineStr">
        <is>
          <t>01a1212c-b848-712f-a7ca-9d536b678fab</t>
        </is>
      </c>
      <c r="J123" t="inlineStr">
        <is>
          <t>INTEREST</t>
        </is>
      </c>
      <c r="K123" t="inlineStr">
        <is>
          <t>AUD</t>
        </is>
      </c>
      <c r="L123" t="n">
        <v>79.79000000000001</v>
      </c>
    </row>
    <row r="124">
      <c r="A124" s="5" t="inlineStr">
        <is>
          <t>01a1212c-b9a7-76f1-a541-6403fe4eb7dc</t>
        </is>
      </c>
      <c r="B124" t="inlineStr">
        <is>
          <t>AS012-OTHER_NTAP</t>
        </is>
      </c>
      <c r="D124" s="5" t="inlineStr">
        <is>
          <t>01a1212c-4b57-70cf-80fd-c2192cb3bf81</t>
        </is>
      </c>
      <c r="E124" s="4" t="n">
        <v>46304.62432490161</v>
      </c>
      <c r="F124" s="4" t="n">
        <v>46304.62432490171</v>
      </c>
      <c r="G124" t="b">
        <v>1</v>
      </c>
      <c r="H124" t="n">
        <v/>
      </c>
      <c r="I124" s="5" t="inlineStr">
        <is>
          <t>01a1212c-b848-712f-a7ca-9d536b678fab</t>
        </is>
      </c>
      <c r="J124" t="inlineStr">
        <is>
          <t>OTHER_NTAP</t>
        </is>
      </c>
      <c r="K124" t="inlineStr">
        <is>
          <t>AUD</t>
        </is>
      </c>
      <c r="L124" t="n">
        <v>15.32</v>
      </c>
    </row>
    <row r="125">
      <c r="A125" s="5" t="inlineStr">
        <is>
          <t>01a1212c-b9ab-76d0-923a-f232c776181f</t>
        </is>
      </c>
      <c r="B125" t="inlineStr">
        <is>
          <t>AS012-TOTAL_CY_CG</t>
        </is>
      </c>
      <c r="D125" s="5" t="inlineStr">
        <is>
          <t>01a1212c-4b57-70cf-80fd-c2192cb3bf81</t>
        </is>
      </c>
      <c r="E125" s="4" t="n">
        <v>46304.62432494736</v>
      </c>
      <c r="F125" s="4" t="n">
        <v>46304.62432494744</v>
      </c>
      <c r="G125" t="b">
        <v>1</v>
      </c>
      <c r="H125" t="n">
        <v/>
      </c>
      <c r="I125" s="5" t="inlineStr">
        <is>
          <t>01a1212c-b848-712f-a7ca-9d536b678fab</t>
        </is>
      </c>
      <c r="J125" t="inlineStr">
        <is>
          <t>TOTAL_CY_CG</t>
        </is>
      </c>
      <c r="K125" t="inlineStr">
        <is>
          <t>AUD</t>
        </is>
      </c>
      <c r="L125" t="n">
        <v>460.38</v>
      </c>
    </row>
    <row r="126">
      <c r="A126" s="5" t="inlineStr">
        <is>
          <t>01a1212c-b9b1-7292-bf9a-70257a13762a</t>
        </is>
      </c>
      <c r="B126" t="inlineStr">
        <is>
          <t>AS012-UNFRANKED_DISTRIBUTION</t>
        </is>
      </c>
      <c r="D126" s="5" t="inlineStr">
        <is>
          <t>01a1212c-4b57-70cf-80fd-c2192cb3bf81</t>
        </is>
      </c>
      <c r="E126" s="4" t="n">
        <v>46304.6243250166</v>
      </c>
      <c r="F126" s="4" t="n">
        <v>46304.62432501668</v>
      </c>
      <c r="G126" t="b">
        <v>1</v>
      </c>
      <c r="H126" t="n">
        <v/>
      </c>
      <c r="I126" s="5" t="inlineStr">
        <is>
          <t>01a1212c-b848-712f-a7ca-9d536b678fab</t>
        </is>
      </c>
      <c r="J126" t="inlineStr">
        <is>
          <t>UNFRANKED_DISTRIBUTION</t>
        </is>
      </c>
      <c r="K126" t="inlineStr">
        <is>
          <t>AUD</t>
        </is>
      </c>
      <c r="L126" t="n">
        <v>15.96</v>
      </c>
    </row>
    <row r="127">
      <c r="A127" s="5" t="inlineStr">
        <is>
          <t>01a1212c-b9bc-75f9-8810-8c9e20a242b8</t>
        </is>
      </c>
      <c r="B127" t="inlineStr">
        <is>
          <t>AS013-AMIT_GROSS_UP</t>
        </is>
      </c>
      <c r="D127" s="5" t="inlineStr">
        <is>
          <t>01a1212c-4b57-70cf-80fd-c2192cb3bf81</t>
        </is>
      </c>
      <c r="E127" s="4" t="n">
        <v>46304.62432514357</v>
      </c>
      <c r="F127" s="4" t="n">
        <v>46304.62432514365</v>
      </c>
      <c r="G127" t="b">
        <v>1</v>
      </c>
      <c r="H127" t="n">
        <v/>
      </c>
      <c r="I127" s="5" t="inlineStr">
        <is>
          <t>01a1212c-b854-7187-b4e1-0bae09d73fa0</t>
        </is>
      </c>
      <c r="J127" t="inlineStr">
        <is>
          <t>AMIT_GROSS_UP</t>
        </is>
      </c>
      <c r="K127" t="inlineStr">
        <is>
          <t>AUD</t>
        </is>
      </c>
      <c r="L127" t="n">
        <v>209.29</v>
      </c>
    </row>
    <row r="128">
      <c r="A128" s="5" t="inlineStr">
        <is>
          <t>01a1212c-b9ca-759c-bfea-f2939a650bc2</t>
        </is>
      </c>
      <c r="B128" t="inlineStr">
        <is>
          <t>AS013-COSTBASE_INCREASE</t>
        </is>
      </c>
      <c r="D128" s="5" t="inlineStr">
        <is>
          <t>01a1212c-4b57-70cf-80fd-c2192cb3bf81</t>
        </is>
      </c>
      <c r="E128" s="4" t="n">
        <v>46304.62432531305</v>
      </c>
      <c r="F128" s="4" t="n">
        <v>46304.62432531313</v>
      </c>
      <c r="G128" t="b">
        <v>1</v>
      </c>
      <c r="H128" t="n">
        <v/>
      </c>
      <c r="I128" s="5" t="inlineStr">
        <is>
          <t>01a1212c-b854-7187-b4e1-0bae09d73fa0</t>
        </is>
      </c>
      <c r="J128" t="inlineStr">
        <is>
          <t>COSTBASE_INCREASE</t>
        </is>
      </c>
      <c r="K128" t="inlineStr">
        <is>
          <t>AUD</t>
        </is>
      </c>
      <c r="L128" t="n">
        <v>147.91</v>
      </c>
    </row>
    <row r="129">
      <c r="A129" s="5" t="inlineStr">
        <is>
          <t>01a1212c-b9b8-7702-8cd7-8b26dd4ff5e6</t>
        </is>
      </c>
      <c r="B129" t="inlineStr">
        <is>
          <t>AS013-DISCOUNTED_NTAP</t>
        </is>
      </c>
      <c r="D129" s="5" t="inlineStr">
        <is>
          <t>01a1212c-4b57-70cf-80fd-c2192cb3bf81</t>
        </is>
      </c>
      <c r="E129" s="4" t="n">
        <v>46304.62432510096</v>
      </c>
      <c r="F129" s="4" t="n">
        <v>46304.62432510105</v>
      </c>
      <c r="G129" t="b">
        <v>1</v>
      </c>
      <c r="H129" t="n">
        <v/>
      </c>
      <c r="I129" s="5" t="inlineStr">
        <is>
          <t>01a1212c-b854-7187-b4e1-0bae09d73fa0</t>
        </is>
      </c>
      <c r="J129" t="inlineStr">
        <is>
          <t>DISCOUNTED_NTAP</t>
        </is>
      </c>
      <c r="K129" t="inlineStr">
        <is>
          <t>AUD</t>
        </is>
      </c>
      <c r="L129" t="n">
        <v>197.74</v>
      </c>
    </row>
    <row r="130">
      <c r="A130" s="5" t="inlineStr">
        <is>
          <t>01a1212c-b9b6-767d-8692-7717dcbca1b7</t>
        </is>
      </c>
      <c r="B130" t="inlineStr">
        <is>
          <t>AS013-DISCOUNTED_TAP</t>
        </is>
      </c>
      <c r="D130" s="5" t="inlineStr">
        <is>
          <t>01a1212c-4b57-70cf-80fd-c2192cb3bf81</t>
        </is>
      </c>
      <c r="E130" s="4" t="n">
        <v>46304.62432507801</v>
      </c>
      <c r="F130" s="4" t="n">
        <v>46304.62432507808</v>
      </c>
      <c r="G130" t="b">
        <v>1</v>
      </c>
      <c r="H130" t="n">
        <v/>
      </c>
      <c r="I130" s="5" t="inlineStr">
        <is>
          <t>01a1212c-b854-7187-b4e1-0bae09d73fa0</t>
        </is>
      </c>
      <c r="J130" t="inlineStr">
        <is>
          <t>DISCOUNTED_TAP</t>
        </is>
      </c>
      <c r="K130" t="inlineStr">
        <is>
          <t>AUD</t>
        </is>
      </c>
      <c r="L130" t="n">
        <v>11.55</v>
      </c>
    </row>
    <row r="131">
      <c r="A131" s="5" t="inlineStr">
        <is>
          <t>01a1212c-b9c9-765e-89ce-b7e417ff3ea1</t>
        </is>
      </c>
      <c r="B131" t="inlineStr">
        <is>
          <t>AS013-FOREIGN_INCOME_TAX_OFFSET</t>
        </is>
      </c>
      <c r="D131" s="5" t="inlineStr">
        <is>
          <t>01a1212c-4b57-70cf-80fd-c2192cb3bf81</t>
        </is>
      </c>
      <c r="E131" s="4" t="n">
        <v>46304.62432529098</v>
      </c>
      <c r="F131" s="4" t="n">
        <v>46304.62432529108</v>
      </c>
      <c r="G131" t="b">
        <v>1</v>
      </c>
      <c r="H131" t="n">
        <v/>
      </c>
      <c r="I131" s="5" t="inlineStr">
        <is>
          <t>01a1212c-b854-7187-b4e1-0bae09d73fa0</t>
        </is>
      </c>
      <c r="J131" t="inlineStr">
        <is>
          <t>FOREIGN_INCOME_TAX_OFFSET</t>
        </is>
      </c>
      <c r="K131" t="inlineStr">
        <is>
          <t>AUD</t>
        </is>
      </c>
      <c r="L131" t="n">
        <v>15.43</v>
      </c>
    </row>
    <row r="132">
      <c r="A132" s="5" t="inlineStr">
        <is>
          <t>01a1212c-b9c3-77d2-9d89-d7077ac10c72</t>
        </is>
      </c>
      <c r="B132" t="inlineStr">
        <is>
          <t>AS013-FOREIGN_SOURCE_INCOME</t>
        </is>
      </c>
      <c r="D132" s="5" t="inlineStr">
        <is>
          <t>01a1212c-4b57-70cf-80fd-c2192cb3bf81</t>
        </is>
      </c>
      <c r="E132" s="4" t="n">
        <v>46304.62432522714</v>
      </c>
      <c r="F132" s="4" t="n">
        <v>46304.62432522721</v>
      </c>
      <c r="G132" t="b">
        <v>1</v>
      </c>
      <c r="H132" t="n">
        <v/>
      </c>
      <c r="I132" s="5" t="inlineStr">
        <is>
          <t>01a1212c-b854-7187-b4e1-0bae09d73fa0</t>
        </is>
      </c>
      <c r="J132" t="inlineStr">
        <is>
          <t>FOREIGN_SOURCE_INCOME</t>
        </is>
      </c>
      <c r="K132" t="inlineStr">
        <is>
          <t>AUD</t>
        </is>
      </c>
      <c r="L132" t="n">
        <v>154.25</v>
      </c>
    </row>
    <row r="133">
      <c r="A133" s="5" t="inlineStr">
        <is>
          <t>01a1212c-b9c0-7484-b19a-d9bb3bc7f265</t>
        </is>
      </c>
      <c r="B133" t="inlineStr">
        <is>
          <t>AS013-FRANKED_DISTRIBUTION</t>
        </is>
      </c>
      <c r="D133" s="5" t="inlineStr">
        <is>
          <t>01a1212c-4b57-70cf-80fd-c2192cb3bf81</t>
        </is>
      </c>
      <c r="E133" s="4" t="n">
        <v>46304.62432518646</v>
      </c>
      <c r="F133" s="4" t="n">
        <v>46304.62432518654</v>
      </c>
      <c r="G133" t="b">
        <v>1</v>
      </c>
      <c r="H133" t="n">
        <v/>
      </c>
      <c r="I133" s="5" t="inlineStr">
        <is>
          <t>01a1212c-b854-7187-b4e1-0bae09d73fa0</t>
        </is>
      </c>
      <c r="J133" t="inlineStr">
        <is>
          <t>FRANKED_DISTRIBUTION</t>
        </is>
      </c>
      <c r="K133" t="inlineStr">
        <is>
          <t>AUD</t>
        </is>
      </c>
      <c r="L133" t="n">
        <v>2056.68</v>
      </c>
    </row>
    <row r="134">
      <c r="A134" s="5" t="inlineStr">
        <is>
          <t>01a1212c-b9c7-7312-a1f2-b84601854f94</t>
        </is>
      </c>
      <c r="B134" t="inlineStr">
        <is>
          <t>AS013-FRANKING_CREDIT</t>
        </is>
      </c>
      <c r="D134" s="5" t="inlineStr">
        <is>
          <t>01a1212c-4b57-70cf-80fd-c2192cb3bf81</t>
        </is>
      </c>
      <c r="E134" s="4" t="n">
        <v>46304.62432526823</v>
      </c>
      <c r="F134" s="4" t="n">
        <v>46304.62432526831</v>
      </c>
      <c r="G134" t="b">
        <v>1</v>
      </c>
      <c r="H134" t="n">
        <v/>
      </c>
      <c r="I134" s="5" t="inlineStr">
        <is>
          <t>01a1212c-b854-7187-b4e1-0bae09d73fa0</t>
        </is>
      </c>
      <c r="J134" t="inlineStr">
        <is>
          <t>FRANKING_CREDIT</t>
        </is>
      </c>
      <c r="K134" t="inlineStr">
        <is>
          <t>AUD</t>
        </is>
      </c>
      <c r="L134" t="n">
        <v>881.4299999999999</v>
      </c>
    </row>
    <row r="135">
      <c r="A135" s="5" t="inlineStr">
        <is>
          <t>01a1212c-b9c5-70c3-9870-15c19338f2d4</t>
        </is>
      </c>
      <c r="B135" t="inlineStr">
        <is>
          <t>AS013-INTEREST</t>
        </is>
      </c>
      <c r="D135" s="5" t="inlineStr">
        <is>
          <t>01a1212c-4b57-70cf-80fd-c2192cb3bf81</t>
        </is>
      </c>
      <c r="E135" s="4" t="n">
        <v>46304.62432524747</v>
      </c>
      <c r="F135" s="4" t="n">
        <v>46304.62432524755</v>
      </c>
      <c r="G135" t="b">
        <v>1</v>
      </c>
      <c r="H135" t="n">
        <v/>
      </c>
      <c r="I135" s="5" t="inlineStr">
        <is>
          <t>01a1212c-b854-7187-b4e1-0bae09d73fa0</t>
        </is>
      </c>
      <c r="J135" t="inlineStr">
        <is>
          <t>INTEREST</t>
        </is>
      </c>
      <c r="K135" t="inlineStr">
        <is>
          <t>AUD</t>
        </is>
      </c>
      <c r="L135" t="n">
        <v>51.42</v>
      </c>
    </row>
    <row r="136">
      <c r="A136" s="5" t="inlineStr">
        <is>
          <t>01a1212c-b9ba-75e7-8f65-bc31336d5285</t>
        </is>
      </c>
      <c r="B136" t="inlineStr">
        <is>
          <t>AS013-OTHER_NTAP</t>
        </is>
      </c>
      <c r="D136" s="5" t="inlineStr">
        <is>
          <t>01a1212c-4b57-70cf-80fd-c2192cb3bf81</t>
        </is>
      </c>
      <c r="E136" s="4" t="n">
        <v>46304.6243251229</v>
      </c>
      <c r="F136" s="4" t="n">
        <v>46304.62432512298</v>
      </c>
      <c r="G136" t="b">
        <v>1</v>
      </c>
      <c r="H136" t="n">
        <v/>
      </c>
      <c r="I136" s="5" t="inlineStr">
        <is>
          <t>01a1212c-b854-7187-b4e1-0bae09d73fa0</t>
        </is>
      </c>
      <c r="J136" t="inlineStr">
        <is>
          <t>OTHER_NTAP</t>
        </is>
      </c>
      <c r="K136" t="inlineStr">
        <is>
          <t>AUD</t>
        </is>
      </c>
      <c r="L136" t="n">
        <v>80.42</v>
      </c>
    </row>
    <row r="137">
      <c r="A137" s="5" t="inlineStr">
        <is>
          <t>01a1212c-b9be-7001-9ce3-c52fe9960358</t>
        </is>
      </c>
      <c r="B137" t="inlineStr">
        <is>
          <t>AS013-TOTAL_CY_CG</t>
        </is>
      </c>
      <c r="D137" s="5" t="inlineStr">
        <is>
          <t>01a1212c-4b57-70cf-80fd-c2192cb3bf81</t>
        </is>
      </c>
      <c r="E137" s="4" t="n">
        <v>46304.62432516619</v>
      </c>
      <c r="F137" s="4" t="n">
        <v>46304.62432516626</v>
      </c>
      <c r="G137" t="b">
        <v>1</v>
      </c>
      <c r="H137" t="n">
        <v/>
      </c>
      <c r="I137" s="5" t="inlineStr">
        <is>
          <t>01a1212c-b854-7187-b4e1-0bae09d73fa0</t>
        </is>
      </c>
      <c r="J137" t="inlineStr">
        <is>
          <t>TOTAL_CY_CG</t>
        </is>
      </c>
      <c r="K137" t="inlineStr">
        <is>
          <t>AUD</t>
        </is>
      </c>
      <c r="L137" t="n">
        <v>499</v>
      </c>
    </row>
    <row r="138">
      <c r="A138" s="5" t="inlineStr">
        <is>
          <t>01a1212c-b9c1-778e-81e2-9efc23f15cbb</t>
        </is>
      </c>
      <c r="B138" t="inlineStr">
        <is>
          <t>AS013-UNFRANKED_DISTRIBUTION</t>
        </is>
      </c>
      <c r="D138" s="5" t="inlineStr">
        <is>
          <t>01a1212c-4b57-70cf-80fd-c2192cb3bf81</t>
        </is>
      </c>
      <c r="E138" s="4" t="n">
        <v>46304.62432520693</v>
      </c>
      <c r="F138" s="4" t="n">
        <v>46304.62432520701</v>
      </c>
      <c r="G138" t="b">
        <v>1</v>
      </c>
      <c r="H138" t="n">
        <v/>
      </c>
      <c r="I138" s="5" t="inlineStr">
        <is>
          <t>01a1212c-b854-7187-b4e1-0bae09d73fa0</t>
        </is>
      </c>
      <c r="J138" t="inlineStr">
        <is>
          <t>UNFRANKED_DISTRIBUTION</t>
        </is>
      </c>
      <c r="K138" t="inlineStr">
        <is>
          <t>AUD</t>
        </is>
      </c>
      <c r="L138" t="n">
        <v>308.5</v>
      </c>
    </row>
    <row r="139">
      <c r="A139" s="5" t="inlineStr">
        <is>
          <t>01a1212c-b9d0-713e-8c47-11dc73341a8f</t>
        </is>
      </c>
      <c r="B139" t="inlineStr">
        <is>
          <t>AS014-AMIT_GROSS_UP</t>
        </is>
      </c>
      <c r="D139" s="5" t="inlineStr">
        <is>
          <t>01a1212c-4b57-70cf-80fd-c2192cb3bf81</t>
        </is>
      </c>
      <c r="E139" s="4" t="n">
        <v>46304.62432537773</v>
      </c>
      <c r="F139" s="4" t="n">
        <v>46304.62432537782</v>
      </c>
      <c r="G139" t="b">
        <v>1</v>
      </c>
      <c r="H139" t="n">
        <v/>
      </c>
      <c r="I139" s="5" t="inlineStr">
        <is>
          <t>01a1212c-b85f-71a3-a8e6-451263325796</t>
        </is>
      </c>
      <c r="J139" t="inlineStr">
        <is>
          <t>AMIT_GROSS_UP</t>
        </is>
      </c>
      <c r="K139" t="inlineStr">
        <is>
          <t>AUD</t>
        </is>
      </c>
      <c r="L139" t="n">
        <v>174.24</v>
      </c>
    </row>
    <row r="140">
      <c r="A140" s="5" t="inlineStr">
        <is>
          <t>01a1212c-b9dc-7563-814c-f9f6ed2bd271</t>
        </is>
      </c>
      <c r="B140" t="inlineStr">
        <is>
          <t>AS014-COSTBASE_INCREASE</t>
        </is>
      </c>
      <c r="D140" s="5" t="inlineStr">
        <is>
          <t>01a1212c-4b57-70cf-80fd-c2192cb3bf81</t>
        </is>
      </c>
      <c r="E140" s="4" t="n">
        <v>46304.62432551161</v>
      </c>
      <c r="F140" s="4" t="n">
        <v>46304.62432551169</v>
      </c>
      <c r="G140" t="b">
        <v>1</v>
      </c>
      <c r="H140" t="n">
        <v/>
      </c>
      <c r="I140" s="5" t="inlineStr">
        <is>
          <t>01a1212c-b85f-71a3-a8e6-451263325796</t>
        </is>
      </c>
      <c r="J140" t="inlineStr">
        <is>
          <t>COSTBASE_INCREASE</t>
        </is>
      </c>
      <c r="K140" t="inlineStr">
        <is>
          <t>AUD</t>
        </is>
      </c>
      <c r="L140" t="n">
        <v>189.54</v>
      </c>
    </row>
    <row r="141">
      <c r="A141" s="5" t="inlineStr">
        <is>
          <t>01a1212c-b9cc-7103-b7fc-e3165739973e</t>
        </is>
      </c>
      <c r="B141" t="inlineStr">
        <is>
          <t>AS014-DISCOUNTED_NTAP</t>
        </is>
      </c>
      <c r="D141" s="5" t="inlineStr">
        <is>
          <t>01a1212c-4b57-70cf-80fd-c2192cb3bf81</t>
        </is>
      </c>
      <c r="E141" s="4" t="n">
        <v>46304.62432533617</v>
      </c>
      <c r="F141" s="4" t="n">
        <v>46304.62432533625</v>
      </c>
      <c r="G141" t="b">
        <v>1</v>
      </c>
      <c r="H141" t="n">
        <v/>
      </c>
      <c r="I141" s="5" t="inlineStr">
        <is>
          <t>01a1212c-b85f-71a3-a8e6-451263325796</t>
        </is>
      </c>
      <c r="J141" t="inlineStr">
        <is>
          <t>DISCOUNTED_NTAP</t>
        </is>
      </c>
      <c r="K141" t="inlineStr">
        <is>
          <t>AUD</t>
        </is>
      </c>
      <c r="L141" t="n">
        <v>174.24</v>
      </c>
    </row>
    <row r="142">
      <c r="A142" s="5" t="inlineStr">
        <is>
          <t>01a1212c-b9da-7253-9dce-147b68ff8b9a</t>
        </is>
      </c>
      <c r="B142" t="inlineStr">
        <is>
          <t>AS014-FOREIGN_INCOME_TAX_OFFSET</t>
        </is>
      </c>
      <c r="D142" s="5" t="inlineStr">
        <is>
          <t>01a1212c-4b57-70cf-80fd-c2192cb3bf81</t>
        </is>
      </c>
      <c r="E142" s="4" t="n">
        <v>46304.62432548971</v>
      </c>
      <c r="F142" s="4" t="n">
        <v>46304.6243254898</v>
      </c>
      <c r="G142" t="b">
        <v>1</v>
      </c>
      <c r="H142" t="n">
        <v/>
      </c>
      <c r="I142" s="5" t="inlineStr">
        <is>
          <t>01a1212c-b85f-71a3-a8e6-451263325796</t>
        </is>
      </c>
      <c r="J142" t="inlineStr">
        <is>
          <t>FOREIGN_INCOME_TAX_OFFSET</t>
        </is>
      </c>
      <c r="K142" t="inlineStr">
        <is>
          <t>AUD</t>
        </is>
      </c>
      <c r="L142" t="n">
        <v>237.12</v>
      </c>
    </row>
    <row r="143">
      <c r="A143" s="5" t="inlineStr">
        <is>
          <t>01a1212c-b9d4-706c-84e1-9ca99ff33015</t>
        </is>
      </c>
      <c r="B143" t="inlineStr">
        <is>
          <t>AS014-FOREIGN_SOURCE_INCOME</t>
        </is>
      </c>
      <c r="D143" s="5" t="inlineStr">
        <is>
          <t>01a1212c-4b57-70cf-80fd-c2192cb3bf81</t>
        </is>
      </c>
      <c r="E143" s="4" t="n">
        <v>46304.6243254182</v>
      </c>
      <c r="F143" s="4" t="n">
        <v>46304.62432541828</v>
      </c>
      <c r="G143" t="b">
        <v>1</v>
      </c>
      <c r="H143" t="n">
        <v/>
      </c>
      <c r="I143" s="5" t="inlineStr">
        <is>
          <t>01a1212c-b85f-71a3-a8e6-451263325796</t>
        </is>
      </c>
      <c r="J143" t="inlineStr">
        <is>
          <t>FOREIGN_SOURCE_INCOME</t>
        </is>
      </c>
      <c r="K143" t="inlineStr">
        <is>
          <t>AUD</t>
        </is>
      </c>
      <c r="L143" t="n">
        <v>2371.23</v>
      </c>
    </row>
    <row r="144">
      <c r="A144" s="5" t="inlineStr">
        <is>
          <t>01a1212c-b9d5-778d-aade-b260c69c6767</t>
        </is>
      </c>
      <c r="B144" t="inlineStr">
        <is>
          <t>AS014-INTEREST</t>
        </is>
      </c>
      <c r="D144" s="5" t="inlineStr">
        <is>
          <t>01a1212c-4b57-70cf-80fd-c2192cb3bf81</t>
        </is>
      </c>
      <c r="E144" s="4" t="n">
        <v>46304.62432543825</v>
      </c>
      <c r="F144" s="4" t="n">
        <v>46304.62432543832</v>
      </c>
      <c r="G144" t="b">
        <v>1</v>
      </c>
      <c r="H144" t="n">
        <v/>
      </c>
      <c r="I144" s="5" t="inlineStr">
        <is>
          <t>01a1212c-b85f-71a3-a8e6-451263325796</t>
        </is>
      </c>
      <c r="J144" t="inlineStr">
        <is>
          <t>INTEREST</t>
        </is>
      </c>
      <c r="K144" t="inlineStr">
        <is>
          <t>AUD</t>
        </is>
      </c>
      <c r="L144" t="n">
        <v>126.13</v>
      </c>
    </row>
    <row r="145">
      <c r="A145" s="5" t="inlineStr">
        <is>
          <t>01a1212c-b9ce-731e-9275-3f6abbf9fddf</t>
        </is>
      </c>
      <c r="B145" t="inlineStr">
        <is>
          <t>AS014-OTHER_NTAP</t>
        </is>
      </c>
      <c r="D145" s="5" t="inlineStr">
        <is>
          <t>01a1212c-4b57-70cf-80fd-c2192cb3bf81</t>
        </is>
      </c>
      <c r="E145" s="4" t="n">
        <v>46304.62432535746</v>
      </c>
      <c r="F145" s="4" t="n">
        <v>46304.62432535754</v>
      </c>
      <c r="G145" t="b">
        <v>1</v>
      </c>
      <c r="H145" t="n">
        <v/>
      </c>
      <c r="I145" s="5" t="inlineStr">
        <is>
          <t>01a1212c-b85f-71a3-a8e6-451263325796</t>
        </is>
      </c>
      <c r="J145" t="inlineStr">
        <is>
          <t>OTHER_NTAP</t>
        </is>
      </c>
      <c r="K145" t="inlineStr">
        <is>
          <t>AUD</t>
        </is>
      </c>
      <c r="L145" t="n">
        <v>67.15000000000001</v>
      </c>
    </row>
    <row r="146">
      <c r="A146" s="5" t="inlineStr">
        <is>
          <t>01a1212c-b9d2-767b-b640-03abc9af42b3</t>
        </is>
      </c>
      <c r="B146" t="inlineStr">
        <is>
          <t>AS014-TOTAL_CY_CG</t>
        </is>
      </c>
      <c r="D146" s="5" t="inlineStr">
        <is>
          <t>01a1212c-4b57-70cf-80fd-c2192cb3bf81</t>
        </is>
      </c>
      <c r="E146" s="4" t="n">
        <v>46304.62432539787</v>
      </c>
      <c r="F146" s="4" t="n">
        <v>46304.62432539794</v>
      </c>
      <c r="G146" t="b">
        <v>1</v>
      </c>
      <c r="H146" t="n">
        <v/>
      </c>
      <c r="I146" s="5" t="inlineStr">
        <is>
          <t>01a1212c-b85f-71a3-a8e6-451263325796</t>
        </is>
      </c>
      <c r="J146" t="inlineStr">
        <is>
          <t>TOTAL_CY_CG</t>
        </is>
      </c>
      <c r="K146" t="inlineStr">
        <is>
          <t>AUD</t>
        </is>
      </c>
      <c r="L146" t="n">
        <v>415.63</v>
      </c>
    </row>
    <row r="147">
      <c r="A147" s="5" t="inlineStr">
        <is>
          <t>01a1212c-b9d7-76e9-a1ba-f3511f05012e</t>
        </is>
      </c>
      <c r="B147" t="inlineStr">
        <is>
          <t>AS014-UNFRANKED_DISTRIBUTION</t>
        </is>
      </c>
      <c r="D147" s="5" t="inlineStr">
        <is>
          <t>01a1212c-4b57-70cf-80fd-c2192cb3bf81</t>
        </is>
      </c>
      <c r="E147" s="4" t="n">
        <v>46304.62432546319</v>
      </c>
      <c r="F147" s="4" t="n">
        <v>46304.62432546333</v>
      </c>
      <c r="G147" t="b">
        <v>1</v>
      </c>
      <c r="H147" t="n">
        <v/>
      </c>
      <c r="I147" s="5" t="inlineStr">
        <is>
          <t>01a1212c-b85f-71a3-a8e6-451263325796</t>
        </is>
      </c>
      <c r="J147" t="inlineStr">
        <is>
          <t>UNFRANKED_DISTRIBUTION</t>
        </is>
      </c>
      <c r="K147" t="inlineStr">
        <is>
          <t>AUD</t>
        </is>
      </c>
      <c r="L147" t="n">
        <v>25.23</v>
      </c>
    </row>
    <row r="148">
      <c r="A148" s="5" t="inlineStr">
        <is>
          <t>01a1212c-b9e4-72ee-84b6-6387a591f204</t>
        </is>
      </c>
      <c r="B148" t="inlineStr">
        <is>
          <t>AS015-AMIT_GROSS_UP</t>
        </is>
      </c>
      <c r="D148" s="5" t="inlineStr">
        <is>
          <t>01a1212c-4b57-70cf-80fd-c2192cb3bf81</t>
        </is>
      </c>
      <c r="E148" s="4" t="n">
        <v>46304.62432560329</v>
      </c>
      <c r="F148" s="4" t="n">
        <v>46304.62432560337</v>
      </c>
      <c r="G148" t="b">
        <v>1</v>
      </c>
      <c r="H148" t="n">
        <v/>
      </c>
      <c r="I148" s="5" t="inlineStr">
        <is>
          <t>01a1212c-b86b-777c-82c2-481ee7894241</t>
        </is>
      </c>
      <c r="J148" t="inlineStr">
        <is>
          <t>AMIT_GROSS_UP</t>
        </is>
      </c>
      <c r="K148" t="inlineStr">
        <is>
          <t>AUD</t>
        </is>
      </c>
      <c r="L148" t="n">
        <v>499.66</v>
      </c>
    </row>
    <row r="149">
      <c r="A149" s="5" t="inlineStr">
        <is>
          <t>01a1212c-b9f3-7354-a7d8-69dfb87e2fca</t>
        </is>
      </c>
      <c r="B149" t="inlineStr">
        <is>
          <t>AS015-COSTBASE_DECREASE</t>
        </is>
      </c>
      <c r="D149" s="5" t="inlineStr">
        <is>
          <t>01a1212c-4b57-70cf-80fd-c2192cb3bf81</t>
        </is>
      </c>
      <c r="E149" s="4" t="n">
        <v>46304.62432577989</v>
      </c>
      <c r="F149" s="4" t="n">
        <v>46304.62432577997</v>
      </c>
      <c r="G149" t="b">
        <v>1</v>
      </c>
      <c r="H149" t="n">
        <v/>
      </c>
      <c r="I149" s="5" t="inlineStr">
        <is>
          <t>01a1212c-b86b-777c-82c2-481ee7894241</t>
        </is>
      </c>
      <c r="J149" t="inlineStr">
        <is>
          <t>COSTBASE_DECREASE</t>
        </is>
      </c>
      <c r="K149" t="inlineStr">
        <is>
          <t>AUD</t>
        </is>
      </c>
      <c r="L149" t="n">
        <v>416.72</v>
      </c>
    </row>
    <row r="150">
      <c r="A150" s="5" t="inlineStr">
        <is>
          <t>01a1212c-b9e0-77f9-8ad9-ec0b415076eb</t>
        </is>
      </c>
      <c r="B150" t="inlineStr">
        <is>
          <t>AS015-DISCOUNTED_NTAP</t>
        </is>
      </c>
      <c r="D150" s="5" t="inlineStr">
        <is>
          <t>01a1212c-4b57-70cf-80fd-c2192cb3bf81</t>
        </is>
      </c>
      <c r="E150" s="4" t="n">
        <v>46304.62432556078</v>
      </c>
      <c r="F150" s="4" t="n">
        <v>46304.62432556086</v>
      </c>
      <c r="G150" t="b">
        <v>1</v>
      </c>
      <c r="H150" t="n">
        <v/>
      </c>
      <c r="I150" s="5" t="inlineStr">
        <is>
          <t>01a1212c-b86b-777c-82c2-481ee7894241</t>
        </is>
      </c>
      <c r="J150" t="inlineStr">
        <is>
          <t>DISCOUNTED_NTAP</t>
        </is>
      </c>
      <c r="K150" t="inlineStr">
        <is>
          <t>AUD</t>
        </is>
      </c>
      <c r="L150" t="n">
        <v>460.39</v>
      </c>
    </row>
    <row r="151">
      <c r="A151" s="5" t="inlineStr">
        <is>
          <t>01a1212c-b9de-73da-b7d8-1a41af33ff9d</t>
        </is>
      </c>
      <c r="B151" t="inlineStr">
        <is>
          <t>AS015-DISCOUNTED_TAP</t>
        </is>
      </c>
      <c r="D151" s="5" t="inlineStr">
        <is>
          <t>01a1212c-4b57-70cf-80fd-c2192cb3bf81</t>
        </is>
      </c>
      <c r="E151" s="4" t="n">
        <v>46304.62432553888</v>
      </c>
      <c r="F151" s="4" t="n">
        <v>46304.62432553896</v>
      </c>
      <c r="G151" t="b">
        <v>1</v>
      </c>
      <c r="H151" t="n">
        <v/>
      </c>
      <c r="I151" s="5" t="inlineStr">
        <is>
          <t>01a1212c-b86b-777c-82c2-481ee7894241</t>
        </is>
      </c>
      <c r="J151" t="inlineStr">
        <is>
          <t>DISCOUNTED_TAP</t>
        </is>
      </c>
      <c r="K151" t="inlineStr">
        <is>
          <t>AUD</t>
        </is>
      </c>
      <c r="L151" t="n">
        <v>39.27</v>
      </c>
    </row>
    <row r="152">
      <c r="A152" s="5" t="inlineStr">
        <is>
          <t>01a1212c-b9f1-702a-842f-c59e8ded8001</t>
        </is>
      </c>
      <c r="B152" t="inlineStr">
        <is>
          <t>AS015-FOREIGN_INCOME_TAX_OFFSET</t>
        </is>
      </c>
      <c r="D152" s="5" t="inlineStr">
        <is>
          <t>01a1212c-4b57-70cf-80fd-c2192cb3bf81</t>
        </is>
      </c>
      <c r="E152" s="4" t="n">
        <v>46304.62432575914</v>
      </c>
      <c r="F152" s="4" t="n">
        <v>46304.62432575922</v>
      </c>
      <c r="G152" t="b">
        <v>1</v>
      </c>
      <c r="H152" t="n">
        <v/>
      </c>
      <c r="I152" s="5" t="inlineStr">
        <is>
          <t>01a1212c-b86b-777c-82c2-481ee7894241</t>
        </is>
      </c>
      <c r="J152" t="inlineStr">
        <is>
          <t>FOREIGN_INCOME_TAX_OFFSET</t>
        </is>
      </c>
      <c r="K152" t="inlineStr">
        <is>
          <t>AUD</t>
        </is>
      </c>
      <c r="L152" t="n">
        <v>24.45</v>
      </c>
    </row>
    <row r="153">
      <c r="A153" s="5" t="inlineStr">
        <is>
          <t>01a1212c-b9eb-7298-9d88-e687ed72e338</t>
        </is>
      </c>
      <c r="B153" t="inlineStr">
        <is>
          <t>AS015-FOREIGN_SOURCE_INCOME</t>
        </is>
      </c>
      <c r="D153" s="5" t="inlineStr">
        <is>
          <t>01a1212c-4b57-70cf-80fd-c2192cb3bf81</t>
        </is>
      </c>
      <c r="E153" s="4" t="n">
        <v>46304.62432569096</v>
      </c>
      <c r="F153" s="4" t="n">
        <v>46304.62432569105</v>
      </c>
      <c r="G153" t="b">
        <v>1</v>
      </c>
      <c r="H153" t="n">
        <v/>
      </c>
      <c r="I153" s="5" t="inlineStr">
        <is>
          <t>01a1212c-b86b-777c-82c2-481ee7894241</t>
        </is>
      </c>
      <c r="J153" t="inlineStr">
        <is>
          <t>FOREIGN_SOURCE_INCOME</t>
        </is>
      </c>
      <c r="K153" t="inlineStr">
        <is>
          <t>AUD</t>
        </is>
      </c>
      <c r="L153" t="n">
        <v>244.49</v>
      </c>
    </row>
    <row r="154">
      <c r="A154" s="5" t="inlineStr">
        <is>
          <t>01a1212c-b9e7-7718-a5b1-99b0ad9af8f8</t>
        </is>
      </c>
      <c r="B154" t="inlineStr">
        <is>
          <t>AS015-FRANKED_DISTRIBUTION</t>
        </is>
      </c>
      <c r="D154" s="5" t="inlineStr">
        <is>
          <t>01a1212c-4b57-70cf-80fd-c2192cb3bf81</t>
        </is>
      </c>
      <c r="E154" s="4" t="n">
        <v>46304.62432564567</v>
      </c>
      <c r="F154" s="4" t="n">
        <v>46304.62432564577</v>
      </c>
      <c r="G154" t="b">
        <v>1</v>
      </c>
      <c r="H154" t="n">
        <v/>
      </c>
      <c r="I154" s="5" t="inlineStr">
        <is>
          <t>01a1212c-b86b-777c-82c2-481ee7894241</t>
        </is>
      </c>
      <c r="J154" t="inlineStr">
        <is>
          <t>FRANKED_DISTRIBUTION</t>
        </is>
      </c>
      <c r="K154" t="inlineStr">
        <is>
          <t>AUD</t>
        </is>
      </c>
      <c r="L154" t="n">
        <v>3259.87</v>
      </c>
    </row>
    <row r="155">
      <c r="A155" s="5" t="inlineStr">
        <is>
          <t>01a1212c-b9ef-73aa-904c-6cd7041f0248</t>
        </is>
      </c>
      <c r="B155" t="inlineStr">
        <is>
          <t>AS015-FRANKING_CREDIT</t>
        </is>
      </c>
      <c r="D155" s="5" t="inlineStr">
        <is>
          <t>01a1212c-4b57-70cf-80fd-c2192cb3bf81</t>
        </is>
      </c>
      <c r="E155" s="4" t="n">
        <v>46304.624325737</v>
      </c>
      <c r="F155" s="4" t="n">
        <v>46304.6243257371</v>
      </c>
      <c r="G155" t="b">
        <v>1</v>
      </c>
      <c r="H155" t="n">
        <v/>
      </c>
      <c r="I155" s="5" t="inlineStr">
        <is>
          <t>01a1212c-b86b-777c-82c2-481ee7894241</t>
        </is>
      </c>
      <c r="J155" t="inlineStr">
        <is>
          <t>FRANKING_CREDIT</t>
        </is>
      </c>
      <c r="K155" t="inlineStr">
        <is>
          <t>AUD</t>
        </is>
      </c>
      <c r="L155" t="n">
        <v>1397.09</v>
      </c>
    </row>
    <row r="156">
      <c r="A156" s="5" t="inlineStr">
        <is>
          <t>01a1212c-b9ed-77b1-9663-8847db84d540</t>
        </is>
      </c>
      <c r="B156" t="inlineStr">
        <is>
          <t>AS015-INTEREST</t>
        </is>
      </c>
      <c r="D156" s="5" t="inlineStr">
        <is>
          <t>01a1212c-4b57-70cf-80fd-c2192cb3bf81</t>
        </is>
      </c>
      <c r="E156" s="4" t="n">
        <v>46304.62432571506</v>
      </c>
      <c r="F156" s="4" t="n">
        <v>46304.62432571514</v>
      </c>
      <c r="G156" t="b">
        <v>1</v>
      </c>
      <c r="H156" t="n">
        <v/>
      </c>
      <c r="I156" s="5" t="inlineStr">
        <is>
          <t>01a1212c-b86b-777c-82c2-481ee7894241</t>
        </is>
      </c>
      <c r="J156" t="inlineStr">
        <is>
          <t>INTEREST</t>
        </is>
      </c>
      <c r="K156" t="inlineStr">
        <is>
          <t>AUD</t>
        </is>
      </c>
      <c r="L156" t="n">
        <v>81.5</v>
      </c>
    </row>
    <row r="157">
      <c r="A157" s="5" t="inlineStr">
        <is>
          <t>01a1212c-b9e2-7717-bbc5-b59710f52cfb</t>
        </is>
      </c>
      <c r="B157" t="inlineStr">
        <is>
          <t>AS015-OTHER_NTAP</t>
        </is>
      </c>
      <c r="D157" s="5" t="inlineStr">
        <is>
          <t>01a1212c-4b57-70cf-80fd-c2192cb3bf81</t>
        </is>
      </c>
      <c r="E157" s="4" t="n">
        <v>46304.62432558191</v>
      </c>
      <c r="F157" s="4" t="n">
        <v>46304.62432558199</v>
      </c>
      <c r="G157" t="b">
        <v>1</v>
      </c>
      <c r="H157" t="n">
        <v/>
      </c>
      <c r="I157" s="5" t="inlineStr">
        <is>
          <t>01a1212c-b86b-777c-82c2-481ee7894241</t>
        </is>
      </c>
      <c r="J157" t="inlineStr">
        <is>
          <t>OTHER_NTAP</t>
        </is>
      </c>
      <c r="K157" t="inlineStr">
        <is>
          <t>AUD</t>
        </is>
      </c>
      <c r="L157" t="n">
        <v>90.67</v>
      </c>
    </row>
    <row r="158">
      <c r="A158" s="5" t="inlineStr">
        <is>
          <t>01a1212c-b9e5-7508-bb98-806b24ea4315</t>
        </is>
      </c>
      <c r="B158" t="inlineStr">
        <is>
          <t>AS015-TOTAL_CY_CG</t>
        </is>
      </c>
      <c r="D158" s="5" t="inlineStr">
        <is>
          <t>01a1212c-4b57-70cf-80fd-c2192cb3bf81</t>
        </is>
      </c>
      <c r="E158" s="4" t="n">
        <v>46304.62432562419</v>
      </c>
      <c r="F158" s="4" t="n">
        <v>46304.62432562427</v>
      </c>
      <c r="G158" t="b">
        <v>1</v>
      </c>
      <c r="H158" t="n">
        <v/>
      </c>
      <c r="I158" s="5" t="inlineStr">
        <is>
          <t>01a1212c-b86b-777c-82c2-481ee7894241</t>
        </is>
      </c>
      <c r="J158" t="inlineStr">
        <is>
          <t>TOTAL_CY_CG</t>
        </is>
      </c>
      <c r="K158" t="inlineStr">
        <is>
          <t>AUD</t>
        </is>
      </c>
      <c r="L158" t="n">
        <v>1089.99</v>
      </c>
    </row>
    <row r="159">
      <c r="A159" s="5" t="inlineStr">
        <is>
          <t>01a1212c-b9e9-722a-986a-e33c04db0833</t>
        </is>
      </c>
      <c r="B159" t="inlineStr">
        <is>
          <t>AS015-UNFRANKED_DISTRIBUTION</t>
        </is>
      </c>
      <c r="D159" s="5" t="inlineStr">
        <is>
          <t>01a1212c-4b57-70cf-80fd-c2192cb3bf81</t>
        </is>
      </c>
      <c r="E159" s="4" t="n">
        <v>46304.62432566963</v>
      </c>
      <c r="F159" s="4" t="n">
        <v>46304.62432566972</v>
      </c>
      <c r="G159" t="b">
        <v>1</v>
      </c>
      <c r="H159" t="n">
        <v/>
      </c>
      <c r="I159" s="5" t="inlineStr">
        <is>
          <t>01a1212c-b86b-777c-82c2-481ee7894241</t>
        </is>
      </c>
      <c r="J159" t="inlineStr">
        <is>
          <t>UNFRANKED_DISTRIBUTION</t>
        </is>
      </c>
      <c r="K159" t="inlineStr">
        <is>
          <t>AUD</t>
        </is>
      </c>
      <c r="L159" t="n">
        <v>488.98</v>
      </c>
    </row>
    <row r="160">
      <c r="A160" s="5" t="inlineStr">
        <is>
          <t>01a1212c-b9f9-7693-96f7-4eca8a3c9330</t>
        </is>
      </c>
      <c r="B160" t="inlineStr">
        <is>
          <t>AS016-AMIT_GROSS_UP</t>
        </is>
      </c>
      <c r="D160" s="5" t="inlineStr">
        <is>
          <t>01a1212c-4b57-70cf-80fd-c2192cb3bf81</t>
        </is>
      </c>
      <c r="E160" s="4" t="n">
        <v>46304.62432584703</v>
      </c>
      <c r="F160" s="4" t="n">
        <v>46304.62432584713</v>
      </c>
      <c r="G160" t="b">
        <v>1</v>
      </c>
      <c r="H160" t="n">
        <v/>
      </c>
      <c r="I160" s="5" t="inlineStr">
        <is>
          <t>01a1212c-b877-7625-9b2f-981f613f84c3</t>
        </is>
      </c>
      <c r="J160" t="inlineStr">
        <is>
          <t>AMIT_GROSS_UP</t>
        </is>
      </c>
      <c r="K160" t="inlineStr">
        <is>
          <t>AUD</t>
        </is>
      </c>
      <c r="L160" t="n">
        <v>54.29</v>
      </c>
    </row>
    <row r="161">
      <c r="A161" s="5" t="inlineStr">
        <is>
          <t>01a1212c-ba05-7164-818a-6cc9e61f3711</t>
        </is>
      </c>
      <c r="B161" t="inlineStr">
        <is>
          <t>AS016-COSTBASE_DECREASE</t>
        </is>
      </c>
      <c r="D161" s="5" t="inlineStr">
        <is>
          <t>01a1212c-4b57-70cf-80fd-c2192cb3bf81</t>
        </is>
      </c>
      <c r="E161" s="4" t="n">
        <v>46304.62432598495</v>
      </c>
      <c r="F161" s="4" t="n">
        <v>46304.62432598505</v>
      </c>
      <c r="G161" t="b">
        <v>1</v>
      </c>
      <c r="H161" t="n">
        <v/>
      </c>
      <c r="I161" s="5" t="inlineStr">
        <is>
          <t>01a1212c-b877-7625-9b2f-981f613f84c3</t>
        </is>
      </c>
      <c r="J161" t="inlineStr">
        <is>
          <t>COSTBASE_DECREASE</t>
        </is>
      </c>
      <c r="K161" t="inlineStr">
        <is>
          <t>AUD</t>
        </is>
      </c>
      <c r="L161" t="n">
        <v>89.95999999999999</v>
      </c>
    </row>
    <row r="162">
      <c r="A162" s="5" t="inlineStr">
        <is>
          <t>01a1212c-b9f5-76ff-907c-fc93fe973fc9</t>
        </is>
      </c>
      <c r="B162" t="inlineStr">
        <is>
          <t>AS016-DISCOUNTED_NTAP</t>
        </is>
      </c>
      <c r="D162" s="5" t="inlineStr">
        <is>
          <t>01a1212c-4b57-70cf-80fd-c2192cb3bf81</t>
        </is>
      </c>
      <c r="E162" s="4" t="n">
        <v>46304.62432580083</v>
      </c>
      <c r="F162" s="4" t="n">
        <v>46304.62432580091</v>
      </c>
      <c r="G162" t="b">
        <v>1</v>
      </c>
      <c r="H162" t="n">
        <v/>
      </c>
      <c r="I162" s="5" t="inlineStr">
        <is>
          <t>01a1212c-b877-7625-9b2f-981f613f84c3</t>
        </is>
      </c>
      <c r="J162" t="inlineStr">
        <is>
          <t>DISCOUNTED_NTAP</t>
        </is>
      </c>
      <c r="K162" t="inlineStr">
        <is>
          <t>AUD</t>
        </is>
      </c>
      <c r="L162" t="n">
        <v>54.29</v>
      </c>
    </row>
    <row r="163">
      <c r="A163" s="5" t="inlineStr">
        <is>
          <t>01a1212c-ba03-75dd-a1ff-1c0df2023518</t>
        </is>
      </c>
      <c r="B163" t="inlineStr">
        <is>
          <t>AS016-FOREIGN_INCOME_TAX_OFFSET</t>
        </is>
      </c>
      <c r="D163" s="5" t="inlineStr">
        <is>
          <t>01a1212c-4b57-70cf-80fd-c2192cb3bf81</t>
        </is>
      </c>
      <c r="E163" s="4" t="n">
        <v>46304.62432596224</v>
      </c>
      <c r="F163" s="4" t="n">
        <v>46304.62432596233</v>
      </c>
      <c r="G163" t="b">
        <v>1</v>
      </c>
      <c r="H163" t="n">
        <v/>
      </c>
      <c r="I163" s="5" t="inlineStr">
        <is>
          <t>01a1212c-b877-7625-9b2f-981f613f84c3</t>
        </is>
      </c>
      <c r="J163" t="inlineStr">
        <is>
          <t>FOREIGN_INCOME_TAX_OFFSET</t>
        </is>
      </c>
      <c r="K163" t="inlineStr">
        <is>
          <t>AUD</t>
        </is>
      </c>
      <c r="L163" t="n">
        <v>187.46</v>
      </c>
    </row>
    <row r="164">
      <c r="A164" s="5" t="inlineStr">
        <is>
          <t>01a1212c-b9fd-715c-8f7a-c3460df1e76b</t>
        </is>
      </c>
      <c r="B164" t="inlineStr">
        <is>
          <t>AS016-FOREIGN_SOURCE_INCOME</t>
        </is>
      </c>
      <c r="D164" s="5" t="inlineStr">
        <is>
          <t>01a1212c-4b57-70cf-80fd-c2192cb3bf81</t>
        </is>
      </c>
      <c r="E164" s="4" t="n">
        <v>46304.62432589433</v>
      </c>
      <c r="F164" s="4" t="n">
        <v>46304.62432589441</v>
      </c>
      <c r="G164" t="b">
        <v>1</v>
      </c>
      <c r="H164" t="n">
        <v/>
      </c>
      <c r="I164" s="5" t="inlineStr">
        <is>
          <t>01a1212c-b877-7625-9b2f-981f613f84c3</t>
        </is>
      </c>
      <c r="J164" t="inlineStr">
        <is>
          <t>FOREIGN_SOURCE_INCOME</t>
        </is>
      </c>
      <c r="K164" t="inlineStr">
        <is>
          <t>AUD</t>
        </is>
      </c>
      <c r="L164" t="n">
        <v>1874.64</v>
      </c>
    </row>
    <row r="165">
      <c r="A165" s="5" t="inlineStr">
        <is>
          <t>01a1212c-b9ff-73c6-bc98-4511c731bf93</t>
        </is>
      </c>
      <c r="B165" t="inlineStr">
        <is>
          <t>AS016-INTEREST</t>
        </is>
      </c>
      <c r="D165" s="5" t="inlineStr">
        <is>
          <t>01a1212c-4b57-70cf-80fd-c2192cb3bf81</t>
        </is>
      </c>
      <c r="E165" s="4" t="n">
        <v>46304.62432591811</v>
      </c>
      <c r="F165" s="4" t="n">
        <v>46304.62432591819</v>
      </c>
      <c r="G165" t="b">
        <v>1</v>
      </c>
      <c r="H165" t="n">
        <v/>
      </c>
      <c r="I165" s="5" t="inlineStr">
        <is>
          <t>01a1212c-b877-7625-9b2f-981f613f84c3</t>
        </is>
      </c>
      <c r="J165" t="inlineStr">
        <is>
          <t>INTEREST</t>
        </is>
      </c>
      <c r="K165" t="inlineStr">
        <is>
          <t>AUD</t>
        </is>
      </c>
      <c r="L165" t="n">
        <v>99.70999999999999</v>
      </c>
    </row>
    <row r="166">
      <c r="A166" s="5" t="inlineStr">
        <is>
          <t>01a1212c-b9f6-740b-8def-ee569dd639f6</t>
        </is>
      </c>
      <c r="B166" t="inlineStr">
        <is>
          <t>AS016-OTHER_NTAP</t>
        </is>
      </c>
      <c r="D166" s="5" t="inlineStr">
        <is>
          <t>01a1212c-4b57-70cf-80fd-c2192cb3bf81</t>
        </is>
      </c>
      <c r="E166" s="4" t="n">
        <v>46304.6243258214</v>
      </c>
      <c r="F166" s="4" t="n">
        <v>46304.62432582148</v>
      </c>
      <c r="G166" t="b">
        <v>1</v>
      </c>
      <c r="H166" t="n">
        <v/>
      </c>
      <c r="I166" s="5" t="inlineStr">
        <is>
          <t>01a1212c-b877-7625-9b2f-981f613f84c3</t>
        </is>
      </c>
      <c r="J166" t="inlineStr">
        <is>
          <t>OTHER_NTAP</t>
        </is>
      </c>
      <c r="K166" t="inlineStr">
        <is>
          <t>AUD</t>
        </is>
      </c>
      <c r="L166" t="n">
        <v>19.21</v>
      </c>
    </row>
    <row r="167">
      <c r="A167" s="5" t="inlineStr">
        <is>
          <t>01a1212c-b9fb-747a-afda-a91f3e12ab2a</t>
        </is>
      </c>
      <c r="B167" t="inlineStr">
        <is>
          <t>AS016-TOTAL_CY_CG</t>
        </is>
      </c>
      <c r="D167" s="5" t="inlineStr">
        <is>
          <t>01a1212c-4b57-70cf-80fd-c2192cb3bf81</t>
        </is>
      </c>
      <c r="E167" s="4" t="n">
        <v>46304.62432587029</v>
      </c>
      <c r="F167" s="4" t="n">
        <v>46304.62432587037</v>
      </c>
      <c r="G167" t="b">
        <v>1</v>
      </c>
      <c r="H167" t="n">
        <v/>
      </c>
      <c r="I167" s="5" t="inlineStr">
        <is>
          <t>01a1212c-b877-7625-9b2f-981f613f84c3</t>
        </is>
      </c>
      <c r="J167" t="inlineStr">
        <is>
          <t>TOTAL_CY_CG</t>
        </is>
      </c>
      <c r="K167" t="inlineStr">
        <is>
          <t>AUD</t>
        </is>
      </c>
      <c r="L167" t="n">
        <v>127.79</v>
      </c>
    </row>
    <row r="168">
      <c r="A168" s="5" t="inlineStr">
        <is>
          <t>01a1212c-ba01-770c-910d-eaa327942dbe</t>
        </is>
      </c>
      <c r="B168" t="inlineStr">
        <is>
          <t>AS016-UNFRANKED_DISTRIBUTION</t>
        </is>
      </c>
      <c r="D168" s="5" t="inlineStr">
        <is>
          <t>01a1212c-4b57-70cf-80fd-c2192cb3bf81</t>
        </is>
      </c>
      <c r="E168" s="4" t="n">
        <v>46304.62432593977</v>
      </c>
      <c r="F168" s="4" t="n">
        <v>46304.62432593985</v>
      </c>
      <c r="G168" t="b">
        <v>1</v>
      </c>
      <c r="H168" t="n">
        <v/>
      </c>
      <c r="I168" s="5" t="inlineStr">
        <is>
          <t>01a1212c-b877-7625-9b2f-981f613f84c3</t>
        </is>
      </c>
      <c r="J168" t="inlineStr">
        <is>
          <t>UNFRANKED_DISTRIBUTION</t>
        </is>
      </c>
      <c r="K168" t="inlineStr">
        <is>
          <t>AUD</t>
        </is>
      </c>
      <c r="L168" t="n">
        <v>19.94</v>
      </c>
    </row>
    <row r="169">
      <c r="A169" s="5" t="inlineStr">
        <is>
          <t>01a1212c-ba0c-7711-8044-1962877f967f</t>
        </is>
      </c>
      <c r="B169" t="inlineStr">
        <is>
          <t>AS017-AMIT_GROSS_UP</t>
        </is>
      </c>
      <c r="D169" s="5" t="inlineStr">
        <is>
          <t>01a1212c-4b57-70cf-80fd-c2192cb3bf81</t>
        </is>
      </c>
      <c r="E169" s="4" t="n">
        <v>46304.62432606953</v>
      </c>
      <c r="F169" s="4" t="n">
        <v>46304.62432606961</v>
      </c>
      <c r="G169" t="b">
        <v>1</v>
      </c>
      <c r="H169" t="n">
        <v/>
      </c>
      <c r="I169" s="5" t="inlineStr">
        <is>
          <t>01a1212c-b883-709d-abb5-b62f370f971a</t>
        </is>
      </c>
      <c r="J169" t="inlineStr">
        <is>
          <t>AMIT_GROSS_UP</t>
        </is>
      </c>
      <c r="K169" t="inlineStr">
        <is>
          <t>AUD</t>
        </is>
      </c>
      <c r="L169" t="n">
        <v>230.37</v>
      </c>
    </row>
    <row r="170">
      <c r="A170" s="5" t="inlineStr">
        <is>
          <t>01a1212c-ba1b-7687-97b0-72c971d87f6e</t>
        </is>
      </c>
      <c r="B170" t="inlineStr">
        <is>
          <t>AS017-COSTBASE_INCREASE</t>
        </is>
      </c>
      <c r="D170" s="5" t="inlineStr">
        <is>
          <t>01a1212c-4b57-70cf-80fd-c2192cb3bf81</t>
        </is>
      </c>
      <c r="E170" s="4" t="n">
        <v>46304.62432624634</v>
      </c>
      <c r="F170" s="4" t="n">
        <v>46304.62432624643</v>
      </c>
      <c r="G170" t="b">
        <v>1</v>
      </c>
      <c r="H170" t="n">
        <v/>
      </c>
      <c r="I170" s="5" t="inlineStr">
        <is>
          <t>01a1212c-b883-709d-abb5-b62f370f971a</t>
        </is>
      </c>
      <c r="J170" t="inlineStr">
        <is>
          <t>COSTBASE_INCREASE</t>
        </is>
      </c>
      <c r="K170" t="inlineStr">
        <is>
          <t>AUD</t>
        </is>
      </c>
      <c r="L170" t="n">
        <v>117.92</v>
      </c>
    </row>
    <row r="171">
      <c r="A171" s="5" t="inlineStr">
        <is>
          <t>01a1212c-ba08-726e-8dd9-9241da4c7203</t>
        </is>
      </c>
      <c r="B171" t="inlineStr">
        <is>
          <t>AS017-DISCOUNTED_NTAP</t>
        </is>
      </c>
      <c r="D171" s="5" t="inlineStr">
        <is>
          <t>01a1212c-4b57-70cf-80fd-c2192cb3bf81</t>
        </is>
      </c>
      <c r="E171" s="4" t="n">
        <v>46304.62432602778</v>
      </c>
      <c r="F171" s="4" t="n">
        <v>46304.62432602785</v>
      </c>
      <c r="G171" t="b">
        <v>1</v>
      </c>
      <c r="H171" t="n">
        <v/>
      </c>
      <c r="I171" s="5" t="inlineStr">
        <is>
          <t>01a1212c-b883-709d-abb5-b62f370f971a</t>
        </is>
      </c>
      <c r="J171" t="inlineStr">
        <is>
          <t>DISCOUNTED_NTAP</t>
        </is>
      </c>
      <c r="K171" t="inlineStr">
        <is>
          <t>AUD</t>
        </is>
      </c>
      <c r="L171" t="n">
        <v>222.23</v>
      </c>
    </row>
    <row r="172">
      <c r="A172" s="5" t="inlineStr">
        <is>
          <t>01a1212c-ba06-744f-b631-f8e9356b834f</t>
        </is>
      </c>
      <c r="B172" t="inlineStr">
        <is>
          <t>AS017-DISCOUNTED_TAP</t>
        </is>
      </c>
      <c r="D172" s="5" t="inlineStr">
        <is>
          <t>01a1212c-4b57-70cf-80fd-c2192cb3bf81</t>
        </is>
      </c>
      <c r="E172" s="4" t="n">
        <v>46304.62432600708</v>
      </c>
      <c r="F172" s="4" t="n">
        <v>46304.62432600716</v>
      </c>
      <c r="G172" t="b">
        <v>1</v>
      </c>
      <c r="H172" t="n">
        <v/>
      </c>
      <c r="I172" s="5" t="inlineStr">
        <is>
          <t>01a1212c-b883-709d-abb5-b62f370f971a</t>
        </is>
      </c>
      <c r="J172" t="inlineStr">
        <is>
          <t>DISCOUNTED_TAP</t>
        </is>
      </c>
      <c r="K172" t="inlineStr">
        <is>
          <t>AUD</t>
        </is>
      </c>
      <c r="L172" t="n">
        <v>8.140000000000001</v>
      </c>
    </row>
    <row r="173">
      <c r="A173" s="5" t="inlineStr">
        <is>
          <t>01a1212c-ba18-7540-84e5-ffcc4e14f551</t>
        </is>
      </c>
      <c r="B173" t="inlineStr">
        <is>
          <t>AS017-FOREIGN_INCOME_TAX_OFFSET</t>
        </is>
      </c>
      <c r="D173" s="5" t="inlineStr">
        <is>
          <t>01a1212c-4b57-70cf-80fd-c2192cb3bf81</t>
        </is>
      </c>
      <c r="E173" s="4" t="n">
        <v>46304.6243262167</v>
      </c>
      <c r="F173" s="4" t="n">
        <v>46304.62432621702</v>
      </c>
      <c r="G173" t="b">
        <v>1</v>
      </c>
      <c r="H173" t="n">
        <v/>
      </c>
      <c r="I173" s="5" t="inlineStr">
        <is>
          <t>01a1212c-b883-709d-abb5-b62f370f971a</t>
        </is>
      </c>
      <c r="J173" t="inlineStr">
        <is>
          <t>FOREIGN_INCOME_TAX_OFFSET</t>
        </is>
      </c>
      <c r="K173" t="inlineStr">
        <is>
          <t>AUD</t>
        </is>
      </c>
      <c r="L173" t="n">
        <v>25.94</v>
      </c>
    </row>
    <row r="174">
      <c r="A174" s="5" t="inlineStr">
        <is>
          <t>01a1212c-ba13-7094-a089-ec5cb2859150</t>
        </is>
      </c>
      <c r="B174" t="inlineStr">
        <is>
          <t>AS017-FOREIGN_SOURCE_INCOME</t>
        </is>
      </c>
      <c r="D174" s="5" t="inlineStr">
        <is>
          <t>01a1212c-4b57-70cf-80fd-c2192cb3bf81</t>
        </is>
      </c>
      <c r="E174" s="4" t="n">
        <v>46304.62432615434</v>
      </c>
      <c r="F174" s="4" t="n">
        <v>46304.62432615442</v>
      </c>
      <c r="G174" t="b">
        <v>1</v>
      </c>
      <c r="H174" t="n">
        <v/>
      </c>
      <c r="I174" s="5" t="inlineStr">
        <is>
          <t>01a1212c-b883-709d-abb5-b62f370f971a</t>
        </is>
      </c>
      <c r="J174" t="inlineStr">
        <is>
          <t>FOREIGN_SOURCE_INCOME</t>
        </is>
      </c>
      <c r="K174" t="inlineStr">
        <is>
          <t>AUD</t>
        </is>
      </c>
      <c r="L174" t="n">
        <v>259.44</v>
      </c>
    </row>
    <row r="175">
      <c r="A175" s="5" t="inlineStr">
        <is>
          <t>01a1212c-ba0f-714a-99bc-a9ac030e0d8e</t>
        </is>
      </c>
      <c r="B175" t="inlineStr">
        <is>
          <t>AS017-FRANKED_DISTRIBUTION</t>
        </is>
      </c>
      <c r="D175" s="5" t="inlineStr">
        <is>
          <t>01a1212c-4b57-70cf-80fd-c2192cb3bf81</t>
        </is>
      </c>
      <c r="E175" s="4" t="n">
        <v>46304.62432611213</v>
      </c>
      <c r="F175" s="4" t="n">
        <v>46304.62432611221</v>
      </c>
      <c r="G175" t="b">
        <v>1</v>
      </c>
      <c r="H175" t="n">
        <v/>
      </c>
      <c r="I175" s="5" t="inlineStr">
        <is>
          <t>01a1212c-b883-709d-abb5-b62f370f971a</t>
        </is>
      </c>
      <c r="J175" t="inlineStr">
        <is>
          <t>FRANKED_DISTRIBUTION</t>
        </is>
      </c>
      <c r="K175" t="inlineStr">
        <is>
          <t>AUD</t>
        </is>
      </c>
      <c r="L175" t="n">
        <v>3459.16</v>
      </c>
    </row>
    <row r="176">
      <c r="A176" s="5" t="inlineStr">
        <is>
          <t>01a1212c-ba17-7035-9066-e94dcb497baf</t>
        </is>
      </c>
      <c r="B176" t="inlineStr">
        <is>
          <t>AS017-FRANKING_CREDIT</t>
        </is>
      </c>
      <c r="D176" s="5" t="inlineStr">
        <is>
          <t>01a1212c-4b57-70cf-80fd-c2192cb3bf81</t>
        </is>
      </c>
      <c r="E176" s="4" t="n">
        <v>46304.62432619545</v>
      </c>
      <c r="F176" s="4" t="n">
        <v>46304.62432619552</v>
      </c>
      <c r="G176" t="b">
        <v>1</v>
      </c>
      <c r="H176" t="n">
        <v/>
      </c>
      <c r="I176" s="5" t="inlineStr">
        <is>
          <t>01a1212c-b883-709d-abb5-b62f370f971a</t>
        </is>
      </c>
      <c r="J176" t="inlineStr">
        <is>
          <t>FRANKING_CREDIT</t>
        </is>
      </c>
      <c r="K176" t="inlineStr">
        <is>
          <t>AUD</t>
        </is>
      </c>
      <c r="L176" t="n">
        <v>1482.5</v>
      </c>
    </row>
    <row r="177">
      <c r="A177" s="5" t="inlineStr">
        <is>
          <t>01a1212c-ba15-73cb-8a14-5e97c187d8b0</t>
        </is>
      </c>
      <c r="B177" t="inlineStr">
        <is>
          <t>AS017-INTEREST</t>
        </is>
      </c>
      <c r="D177" s="5" t="inlineStr">
        <is>
          <t>01a1212c-4b57-70cf-80fd-c2192cb3bf81</t>
        </is>
      </c>
      <c r="E177" s="4" t="n">
        <v>46304.62432617533</v>
      </c>
      <c r="F177" s="4" t="n">
        <v>46304.62432617539</v>
      </c>
      <c r="G177" t="b">
        <v>1</v>
      </c>
      <c r="H177" t="n">
        <v/>
      </c>
      <c r="I177" s="5" t="inlineStr">
        <is>
          <t>01a1212c-b883-709d-abb5-b62f370f971a</t>
        </is>
      </c>
      <c r="J177" t="inlineStr">
        <is>
          <t>INTEREST</t>
        </is>
      </c>
      <c r="K177" t="inlineStr">
        <is>
          <t>AUD</t>
        </is>
      </c>
      <c r="L177" t="n">
        <v>86.48</v>
      </c>
    </row>
    <row r="178">
      <c r="A178" s="5" t="inlineStr">
        <is>
          <t>01a1212c-ba0a-72ea-8232-7f13bdd52d1a</t>
        </is>
      </c>
      <c r="B178" t="inlineStr">
        <is>
          <t>AS017-OTHER_NTAP</t>
        </is>
      </c>
      <c r="D178" s="5" t="inlineStr">
        <is>
          <t>01a1212c-4b57-70cf-80fd-c2192cb3bf81</t>
        </is>
      </c>
      <c r="E178" s="4" t="n">
        <v>46304.62432604909</v>
      </c>
      <c r="F178" s="4" t="n">
        <v>46304.62432604917</v>
      </c>
      <c r="G178" t="b">
        <v>1</v>
      </c>
      <c r="H178" t="n">
        <v/>
      </c>
      <c r="I178" s="5" t="inlineStr">
        <is>
          <t>01a1212c-b883-709d-abb5-b62f370f971a</t>
        </is>
      </c>
      <c r="J178" t="inlineStr">
        <is>
          <t>OTHER_NTAP</t>
        </is>
      </c>
      <c r="K178" t="inlineStr">
        <is>
          <t>AUD</t>
        </is>
      </c>
      <c r="L178" t="n">
        <v>37.27</v>
      </c>
    </row>
    <row r="179">
      <c r="A179" s="5" t="inlineStr">
        <is>
          <t>01a1212c-ba0e-72f0-b6f9-a3c7afec45df</t>
        </is>
      </c>
      <c r="B179" t="inlineStr">
        <is>
          <t>AS017-TOTAL_CY_CG</t>
        </is>
      </c>
      <c r="D179" s="5" t="inlineStr">
        <is>
          <t>01a1212c-4b57-70cf-80fd-c2192cb3bf81</t>
        </is>
      </c>
      <c r="E179" s="4" t="n">
        <v>46304.62432608991</v>
      </c>
      <c r="F179" s="4" t="n">
        <v>46304.62432608999</v>
      </c>
      <c r="G179" t="b">
        <v>1</v>
      </c>
      <c r="H179" t="n">
        <v/>
      </c>
      <c r="I179" s="5" t="inlineStr">
        <is>
          <t>01a1212c-b883-709d-abb5-b62f370f971a</t>
        </is>
      </c>
      <c r="J179" t="inlineStr">
        <is>
          <t>TOTAL_CY_CG</t>
        </is>
      </c>
      <c r="K179" t="inlineStr">
        <is>
          <t>AUD</t>
        </is>
      </c>
      <c r="L179" t="n">
        <v>498.01</v>
      </c>
    </row>
    <row r="180">
      <c r="A180" s="5" t="inlineStr">
        <is>
          <t>01a1212c-ba11-74ad-9983-1e3a93dd903b</t>
        </is>
      </c>
      <c r="B180" t="inlineStr">
        <is>
          <t>AS017-UNFRANKED_DISTRIBUTION</t>
        </is>
      </c>
      <c r="D180" s="5" t="inlineStr">
        <is>
          <t>01a1212c-4b57-70cf-80fd-c2192cb3bf81</t>
        </is>
      </c>
      <c r="E180" s="4" t="n">
        <v>46304.62432613265</v>
      </c>
      <c r="F180" s="4" t="n">
        <v>46304.62432613273</v>
      </c>
      <c r="G180" t="b">
        <v>1</v>
      </c>
      <c r="H180" t="n">
        <v/>
      </c>
      <c r="I180" s="5" t="inlineStr">
        <is>
          <t>01a1212c-b883-709d-abb5-b62f370f971a</t>
        </is>
      </c>
      <c r="J180" t="inlineStr">
        <is>
          <t>UNFRANKED_DISTRIBUTION</t>
        </is>
      </c>
      <c r="K180" t="inlineStr">
        <is>
          <t>AUD</t>
        </is>
      </c>
      <c r="L180" t="n">
        <v>518.87</v>
      </c>
    </row>
    <row r="181">
      <c r="A181" s="5" t="inlineStr">
        <is>
          <t>01a1212c-ba21-76f8-bfd7-8e7a0ac6201a</t>
        </is>
      </c>
      <c r="B181" t="inlineStr">
        <is>
          <t>AS018-AMIT_GROSS_UP</t>
        </is>
      </c>
      <c r="D181" s="5" t="inlineStr">
        <is>
          <t>01a1212c-4b57-70cf-80fd-c2192cb3bf81</t>
        </is>
      </c>
      <c r="E181" s="4" t="n">
        <v>46304.62432631107</v>
      </c>
      <c r="F181" s="4" t="n">
        <v>46304.62432631115</v>
      </c>
      <c r="G181" t="b">
        <v>1</v>
      </c>
      <c r="H181" t="n">
        <v/>
      </c>
      <c r="I181" s="5" t="inlineStr">
        <is>
          <t>01a1212c-b88e-77e0-809a-a9f0ad7dc349</t>
        </is>
      </c>
      <c r="J181" t="inlineStr">
        <is>
          <t>AMIT_GROSS_UP</t>
        </is>
      </c>
      <c r="K181" t="inlineStr">
        <is>
          <t>AUD</t>
        </is>
      </c>
      <c r="L181" t="n">
        <v>161.03</v>
      </c>
    </row>
    <row r="182">
      <c r="A182" s="5" t="inlineStr">
        <is>
          <t>01a1212c-ba2b-76b4-8ec5-8a758adeaaa9</t>
        </is>
      </c>
      <c r="B182" t="inlineStr">
        <is>
          <t>AS018-COSTBASE_INCREASE</t>
        </is>
      </c>
      <c r="D182" s="5" t="inlineStr">
        <is>
          <t>01a1212c-4b57-70cf-80fd-c2192cb3bf81</t>
        </is>
      </c>
      <c r="E182" s="4" t="n">
        <v>46304.62432643575</v>
      </c>
      <c r="F182" s="4" t="n">
        <v>46304.62432643583</v>
      </c>
      <c r="G182" t="b">
        <v>1</v>
      </c>
      <c r="H182" t="n">
        <v/>
      </c>
      <c r="I182" s="5" t="inlineStr">
        <is>
          <t>01a1212c-b88e-77e0-809a-a9f0ad7dc349</t>
        </is>
      </c>
      <c r="J182" t="inlineStr">
        <is>
          <t>COSTBASE_INCREASE</t>
        </is>
      </c>
      <c r="K182" t="inlineStr">
        <is>
          <t>AUD</t>
        </is>
      </c>
      <c r="L182" t="n">
        <v>609.24</v>
      </c>
    </row>
    <row r="183">
      <c r="A183" s="5" t="inlineStr">
        <is>
          <t>01a1212c-ba1d-7080-a8b0-ea4c490a1dd7</t>
        </is>
      </c>
      <c r="B183" t="inlineStr">
        <is>
          <t>AS018-DISCOUNTED_NTAP</t>
        </is>
      </c>
      <c r="D183" s="5" t="inlineStr">
        <is>
          <t>01a1212c-4b57-70cf-80fd-c2192cb3bf81</t>
        </is>
      </c>
      <c r="E183" s="4" t="n">
        <v>46304.62432626809</v>
      </c>
      <c r="F183" s="4" t="n">
        <v>46304.62432626817</v>
      </c>
      <c r="G183" t="b">
        <v>1</v>
      </c>
      <c r="H183" t="n">
        <v/>
      </c>
      <c r="I183" s="5" t="inlineStr">
        <is>
          <t>01a1212c-b88e-77e0-809a-a9f0ad7dc349</t>
        </is>
      </c>
      <c r="J183" t="inlineStr">
        <is>
          <t>DISCOUNTED_NTAP</t>
        </is>
      </c>
      <c r="K183" t="inlineStr">
        <is>
          <t>AUD</t>
        </is>
      </c>
      <c r="L183" t="n">
        <v>161.03</v>
      </c>
    </row>
    <row r="184">
      <c r="A184" s="5" t="inlineStr">
        <is>
          <t>01a1212c-ba2a-7017-9b1c-0d08d2b5e12b</t>
        </is>
      </c>
      <c r="B184" t="inlineStr">
        <is>
          <t>AS018-FOREIGN_INCOME_TAX_OFFSET</t>
        </is>
      </c>
      <c r="D184" s="5" t="inlineStr">
        <is>
          <t>01a1212c-4b57-70cf-80fd-c2192cb3bf81</t>
        </is>
      </c>
      <c r="E184" s="4" t="n">
        <v>46304.62432641468</v>
      </c>
      <c r="F184" s="4" t="n">
        <v>46304.62432641477</v>
      </c>
      <c r="G184" t="b">
        <v>1</v>
      </c>
      <c r="H184" t="n">
        <v/>
      </c>
      <c r="I184" s="5" t="inlineStr">
        <is>
          <t>01a1212c-b88e-77e0-809a-a9f0ad7dc349</t>
        </is>
      </c>
      <c r="J184" t="inlineStr">
        <is>
          <t>FOREIGN_INCOME_TAX_OFFSET</t>
        </is>
      </c>
      <c r="K184" t="inlineStr">
        <is>
          <t>AUD</t>
        </is>
      </c>
      <c r="L184" t="n">
        <v>580.37</v>
      </c>
    </row>
    <row r="185">
      <c r="A185" s="5" t="inlineStr">
        <is>
          <t>01a1212c-ba24-762b-bf84-92009963d5ef</t>
        </is>
      </c>
      <c r="B185" t="inlineStr">
        <is>
          <t>AS018-FOREIGN_SOURCE_INCOME</t>
        </is>
      </c>
      <c r="D185" s="5" t="inlineStr">
        <is>
          <t>01a1212c-4b57-70cf-80fd-c2192cb3bf81</t>
        </is>
      </c>
      <c r="E185" s="4" t="n">
        <v>46304.6243263514</v>
      </c>
      <c r="F185" s="4" t="n">
        <v>46304.62432635147</v>
      </c>
      <c r="G185" t="b">
        <v>1</v>
      </c>
      <c r="H185" t="n">
        <v/>
      </c>
      <c r="I185" s="5" t="inlineStr">
        <is>
          <t>01a1212c-b88e-77e0-809a-a9f0ad7dc349</t>
        </is>
      </c>
      <c r="J185" t="inlineStr">
        <is>
          <t>FOREIGN_SOURCE_INCOME</t>
        </is>
      </c>
      <c r="K185" t="inlineStr">
        <is>
          <t>AUD</t>
        </is>
      </c>
      <c r="L185" t="n">
        <v>5803.68</v>
      </c>
    </row>
    <row r="186">
      <c r="A186" s="5" t="inlineStr">
        <is>
          <t>01a1212c-ba26-72fc-8c67-739b808572d8</t>
        </is>
      </c>
      <c r="B186" t="inlineStr">
        <is>
          <t>AS018-INTEREST</t>
        </is>
      </c>
      <c r="D186" s="5" t="inlineStr">
        <is>
          <t>01a1212c-4b57-70cf-80fd-c2192cb3bf81</t>
        </is>
      </c>
      <c r="E186" s="4" t="n">
        <v>46304.62432637196</v>
      </c>
      <c r="F186" s="4" t="n">
        <v>46304.62432637204</v>
      </c>
      <c r="G186" t="b">
        <v>1</v>
      </c>
      <c r="H186" t="n">
        <v/>
      </c>
      <c r="I186" s="5" t="inlineStr">
        <is>
          <t>01a1212c-b88e-77e0-809a-a9f0ad7dc349</t>
        </is>
      </c>
      <c r="J186" t="inlineStr">
        <is>
          <t>INTEREST</t>
        </is>
      </c>
      <c r="K186" t="inlineStr">
        <is>
          <t>AUD</t>
        </is>
      </c>
      <c r="L186" t="n">
        <v>308.71</v>
      </c>
    </row>
    <row r="187">
      <c r="A187" s="5" t="inlineStr">
        <is>
          <t>01a1212c-ba1f-7188-abc7-50040912b4f1</t>
        </is>
      </c>
      <c r="B187" t="inlineStr">
        <is>
          <t>AS018-OTHER_NTAP</t>
        </is>
      </c>
      <c r="D187" s="5" t="inlineStr">
        <is>
          <t>01a1212c-4b57-70cf-80fd-c2192cb3bf81</t>
        </is>
      </c>
      <c r="E187" s="4" t="n">
        <v>46304.62432629081</v>
      </c>
      <c r="F187" s="4" t="n">
        <v>46304.62432629088</v>
      </c>
      <c r="G187" t="b">
        <v>1</v>
      </c>
      <c r="H187" t="n">
        <v/>
      </c>
      <c r="I187" s="5" t="inlineStr">
        <is>
          <t>01a1212c-b88e-77e0-809a-a9f0ad7dc349</t>
        </is>
      </c>
      <c r="J187" t="inlineStr">
        <is>
          <t>OTHER_NTAP</t>
        </is>
      </c>
      <c r="K187" t="inlineStr">
        <is>
          <t>AUD</t>
        </is>
      </c>
      <c r="L187" t="n">
        <v>53.01</v>
      </c>
    </row>
    <row r="188">
      <c r="A188" s="5" t="inlineStr">
        <is>
          <t>01a1212c-ba22-74b4-8ed9-fe1c3e2ca549</t>
        </is>
      </c>
      <c r="B188" t="inlineStr">
        <is>
          <t>AS018-TOTAL_CY_CG</t>
        </is>
      </c>
      <c r="D188" s="5" t="inlineStr">
        <is>
          <t>01a1212c-4b57-70cf-80fd-c2192cb3bf81</t>
        </is>
      </c>
      <c r="E188" s="4" t="n">
        <v>46304.62432633118</v>
      </c>
      <c r="F188" s="4" t="n">
        <v>46304.62432633125</v>
      </c>
      <c r="G188" t="b">
        <v>1</v>
      </c>
      <c r="H188" t="n">
        <v/>
      </c>
      <c r="I188" s="5" t="inlineStr">
        <is>
          <t>01a1212c-b88e-77e0-809a-a9f0ad7dc349</t>
        </is>
      </c>
      <c r="J188" t="inlineStr">
        <is>
          <t>TOTAL_CY_CG</t>
        </is>
      </c>
      <c r="K188" t="inlineStr">
        <is>
          <t>AUD</t>
        </is>
      </c>
      <c r="L188" t="n">
        <v>375.07</v>
      </c>
    </row>
    <row r="189">
      <c r="A189" s="5" t="inlineStr">
        <is>
          <t>01a1212c-ba28-717a-b95a-ef3c8b78262d</t>
        </is>
      </c>
      <c r="B189" t="inlineStr">
        <is>
          <t>AS018-UNFRANKED_DISTRIBUTION</t>
        </is>
      </c>
      <c r="D189" s="5" t="inlineStr">
        <is>
          <t>01a1212c-4b57-70cf-80fd-c2192cb3bf81</t>
        </is>
      </c>
      <c r="E189" s="4" t="n">
        <v>46304.62432639227</v>
      </c>
      <c r="F189" s="4" t="n">
        <v>46304.62432639234</v>
      </c>
      <c r="G189" t="b">
        <v>1</v>
      </c>
      <c r="H189" t="n">
        <v/>
      </c>
      <c r="I189" s="5" t="inlineStr">
        <is>
          <t>01a1212c-b88e-77e0-809a-a9f0ad7dc349</t>
        </is>
      </c>
      <c r="J189" t="inlineStr">
        <is>
          <t>UNFRANKED_DISTRIBUTION</t>
        </is>
      </c>
      <c r="K189" t="inlineStr">
        <is>
          <t>AUD</t>
        </is>
      </c>
      <c r="L189" t="n">
        <v>61.74</v>
      </c>
    </row>
    <row r="190">
      <c r="A190" s="5" t="inlineStr">
        <is>
          <t>01a1212c-ba33-7538-88e9-ceea9d771185</t>
        </is>
      </c>
      <c r="B190" t="inlineStr">
        <is>
          <t>AS019-AMIT_GROSS_UP</t>
        </is>
      </c>
      <c r="D190" s="5" t="inlineStr">
        <is>
          <t>01a1212c-4b57-70cf-80fd-c2192cb3bf81</t>
        </is>
      </c>
      <c r="E190" s="4" t="n">
        <v>46304.62432651842</v>
      </c>
      <c r="F190" s="4" t="n">
        <v>46304.6243265185</v>
      </c>
      <c r="G190" t="b">
        <v>1</v>
      </c>
      <c r="H190" t="n">
        <v/>
      </c>
      <c r="I190" s="5" t="inlineStr">
        <is>
          <t>01a1212c-b89a-7682-aa14-d1164975a191</t>
        </is>
      </c>
      <c r="J190" t="inlineStr">
        <is>
          <t>AMIT_GROSS_UP</t>
        </is>
      </c>
      <c r="K190" t="inlineStr">
        <is>
          <t>AUD</t>
        </is>
      </c>
      <c r="L190" t="n">
        <v>491.9</v>
      </c>
    </row>
    <row r="191">
      <c r="A191" s="5" t="inlineStr">
        <is>
          <t>01a1212c-ba44-7337-a81c-9d3ca5c519ae</t>
        </is>
      </c>
      <c r="B191" t="inlineStr">
        <is>
          <t>AS019-COSTBASE_INCREASE</t>
        </is>
      </c>
      <c r="D191" s="5" t="inlineStr">
        <is>
          <t>01a1212c-4b57-70cf-80fd-c2192cb3bf81</t>
        </is>
      </c>
      <c r="E191" s="4" t="n">
        <v>46304.62432672111</v>
      </c>
      <c r="F191" s="4" t="n">
        <v>46304.62432672121</v>
      </c>
      <c r="G191" t="b">
        <v>1</v>
      </c>
      <c r="H191" t="n">
        <v/>
      </c>
      <c r="I191" s="5" t="inlineStr">
        <is>
          <t>01a1212c-b89a-7682-aa14-d1164975a191</t>
        </is>
      </c>
      <c r="J191" t="inlineStr">
        <is>
          <t>COSTBASE_INCREASE</t>
        </is>
      </c>
      <c r="K191" t="inlineStr">
        <is>
          <t>AUD</t>
        </is>
      </c>
      <c r="L191" t="n">
        <v>288.25</v>
      </c>
    </row>
    <row r="192">
      <c r="A192" s="5" t="inlineStr">
        <is>
          <t>01a1212c-ba2f-75fa-9e52-834645fe18aa</t>
        </is>
      </c>
      <c r="B192" t="inlineStr">
        <is>
          <t>AS019-DISCOUNTED_NTAP</t>
        </is>
      </c>
      <c r="D192" s="5" t="inlineStr">
        <is>
          <t>01a1212c-4b57-70cf-80fd-c2192cb3bf81</t>
        </is>
      </c>
      <c r="E192" s="4" t="n">
        <v>46304.62432647817</v>
      </c>
      <c r="F192" s="4" t="n">
        <v>46304.62432647825</v>
      </c>
      <c r="G192" t="b">
        <v>1</v>
      </c>
      <c r="H192" t="n">
        <v/>
      </c>
      <c r="I192" s="5" t="inlineStr">
        <is>
          <t>01a1212c-b89a-7682-aa14-d1164975a191</t>
        </is>
      </c>
      <c r="J192" t="inlineStr">
        <is>
          <t>DISCOUNTED_NTAP</t>
        </is>
      </c>
      <c r="K192" t="inlineStr">
        <is>
          <t>AUD</t>
        </is>
      </c>
      <c r="L192" t="n">
        <v>468.86</v>
      </c>
    </row>
    <row r="193">
      <c r="A193" s="5" t="inlineStr">
        <is>
          <t>01a1212c-ba2d-770b-80ac-0cf93164645c</t>
        </is>
      </c>
      <c r="B193" t="inlineStr">
        <is>
          <t>AS019-DISCOUNTED_TAP</t>
        </is>
      </c>
      <c r="D193" s="5" t="inlineStr">
        <is>
          <t>01a1212c-4b57-70cf-80fd-c2192cb3bf81</t>
        </is>
      </c>
      <c r="E193" s="4" t="n">
        <v>46304.62432645615</v>
      </c>
      <c r="F193" s="4" t="n">
        <v>46304.62432645621</v>
      </c>
      <c r="G193" t="b">
        <v>1</v>
      </c>
      <c r="H193" t="n">
        <v/>
      </c>
      <c r="I193" s="5" t="inlineStr">
        <is>
          <t>01a1212c-b89a-7682-aa14-d1164975a191</t>
        </is>
      </c>
      <c r="J193" t="inlineStr">
        <is>
          <t>DISCOUNTED_TAP</t>
        </is>
      </c>
      <c r="K193" t="inlineStr">
        <is>
          <t>AUD</t>
        </is>
      </c>
      <c r="L193" t="n">
        <v>23.04</v>
      </c>
    </row>
    <row r="194">
      <c r="A194" s="5" t="inlineStr">
        <is>
          <t>01a1212c-ba42-709f-a98c-c4b29e277ee0</t>
        </is>
      </c>
      <c r="B194" t="inlineStr">
        <is>
          <t>AS019-FOREIGN_INCOME_TAX_OFFSET</t>
        </is>
      </c>
      <c r="D194" s="5" t="inlineStr">
        <is>
          <t>01a1212c-4b57-70cf-80fd-c2192cb3bf81</t>
        </is>
      </c>
      <c r="E194" s="4" t="n">
        <v>46304.62432669656</v>
      </c>
      <c r="F194" s="4" t="n">
        <v>46304.62432669669</v>
      </c>
      <c r="G194" t="b">
        <v>1</v>
      </c>
      <c r="H194" t="n">
        <v/>
      </c>
      <c r="I194" s="5" t="inlineStr">
        <is>
          <t>01a1212c-b89a-7682-aa14-d1164975a191</t>
        </is>
      </c>
      <c r="J194" t="inlineStr">
        <is>
          <t>FOREIGN_INCOME_TAX_OFFSET</t>
        </is>
      </c>
      <c r="K194" t="inlineStr">
        <is>
          <t>AUD</t>
        </is>
      </c>
      <c r="L194" t="n">
        <v>25.34</v>
      </c>
    </row>
    <row r="195">
      <c r="A195" s="5" t="inlineStr">
        <is>
          <t>01a1212c-ba3b-7125-a0b1-6338b964e401</t>
        </is>
      </c>
      <c r="B195" t="inlineStr">
        <is>
          <t>AS019-FOREIGN_SOURCE_INCOME</t>
        </is>
      </c>
      <c r="D195" s="5" t="inlineStr">
        <is>
          <t>01a1212c-4b57-70cf-80fd-c2192cb3bf81</t>
        </is>
      </c>
      <c r="E195" s="4" t="n">
        <v>46304.62432661675</v>
      </c>
      <c r="F195" s="4" t="n">
        <v>46304.62432661686</v>
      </c>
      <c r="G195" t="b">
        <v>1</v>
      </c>
      <c r="H195" t="n">
        <v/>
      </c>
      <c r="I195" s="5" t="inlineStr">
        <is>
          <t>01a1212c-b89a-7682-aa14-d1164975a191</t>
        </is>
      </c>
      <c r="J195" t="inlineStr">
        <is>
          <t>FOREIGN_SOURCE_INCOME</t>
        </is>
      </c>
      <c r="K195" t="inlineStr">
        <is>
          <t>AUD</t>
        </is>
      </c>
      <c r="L195" t="n">
        <v>253.43</v>
      </c>
    </row>
    <row r="196">
      <c r="A196" s="5" t="inlineStr">
        <is>
          <t>01a1212c-ba36-7140-881b-5198531a045d</t>
        </is>
      </c>
      <c r="B196" t="inlineStr">
        <is>
          <t>AS019-FRANKED_DISTRIBUTION</t>
        </is>
      </c>
      <c r="D196" s="5" t="inlineStr">
        <is>
          <t>01a1212c-4b57-70cf-80fd-c2192cb3bf81</t>
        </is>
      </c>
      <c r="E196" s="4" t="n">
        <v>46304.6243265588</v>
      </c>
      <c r="F196" s="4" t="n">
        <v>46304.62432655888</v>
      </c>
      <c r="G196" t="b">
        <v>1</v>
      </c>
      <c r="H196" t="n">
        <v/>
      </c>
      <c r="I196" s="5" t="inlineStr">
        <is>
          <t>01a1212c-b89a-7682-aa14-d1164975a191</t>
        </is>
      </c>
      <c r="J196" t="inlineStr">
        <is>
          <t>FRANKED_DISTRIBUTION</t>
        </is>
      </c>
      <c r="K196" t="inlineStr">
        <is>
          <t>AUD</t>
        </is>
      </c>
      <c r="L196" t="n">
        <v>3379.08</v>
      </c>
    </row>
    <row r="197">
      <c r="A197" s="5" t="inlineStr">
        <is>
          <t>01a1212c-ba40-7670-ac07-77b7eafcf2c8</t>
        </is>
      </c>
      <c r="B197" t="inlineStr">
        <is>
          <t>AS019-FRANKING_CREDIT</t>
        </is>
      </c>
      <c r="D197" s="5" t="inlineStr">
        <is>
          <t>01a1212c-4b57-70cf-80fd-c2192cb3bf81</t>
        </is>
      </c>
      <c r="E197" s="4" t="n">
        <v>46304.62432667022</v>
      </c>
      <c r="F197" s="4" t="n">
        <v>46304.62432667032</v>
      </c>
      <c r="G197" t="b">
        <v>1</v>
      </c>
      <c r="H197" t="n">
        <v/>
      </c>
      <c r="I197" s="5" t="inlineStr">
        <is>
          <t>01a1212c-b89a-7682-aa14-d1164975a191</t>
        </is>
      </c>
      <c r="J197" t="inlineStr">
        <is>
          <t>FRANKING_CREDIT</t>
        </is>
      </c>
      <c r="K197" t="inlineStr">
        <is>
          <t>AUD</t>
        </is>
      </c>
      <c r="L197" t="n">
        <v>1448.18</v>
      </c>
    </row>
    <row r="198">
      <c r="A198" s="5" t="inlineStr">
        <is>
          <t>01a1212c-ba3d-70ee-847e-17a40a4989fd</t>
        </is>
      </c>
      <c r="B198" t="inlineStr">
        <is>
          <t>AS019-INTEREST</t>
        </is>
      </c>
      <c r="D198" s="5" t="inlineStr">
        <is>
          <t>01a1212c-4b57-70cf-80fd-c2192cb3bf81</t>
        </is>
      </c>
      <c r="E198" s="4" t="n">
        <v>46304.6243266428</v>
      </c>
      <c r="F198" s="4" t="n">
        <v>46304.62432664291</v>
      </c>
      <c r="G198" t="b">
        <v>1</v>
      </c>
      <c r="H198" t="n">
        <v/>
      </c>
      <c r="I198" s="5" t="inlineStr">
        <is>
          <t>01a1212c-b89a-7682-aa14-d1164975a191</t>
        </is>
      </c>
      <c r="J198" t="inlineStr">
        <is>
          <t>INTEREST</t>
        </is>
      </c>
      <c r="K198" t="inlineStr">
        <is>
          <t>AUD</t>
        </is>
      </c>
      <c r="L198" t="n">
        <v>84.48</v>
      </c>
    </row>
    <row r="199">
      <c r="A199" s="5" t="inlineStr">
        <is>
          <t>01a1212c-ba31-7326-9408-3272609eabcf</t>
        </is>
      </c>
      <c r="B199" t="inlineStr">
        <is>
          <t>AS019-OTHER_NTAP</t>
        </is>
      </c>
      <c r="D199" s="5" t="inlineStr">
        <is>
          <t>01a1212c-4b57-70cf-80fd-c2192cb3bf81</t>
        </is>
      </c>
      <c r="E199" s="4" t="n">
        <v>46304.62432649832</v>
      </c>
      <c r="F199" s="4" t="n">
        <v>46304.6243264984</v>
      </c>
      <c r="G199" t="b">
        <v>1</v>
      </c>
      <c r="H199" t="n">
        <v/>
      </c>
      <c r="I199" s="5" t="inlineStr">
        <is>
          <t>01a1212c-b89a-7682-aa14-d1164975a191</t>
        </is>
      </c>
      <c r="J199" t="inlineStr">
        <is>
          <t>OTHER_NTAP</t>
        </is>
      </c>
      <c r="K199" t="inlineStr">
        <is>
          <t>AUD</t>
        </is>
      </c>
      <c r="L199" t="n">
        <v>23.3</v>
      </c>
    </row>
    <row r="200">
      <c r="A200" s="5" t="inlineStr">
        <is>
          <t>01a1212c-ba34-75c5-b340-dd76584f0542</t>
        </is>
      </c>
      <c r="B200" t="inlineStr">
        <is>
          <t>AS019-TOTAL_CY_CG</t>
        </is>
      </c>
      <c r="D200" s="5" t="inlineStr">
        <is>
          <t>01a1212c-4b57-70cf-80fd-c2192cb3bf81</t>
        </is>
      </c>
      <c r="E200" s="4" t="n">
        <v>46304.6243265389</v>
      </c>
      <c r="F200" s="4" t="n">
        <v>46304.62432653898</v>
      </c>
      <c r="G200" t="b">
        <v>1</v>
      </c>
      <c r="H200" t="n">
        <v/>
      </c>
      <c r="I200" s="5" t="inlineStr">
        <is>
          <t>01a1212c-b89a-7682-aa14-d1164975a191</t>
        </is>
      </c>
      <c r="J200" t="inlineStr">
        <is>
          <t>TOTAL_CY_CG</t>
        </is>
      </c>
      <c r="K200" t="inlineStr">
        <is>
          <t>AUD</t>
        </is>
      </c>
      <c r="L200" t="n">
        <v>1007.1</v>
      </c>
    </row>
    <row r="201">
      <c r="A201" s="5" t="inlineStr">
        <is>
          <t>01a1212c-ba38-72f4-8806-53d0e0ff2681</t>
        </is>
      </c>
      <c r="B201" t="inlineStr">
        <is>
          <t>AS019-UNFRANKED_DISTRIBUTION</t>
        </is>
      </c>
      <c r="D201" s="5" t="inlineStr">
        <is>
          <t>01a1212c-4b57-70cf-80fd-c2192cb3bf81</t>
        </is>
      </c>
      <c r="E201" s="4" t="n">
        <v>46304.62432657882</v>
      </c>
      <c r="F201" s="4" t="n">
        <v>46304.62432657889</v>
      </c>
      <c r="G201" t="b">
        <v>1</v>
      </c>
      <c r="H201" t="n">
        <v/>
      </c>
      <c r="I201" s="5" t="inlineStr">
        <is>
          <t>01a1212c-b89a-7682-aa14-d1164975a191</t>
        </is>
      </c>
      <c r="J201" t="inlineStr">
        <is>
          <t>UNFRANKED_DISTRIBUTION</t>
        </is>
      </c>
      <c r="K201" t="inlineStr">
        <is>
          <t>AUD</t>
        </is>
      </c>
      <c r="L201" t="n">
        <v>506.86</v>
      </c>
    </row>
    <row r="202">
      <c r="A202" s="5" t="inlineStr">
        <is>
          <t>01a1212c-ba4b-77ed-82fb-079469e52ede</t>
        </is>
      </c>
      <c r="B202" t="inlineStr">
        <is>
          <t>AS020-AMIT_GROSS_UP</t>
        </is>
      </c>
      <c r="D202" s="5" t="inlineStr">
        <is>
          <t>01a1212c-4b57-70cf-80fd-c2192cb3bf81</t>
        </is>
      </c>
      <c r="E202" s="4" t="n">
        <v>46304.62432680117</v>
      </c>
      <c r="F202" s="4" t="n">
        <v>46304.6243268013</v>
      </c>
      <c r="G202" t="b">
        <v>1</v>
      </c>
      <c r="H202" t="n">
        <v/>
      </c>
      <c r="I202" s="5" t="inlineStr">
        <is>
          <t>01a1212c-b8a6-7670-b677-f58e215f5481</t>
        </is>
      </c>
      <c r="J202" t="inlineStr">
        <is>
          <t>AMIT_GROSS_UP</t>
        </is>
      </c>
      <c r="K202" t="inlineStr">
        <is>
          <t>AUD</t>
        </is>
      </c>
      <c r="L202" t="n">
        <v>477.98</v>
      </c>
    </row>
    <row r="203">
      <c r="A203" s="5" t="inlineStr">
        <is>
          <t>01a1212c-ba58-740a-8079-aa221b2ce111</t>
        </is>
      </c>
      <c r="B203" t="inlineStr">
        <is>
          <t>AS020-COSTBASE_INCREASE</t>
        </is>
      </c>
      <c r="D203" s="5" t="inlineStr">
        <is>
          <t>01a1212c-4b57-70cf-80fd-c2192cb3bf81</t>
        </is>
      </c>
      <c r="E203" s="4" t="n">
        <v>46304.62432695209</v>
      </c>
      <c r="F203" s="4" t="n">
        <v>46304.6243269522</v>
      </c>
      <c r="G203" t="b">
        <v>1</v>
      </c>
      <c r="H203" t="n">
        <v/>
      </c>
      <c r="I203" s="5" t="inlineStr">
        <is>
          <t>01a1212c-b8a6-7670-b677-f58e215f5481</t>
        </is>
      </c>
      <c r="J203" t="inlineStr">
        <is>
          <t>COSTBASE_INCREASE</t>
        </is>
      </c>
      <c r="K203" t="inlineStr">
        <is>
          <t>AUD</t>
        </is>
      </c>
      <c r="L203" t="n">
        <v>701.45</v>
      </c>
    </row>
    <row r="204">
      <c r="A204" s="5" t="inlineStr">
        <is>
          <t>01a1212c-ba46-7491-933f-95aca1805098</t>
        </is>
      </c>
      <c r="B204" t="inlineStr">
        <is>
          <t>AS020-DISCOUNTED_NTAP</t>
        </is>
      </c>
      <c r="D204" s="5" t="inlineStr">
        <is>
          <t>01a1212c-4b57-70cf-80fd-c2192cb3bf81</t>
        </is>
      </c>
      <c r="E204" s="4" t="n">
        <v>46304.62432674545</v>
      </c>
      <c r="F204" s="4" t="n">
        <v>46304.62432674562</v>
      </c>
      <c r="G204" t="b">
        <v>1</v>
      </c>
      <c r="H204" t="n">
        <v/>
      </c>
      <c r="I204" s="5" t="inlineStr">
        <is>
          <t>01a1212c-b8a6-7670-b677-f58e215f5481</t>
        </is>
      </c>
      <c r="J204" t="inlineStr">
        <is>
          <t>DISCOUNTED_NTAP</t>
        </is>
      </c>
      <c r="K204" t="inlineStr">
        <is>
          <t>AUD</t>
        </is>
      </c>
      <c r="L204" t="n">
        <v>477.98</v>
      </c>
    </row>
    <row r="205">
      <c r="A205" s="5" t="inlineStr">
        <is>
          <t>01a1212c-ba56-7295-86c9-f17a28ea4acc</t>
        </is>
      </c>
      <c r="B205" t="inlineStr">
        <is>
          <t>AS020-FOREIGN_INCOME_TAX_OFFSET</t>
        </is>
      </c>
      <c r="D205" s="5" t="inlineStr">
        <is>
          <t>01a1212c-4b57-70cf-80fd-c2192cb3bf81</t>
        </is>
      </c>
      <c r="E205" s="4" t="n">
        <v>46304.62432692893</v>
      </c>
      <c r="F205" s="4" t="n">
        <v>46304.62432692901</v>
      </c>
      <c r="G205" t="b">
        <v>1</v>
      </c>
      <c r="H205" t="n">
        <v/>
      </c>
      <c r="I205" s="5" t="inlineStr">
        <is>
          <t>01a1212c-b8a6-7670-b677-f58e215f5481</t>
        </is>
      </c>
      <c r="J205" t="inlineStr">
        <is>
          <t>FOREIGN_INCOME_TAX_OFFSET</t>
        </is>
      </c>
      <c r="K205" t="inlineStr">
        <is>
          <t>AUD</t>
        </is>
      </c>
      <c r="L205" t="n">
        <v>791.74</v>
      </c>
    </row>
    <row r="206">
      <c r="A206" s="5" t="inlineStr">
        <is>
          <t>01a1212c-ba50-755a-9749-069792815db0</t>
        </is>
      </c>
      <c r="B206" t="inlineStr">
        <is>
          <t>AS020-FOREIGN_SOURCE_INCOME</t>
        </is>
      </c>
      <c r="D206" s="5" t="inlineStr">
        <is>
          <t>01a1212c-4b57-70cf-80fd-c2192cb3bf81</t>
        </is>
      </c>
      <c r="E206" s="4" t="n">
        <v>46304.62432685943</v>
      </c>
      <c r="F206" s="4" t="n">
        <v>46304.62432685955</v>
      </c>
      <c r="G206" t="b">
        <v>1</v>
      </c>
      <c r="H206" t="n">
        <v/>
      </c>
      <c r="I206" s="5" t="inlineStr">
        <is>
          <t>01a1212c-b8a6-7670-b677-f58e215f5481</t>
        </is>
      </c>
      <c r="J206" t="inlineStr">
        <is>
          <t>FOREIGN_SOURCE_INCOME</t>
        </is>
      </c>
      <c r="K206" t="inlineStr">
        <is>
          <t>AUD</t>
        </is>
      </c>
      <c r="L206" t="n">
        <v>7917.34</v>
      </c>
    </row>
    <row r="207">
      <c r="A207" s="5" t="inlineStr">
        <is>
          <t>01a1212c-ba52-7092-8ebd-7cf7bec6aee5</t>
        </is>
      </c>
      <c r="B207" t="inlineStr">
        <is>
          <t>AS020-INTEREST</t>
        </is>
      </c>
      <c r="D207" s="5" t="inlineStr">
        <is>
          <t>01a1212c-4b57-70cf-80fd-c2192cb3bf81</t>
        </is>
      </c>
      <c r="E207" s="4" t="n">
        <v>46304.62432688312</v>
      </c>
      <c r="F207" s="4" t="n">
        <v>46304.6243268832</v>
      </c>
      <c r="G207" t="b">
        <v>1</v>
      </c>
      <c r="H207" t="n">
        <v/>
      </c>
      <c r="I207" s="5" t="inlineStr">
        <is>
          <t>01a1212c-b8a6-7670-b677-f58e215f5481</t>
        </is>
      </c>
      <c r="J207" t="inlineStr">
        <is>
          <t>INTEREST</t>
        </is>
      </c>
      <c r="K207" t="inlineStr">
        <is>
          <t>AUD</t>
        </is>
      </c>
      <c r="L207" t="n">
        <v>421.14</v>
      </c>
    </row>
    <row r="208">
      <c r="A208" s="5" t="inlineStr">
        <is>
          <t>01a1212c-ba48-7050-b2ba-78d0c0380049</t>
        </is>
      </c>
      <c r="B208" t="inlineStr">
        <is>
          <t>AS020-OTHER_NTAP</t>
        </is>
      </c>
      <c r="D208" s="5" t="inlineStr">
        <is>
          <t>01a1212c-4b57-70cf-80fd-c2192cb3bf81</t>
        </is>
      </c>
      <c r="E208" s="4" t="n">
        <v>46304.62432676986</v>
      </c>
      <c r="F208" s="4" t="n">
        <v>46304.62432676998</v>
      </c>
      <c r="G208" t="b">
        <v>1</v>
      </c>
      <c r="H208" t="n">
        <v/>
      </c>
      <c r="I208" s="5" t="inlineStr">
        <is>
          <t>01a1212c-b8a6-7670-b677-f58e215f5481</t>
        </is>
      </c>
      <c r="J208" t="inlineStr">
        <is>
          <t>OTHER_NTAP</t>
        </is>
      </c>
      <c r="K208" t="inlineStr">
        <is>
          <t>AUD</t>
        </is>
      </c>
      <c r="L208" t="n">
        <v>204.94</v>
      </c>
    </row>
    <row r="209">
      <c r="A209" s="5" t="inlineStr">
        <is>
          <t>01a1212c-ba4e-77bc-956d-b4c110e5d37d</t>
        </is>
      </c>
      <c r="B209" t="inlineStr">
        <is>
          <t>AS020-TOTAL_CY_CG</t>
        </is>
      </c>
      <c r="D209" s="5" t="inlineStr">
        <is>
          <t>01a1212c-4b57-70cf-80fd-c2192cb3bf81</t>
        </is>
      </c>
      <c r="E209" s="4" t="n">
        <v>46304.62432683103</v>
      </c>
      <c r="F209" s="4" t="n">
        <v>46304.6243268312</v>
      </c>
      <c r="G209" t="b">
        <v>1</v>
      </c>
      <c r="H209" t="n">
        <v/>
      </c>
      <c r="I209" s="5" t="inlineStr">
        <is>
          <t>01a1212c-b8a6-7670-b677-f58e215f5481</t>
        </is>
      </c>
      <c r="J209" t="inlineStr">
        <is>
          <t>TOTAL_CY_CG</t>
        </is>
      </c>
      <c r="K209" t="inlineStr">
        <is>
          <t>AUD</t>
        </is>
      </c>
      <c r="L209" t="n">
        <v>1160.9</v>
      </c>
    </row>
    <row r="210">
      <c r="A210" s="5" t="inlineStr">
        <is>
          <t>01a1212c-ba54-7430-95d7-dfd41782d9dd</t>
        </is>
      </c>
      <c r="B210" t="inlineStr">
        <is>
          <t>AS020-UNFRANKED_DISTRIBUTION</t>
        </is>
      </c>
      <c r="D210" s="5" t="inlineStr">
        <is>
          <t>01a1212c-4b57-70cf-80fd-c2192cb3bf81</t>
        </is>
      </c>
      <c r="E210" s="4" t="n">
        <v>46304.62432690761</v>
      </c>
      <c r="F210" s="4" t="n">
        <v>46304.62432690769</v>
      </c>
      <c r="G210" t="b">
        <v>1</v>
      </c>
      <c r="H210" t="n">
        <v/>
      </c>
      <c r="I210" s="5" t="inlineStr">
        <is>
          <t>01a1212c-b8a6-7670-b677-f58e215f5481</t>
        </is>
      </c>
      <c r="J210" t="inlineStr">
        <is>
          <t>UNFRANKED_DISTRIBUTION</t>
        </is>
      </c>
      <c r="K210" t="inlineStr">
        <is>
          <t>AUD</t>
        </is>
      </c>
      <c r="L210" t="n">
        <v>84.23</v>
      </c>
    </row>
    <row r="211">
      <c r="A211" s="5" t="inlineStr">
        <is>
          <t>01a1212c-ba5f-73e9-9640-44ec64097fec</t>
        </is>
      </c>
      <c r="B211" t="inlineStr">
        <is>
          <t>AS021-AMIT_GROSS_UP</t>
        </is>
      </c>
      <c r="D211" s="5" t="inlineStr">
        <is>
          <t>01a1212c-4b57-70cf-80fd-c2192cb3bf81</t>
        </is>
      </c>
      <c r="E211" s="4" t="n">
        <v>46304.62432703704</v>
      </c>
      <c r="F211" s="4" t="n">
        <v>46304.62432703712</v>
      </c>
      <c r="G211" t="b">
        <v>1</v>
      </c>
      <c r="H211" t="n">
        <v/>
      </c>
      <c r="I211" s="5" t="inlineStr">
        <is>
          <t>01a1212c-b8b1-745f-9789-078fdc71d48e</t>
        </is>
      </c>
      <c r="J211" t="inlineStr">
        <is>
          <t>AMIT_GROSS_UP</t>
        </is>
      </c>
      <c r="K211" t="inlineStr">
        <is>
          <t>AUD</t>
        </is>
      </c>
      <c r="L211" t="n">
        <v>394.06</v>
      </c>
    </row>
    <row r="212">
      <c r="A212" s="5" t="inlineStr">
        <is>
          <t>01a1212c-ba6e-720e-bad2-35a5b2f88c6b</t>
        </is>
      </c>
      <c r="B212" t="inlineStr">
        <is>
          <t>AS021-COSTBASE_INCREASE</t>
        </is>
      </c>
      <c r="D212" s="5" t="inlineStr">
        <is>
          <t>01a1212c-4b57-70cf-80fd-c2192cb3bf81</t>
        </is>
      </c>
      <c r="E212" s="4" t="n">
        <v>46304.62432720538</v>
      </c>
      <c r="F212" s="4" t="n">
        <v>46304.62432720546</v>
      </c>
      <c r="G212" t="b">
        <v>1</v>
      </c>
      <c r="H212" t="n">
        <v/>
      </c>
      <c r="I212" s="5" t="inlineStr">
        <is>
          <t>01a1212c-b8b1-745f-9789-078fdc71d48e</t>
        </is>
      </c>
      <c r="J212" t="inlineStr">
        <is>
          <t>COSTBASE_INCREASE</t>
        </is>
      </c>
      <c r="K212" t="inlineStr">
        <is>
          <t>AUD</t>
        </is>
      </c>
      <c r="L212" t="n">
        <v>494.99</v>
      </c>
    </row>
    <row r="213">
      <c r="A213" s="5" t="inlineStr">
        <is>
          <t>01a1212c-ba5c-74a4-b8bc-4e79f2aeb85a</t>
        </is>
      </c>
      <c r="B213" t="inlineStr">
        <is>
          <t>AS021-DISCOUNTED_NTAP</t>
        </is>
      </c>
      <c r="D213" s="5" t="inlineStr">
        <is>
          <t>01a1212c-4b57-70cf-80fd-c2192cb3bf81</t>
        </is>
      </c>
      <c r="E213" s="4" t="n">
        <v>46304.62432699541</v>
      </c>
      <c r="F213" s="4" t="n">
        <v>46304.6243269955</v>
      </c>
      <c r="G213" t="b">
        <v>1</v>
      </c>
      <c r="H213" t="n">
        <v/>
      </c>
      <c r="I213" s="5" t="inlineStr">
        <is>
          <t>01a1212c-b8b1-745f-9789-078fdc71d48e</t>
        </is>
      </c>
      <c r="J213" t="inlineStr">
        <is>
          <t>DISCOUNTED_NTAP</t>
        </is>
      </c>
      <c r="K213" t="inlineStr">
        <is>
          <t>AUD</t>
        </is>
      </c>
      <c r="L213" t="n">
        <v>371.27</v>
      </c>
    </row>
    <row r="214">
      <c r="A214" s="5" t="inlineStr">
        <is>
          <t>01a1212c-ba5a-76e2-89bb-8bba0c876d14</t>
        </is>
      </c>
      <c r="B214" t="inlineStr">
        <is>
          <t>AS021-DISCOUNTED_TAP</t>
        </is>
      </c>
      <c r="D214" s="5" t="inlineStr">
        <is>
          <t>01a1212c-4b57-70cf-80fd-c2192cb3bf81</t>
        </is>
      </c>
      <c r="E214" s="4" t="n">
        <v>46304.62432697437</v>
      </c>
      <c r="F214" s="4" t="n">
        <v>46304.62432697446</v>
      </c>
      <c r="G214" t="b">
        <v>1</v>
      </c>
      <c r="H214" t="n">
        <v/>
      </c>
      <c r="I214" s="5" t="inlineStr">
        <is>
          <t>01a1212c-b8b1-745f-9789-078fdc71d48e</t>
        </is>
      </c>
      <c r="J214" t="inlineStr">
        <is>
          <t>DISCOUNTED_TAP</t>
        </is>
      </c>
      <c r="K214" t="inlineStr">
        <is>
          <t>AUD</t>
        </is>
      </c>
      <c r="L214" t="n">
        <v>22.79</v>
      </c>
    </row>
    <row r="215">
      <c r="A215" s="5" t="inlineStr">
        <is>
          <t>01a1212c-ba6c-71c1-9a72-917b104201e4</t>
        </is>
      </c>
      <c r="B215" t="inlineStr">
        <is>
          <t>AS021-FOREIGN_INCOME_TAX_OFFSET</t>
        </is>
      </c>
      <c r="D215" s="5" t="inlineStr">
        <is>
          <t>01a1212c-4b57-70cf-80fd-c2192cb3bf81</t>
        </is>
      </c>
      <c r="E215" s="4" t="n">
        <v>46304.62432718448</v>
      </c>
      <c r="F215" s="4" t="n">
        <v>46304.62432718456</v>
      </c>
      <c r="G215" t="b">
        <v>1</v>
      </c>
      <c r="H215" t="n">
        <v/>
      </c>
      <c r="I215" s="5" t="inlineStr">
        <is>
          <t>01a1212c-b8b1-745f-9789-078fdc71d48e</t>
        </is>
      </c>
      <c r="J215" t="inlineStr">
        <is>
          <t>FOREIGN_INCOME_TAX_OFFSET</t>
        </is>
      </c>
      <c r="K215" t="inlineStr">
        <is>
          <t>AUD</t>
        </is>
      </c>
      <c r="L215" t="n">
        <v>34.87</v>
      </c>
    </row>
    <row r="216">
      <c r="A216" s="5" t="inlineStr">
        <is>
          <t>01a1212c-ba67-73e0-b882-0e661f17ff06</t>
        </is>
      </c>
      <c r="B216" t="inlineStr">
        <is>
          <t>AS021-FOREIGN_SOURCE_INCOME</t>
        </is>
      </c>
      <c r="D216" s="5" t="inlineStr">
        <is>
          <t>01a1212c-4b57-70cf-80fd-c2192cb3bf81</t>
        </is>
      </c>
      <c r="E216" s="4" t="n">
        <v>46304.62432712212</v>
      </c>
      <c r="F216" s="4" t="n">
        <v>46304.6243271222</v>
      </c>
      <c r="G216" t="b">
        <v>1</v>
      </c>
      <c r="H216" t="n">
        <v/>
      </c>
      <c r="I216" s="5" t="inlineStr">
        <is>
          <t>01a1212c-b8b1-745f-9789-078fdc71d48e</t>
        </is>
      </c>
      <c r="J216" t="inlineStr">
        <is>
          <t>FOREIGN_SOURCE_INCOME</t>
        </is>
      </c>
      <c r="K216" t="inlineStr">
        <is>
          <t>AUD</t>
        </is>
      </c>
      <c r="L216" t="n">
        <v>348.68</v>
      </c>
    </row>
    <row r="217">
      <c r="A217" s="5" t="inlineStr">
        <is>
          <t>01a1212c-ba63-747c-86ee-b24cfcd97cb7</t>
        </is>
      </c>
      <c r="B217" t="inlineStr">
        <is>
          <t>AS021-FRANKED_DISTRIBUTION</t>
        </is>
      </c>
      <c r="D217" s="5" t="inlineStr">
        <is>
          <t>01a1212c-4b57-70cf-80fd-c2192cb3bf81</t>
        </is>
      </c>
      <c r="E217" s="4" t="n">
        <v>46304.62432707815</v>
      </c>
      <c r="F217" s="4" t="n">
        <v>46304.62432707821</v>
      </c>
      <c r="G217" t="b">
        <v>1</v>
      </c>
      <c r="H217" t="n">
        <v/>
      </c>
      <c r="I217" s="5" t="inlineStr">
        <is>
          <t>01a1212c-b8b1-745f-9789-078fdc71d48e</t>
        </is>
      </c>
      <c r="J217" t="inlineStr">
        <is>
          <t>FRANKED_DISTRIBUTION</t>
        </is>
      </c>
      <c r="K217" t="inlineStr">
        <is>
          <t>AUD</t>
        </is>
      </c>
      <c r="L217" t="n">
        <v>4649.06</v>
      </c>
    </row>
    <row r="218">
      <c r="A218" s="5" t="inlineStr">
        <is>
          <t>01a1212c-ba6a-71fa-a4ea-af0b62cb62ff</t>
        </is>
      </c>
      <c r="B218" t="inlineStr">
        <is>
          <t>AS021-FRANKING_CREDIT</t>
        </is>
      </c>
      <c r="D218" s="5" t="inlineStr">
        <is>
          <t>01a1212c-4b57-70cf-80fd-c2192cb3bf81</t>
        </is>
      </c>
      <c r="E218" s="4" t="n">
        <v>46304.62432716397</v>
      </c>
      <c r="F218" s="4" t="n">
        <v>46304.62432716404</v>
      </c>
      <c r="G218" t="b">
        <v>1</v>
      </c>
      <c r="H218" t="n">
        <v/>
      </c>
      <c r="I218" s="5" t="inlineStr">
        <is>
          <t>01a1212c-b8b1-745f-9789-078fdc71d48e</t>
        </is>
      </c>
      <c r="J218" t="inlineStr">
        <is>
          <t>FRANKING_CREDIT</t>
        </is>
      </c>
      <c r="K218" t="inlineStr">
        <is>
          <t>AUD</t>
        </is>
      </c>
      <c r="L218" t="n">
        <v>1992.45</v>
      </c>
    </row>
    <row r="219">
      <c r="A219" s="5" t="inlineStr">
        <is>
          <t>01a1212c-ba69-7105-b67b-dd6b3f4fbab2</t>
        </is>
      </c>
      <c r="B219" t="inlineStr">
        <is>
          <t>AS021-INTEREST</t>
        </is>
      </c>
      <c r="D219" s="5" t="inlineStr">
        <is>
          <t>01a1212c-4b57-70cf-80fd-c2192cb3bf81</t>
        </is>
      </c>
      <c r="E219" s="4" t="n">
        <v>46304.62432714326</v>
      </c>
      <c r="F219" s="4" t="n">
        <v>46304.62432714334</v>
      </c>
      <c r="G219" t="b">
        <v>1</v>
      </c>
      <c r="H219" t="n">
        <v/>
      </c>
      <c r="I219" s="5" t="inlineStr">
        <is>
          <t>01a1212c-b8b1-745f-9789-078fdc71d48e</t>
        </is>
      </c>
      <c r="J219" t="inlineStr">
        <is>
          <t>INTEREST</t>
        </is>
      </c>
      <c r="K219" t="inlineStr">
        <is>
          <t>AUD</t>
        </is>
      </c>
      <c r="L219" t="n">
        <v>116.23</v>
      </c>
    </row>
    <row r="220">
      <c r="A220" s="5" t="inlineStr">
        <is>
          <t>01a1212c-ba5e-70c5-b5a6-c3e91df7c9cc</t>
        </is>
      </c>
      <c r="B220" t="inlineStr">
        <is>
          <t>AS021-OTHER_NTAP</t>
        </is>
      </c>
      <c r="D220" s="5" t="inlineStr">
        <is>
          <t>01a1212c-4b57-70cf-80fd-c2192cb3bf81</t>
        </is>
      </c>
      <c r="E220" s="4" t="n">
        <v>46304.62432701646</v>
      </c>
      <c r="F220" s="4" t="n">
        <v>46304.62432701653</v>
      </c>
      <c r="G220" t="b">
        <v>1</v>
      </c>
      <c r="H220" t="n">
        <v/>
      </c>
      <c r="I220" s="5" t="inlineStr">
        <is>
          <t>01a1212c-b8b1-745f-9789-078fdc71d48e</t>
        </is>
      </c>
      <c r="J220" t="inlineStr">
        <is>
          <t>OTHER_NTAP</t>
        </is>
      </c>
      <c r="K220" t="inlineStr">
        <is>
          <t>AUD</t>
        </is>
      </c>
      <c r="L220" t="n">
        <v>184.69</v>
      </c>
    </row>
    <row r="221">
      <c r="A221" s="5" t="inlineStr">
        <is>
          <t>01a1212c-ba61-7349-b623-8014384c2f5d</t>
        </is>
      </c>
      <c r="B221" t="inlineStr">
        <is>
          <t>AS021-TOTAL_CY_CG</t>
        </is>
      </c>
      <c r="D221" s="5" t="inlineStr">
        <is>
          <t>01a1212c-4b57-70cf-80fd-c2192cb3bf81</t>
        </is>
      </c>
      <c r="E221" s="4" t="n">
        <v>46304.62432705789</v>
      </c>
      <c r="F221" s="4" t="n">
        <v>46304.62432705797</v>
      </c>
      <c r="G221" t="b">
        <v>1</v>
      </c>
      <c r="H221" t="n">
        <v/>
      </c>
      <c r="I221" s="5" t="inlineStr">
        <is>
          <t>01a1212c-b8b1-745f-9789-078fdc71d48e</t>
        </is>
      </c>
      <c r="J221" t="inlineStr">
        <is>
          <t>TOTAL_CY_CG</t>
        </is>
      </c>
      <c r="K221" t="inlineStr">
        <is>
          <t>AUD</t>
        </is>
      </c>
      <c r="L221" t="n">
        <v>972.8099999999999</v>
      </c>
    </row>
    <row r="222">
      <c r="A222" s="5" t="inlineStr">
        <is>
          <t>01a1212c-ba65-71c7-b88e-b3e15f5b7a56</t>
        </is>
      </c>
      <c r="B222" t="inlineStr">
        <is>
          <t>AS021-UNFRANKED_DISTRIBUTION</t>
        </is>
      </c>
      <c r="D222" s="5" t="inlineStr">
        <is>
          <t>01a1212c-4b57-70cf-80fd-c2192cb3bf81</t>
        </is>
      </c>
      <c r="E222" s="4" t="n">
        <v>46304.62432710107</v>
      </c>
      <c r="F222" s="4" t="n">
        <v>46304.62432710115</v>
      </c>
      <c r="G222" t="b">
        <v>1</v>
      </c>
      <c r="H222" t="n">
        <v/>
      </c>
      <c r="I222" s="5" t="inlineStr">
        <is>
          <t>01a1212c-b8b1-745f-9789-078fdc71d48e</t>
        </is>
      </c>
      <c r="J222" t="inlineStr">
        <is>
          <t>UNFRANKED_DISTRIBUTION</t>
        </is>
      </c>
      <c r="K222" t="inlineStr">
        <is>
          <t>AUD</t>
        </is>
      </c>
      <c r="L222" t="n">
        <v>697.36</v>
      </c>
    </row>
    <row r="223">
      <c r="A223" s="5" t="inlineStr">
        <is>
          <t>01a1212c-ba73-7704-93c1-f32740bc64ca</t>
        </is>
      </c>
      <c r="B223" t="inlineStr">
        <is>
          <t>AS022-AMIT_GROSS_UP</t>
        </is>
      </c>
      <c r="D223" s="5" t="inlineStr">
        <is>
          <t>01a1212c-4b57-70cf-80fd-c2192cb3bf81</t>
        </is>
      </c>
      <c r="E223" s="4" t="n">
        <v>46304.6243272689</v>
      </c>
      <c r="F223" s="4" t="n">
        <v>46304.62432726897</v>
      </c>
      <c r="G223" t="b">
        <v>1</v>
      </c>
      <c r="H223" t="n">
        <v/>
      </c>
      <c r="I223" s="5" t="inlineStr">
        <is>
          <t>01a1212c-b8bd-74c9-9871-9c6771047955</t>
        </is>
      </c>
      <c r="J223" t="inlineStr">
        <is>
          <t>AMIT_GROSS_UP</t>
        </is>
      </c>
      <c r="K223" t="inlineStr">
        <is>
          <t>AUD</t>
        </is>
      </c>
      <c r="L223" t="n">
        <v>504.26</v>
      </c>
    </row>
    <row r="224">
      <c r="A224" s="5" t="inlineStr">
        <is>
          <t>01a1212c-ba7e-714c-8b85-55690b848abe</t>
        </is>
      </c>
      <c r="B224" t="inlineStr">
        <is>
          <t>AS022-COSTBASE_INCREASE</t>
        </is>
      </c>
      <c r="D224" s="5" t="inlineStr">
        <is>
          <t>01a1212c-4b57-70cf-80fd-c2192cb3bf81</t>
        </is>
      </c>
      <c r="E224" s="4" t="n">
        <v>46304.62432739115</v>
      </c>
      <c r="F224" s="4" t="n">
        <v>46304.62432739122</v>
      </c>
      <c r="G224" t="b">
        <v>1</v>
      </c>
      <c r="H224" t="n">
        <v/>
      </c>
      <c r="I224" s="5" t="inlineStr">
        <is>
          <t>01a1212c-b8bd-74c9-9871-9c6771047955</t>
        </is>
      </c>
      <c r="J224" t="inlineStr">
        <is>
          <t>COSTBASE_INCREASE</t>
        </is>
      </c>
      <c r="K224" t="inlineStr">
        <is>
          <t>AUD</t>
        </is>
      </c>
      <c r="L224" t="n">
        <v>109.68</v>
      </c>
    </row>
    <row r="225">
      <c r="A225" s="5" t="inlineStr">
        <is>
          <t>01a1212c-ba70-7184-9233-e0a2ab94f8d9</t>
        </is>
      </c>
      <c r="B225" t="inlineStr">
        <is>
          <t>AS022-DISCOUNTED_NTAP</t>
        </is>
      </c>
      <c r="D225" s="5" t="inlineStr">
        <is>
          <t>01a1212c-4b57-70cf-80fd-c2192cb3bf81</t>
        </is>
      </c>
      <c r="E225" s="4" t="n">
        <v>46304.6243272264</v>
      </c>
      <c r="F225" s="4" t="n">
        <v>46304.62432722647</v>
      </c>
      <c r="G225" t="b">
        <v>1</v>
      </c>
      <c r="H225" t="n">
        <v/>
      </c>
      <c r="I225" s="5" t="inlineStr">
        <is>
          <t>01a1212c-b8bd-74c9-9871-9c6771047955</t>
        </is>
      </c>
      <c r="J225" t="inlineStr">
        <is>
          <t>DISCOUNTED_NTAP</t>
        </is>
      </c>
      <c r="K225" t="inlineStr">
        <is>
          <t>AUD</t>
        </is>
      </c>
      <c r="L225" t="n">
        <v>504.26</v>
      </c>
    </row>
    <row r="226">
      <c r="A226" s="5" t="inlineStr">
        <is>
          <t>01a1212c-ba7c-73a7-923c-3ac911b0e2c4</t>
        </is>
      </c>
      <c r="B226" t="inlineStr">
        <is>
          <t>AS022-FOREIGN_INCOME_TAX_OFFSET</t>
        </is>
      </c>
      <c r="D226" s="5" t="inlineStr">
        <is>
          <t>01a1212c-4b57-70cf-80fd-c2192cb3bf81</t>
        </is>
      </c>
      <c r="E226" s="4" t="n">
        <v>46304.6243273711</v>
      </c>
      <c r="F226" s="4" t="n">
        <v>46304.62432737117</v>
      </c>
      <c r="G226" t="b">
        <v>1</v>
      </c>
      <c r="H226" t="n">
        <v/>
      </c>
      <c r="I226" s="5" t="inlineStr">
        <is>
          <t>01a1212c-b8bd-74c9-9871-9c6771047955</t>
        </is>
      </c>
      <c r="J226" t="inlineStr">
        <is>
          <t>FOREIGN_INCOME_TAX_OFFSET</t>
        </is>
      </c>
      <c r="K226" t="inlineStr">
        <is>
          <t>AUD</t>
        </is>
      </c>
      <c r="L226" t="n">
        <v>369.94</v>
      </c>
    </row>
    <row r="227">
      <c r="A227" s="5" t="inlineStr">
        <is>
          <t>01a1212c-ba77-74f2-9794-b733bf68993f</t>
        </is>
      </c>
      <c r="B227" t="inlineStr">
        <is>
          <t>AS022-FOREIGN_SOURCE_INCOME</t>
        </is>
      </c>
      <c r="D227" s="5" t="inlineStr">
        <is>
          <t>01a1212c-4b57-70cf-80fd-c2192cb3bf81</t>
        </is>
      </c>
      <c r="E227" s="4" t="n">
        <v>46304.6243273097</v>
      </c>
      <c r="F227" s="4" t="n">
        <v>46304.62432730977</v>
      </c>
      <c r="G227" t="b">
        <v>1</v>
      </c>
      <c r="H227" t="n">
        <v/>
      </c>
      <c r="I227" s="5" t="inlineStr">
        <is>
          <t>01a1212c-b8bd-74c9-9871-9c6771047955</t>
        </is>
      </c>
      <c r="J227" t="inlineStr">
        <is>
          <t>FOREIGN_SOURCE_INCOME</t>
        </is>
      </c>
      <c r="K227" t="inlineStr">
        <is>
          <t>AUD</t>
        </is>
      </c>
      <c r="L227" t="n">
        <v>3699.43</v>
      </c>
    </row>
    <row r="228">
      <c r="A228" s="5" t="inlineStr">
        <is>
          <t>01a1212c-ba79-7486-b071-8b6f1e96e636</t>
        </is>
      </c>
      <c r="B228" t="inlineStr">
        <is>
          <t>AS022-INTEREST</t>
        </is>
      </c>
      <c r="D228" s="5" t="inlineStr">
        <is>
          <t>01a1212c-4b57-70cf-80fd-c2192cb3bf81</t>
        </is>
      </c>
      <c r="E228" s="4" t="n">
        <v>46304.62432733058</v>
      </c>
      <c r="F228" s="4" t="n">
        <v>46304.62432733065</v>
      </c>
      <c r="G228" t="b">
        <v>1</v>
      </c>
      <c r="H228" t="n">
        <v/>
      </c>
      <c r="I228" s="5" t="inlineStr">
        <is>
          <t>01a1212c-b8bd-74c9-9871-9c6771047955</t>
        </is>
      </c>
      <c r="J228" t="inlineStr">
        <is>
          <t>INTEREST</t>
        </is>
      </c>
      <c r="K228" t="inlineStr">
        <is>
          <t>AUD</t>
        </is>
      </c>
      <c r="L228" t="n">
        <v>196.78</v>
      </c>
    </row>
    <row r="229">
      <c r="A229" s="5" t="inlineStr">
        <is>
          <t>01a1212c-ba72-7621-87d2-c25ad48463e9</t>
        </is>
      </c>
      <c r="B229" t="inlineStr">
        <is>
          <t>AS022-OTHER_NTAP</t>
        </is>
      </c>
      <c r="D229" s="5" t="inlineStr">
        <is>
          <t>01a1212c-4b57-70cf-80fd-c2192cb3bf81</t>
        </is>
      </c>
      <c r="E229" s="4" t="n">
        <v>46304.62432724694</v>
      </c>
      <c r="F229" s="4" t="n">
        <v>46304.624327247</v>
      </c>
      <c r="G229" t="b">
        <v>1</v>
      </c>
      <c r="H229" t="n">
        <v/>
      </c>
      <c r="I229" s="5" t="inlineStr">
        <is>
          <t>01a1212c-b8bd-74c9-9871-9c6771047955</t>
        </is>
      </c>
      <c r="J229" t="inlineStr">
        <is>
          <t>OTHER_NTAP</t>
        </is>
      </c>
      <c r="K229" t="inlineStr">
        <is>
          <t>AUD</t>
        </is>
      </c>
      <c r="L229" t="n">
        <v>209.25</v>
      </c>
    </row>
    <row r="230">
      <c r="A230" s="5" t="inlineStr">
        <is>
          <t>01a1212c-ba75-73d5-b6bf-a79373d97648</t>
        </is>
      </c>
      <c r="B230" t="inlineStr">
        <is>
          <t>AS022-TOTAL_CY_CG</t>
        </is>
      </c>
      <c r="D230" s="5" t="inlineStr">
        <is>
          <t>01a1212c-4b57-70cf-80fd-c2192cb3bf81</t>
        </is>
      </c>
      <c r="E230" s="4" t="n">
        <v>46304.62432728901</v>
      </c>
      <c r="F230" s="4" t="n">
        <v>46304.62432728909</v>
      </c>
      <c r="G230" t="b">
        <v>1</v>
      </c>
      <c r="H230" t="n">
        <v/>
      </c>
      <c r="I230" s="5" t="inlineStr">
        <is>
          <t>01a1212c-b8bd-74c9-9871-9c6771047955</t>
        </is>
      </c>
      <c r="J230" t="inlineStr">
        <is>
          <t>TOTAL_CY_CG</t>
        </is>
      </c>
      <c r="K230" t="inlineStr">
        <is>
          <t>AUD</t>
        </is>
      </c>
      <c r="L230" t="n">
        <v>1217.77</v>
      </c>
    </row>
    <row r="231">
      <c r="A231" s="5" t="inlineStr">
        <is>
          <t>01a1212c-ba7b-716f-a28a-19e0ab2f5428</t>
        </is>
      </c>
      <c r="B231" t="inlineStr">
        <is>
          <t>AS022-UNFRANKED_DISTRIBUTION</t>
        </is>
      </c>
      <c r="D231" s="5" t="inlineStr">
        <is>
          <t>01a1212c-4b57-70cf-80fd-c2192cb3bf81</t>
        </is>
      </c>
      <c r="E231" s="4" t="n">
        <v>46304.62432735094</v>
      </c>
      <c r="F231" s="4" t="n">
        <v>46304.62432735102</v>
      </c>
      <c r="G231" t="b">
        <v>1</v>
      </c>
      <c r="H231" t="n">
        <v/>
      </c>
      <c r="I231" s="5" t="inlineStr">
        <is>
          <t>01a1212c-b8bd-74c9-9871-9c6771047955</t>
        </is>
      </c>
      <c r="J231" t="inlineStr">
        <is>
          <t>UNFRANKED_DISTRIBUTION</t>
        </is>
      </c>
      <c r="K231" t="inlineStr">
        <is>
          <t>AUD</t>
        </is>
      </c>
      <c r="L231" t="n">
        <v>39.36</v>
      </c>
    </row>
  </sheetData>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M43"/>
  <sheetViews>
    <sheetView workbookViewId="0">
      <pane ySplit="1" topLeftCell="A2" activePane="bottomLeft" state="frozen"/>
      <selection pane="bottomLeft" activeCell="A1" sqref="A1"/>
    </sheetView>
  </sheetViews>
  <sheetFormatPr baseColWidth="8" defaultRowHeight="15"/>
  <cols>
    <col width="12.2" customWidth="1" min="1" max="1"/>
    <col width="12.2" customWidth="1" min="2" max="2"/>
    <col width="15.2" customWidth="1" min="3" max="3"/>
    <col width="38.2" customWidth="1" min="4" max="4"/>
    <col width="38.2" customWidth="1" min="5" max="5"/>
    <col width="38.2" customWidth="1" min="6" max="6"/>
    <col width="38.2" customWidth="1" min="7" max="7"/>
    <col width="12.2" customWidth="1" min="8" max="8"/>
    <col width="11.2" customWidth="1" min="9" max="9"/>
    <col width="11.2" customWidth="1" min="10" max="10"/>
    <col width="11.2" customWidth="1" min="11" max="11"/>
    <col width="14.2" customWidth="1" min="12" max="12"/>
    <col width="13.2" customWidth="1" min="13" max="13"/>
  </cols>
  <sheetData>
    <row r="1" ht="32" customHeight="1">
      <c r="A1" s="1" t="inlineStr">
        <is>
          <t>sell_date</t>
        </is>
      </c>
      <c r="B1" s="1" t="inlineStr">
        <is>
          <t>instrument</t>
        </is>
      </c>
      <c r="C1" s="1" t="inlineStr">
        <is>
          <t>quantity_sold</t>
        </is>
      </c>
      <c r="D1" s="1" t="inlineStr">
        <is>
          <t>buy_id</t>
        </is>
      </c>
      <c r="E1" s="1" t="inlineStr">
        <is>
          <t>parcel_id</t>
        </is>
      </c>
      <c r="F1" s="1" t="inlineStr">
        <is>
          <t>sell_id</t>
        </is>
      </c>
      <c r="G1" s="1" t="inlineStr">
        <is>
          <t>sell_allocation_id</t>
        </is>
      </c>
      <c r="H1" s="1" t="inlineStr">
        <is>
          <t>buy_date</t>
        </is>
      </c>
      <c r="I1" s="1" t="inlineStr">
        <is>
          <t>days_held</t>
        </is>
      </c>
      <c r="J1" s="1" t="inlineStr">
        <is>
          <t>proceeds</t>
        </is>
      </c>
      <c r="K1" s="1" t="inlineStr">
        <is>
          <t>cost_base</t>
        </is>
      </c>
      <c r="L1" s="1" t="inlineStr">
        <is>
          <t>capital_gain</t>
        </is>
      </c>
      <c r="M1" s="1" t="inlineStr">
        <is>
          <t>fiscal_year</t>
        </is>
      </c>
    </row>
    <row r="2">
      <c r="A2" s="6" t="n">
        <v>43538</v>
      </c>
      <c r="B2" t="inlineStr">
        <is>
          <t>VAS</t>
        </is>
      </c>
      <c r="C2" t="n">
        <v>14</v>
      </c>
      <c r="D2" s="5" t="inlineStr">
        <is>
          <t>01a1212c-687b-75a4-b217-34b86b74fc16</t>
        </is>
      </c>
      <c r="E2" s="5" t="inlineStr">
        <is>
          <t>01a1212c-687d-7722-9e5b-4cd037c726f7</t>
        </is>
      </c>
      <c r="F2" s="5" t="inlineStr">
        <is>
          <t>01a1212c-8931-72b2-8b0b-4048274a900f</t>
        </is>
      </c>
      <c r="G2" s="5" t="inlineStr">
        <is>
          <t>01a1212c-893d-71a0-b868-7a52b8b1213d</t>
        </is>
      </c>
      <c r="H2" s="6" t="n">
        <v>42646</v>
      </c>
      <c r="I2" t="n">
        <v>892</v>
      </c>
      <c r="J2" t="n">
        <v>1106.7249</v>
      </c>
      <c r="K2" t="n">
        <v>998.7003999999999</v>
      </c>
      <c r="L2" t="n">
        <v>108.0245</v>
      </c>
      <c r="M2" t="inlineStr">
        <is>
          <t>FY2018/19</t>
        </is>
      </c>
    </row>
    <row r="3">
      <c r="A3" s="6" t="n">
        <v>43538</v>
      </c>
      <c r="B3" t="inlineStr">
        <is>
          <t>VAS</t>
        </is>
      </c>
      <c r="C3" t="n">
        <v>24</v>
      </c>
      <c r="D3" s="5" t="inlineStr">
        <is>
          <t>01a1212c-68ab-70d0-97ff-b45ff3b385d9</t>
        </is>
      </c>
      <c r="E3" s="5" t="inlineStr">
        <is>
          <t>01a1212c-68ac-7533-acb8-393d5f7dde20</t>
        </is>
      </c>
      <c r="F3" s="5" t="inlineStr">
        <is>
          <t>01a1212c-8931-72b2-8b0b-4048274a900f</t>
        </is>
      </c>
      <c r="G3" s="5" t="inlineStr">
        <is>
          <t>01a1212c-894e-7598-86f6-0f7df7d020a6</t>
        </is>
      </c>
      <c r="H3" s="6" t="n">
        <v>42676</v>
      </c>
      <c r="I3" t="n">
        <v>862</v>
      </c>
      <c r="J3" t="n">
        <v>1897.2426</v>
      </c>
      <c r="K3" t="n">
        <v>1601.9906</v>
      </c>
      <c r="L3" t="n">
        <v>295.252</v>
      </c>
      <c r="M3" t="inlineStr">
        <is>
          <t>FY2018/19</t>
        </is>
      </c>
    </row>
    <row r="4">
      <c r="A4" s="6" t="n">
        <v>43538</v>
      </c>
      <c r="B4" t="inlineStr">
        <is>
          <t>VAS</t>
        </is>
      </c>
      <c r="C4" t="n">
        <v>18</v>
      </c>
      <c r="D4" s="5" t="inlineStr">
        <is>
          <t>01a1212c-68d8-72b7-ad3b-5872f0d088d4</t>
        </is>
      </c>
      <c r="E4" s="5" t="inlineStr">
        <is>
          <t>01a1212c-68da-77ea-a20b-34434b4e9654</t>
        </is>
      </c>
      <c r="F4" s="5" t="inlineStr">
        <is>
          <t>01a1212c-8931-72b2-8b0b-4048274a900f</t>
        </is>
      </c>
      <c r="G4" s="5" t="inlineStr">
        <is>
          <t>01a1212c-895f-72a6-b073-d69c6051b6c7</t>
        </is>
      </c>
      <c r="H4" s="6" t="n">
        <v>42710</v>
      </c>
      <c r="I4" t="n">
        <v>828</v>
      </c>
      <c r="J4" t="n">
        <v>1422.932</v>
      </c>
      <c r="K4" t="n">
        <v>1256.5388</v>
      </c>
      <c r="L4" t="n">
        <v>166.3932</v>
      </c>
      <c r="M4" t="inlineStr">
        <is>
          <t>FY2018/19</t>
        </is>
      </c>
    </row>
    <row r="5">
      <c r="A5" s="6" t="n">
        <v>43538</v>
      </c>
      <c r="B5" t="inlineStr">
        <is>
          <t>VAS</t>
        </is>
      </c>
      <c r="C5" t="n">
        <v>21</v>
      </c>
      <c r="D5" s="5" t="inlineStr">
        <is>
          <t>01a1212c-6919-7787-8eb5-ab3d0e57a65d</t>
        </is>
      </c>
      <c r="E5" s="5" t="inlineStr">
        <is>
          <t>01a1212c-691a-70d4-a1c4-6f72b59d4cde</t>
        </is>
      </c>
      <c r="F5" s="5" t="inlineStr">
        <is>
          <t>01a1212c-8931-72b2-8b0b-4048274a900f</t>
        </is>
      </c>
      <c r="G5" s="5" t="inlineStr">
        <is>
          <t>01a1212c-896f-7208-ae4f-cca8d77d115f</t>
        </is>
      </c>
      <c r="H5" s="6" t="n">
        <v>42741</v>
      </c>
      <c r="I5" t="n">
        <v>797</v>
      </c>
      <c r="J5" t="n">
        <v>1660.0873</v>
      </c>
      <c r="K5" t="n">
        <v>1533.6051</v>
      </c>
      <c r="L5" t="n">
        <v>126.4822</v>
      </c>
      <c r="M5" t="inlineStr">
        <is>
          <t>FY2018/19</t>
        </is>
      </c>
    </row>
    <row r="6">
      <c r="A6" s="6" t="n">
        <v>43538</v>
      </c>
      <c r="B6" t="inlineStr">
        <is>
          <t>VAS</t>
        </is>
      </c>
      <c r="C6" t="n">
        <v>20</v>
      </c>
      <c r="D6" s="5" t="inlineStr">
        <is>
          <t>01a1212c-6959-77d7-9162-5b68cf30d959</t>
        </is>
      </c>
      <c r="E6" s="5" t="inlineStr">
        <is>
          <t>01a1212c-695a-74e1-944f-cf3c745c8111</t>
        </is>
      </c>
      <c r="F6" s="5" t="inlineStr">
        <is>
          <t>01a1212c-8931-72b2-8b0b-4048274a900f</t>
        </is>
      </c>
      <c r="G6" s="5" t="inlineStr">
        <is>
          <t>01a1212c-8980-75db-9f5a-38af85e31ab8</t>
        </is>
      </c>
      <c r="H6" s="6" t="n">
        <v>42772</v>
      </c>
      <c r="I6" t="n">
        <v>766</v>
      </c>
      <c r="J6" t="n">
        <v>1581.0355</v>
      </c>
      <c r="K6" t="n">
        <v>1425.9584</v>
      </c>
      <c r="L6" t="n">
        <v>155.0771</v>
      </c>
      <c r="M6" t="inlineStr">
        <is>
          <t>FY2018/19</t>
        </is>
      </c>
    </row>
    <row r="7">
      <c r="A7" s="6" t="n">
        <v>43538</v>
      </c>
      <c r="B7" t="inlineStr">
        <is>
          <t>VAS</t>
        </is>
      </c>
      <c r="C7" t="n">
        <v>8</v>
      </c>
      <c r="D7" s="5" t="inlineStr">
        <is>
          <t>01a1212c-6981-716a-96cb-51cbfb745065</t>
        </is>
      </c>
      <c r="E7" s="5" t="inlineStr">
        <is>
          <t>01a1212c-6982-7355-ba70-8f6993dd73bd</t>
        </is>
      </c>
      <c r="F7" s="5" t="inlineStr">
        <is>
          <t>01a1212c-8931-72b2-8b0b-4048274a900f</t>
        </is>
      </c>
      <c r="G7" s="5" t="inlineStr">
        <is>
          <t>01a1212c-8990-74ff-909d-49ae494bc005</t>
        </is>
      </c>
      <c r="H7" s="6" t="n">
        <v>42797</v>
      </c>
      <c r="I7" t="n">
        <v>741</v>
      </c>
      <c r="J7" t="n">
        <v>632.4142000000001</v>
      </c>
      <c r="K7" t="n">
        <v>592.1407</v>
      </c>
      <c r="L7" t="n">
        <v>40.2735</v>
      </c>
      <c r="M7" t="inlineStr">
        <is>
          <t>FY2018/19</t>
        </is>
      </c>
    </row>
    <row r="8">
      <c r="A8" s="6" t="n">
        <v>43538</v>
      </c>
      <c r="B8" t="inlineStr">
        <is>
          <t>VAS</t>
        </is>
      </c>
      <c r="C8" t="n">
        <v>19</v>
      </c>
      <c r="D8" s="5" t="inlineStr">
        <is>
          <t>01a1212c-69d7-7004-9626-bafda08ee86d</t>
        </is>
      </c>
      <c r="E8" s="5" t="inlineStr">
        <is>
          <t>01a1212c-69d8-7623-b5ab-9b8cc7866ed9</t>
        </is>
      </c>
      <c r="F8" s="5" t="inlineStr">
        <is>
          <t>01a1212c-8931-72b2-8b0b-4048274a900f</t>
        </is>
      </c>
      <c r="G8" s="5" t="inlineStr">
        <is>
          <t>01a1212c-899f-7389-821e-79a891b53d34</t>
        </is>
      </c>
      <c r="H8" s="6" t="n">
        <v>42829</v>
      </c>
      <c r="I8" t="n">
        <v>709</v>
      </c>
      <c r="J8" t="n">
        <v>1501.9838</v>
      </c>
      <c r="K8" t="n">
        <v>1419.233</v>
      </c>
      <c r="L8" t="n">
        <v>82.7508</v>
      </c>
      <c r="M8" t="inlineStr">
        <is>
          <t>FY2018/19</t>
        </is>
      </c>
    </row>
    <row r="9">
      <c r="A9" s="6" t="n">
        <v>43538</v>
      </c>
      <c r="B9" t="inlineStr">
        <is>
          <t>VAS</t>
        </is>
      </c>
      <c r="C9" t="n">
        <v>17</v>
      </c>
      <c r="D9" s="5" t="inlineStr">
        <is>
          <t>01a1212c-6a17-70bf-9991-6fcf2b47cdda</t>
        </is>
      </c>
      <c r="E9" s="5" t="inlineStr">
        <is>
          <t>01a1212c-6a18-70d0-a47b-125a1b405792</t>
        </is>
      </c>
      <c r="F9" s="5" t="inlineStr">
        <is>
          <t>01a1212c-8931-72b2-8b0b-4048274a900f</t>
        </is>
      </c>
      <c r="G9" s="5" t="inlineStr">
        <is>
          <t>01a1212c-89af-74dd-91e2-4cbb63420d11</t>
        </is>
      </c>
      <c r="H9" s="6" t="n">
        <v>42860</v>
      </c>
      <c r="I9" t="n">
        <v>678</v>
      </c>
      <c r="J9" t="n">
        <v>1343.8802</v>
      </c>
      <c r="K9" t="n">
        <v>1270.4404</v>
      </c>
      <c r="L9" t="n">
        <v>73.43980000000001</v>
      </c>
      <c r="M9" t="inlineStr">
        <is>
          <t>FY2018/19</t>
        </is>
      </c>
    </row>
    <row r="10">
      <c r="A10" s="6" t="n">
        <v>43538</v>
      </c>
      <c r="B10" t="inlineStr">
        <is>
          <t>VAS</t>
        </is>
      </c>
      <c r="C10" t="n">
        <v>14</v>
      </c>
      <c r="D10" s="5" t="inlineStr">
        <is>
          <t>01a1212c-6a6d-77f2-87de-10443dcdbd5d</t>
        </is>
      </c>
      <c r="E10" s="5" t="inlineStr">
        <is>
          <t>01a1212c-6a6e-7311-9954-d2b7382fadc3</t>
        </is>
      </c>
      <c r="F10" s="5" t="inlineStr">
        <is>
          <t>01a1212c-8931-72b2-8b0b-4048274a900f</t>
        </is>
      </c>
      <c r="G10" s="5" t="inlineStr">
        <is>
          <t>01a1212c-89bf-7771-8009-abd2463ed986</t>
        </is>
      </c>
      <c r="H10" s="6" t="n">
        <v>42891</v>
      </c>
      <c r="I10" t="n">
        <v>647</v>
      </c>
      <c r="J10" t="n">
        <v>1106.7249</v>
      </c>
      <c r="K10" t="n">
        <v>1036.3924</v>
      </c>
      <c r="L10" t="n">
        <v>70.3325</v>
      </c>
      <c r="M10" t="inlineStr">
        <is>
          <t>FY2018/19</t>
        </is>
      </c>
    </row>
    <row r="11">
      <c r="A11" s="6" t="n">
        <v>43538</v>
      </c>
      <c r="B11" t="inlineStr">
        <is>
          <t>VAS</t>
        </is>
      </c>
      <c r="C11" t="n">
        <v>21</v>
      </c>
      <c r="D11" s="5" t="inlineStr">
        <is>
          <t>01a1212c-6aad-70b1-802d-21095f54f457</t>
        </is>
      </c>
      <c r="E11" s="5" t="inlineStr">
        <is>
          <t>01a1212c-6aae-7071-b34e-f040cbd8af32</t>
        </is>
      </c>
      <c r="F11" s="5" t="inlineStr">
        <is>
          <t>01a1212c-8931-72b2-8b0b-4048274a900f</t>
        </is>
      </c>
      <c r="G11" s="5" t="inlineStr">
        <is>
          <t>01a1212c-89ce-7745-9835-82bf049f8808</t>
        </is>
      </c>
      <c r="H11" s="6" t="n">
        <v>42920</v>
      </c>
      <c r="I11" t="n">
        <v>618</v>
      </c>
      <c r="J11" t="n">
        <v>1660.0873</v>
      </c>
      <c r="K11" t="n">
        <v>1552.3426</v>
      </c>
      <c r="L11" t="n">
        <v>107.7447</v>
      </c>
      <c r="M11" t="inlineStr">
        <is>
          <t>FY2018/19</t>
        </is>
      </c>
    </row>
    <row r="12">
      <c r="A12" s="6" t="n">
        <v>43538</v>
      </c>
      <c r="B12" t="inlineStr">
        <is>
          <t>VAS</t>
        </is>
      </c>
      <c r="C12" t="n">
        <v>18</v>
      </c>
      <c r="D12" s="5" t="inlineStr">
        <is>
          <t>01a1212c-6b04-74b6-a2d2-3e5df3d358f3</t>
        </is>
      </c>
      <c r="E12" s="5" t="inlineStr">
        <is>
          <t>01a1212c-6b06-7635-8cc2-f08f1c899ffd</t>
        </is>
      </c>
      <c r="F12" s="5" t="inlineStr">
        <is>
          <t>01a1212c-8931-72b2-8b0b-4048274a900f</t>
        </is>
      </c>
      <c r="G12" s="5" t="inlineStr">
        <is>
          <t>01a1212c-89dd-75e7-b856-5b7f55b29423</t>
        </is>
      </c>
      <c r="H12" s="6" t="n">
        <v>42954</v>
      </c>
      <c r="I12" t="n">
        <v>584</v>
      </c>
      <c r="J12" t="n">
        <v>1422.932</v>
      </c>
      <c r="K12" t="n">
        <v>1329.8606</v>
      </c>
      <c r="L12" t="n">
        <v>93.0714</v>
      </c>
      <c r="M12" t="inlineStr">
        <is>
          <t>FY2018/19</t>
        </is>
      </c>
    </row>
    <row r="13">
      <c r="A13" s="6" t="n">
        <v>43538</v>
      </c>
      <c r="B13" t="inlineStr">
        <is>
          <t>VAS</t>
        </is>
      </c>
      <c r="C13" t="n">
        <v>3</v>
      </c>
      <c r="D13" s="5" t="inlineStr">
        <is>
          <t>01a1212c-6b2e-762b-b2d4-1925c074cd6f</t>
        </is>
      </c>
      <c r="E13" s="5" t="inlineStr">
        <is>
          <t>01a1212c-89ef-7630-ad3f-fd37a2fe2e20</t>
        </is>
      </c>
      <c r="F13" s="5" t="inlineStr">
        <is>
          <t>01a1212c-8931-72b2-8b0b-4048274a900f</t>
        </is>
      </c>
      <c r="G13" s="5" t="inlineStr">
        <is>
          <t>01a1212c-89ed-7478-a788-82b6c8b4bac9</t>
        </is>
      </c>
      <c r="H13" s="6" t="n">
        <v>42982</v>
      </c>
      <c r="I13" t="n">
        <v>556</v>
      </c>
      <c r="J13" t="n">
        <v>237.1553</v>
      </c>
      <c r="K13" t="n">
        <v>221.3024</v>
      </c>
      <c r="L13" t="n">
        <v>15.853</v>
      </c>
      <c r="M13" t="inlineStr">
        <is>
          <t>FY2018/19</t>
        </is>
      </c>
    </row>
    <row r="14">
      <c r="A14" s="6" t="n">
        <v>43697</v>
      </c>
      <c r="B14" t="inlineStr">
        <is>
          <t>VAS</t>
        </is>
      </c>
      <c r="C14" t="n">
        <v>13</v>
      </c>
      <c r="D14" s="5" t="inlineStr">
        <is>
          <t>01a1212c-6b2e-762b-b2d4-1925c074cd6f</t>
        </is>
      </c>
      <c r="E14" s="5" t="inlineStr">
        <is>
          <t>01a1212c-89f4-7113-8008-3b3bfc79728b</t>
        </is>
      </c>
      <c r="F14" s="5" t="inlineStr">
        <is>
          <t>01a1212c-8d1b-74a4-a181-6d258da22399</t>
        </is>
      </c>
      <c r="G14" s="5" t="inlineStr">
        <is>
          <t>01a1212c-8d24-7410-9d71-21f7f7defcbd</t>
        </is>
      </c>
      <c r="H14" s="6" t="n">
        <v>42982</v>
      </c>
      <c r="I14" t="n">
        <v>715</v>
      </c>
      <c r="J14" t="n">
        <v>1081.0473</v>
      </c>
      <c r="K14" t="n">
        <v>959.7494</v>
      </c>
      <c r="L14" t="n">
        <v>121.2979</v>
      </c>
      <c r="M14" t="inlineStr">
        <is>
          <t>FY2019/20</t>
        </is>
      </c>
    </row>
    <row r="15">
      <c r="A15" s="6" t="n">
        <v>43697</v>
      </c>
      <c r="B15" t="inlineStr">
        <is>
          <t>VAS</t>
        </is>
      </c>
      <c r="C15" t="n">
        <v>11</v>
      </c>
      <c r="D15" s="5" t="inlineStr">
        <is>
          <t>01a1212c-6b71-71a7-9a01-e47746f33307</t>
        </is>
      </c>
      <c r="E15" s="5" t="inlineStr">
        <is>
          <t>01a1212c-6b72-74ed-b4f6-5b4d5a03ef71</t>
        </is>
      </c>
      <c r="F15" s="5" t="inlineStr">
        <is>
          <t>01a1212c-8d1b-74a4-a181-6d258da22399</t>
        </is>
      </c>
      <c r="G15" s="5" t="inlineStr">
        <is>
          <t>01a1212c-8d36-7300-af16-eacb604df2b4</t>
        </is>
      </c>
      <c r="H15" s="6" t="n">
        <v>43013</v>
      </c>
      <c r="I15" t="n">
        <v>684</v>
      </c>
      <c r="J15" t="n">
        <v>914.7323</v>
      </c>
      <c r="K15" t="n">
        <v>802.3318</v>
      </c>
      <c r="L15" t="n">
        <v>112.4005</v>
      </c>
      <c r="M15" t="inlineStr">
        <is>
          <t>FY2019/20</t>
        </is>
      </c>
    </row>
    <row r="16">
      <c r="A16" s="6" t="n">
        <v>43697</v>
      </c>
      <c r="B16" t="inlineStr">
        <is>
          <t>VAS</t>
        </is>
      </c>
      <c r="C16" t="n">
        <v>13</v>
      </c>
      <c r="D16" s="5" t="inlineStr">
        <is>
          <t>01a1212c-6bb3-753d-80c0-35d9c65f12e8</t>
        </is>
      </c>
      <c r="E16" s="5" t="inlineStr">
        <is>
          <t>01a1212c-6bb4-759b-b5fd-3065dd129d0f</t>
        </is>
      </c>
      <c r="F16" s="5" t="inlineStr">
        <is>
          <t>01a1212c-8d1b-74a4-a181-6d258da22399</t>
        </is>
      </c>
      <c r="G16" s="5" t="inlineStr">
        <is>
          <t>01a1212c-8d45-764c-9d23-68b9a9e4e5a1</t>
        </is>
      </c>
      <c r="H16" s="6" t="n">
        <v>43045</v>
      </c>
      <c r="I16" t="n">
        <v>652</v>
      </c>
      <c r="J16" t="n">
        <v>1081.0473</v>
      </c>
      <c r="K16" t="n">
        <v>995.6649</v>
      </c>
      <c r="L16" t="n">
        <v>85.3824</v>
      </c>
      <c r="M16" t="inlineStr">
        <is>
          <t>FY2019/20</t>
        </is>
      </c>
    </row>
    <row r="17">
      <c r="A17" s="6" t="n">
        <v>43697</v>
      </c>
      <c r="B17" t="inlineStr">
        <is>
          <t>VAS</t>
        </is>
      </c>
      <c r="C17" t="n">
        <v>13</v>
      </c>
      <c r="D17" s="5" t="inlineStr">
        <is>
          <t>01a1212c-6bdc-710a-8309-ec0bb69a73f4</t>
        </is>
      </c>
      <c r="E17" s="5" t="inlineStr">
        <is>
          <t>01a1212c-6bde-777f-aa74-d04c84c2a216</t>
        </is>
      </c>
      <c r="F17" s="5" t="inlineStr">
        <is>
          <t>01a1212c-8d1b-74a4-a181-6d258da22399</t>
        </is>
      </c>
      <c r="G17" s="5" t="inlineStr">
        <is>
          <t>01a1212c-8d54-768f-a9d3-23bde71feca9</t>
        </is>
      </c>
      <c r="H17" s="6" t="n">
        <v>43073</v>
      </c>
      <c r="I17" t="n">
        <v>624</v>
      </c>
      <c r="J17" t="n">
        <v>1081.0473</v>
      </c>
      <c r="K17" t="n">
        <v>1007.8891</v>
      </c>
      <c r="L17" t="n">
        <v>73.15819999999999</v>
      </c>
      <c r="M17" t="inlineStr">
        <is>
          <t>FY2019/20</t>
        </is>
      </c>
    </row>
    <row r="18">
      <c r="A18" s="6" t="n">
        <v>43697</v>
      </c>
      <c r="B18" t="inlineStr">
        <is>
          <t>VAS</t>
        </is>
      </c>
      <c r="C18" t="n">
        <v>20</v>
      </c>
      <c r="D18" s="5" t="inlineStr">
        <is>
          <t>01a1212c-6c07-750c-a401-f832999b5bb4</t>
        </is>
      </c>
      <c r="E18" s="5" t="inlineStr">
        <is>
          <t>01a1212c-6c08-71b7-9210-9718c95a0269</t>
        </is>
      </c>
      <c r="F18" s="5" t="inlineStr">
        <is>
          <t>01a1212c-8d1b-74a4-a181-6d258da22399</t>
        </is>
      </c>
      <c r="G18" s="5" t="inlineStr">
        <is>
          <t>01a1212c-8d63-71fd-abd5-79832c6ae051</t>
        </is>
      </c>
      <c r="H18" s="6" t="n">
        <v>43105</v>
      </c>
      <c r="I18" t="n">
        <v>592</v>
      </c>
      <c r="J18" t="n">
        <v>1663.1496</v>
      </c>
      <c r="K18" t="n">
        <v>1570.1477</v>
      </c>
      <c r="L18" t="n">
        <v>93.00190000000001</v>
      </c>
      <c r="M18" t="inlineStr">
        <is>
          <t>FY2019/20</t>
        </is>
      </c>
    </row>
    <row r="19">
      <c r="A19" s="6" t="n">
        <v>43697</v>
      </c>
      <c r="B19" t="inlineStr">
        <is>
          <t>VAS</t>
        </is>
      </c>
      <c r="C19" t="n">
        <v>14</v>
      </c>
      <c r="D19" s="5" t="inlineStr">
        <is>
          <t>01a1212c-6c48-717b-97a8-59c8a9172651</t>
        </is>
      </c>
      <c r="E19" s="5" t="inlineStr">
        <is>
          <t>01a1212c-6c49-7160-b8e0-1ae2951d4c69</t>
        </is>
      </c>
      <c r="F19" s="5" t="inlineStr">
        <is>
          <t>01a1212c-8d1b-74a4-a181-6d258da22399</t>
        </is>
      </c>
      <c r="G19" s="5" t="inlineStr">
        <is>
          <t>01a1212c-8d73-70a0-842b-ea8f502e8e09</t>
        </is>
      </c>
      <c r="H19" s="6" t="n">
        <v>43133</v>
      </c>
      <c r="I19" t="n">
        <v>564</v>
      </c>
      <c r="J19" t="n">
        <v>1164.2047</v>
      </c>
      <c r="K19" t="n">
        <v>1102.3779</v>
      </c>
      <c r="L19" t="n">
        <v>61.8268</v>
      </c>
      <c r="M19" t="inlineStr">
        <is>
          <t>FY2019/20</t>
        </is>
      </c>
    </row>
    <row r="20">
      <c r="A20" s="6" t="n">
        <v>43697</v>
      </c>
      <c r="B20" t="inlineStr">
        <is>
          <t>VAS</t>
        </is>
      </c>
      <c r="C20" t="n">
        <v>20</v>
      </c>
      <c r="D20" s="5" t="inlineStr">
        <is>
          <t>01a1212c-6c9d-7374-a73e-74951680eec3</t>
        </is>
      </c>
      <c r="E20" s="5" t="inlineStr">
        <is>
          <t>01a1212c-6c9e-75f8-990d-1f420daecde4</t>
        </is>
      </c>
      <c r="F20" s="5" t="inlineStr">
        <is>
          <t>01a1212c-8d1b-74a4-a181-6d258da22399</t>
        </is>
      </c>
      <c r="G20" s="5" t="inlineStr">
        <is>
          <t>01a1212c-8d82-749a-bccb-f1be245f0e53</t>
        </is>
      </c>
      <c r="H20" s="6" t="n">
        <v>43165</v>
      </c>
      <c r="I20" t="n">
        <v>532</v>
      </c>
      <c r="J20" t="n">
        <v>1663.1496</v>
      </c>
      <c r="K20" t="n">
        <v>1545.6188</v>
      </c>
      <c r="L20" t="n">
        <v>117.5308</v>
      </c>
      <c r="M20" t="inlineStr">
        <is>
          <t>FY2019/20</t>
        </is>
      </c>
    </row>
    <row r="21">
      <c r="A21" s="6" t="n">
        <v>43697</v>
      </c>
      <c r="B21" t="inlineStr">
        <is>
          <t>VAS</t>
        </is>
      </c>
      <c r="C21" t="n">
        <v>12</v>
      </c>
      <c r="D21" s="5" t="inlineStr">
        <is>
          <t>01a1212c-6cc7-730a-9481-5e8018b54c12</t>
        </is>
      </c>
      <c r="E21" s="5" t="inlineStr">
        <is>
          <t>01a1212c-6cc9-776e-89ba-82d2ec02eeba</t>
        </is>
      </c>
      <c r="F21" s="5" t="inlineStr">
        <is>
          <t>01a1212c-8d1b-74a4-a181-6d258da22399</t>
        </is>
      </c>
      <c r="G21" s="5" t="inlineStr">
        <is>
          <t>01a1212c-8d91-7221-bbe2-db81bdf51382</t>
        </is>
      </c>
      <c r="H21" s="6" t="n">
        <v>43196</v>
      </c>
      <c r="I21" t="n">
        <v>501</v>
      </c>
      <c r="J21" t="n">
        <v>997.8898</v>
      </c>
      <c r="K21" t="n">
        <v>898.4411</v>
      </c>
      <c r="L21" t="n">
        <v>99.4487</v>
      </c>
      <c r="M21" t="inlineStr">
        <is>
          <t>FY2019/20</t>
        </is>
      </c>
    </row>
    <row r="22">
      <c r="A22" s="6" t="n">
        <v>43697</v>
      </c>
      <c r="B22" t="inlineStr">
        <is>
          <t>VAS</t>
        </is>
      </c>
      <c r="C22" t="n">
        <v>15</v>
      </c>
      <c r="D22" s="5" t="inlineStr">
        <is>
          <t>01a1212c-6cf3-748a-890c-785209f3e62f</t>
        </is>
      </c>
      <c r="E22" s="5" t="inlineStr">
        <is>
          <t>01a1212c-6cf4-716f-80ca-3b34218d873a</t>
        </is>
      </c>
      <c r="F22" s="5" t="inlineStr">
        <is>
          <t>01a1212c-8d1b-74a4-a181-6d258da22399</t>
        </is>
      </c>
      <c r="G22" s="5" t="inlineStr">
        <is>
          <t>01a1212c-8da0-7081-a438-19f7b70f5095</t>
        </is>
      </c>
      <c r="H22" s="6" t="n">
        <v>43227</v>
      </c>
      <c r="I22" t="n">
        <v>470</v>
      </c>
      <c r="J22" t="n">
        <v>1247.3622</v>
      </c>
      <c r="K22" t="n">
        <v>1178.014</v>
      </c>
      <c r="L22" t="n">
        <v>69.34820000000001</v>
      </c>
      <c r="M22" t="inlineStr">
        <is>
          <t>FY2019/20</t>
        </is>
      </c>
    </row>
    <row r="23">
      <c r="A23" s="6" t="n">
        <v>43753</v>
      </c>
      <c r="B23" t="inlineStr">
        <is>
          <t>TLS</t>
        </is>
      </c>
      <c r="C23" t="n">
        <v>195</v>
      </c>
      <c r="D23" s="5" t="inlineStr">
        <is>
          <t>01a1212c-6905-73a9-bec4-5da026d829a1</t>
        </is>
      </c>
      <c r="E23" s="5" t="inlineStr">
        <is>
          <t>01a1212c-6906-7630-a5f2-751e7e213be3</t>
        </is>
      </c>
      <c r="F23" s="5" t="inlineStr">
        <is>
          <t>01a1212c-8dbd-7320-af7b-aa5adf7f799a</t>
        </is>
      </c>
      <c r="G23" s="5" t="inlineStr">
        <is>
          <t>01a1212c-8dc2-7152-ba5d-8c885e857f9e</t>
        </is>
      </c>
      <c r="H23" s="6" t="n">
        <v>42716</v>
      </c>
      <c r="I23" t="n">
        <v>1037</v>
      </c>
      <c r="J23" t="n">
        <v>688.0101</v>
      </c>
      <c r="K23" t="n">
        <v>985.2</v>
      </c>
      <c r="L23" t="n">
        <v>-297.1899</v>
      </c>
      <c r="M23" t="inlineStr">
        <is>
          <t>FY2019/20</t>
        </is>
      </c>
    </row>
    <row r="24">
      <c r="A24" s="6" t="n">
        <v>43753</v>
      </c>
      <c r="B24" t="inlineStr">
        <is>
          <t>TLS</t>
        </is>
      </c>
      <c r="C24" t="n">
        <v>299</v>
      </c>
      <c r="D24" s="5" t="inlineStr">
        <is>
          <t>01a1212c-6a43-731c-a983-9cc342a0ebc2</t>
        </is>
      </c>
      <c r="E24" s="5" t="inlineStr">
        <is>
          <t>01a1212c-6a44-73c6-91b4-550ecb04beb8</t>
        </is>
      </c>
      <c r="F24" s="5" t="inlineStr">
        <is>
          <t>01a1212c-8dbd-7320-af7b-aa5adf7f799a</t>
        </is>
      </c>
      <c r="G24" s="5" t="inlineStr">
        <is>
          <t>01a1212c-8dd2-7112-8cb5-ede6a10ce26a</t>
        </is>
      </c>
      <c r="H24" s="6" t="n">
        <v>42870</v>
      </c>
      <c r="I24" t="n">
        <v>883</v>
      </c>
      <c r="J24" t="n">
        <v>1054.9489</v>
      </c>
      <c r="K24" t="n">
        <v>1335.55</v>
      </c>
      <c r="L24" t="n">
        <v>-280.6011</v>
      </c>
      <c r="M24" t="inlineStr">
        <is>
          <t>FY2019/20</t>
        </is>
      </c>
    </row>
    <row r="25">
      <c r="A25" s="6" t="n">
        <v>43753</v>
      </c>
      <c r="B25" t="inlineStr">
        <is>
          <t>TLS</t>
        </is>
      </c>
      <c r="C25" t="n">
        <v>315</v>
      </c>
      <c r="D25" s="5" t="inlineStr">
        <is>
          <t>01a1212c-6c71-7588-854f-9da9565ff4c3</t>
        </is>
      </c>
      <c r="E25" s="5" t="inlineStr">
        <is>
          <t>01a1212c-6c72-7096-8800-b496d4330923</t>
        </is>
      </c>
      <c r="F25" s="5" t="inlineStr">
        <is>
          <t>01a1212c-8dbd-7320-af7b-aa5adf7f799a</t>
        </is>
      </c>
      <c r="G25" s="5" t="inlineStr">
        <is>
          <t>01a1212c-8de2-761b-a3cf-ed60b618c80a</t>
        </is>
      </c>
      <c r="H25" s="6" t="n">
        <v>43139</v>
      </c>
      <c r="I25" t="n">
        <v>614</v>
      </c>
      <c r="J25" t="n">
        <v>1111.401</v>
      </c>
      <c r="K25" t="n">
        <v>1141.35</v>
      </c>
      <c r="L25" t="n">
        <v>-29.949</v>
      </c>
      <c r="M25" t="inlineStr">
        <is>
          <t>FY2019/20</t>
        </is>
      </c>
    </row>
    <row r="26">
      <c r="A26" s="6" t="n">
        <v>44642</v>
      </c>
      <c r="B26" t="inlineStr">
        <is>
          <t>WES</t>
        </is>
      </c>
      <c r="C26" t="n">
        <v>14</v>
      </c>
      <c r="D26" s="5" t="inlineStr">
        <is>
          <t>01a1212c-6e91-7423-af4c-16718651c15d</t>
        </is>
      </c>
      <c r="E26" s="5" t="inlineStr">
        <is>
          <t>01a1212c-6e92-7029-9245-e448e27a2feb</t>
        </is>
      </c>
      <c r="F26" s="5" t="inlineStr">
        <is>
          <t>01a1212c-94f1-7019-b336-ee1945198e1f</t>
        </is>
      </c>
      <c r="G26" s="5" t="inlineStr">
        <is>
          <t>01a1212c-9501-75fe-b310-c9c77613ae68</t>
        </is>
      </c>
      <c r="H26" s="6" t="n">
        <v>43416</v>
      </c>
      <c r="I26" t="n">
        <v>1226</v>
      </c>
      <c r="J26" t="n">
        <v>703.5538</v>
      </c>
      <c r="K26" t="n">
        <v>494.4086</v>
      </c>
      <c r="L26" t="n">
        <v>209.1452</v>
      </c>
      <c r="M26" t="inlineStr">
        <is>
          <t>FY2021/22</t>
        </is>
      </c>
    </row>
    <row r="27">
      <c r="A27" s="6" t="n">
        <v>44642</v>
      </c>
      <c r="B27" t="inlineStr">
        <is>
          <t>WES</t>
        </is>
      </c>
      <c r="C27" t="n">
        <v>23</v>
      </c>
      <c r="D27" s="5" t="inlineStr">
        <is>
          <t>01a1212c-7013-702a-bd5f-d5b235a1951a</t>
        </is>
      </c>
      <c r="E27" s="5" t="inlineStr">
        <is>
          <t>01a1212c-7014-7234-b2a6-2982f2ea46fd</t>
        </is>
      </c>
      <c r="F27" s="5" t="inlineStr">
        <is>
          <t>01a1212c-94f1-7019-b336-ee1945198e1f</t>
        </is>
      </c>
      <c r="G27" s="5" t="inlineStr">
        <is>
          <t>01a1212c-9515-77af-9dae-02ccb8dcf7c7</t>
        </is>
      </c>
      <c r="H27" s="6" t="n">
        <v>43605</v>
      </c>
      <c r="I27" t="n">
        <v>1037</v>
      </c>
      <c r="J27" t="n">
        <v>1155.8385</v>
      </c>
      <c r="K27" t="n">
        <v>864.28</v>
      </c>
      <c r="L27" t="n">
        <v>291.5585</v>
      </c>
      <c r="M27" t="inlineStr">
        <is>
          <t>FY2021/22</t>
        </is>
      </c>
    </row>
    <row r="28">
      <c r="A28" s="6" t="n">
        <v>44642</v>
      </c>
      <c r="B28" t="inlineStr">
        <is>
          <t>WES</t>
        </is>
      </c>
      <c r="C28" t="n">
        <v>28</v>
      </c>
      <c r="D28" s="5" t="inlineStr">
        <is>
          <t>01a1212c-728d-7625-bfa8-626d2ea8da70</t>
        </is>
      </c>
      <c r="E28" s="5" t="inlineStr">
        <is>
          <t>01a1212c-728e-775e-8dc9-c0226890c8c9</t>
        </is>
      </c>
      <c r="F28" s="5" t="inlineStr">
        <is>
          <t>01a1212c-94f1-7019-b336-ee1945198e1f</t>
        </is>
      </c>
      <c r="G28" s="5" t="inlineStr">
        <is>
          <t>01a1212c-9527-7102-8f20-6c4a5136695a</t>
        </is>
      </c>
      <c r="H28" s="6" t="n">
        <v>43910</v>
      </c>
      <c r="I28" t="n">
        <v>732</v>
      </c>
      <c r="J28" t="n">
        <v>1407.1077</v>
      </c>
      <c r="K28" t="n">
        <v>951.79</v>
      </c>
      <c r="L28" t="n">
        <v>455.3177</v>
      </c>
      <c r="M28" t="inlineStr">
        <is>
          <t>FY2021/22</t>
        </is>
      </c>
    </row>
    <row r="29">
      <c r="A29" s="6" t="n">
        <v>45608</v>
      </c>
      <c r="B29" t="inlineStr">
        <is>
          <t>MSFT</t>
        </is>
      </c>
      <c r="C29" t="n">
        <v>2</v>
      </c>
      <c r="D29" s="5" t="inlineStr">
        <is>
          <t>01a1212c-8068-7650-b39f-055fd505ed79</t>
        </is>
      </c>
      <c r="E29" s="5" t="inlineStr">
        <is>
          <t>01a1212c-806b-73e3-b04e-830d52655dcb</t>
        </is>
      </c>
      <c r="F29" s="5" t="inlineStr">
        <is>
          <t>01a1212c-a6de-7492-bdde-9705213068e5</t>
        </is>
      </c>
      <c r="G29" s="5" t="inlineStr">
        <is>
          <t>01a1212c-a706-7745-a01a-76c0a28f472f</t>
        </is>
      </c>
      <c r="H29" s="6" t="n">
        <v>45600</v>
      </c>
      <c r="I29" t="n">
        <v>8</v>
      </c>
      <c r="J29" t="n">
        <v>1268.6061</v>
      </c>
      <c r="K29" t="n">
        <v>1232.88</v>
      </c>
      <c r="L29" t="n">
        <v>35.7261</v>
      </c>
      <c r="M29" t="inlineStr">
        <is>
          <t>FY2024/25</t>
        </is>
      </c>
    </row>
    <row r="30">
      <c r="A30" s="6" t="n">
        <v>45608</v>
      </c>
      <c r="B30" t="inlineStr">
        <is>
          <t>MSFT</t>
        </is>
      </c>
      <c r="C30" t="n">
        <v>1</v>
      </c>
      <c r="D30" s="5" t="inlineStr">
        <is>
          <t>01a1212c-7de2-737f-a8b8-80a1a55e8801</t>
        </is>
      </c>
      <c r="E30" s="5" t="inlineStr">
        <is>
          <t>01a1212c-7de4-74fb-8447-aee738aec9e9</t>
        </is>
      </c>
      <c r="F30" s="5" t="inlineStr">
        <is>
          <t>01a1212c-a6de-7492-bdde-9705213068e5</t>
        </is>
      </c>
      <c r="G30" s="5" t="inlineStr">
        <is>
          <t>01a1212c-a717-73f1-a890-e134990cc0ce</t>
        </is>
      </c>
      <c r="H30" s="6" t="n">
        <v>45271</v>
      </c>
      <c r="I30" t="n">
        <v>337</v>
      </c>
      <c r="J30" t="n">
        <v>634.3031</v>
      </c>
      <c r="K30" t="n">
        <v>564.45</v>
      </c>
      <c r="L30" t="n">
        <v>69.8531</v>
      </c>
      <c r="M30" t="inlineStr">
        <is>
          <t>FY2024/25</t>
        </is>
      </c>
    </row>
    <row r="31">
      <c r="A31" s="6" t="n">
        <v>45608</v>
      </c>
      <c r="B31" t="inlineStr">
        <is>
          <t>MSFT</t>
        </is>
      </c>
      <c r="C31" t="n">
        <v>1</v>
      </c>
      <c r="D31" s="5" t="inlineStr">
        <is>
          <t>01a1212c-7d1a-7102-85ff-b64c834589fb</t>
        </is>
      </c>
      <c r="E31" s="5" t="inlineStr">
        <is>
          <t>01a1212c-7d1d-7176-810f-e34a8b03dcf5</t>
        </is>
      </c>
      <c r="F31" s="5" t="inlineStr">
        <is>
          <t>01a1212c-a6de-7492-bdde-9705213068e5</t>
        </is>
      </c>
      <c r="G31" s="5" t="inlineStr">
        <is>
          <t>01a1212c-a725-7071-83a0-27fdd38ceabd</t>
        </is>
      </c>
      <c r="H31" s="6" t="n">
        <v>45191</v>
      </c>
      <c r="I31" t="n">
        <v>417</v>
      </c>
      <c r="J31" t="n">
        <v>634.3031</v>
      </c>
      <c r="K31" t="n">
        <v>483.015</v>
      </c>
      <c r="L31" t="n">
        <v>151.2881</v>
      </c>
      <c r="M31" t="inlineStr">
        <is>
          <t>FY2024/25</t>
        </is>
      </c>
    </row>
    <row r="32">
      <c r="A32" s="6" t="n">
        <v>45608</v>
      </c>
      <c r="B32" t="inlineStr">
        <is>
          <t>MSFT</t>
        </is>
      </c>
      <c r="C32" t="n">
        <v>2</v>
      </c>
      <c r="D32" s="5" t="inlineStr">
        <is>
          <t>01a1212c-77e8-722e-aafe-cb106ba67592</t>
        </is>
      </c>
      <c r="E32" s="5" t="inlineStr">
        <is>
          <t>01a1212c-77eb-71d2-8d3e-c87dbf224379</t>
        </is>
      </c>
      <c r="F32" s="5" t="inlineStr">
        <is>
          <t>01a1212c-a6de-7492-bdde-9705213068e5</t>
        </is>
      </c>
      <c r="G32" s="5" t="inlineStr">
        <is>
          <t>01a1212c-a734-7087-bc4e-5c89efb8fe3f</t>
        </is>
      </c>
      <c r="H32" s="6" t="n">
        <v>44588</v>
      </c>
      <c r="I32" t="n">
        <v>1020</v>
      </c>
      <c r="J32" t="n">
        <v>1268.6061</v>
      </c>
      <c r="K32" t="n">
        <v>907.02</v>
      </c>
      <c r="L32" t="n">
        <v>361.5861</v>
      </c>
      <c r="M32" t="inlineStr">
        <is>
          <t>FY2024/25</t>
        </is>
      </c>
    </row>
    <row r="33">
      <c r="A33" s="6" t="n">
        <v>45608</v>
      </c>
      <c r="B33" t="inlineStr">
        <is>
          <t>MSFT</t>
        </is>
      </c>
      <c r="C33" t="n">
        <v>3</v>
      </c>
      <c r="D33" s="5" t="inlineStr">
        <is>
          <t>01a1212c-76f1-7402-b5ad-3c9ad1e61920</t>
        </is>
      </c>
      <c r="E33" s="5" t="inlineStr">
        <is>
          <t>01a1212c-76f3-737d-b876-ef8067dafb8e</t>
        </is>
      </c>
      <c r="F33" s="5" t="inlineStr">
        <is>
          <t>01a1212c-a6de-7492-bdde-9705213068e5</t>
        </is>
      </c>
      <c r="G33" s="5" t="inlineStr">
        <is>
          <t>01a1212c-a742-75ee-bfcf-3894d54b39da</t>
        </is>
      </c>
      <c r="H33" s="6" t="n">
        <v>44474</v>
      </c>
      <c r="I33" t="n">
        <v>1134</v>
      </c>
      <c r="J33" t="n">
        <v>1902.9092</v>
      </c>
      <c r="K33" t="n">
        <v>1306.92</v>
      </c>
      <c r="L33" t="n">
        <v>595.9892</v>
      </c>
      <c r="M33" t="inlineStr">
        <is>
          <t>FY2024/25</t>
        </is>
      </c>
    </row>
    <row r="34">
      <c r="A34" s="6" t="n">
        <v>45608</v>
      </c>
      <c r="B34" t="inlineStr">
        <is>
          <t>MSFT</t>
        </is>
      </c>
      <c r="C34" t="n">
        <v>2</v>
      </c>
      <c r="D34" s="5" t="inlineStr">
        <is>
          <t>01a1212c-7b93-71a5-a3a5-7f225259cb1d</t>
        </is>
      </c>
      <c r="E34" s="5" t="inlineStr">
        <is>
          <t>01a1212c-7b96-70e2-926b-fb99be4701c0</t>
        </is>
      </c>
      <c r="F34" s="5" t="inlineStr">
        <is>
          <t>01a1212c-a6de-7492-bdde-9705213068e5</t>
        </is>
      </c>
      <c r="G34" s="5" t="inlineStr">
        <is>
          <t>01a1212c-a751-7689-8bc3-a9a9ef73811f</t>
        </is>
      </c>
      <c r="H34" s="6" t="n">
        <v>45012</v>
      </c>
      <c r="I34" t="n">
        <v>596</v>
      </c>
      <c r="J34" t="n">
        <v>1268.6061</v>
      </c>
      <c r="K34" t="n">
        <v>836.64</v>
      </c>
      <c r="L34" t="n">
        <v>431.9661</v>
      </c>
      <c r="M34" t="inlineStr">
        <is>
          <t>FY2024/25</t>
        </is>
      </c>
    </row>
    <row r="35">
      <c r="A35" s="6" t="n">
        <v>45608</v>
      </c>
      <c r="B35" t="inlineStr">
        <is>
          <t>MSFT</t>
        </is>
      </c>
      <c r="C35" t="n">
        <v>3</v>
      </c>
      <c r="D35" s="5" t="inlineStr">
        <is>
          <t>01a1212c-75be-728c-9a26-a7515313e517</t>
        </is>
      </c>
      <c r="E35" s="5" t="inlineStr">
        <is>
          <t>01a1212c-75c1-742a-8398-7e18f922e19c</t>
        </is>
      </c>
      <c r="F35" s="5" t="inlineStr">
        <is>
          <t>01a1212c-a6de-7492-bdde-9705213068e5</t>
        </is>
      </c>
      <c r="G35" s="5" t="inlineStr">
        <is>
          <t>01a1212c-a760-73a6-a722-f7236c4cbfa8</t>
        </is>
      </c>
      <c r="H35" s="6" t="n">
        <v>44312</v>
      </c>
      <c r="I35" t="n">
        <v>1296</v>
      </c>
      <c r="J35" t="n">
        <v>1902.9092</v>
      </c>
      <c r="K35" t="n">
        <v>1184.475</v>
      </c>
      <c r="L35" t="n">
        <v>718.4342</v>
      </c>
      <c r="M35" t="inlineStr">
        <is>
          <t>FY2024/25</t>
        </is>
      </c>
    </row>
    <row r="36">
      <c r="A36" s="6" t="n">
        <v>45608</v>
      </c>
      <c r="B36" t="inlineStr">
        <is>
          <t>MSFT</t>
        </is>
      </c>
      <c r="C36" t="n">
        <v>3</v>
      </c>
      <c r="D36" s="5" t="inlineStr">
        <is>
          <t>01a1212c-7998-7218-a6b5-2cae7952f598</t>
        </is>
      </c>
      <c r="E36" s="5" t="inlineStr">
        <is>
          <t>01a1212c-799a-70d0-82fd-9710f60067ae</t>
        </is>
      </c>
      <c r="F36" s="5" t="inlineStr">
        <is>
          <t>01a1212c-a6de-7492-bdde-9705213068e5</t>
        </is>
      </c>
      <c r="G36" s="5" t="inlineStr">
        <is>
          <t>01a1212c-a76f-70a7-bfa9-e7375c73360e</t>
        </is>
      </c>
      <c r="H36" s="6" t="n">
        <v>44767</v>
      </c>
      <c r="I36" t="n">
        <v>841</v>
      </c>
      <c r="J36" t="n">
        <v>1902.9092</v>
      </c>
      <c r="K36" t="n">
        <v>1172.235</v>
      </c>
      <c r="L36" t="n">
        <v>730.6742</v>
      </c>
      <c r="M36" t="inlineStr">
        <is>
          <t>FY2024/25</t>
        </is>
      </c>
    </row>
    <row r="37">
      <c r="A37" s="6" t="n">
        <v>45608</v>
      </c>
      <c r="B37" t="inlineStr">
        <is>
          <t>MSFT</t>
        </is>
      </c>
      <c r="C37" t="n">
        <v>1</v>
      </c>
      <c r="D37" s="5" t="inlineStr">
        <is>
          <t>01a1212c-7b50-720d-bb1b-f07ce36842fd</t>
        </is>
      </c>
      <c r="E37" s="5" t="inlineStr">
        <is>
          <t>01a1212c-7b52-7525-b821-0bd3ac752abd</t>
        </is>
      </c>
      <c r="F37" s="5" t="inlineStr">
        <is>
          <t>01a1212c-a6de-7492-bdde-9705213068e5</t>
        </is>
      </c>
      <c r="G37" s="5" t="inlineStr">
        <is>
          <t>01a1212c-a77e-754f-92e8-609107ccddaf</t>
        </is>
      </c>
      <c r="H37" s="6" t="n">
        <v>44984</v>
      </c>
      <c r="I37" t="n">
        <v>624</v>
      </c>
      <c r="J37" t="n">
        <v>634.3031</v>
      </c>
      <c r="K37" t="n">
        <v>382.74</v>
      </c>
      <c r="L37" t="n">
        <v>251.5631</v>
      </c>
      <c r="M37" t="inlineStr">
        <is>
          <t>FY2024/25</t>
        </is>
      </c>
    </row>
    <row r="38">
      <c r="A38" s="6" t="n">
        <v>45608</v>
      </c>
      <c r="B38" t="inlineStr">
        <is>
          <t>MSFT</t>
        </is>
      </c>
      <c r="C38" t="n">
        <v>2</v>
      </c>
      <c r="D38" s="5" t="inlineStr">
        <is>
          <t>01a1212c-7a78-76a8-ab7f-f97e592a8516</t>
        </is>
      </c>
      <c r="E38" s="5" t="inlineStr">
        <is>
          <t>01a1212c-7a7a-77ee-bd4b-6ddf9a2de81e</t>
        </is>
      </c>
      <c r="F38" s="5" t="inlineStr">
        <is>
          <t>01a1212c-a6de-7492-bdde-9705213068e5</t>
        </is>
      </c>
      <c r="G38" s="5" t="inlineStr">
        <is>
          <t>01a1212c-a78e-714e-8187-5fd11ef3c556</t>
        </is>
      </c>
      <c r="H38" s="6" t="n">
        <v>44859</v>
      </c>
      <c r="I38" t="n">
        <v>749</v>
      </c>
      <c r="J38" t="n">
        <v>1268.6061</v>
      </c>
      <c r="K38" t="n">
        <v>759.48</v>
      </c>
      <c r="L38" t="n">
        <v>509.1261</v>
      </c>
      <c r="M38" t="inlineStr">
        <is>
          <t>FY2024/25</t>
        </is>
      </c>
    </row>
    <row r="39">
      <c r="A39" s="6" t="n">
        <v>45608</v>
      </c>
      <c r="B39" t="inlineStr">
        <is>
          <t>MSFT</t>
        </is>
      </c>
      <c r="C39" t="n">
        <v>1</v>
      </c>
      <c r="D39" s="5" t="inlineStr">
        <is>
          <t>01a1212c-73aa-72c8-978a-0b89b383ef95</t>
        </is>
      </c>
      <c r="E39" s="5" t="inlineStr">
        <is>
          <t>01a1212c-73ad-745b-8a07-678f5df8a317</t>
        </is>
      </c>
      <c r="F39" s="5" t="inlineStr">
        <is>
          <t>01a1212c-a6de-7492-bdde-9705213068e5</t>
        </is>
      </c>
      <c r="G39" s="5" t="inlineStr">
        <is>
          <t>01a1212c-a79d-72b8-8c3d-d4c0a782fe35</t>
        </is>
      </c>
      <c r="H39" s="6" t="n">
        <v>44025</v>
      </c>
      <c r="I39" t="n">
        <v>1583</v>
      </c>
      <c r="J39" t="n">
        <v>634.3031</v>
      </c>
      <c r="K39" t="n">
        <v>318.105</v>
      </c>
      <c r="L39" t="n">
        <v>316.1981</v>
      </c>
      <c r="M39" t="inlineStr">
        <is>
          <t>FY2024/25</t>
        </is>
      </c>
    </row>
    <row r="40">
      <c r="A40" s="6" t="n">
        <v>45608</v>
      </c>
      <c r="B40" t="inlineStr">
        <is>
          <t>MSFT</t>
        </is>
      </c>
      <c r="C40" t="n">
        <v>4</v>
      </c>
      <c r="D40" s="5" t="inlineStr">
        <is>
          <t>01a1212c-7350-711b-8f5f-378ef181fb76</t>
        </is>
      </c>
      <c r="E40" s="5" t="inlineStr">
        <is>
          <t>01a1212c-7353-706a-8a0c-c686449758b5</t>
        </is>
      </c>
      <c r="F40" s="5" t="inlineStr">
        <is>
          <t>01a1212c-a6de-7492-bdde-9705213068e5</t>
        </is>
      </c>
      <c r="G40" s="5" t="inlineStr">
        <is>
          <t>01a1212c-a7ac-7795-9f28-951cfb6eb930</t>
        </is>
      </c>
      <c r="H40" s="6" t="n">
        <v>43990</v>
      </c>
      <c r="I40" t="n">
        <v>1618</v>
      </c>
      <c r="J40" t="n">
        <v>2537.2123</v>
      </c>
      <c r="K40" t="n">
        <v>1137.66</v>
      </c>
      <c r="L40" t="n">
        <v>1399.5523</v>
      </c>
      <c r="M40" t="inlineStr">
        <is>
          <t>FY2024/25</t>
        </is>
      </c>
    </row>
    <row r="41">
      <c r="A41" s="6" t="n">
        <v>45608</v>
      </c>
      <c r="B41" t="inlineStr">
        <is>
          <t>MSFT</t>
        </is>
      </c>
      <c r="C41" t="n">
        <v>3</v>
      </c>
      <c r="D41" s="5" t="inlineStr">
        <is>
          <t>01a1212c-724a-76bf-8f70-517597612be1</t>
        </is>
      </c>
      <c r="E41" s="5" t="inlineStr">
        <is>
          <t>01a1212c-724d-74c4-af7f-8de289e051bc</t>
        </is>
      </c>
      <c r="F41" s="5" t="inlineStr">
        <is>
          <t>01a1212c-a6de-7492-bdde-9705213068e5</t>
        </is>
      </c>
      <c r="G41" s="5" t="inlineStr">
        <is>
          <t>01a1212c-a7bc-7131-8263-2f07f6768620</t>
        </is>
      </c>
      <c r="H41" s="6" t="n">
        <v>43879</v>
      </c>
      <c r="I41" t="n">
        <v>1729</v>
      </c>
      <c r="J41" t="n">
        <v>1902.9092</v>
      </c>
      <c r="K41" t="n">
        <v>850.035</v>
      </c>
      <c r="L41" t="n">
        <v>1052.8742</v>
      </c>
      <c r="M41" t="inlineStr">
        <is>
          <t>FY2024/25</t>
        </is>
      </c>
    </row>
    <row r="42">
      <c r="A42" s="6" t="n">
        <v>45608</v>
      </c>
      <c r="B42" t="inlineStr">
        <is>
          <t>MSFT</t>
        </is>
      </c>
      <c r="C42" t="n">
        <v>2</v>
      </c>
      <c r="D42" s="5" t="inlineStr">
        <is>
          <t>01a1212c-72b6-71c5-abec-88e52873d0b5</t>
        </is>
      </c>
      <c r="E42" s="5" t="inlineStr">
        <is>
          <t>01a1212c-72b9-7463-88f2-0ff2ba9e0d6d</t>
        </is>
      </c>
      <c r="F42" s="5" t="inlineStr">
        <is>
          <t>01a1212c-a6de-7492-bdde-9705213068e5</t>
        </is>
      </c>
      <c r="G42" s="5" t="inlineStr">
        <is>
          <t>01a1212c-a7cb-77e4-bfef-c832259ed48f</t>
        </is>
      </c>
      <c r="H42" s="6" t="n">
        <v>43923</v>
      </c>
      <c r="I42" t="n">
        <v>1685</v>
      </c>
      <c r="J42" t="n">
        <v>1268.6061</v>
      </c>
      <c r="K42" t="n">
        <v>473.28</v>
      </c>
      <c r="L42" t="n">
        <v>795.3261</v>
      </c>
      <c r="M42" t="inlineStr">
        <is>
          <t>FY2024/25</t>
        </is>
      </c>
    </row>
    <row r="43">
      <c r="A43" s="6" t="n">
        <v>45608</v>
      </c>
      <c r="B43" t="inlineStr">
        <is>
          <t>MSFT</t>
        </is>
      </c>
      <c r="C43" t="n">
        <v>1</v>
      </c>
      <c r="D43" s="5" t="inlineStr">
        <is>
          <t>01a1212c-712a-7112-aec0-e1f8195d4fb0</t>
        </is>
      </c>
      <c r="E43" s="5" t="inlineStr">
        <is>
          <t>01a1212c-a7dc-72bc-aa73-197f788ae91a</t>
        </is>
      </c>
      <c r="F43" s="5" t="inlineStr">
        <is>
          <t>01a1212c-a6de-7492-bdde-9705213068e5</t>
        </is>
      </c>
      <c r="G43" s="5" t="inlineStr">
        <is>
          <t>01a1212c-a7da-75a2-8c68-fd0d666a54c4</t>
        </is>
      </c>
      <c r="H43" s="6" t="n">
        <v>43738</v>
      </c>
      <c r="I43" t="n">
        <v>1870</v>
      </c>
      <c r="J43" t="n">
        <v>634.3031</v>
      </c>
      <c r="K43" t="n">
        <v>209.795</v>
      </c>
      <c r="L43" t="n">
        <v>424.5081</v>
      </c>
      <c r="M43" t="inlineStr">
        <is>
          <t>FY2024/25</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2026-10-09T14:59:02Z</dcterms:created>
  <dcterms:modified xsi:type="dcterms:W3CDTF">2026-10-09T14:59:03Z</dcterms:modified>
</cp:coreProperties>
</file>